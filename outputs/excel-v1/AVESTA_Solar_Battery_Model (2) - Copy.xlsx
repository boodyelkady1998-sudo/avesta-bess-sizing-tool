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beegroup-my.sharepoint.com/personal/mohamed_abdelkader_eg_avestaholding_com/Documents/Desktop/sizing tool/"/>
    </mc:Choice>
  </mc:AlternateContent>
  <xr:revisionPtr revIDLastSave="80" documentId="11_D32D74797A417247BF8B7A743D0E4E9E916B0216" xr6:coauthVersionLast="47" xr6:coauthVersionMax="47" xr10:uidLastSave="{80B54845-2798-44F5-8F2C-66EBA96518B2}"/>
  <bookViews>
    <workbookView xWindow="-120" yWindow="-120" windowWidth="29040" windowHeight="15720" xr2:uid="{00000000-000D-0000-FFFF-FFFF00000000}"/>
  </bookViews>
  <sheets>
    <sheet name="Inputs" sheetId="1" r:id="rId1"/>
    <sheet name="Assumptions and Catalog" sheetId="2" r:id="rId2"/>
    <sheet name="Scenarios" sheetId="3" r:id="rId3"/>
  </sheets>
  <definedNames>
    <definedName name="_xlnm.Print_Area" localSheetId="1">'Assumptions and Catalog'!$A$1:$I$168</definedName>
    <definedName name="_xlnm.Print_Area" localSheetId="0">Inputs!$A$1:$H$41</definedName>
    <definedName name="_xlnm.Print_Area" localSheetId="2">Scenarios!$A$1:$E$70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ns0:ext xmlns:ns0="http://schemas.openxmlformats.org/spreadsheetml/2006/main" xmlns:ns2="http://schemas.libreoffice.org/" uri="{7626C862-2A13-11E5-B345-FEFF819CDC9F}">
      <ns2:extCalcPr stringRefSyntax="CalcA1ExcelA1"/>
    </ns0:ext>
  </extLst>
</workbook>
</file>

<file path=xl/calcChain.xml><?xml version="1.0" encoding="utf-8"?>
<calcChain xmlns="http://schemas.openxmlformats.org/spreadsheetml/2006/main">
  <c r="R900" i="3" l="1"/>
  <c r="C900" i="3"/>
  <c r="R899" i="3"/>
  <c r="C899" i="3"/>
  <c r="R898" i="3"/>
  <c r="C898" i="3"/>
  <c r="R897" i="3"/>
  <c r="C897" i="3"/>
  <c r="R896" i="3"/>
  <c r="C896" i="3"/>
  <c r="R895" i="3"/>
  <c r="C895" i="3"/>
  <c r="R894" i="3"/>
  <c r="C894" i="3"/>
  <c r="R893" i="3"/>
  <c r="C893" i="3"/>
  <c r="R892" i="3"/>
  <c r="C892" i="3"/>
  <c r="R891" i="3"/>
  <c r="C891" i="3"/>
  <c r="R890" i="3"/>
  <c r="C890" i="3"/>
  <c r="R889" i="3"/>
  <c r="C889" i="3"/>
  <c r="R888" i="3"/>
  <c r="C888" i="3"/>
  <c r="R887" i="3"/>
  <c r="C887" i="3"/>
  <c r="R886" i="3"/>
  <c r="C886" i="3"/>
  <c r="R885" i="3"/>
  <c r="C885" i="3"/>
  <c r="R884" i="3"/>
  <c r="C884" i="3"/>
  <c r="R883" i="3"/>
  <c r="C883" i="3"/>
  <c r="R882" i="3"/>
  <c r="C882" i="3"/>
  <c r="R881" i="3"/>
  <c r="C881" i="3"/>
  <c r="R880" i="3"/>
  <c r="C880" i="3"/>
  <c r="R879" i="3"/>
  <c r="C879" i="3"/>
  <c r="R878" i="3"/>
  <c r="C878" i="3"/>
  <c r="R877" i="3"/>
  <c r="C877" i="3"/>
  <c r="R876" i="3"/>
  <c r="C876" i="3"/>
  <c r="R875" i="3"/>
  <c r="C875" i="3"/>
  <c r="R874" i="3"/>
  <c r="C874" i="3"/>
  <c r="R873" i="3"/>
  <c r="C873" i="3"/>
  <c r="R872" i="3"/>
  <c r="C872" i="3"/>
  <c r="R871" i="3"/>
  <c r="C871" i="3"/>
  <c r="R870" i="3"/>
  <c r="C870" i="3"/>
  <c r="R869" i="3"/>
  <c r="C869" i="3"/>
  <c r="R868" i="3"/>
  <c r="C868" i="3"/>
  <c r="R867" i="3"/>
  <c r="C867" i="3"/>
  <c r="R866" i="3"/>
  <c r="C866" i="3"/>
  <c r="R865" i="3"/>
  <c r="C865" i="3"/>
  <c r="R864" i="3"/>
  <c r="C864" i="3"/>
  <c r="R863" i="3"/>
  <c r="C863" i="3"/>
  <c r="R862" i="3"/>
  <c r="C862" i="3"/>
  <c r="R861" i="3"/>
  <c r="C861" i="3"/>
  <c r="R860" i="3"/>
  <c r="C860" i="3"/>
  <c r="R859" i="3"/>
  <c r="C859" i="3"/>
  <c r="R858" i="3"/>
  <c r="C858" i="3"/>
  <c r="R857" i="3"/>
  <c r="C857" i="3"/>
  <c r="R856" i="3"/>
  <c r="C856" i="3"/>
  <c r="R855" i="3"/>
  <c r="C855" i="3"/>
  <c r="R854" i="3"/>
  <c r="C854" i="3"/>
  <c r="R853" i="3"/>
  <c r="C853" i="3"/>
  <c r="R852" i="3"/>
  <c r="C852" i="3"/>
  <c r="R851" i="3"/>
  <c r="C851" i="3"/>
  <c r="R850" i="3"/>
  <c r="C850" i="3"/>
  <c r="R849" i="3"/>
  <c r="C849" i="3"/>
  <c r="R848" i="3"/>
  <c r="C848" i="3"/>
  <c r="R847" i="3"/>
  <c r="C847" i="3"/>
  <c r="R846" i="3"/>
  <c r="C846" i="3"/>
  <c r="R845" i="3"/>
  <c r="C845" i="3"/>
  <c r="R844" i="3"/>
  <c r="C844" i="3"/>
  <c r="R843" i="3"/>
  <c r="C843" i="3"/>
  <c r="R842" i="3"/>
  <c r="C842" i="3"/>
  <c r="R841" i="3"/>
  <c r="C841" i="3"/>
  <c r="R840" i="3"/>
  <c r="C840" i="3"/>
  <c r="R839" i="3"/>
  <c r="C839" i="3"/>
  <c r="R838" i="3"/>
  <c r="C838" i="3"/>
  <c r="R837" i="3"/>
  <c r="C837" i="3"/>
  <c r="R836" i="3"/>
  <c r="C836" i="3"/>
  <c r="R835" i="3"/>
  <c r="C835" i="3"/>
  <c r="R834" i="3"/>
  <c r="C834" i="3"/>
  <c r="R833" i="3"/>
  <c r="C833" i="3"/>
  <c r="R832" i="3"/>
  <c r="C832" i="3"/>
  <c r="R831" i="3"/>
  <c r="C831" i="3"/>
  <c r="R830" i="3"/>
  <c r="C830" i="3"/>
  <c r="R829" i="3"/>
  <c r="C829" i="3"/>
  <c r="R828" i="3"/>
  <c r="C828" i="3"/>
  <c r="R827" i="3"/>
  <c r="C827" i="3"/>
  <c r="R826" i="3"/>
  <c r="C826" i="3"/>
  <c r="R825" i="3"/>
  <c r="C825" i="3"/>
  <c r="R824" i="3"/>
  <c r="C824" i="3"/>
  <c r="R823" i="3"/>
  <c r="C823" i="3"/>
  <c r="R822" i="3"/>
  <c r="C822" i="3"/>
  <c r="R821" i="3"/>
  <c r="C821" i="3"/>
  <c r="R820" i="3"/>
  <c r="C820" i="3"/>
  <c r="R819" i="3"/>
  <c r="C819" i="3"/>
  <c r="R818" i="3"/>
  <c r="C818" i="3"/>
  <c r="R817" i="3"/>
  <c r="C817" i="3"/>
  <c r="R816" i="3"/>
  <c r="C816" i="3"/>
  <c r="R815" i="3"/>
  <c r="C815" i="3"/>
  <c r="R814" i="3"/>
  <c r="C814" i="3"/>
  <c r="R813" i="3"/>
  <c r="C813" i="3"/>
  <c r="R812" i="3"/>
  <c r="C812" i="3"/>
  <c r="R811" i="3"/>
  <c r="C811" i="3"/>
  <c r="R810" i="3"/>
  <c r="C810" i="3"/>
  <c r="R809" i="3"/>
  <c r="C809" i="3"/>
  <c r="R808" i="3"/>
  <c r="C808" i="3"/>
  <c r="R807" i="3"/>
  <c r="C807" i="3"/>
  <c r="R806" i="3"/>
  <c r="C806" i="3"/>
  <c r="R805" i="3"/>
  <c r="C805" i="3"/>
  <c r="R804" i="3"/>
  <c r="C804" i="3"/>
  <c r="R803" i="3"/>
  <c r="C803" i="3"/>
  <c r="R802" i="3"/>
  <c r="C802" i="3"/>
  <c r="R801" i="3"/>
  <c r="C801" i="3"/>
  <c r="R800" i="3"/>
  <c r="C800" i="3"/>
  <c r="R799" i="3"/>
  <c r="C799" i="3"/>
  <c r="R798" i="3"/>
  <c r="C798" i="3"/>
  <c r="R797" i="3"/>
  <c r="C797" i="3"/>
  <c r="R796" i="3"/>
  <c r="C796" i="3"/>
  <c r="R795" i="3"/>
  <c r="C795" i="3"/>
  <c r="R794" i="3"/>
  <c r="C794" i="3"/>
  <c r="R793" i="3"/>
  <c r="C793" i="3"/>
  <c r="R792" i="3"/>
  <c r="C792" i="3"/>
  <c r="R791" i="3"/>
  <c r="C791" i="3"/>
  <c r="R790" i="3"/>
  <c r="C790" i="3"/>
  <c r="R789" i="3"/>
  <c r="C789" i="3"/>
  <c r="R788" i="3"/>
  <c r="C788" i="3"/>
  <c r="R787" i="3"/>
  <c r="C787" i="3"/>
  <c r="R786" i="3"/>
  <c r="C786" i="3"/>
  <c r="R785" i="3"/>
  <c r="C785" i="3"/>
  <c r="R784" i="3"/>
  <c r="C784" i="3"/>
  <c r="R783" i="3"/>
  <c r="C783" i="3"/>
  <c r="R782" i="3"/>
  <c r="C782" i="3"/>
  <c r="R781" i="3"/>
  <c r="C781" i="3"/>
  <c r="R780" i="3"/>
  <c r="C780" i="3"/>
  <c r="R779" i="3"/>
  <c r="C779" i="3"/>
  <c r="R778" i="3"/>
  <c r="C778" i="3"/>
  <c r="R777" i="3"/>
  <c r="C777" i="3"/>
  <c r="R776" i="3"/>
  <c r="C776" i="3"/>
  <c r="R775" i="3"/>
  <c r="C775" i="3"/>
  <c r="R774" i="3"/>
  <c r="C774" i="3"/>
  <c r="R773" i="3"/>
  <c r="C773" i="3"/>
  <c r="R772" i="3"/>
  <c r="C772" i="3"/>
  <c r="R771" i="3"/>
  <c r="C771" i="3"/>
  <c r="R770" i="3"/>
  <c r="C770" i="3"/>
  <c r="R769" i="3"/>
  <c r="C769" i="3"/>
  <c r="R768" i="3"/>
  <c r="C768" i="3"/>
  <c r="R767" i="3"/>
  <c r="C767" i="3"/>
  <c r="R766" i="3"/>
  <c r="C766" i="3"/>
  <c r="R765" i="3"/>
  <c r="C765" i="3"/>
  <c r="R764" i="3"/>
  <c r="C764" i="3"/>
  <c r="R763" i="3"/>
  <c r="C763" i="3"/>
  <c r="R762" i="3"/>
  <c r="C762" i="3"/>
  <c r="R761" i="3"/>
  <c r="C761" i="3"/>
  <c r="R760" i="3"/>
  <c r="C760" i="3"/>
  <c r="R759" i="3"/>
  <c r="C759" i="3"/>
  <c r="R758" i="3"/>
  <c r="C758" i="3"/>
  <c r="R757" i="3"/>
  <c r="C757" i="3"/>
  <c r="R756" i="3"/>
  <c r="C756" i="3"/>
  <c r="R755" i="3"/>
  <c r="C755" i="3"/>
  <c r="R754" i="3"/>
  <c r="C754" i="3"/>
  <c r="R753" i="3"/>
  <c r="C753" i="3"/>
  <c r="R752" i="3"/>
  <c r="C752" i="3"/>
  <c r="R751" i="3"/>
  <c r="C751" i="3"/>
  <c r="R750" i="3"/>
  <c r="C750" i="3"/>
  <c r="R749" i="3"/>
  <c r="C749" i="3"/>
  <c r="R748" i="3"/>
  <c r="C748" i="3"/>
  <c r="R747" i="3"/>
  <c r="C747" i="3"/>
  <c r="R746" i="3"/>
  <c r="C746" i="3"/>
  <c r="R745" i="3"/>
  <c r="C745" i="3"/>
  <c r="R744" i="3"/>
  <c r="C744" i="3"/>
  <c r="R743" i="3"/>
  <c r="C743" i="3"/>
  <c r="R742" i="3"/>
  <c r="C742" i="3"/>
  <c r="R741" i="3"/>
  <c r="C741" i="3"/>
  <c r="R740" i="3"/>
  <c r="C740" i="3"/>
  <c r="R739" i="3"/>
  <c r="C739" i="3"/>
  <c r="R738" i="3"/>
  <c r="C738" i="3"/>
  <c r="R737" i="3"/>
  <c r="C737" i="3"/>
  <c r="R736" i="3"/>
  <c r="C736" i="3"/>
  <c r="R735" i="3"/>
  <c r="C735" i="3"/>
  <c r="R734" i="3"/>
  <c r="C734" i="3"/>
  <c r="R733" i="3"/>
  <c r="C733" i="3"/>
  <c r="R732" i="3"/>
  <c r="C732" i="3"/>
  <c r="R731" i="3"/>
  <c r="C731" i="3"/>
  <c r="R730" i="3"/>
  <c r="C730" i="3"/>
  <c r="R729" i="3"/>
  <c r="C729" i="3"/>
  <c r="R728" i="3"/>
  <c r="C728" i="3"/>
  <c r="R727" i="3"/>
  <c r="C727" i="3"/>
  <c r="R726" i="3"/>
  <c r="C726" i="3"/>
  <c r="R725" i="3"/>
  <c r="C725" i="3"/>
  <c r="R724" i="3"/>
  <c r="C724" i="3"/>
  <c r="R723" i="3"/>
  <c r="C723" i="3"/>
  <c r="R722" i="3"/>
  <c r="C722" i="3"/>
  <c r="R721" i="3"/>
  <c r="C721" i="3"/>
  <c r="R720" i="3"/>
  <c r="C720" i="3"/>
  <c r="R719" i="3"/>
  <c r="C719" i="3"/>
  <c r="R718" i="3"/>
  <c r="C718" i="3"/>
  <c r="R717" i="3"/>
  <c r="C717" i="3"/>
  <c r="R716" i="3"/>
  <c r="C716" i="3"/>
  <c r="R715" i="3"/>
  <c r="C715" i="3"/>
  <c r="R714" i="3"/>
  <c r="C714" i="3"/>
  <c r="R713" i="3"/>
  <c r="C713" i="3"/>
  <c r="R712" i="3"/>
  <c r="C712" i="3"/>
  <c r="R711" i="3"/>
  <c r="C711" i="3"/>
  <c r="R710" i="3"/>
  <c r="C710" i="3"/>
  <c r="R709" i="3"/>
  <c r="C709" i="3"/>
  <c r="R708" i="3"/>
  <c r="C708" i="3"/>
  <c r="R707" i="3"/>
  <c r="C707" i="3"/>
  <c r="R706" i="3"/>
  <c r="C706" i="3"/>
  <c r="R705" i="3"/>
  <c r="C705" i="3"/>
  <c r="R704" i="3"/>
  <c r="C704" i="3"/>
  <c r="R703" i="3"/>
  <c r="C703" i="3"/>
  <c r="R702" i="3"/>
  <c r="C702" i="3"/>
  <c r="R701" i="3"/>
  <c r="C701" i="3"/>
  <c r="R700" i="3"/>
  <c r="C700" i="3"/>
  <c r="R699" i="3"/>
  <c r="C699" i="3"/>
  <c r="R698" i="3"/>
  <c r="C698" i="3"/>
  <c r="R697" i="3"/>
  <c r="C697" i="3"/>
  <c r="R696" i="3"/>
  <c r="C696" i="3"/>
  <c r="R695" i="3"/>
  <c r="C695" i="3"/>
  <c r="R694" i="3"/>
  <c r="C694" i="3"/>
  <c r="R693" i="3"/>
  <c r="C693" i="3"/>
  <c r="R692" i="3"/>
  <c r="C692" i="3"/>
  <c r="R691" i="3"/>
  <c r="C691" i="3"/>
  <c r="R690" i="3"/>
  <c r="C690" i="3"/>
  <c r="R689" i="3"/>
  <c r="C689" i="3"/>
  <c r="R688" i="3"/>
  <c r="C688" i="3"/>
  <c r="R687" i="3"/>
  <c r="C687" i="3"/>
  <c r="R686" i="3"/>
  <c r="C686" i="3"/>
  <c r="R685" i="3"/>
  <c r="C685" i="3"/>
  <c r="R684" i="3"/>
  <c r="C684" i="3"/>
  <c r="R683" i="3"/>
  <c r="C683" i="3"/>
  <c r="R682" i="3"/>
  <c r="C682" i="3"/>
  <c r="R681" i="3"/>
  <c r="C681" i="3"/>
  <c r="R680" i="3"/>
  <c r="C680" i="3"/>
  <c r="R679" i="3"/>
  <c r="C679" i="3"/>
  <c r="R678" i="3"/>
  <c r="C678" i="3"/>
  <c r="R677" i="3"/>
  <c r="C677" i="3"/>
  <c r="R676" i="3"/>
  <c r="C676" i="3"/>
  <c r="R675" i="3"/>
  <c r="C675" i="3"/>
  <c r="R674" i="3"/>
  <c r="C674" i="3"/>
  <c r="R673" i="3"/>
  <c r="C673" i="3"/>
  <c r="R672" i="3"/>
  <c r="C672" i="3"/>
  <c r="R671" i="3"/>
  <c r="C671" i="3"/>
  <c r="R670" i="3"/>
  <c r="C670" i="3"/>
  <c r="R669" i="3"/>
  <c r="C669" i="3"/>
  <c r="R668" i="3"/>
  <c r="C668" i="3"/>
  <c r="R667" i="3"/>
  <c r="C667" i="3"/>
  <c r="R666" i="3"/>
  <c r="C666" i="3"/>
  <c r="R665" i="3"/>
  <c r="C665" i="3"/>
  <c r="R664" i="3"/>
  <c r="C664" i="3"/>
  <c r="R663" i="3"/>
  <c r="C663" i="3"/>
  <c r="R662" i="3"/>
  <c r="C662" i="3"/>
  <c r="R661" i="3"/>
  <c r="C661" i="3"/>
  <c r="R650" i="3"/>
  <c r="I650" i="3"/>
  <c r="H650" i="3" s="1"/>
  <c r="K650" i="3" s="1"/>
  <c r="C650" i="3"/>
  <c r="R649" i="3"/>
  <c r="I649" i="3"/>
  <c r="H649" i="3" s="1"/>
  <c r="K649" i="3" s="1"/>
  <c r="C649" i="3"/>
  <c r="R648" i="3"/>
  <c r="I648" i="3"/>
  <c r="H648" i="3" s="1"/>
  <c r="K648" i="3" s="1"/>
  <c r="C648" i="3"/>
  <c r="R647" i="3"/>
  <c r="I647" i="3"/>
  <c r="H647" i="3" s="1"/>
  <c r="K647" i="3" s="1"/>
  <c r="C647" i="3"/>
  <c r="R646" i="3"/>
  <c r="I646" i="3"/>
  <c r="H646" i="3" s="1"/>
  <c r="K646" i="3" s="1"/>
  <c r="C646" i="3"/>
  <c r="R645" i="3"/>
  <c r="I645" i="3"/>
  <c r="H645" i="3" s="1"/>
  <c r="K645" i="3" s="1"/>
  <c r="C645" i="3"/>
  <c r="R644" i="3"/>
  <c r="I644" i="3"/>
  <c r="H644" i="3" s="1"/>
  <c r="K644" i="3" s="1"/>
  <c r="C644" i="3"/>
  <c r="R643" i="3"/>
  <c r="I643" i="3"/>
  <c r="H643" i="3" s="1"/>
  <c r="K643" i="3" s="1"/>
  <c r="C643" i="3"/>
  <c r="R642" i="3"/>
  <c r="I642" i="3"/>
  <c r="H642" i="3" s="1"/>
  <c r="K642" i="3" s="1"/>
  <c r="C642" i="3"/>
  <c r="R641" i="3"/>
  <c r="I641" i="3"/>
  <c r="H641" i="3" s="1"/>
  <c r="K641" i="3" s="1"/>
  <c r="C641" i="3"/>
  <c r="R640" i="3"/>
  <c r="I640" i="3"/>
  <c r="H640" i="3" s="1"/>
  <c r="K640" i="3" s="1"/>
  <c r="C640" i="3"/>
  <c r="R639" i="3"/>
  <c r="I639" i="3"/>
  <c r="H639" i="3" s="1"/>
  <c r="K639" i="3" s="1"/>
  <c r="C639" i="3"/>
  <c r="R638" i="3"/>
  <c r="I638" i="3"/>
  <c r="H638" i="3" s="1"/>
  <c r="K638" i="3" s="1"/>
  <c r="C638" i="3"/>
  <c r="R637" i="3"/>
  <c r="I637" i="3"/>
  <c r="H637" i="3" s="1"/>
  <c r="K637" i="3" s="1"/>
  <c r="C637" i="3"/>
  <c r="R636" i="3"/>
  <c r="I636" i="3"/>
  <c r="H636" i="3" s="1"/>
  <c r="K636" i="3" s="1"/>
  <c r="C636" i="3"/>
  <c r="R635" i="3"/>
  <c r="I635" i="3"/>
  <c r="H635" i="3" s="1"/>
  <c r="K635" i="3" s="1"/>
  <c r="C635" i="3"/>
  <c r="R634" i="3"/>
  <c r="I634" i="3"/>
  <c r="H634" i="3" s="1"/>
  <c r="K634" i="3" s="1"/>
  <c r="C634" i="3"/>
  <c r="R633" i="3"/>
  <c r="I633" i="3"/>
  <c r="H633" i="3" s="1"/>
  <c r="K633" i="3" s="1"/>
  <c r="C633" i="3"/>
  <c r="R632" i="3"/>
  <c r="I632" i="3"/>
  <c r="H632" i="3" s="1"/>
  <c r="K632" i="3" s="1"/>
  <c r="C632" i="3"/>
  <c r="R631" i="3"/>
  <c r="I631" i="3"/>
  <c r="H631" i="3" s="1"/>
  <c r="K631" i="3" s="1"/>
  <c r="C631" i="3"/>
  <c r="R630" i="3"/>
  <c r="I630" i="3"/>
  <c r="H630" i="3" s="1"/>
  <c r="K630" i="3" s="1"/>
  <c r="C630" i="3"/>
  <c r="R629" i="3"/>
  <c r="I629" i="3"/>
  <c r="H629" i="3" s="1"/>
  <c r="K629" i="3" s="1"/>
  <c r="C629" i="3"/>
  <c r="R628" i="3"/>
  <c r="I628" i="3"/>
  <c r="H628" i="3" s="1"/>
  <c r="K628" i="3" s="1"/>
  <c r="C628" i="3"/>
  <c r="R627" i="3"/>
  <c r="I627" i="3"/>
  <c r="H627" i="3" s="1"/>
  <c r="K627" i="3" s="1"/>
  <c r="C627" i="3"/>
  <c r="R626" i="3"/>
  <c r="I626" i="3"/>
  <c r="H626" i="3" s="1"/>
  <c r="K626" i="3" s="1"/>
  <c r="C626" i="3"/>
  <c r="R625" i="3"/>
  <c r="I625" i="3"/>
  <c r="H625" i="3" s="1"/>
  <c r="K625" i="3" s="1"/>
  <c r="C625" i="3"/>
  <c r="R624" i="3"/>
  <c r="I624" i="3"/>
  <c r="H624" i="3" s="1"/>
  <c r="K624" i="3" s="1"/>
  <c r="C624" i="3"/>
  <c r="R623" i="3"/>
  <c r="I623" i="3"/>
  <c r="H623" i="3" s="1"/>
  <c r="K623" i="3" s="1"/>
  <c r="C623" i="3"/>
  <c r="R622" i="3"/>
  <c r="I622" i="3"/>
  <c r="H622" i="3" s="1"/>
  <c r="K622" i="3" s="1"/>
  <c r="C622" i="3"/>
  <c r="R621" i="3"/>
  <c r="I621" i="3"/>
  <c r="H621" i="3" s="1"/>
  <c r="K621" i="3" s="1"/>
  <c r="C621" i="3"/>
  <c r="R620" i="3"/>
  <c r="I620" i="3"/>
  <c r="H620" i="3" s="1"/>
  <c r="K620" i="3" s="1"/>
  <c r="C620" i="3"/>
  <c r="R619" i="3"/>
  <c r="I619" i="3"/>
  <c r="H619" i="3" s="1"/>
  <c r="K619" i="3" s="1"/>
  <c r="C619" i="3"/>
  <c r="R618" i="3"/>
  <c r="I618" i="3"/>
  <c r="H618" i="3" s="1"/>
  <c r="K618" i="3" s="1"/>
  <c r="C618" i="3"/>
  <c r="R617" i="3"/>
  <c r="I617" i="3"/>
  <c r="H617" i="3" s="1"/>
  <c r="K617" i="3" s="1"/>
  <c r="C617" i="3"/>
  <c r="R616" i="3"/>
  <c r="I616" i="3"/>
  <c r="H616" i="3" s="1"/>
  <c r="K616" i="3" s="1"/>
  <c r="C616" i="3"/>
  <c r="R615" i="3"/>
  <c r="I615" i="3"/>
  <c r="H615" i="3" s="1"/>
  <c r="K615" i="3" s="1"/>
  <c r="C615" i="3"/>
  <c r="R614" i="3"/>
  <c r="I614" i="3"/>
  <c r="H614" i="3" s="1"/>
  <c r="K614" i="3" s="1"/>
  <c r="C614" i="3"/>
  <c r="R613" i="3"/>
  <c r="I613" i="3"/>
  <c r="H613" i="3" s="1"/>
  <c r="K613" i="3" s="1"/>
  <c r="C613" i="3"/>
  <c r="R612" i="3"/>
  <c r="I612" i="3"/>
  <c r="H612" i="3" s="1"/>
  <c r="K612" i="3" s="1"/>
  <c r="C612" i="3"/>
  <c r="R611" i="3"/>
  <c r="I611" i="3"/>
  <c r="H611" i="3" s="1"/>
  <c r="K611" i="3" s="1"/>
  <c r="C611" i="3"/>
  <c r="R610" i="3"/>
  <c r="I610" i="3"/>
  <c r="H610" i="3" s="1"/>
  <c r="K610" i="3" s="1"/>
  <c r="C610" i="3"/>
  <c r="R609" i="3"/>
  <c r="I609" i="3"/>
  <c r="H609" i="3" s="1"/>
  <c r="K609" i="3" s="1"/>
  <c r="C609" i="3"/>
  <c r="R608" i="3"/>
  <c r="I608" i="3"/>
  <c r="H608" i="3" s="1"/>
  <c r="K608" i="3" s="1"/>
  <c r="C608" i="3"/>
  <c r="R607" i="3"/>
  <c r="I607" i="3"/>
  <c r="H607" i="3" s="1"/>
  <c r="K607" i="3" s="1"/>
  <c r="C607" i="3"/>
  <c r="R606" i="3"/>
  <c r="I606" i="3"/>
  <c r="H606" i="3" s="1"/>
  <c r="K606" i="3" s="1"/>
  <c r="C606" i="3"/>
  <c r="R605" i="3"/>
  <c r="I605" i="3"/>
  <c r="H605" i="3" s="1"/>
  <c r="K605" i="3" s="1"/>
  <c r="C605" i="3"/>
  <c r="R604" i="3"/>
  <c r="I604" i="3"/>
  <c r="H604" i="3" s="1"/>
  <c r="K604" i="3" s="1"/>
  <c r="C604" i="3"/>
  <c r="R603" i="3"/>
  <c r="I603" i="3"/>
  <c r="H603" i="3" s="1"/>
  <c r="K603" i="3" s="1"/>
  <c r="C603" i="3"/>
  <c r="R602" i="3"/>
  <c r="I602" i="3"/>
  <c r="H602" i="3" s="1"/>
  <c r="K602" i="3" s="1"/>
  <c r="C602" i="3"/>
  <c r="R601" i="3"/>
  <c r="I601" i="3"/>
  <c r="H601" i="3" s="1"/>
  <c r="K601" i="3" s="1"/>
  <c r="C601" i="3"/>
  <c r="R600" i="3"/>
  <c r="I600" i="3"/>
  <c r="H600" i="3" s="1"/>
  <c r="K600" i="3" s="1"/>
  <c r="C600" i="3"/>
  <c r="R599" i="3"/>
  <c r="I599" i="3"/>
  <c r="H599" i="3" s="1"/>
  <c r="K599" i="3" s="1"/>
  <c r="C599" i="3"/>
  <c r="R598" i="3"/>
  <c r="I598" i="3"/>
  <c r="H598" i="3" s="1"/>
  <c r="K598" i="3" s="1"/>
  <c r="C598" i="3"/>
  <c r="R597" i="3"/>
  <c r="I597" i="3"/>
  <c r="H597" i="3" s="1"/>
  <c r="K597" i="3" s="1"/>
  <c r="C597" i="3"/>
  <c r="R596" i="3"/>
  <c r="I596" i="3"/>
  <c r="H596" i="3" s="1"/>
  <c r="K596" i="3" s="1"/>
  <c r="C596" i="3"/>
  <c r="R595" i="3"/>
  <c r="I595" i="3"/>
  <c r="H595" i="3" s="1"/>
  <c r="K595" i="3" s="1"/>
  <c r="C595" i="3"/>
  <c r="R594" i="3"/>
  <c r="I594" i="3"/>
  <c r="H594" i="3" s="1"/>
  <c r="K594" i="3" s="1"/>
  <c r="C594" i="3"/>
  <c r="R593" i="3"/>
  <c r="I593" i="3"/>
  <c r="H593" i="3" s="1"/>
  <c r="K593" i="3" s="1"/>
  <c r="C593" i="3"/>
  <c r="R592" i="3"/>
  <c r="I592" i="3"/>
  <c r="H592" i="3" s="1"/>
  <c r="K592" i="3" s="1"/>
  <c r="C592" i="3"/>
  <c r="R591" i="3"/>
  <c r="I591" i="3"/>
  <c r="H591" i="3" s="1"/>
  <c r="K591" i="3" s="1"/>
  <c r="C591" i="3"/>
  <c r="R590" i="3"/>
  <c r="I590" i="3"/>
  <c r="H590" i="3" s="1"/>
  <c r="K590" i="3" s="1"/>
  <c r="C590" i="3"/>
  <c r="R589" i="3"/>
  <c r="I589" i="3"/>
  <c r="H589" i="3" s="1"/>
  <c r="K589" i="3" s="1"/>
  <c r="C589" i="3"/>
  <c r="R588" i="3"/>
  <c r="I588" i="3"/>
  <c r="H588" i="3" s="1"/>
  <c r="K588" i="3" s="1"/>
  <c r="C588" i="3"/>
  <c r="R587" i="3"/>
  <c r="I587" i="3"/>
  <c r="H587" i="3" s="1"/>
  <c r="K587" i="3" s="1"/>
  <c r="C587" i="3"/>
  <c r="R586" i="3"/>
  <c r="I586" i="3"/>
  <c r="H586" i="3" s="1"/>
  <c r="K586" i="3" s="1"/>
  <c r="C586" i="3"/>
  <c r="R585" i="3"/>
  <c r="I585" i="3"/>
  <c r="H585" i="3" s="1"/>
  <c r="K585" i="3" s="1"/>
  <c r="C585" i="3"/>
  <c r="R584" i="3"/>
  <c r="I584" i="3"/>
  <c r="H584" i="3" s="1"/>
  <c r="K584" i="3" s="1"/>
  <c r="C584" i="3"/>
  <c r="R583" i="3"/>
  <c r="I583" i="3"/>
  <c r="H583" i="3" s="1"/>
  <c r="K583" i="3" s="1"/>
  <c r="C583" i="3"/>
  <c r="R582" i="3"/>
  <c r="I582" i="3"/>
  <c r="H582" i="3" s="1"/>
  <c r="K582" i="3" s="1"/>
  <c r="C582" i="3"/>
  <c r="R581" i="3"/>
  <c r="I581" i="3"/>
  <c r="H581" i="3" s="1"/>
  <c r="K581" i="3" s="1"/>
  <c r="C581" i="3"/>
  <c r="R580" i="3"/>
  <c r="I580" i="3"/>
  <c r="H580" i="3" s="1"/>
  <c r="K580" i="3" s="1"/>
  <c r="C580" i="3"/>
  <c r="R579" i="3"/>
  <c r="I579" i="3"/>
  <c r="H579" i="3" s="1"/>
  <c r="K579" i="3" s="1"/>
  <c r="C579" i="3"/>
  <c r="R578" i="3"/>
  <c r="I578" i="3"/>
  <c r="H578" i="3" s="1"/>
  <c r="K578" i="3" s="1"/>
  <c r="C578" i="3"/>
  <c r="R577" i="3"/>
  <c r="I577" i="3"/>
  <c r="H577" i="3" s="1"/>
  <c r="K577" i="3" s="1"/>
  <c r="C577" i="3"/>
  <c r="R576" i="3"/>
  <c r="I576" i="3"/>
  <c r="H576" i="3" s="1"/>
  <c r="K576" i="3" s="1"/>
  <c r="C576" i="3"/>
  <c r="R575" i="3"/>
  <c r="I575" i="3"/>
  <c r="H575" i="3" s="1"/>
  <c r="K575" i="3" s="1"/>
  <c r="C575" i="3"/>
  <c r="R574" i="3"/>
  <c r="I574" i="3"/>
  <c r="H574" i="3" s="1"/>
  <c r="K574" i="3" s="1"/>
  <c r="C574" i="3"/>
  <c r="R573" i="3"/>
  <c r="I573" i="3"/>
  <c r="H573" i="3" s="1"/>
  <c r="K573" i="3" s="1"/>
  <c r="C573" i="3"/>
  <c r="R572" i="3"/>
  <c r="I572" i="3"/>
  <c r="H572" i="3" s="1"/>
  <c r="K572" i="3" s="1"/>
  <c r="C572" i="3"/>
  <c r="R571" i="3"/>
  <c r="I571" i="3"/>
  <c r="H571" i="3" s="1"/>
  <c r="K571" i="3" s="1"/>
  <c r="C571" i="3"/>
  <c r="R570" i="3"/>
  <c r="I570" i="3"/>
  <c r="H570" i="3" s="1"/>
  <c r="K570" i="3" s="1"/>
  <c r="C570" i="3"/>
  <c r="R569" i="3"/>
  <c r="I569" i="3"/>
  <c r="H569" i="3" s="1"/>
  <c r="K569" i="3" s="1"/>
  <c r="C569" i="3"/>
  <c r="R568" i="3"/>
  <c r="I568" i="3"/>
  <c r="H568" i="3" s="1"/>
  <c r="K568" i="3" s="1"/>
  <c r="C568" i="3"/>
  <c r="R567" i="3"/>
  <c r="I567" i="3"/>
  <c r="H567" i="3" s="1"/>
  <c r="K567" i="3" s="1"/>
  <c r="C567" i="3"/>
  <c r="R566" i="3"/>
  <c r="I566" i="3"/>
  <c r="H566" i="3" s="1"/>
  <c r="K566" i="3" s="1"/>
  <c r="C566" i="3"/>
  <c r="R565" i="3"/>
  <c r="I565" i="3"/>
  <c r="H565" i="3" s="1"/>
  <c r="K565" i="3" s="1"/>
  <c r="C565" i="3"/>
  <c r="R564" i="3"/>
  <c r="I564" i="3"/>
  <c r="H564" i="3" s="1"/>
  <c r="K564" i="3" s="1"/>
  <c r="C564" i="3"/>
  <c r="R563" i="3"/>
  <c r="I563" i="3"/>
  <c r="H563" i="3" s="1"/>
  <c r="K563" i="3" s="1"/>
  <c r="C563" i="3"/>
  <c r="R562" i="3"/>
  <c r="I562" i="3"/>
  <c r="H562" i="3" s="1"/>
  <c r="K562" i="3" s="1"/>
  <c r="C562" i="3"/>
  <c r="R561" i="3"/>
  <c r="I561" i="3"/>
  <c r="H561" i="3" s="1"/>
  <c r="K561" i="3" s="1"/>
  <c r="C561" i="3"/>
  <c r="R560" i="3"/>
  <c r="I560" i="3"/>
  <c r="H560" i="3" s="1"/>
  <c r="K560" i="3" s="1"/>
  <c r="C560" i="3"/>
  <c r="R559" i="3"/>
  <c r="I559" i="3"/>
  <c r="H559" i="3" s="1"/>
  <c r="K559" i="3" s="1"/>
  <c r="C559" i="3"/>
  <c r="R558" i="3"/>
  <c r="I558" i="3"/>
  <c r="H558" i="3" s="1"/>
  <c r="K558" i="3" s="1"/>
  <c r="C558" i="3"/>
  <c r="R557" i="3"/>
  <c r="I557" i="3"/>
  <c r="H557" i="3" s="1"/>
  <c r="K557" i="3" s="1"/>
  <c r="C557" i="3"/>
  <c r="R556" i="3"/>
  <c r="I556" i="3"/>
  <c r="H556" i="3" s="1"/>
  <c r="K556" i="3" s="1"/>
  <c r="C556" i="3"/>
  <c r="R555" i="3"/>
  <c r="I555" i="3"/>
  <c r="H555" i="3" s="1"/>
  <c r="K555" i="3" s="1"/>
  <c r="C555" i="3"/>
  <c r="R554" i="3"/>
  <c r="I554" i="3"/>
  <c r="H554" i="3" s="1"/>
  <c r="K554" i="3" s="1"/>
  <c r="C554" i="3"/>
  <c r="R553" i="3"/>
  <c r="I553" i="3"/>
  <c r="H553" i="3" s="1"/>
  <c r="K553" i="3" s="1"/>
  <c r="C553" i="3"/>
  <c r="R552" i="3"/>
  <c r="I552" i="3"/>
  <c r="H552" i="3" s="1"/>
  <c r="K552" i="3" s="1"/>
  <c r="C552" i="3"/>
  <c r="R551" i="3"/>
  <c r="I551" i="3"/>
  <c r="H551" i="3" s="1"/>
  <c r="K551" i="3" s="1"/>
  <c r="C551" i="3"/>
  <c r="R550" i="3"/>
  <c r="I550" i="3"/>
  <c r="H550" i="3" s="1"/>
  <c r="K550" i="3" s="1"/>
  <c r="C550" i="3"/>
  <c r="R549" i="3"/>
  <c r="I549" i="3"/>
  <c r="H549" i="3" s="1"/>
  <c r="K549" i="3" s="1"/>
  <c r="C549" i="3"/>
  <c r="R548" i="3"/>
  <c r="I548" i="3"/>
  <c r="H548" i="3" s="1"/>
  <c r="K548" i="3" s="1"/>
  <c r="C548" i="3"/>
  <c r="R547" i="3"/>
  <c r="I547" i="3"/>
  <c r="H547" i="3" s="1"/>
  <c r="K547" i="3" s="1"/>
  <c r="C547" i="3"/>
  <c r="R546" i="3"/>
  <c r="I546" i="3"/>
  <c r="H546" i="3" s="1"/>
  <c r="K546" i="3" s="1"/>
  <c r="C546" i="3"/>
  <c r="R545" i="3"/>
  <c r="I545" i="3"/>
  <c r="H545" i="3" s="1"/>
  <c r="K545" i="3" s="1"/>
  <c r="C545" i="3"/>
  <c r="R544" i="3"/>
  <c r="I544" i="3"/>
  <c r="H544" i="3" s="1"/>
  <c r="K544" i="3" s="1"/>
  <c r="C544" i="3"/>
  <c r="R543" i="3"/>
  <c r="I543" i="3"/>
  <c r="H543" i="3" s="1"/>
  <c r="K543" i="3" s="1"/>
  <c r="C543" i="3"/>
  <c r="R542" i="3"/>
  <c r="I542" i="3"/>
  <c r="H542" i="3" s="1"/>
  <c r="K542" i="3" s="1"/>
  <c r="C542" i="3"/>
  <c r="R541" i="3"/>
  <c r="I541" i="3"/>
  <c r="H541" i="3" s="1"/>
  <c r="K541" i="3" s="1"/>
  <c r="C541" i="3"/>
  <c r="R540" i="3"/>
  <c r="I540" i="3"/>
  <c r="H540" i="3" s="1"/>
  <c r="K540" i="3" s="1"/>
  <c r="C540" i="3"/>
  <c r="R539" i="3"/>
  <c r="I539" i="3"/>
  <c r="H539" i="3" s="1"/>
  <c r="K539" i="3" s="1"/>
  <c r="C539" i="3"/>
  <c r="R538" i="3"/>
  <c r="I538" i="3"/>
  <c r="H538" i="3" s="1"/>
  <c r="K538" i="3" s="1"/>
  <c r="C538" i="3"/>
  <c r="R537" i="3"/>
  <c r="I537" i="3"/>
  <c r="H537" i="3" s="1"/>
  <c r="K537" i="3" s="1"/>
  <c r="C537" i="3"/>
  <c r="R536" i="3"/>
  <c r="I536" i="3"/>
  <c r="H536" i="3" s="1"/>
  <c r="K536" i="3" s="1"/>
  <c r="C536" i="3"/>
  <c r="R535" i="3"/>
  <c r="I535" i="3"/>
  <c r="H535" i="3" s="1"/>
  <c r="K535" i="3" s="1"/>
  <c r="C535" i="3"/>
  <c r="R534" i="3"/>
  <c r="I534" i="3"/>
  <c r="H534" i="3" s="1"/>
  <c r="K534" i="3" s="1"/>
  <c r="C534" i="3"/>
  <c r="R533" i="3"/>
  <c r="I533" i="3"/>
  <c r="H533" i="3" s="1"/>
  <c r="K533" i="3" s="1"/>
  <c r="C533" i="3"/>
  <c r="R532" i="3"/>
  <c r="I532" i="3"/>
  <c r="H532" i="3" s="1"/>
  <c r="K532" i="3" s="1"/>
  <c r="C532" i="3"/>
  <c r="R531" i="3"/>
  <c r="I531" i="3"/>
  <c r="H531" i="3" s="1"/>
  <c r="K531" i="3" s="1"/>
  <c r="C531" i="3"/>
  <c r="R530" i="3"/>
  <c r="I530" i="3"/>
  <c r="H530" i="3" s="1"/>
  <c r="K530" i="3" s="1"/>
  <c r="C530" i="3"/>
  <c r="R529" i="3"/>
  <c r="I529" i="3"/>
  <c r="H529" i="3" s="1"/>
  <c r="K529" i="3" s="1"/>
  <c r="C529" i="3"/>
  <c r="R528" i="3"/>
  <c r="I528" i="3"/>
  <c r="H528" i="3" s="1"/>
  <c r="K528" i="3" s="1"/>
  <c r="C528" i="3"/>
  <c r="R527" i="3"/>
  <c r="I527" i="3"/>
  <c r="H527" i="3" s="1"/>
  <c r="K527" i="3" s="1"/>
  <c r="C527" i="3"/>
  <c r="R526" i="3"/>
  <c r="I526" i="3"/>
  <c r="H526" i="3" s="1"/>
  <c r="K526" i="3" s="1"/>
  <c r="C526" i="3"/>
  <c r="R525" i="3"/>
  <c r="I525" i="3"/>
  <c r="H525" i="3" s="1"/>
  <c r="K525" i="3" s="1"/>
  <c r="C525" i="3"/>
  <c r="R524" i="3"/>
  <c r="I524" i="3"/>
  <c r="H524" i="3" s="1"/>
  <c r="K524" i="3" s="1"/>
  <c r="C524" i="3"/>
  <c r="R523" i="3"/>
  <c r="I523" i="3"/>
  <c r="H523" i="3" s="1"/>
  <c r="K523" i="3" s="1"/>
  <c r="C523" i="3"/>
  <c r="R522" i="3"/>
  <c r="I522" i="3"/>
  <c r="H522" i="3" s="1"/>
  <c r="K522" i="3" s="1"/>
  <c r="C522" i="3"/>
  <c r="R521" i="3"/>
  <c r="I521" i="3"/>
  <c r="H521" i="3" s="1"/>
  <c r="K521" i="3" s="1"/>
  <c r="C521" i="3"/>
  <c r="R520" i="3"/>
  <c r="I520" i="3"/>
  <c r="H520" i="3" s="1"/>
  <c r="K520" i="3" s="1"/>
  <c r="C520" i="3"/>
  <c r="R519" i="3"/>
  <c r="I519" i="3"/>
  <c r="H519" i="3" s="1"/>
  <c r="K519" i="3" s="1"/>
  <c r="C519" i="3"/>
  <c r="R518" i="3"/>
  <c r="I518" i="3"/>
  <c r="H518" i="3" s="1"/>
  <c r="K518" i="3" s="1"/>
  <c r="C518" i="3"/>
  <c r="R517" i="3"/>
  <c r="I517" i="3"/>
  <c r="H517" i="3" s="1"/>
  <c r="K517" i="3" s="1"/>
  <c r="C517" i="3"/>
  <c r="R516" i="3"/>
  <c r="I516" i="3"/>
  <c r="H516" i="3" s="1"/>
  <c r="K516" i="3" s="1"/>
  <c r="C516" i="3"/>
  <c r="R515" i="3"/>
  <c r="I515" i="3"/>
  <c r="H515" i="3" s="1"/>
  <c r="K515" i="3" s="1"/>
  <c r="C515" i="3"/>
  <c r="R514" i="3"/>
  <c r="I514" i="3"/>
  <c r="H514" i="3" s="1"/>
  <c r="K514" i="3" s="1"/>
  <c r="C514" i="3"/>
  <c r="R513" i="3"/>
  <c r="I513" i="3"/>
  <c r="H513" i="3" s="1"/>
  <c r="K513" i="3" s="1"/>
  <c r="C513" i="3"/>
  <c r="R512" i="3"/>
  <c r="I512" i="3"/>
  <c r="H512" i="3" s="1"/>
  <c r="K512" i="3" s="1"/>
  <c r="C512" i="3"/>
  <c r="R511" i="3"/>
  <c r="I511" i="3"/>
  <c r="H511" i="3" s="1"/>
  <c r="K511" i="3" s="1"/>
  <c r="C511" i="3"/>
  <c r="R510" i="3"/>
  <c r="I510" i="3"/>
  <c r="H510" i="3" s="1"/>
  <c r="K510" i="3" s="1"/>
  <c r="C510" i="3"/>
  <c r="R509" i="3"/>
  <c r="I509" i="3"/>
  <c r="H509" i="3" s="1"/>
  <c r="K509" i="3" s="1"/>
  <c r="C509" i="3"/>
  <c r="R508" i="3"/>
  <c r="I508" i="3"/>
  <c r="H508" i="3" s="1"/>
  <c r="K508" i="3" s="1"/>
  <c r="C508" i="3"/>
  <c r="R507" i="3"/>
  <c r="I507" i="3"/>
  <c r="H507" i="3" s="1"/>
  <c r="K507" i="3" s="1"/>
  <c r="C507" i="3"/>
  <c r="R506" i="3"/>
  <c r="I506" i="3"/>
  <c r="H506" i="3" s="1"/>
  <c r="K506" i="3" s="1"/>
  <c r="C506" i="3"/>
  <c r="R505" i="3"/>
  <c r="I505" i="3"/>
  <c r="H505" i="3" s="1"/>
  <c r="K505" i="3" s="1"/>
  <c r="C505" i="3"/>
  <c r="R504" i="3"/>
  <c r="I504" i="3"/>
  <c r="H504" i="3" s="1"/>
  <c r="K504" i="3" s="1"/>
  <c r="C504" i="3"/>
  <c r="R503" i="3"/>
  <c r="I503" i="3"/>
  <c r="H503" i="3" s="1"/>
  <c r="K503" i="3" s="1"/>
  <c r="C503" i="3"/>
  <c r="R502" i="3"/>
  <c r="I502" i="3"/>
  <c r="H502" i="3" s="1"/>
  <c r="K502" i="3" s="1"/>
  <c r="C502" i="3"/>
  <c r="R501" i="3"/>
  <c r="I501" i="3"/>
  <c r="H501" i="3" s="1"/>
  <c r="K501" i="3" s="1"/>
  <c r="C501" i="3"/>
  <c r="R500" i="3"/>
  <c r="I500" i="3"/>
  <c r="H500" i="3" s="1"/>
  <c r="K500" i="3" s="1"/>
  <c r="C500" i="3"/>
  <c r="R499" i="3"/>
  <c r="I499" i="3"/>
  <c r="H499" i="3" s="1"/>
  <c r="K499" i="3" s="1"/>
  <c r="C499" i="3"/>
  <c r="R498" i="3"/>
  <c r="I498" i="3"/>
  <c r="H498" i="3" s="1"/>
  <c r="K498" i="3" s="1"/>
  <c r="C498" i="3"/>
  <c r="R497" i="3"/>
  <c r="I497" i="3"/>
  <c r="H497" i="3" s="1"/>
  <c r="K497" i="3" s="1"/>
  <c r="C497" i="3"/>
  <c r="R496" i="3"/>
  <c r="I496" i="3"/>
  <c r="H496" i="3" s="1"/>
  <c r="K496" i="3" s="1"/>
  <c r="C496" i="3"/>
  <c r="R495" i="3"/>
  <c r="I495" i="3"/>
  <c r="H495" i="3" s="1"/>
  <c r="K495" i="3" s="1"/>
  <c r="C495" i="3"/>
  <c r="R494" i="3"/>
  <c r="I494" i="3"/>
  <c r="H494" i="3" s="1"/>
  <c r="K494" i="3" s="1"/>
  <c r="C494" i="3"/>
  <c r="R493" i="3"/>
  <c r="I493" i="3"/>
  <c r="H493" i="3" s="1"/>
  <c r="K493" i="3" s="1"/>
  <c r="C493" i="3"/>
  <c r="R492" i="3"/>
  <c r="I492" i="3"/>
  <c r="H492" i="3" s="1"/>
  <c r="K492" i="3" s="1"/>
  <c r="C492" i="3"/>
  <c r="R491" i="3"/>
  <c r="I491" i="3"/>
  <c r="H491" i="3" s="1"/>
  <c r="K491" i="3" s="1"/>
  <c r="C491" i="3"/>
  <c r="R490" i="3"/>
  <c r="I490" i="3"/>
  <c r="H490" i="3" s="1"/>
  <c r="K490" i="3" s="1"/>
  <c r="C490" i="3"/>
  <c r="R489" i="3"/>
  <c r="I489" i="3"/>
  <c r="H489" i="3" s="1"/>
  <c r="K489" i="3" s="1"/>
  <c r="C489" i="3"/>
  <c r="R488" i="3"/>
  <c r="I488" i="3"/>
  <c r="H488" i="3" s="1"/>
  <c r="K488" i="3" s="1"/>
  <c r="C488" i="3"/>
  <c r="R487" i="3"/>
  <c r="I487" i="3"/>
  <c r="H487" i="3" s="1"/>
  <c r="K487" i="3" s="1"/>
  <c r="C487" i="3"/>
  <c r="R486" i="3"/>
  <c r="I486" i="3"/>
  <c r="H486" i="3" s="1"/>
  <c r="K486" i="3" s="1"/>
  <c r="C486" i="3"/>
  <c r="R485" i="3"/>
  <c r="I485" i="3"/>
  <c r="H485" i="3" s="1"/>
  <c r="K485" i="3" s="1"/>
  <c r="C485" i="3"/>
  <c r="R484" i="3"/>
  <c r="I484" i="3"/>
  <c r="H484" i="3" s="1"/>
  <c r="K484" i="3" s="1"/>
  <c r="C484" i="3"/>
  <c r="R483" i="3"/>
  <c r="I483" i="3"/>
  <c r="H483" i="3" s="1"/>
  <c r="K483" i="3" s="1"/>
  <c r="C483" i="3"/>
  <c r="R482" i="3"/>
  <c r="I482" i="3"/>
  <c r="H482" i="3" s="1"/>
  <c r="K482" i="3" s="1"/>
  <c r="C482" i="3"/>
  <c r="R481" i="3"/>
  <c r="I481" i="3"/>
  <c r="H481" i="3" s="1"/>
  <c r="K481" i="3" s="1"/>
  <c r="C481" i="3"/>
  <c r="R480" i="3"/>
  <c r="I480" i="3"/>
  <c r="H480" i="3" s="1"/>
  <c r="K480" i="3" s="1"/>
  <c r="C480" i="3"/>
  <c r="R479" i="3"/>
  <c r="I479" i="3"/>
  <c r="H479" i="3" s="1"/>
  <c r="K479" i="3" s="1"/>
  <c r="C479" i="3"/>
  <c r="R478" i="3"/>
  <c r="I478" i="3"/>
  <c r="H478" i="3" s="1"/>
  <c r="K478" i="3" s="1"/>
  <c r="C478" i="3"/>
  <c r="R477" i="3"/>
  <c r="I477" i="3"/>
  <c r="H477" i="3" s="1"/>
  <c r="K477" i="3" s="1"/>
  <c r="C477" i="3"/>
  <c r="R476" i="3"/>
  <c r="I476" i="3"/>
  <c r="H476" i="3" s="1"/>
  <c r="K476" i="3" s="1"/>
  <c r="C476" i="3"/>
  <c r="R475" i="3"/>
  <c r="I475" i="3"/>
  <c r="H475" i="3" s="1"/>
  <c r="K475" i="3" s="1"/>
  <c r="C475" i="3"/>
  <c r="R474" i="3"/>
  <c r="I474" i="3"/>
  <c r="H474" i="3" s="1"/>
  <c r="K474" i="3" s="1"/>
  <c r="C474" i="3"/>
  <c r="R473" i="3"/>
  <c r="I473" i="3"/>
  <c r="H473" i="3" s="1"/>
  <c r="K473" i="3" s="1"/>
  <c r="C473" i="3"/>
  <c r="R472" i="3"/>
  <c r="I472" i="3"/>
  <c r="H472" i="3" s="1"/>
  <c r="K472" i="3" s="1"/>
  <c r="C472" i="3"/>
  <c r="R471" i="3"/>
  <c r="I471" i="3"/>
  <c r="H471" i="3" s="1"/>
  <c r="K471" i="3" s="1"/>
  <c r="C471" i="3"/>
  <c r="R470" i="3"/>
  <c r="I470" i="3"/>
  <c r="H470" i="3" s="1"/>
  <c r="K470" i="3" s="1"/>
  <c r="C470" i="3"/>
  <c r="R469" i="3"/>
  <c r="I469" i="3"/>
  <c r="H469" i="3" s="1"/>
  <c r="K469" i="3" s="1"/>
  <c r="C469" i="3"/>
  <c r="R468" i="3"/>
  <c r="I468" i="3"/>
  <c r="H468" i="3" s="1"/>
  <c r="K468" i="3" s="1"/>
  <c r="C468" i="3"/>
  <c r="R467" i="3"/>
  <c r="I467" i="3"/>
  <c r="H467" i="3" s="1"/>
  <c r="K467" i="3" s="1"/>
  <c r="C467" i="3"/>
  <c r="R466" i="3"/>
  <c r="I466" i="3"/>
  <c r="H466" i="3" s="1"/>
  <c r="K466" i="3" s="1"/>
  <c r="C466" i="3"/>
  <c r="R465" i="3"/>
  <c r="I465" i="3"/>
  <c r="H465" i="3" s="1"/>
  <c r="K465" i="3" s="1"/>
  <c r="C465" i="3"/>
  <c r="R464" i="3"/>
  <c r="I464" i="3"/>
  <c r="H464" i="3" s="1"/>
  <c r="K464" i="3" s="1"/>
  <c r="C464" i="3"/>
  <c r="R463" i="3"/>
  <c r="I463" i="3"/>
  <c r="H463" i="3" s="1"/>
  <c r="K463" i="3" s="1"/>
  <c r="C463" i="3"/>
  <c r="R462" i="3"/>
  <c r="I462" i="3"/>
  <c r="H462" i="3" s="1"/>
  <c r="K462" i="3" s="1"/>
  <c r="C462" i="3"/>
  <c r="R461" i="3"/>
  <c r="I461" i="3"/>
  <c r="H461" i="3" s="1"/>
  <c r="K461" i="3" s="1"/>
  <c r="C461" i="3"/>
  <c r="R460" i="3"/>
  <c r="I460" i="3"/>
  <c r="H460" i="3" s="1"/>
  <c r="K460" i="3" s="1"/>
  <c r="C460" i="3"/>
  <c r="R459" i="3"/>
  <c r="I459" i="3"/>
  <c r="H459" i="3" s="1"/>
  <c r="K459" i="3" s="1"/>
  <c r="C459" i="3"/>
  <c r="R458" i="3"/>
  <c r="I458" i="3"/>
  <c r="H458" i="3" s="1"/>
  <c r="K458" i="3" s="1"/>
  <c r="C458" i="3"/>
  <c r="R457" i="3"/>
  <c r="I457" i="3"/>
  <c r="H457" i="3" s="1"/>
  <c r="K457" i="3" s="1"/>
  <c r="C457" i="3"/>
  <c r="R456" i="3"/>
  <c r="I456" i="3"/>
  <c r="H456" i="3" s="1"/>
  <c r="K456" i="3" s="1"/>
  <c r="C456" i="3"/>
  <c r="R455" i="3"/>
  <c r="I455" i="3"/>
  <c r="H455" i="3" s="1"/>
  <c r="K455" i="3" s="1"/>
  <c r="C455" i="3"/>
  <c r="R454" i="3"/>
  <c r="I454" i="3"/>
  <c r="H454" i="3" s="1"/>
  <c r="K454" i="3" s="1"/>
  <c r="C454" i="3"/>
  <c r="R453" i="3"/>
  <c r="I453" i="3"/>
  <c r="H453" i="3" s="1"/>
  <c r="K453" i="3" s="1"/>
  <c r="C453" i="3"/>
  <c r="R452" i="3"/>
  <c r="I452" i="3"/>
  <c r="H452" i="3" s="1"/>
  <c r="K452" i="3" s="1"/>
  <c r="C452" i="3"/>
  <c r="R451" i="3"/>
  <c r="I451" i="3"/>
  <c r="H451" i="3" s="1"/>
  <c r="K451" i="3" s="1"/>
  <c r="C451" i="3"/>
  <c r="R450" i="3"/>
  <c r="I450" i="3"/>
  <c r="H450" i="3" s="1"/>
  <c r="K450" i="3" s="1"/>
  <c r="C450" i="3"/>
  <c r="R449" i="3"/>
  <c r="I449" i="3"/>
  <c r="H449" i="3" s="1"/>
  <c r="K449" i="3" s="1"/>
  <c r="C449" i="3"/>
  <c r="R448" i="3"/>
  <c r="I448" i="3"/>
  <c r="H448" i="3" s="1"/>
  <c r="K448" i="3" s="1"/>
  <c r="C448" i="3"/>
  <c r="R447" i="3"/>
  <c r="I447" i="3"/>
  <c r="H447" i="3" s="1"/>
  <c r="K447" i="3" s="1"/>
  <c r="C447" i="3"/>
  <c r="R446" i="3"/>
  <c r="I446" i="3"/>
  <c r="H446" i="3" s="1"/>
  <c r="K446" i="3" s="1"/>
  <c r="C446" i="3"/>
  <c r="R445" i="3"/>
  <c r="I445" i="3"/>
  <c r="H445" i="3" s="1"/>
  <c r="K445" i="3" s="1"/>
  <c r="C445" i="3"/>
  <c r="R444" i="3"/>
  <c r="I444" i="3"/>
  <c r="H444" i="3" s="1"/>
  <c r="K444" i="3" s="1"/>
  <c r="C444" i="3"/>
  <c r="R443" i="3"/>
  <c r="I443" i="3"/>
  <c r="H443" i="3" s="1"/>
  <c r="K443" i="3" s="1"/>
  <c r="C443" i="3"/>
  <c r="R442" i="3"/>
  <c r="I442" i="3"/>
  <c r="H442" i="3" s="1"/>
  <c r="K442" i="3" s="1"/>
  <c r="C442" i="3"/>
  <c r="R441" i="3"/>
  <c r="I441" i="3"/>
  <c r="H441" i="3" s="1"/>
  <c r="K441" i="3" s="1"/>
  <c r="C441" i="3"/>
  <c r="R440" i="3"/>
  <c r="I440" i="3"/>
  <c r="H440" i="3" s="1"/>
  <c r="K440" i="3" s="1"/>
  <c r="C440" i="3"/>
  <c r="R439" i="3"/>
  <c r="I439" i="3"/>
  <c r="H439" i="3" s="1"/>
  <c r="K439" i="3" s="1"/>
  <c r="C439" i="3"/>
  <c r="R438" i="3"/>
  <c r="I438" i="3"/>
  <c r="H438" i="3" s="1"/>
  <c r="K438" i="3" s="1"/>
  <c r="C438" i="3"/>
  <c r="R437" i="3"/>
  <c r="I437" i="3"/>
  <c r="H437" i="3" s="1"/>
  <c r="K437" i="3" s="1"/>
  <c r="C437" i="3"/>
  <c r="R436" i="3"/>
  <c r="I436" i="3"/>
  <c r="H436" i="3" s="1"/>
  <c r="K436" i="3" s="1"/>
  <c r="C436" i="3"/>
  <c r="R435" i="3"/>
  <c r="I435" i="3"/>
  <c r="H435" i="3" s="1"/>
  <c r="K435" i="3" s="1"/>
  <c r="C435" i="3"/>
  <c r="R434" i="3"/>
  <c r="I434" i="3"/>
  <c r="H434" i="3" s="1"/>
  <c r="K434" i="3" s="1"/>
  <c r="C434" i="3"/>
  <c r="R433" i="3"/>
  <c r="I433" i="3"/>
  <c r="H433" i="3" s="1"/>
  <c r="K433" i="3" s="1"/>
  <c r="C433" i="3"/>
  <c r="R432" i="3"/>
  <c r="I432" i="3"/>
  <c r="H432" i="3" s="1"/>
  <c r="K432" i="3" s="1"/>
  <c r="C432" i="3"/>
  <c r="R431" i="3"/>
  <c r="I431" i="3"/>
  <c r="H431" i="3" s="1"/>
  <c r="K431" i="3" s="1"/>
  <c r="C431" i="3"/>
  <c r="R430" i="3"/>
  <c r="I430" i="3"/>
  <c r="H430" i="3" s="1"/>
  <c r="K430" i="3" s="1"/>
  <c r="C430" i="3"/>
  <c r="R429" i="3"/>
  <c r="I429" i="3"/>
  <c r="H429" i="3" s="1"/>
  <c r="K429" i="3" s="1"/>
  <c r="C429" i="3"/>
  <c r="R428" i="3"/>
  <c r="I428" i="3"/>
  <c r="H428" i="3" s="1"/>
  <c r="K428" i="3" s="1"/>
  <c r="C428" i="3"/>
  <c r="R427" i="3"/>
  <c r="I427" i="3"/>
  <c r="H427" i="3" s="1"/>
  <c r="K427" i="3" s="1"/>
  <c r="C427" i="3"/>
  <c r="R426" i="3"/>
  <c r="I426" i="3"/>
  <c r="H426" i="3" s="1"/>
  <c r="K426" i="3" s="1"/>
  <c r="C426" i="3"/>
  <c r="R425" i="3"/>
  <c r="I425" i="3"/>
  <c r="H425" i="3" s="1"/>
  <c r="K425" i="3" s="1"/>
  <c r="C425" i="3"/>
  <c r="R424" i="3"/>
  <c r="I424" i="3"/>
  <c r="H424" i="3" s="1"/>
  <c r="K424" i="3" s="1"/>
  <c r="C424" i="3"/>
  <c r="R423" i="3"/>
  <c r="I423" i="3"/>
  <c r="H423" i="3" s="1"/>
  <c r="K423" i="3" s="1"/>
  <c r="C423" i="3"/>
  <c r="R422" i="3"/>
  <c r="I422" i="3"/>
  <c r="H422" i="3" s="1"/>
  <c r="K422" i="3" s="1"/>
  <c r="C422" i="3"/>
  <c r="R421" i="3"/>
  <c r="I421" i="3"/>
  <c r="H421" i="3" s="1"/>
  <c r="K421" i="3" s="1"/>
  <c r="C421" i="3"/>
  <c r="R420" i="3"/>
  <c r="I420" i="3"/>
  <c r="H420" i="3" s="1"/>
  <c r="K420" i="3" s="1"/>
  <c r="C420" i="3"/>
  <c r="R419" i="3"/>
  <c r="I419" i="3"/>
  <c r="H419" i="3" s="1"/>
  <c r="K419" i="3" s="1"/>
  <c r="C419" i="3"/>
  <c r="R418" i="3"/>
  <c r="I418" i="3"/>
  <c r="H418" i="3" s="1"/>
  <c r="K418" i="3" s="1"/>
  <c r="C418" i="3"/>
  <c r="R417" i="3"/>
  <c r="I417" i="3"/>
  <c r="H417" i="3" s="1"/>
  <c r="K417" i="3" s="1"/>
  <c r="C417" i="3"/>
  <c r="R416" i="3"/>
  <c r="I416" i="3"/>
  <c r="H416" i="3" s="1"/>
  <c r="K416" i="3" s="1"/>
  <c r="C416" i="3"/>
  <c r="R415" i="3"/>
  <c r="I415" i="3"/>
  <c r="H415" i="3" s="1"/>
  <c r="K415" i="3" s="1"/>
  <c r="C415" i="3"/>
  <c r="R414" i="3"/>
  <c r="I414" i="3"/>
  <c r="H414" i="3" s="1"/>
  <c r="K414" i="3" s="1"/>
  <c r="C414" i="3"/>
  <c r="R413" i="3"/>
  <c r="I413" i="3"/>
  <c r="H413" i="3" s="1"/>
  <c r="K413" i="3" s="1"/>
  <c r="C413" i="3"/>
  <c r="R412" i="3"/>
  <c r="I412" i="3"/>
  <c r="H412" i="3" s="1"/>
  <c r="K412" i="3" s="1"/>
  <c r="C412" i="3"/>
  <c r="R411" i="3"/>
  <c r="I411" i="3"/>
  <c r="H411" i="3" s="1"/>
  <c r="K411" i="3" s="1"/>
  <c r="C411" i="3"/>
  <c r="R400" i="3"/>
  <c r="I400" i="3"/>
  <c r="H400" i="3" s="1"/>
  <c r="K400" i="3" s="1"/>
  <c r="C400" i="3"/>
  <c r="R399" i="3"/>
  <c r="I399" i="3"/>
  <c r="H399" i="3" s="1"/>
  <c r="K399" i="3" s="1"/>
  <c r="C399" i="3"/>
  <c r="R398" i="3"/>
  <c r="I398" i="3"/>
  <c r="H398" i="3" s="1"/>
  <c r="K398" i="3" s="1"/>
  <c r="C398" i="3"/>
  <c r="R397" i="3"/>
  <c r="I397" i="3"/>
  <c r="H397" i="3" s="1"/>
  <c r="K397" i="3" s="1"/>
  <c r="C397" i="3"/>
  <c r="R396" i="3"/>
  <c r="I396" i="3"/>
  <c r="H396" i="3" s="1"/>
  <c r="K396" i="3" s="1"/>
  <c r="C396" i="3"/>
  <c r="R395" i="3"/>
  <c r="I395" i="3"/>
  <c r="H395" i="3" s="1"/>
  <c r="K395" i="3" s="1"/>
  <c r="C395" i="3"/>
  <c r="R394" i="3"/>
  <c r="I394" i="3"/>
  <c r="H394" i="3" s="1"/>
  <c r="K394" i="3" s="1"/>
  <c r="C394" i="3"/>
  <c r="R393" i="3"/>
  <c r="I393" i="3"/>
  <c r="H393" i="3" s="1"/>
  <c r="K393" i="3" s="1"/>
  <c r="C393" i="3"/>
  <c r="R392" i="3"/>
  <c r="I392" i="3"/>
  <c r="H392" i="3" s="1"/>
  <c r="K392" i="3" s="1"/>
  <c r="C392" i="3"/>
  <c r="R391" i="3"/>
  <c r="I391" i="3"/>
  <c r="H391" i="3" s="1"/>
  <c r="K391" i="3" s="1"/>
  <c r="C391" i="3"/>
  <c r="R390" i="3"/>
  <c r="I390" i="3"/>
  <c r="H390" i="3" s="1"/>
  <c r="K390" i="3" s="1"/>
  <c r="C390" i="3"/>
  <c r="R389" i="3"/>
  <c r="I389" i="3"/>
  <c r="H389" i="3" s="1"/>
  <c r="K389" i="3" s="1"/>
  <c r="C389" i="3"/>
  <c r="R388" i="3"/>
  <c r="I388" i="3"/>
  <c r="H388" i="3" s="1"/>
  <c r="K388" i="3" s="1"/>
  <c r="C388" i="3"/>
  <c r="R387" i="3"/>
  <c r="I387" i="3"/>
  <c r="H387" i="3" s="1"/>
  <c r="K387" i="3" s="1"/>
  <c r="C387" i="3"/>
  <c r="R386" i="3"/>
  <c r="I386" i="3"/>
  <c r="H386" i="3" s="1"/>
  <c r="K386" i="3" s="1"/>
  <c r="C386" i="3"/>
  <c r="R385" i="3"/>
  <c r="I385" i="3"/>
  <c r="H385" i="3" s="1"/>
  <c r="K385" i="3" s="1"/>
  <c r="C385" i="3"/>
  <c r="R384" i="3"/>
  <c r="I384" i="3"/>
  <c r="H384" i="3" s="1"/>
  <c r="K384" i="3" s="1"/>
  <c r="C384" i="3"/>
  <c r="R383" i="3"/>
  <c r="I383" i="3"/>
  <c r="H383" i="3" s="1"/>
  <c r="K383" i="3" s="1"/>
  <c r="C383" i="3"/>
  <c r="R382" i="3"/>
  <c r="I382" i="3"/>
  <c r="H382" i="3" s="1"/>
  <c r="K382" i="3" s="1"/>
  <c r="C382" i="3"/>
  <c r="R381" i="3"/>
  <c r="I381" i="3"/>
  <c r="H381" i="3" s="1"/>
  <c r="K381" i="3" s="1"/>
  <c r="C381" i="3"/>
  <c r="R380" i="3"/>
  <c r="I380" i="3"/>
  <c r="H380" i="3" s="1"/>
  <c r="K380" i="3" s="1"/>
  <c r="C380" i="3"/>
  <c r="R379" i="3"/>
  <c r="I379" i="3"/>
  <c r="H379" i="3" s="1"/>
  <c r="K379" i="3" s="1"/>
  <c r="C379" i="3"/>
  <c r="R378" i="3"/>
  <c r="I378" i="3"/>
  <c r="H378" i="3" s="1"/>
  <c r="K378" i="3" s="1"/>
  <c r="C378" i="3"/>
  <c r="R377" i="3"/>
  <c r="I377" i="3"/>
  <c r="H377" i="3" s="1"/>
  <c r="K377" i="3" s="1"/>
  <c r="C377" i="3"/>
  <c r="R376" i="3"/>
  <c r="I376" i="3"/>
  <c r="H376" i="3" s="1"/>
  <c r="K376" i="3" s="1"/>
  <c r="C376" i="3"/>
  <c r="R375" i="3"/>
  <c r="I375" i="3"/>
  <c r="H375" i="3" s="1"/>
  <c r="K375" i="3" s="1"/>
  <c r="C375" i="3"/>
  <c r="R374" i="3"/>
  <c r="I374" i="3"/>
  <c r="H374" i="3" s="1"/>
  <c r="K374" i="3" s="1"/>
  <c r="C374" i="3"/>
  <c r="R373" i="3"/>
  <c r="I373" i="3"/>
  <c r="H373" i="3" s="1"/>
  <c r="K373" i="3" s="1"/>
  <c r="C373" i="3"/>
  <c r="R372" i="3"/>
  <c r="I372" i="3"/>
  <c r="H372" i="3" s="1"/>
  <c r="K372" i="3" s="1"/>
  <c r="C372" i="3"/>
  <c r="R371" i="3"/>
  <c r="I371" i="3"/>
  <c r="H371" i="3" s="1"/>
  <c r="K371" i="3" s="1"/>
  <c r="C371" i="3"/>
  <c r="R370" i="3"/>
  <c r="I370" i="3"/>
  <c r="H370" i="3" s="1"/>
  <c r="K370" i="3" s="1"/>
  <c r="C370" i="3"/>
  <c r="R369" i="3"/>
  <c r="I369" i="3"/>
  <c r="H369" i="3" s="1"/>
  <c r="K369" i="3" s="1"/>
  <c r="C369" i="3"/>
  <c r="R368" i="3"/>
  <c r="I368" i="3"/>
  <c r="H368" i="3" s="1"/>
  <c r="K368" i="3" s="1"/>
  <c r="C368" i="3"/>
  <c r="R367" i="3"/>
  <c r="I367" i="3"/>
  <c r="H367" i="3" s="1"/>
  <c r="K367" i="3" s="1"/>
  <c r="C367" i="3"/>
  <c r="R366" i="3"/>
  <c r="I366" i="3"/>
  <c r="H366" i="3" s="1"/>
  <c r="K366" i="3" s="1"/>
  <c r="C366" i="3"/>
  <c r="R365" i="3"/>
  <c r="I365" i="3"/>
  <c r="H365" i="3" s="1"/>
  <c r="K365" i="3" s="1"/>
  <c r="C365" i="3"/>
  <c r="R364" i="3"/>
  <c r="I364" i="3"/>
  <c r="H364" i="3" s="1"/>
  <c r="K364" i="3" s="1"/>
  <c r="C364" i="3"/>
  <c r="R363" i="3"/>
  <c r="I363" i="3"/>
  <c r="H363" i="3" s="1"/>
  <c r="K363" i="3" s="1"/>
  <c r="C363" i="3"/>
  <c r="R362" i="3"/>
  <c r="I362" i="3"/>
  <c r="H362" i="3" s="1"/>
  <c r="K362" i="3" s="1"/>
  <c r="C362" i="3"/>
  <c r="R361" i="3"/>
  <c r="I361" i="3"/>
  <c r="H361" i="3" s="1"/>
  <c r="K361" i="3" s="1"/>
  <c r="C361" i="3"/>
  <c r="R360" i="3"/>
  <c r="I360" i="3"/>
  <c r="H360" i="3" s="1"/>
  <c r="K360" i="3" s="1"/>
  <c r="C360" i="3"/>
  <c r="R359" i="3"/>
  <c r="I359" i="3"/>
  <c r="H359" i="3" s="1"/>
  <c r="K359" i="3" s="1"/>
  <c r="C359" i="3"/>
  <c r="R358" i="3"/>
  <c r="I358" i="3"/>
  <c r="H358" i="3" s="1"/>
  <c r="K358" i="3" s="1"/>
  <c r="C358" i="3"/>
  <c r="R357" i="3"/>
  <c r="I357" i="3"/>
  <c r="H357" i="3" s="1"/>
  <c r="K357" i="3" s="1"/>
  <c r="C357" i="3"/>
  <c r="R356" i="3"/>
  <c r="I356" i="3"/>
  <c r="H356" i="3" s="1"/>
  <c r="K356" i="3" s="1"/>
  <c r="C356" i="3"/>
  <c r="R355" i="3"/>
  <c r="I355" i="3"/>
  <c r="H355" i="3" s="1"/>
  <c r="K355" i="3" s="1"/>
  <c r="C355" i="3"/>
  <c r="R354" i="3"/>
  <c r="I354" i="3"/>
  <c r="H354" i="3" s="1"/>
  <c r="K354" i="3" s="1"/>
  <c r="C354" i="3"/>
  <c r="R353" i="3"/>
  <c r="I353" i="3"/>
  <c r="H353" i="3" s="1"/>
  <c r="K353" i="3" s="1"/>
  <c r="C353" i="3"/>
  <c r="R352" i="3"/>
  <c r="I352" i="3"/>
  <c r="H352" i="3" s="1"/>
  <c r="K352" i="3" s="1"/>
  <c r="C352" i="3"/>
  <c r="R351" i="3"/>
  <c r="I351" i="3"/>
  <c r="H351" i="3" s="1"/>
  <c r="K351" i="3" s="1"/>
  <c r="C351" i="3"/>
  <c r="R350" i="3"/>
  <c r="I350" i="3"/>
  <c r="H350" i="3" s="1"/>
  <c r="K350" i="3" s="1"/>
  <c r="C350" i="3"/>
  <c r="R349" i="3"/>
  <c r="I349" i="3"/>
  <c r="H349" i="3" s="1"/>
  <c r="K349" i="3" s="1"/>
  <c r="C349" i="3"/>
  <c r="R348" i="3"/>
  <c r="I348" i="3"/>
  <c r="H348" i="3" s="1"/>
  <c r="K348" i="3" s="1"/>
  <c r="C348" i="3"/>
  <c r="R347" i="3"/>
  <c r="I347" i="3"/>
  <c r="H347" i="3" s="1"/>
  <c r="K347" i="3" s="1"/>
  <c r="C347" i="3"/>
  <c r="R346" i="3"/>
  <c r="I346" i="3"/>
  <c r="H346" i="3" s="1"/>
  <c r="K346" i="3" s="1"/>
  <c r="C346" i="3"/>
  <c r="R345" i="3"/>
  <c r="I345" i="3"/>
  <c r="H345" i="3" s="1"/>
  <c r="K345" i="3" s="1"/>
  <c r="C345" i="3"/>
  <c r="R344" i="3"/>
  <c r="I344" i="3"/>
  <c r="H344" i="3" s="1"/>
  <c r="K344" i="3" s="1"/>
  <c r="C344" i="3"/>
  <c r="R343" i="3"/>
  <c r="I343" i="3"/>
  <c r="H343" i="3" s="1"/>
  <c r="K343" i="3" s="1"/>
  <c r="C343" i="3"/>
  <c r="R342" i="3"/>
  <c r="I342" i="3"/>
  <c r="H342" i="3" s="1"/>
  <c r="K342" i="3" s="1"/>
  <c r="C342" i="3"/>
  <c r="R341" i="3"/>
  <c r="I341" i="3"/>
  <c r="H341" i="3" s="1"/>
  <c r="K341" i="3" s="1"/>
  <c r="C341" i="3"/>
  <c r="R340" i="3"/>
  <c r="I340" i="3"/>
  <c r="H340" i="3" s="1"/>
  <c r="K340" i="3" s="1"/>
  <c r="C340" i="3"/>
  <c r="R339" i="3"/>
  <c r="I339" i="3"/>
  <c r="H339" i="3" s="1"/>
  <c r="K339" i="3" s="1"/>
  <c r="C339" i="3"/>
  <c r="R338" i="3"/>
  <c r="I338" i="3"/>
  <c r="H338" i="3" s="1"/>
  <c r="K338" i="3" s="1"/>
  <c r="C338" i="3"/>
  <c r="R337" i="3"/>
  <c r="I337" i="3"/>
  <c r="H337" i="3" s="1"/>
  <c r="K337" i="3" s="1"/>
  <c r="C337" i="3"/>
  <c r="R336" i="3"/>
  <c r="I336" i="3"/>
  <c r="H336" i="3" s="1"/>
  <c r="K336" i="3" s="1"/>
  <c r="C336" i="3"/>
  <c r="R335" i="3"/>
  <c r="I335" i="3"/>
  <c r="H335" i="3" s="1"/>
  <c r="K335" i="3" s="1"/>
  <c r="C335" i="3"/>
  <c r="R334" i="3"/>
  <c r="I334" i="3"/>
  <c r="H334" i="3" s="1"/>
  <c r="K334" i="3" s="1"/>
  <c r="C334" i="3"/>
  <c r="R333" i="3"/>
  <c r="I333" i="3"/>
  <c r="H333" i="3" s="1"/>
  <c r="K333" i="3" s="1"/>
  <c r="C333" i="3"/>
  <c r="R332" i="3"/>
  <c r="I332" i="3"/>
  <c r="H332" i="3" s="1"/>
  <c r="K332" i="3" s="1"/>
  <c r="C332" i="3"/>
  <c r="R331" i="3"/>
  <c r="I331" i="3"/>
  <c r="H331" i="3" s="1"/>
  <c r="K331" i="3" s="1"/>
  <c r="C331" i="3"/>
  <c r="R330" i="3"/>
  <c r="I330" i="3"/>
  <c r="H330" i="3" s="1"/>
  <c r="K330" i="3" s="1"/>
  <c r="C330" i="3"/>
  <c r="R329" i="3"/>
  <c r="I329" i="3"/>
  <c r="H329" i="3" s="1"/>
  <c r="K329" i="3" s="1"/>
  <c r="C329" i="3"/>
  <c r="R328" i="3"/>
  <c r="I328" i="3"/>
  <c r="H328" i="3" s="1"/>
  <c r="K328" i="3" s="1"/>
  <c r="C328" i="3"/>
  <c r="R327" i="3"/>
  <c r="I327" i="3"/>
  <c r="H327" i="3" s="1"/>
  <c r="K327" i="3" s="1"/>
  <c r="C327" i="3"/>
  <c r="R326" i="3"/>
  <c r="I326" i="3"/>
  <c r="H326" i="3" s="1"/>
  <c r="K326" i="3" s="1"/>
  <c r="C326" i="3"/>
  <c r="R325" i="3"/>
  <c r="I325" i="3"/>
  <c r="H325" i="3" s="1"/>
  <c r="K325" i="3" s="1"/>
  <c r="C325" i="3"/>
  <c r="R324" i="3"/>
  <c r="I324" i="3"/>
  <c r="H324" i="3" s="1"/>
  <c r="K324" i="3" s="1"/>
  <c r="C324" i="3"/>
  <c r="R323" i="3"/>
  <c r="I323" i="3"/>
  <c r="H323" i="3" s="1"/>
  <c r="K323" i="3" s="1"/>
  <c r="C323" i="3"/>
  <c r="R322" i="3"/>
  <c r="I322" i="3"/>
  <c r="H322" i="3" s="1"/>
  <c r="K322" i="3" s="1"/>
  <c r="C322" i="3"/>
  <c r="R321" i="3"/>
  <c r="I321" i="3"/>
  <c r="H321" i="3" s="1"/>
  <c r="K321" i="3" s="1"/>
  <c r="C321" i="3"/>
  <c r="R320" i="3"/>
  <c r="I320" i="3"/>
  <c r="H320" i="3" s="1"/>
  <c r="K320" i="3" s="1"/>
  <c r="C320" i="3"/>
  <c r="R319" i="3"/>
  <c r="I319" i="3"/>
  <c r="H319" i="3" s="1"/>
  <c r="K319" i="3" s="1"/>
  <c r="C319" i="3"/>
  <c r="R318" i="3"/>
  <c r="I318" i="3"/>
  <c r="H318" i="3" s="1"/>
  <c r="K318" i="3" s="1"/>
  <c r="C318" i="3"/>
  <c r="R317" i="3"/>
  <c r="I317" i="3"/>
  <c r="H317" i="3" s="1"/>
  <c r="K317" i="3" s="1"/>
  <c r="C317" i="3"/>
  <c r="R316" i="3"/>
  <c r="I316" i="3"/>
  <c r="H316" i="3" s="1"/>
  <c r="K316" i="3" s="1"/>
  <c r="C316" i="3"/>
  <c r="R315" i="3"/>
  <c r="I315" i="3"/>
  <c r="H315" i="3" s="1"/>
  <c r="K315" i="3" s="1"/>
  <c r="C315" i="3"/>
  <c r="R314" i="3"/>
  <c r="I314" i="3"/>
  <c r="H314" i="3" s="1"/>
  <c r="K314" i="3" s="1"/>
  <c r="C314" i="3"/>
  <c r="R313" i="3"/>
  <c r="I313" i="3"/>
  <c r="H313" i="3" s="1"/>
  <c r="K313" i="3" s="1"/>
  <c r="C313" i="3"/>
  <c r="R312" i="3"/>
  <c r="I312" i="3"/>
  <c r="H312" i="3" s="1"/>
  <c r="K312" i="3" s="1"/>
  <c r="C312" i="3"/>
  <c r="R311" i="3"/>
  <c r="I311" i="3"/>
  <c r="H311" i="3" s="1"/>
  <c r="K311" i="3" s="1"/>
  <c r="C311" i="3"/>
  <c r="R310" i="3"/>
  <c r="I310" i="3"/>
  <c r="H310" i="3" s="1"/>
  <c r="K310" i="3" s="1"/>
  <c r="C310" i="3"/>
  <c r="R309" i="3"/>
  <c r="I309" i="3"/>
  <c r="H309" i="3" s="1"/>
  <c r="K309" i="3" s="1"/>
  <c r="C309" i="3"/>
  <c r="R308" i="3"/>
  <c r="I308" i="3"/>
  <c r="H308" i="3" s="1"/>
  <c r="K308" i="3" s="1"/>
  <c r="C308" i="3"/>
  <c r="R307" i="3"/>
  <c r="I307" i="3"/>
  <c r="H307" i="3" s="1"/>
  <c r="K307" i="3" s="1"/>
  <c r="C307" i="3"/>
  <c r="R306" i="3"/>
  <c r="I306" i="3"/>
  <c r="H306" i="3" s="1"/>
  <c r="K306" i="3" s="1"/>
  <c r="C306" i="3"/>
  <c r="R305" i="3"/>
  <c r="I305" i="3"/>
  <c r="H305" i="3" s="1"/>
  <c r="K305" i="3" s="1"/>
  <c r="C305" i="3"/>
  <c r="R304" i="3"/>
  <c r="I304" i="3"/>
  <c r="H304" i="3" s="1"/>
  <c r="K304" i="3" s="1"/>
  <c r="C304" i="3"/>
  <c r="R303" i="3"/>
  <c r="I303" i="3"/>
  <c r="H303" i="3" s="1"/>
  <c r="K303" i="3" s="1"/>
  <c r="C303" i="3"/>
  <c r="R302" i="3"/>
  <c r="I302" i="3"/>
  <c r="H302" i="3" s="1"/>
  <c r="K302" i="3" s="1"/>
  <c r="C302" i="3"/>
  <c r="R301" i="3"/>
  <c r="I301" i="3"/>
  <c r="H301" i="3" s="1"/>
  <c r="K301" i="3" s="1"/>
  <c r="C301" i="3"/>
  <c r="R300" i="3"/>
  <c r="I300" i="3"/>
  <c r="H300" i="3" s="1"/>
  <c r="K300" i="3" s="1"/>
  <c r="C300" i="3"/>
  <c r="R299" i="3"/>
  <c r="I299" i="3"/>
  <c r="H299" i="3" s="1"/>
  <c r="K299" i="3" s="1"/>
  <c r="C299" i="3"/>
  <c r="R298" i="3"/>
  <c r="I298" i="3"/>
  <c r="H298" i="3" s="1"/>
  <c r="K298" i="3" s="1"/>
  <c r="C298" i="3"/>
  <c r="R297" i="3"/>
  <c r="I297" i="3"/>
  <c r="H297" i="3" s="1"/>
  <c r="K297" i="3" s="1"/>
  <c r="C297" i="3"/>
  <c r="R296" i="3"/>
  <c r="I296" i="3"/>
  <c r="H296" i="3" s="1"/>
  <c r="K296" i="3" s="1"/>
  <c r="C296" i="3"/>
  <c r="R295" i="3"/>
  <c r="I295" i="3"/>
  <c r="H295" i="3" s="1"/>
  <c r="K295" i="3" s="1"/>
  <c r="C295" i="3"/>
  <c r="R294" i="3"/>
  <c r="I294" i="3"/>
  <c r="H294" i="3" s="1"/>
  <c r="K294" i="3" s="1"/>
  <c r="C294" i="3"/>
  <c r="R293" i="3"/>
  <c r="I293" i="3"/>
  <c r="H293" i="3" s="1"/>
  <c r="K293" i="3" s="1"/>
  <c r="C293" i="3"/>
  <c r="R292" i="3"/>
  <c r="I292" i="3"/>
  <c r="H292" i="3" s="1"/>
  <c r="K292" i="3" s="1"/>
  <c r="C292" i="3"/>
  <c r="R291" i="3"/>
  <c r="I291" i="3"/>
  <c r="H291" i="3" s="1"/>
  <c r="K291" i="3" s="1"/>
  <c r="C291" i="3"/>
  <c r="R290" i="3"/>
  <c r="I290" i="3"/>
  <c r="H290" i="3" s="1"/>
  <c r="K290" i="3" s="1"/>
  <c r="C290" i="3"/>
  <c r="R289" i="3"/>
  <c r="I289" i="3"/>
  <c r="H289" i="3" s="1"/>
  <c r="K289" i="3" s="1"/>
  <c r="C289" i="3"/>
  <c r="R288" i="3"/>
  <c r="I288" i="3"/>
  <c r="H288" i="3" s="1"/>
  <c r="K288" i="3" s="1"/>
  <c r="C288" i="3"/>
  <c r="R287" i="3"/>
  <c r="I287" i="3"/>
  <c r="H287" i="3" s="1"/>
  <c r="K287" i="3" s="1"/>
  <c r="C287" i="3"/>
  <c r="R286" i="3"/>
  <c r="I286" i="3"/>
  <c r="H286" i="3" s="1"/>
  <c r="K286" i="3" s="1"/>
  <c r="C286" i="3"/>
  <c r="R285" i="3"/>
  <c r="I285" i="3"/>
  <c r="H285" i="3" s="1"/>
  <c r="K285" i="3" s="1"/>
  <c r="C285" i="3"/>
  <c r="R284" i="3"/>
  <c r="I284" i="3"/>
  <c r="H284" i="3" s="1"/>
  <c r="K284" i="3" s="1"/>
  <c r="C284" i="3"/>
  <c r="R283" i="3"/>
  <c r="I283" i="3"/>
  <c r="H283" i="3" s="1"/>
  <c r="K283" i="3" s="1"/>
  <c r="C283" i="3"/>
  <c r="R282" i="3"/>
  <c r="I282" i="3"/>
  <c r="H282" i="3" s="1"/>
  <c r="K282" i="3" s="1"/>
  <c r="C282" i="3"/>
  <c r="R281" i="3"/>
  <c r="I281" i="3"/>
  <c r="H281" i="3" s="1"/>
  <c r="K281" i="3" s="1"/>
  <c r="C281" i="3"/>
  <c r="R280" i="3"/>
  <c r="I280" i="3"/>
  <c r="H280" i="3" s="1"/>
  <c r="K280" i="3" s="1"/>
  <c r="C280" i="3"/>
  <c r="R279" i="3"/>
  <c r="I279" i="3"/>
  <c r="H279" i="3" s="1"/>
  <c r="K279" i="3" s="1"/>
  <c r="C279" i="3"/>
  <c r="R278" i="3"/>
  <c r="I278" i="3"/>
  <c r="H278" i="3" s="1"/>
  <c r="K278" i="3" s="1"/>
  <c r="C278" i="3"/>
  <c r="R277" i="3"/>
  <c r="I277" i="3"/>
  <c r="H277" i="3" s="1"/>
  <c r="K277" i="3" s="1"/>
  <c r="C277" i="3"/>
  <c r="R276" i="3"/>
  <c r="I276" i="3"/>
  <c r="H276" i="3" s="1"/>
  <c r="K276" i="3" s="1"/>
  <c r="C276" i="3"/>
  <c r="R275" i="3"/>
  <c r="I275" i="3"/>
  <c r="H275" i="3" s="1"/>
  <c r="K275" i="3" s="1"/>
  <c r="C275" i="3"/>
  <c r="R274" i="3"/>
  <c r="I274" i="3"/>
  <c r="H274" i="3" s="1"/>
  <c r="K274" i="3" s="1"/>
  <c r="C274" i="3"/>
  <c r="R273" i="3"/>
  <c r="I273" i="3"/>
  <c r="H273" i="3" s="1"/>
  <c r="K273" i="3" s="1"/>
  <c r="C273" i="3"/>
  <c r="R272" i="3"/>
  <c r="I272" i="3"/>
  <c r="H272" i="3" s="1"/>
  <c r="K272" i="3" s="1"/>
  <c r="C272" i="3"/>
  <c r="R271" i="3"/>
  <c r="I271" i="3"/>
  <c r="H271" i="3" s="1"/>
  <c r="K271" i="3" s="1"/>
  <c r="C271" i="3"/>
  <c r="R270" i="3"/>
  <c r="I270" i="3"/>
  <c r="H270" i="3" s="1"/>
  <c r="K270" i="3" s="1"/>
  <c r="C270" i="3"/>
  <c r="R269" i="3"/>
  <c r="I269" i="3"/>
  <c r="H269" i="3" s="1"/>
  <c r="K269" i="3" s="1"/>
  <c r="C269" i="3"/>
  <c r="R268" i="3"/>
  <c r="I268" i="3"/>
  <c r="H268" i="3" s="1"/>
  <c r="K268" i="3" s="1"/>
  <c r="C268" i="3"/>
  <c r="R267" i="3"/>
  <c r="I267" i="3"/>
  <c r="H267" i="3" s="1"/>
  <c r="K267" i="3" s="1"/>
  <c r="C267" i="3"/>
  <c r="R266" i="3"/>
  <c r="I266" i="3"/>
  <c r="H266" i="3" s="1"/>
  <c r="K266" i="3" s="1"/>
  <c r="C266" i="3"/>
  <c r="R265" i="3"/>
  <c r="I265" i="3"/>
  <c r="H265" i="3" s="1"/>
  <c r="K265" i="3" s="1"/>
  <c r="C265" i="3"/>
  <c r="R264" i="3"/>
  <c r="I264" i="3"/>
  <c r="H264" i="3" s="1"/>
  <c r="K264" i="3" s="1"/>
  <c r="C264" i="3"/>
  <c r="R263" i="3"/>
  <c r="I263" i="3"/>
  <c r="H263" i="3" s="1"/>
  <c r="K263" i="3" s="1"/>
  <c r="C263" i="3"/>
  <c r="R262" i="3"/>
  <c r="I262" i="3"/>
  <c r="H262" i="3" s="1"/>
  <c r="K262" i="3" s="1"/>
  <c r="C262" i="3"/>
  <c r="R261" i="3"/>
  <c r="I261" i="3"/>
  <c r="H261" i="3" s="1"/>
  <c r="K261" i="3" s="1"/>
  <c r="C261" i="3"/>
  <c r="R260" i="3"/>
  <c r="I260" i="3"/>
  <c r="H260" i="3" s="1"/>
  <c r="K260" i="3" s="1"/>
  <c r="C260" i="3"/>
  <c r="R259" i="3"/>
  <c r="I259" i="3"/>
  <c r="H259" i="3" s="1"/>
  <c r="K259" i="3" s="1"/>
  <c r="C259" i="3"/>
  <c r="R258" i="3"/>
  <c r="I258" i="3"/>
  <c r="H258" i="3" s="1"/>
  <c r="K258" i="3" s="1"/>
  <c r="C258" i="3"/>
  <c r="R257" i="3"/>
  <c r="I257" i="3"/>
  <c r="H257" i="3" s="1"/>
  <c r="K257" i="3" s="1"/>
  <c r="C257" i="3"/>
  <c r="R256" i="3"/>
  <c r="I256" i="3"/>
  <c r="H256" i="3" s="1"/>
  <c r="K256" i="3" s="1"/>
  <c r="C256" i="3"/>
  <c r="R255" i="3"/>
  <c r="I255" i="3"/>
  <c r="H255" i="3" s="1"/>
  <c r="K255" i="3" s="1"/>
  <c r="C255" i="3"/>
  <c r="R254" i="3"/>
  <c r="I254" i="3"/>
  <c r="H254" i="3" s="1"/>
  <c r="K254" i="3" s="1"/>
  <c r="C254" i="3"/>
  <c r="R253" i="3"/>
  <c r="I253" i="3"/>
  <c r="H253" i="3" s="1"/>
  <c r="K253" i="3" s="1"/>
  <c r="C253" i="3"/>
  <c r="R252" i="3"/>
  <c r="I252" i="3"/>
  <c r="H252" i="3" s="1"/>
  <c r="K252" i="3" s="1"/>
  <c r="C252" i="3"/>
  <c r="R251" i="3"/>
  <c r="I251" i="3"/>
  <c r="H251" i="3" s="1"/>
  <c r="K251" i="3" s="1"/>
  <c r="C251" i="3"/>
  <c r="R250" i="3"/>
  <c r="I250" i="3"/>
  <c r="H250" i="3" s="1"/>
  <c r="K250" i="3" s="1"/>
  <c r="C250" i="3"/>
  <c r="R249" i="3"/>
  <c r="I249" i="3"/>
  <c r="H249" i="3" s="1"/>
  <c r="K249" i="3" s="1"/>
  <c r="C249" i="3"/>
  <c r="R248" i="3"/>
  <c r="I248" i="3"/>
  <c r="H248" i="3" s="1"/>
  <c r="K248" i="3" s="1"/>
  <c r="C248" i="3"/>
  <c r="R247" i="3"/>
  <c r="I247" i="3"/>
  <c r="H247" i="3" s="1"/>
  <c r="K247" i="3" s="1"/>
  <c r="C247" i="3"/>
  <c r="R246" i="3"/>
  <c r="I246" i="3"/>
  <c r="H246" i="3" s="1"/>
  <c r="K246" i="3" s="1"/>
  <c r="C246" i="3"/>
  <c r="R245" i="3"/>
  <c r="I245" i="3"/>
  <c r="H245" i="3" s="1"/>
  <c r="K245" i="3" s="1"/>
  <c r="C245" i="3"/>
  <c r="R244" i="3"/>
  <c r="I244" i="3"/>
  <c r="H244" i="3" s="1"/>
  <c r="K244" i="3" s="1"/>
  <c r="C244" i="3"/>
  <c r="R243" i="3"/>
  <c r="I243" i="3"/>
  <c r="H243" i="3" s="1"/>
  <c r="K243" i="3" s="1"/>
  <c r="C243" i="3"/>
  <c r="R242" i="3"/>
  <c r="I242" i="3"/>
  <c r="H242" i="3" s="1"/>
  <c r="K242" i="3" s="1"/>
  <c r="C242" i="3"/>
  <c r="R241" i="3"/>
  <c r="I241" i="3"/>
  <c r="H241" i="3" s="1"/>
  <c r="K241" i="3" s="1"/>
  <c r="C241" i="3"/>
  <c r="R240" i="3"/>
  <c r="I240" i="3"/>
  <c r="H240" i="3" s="1"/>
  <c r="K240" i="3" s="1"/>
  <c r="C240" i="3"/>
  <c r="R239" i="3"/>
  <c r="I239" i="3"/>
  <c r="H239" i="3" s="1"/>
  <c r="K239" i="3" s="1"/>
  <c r="C239" i="3"/>
  <c r="R238" i="3"/>
  <c r="I238" i="3"/>
  <c r="H238" i="3" s="1"/>
  <c r="K238" i="3" s="1"/>
  <c r="C238" i="3"/>
  <c r="R237" i="3"/>
  <c r="I237" i="3"/>
  <c r="H237" i="3" s="1"/>
  <c r="K237" i="3" s="1"/>
  <c r="C237" i="3"/>
  <c r="R236" i="3"/>
  <c r="I236" i="3"/>
  <c r="H236" i="3" s="1"/>
  <c r="K236" i="3" s="1"/>
  <c r="C236" i="3"/>
  <c r="R235" i="3"/>
  <c r="I235" i="3"/>
  <c r="H235" i="3" s="1"/>
  <c r="K235" i="3" s="1"/>
  <c r="C235" i="3"/>
  <c r="R234" i="3"/>
  <c r="I234" i="3"/>
  <c r="H234" i="3" s="1"/>
  <c r="K234" i="3" s="1"/>
  <c r="C234" i="3"/>
  <c r="R233" i="3"/>
  <c r="I233" i="3"/>
  <c r="H233" i="3" s="1"/>
  <c r="K233" i="3" s="1"/>
  <c r="C233" i="3"/>
  <c r="R232" i="3"/>
  <c r="I232" i="3"/>
  <c r="H232" i="3" s="1"/>
  <c r="K232" i="3" s="1"/>
  <c r="C232" i="3"/>
  <c r="R231" i="3"/>
  <c r="I231" i="3"/>
  <c r="H231" i="3" s="1"/>
  <c r="K231" i="3" s="1"/>
  <c r="C231" i="3"/>
  <c r="R230" i="3"/>
  <c r="I230" i="3"/>
  <c r="H230" i="3" s="1"/>
  <c r="K230" i="3" s="1"/>
  <c r="C230" i="3"/>
  <c r="R229" i="3"/>
  <c r="I229" i="3"/>
  <c r="H229" i="3" s="1"/>
  <c r="K229" i="3" s="1"/>
  <c r="C229" i="3"/>
  <c r="R228" i="3"/>
  <c r="I228" i="3"/>
  <c r="H228" i="3" s="1"/>
  <c r="K228" i="3" s="1"/>
  <c r="C228" i="3"/>
  <c r="R227" i="3"/>
  <c r="I227" i="3"/>
  <c r="H227" i="3" s="1"/>
  <c r="K227" i="3" s="1"/>
  <c r="C227" i="3"/>
  <c r="R226" i="3"/>
  <c r="I226" i="3"/>
  <c r="H226" i="3" s="1"/>
  <c r="K226" i="3" s="1"/>
  <c r="C226" i="3"/>
  <c r="R225" i="3"/>
  <c r="I225" i="3"/>
  <c r="H225" i="3" s="1"/>
  <c r="K225" i="3" s="1"/>
  <c r="C225" i="3"/>
  <c r="R224" i="3"/>
  <c r="I224" i="3"/>
  <c r="H224" i="3" s="1"/>
  <c r="K224" i="3" s="1"/>
  <c r="C224" i="3"/>
  <c r="R223" i="3"/>
  <c r="I223" i="3"/>
  <c r="H223" i="3" s="1"/>
  <c r="K223" i="3" s="1"/>
  <c r="C223" i="3"/>
  <c r="R222" i="3"/>
  <c r="I222" i="3"/>
  <c r="H222" i="3" s="1"/>
  <c r="K222" i="3" s="1"/>
  <c r="C222" i="3"/>
  <c r="R221" i="3"/>
  <c r="I221" i="3"/>
  <c r="H221" i="3" s="1"/>
  <c r="K221" i="3" s="1"/>
  <c r="C221" i="3"/>
  <c r="R220" i="3"/>
  <c r="I220" i="3"/>
  <c r="H220" i="3" s="1"/>
  <c r="K220" i="3" s="1"/>
  <c r="C220" i="3"/>
  <c r="R219" i="3"/>
  <c r="I219" i="3"/>
  <c r="H219" i="3" s="1"/>
  <c r="K219" i="3" s="1"/>
  <c r="C219" i="3"/>
  <c r="R218" i="3"/>
  <c r="I218" i="3"/>
  <c r="H218" i="3" s="1"/>
  <c r="K218" i="3" s="1"/>
  <c r="C218" i="3"/>
  <c r="R217" i="3"/>
  <c r="I217" i="3"/>
  <c r="H217" i="3" s="1"/>
  <c r="K217" i="3" s="1"/>
  <c r="C217" i="3"/>
  <c r="R216" i="3"/>
  <c r="I216" i="3"/>
  <c r="H216" i="3" s="1"/>
  <c r="K216" i="3" s="1"/>
  <c r="C216" i="3"/>
  <c r="R215" i="3"/>
  <c r="I215" i="3"/>
  <c r="H215" i="3" s="1"/>
  <c r="K215" i="3" s="1"/>
  <c r="C215" i="3"/>
  <c r="R214" i="3"/>
  <c r="I214" i="3"/>
  <c r="H214" i="3" s="1"/>
  <c r="K214" i="3" s="1"/>
  <c r="C214" i="3"/>
  <c r="R213" i="3"/>
  <c r="I213" i="3"/>
  <c r="H213" i="3" s="1"/>
  <c r="K213" i="3" s="1"/>
  <c r="C213" i="3"/>
  <c r="R212" i="3"/>
  <c r="I212" i="3"/>
  <c r="H212" i="3" s="1"/>
  <c r="K212" i="3" s="1"/>
  <c r="C212" i="3"/>
  <c r="R211" i="3"/>
  <c r="I211" i="3"/>
  <c r="H211" i="3" s="1"/>
  <c r="K211" i="3" s="1"/>
  <c r="C211" i="3"/>
  <c r="R210" i="3"/>
  <c r="I210" i="3"/>
  <c r="H210" i="3" s="1"/>
  <c r="K210" i="3" s="1"/>
  <c r="C210" i="3"/>
  <c r="R209" i="3"/>
  <c r="I209" i="3"/>
  <c r="H209" i="3" s="1"/>
  <c r="K209" i="3" s="1"/>
  <c r="C209" i="3"/>
  <c r="R208" i="3"/>
  <c r="I208" i="3"/>
  <c r="H208" i="3" s="1"/>
  <c r="K208" i="3" s="1"/>
  <c r="C208" i="3"/>
  <c r="R207" i="3"/>
  <c r="I207" i="3"/>
  <c r="H207" i="3" s="1"/>
  <c r="K207" i="3" s="1"/>
  <c r="C207" i="3"/>
  <c r="R206" i="3"/>
  <c r="I206" i="3"/>
  <c r="H206" i="3" s="1"/>
  <c r="K206" i="3" s="1"/>
  <c r="C206" i="3"/>
  <c r="R205" i="3"/>
  <c r="I205" i="3"/>
  <c r="H205" i="3" s="1"/>
  <c r="K205" i="3" s="1"/>
  <c r="C205" i="3"/>
  <c r="R204" i="3"/>
  <c r="I204" i="3"/>
  <c r="H204" i="3" s="1"/>
  <c r="K204" i="3" s="1"/>
  <c r="C204" i="3"/>
  <c r="R203" i="3"/>
  <c r="I203" i="3"/>
  <c r="H203" i="3" s="1"/>
  <c r="K203" i="3" s="1"/>
  <c r="C203" i="3"/>
  <c r="R202" i="3"/>
  <c r="I202" i="3"/>
  <c r="H202" i="3" s="1"/>
  <c r="K202" i="3" s="1"/>
  <c r="C202" i="3"/>
  <c r="R201" i="3"/>
  <c r="I201" i="3"/>
  <c r="H201" i="3" s="1"/>
  <c r="K201" i="3" s="1"/>
  <c r="C201" i="3"/>
  <c r="R200" i="3"/>
  <c r="I200" i="3"/>
  <c r="H200" i="3" s="1"/>
  <c r="K200" i="3" s="1"/>
  <c r="C200" i="3"/>
  <c r="R199" i="3"/>
  <c r="I199" i="3"/>
  <c r="H199" i="3" s="1"/>
  <c r="K199" i="3" s="1"/>
  <c r="C199" i="3"/>
  <c r="R198" i="3"/>
  <c r="I198" i="3"/>
  <c r="H198" i="3" s="1"/>
  <c r="K198" i="3" s="1"/>
  <c r="C198" i="3"/>
  <c r="R197" i="3"/>
  <c r="I197" i="3"/>
  <c r="H197" i="3" s="1"/>
  <c r="K197" i="3" s="1"/>
  <c r="C197" i="3"/>
  <c r="R196" i="3"/>
  <c r="I196" i="3"/>
  <c r="H196" i="3" s="1"/>
  <c r="K196" i="3" s="1"/>
  <c r="C196" i="3"/>
  <c r="R195" i="3"/>
  <c r="I195" i="3"/>
  <c r="H195" i="3" s="1"/>
  <c r="K195" i="3" s="1"/>
  <c r="C195" i="3"/>
  <c r="R194" i="3"/>
  <c r="I194" i="3"/>
  <c r="H194" i="3" s="1"/>
  <c r="K194" i="3" s="1"/>
  <c r="C194" i="3"/>
  <c r="R193" i="3"/>
  <c r="I193" i="3"/>
  <c r="H193" i="3" s="1"/>
  <c r="K193" i="3" s="1"/>
  <c r="C193" i="3"/>
  <c r="R192" i="3"/>
  <c r="I192" i="3"/>
  <c r="H192" i="3" s="1"/>
  <c r="K192" i="3" s="1"/>
  <c r="C192" i="3"/>
  <c r="R191" i="3"/>
  <c r="I191" i="3"/>
  <c r="H191" i="3" s="1"/>
  <c r="K191" i="3" s="1"/>
  <c r="C191" i="3"/>
  <c r="R190" i="3"/>
  <c r="I190" i="3"/>
  <c r="H190" i="3" s="1"/>
  <c r="K190" i="3" s="1"/>
  <c r="C190" i="3"/>
  <c r="R189" i="3"/>
  <c r="I189" i="3"/>
  <c r="H189" i="3" s="1"/>
  <c r="K189" i="3" s="1"/>
  <c r="C189" i="3"/>
  <c r="R188" i="3"/>
  <c r="I188" i="3"/>
  <c r="H188" i="3" s="1"/>
  <c r="K188" i="3" s="1"/>
  <c r="C188" i="3"/>
  <c r="R187" i="3"/>
  <c r="I187" i="3"/>
  <c r="H187" i="3" s="1"/>
  <c r="K187" i="3" s="1"/>
  <c r="C187" i="3"/>
  <c r="R186" i="3"/>
  <c r="I186" i="3"/>
  <c r="H186" i="3" s="1"/>
  <c r="K186" i="3" s="1"/>
  <c r="C186" i="3"/>
  <c r="R185" i="3"/>
  <c r="I185" i="3"/>
  <c r="H185" i="3" s="1"/>
  <c r="K185" i="3" s="1"/>
  <c r="C185" i="3"/>
  <c r="R184" i="3"/>
  <c r="I184" i="3"/>
  <c r="H184" i="3" s="1"/>
  <c r="K184" i="3" s="1"/>
  <c r="C184" i="3"/>
  <c r="R183" i="3"/>
  <c r="I183" i="3"/>
  <c r="H183" i="3" s="1"/>
  <c r="K183" i="3" s="1"/>
  <c r="C183" i="3"/>
  <c r="R182" i="3"/>
  <c r="I182" i="3"/>
  <c r="H182" i="3" s="1"/>
  <c r="K182" i="3" s="1"/>
  <c r="C182" i="3"/>
  <c r="R181" i="3"/>
  <c r="I181" i="3"/>
  <c r="H181" i="3" s="1"/>
  <c r="K181" i="3" s="1"/>
  <c r="C181" i="3"/>
  <c r="R180" i="3"/>
  <c r="I180" i="3"/>
  <c r="H180" i="3" s="1"/>
  <c r="K180" i="3" s="1"/>
  <c r="C180" i="3"/>
  <c r="R179" i="3"/>
  <c r="I179" i="3"/>
  <c r="H179" i="3" s="1"/>
  <c r="K179" i="3" s="1"/>
  <c r="C179" i="3"/>
  <c r="R178" i="3"/>
  <c r="I178" i="3"/>
  <c r="H178" i="3" s="1"/>
  <c r="K178" i="3" s="1"/>
  <c r="C178" i="3"/>
  <c r="R177" i="3"/>
  <c r="I177" i="3"/>
  <c r="H177" i="3" s="1"/>
  <c r="K177" i="3" s="1"/>
  <c r="C177" i="3"/>
  <c r="R176" i="3"/>
  <c r="I176" i="3"/>
  <c r="H176" i="3" s="1"/>
  <c r="K176" i="3" s="1"/>
  <c r="C176" i="3"/>
  <c r="R175" i="3"/>
  <c r="I175" i="3"/>
  <c r="H175" i="3" s="1"/>
  <c r="K175" i="3" s="1"/>
  <c r="C175" i="3"/>
  <c r="R174" i="3"/>
  <c r="I174" i="3"/>
  <c r="H174" i="3" s="1"/>
  <c r="K174" i="3" s="1"/>
  <c r="C174" i="3"/>
  <c r="R173" i="3"/>
  <c r="I173" i="3"/>
  <c r="H173" i="3" s="1"/>
  <c r="K173" i="3" s="1"/>
  <c r="C173" i="3"/>
  <c r="R172" i="3"/>
  <c r="I172" i="3"/>
  <c r="H172" i="3" s="1"/>
  <c r="K172" i="3" s="1"/>
  <c r="C172" i="3"/>
  <c r="R171" i="3"/>
  <c r="I171" i="3"/>
  <c r="H171" i="3" s="1"/>
  <c r="K171" i="3" s="1"/>
  <c r="C171" i="3"/>
  <c r="R170" i="3"/>
  <c r="I170" i="3"/>
  <c r="H170" i="3" s="1"/>
  <c r="K170" i="3" s="1"/>
  <c r="C170" i="3"/>
  <c r="R169" i="3"/>
  <c r="I169" i="3"/>
  <c r="H169" i="3" s="1"/>
  <c r="K169" i="3" s="1"/>
  <c r="C169" i="3"/>
  <c r="R168" i="3"/>
  <c r="I168" i="3"/>
  <c r="H168" i="3" s="1"/>
  <c r="K168" i="3" s="1"/>
  <c r="C168" i="3"/>
  <c r="R167" i="3"/>
  <c r="I167" i="3"/>
  <c r="H167" i="3" s="1"/>
  <c r="K167" i="3" s="1"/>
  <c r="C167" i="3"/>
  <c r="R166" i="3"/>
  <c r="I166" i="3"/>
  <c r="H166" i="3" s="1"/>
  <c r="K166" i="3" s="1"/>
  <c r="C166" i="3"/>
  <c r="R165" i="3"/>
  <c r="I165" i="3"/>
  <c r="H165" i="3" s="1"/>
  <c r="K165" i="3" s="1"/>
  <c r="C165" i="3"/>
  <c r="R164" i="3"/>
  <c r="I164" i="3"/>
  <c r="H164" i="3" s="1"/>
  <c r="K164" i="3" s="1"/>
  <c r="C164" i="3"/>
  <c r="R163" i="3"/>
  <c r="I163" i="3"/>
  <c r="H163" i="3" s="1"/>
  <c r="K163" i="3" s="1"/>
  <c r="C163" i="3"/>
  <c r="R162" i="3"/>
  <c r="I162" i="3"/>
  <c r="H162" i="3" s="1"/>
  <c r="K162" i="3" s="1"/>
  <c r="C162" i="3"/>
  <c r="R161" i="3"/>
  <c r="I161" i="3"/>
  <c r="H161" i="3" s="1"/>
  <c r="K161" i="3" s="1"/>
  <c r="C161" i="3"/>
  <c r="K98" i="3"/>
  <c r="L98" i="3" s="1"/>
  <c r="G98" i="3"/>
  <c r="H98" i="3" s="1"/>
  <c r="C98" i="3"/>
  <c r="D98" i="3" s="1"/>
  <c r="B98" i="3"/>
  <c r="K97" i="3"/>
  <c r="L97" i="3" s="1"/>
  <c r="G97" i="3"/>
  <c r="H97" i="3" s="1"/>
  <c r="C97" i="3"/>
  <c r="D97" i="3" s="1"/>
  <c r="B97" i="3"/>
  <c r="K96" i="3"/>
  <c r="L96" i="3" s="1"/>
  <c r="G96" i="3"/>
  <c r="H96" i="3" s="1"/>
  <c r="C96" i="3"/>
  <c r="D96" i="3" s="1"/>
  <c r="B96" i="3"/>
  <c r="K95" i="3"/>
  <c r="L95" i="3" s="1"/>
  <c r="G95" i="3"/>
  <c r="H95" i="3" s="1"/>
  <c r="C95" i="3"/>
  <c r="D95" i="3" s="1"/>
  <c r="B95" i="3"/>
  <c r="K94" i="3"/>
  <c r="L94" i="3" s="1"/>
  <c r="G94" i="3"/>
  <c r="H94" i="3" s="1"/>
  <c r="C94" i="3"/>
  <c r="D94" i="3" s="1"/>
  <c r="B94" i="3"/>
  <c r="K93" i="3"/>
  <c r="L93" i="3" s="1"/>
  <c r="G93" i="3"/>
  <c r="H93" i="3" s="1"/>
  <c r="C93" i="3"/>
  <c r="D93" i="3" s="1"/>
  <c r="B93" i="3"/>
  <c r="K92" i="3"/>
  <c r="L92" i="3" s="1"/>
  <c r="G92" i="3"/>
  <c r="H92" i="3" s="1"/>
  <c r="C92" i="3"/>
  <c r="D92" i="3" s="1"/>
  <c r="B92" i="3"/>
  <c r="K91" i="3"/>
  <c r="L91" i="3" s="1"/>
  <c r="G91" i="3"/>
  <c r="H91" i="3" s="1"/>
  <c r="C91" i="3"/>
  <c r="D91" i="3" s="1"/>
  <c r="B91" i="3"/>
  <c r="K90" i="3"/>
  <c r="L90" i="3" s="1"/>
  <c r="G90" i="3"/>
  <c r="H90" i="3" s="1"/>
  <c r="C90" i="3"/>
  <c r="D90" i="3" s="1"/>
  <c r="B90" i="3"/>
  <c r="K89" i="3"/>
  <c r="L89" i="3" s="1"/>
  <c r="G89" i="3"/>
  <c r="H89" i="3" s="1"/>
  <c r="C89" i="3"/>
  <c r="D89" i="3" s="1"/>
  <c r="B89" i="3"/>
  <c r="E62" i="3"/>
  <c r="D62" i="3"/>
  <c r="C62" i="3"/>
  <c r="E58" i="3"/>
  <c r="D58" i="3"/>
  <c r="C58" i="3"/>
  <c r="C68" i="3" s="1"/>
  <c r="C20" i="3" s="1"/>
  <c r="E56" i="3"/>
  <c r="D56" i="3"/>
  <c r="C56" i="3"/>
  <c r="E54" i="3"/>
  <c r="D54" i="3"/>
  <c r="C54" i="3"/>
  <c r="E53" i="3"/>
  <c r="E9" i="3" s="1"/>
  <c r="D53" i="3"/>
  <c r="D9" i="3" s="1"/>
  <c r="C53" i="3"/>
  <c r="C9" i="3" s="1"/>
  <c r="E52" i="3"/>
  <c r="E66" i="3" s="1"/>
  <c r="D52" i="3"/>
  <c r="D66" i="3" s="1"/>
  <c r="C52" i="3"/>
  <c r="C66" i="3" s="1"/>
  <c r="E51" i="3"/>
  <c r="E60" i="3" s="1"/>
  <c r="D51" i="3"/>
  <c r="D60" i="3" s="1"/>
  <c r="C51" i="3"/>
  <c r="C60" i="3" s="1"/>
  <c r="E26" i="3"/>
  <c r="D26" i="3"/>
  <c r="C26" i="3"/>
  <c r="H65" i="2"/>
  <c r="D63" i="1" s="1"/>
  <c r="E63" i="1" s="1"/>
  <c r="H64" i="2"/>
  <c r="E64" i="2"/>
  <c r="H63" i="2"/>
  <c r="D61" i="1" s="1"/>
  <c r="E61" i="1" s="1"/>
  <c r="H62" i="2"/>
  <c r="D60" i="1" s="1"/>
  <c r="E60" i="1" s="1"/>
  <c r="H61" i="2"/>
  <c r="D59" i="1" s="1"/>
  <c r="E59" i="1" s="1"/>
  <c r="H60" i="2"/>
  <c r="D58" i="1" s="1"/>
  <c r="H57" i="2"/>
  <c r="D57" i="1" s="1"/>
  <c r="E57" i="1" s="1"/>
  <c r="H56" i="2"/>
  <c r="D56" i="1" s="1"/>
  <c r="H55" i="2"/>
  <c r="H54" i="2"/>
  <c r="E54" i="2"/>
  <c r="E55" i="2" s="1"/>
  <c r="H53" i="2"/>
  <c r="D53" i="1" s="1"/>
  <c r="E53" i="1" s="1"/>
  <c r="H52" i="2"/>
  <c r="E52" i="2"/>
  <c r="H51" i="2"/>
  <c r="D51" i="1" s="1"/>
  <c r="E51" i="1" s="1"/>
  <c r="H50" i="2"/>
  <c r="D50" i="1" s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L14" i="1"/>
  <c r="L10" i="1"/>
  <c r="L9" i="1"/>
  <c r="L6" i="1"/>
  <c r="F51" i="1" l="1"/>
  <c r="G51" i="1" s="1"/>
  <c r="D52" i="1"/>
  <c r="E52" i="1" s="1"/>
  <c r="D54" i="1"/>
  <c r="E54" i="1" s="1"/>
  <c r="F53" i="1"/>
  <c r="G53" i="1" s="1"/>
  <c r="E57" i="3"/>
  <c r="E69" i="3" s="1"/>
  <c r="E21" i="3" s="1"/>
  <c r="D57" i="3"/>
  <c r="D69" i="3" s="1"/>
  <c r="D21" i="3" s="1"/>
  <c r="D55" i="1"/>
  <c r="E55" i="1" s="1"/>
  <c r="C57" i="3"/>
  <c r="F57" i="1"/>
  <c r="G57" i="1" s="1"/>
  <c r="C7" i="3"/>
  <c r="D62" i="1"/>
  <c r="E62" i="1" s="1"/>
  <c r="F62" i="1" s="1"/>
  <c r="G62" i="1" s="1"/>
  <c r="F59" i="1"/>
  <c r="G59" i="1" s="1"/>
  <c r="F63" i="1"/>
  <c r="G63" i="1" s="1"/>
  <c r="E50" i="1"/>
  <c r="F50" i="1" s="1"/>
  <c r="F61" i="1"/>
  <c r="G61" i="1" s="1"/>
  <c r="D7" i="3"/>
  <c r="D8" i="3"/>
  <c r="C55" i="3"/>
  <c r="E59" i="3"/>
  <c r="E10" i="3" s="1"/>
  <c r="C69" i="3"/>
  <c r="C21" i="3" s="1"/>
  <c r="E7" i="3"/>
  <c r="C8" i="3"/>
  <c r="E8" i="3"/>
  <c r="D55" i="3"/>
  <c r="D68" i="3" s="1"/>
  <c r="D20" i="3" s="1"/>
  <c r="E56" i="1"/>
  <c r="F56" i="1" s="1"/>
  <c r="G56" i="1" s="1"/>
  <c r="C23" i="3"/>
  <c r="F395" i="3"/>
  <c r="F381" i="3"/>
  <c r="F367" i="3"/>
  <c r="F353" i="3"/>
  <c r="F390" i="3"/>
  <c r="F376" i="3"/>
  <c r="F362" i="3"/>
  <c r="F399" i="3"/>
  <c r="F385" i="3"/>
  <c r="F371" i="3"/>
  <c r="F357" i="3"/>
  <c r="F394" i="3"/>
  <c r="F380" i="3"/>
  <c r="F366" i="3"/>
  <c r="F352" i="3"/>
  <c r="F389" i="3"/>
  <c r="F375" i="3"/>
  <c r="F361" i="3"/>
  <c r="F347" i="3"/>
  <c r="F333" i="3"/>
  <c r="F319" i="3"/>
  <c r="F398" i="3"/>
  <c r="F384" i="3"/>
  <c r="F370" i="3"/>
  <c r="F356" i="3"/>
  <c r="F342" i="3"/>
  <c r="F393" i="3"/>
  <c r="F379" i="3"/>
  <c r="F365" i="3"/>
  <c r="F388" i="3"/>
  <c r="F374" i="3"/>
  <c r="F360" i="3"/>
  <c r="F397" i="3"/>
  <c r="F383" i="3"/>
  <c r="F369" i="3"/>
  <c r="F355" i="3"/>
  <c r="F341" i="3"/>
  <c r="F327" i="3"/>
  <c r="F396" i="3"/>
  <c r="F382" i="3"/>
  <c r="F386" i="3"/>
  <c r="F340" i="3"/>
  <c r="F326" i="3"/>
  <c r="F303" i="3"/>
  <c r="F289" i="3"/>
  <c r="F275" i="3"/>
  <c r="F261" i="3"/>
  <c r="F368" i="3"/>
  <c r="F363" i="3"/>
  <c r="F349" i="3"/>
  <c r="F339" i="3"/>
  <c r="F325" i="3"/>
  <c r="F312" i="3"/>
  <c r="F298" i="3"/>
  <c r="F284" i="3"/>
  <c r="F270" i="3"/>
  <c r="F256" i="3"/>
  <c r="F373" i="3"/>
  <c r="F358" i="3"/>
  <c r="F338" i="3"/>
  <c r="F324" i="3"/>
  <c r="F307" i="3"/>
  <c r="F293" i="3"/>
  <c r="F279" i="3"/>
  <c r="F265" i="3"/>
  <c r="F378" i="3"/>
  <c r="F337" i="3"/>
  <c r="F336" i="3"/>
  <c r="F323" i="3"/>
  <c r="F322" i="3"/>
  <c r="F302" i="3"/>
  <c r="F288" i="3"/>
  <c r="F274" i="3"/>
  <c r="F260" i="3"/>
  <c r="F246" i="3"/>
  <c r="F232" i="3"/>
  <c r="F218" i="3"/>
  <c r="F350" i="3"/>
  <c r="F335" i="3"/>
  <c r="F321" i="3"/>
  <c r="F311" i="3"/>
  <c r="F297" i="3"/>
  <c r="F283" i="3"/>
  <c r="F334" i="3"/>
  <c r="F320" i="3"/>
  <c r="F306" i="3"/>
  <c r="F292" i="3"/>
  <c r="F278" i="3"/>
  <c r="F264" i="3"/>
  <c r="F391" i="3"/>
  <c r="F364" i="3"/>
  <c r="F359" i="3"/>
  <c r="F301" i="3"/>
  <c r="F287" i="3"/>
  <c r="F273" i="3"/>
  <c r="F387" i="3"/>
  <c r="F310" i="3"/>
  <c r="F296" i="3"/>
  <c r="F282" i="3"/>
  <c r="F268" i="3"/>
  <c r="F332" i="3"/>
  <c r="F331" i="3"/>
  <c r="F318" i="3"/>
  <c r="F317" i="3"/>
  <c r="F305" i="3"/>
  <c r="F291" i="3"/>
  <c r="F277" i="3"/>
  <c r="F263" i="3"/>
  <c r="F249" i="3"/>
  <c r="F235" i="3"/>
  <c r="F221" i="3"/>
  <c r="F348" i="3"/>
  <c r="F294" i="3"/>
  <c r="F271" i="3"/>
  <c r="F259" i="3"/>
  <c r="F247" i="3"/>
  <c r="F233" i="3"/>
  <c r="F219" i="3"/>
  <c r="F204" i="3"/>
  <c r="F190" i="3"/>
  <c r="F176" i="3"/>
  <c r="F162" i="3"/>
  <c r="F304" i="3"/>
  <c r="F299" i="3"/>
  <c r="F213" i="3"/>
  <c r="F199" i="3"/>
  <c r="F185" i="3"/>
  <c r="F171" i="3"/>
  <c r="F309" i="3"/>
  <c r="F208" i="3"/>
  <c r="F194" i="3"/>
  <c r="F180" i="3"/>
  <c r="F166" i="3"/>
  <c r="F329" i="3"/>
  <c r="F316" i="3"/>
  <c r="F280" i="3"/>
  <c r="F203" i="3"/>
  <c r="F189" i="3"/>
  <c r="F175" i="3"/>
  <c r="F161" i="3"/>
  <c r="F314" i="3"/>
  <c r="F290" i="3"/>
  <c r="F285" i="3"/>
  <c r="F272" i="3"/>
  <c r="F266" i="3"/>
  <c r="F245" i="3"/>
  <c r="F244" i="3"/>
  <c r="F231" i="3"/>
  <c r="F230" i="3"/>
  <c r="F217" i="3"/>
  <c r="F212" i="3"/>
  <c r="F198" i="3"/>
  <c r="F184" i="3"/>
  <c r="F170" i="3"/>
  <c r="F345" i="3"/>
  <c r="F295" i="3"/>
  <c r="F269" i="3"/>
  <c r="F262" i="3"/>
  <c r="F243" i="3"/>
  <c r="F229" i="3"/>
  <c r="F207" i="3"/>
  <c r="F193" i="3"/>
  <c r="F179" i="3"/>
  <c r="F165" i="3"/>
  <c r="F354" i="3"/>
  <c r="F300" i="3"/>
  <c r="F216" i="3"/>
  <c r="F202" i="3"/>
  <c r="F188" i="3"/>
  <c r="F174" i="3"/>
  <c r="F343" i="3"/>
  <c r="F267" i="3"/>
  <c r="F242" i="3"/>
  <c r="F241" i="3"/>
  <c r="F228" i="3"/>
  <c r="F227" i="3"/>
  <c r="F211" i="3"/>
  <c r="F197" i="3"/>
  <c r="F183" i="3"/>
  <c r="F169" i="3"/>
  <c r="F330" i="3"/>
  <c r="F281" i="3"/>
  <c r="F240" i="3"/>
  <c r="F239" i="3"/>
  <c r="F226" i="3"/>
  <c r="F225" i="3"/>
  <c r="F206" i="3"/>
  <c r="F192" i="3"/>
  <c r="F178" i="3"/>
  <c r="F164" i="3"/>
  <c r="F392" i="3"/>
  <c r="F328" i="3"/>
  <c r="F286" i="3"/>
  <c r="F276" i="3"/>
  <c r="F238" i="3"/>
  <c r="F224" i="3"/>
  <c r="F215" i="3"/>
  <c r="F201" i="3"/>
  <c r="F253" i="3"/>
  <c r="F251" i="3"/>
  <c r="F250" i="3"/>
  <c r="F237" i="3"/>
  <c r="F236" i="3"/>
  <c r="F400" i="3"/>
  <c r="F351" i="3"/>
  <c r="F308" i="3"/>
  <c r="F257" i="3"/>
  <c r="F255" i="3"/>
  <c r="F254" i="3"/>
  <c r="F252" i="3"/>
  <c r="F205" i="3"/>
  <c r="F191" i="3"/>
  <c r="F177" i="3"/>
  <c r="F163" i="3"/>
  <c r="F315" i="3"/>
  <c r="F258" i="3"/>
  <c r="F214" i="3"/>
  <c r="F200" i="3"/>
  <c r="F186" i="3"/>
  <c r="F172" i="3"/>
  <c r="F377" i="3"/>
  <c r="F372" i="3"/>
  <c r="F346" i="3"/>
  <c r="F344" i="3"/>
  <c r="F313" i="3"/>
  <c r="F248" i="3"/>
  <c r="F234" i="3"/>
  <c r="F220" i="3"/>
  <c r="F209" i="3"/>
  <c r="F195" i="3"/>
  <c r="F181" i="3"/>
  <c r="F167" i="3"/>
  <c r="E55" i="3"/>
  <c r="E68" i="3" s="1"/>
  <c r="E20" i="3" s="1"/>
  <c r="C61" i="3"/>
  <c r="F196" i="3"/>
  <c r="F223" i="3"/>
  <c r="D61" i="3"/>
  <c r="D63" i="3" s="1"/>
  <c r="E61" i="3"/>
  <c r="E32" i="3" s="1"/>
  <c r="F173" i="3"/>
  <c r="F647" i="3"/>
  <c r="F633" i="3"/>
  <c r="F642" i="3"/>
  <c r="F646" i="3"/>
  <c r="F632" i="3"/>
  <c r="F641" i="3"/>
  <c r="F627" i="3"/>
  <c r="F650" i="3"/>
  <c r="F645" i="3"/>
  <c r="F640" i="3"/>
  <c r="F649" i="3"/>
  <c r="F635" i="3"/>
  <c r="F621" i="3"/>
  <c r="F636" i="3"/>
  <c r="F624" i="3"/>
  <c r="F609" i="3"/>
  <c r="F595" i="3"/>
  <c r="F581" i="3"/>
  <c r="F567" i="3"/>
  <c r="F553" i="3"/>
  <c r="F539" i="3"/>
  <c r="F604" i="3"/>
  <c r="F590" i="3"/>
  <c r="F576" i="3"/>
  <c r="F562" i="3"/>
  <c r="F548" i="3"/>
  <c r="F534" i="3"/>
  <c r="F623" i="3"/>
  <c r="F622" i="3"/>
  <c r="F613" i="3"/>
  <c r="F599" i="3"/>
  <c r="F585" i="3"/>
  <c r="F571" i="3"/>
  <c r="F557" i="3"/>
  <c r="F543" i="3"/>
  <c r="F608" i="3"/>
  <c r="F594" i="3"/>
  <c r="F580" i="3"/>
  <c r="F566" i="3"/>
  <c r="F552" i="3"/>
  <c r="F538" i="3"/>
  <c r="F524" i="3"/>
  <c r="F603" i="3"/>
  <c r="F589" i="3"/>
  <c r="F575" i="3"/>
  <c r="F561" i="3"/>
  <c r="F547" i="3"/>
  <c r="F533" i="3"/>
  <c r="F643" i="3"/>
  <c r="F637" i="3"/>
  <c r="F620" i="3"/>
  <c r="F612" i="3"/>
  <c r="F598" i="3"/>
  <c r="F584" i="3"/>
  <c r="F570" i="3"/>
  <c r="F556" i="3"/>
  <c r="F542" i="3"/>
  <c r="F528" i="3"/>
  <c r="F648" i="3"/>
  <c r="F634" i="3"/>
  <c r="F619" i="3"/>
  <c r="F607" i="3"/>
  <c r="F593" i="3"/>
  <c r="F579" i="3"/>
  <c r="F565" i="3"/>
  <c r="F618" i="3"/>
  <c r="F602" i="3"/>
  <c r="F588" i="3"/>
  <c r="F574" i="3"/>
  <c r="F560" i="3"/>
  <c r="F615" i="3"/>
  <c r="F610" i="3"/>
  <c r="F596" i="3"/>
  <c r="F582" i="3"/>
  <c r="F587" i="3"/>
  <c r="F514" i="3"/>
  <c r="F500" i="3"/>
  <c r="F486" i="3"/>
  <c r="F472" i="3"/>
  <c r="F614" i="3"/>
  <c r="F592" i="3"/>
  <c r="F559" i="3"/>
  <c r="F509" i="3"/>
  <c r="F495" i="3"/>
  <c r="F481" i="3"/>
  <c r="F467" i="3"/>
  <c r="F630" i="3"/>
  <c r="F569" i="3"/>
  <c r="F504" i="3"/>
  <c r="F490" i="3"/>
  <c r="F644" i="3"/>
  <c r="F628" i="3"/>
  <c r="F583" i="3"/>
  <c r="F563" i="3"/>
  <c r="F544" i="3"/>
  <c r="F513" i="3"/>
  <c r="F499" i="3"/>
  <c r="F485" i="3"/>
  <c r="F471" i="3"/>
  <c r="F600" i="3"/>
  <c r="F572" i="3"/>
  <c r="F540" i="3"/>
  <c r="F508" i="3"/>
  <c r="F494" i="3"/>
  <c r="F480" i="3"/>
  <c r="F466" i="3"/>
  <c r="F452" i="3"/>
  <c r="F639" i="3"/>
  <c r="F626" i="3"/>
  <c r="F605" i="3"/>
  <c r="F578" i="3"/>
  <c r="F549" i="3"/>
  <c r="F545" i="3"/>
  <c r="F503" i="3"/>
  <c r="F489" i="3"/>
  <c r="F475" i="3"/>
  <c r="F461" i="3"/>
  <c r="F617" i="3"/>
  <c r="F512" i="3"/>
  <c r="F498" i="3"/>
  <c r="F484" i="3"/>
  <c r="F564" i="3"/>
  <c r="F541" i="3"/>
  <c r="F507" i="3"/>
  <c r="F493" i="3"/>
  <c r="F479" i="3"/>
  <c r="F586" i="3"/>
  <c r="F573" i="3"/>
  <c r="F550" i="3"/>
  <c r="F546" i="3"/>
  <c r="F532" i="3"/>
  <c r="F531" i="3"/>
  <c r="F530" i="3"/>
  <c r="F527" i="3"/>
  <c r="F526" i="3"/>
  <c r="F525" i="3"/>
  <c r="F502" i="3"/>
  <c r="F488" i="3"/>
  <c r="F474" i="3"/>
  <c r="F460" i="3"/>
  <c r="F638" i="3"/>
  <c r="F606" i="3"/>
  <c r="F568" i="3"/>
  <c r="F537" i="3"/>
  <c r="F517" i="3"/>
  <c r="F501" i="3"/>
  <c r="F554" i="3"/>
  <c r="F519" i="3"/>
  <c r="F505" i="3"/>
  <c r="F464" i="3"/>
  <c r="F463" i="3"/>
  <c r="F447" i="3"/>
  <c r="F433" i="3"/>
  <c r="F419" i="3"/>
  <c r="F629" i="3"/>
  <c r="F601" i="3"/>
  <c r="F483" i="3"/>
  <c r="F465" i="3"/>
  <c r="F462" i="3"/>
  <c r="F442" i="3"/>
  <c r="F428" i="3"/>
  <c r="F414" i="3"/>
  <c r="F521" i="3"/>
  <c r="F497" i="3"/>
  <c r="F459" i="3"/>
  <c r="F458" i="3"/>
  <c r="F437" i="3"/>
  <c r="F423" i="3"/>
  <c r="F477" i="3"/>
  <c r="F457" i="3"/>
  <c r="F446" i="3"/>
  <c r="F432" i="3"/>
  <c r="F418" i="3"/>
  <c r="F577" i="3"/>
  <c r="F551" i="3"/>
  <c r="F523" i="3"/>
  <c r="F473" i="3"/>
  <c r="F468" i="3"/>
  <c r="F456" i="3"/>
  <c r="F455" i="3"/>
  <c r="F441" i="3"/>
  <c r="F427" i="3"/>
  <c r="F413" i="3"/>
  <c r="F611" i="3"/>
  <c r="F597" i="3"/>
  <c r="F510" i="3"/>
  <c r="F454" i="3"/>
  <c r="F436" i="3"/>
  <c r="F422" i="3"/>
  <c r="F536" i="3"/>
  <c r="F516" i="3"/>
  <c r="F478" i="3"/>
  <c r="F469" i="3"/>
  <c r="F453" i="3"/>
  <c r="F445" i="3"/>
  <c r="F431" i="3"/>
  <c r="F417" i="3"/>
  <c r="F631" i="3"/>
  <c r="F591" i="3"/>
  <c r="F558" i="3"/>
  <c r="F518" i="3"/>
  <c r="F506" i="3"/>
  <c r="F491" i="3"/>
  <c r="F440" i="3"/>
  <c r="F426" i="3"/>
  <c r="F412" i="3"/>
  <c r="F529" i="3"/>
  <c r="F435" i="3"/>
  <c r="F421" i="3"/>
  <c r="F487" i="3"/>
  <c r="F434" i="3"/>
  <c r="F420" i="3"/>
  <c r="F520" i="3"/>
  <c r="F429" i="3"/>
  <c r="F425" i="3"/>
  <c r="F482" i="3"/>
  <c r="F448" i="3"/>
  <c r="F450" i="3"/>
  <c r="F415" i="3"/>
  <c r="F411" i="3"/>
  <c r="F444" i="3"/>
  <c r="F438" i="3"/>
  <c r="F555" i="3"/>
  <c r="F492" i="3"/>
  <c r="F616" i="3"/>
  <c r="F535" i="3"/>
  <c r="F522" i="3"/>
  <c r="F476" i="3"/>
  <c r="F430" i="3"/>
  <c r="F424" i="3"/>
  <c r="F515" i="3"/>
  <c r="F511" i="3"/>
  <c r="F496" i="3"/>
  <c r="F625" i="3"/>
  <c r="F449" i="3"/>
  <c r="F470" i="3"/>
  <c r="F443" i="3"/>
  <c r="F416" i="3"/>
  <c r="F451" i="3"/>
  <c r="F439" i="3"/>
  <c r="F895" i="3"/>
  <c r="F881" i="3"/>
  <c r="F867" i="3"/>
  <c r="F853" i="3"/>
  <c r="F839" i="3"/>
  <c r="F825" i="3"/>
  <c r="F899" i="3"/>
  <c r="F885" i="3"/>
  <c r="F871" i="3"/>
  <c r="F857" i="3"/>
  <c r="F843" i="3"/>
  <c r="F894" i="3"/>
  <c r="F880" i="3"/>
  <c r="F866" i="3"/>
  <c r="F889" i="3"/>
  <c r="F875" i="3"/>
  <c r="F861" i="3"/>
  <c r="F847" i="3"/>
  <c r="F833" i="3"/>
  <c r="F888" i="3"/>
  <c r="F874" i="3"/>
  <c r="F860" i="3"/>
  <c r="F846" i="3"/>
  <c r="F832" i="3"/>
  <c r="F897" i="3"/>
  <c r="F883" i="3"/>
  <c r="F869" i="3"/>
  <c r="F855" i="3"/>
  <c r="F841" i="3"/>
  <c r="F827" i="3"/>
  <c r="F891" i="3"/>
  <c r="F877" i="3"/>
  <c r="F863" i="3"/>
  <c r="F849" i="3"/>
  <c r="F835" i="3"/>
  <c r="F900" i="3"/>
  <c r="F886" i="3"/>
  <c r="F872" i="3"/>
  <c r="F858" i="3"/>
  <c r="F844" i="3"/>
  <c r="F830" i="3"/>
  <c r="F868" i="3"/>
  <c r="F854" i="3"/>
  <c r="F851" i="3"/>
  <c r="F845" i="3"/>
  <c r="F808" i="3"/>
  <c r="F794" i="3"/>
  <c r="F780" i="3"/>
  <c r="F893" i="3"/>
  <c r="F842" i="3"/>
  <c r="F836" i="3"/>
  <c r="F817" i="3"/>
  <c r="F803" i="3"/>
  <c r="F789" i="3"/>
  <c r="F876" i="3"/>
  <c r="F822" i="3"/>
  <c r="F812" i="3"/>
  <c r="F798" i="3"/>
  <c r="F784" i="3"/>
  <c r="F821" i="3"/>
  <c r="F807" i="3"/>
  <c r="F793" i="3"/>
  <c r="F779" i="3"/>
  <c r="F884" i="3"/>
  <c r="F864" i="3"/>
  <c r="F852" i="3"/>
  <c r="F826" i="3"/>
  <c r="F816" i="3"/>
  <c r="F802" i="3"/>
  <c r="F788" i="3"/>
  <c r="F834" i="3"/>
  <c r="F820" i="3"/>
  <c r="F806" i="3"/>
  <c r="F792" i="3"/>
  <c r="F865" i="3"/>
  <c r="F838" i="3"/>
  <c r="F809" i="3"/>
  <c r="F878" i="3"/>
  <c r="F896" i="3"/>
  <c r="F873" i="3"/>
  <c r="F848" i="3"/>
  <c r="F829" i="3"/>
  <c r="F813" i="3"/>
  <c r="F850" i="3"/>
  <c r="F790" i="3"/>
  <c r="F786" i="3"/>
  <c r="F778" i="3"/>
  <c r="F768" i="3"/>
  <c r="F754" i="3"/>
  <c r="F740" i="3"/>
  <c r="F804" i="3"/>
  <c r="F801" i="3"/>
  <c r="F777" i="3"/>
  <c r="F763" i="3"/>
  <c r="F749" i="3"/>
  <c r="F823" i="3"/>
  <c r="F795" i="3"/>
  <c r="F791" i="3"/>
  <c r="F772" i="3"/>
  <c r="F758" i="3"/>
  <c r="F744" i="3"/>
  <c r="F810" i="3"/>
  <c r="F787" i="3"/>
  <c r="F781" i="3"/>
  <c r="F767" i="3"/>
  <c r="F753" i="3"/>
  <c r="F739" i="3"/>
  <c r="F887" i="3"/>
  <c r="F831" i="3"/>
  <c r="F815" i="3"/>
  <c r="F782" i="3"/>
  <c r="F776" i="3"/>
  <c r="F762" i="3"/>
  <c r="F748" i="3"/>
  <c r="F890" i="3"/>
  <c r="F837" i="3"/>
  <c r="F766" i="3"/>
  <c r="F840" i="3"/>
  <c r="F828" i="3"/>
  <c r="F799" i="3"/>
  <c r="F775" i="3"/>
  <c r="F879" i="3"/>
  <c r="F800" i="3"/>
  <c r="F859" i="3"/>
  <c r="F824" i="3"/>
  <c r="F882" i="3"/>
  <c r="F862" i="3"/>
  <c r="F856" i="3"/>
  <c r="F819" i="3"/>
  <c r="F814" i="3"/>
  <c r="F797" i="3"/>
  <c r="F773" i="3"/>
  <c r="F730" i="3"/>
  <c r="F716" i="3"/>
  <c r="F702" i="3"/>
  <c r="F759" i="3"/>
  <c r="F750" i="3"/>
  <c r="F725" i="3"/>
  <c r="F711" i="3"/>
  <c r="F756" i="3"/>
  <c r="F751" i="3"/>
  <c r="F720" i="3"/>
  <c r="F706" i="3"/>
  <c r="F796" i="3"/>
  <c r="F774" i="3"/>
  <c r="F764" i="3"/>
  <c r="F760" i="3"/>
  <c r="F729" i="3"/>
  <c r="F715" i="3"/>
  <c r="F701" i="3"/>
  <c r="F785" i="3"/>
  <c r="F771" i="3"/>
  <c r="F752" i="3"/>
  <c r="F745" i="3"/>
  <c r="F724" i="3"/>
  <c r="F710" i="3"/>
  <c r="F898" i="3"/>
  <c r="F805" i="3"/>
  <c r="F765" i="3"/>
  <c r="F746" i="3"/>
  <c r="F719" i="3"/>
  <c r="F705" i="3"/>
  <c r="F892" i="3"/>
  <c r="F761" i="3"/>
  <c r="F757" i="3"/>
  <c r="F728" i="3"/>
  <c r="F714" i="3"/>
  <c r="F747" i="3"/>
  <c r="F741" i="3"/>
  <c r="F723" i="3"/>
  <c r="F709" i="3"/>
  <c r="F870" i="3"/>
  <c r="F818" i="3"/>
  <c r="F811" i="3"/>
  <c r="F769" i="3"/>
  <c r="F718" i="3"/>
  <c r="F704" i="3"/>
  <c r="F743" i="3"/>
  <c r="F737" i="3"/>
  <c r="F736" i="3"/>
  <c r="F698" i="3"/>
  <c r="F697" i="3"/>
  <c r="F696" i="3"/>
  <c r="F695" i="3"/>
  <c r="F685" i="3"/>
  <c r="F671" i="3"/>
  <c r="F680" i="3"/>
  <c r="F666" i="3"/>
  <c r="F733" i="3"/>
  <c r="F699" i="3"/>
  <c r="F694" i="3"/>
  <c r="F689" i="3"/>
  <c r="F675" i="3"/>
  <c r="F661" i="3"/>
  <c r="F731" i="3"/>
  <c r="F727" i="3"/>
  <c r="F684" i="3"/>
  <c r="F670" i="3"/>
  <c r="F738" i="3"/>
  <c r="F712" i="3"/>
  <c r="F707" i="3"/>
  <c r="F693" i="3"/>
  <c r="F679" i="3"/>
  <c r="F665" i="3"/>
  <c r="F735" i="3"/>
  <c r="F688" i="3"/>
  <c r="F674" i="3"/>
  <c r="F783" i="3"/>
  <c r="F683" i="3"/>
  <c r="F669" i="3"/>
  <c r="F721" i="3"/>
  <c r="F717" i="3"/>
  <c r="F700" i="3"/>
  <c r="F692" i="3"/>
  <c r="F678" i="3"/>
  <c r="F664" i="3"/>
  <c r="F755" i="3"/>
  <c r="F713" i="3"/>
  <c r="F708" i="3"/>
  <c r="F687" i="3"/>
  <c r="F673" i="3"/>
  <c r="F770" i="3"/>
  <c r="F742" i="3"/>
  <c r="F686" i="3"/>
  <c r="F672" i="3"/>
  <c r="F676" i="3"/>
  <c r="F732" i="3"/>
  <c r="F667" i="3"/>
  <c r="F691" i="3"/>
  <c r="F682" i="3"/>
  <c r="F662" i="3"/>
  <c r="F722" i="3"/>
  <c r="F668" i="3"/>
  <c r="F663" i="3"/>
  <c r="F726" i="3"/>
  <c r="F690" i="3"/>
  <c r="F677" i="3"/>
  <c r="F734" i="3"/>
  <c r="F681" i="3"/>
  <c r="F703" i="3"/>
  <c r="E58" i="1"/>
  <c r="F58" i="1" s="1"/>
  <c r="G58" i="1" s="1"/>
  <c r="F60" i="1"/>
  <c r="G60" i="1" s="1"/>
  <c r="F168" i="3"/>
  <c r="C59" i="3"/>
  <c r="C10" i="3" s="1"/>
  <c r="F187" i="3"/>
  <c r="D59" i="3"/>
  <c r="D10" i="3" s="1"/>
  <c r="F182" i="3"/>
  <c r="F210" i="3"/>
  <c r="F222" i="3"/>
  <c r="F52" i="1" l="1"/>
  <c r="G52" i="1" s="1"/>
  <c r="F54" i="1"/>
  <c r="G54" i="1" s="1"/>
  <c r="F55" i="1"/>
  <c r="G55" i="1" s="1"/>
  <c r="P639" i="3"/>
  <c r="P648" i="3"/>
  <c r="P634" i="3"/>
  <c r="P643" i="3"/>
  <c r="P638" i="3"/>
  <c r="P647" i="3"/>
  <c r="P633" i="3"/>
  <c r="P619" i="3"/>
  <c r="P642" i="3"/>
  <c r="P637" i="3"/>
  <c r="P646" i="3"/>
  <c r="P632" i="3"/>
  <c r="P641" i="3"/>
  <c r="P627" i="3"/>
  <c r="P616" i="3"/>
  <c r="P601" i="3"/>
  <c r="P587" i="3"/>
  <c r="P573" i="3"/>
  <c r="P559" i="3"/>
  <c r="P545" i="3"/>
  <c r="P650" i="3"/>
  <c r="P629" i="3"/>
  <c r="P628" i="3"/>
  <c r="P610" i="3"/>
  <c r="P596" i="3"/>
  <c r="P582" i="3"/>
  <c r="P568" i="3"/>
  <c r="P554" i="3"/>
  <c r="P540" i="3"/>
  <c r="P615" i="3"/>
  <c r="P605" i="3"/>
  <c r="P591" i="3"/>
  <c r="P577" i="3"/>
  <c r="P563" i="3"/>
  <c r="P549" i="3"/>
  <c r="P626" i="3"/>
  <c r="P614" i="3"/>
  <c r="P600" i="3"/>
  <c r="P586" i="3"/>
  <c r="P572" i="3"/>
  <c r="P558" i="3"/>
  <c r="P544" i="3"/>
  <c r="P530" i="3"/>
  <c r="P516" i="3"/>
  <c r="P630" i="3"/>
  <c r="P609" i="3"/>
  <c r="P595" i="3"/>
  <c r="P581" i="3"/>
  <c r="P567" i="3"/>
  <c r="P553" i="3"/>
  <c r="P539" i="3"/>
  <c r="P525" i="3"/>
  <c r="P635" i="3"/>
  <c r="P631" i="3"/>
  <c r="P625" i="3"/>
  <c r="P604" i="3"/>
  <c r="P590" i="3"/>
  <c r="P576" i="3"/>
  <c r="P562" i="3"/>
  <c r="P548" i="3"/>
  <c r="P534" i="3"/>
  <c r="P520" i="3"/>
  <c r="P624" i="3"/>
  <c r="P613" i="3"/>
  <c r="P599" i="3"/>
  <c r="P585" i="3"/>
  <c r="P571" i="3"/>
  <c r="P623" i="3"/>
  <c r="P622" i="3"/>
  <c r="P608" i="3"/>
  <c r="P594" i="3"/>
  <c r="P580" i="3"/>
  <c r="P566" i="3"/>
  <c r="P552" i="3"/>
  <c r="P602" i="3"/>
  <c r="P588" i="3"/>
  <c r="P560" i="3"/>
  <c r="P533" i="3"/>
  <c r="P532" i="3"/>
  <c r="P528" i="3"/>
  <c r="P527" i="3"/>
  <c r="P524" i="3"/>
  <c r="P523" i="3"/>
  <c r="P506" i="3"/>
  <c r="P492" i="3"/>
  <c r="P478" i="3"/>
  <c r="P644" i="3"/>
  <c r="P598" i="3"/>
  <c r="P593" i="3"/>
  <c r="P561" i="3"/>
  <c r="P557" i="3"/>
  <c r="P531" i="3"/>
  <c r="P526" i="3"/>
  <c r="P519" i="3"/>
  <c r="P501" i="3"/>
  <c r="P487" i="3"/>
  <c r="P473" i="3"/>
  <c r="P603" i="3"/>
  <c r="P578" i="3"/>
  <c r="P570" i="3"/>
  <c r="P541" i="3"/>
  <c r="P535" i="3"/>
  <c r="P522" i="3"/>
  <c r="P521" i="3"/>
  <c r="P518" i="3"/>
  <c r="P510" i="3"/>
  <c r="P496" i="3"/>
  <c r="P482" i="3"/>
  <c r="P546" i="3"/>
  <c r="P517" i="3"/>
  <c r="P515" i="3"/>
  <c r="P505" i="3"/>
  <c r="P491" i="3"/>
  <c r="P477" i="3"/>
  <c r="P649" i="3"/>
  <c r="P636" i="3"/>
  <c r="P617" i="3"/>
  <c r="P564" i="3"/>
  <c r="P547" i="3"/>
  <c r="P542" i="3"/>
  <c r="P537" i="3"/>
  <c r="P536" i="3"/>
  <c r="P500" i="3"/>
  <c r="P486" i="3"/>
  <c r="P472" i="3"/>
  <c r="P458" i="3"/>
  <c r="P584" i="3"/>
  <c r="P579" i="3"/>
  <c r="P550" i="3"/>
  <c r="P514" i="3"/>
  <c r="P509" i="3"/>
  <c r="P495" i="3"/>
  <c r="P481" i="3"/>
  <c r="P467" i="3"/>
  <c r="P611" i="3"/>
  <c r="P589" i="3"/>
  <c r="P565" i="3"/>
  <c r="P551" i="3"/>
  <c r="P543" i="3"/>
  <c r="P538" i="3"/>
  <c r="P504" i="3"/>
  <c r="P490" i="3"/>
  <c r="P640" i="3"/>
  <c r="P620" i="3"/>
  <c r="P513" i="3"/>
  <c r="P499" i="3"/>
  <c r="P485" i="3"/>
  <c r="P606" i="3"/>
  <c r="P508" i="3"/>
  <c r="P494" i="3"/>
  <c r="P480" i="3"/>
  <c r="P466" i="3"/>
  <c r="P452" i="3"/>
  <c r="P645" i="3"/>
  <c r="P575" i="3"/>
  <c r="P507" i="3"/>
  <c r="P493" i="3"/>
  <c r="P556" i="3"/>
  <c r="P497" i="3"/>
  <c r="P439" i="3"/>
  <c r="P425" i="3"/>
  <c r="P411" i="3"/>
  <c r="P597" i="3"/>
  <c r="P569" i="3"/>
  <c r="P474" i="3"/>
  <c r="P450" i="3"/>
  <c r="P434" i="3"/>
  <c r="P420" i="3"/>
  <c r="P618" i="3"/>
  <c r="P592" i="3"/>
  <c r="P512" i="3"/>
  <c r="P469" i="3"/>
  <c r="P449" i="3"/>
  <c r="P443" i="3"/>
  <c r="P429" i="3"/>
  <c r="P415" i="3"/>
  <c r="P574" i="3"/>
  <c r="P502" i="3"/>
  <c r="P489" i="3"/>
  <c r="P475" i="3"/>
  <c r="P448" i="3"/>
  <c r="P438" i="3"/>
  <c r="P424" i="3"/>
  <c r="P484" i="3"/>
  <c r="P470" i="3"/>
  <c r="P447" i="3"/>
  <c r="P433" i="3"/>
  <c r="P419" i="3"/>
  <c r="P555" i="3"/>
  <c r="P479" i="3"/>
  <c r="P465" i="3"/>
  <c r="P442" i="3"/>
  <c r="P428" i="3"/>
  <c r="P414" i="3"/>
  <c r="P529" i="3"/>
  <c r="P498" i="3"/>
  <c r="P476" i="3"/>
  <c r="P471" i="3"/>
  <c r="P462" i="3"/>
  <c r="P461" i="3"/>
  <c r="P437" i="3"/>
  <c r="P423" i="3"/>
  <c r="P464" i="3"/>
  <c r="P463" i="3"/>
  <c r="P460" i="3"/>
  <c r="P446" i="3"/>
  <c r="P432" i="3"/>
  <c r="P418" i="3"/>
  <c r="P607" i="3"/>
  <c r="P459" i="3"/>
  <c r="P457" i="3"/>
  <c r="P441" i="3"/>
  <c r="P427" i="3"/>
  <c r="P413" i="3"/>
  <c r="P454" i="3"/>
  <c r="P453" i="3"/>
  <c r="P440" i="3"/>
  <c r="P426" i="3"/>
  <c r="P412" i="3"/>
  <c r="P417" i="3"/>
  <c r="P456" i="3"/>
  <c r="P444" i="3"/>
  <c r="P422" i="3"/>
  <c r="P612" i="3"/>
  <c r="P430" i="3"/>
  <c r="P503" i="3"/>
  <c r="P468" i="3"/>
  <c r="P435" i="3"/>
  <c r="P451" i="3"/>
  <c r="P445" i="3"/>
  <c r="P416" i="3"/>
  <c r="P511" i="3"/>
  <c r="P483" i="3"/>
  <c r="P621" i="3"/>
  <c r="P455" i="3"/>
  <c r="P583" i="3"/>
  <c r="P488" i="3"/>
  <c r="P431" i="3"/>
  <c r="P436" i="3"/>
  <c r="P421" i="3"/>
  <c r="D67" i="3"/>
  <c r="D23" i="3" s="1"/>
  <c r="P887" i="3"/>
  <c r="P873" i="3"/>
  <c r="P859" i="3"/>
  <c r="P845" i="3"/>
  <c r="P831" i="3"/>
  <c r="P896" i="3"/>
  <c r="P891" i="3"/>
  <c r="P877" i="3"/>
  <c r="P863" i="3"/>
  <c r="P849" i="3"/>
  <c r="P835" i="3"/>
  <c r="P900" i="3"/>
  <c r="P886" i="3"/>
  <c r="P872" i="3"/>
  <c r="P895" i="3"/>
  <c r="P881" i="3"/>
  <c r="P867" i="3"/>
  <c r="P853" i="3"/>
  <c r="P839" i="3"/>
  <c r="P825" i="3"/>
  <c r="P899" i="3"/>
  <c r="P894" i="3"/>
  <c r="P880" i="3"/>
  <c r="P866" i="3"/>
  <c r="P852" i="3"/>
  <c r="P838" i="3"/>
  <c r="P824" i="3"/>
  <c r="P889" i="3"/>
  <c r="P875" i="3"/>
  <c r="P861" i="3"/>
  <c r="P847" i="3"/>
  <c r="P833" i="3"/>
  <c r="P898" i="3"/>
  <c r="P897" i="3"/>
  <c r="P883" i="3"/>
  <c r="P869" i="3"/>
  <c r="P855" i="3"/>
  <c r="P841" i="3"/>
  <c r="P827" i="3"/>
  <c r="P892" i="3"/>
  <c r="P878" i="3"/>
  <c r="P864" i="3"/>
  <c r="P850" i="3"/>
  <c r="P836" i="3"/>
  <c r="P822" i="3"/>
  <c r="P884" i="3"/>
  <c r="P846" i="3"/>
  <c r="P814" i="3"/>
  <c r="P800" i="3"/>
  <c r="P786" i="3"/>
  <c r="P879" i="3"/>
  <c r="P874" i="3"/>
  <c r="P843" i="3"/>
  <c r="P840" i="3"/>
  <c r="P834" i="3"/>
  <c r="P823" i="3"/>
  <c r="P809" i="3"/>
  <c r="P795" i="3"/>
  <c r="P781" i="3"/>
  <c r="P837" i="3"/>
  <c r="P818" i="3"/>
  <c r="P804" i="3"/>
  <c r="P790" i="3"/>
  <c r="P882" i="3"/>
  <c r="P862" i="3"/>
  <c r="P856" i="3"/>
  <c r="P813" i="3"/>
  <c r="P799" i="3"/>
  <c r="P785" i="3"/>
  <c r="P844" i="3"/>
  <c r="P828" i="3"/>
  <c r="P808" i="3"/>
  <c r="P794" i="3"/>
  <c r="P885" i="3"/>
  <c r="P870" i="3"/>
  <c r="P812" i="3"/>
  <c r="P798" i="3"/>
  <c r="P876" i="3"/>
  <c r="P858" i="3"/>
  <c r="P830" i="3"/>
  <c r="P826" i="3"/>
  <c r="P815" i="3"/>
  <c r="P801" i="3"/>
  <c r="P893" i="3"/>
  <c r="P871" i="3"/>
  <c r="P819" i="3"/>
  <c r="P805" i="3"/>
  <c r="P868" i="3"/>
  <c r="P810" i="3"/>
  <c r="P783" i="3"/>
  <c r="P774" i="3"/>
  <c r="P760" i="3"/>
  <c r="P746" i="3"/>
  <c r="P732" i="3"/>
  <c r="P796" i="3"/>
  <c r="P792" i="3"/>
  <c r="P769" i="3"/>
  <c r="P755" i="3"/>
  <c r="P741" i="3"/>
  <c r="P890" i="3"/>
  <c r="P802" i="3"/>
  <c r="P788" i="3"/>
  <c r="P784" i="3"/>
  <c r="P764" i="3"/>
  <c r="P750" i="3"/>
  <c r="P736" i="3"/>
  <c r="P820" i="3"/>
  <c r="P793" i="3"/>
  <c r="P773" i="3"/>
  <c r="P759" i="3"/>
  <c r="P745" i="3"/>
  <c r="P789" i="3"/>
  <c r="P768" i="3"/>
  <c r="P754" i="3"/>
  <c r="P740" i="3"/>
  <c r="P857" i="3"/>
  <c r="P854" i="3"/>
  <c r="P811" i="3"/>
  <c r="P797" i="3"/>
  <c r="P772" i="3"/>
  <c r="P758" i="3"/>
  <c r="P816" i="3"/>
  <c r="P806" i="3"/>
  <c r="P778" i="3"/>
  <c r="P777" i="3"/>
  <c r="P767" i="3"/>
  <c r="P842" i="3"/>
  <c r="P832" i="3"/>
  <c r="P817" i="3"/>
  <c r="P807" i="3"/>
  <c r="P865" i="3"/>
  <c r="P829" i="3"/>
  <c r="P888" i="3"/>
  <c r="P787" i="3"/>
  <c r="P722" i="3"/>
  <c r="P708" i="3"/>
  <c r="P765" i="3"/>
  <c r="P757" i="3"/>
  <c r="P753" i="3"/>
  <c r="P735" i="3"/>
  <c r="P734" i="3"/>
  <c r="P717" i="3"/>
  <c r="P703" i="3"/>
  <c r="P782" i="3"/>
  <c r="P761" i="3"/>
  <c r="P747" i="3"/>
  <c r="P733" i="3"/>
  <c r="P731" i="3"/>
  <c r="P726" i="3"/>
  <c r="P712" i="3"/>
  <c r="P698" i="3"/>
  <c r="P860" i="3"/>
  <c r="P721" i="3"/>
  <c r="P707" i="3"/>
  <c r="P766" i="3"/>
  <c r="P748" i="3"/>
  <c r="P742" i="3"/>
  <c r="P730" i="3"/>
  <c r="P716" i="3"/>
  <c r="P702" i="3"/>
  <c r="P779" i="3"/>
  <c r="P762" i="3"/>
  <c r="P749" i="3"/>
  <c r="P725" i="3"/>
  <c r="P711" i="3"/>
  <c r="P697" i="3"/>
  <c r="P775" i="3"/>
  <c r="P743" i="3"/>
  <c r="P737" i="3"/>
  <c r="P720" i="3"/>
  <c r="P848" i="3"/>
  <c r="P763" i="3"/>
  <c r="P729" i="3"/>
  <c r="P715" i="3"/>
  <c r="P701" i="3"/>
  <c r="P744" i="3"/>
  <c r="P738" i="3"/>
  <c r="P724" i="3"/>
  <c r="P710" i="3"/>
  <c r="P751" i="3"/>
  <c r="P780" i="3"/>
  <c r="P691" i="3"/>
  <c r="P677" i="3"/>
  <c r="P663" i="3"/>
  <c r="P756" i="3"/>
  <c r="P686" i="3"/>
  <c r="P672" i="3"/>
  <c r="P727" i="3"/>
  <c r="P705" i="3"/>
  <c r="P681" i="3"/>
  <c r="P667" i="3"/>
  <c r="P723" i="3"/>
  <c r="P719" i="3"/>
  <c r="P700" i="3"/>
  <c r="P690" i="3"/>
  <c r="P676" i="3"/>
  <c r="P662" i="3"/>
  <c r="P821" i="3"/>
  <c r="P685" i="3"/>
  <c r="P671" i="3"/>
  <c r="P752" i="3"/>
  <c r="P696" i="3"/>
  <c r="P680" i="3"/>
  <c r="P666" i="3"/>
  <c r="P851" i="3"/>
  <c r="P803" i="3"/>
  <c r="P771" i="3"/>
  <c r="P695" i="3"/>
  <c r="P689" i="3"/>
  <c r="P675" i="3"/>
  <c r="P661" i="3"/>
  <c r="P713" i="3"/>
  <c r="P706" i="3"/>
  <c r="P694" i="3"/>
  <c r="P684" i="3"/>
  <c r="P670" i="3"/>
  <c r="P728" i="3"/>
  <c r="P679" i="3"/>
  <c r="P665" i="3"/>
  <c r="P709" i="3"/>
  <c r="P692" i="3"/>
  <c r="P678" i="3"/>
  <c r="P664" i="3"/>
  <c r="P699" i="3"/>
  <c r="P687" i="3"/>
  <c r="P791" i="3"/>
  <c r="P669" i="3"/>
  <c r="P673" i="3"/>
  <c r="P776" i="3"/>
  <c r="P693" i="3"/>
  <c r="P682" i="3"/>
  <c r="P688" i="3"/>
  <c r="P718" i="3"/>
  <c r="P674" i="3"/>
  <c r="P739" i="3"/>
  <c r="P668" i="3"/>
  <c r="P683" i="3"/>
  <c r="P704" i="3"/>
  <c r="P714" i="3"/>
  <c r="P770" i="3"/>
  <c r="E67" i="3"/>
  <c r="E23" i="3" s="1"/>
  <c r="G50" i="1"/>
  <c r="P387" i="3"/>
  <c r="P373" i="3"/>
  <c r="P359" i="3"/>
  <c r="P396" i="3"/>
  <c r="P382" i="3"/>
  <c r="P368" i="3"/>
  <c r="P354" i="3"/>
  <c r="P391" i="3"/>
  <c r="P377" i="3"/>
  <c r="P363" i="3"/>
  <c r="P400" i="3"/>
  <c r="P386" i="3"/>
  <c r="P372" i="3"/>
  <c r="P358" i="3"/>
  <c r="P395" i="3"/>
  <c r="P381" i="3"/>
  <c r="P367" i="3"/>
  <c r="P353" i="3"/>
  <c r="P339" i="3"/>
  <c r="P325" i="3"/>
  <c r="P390" i="3"/>
  <c r="P376" i="3"/>
  <c r="P362" i="3"/>
  <c r="P348" i="3"/>
  <c r="P399" i="3"/>
  <c r="P385" i="3"/>
  <c r="P371" i="3"/>
  <c r="P394" i="3"/>
  <c r="P380" i="3"/>
  <c r="P366" i="3"/>
  <c r="P352" i="3"/>
  <c r="P389" i="3"/>
  <c r="P375" i="3"/>
  <c r="P361" i="3"/>
  <c r="P347" i="3"/>
  <c r="P333" i="3"/>
  <c r="P319" i="3"/>
  <c r="P388" i="3"/>
  <c r="P356" i="3"/>
  <c r="P331" i="3"/>
  <c r="P317" i="3"/>
  <c r="P309" i="3"/>
  <c r="P295" i="3"/>
  <c r="P281" i="3"/>
  <c r="P267" i="3"/>
  <c r="P378" i="3"/>
  <c r="P330" i="3"/>
  <c r="P316" i="3"/>
  <c r="P304" i="3"/>
  <c r="P290" i="3"/>
  <c r="P276" i="3"/>
  <c r="P262" i="3"/>
  <c r="P350" i="3"/>
  <c r="P346" i="3"/>
  <c r="P329" i="3"/>
  <c r="P328" i="3"/>
  <c r="P315" i="3"/>
  <c r="P314" i="3"/>
  <c r="P299" i="3"/>
  <c r="P285" i="3"/>
  <c r="P271" i="3"/>
  <c r="P257" i="3"/>
  <c r="P393" i="3"/>
  <c r="P383" i="3"/>
  <c r="P374" i="3"/>
  <c r="P369" i="3"/>
  <c r="P343" i="3"/>
  <c r="P342" i="3"/>
  <c r="P308" i="3"/>
  <c r="P294" i="3"/>
  <c r="P280" i="3"/>
  <c r="P266" i="3"/>
  <c r="P252" i="3"/>
  <c r="P238" i="3"/>
  <c r="P224" i="3"/>
  <c r="P364" i="3"/>
  <c r="P345" i="3"/>
  <c r="P344" i="3"/>
  <c r="P341" i="3"/>
  <c r="P327" i="3"/>
  <c r="P313" i="3"/>
  <c r="P303" i="3"/>
  <c r="P289" i="3"/>
  <c r="P398" i="3"/>
  <c r="P357" i="3"/>
  <c r="P340" i="3"/>
  <c r="P326" i="3"/>
  <c r="P298" i="3"/>
  <c r="P284" i="3"/>
  <c r="P270" i="3"/>
  <c r="P351" i="3"/>
  <c r="P312" i="3"/>
  <c r="P307" i="3"/>
  <c r="P293" i="3"/>
  <c r="P279" i="3"/>
  <c r="P379" i="3"/>
  <c r="P370" i="3"/>
  <c r="P360" i="3"/>
  <c r="P338" i="3"/>
  <c r="P324" i="3"/>
  <c r="P302" i="3"/>
  <c r="P288" i="3"/>
  <c r="P274" i="3"/>
  <c r="P337" i="3"/>
  <c r="P323" i="3"/>
  <c r="P311" i="3"/>
  <c r="P297" i="3"/>
  <c r="P283" i="3"/>
  <c r="P269" i="3"/>
  <c r="P255" i="3"/>
  <c r="P241" i="3"/>
  <c r="P227" i="3"/>
  <c r="P275" i="3"/>
  <c r="P239" i="3"/>
  <c r="P225" i="3"/>
  <c r="P210" i="3"/>
  <c r="P196" i="3"/>
  <c r="P182" i="3"/>
  <c r="P168" i="3"/>
  <c r="P384" i="3"/>
  <c r="P272" i="3"/>
  <c r="P250" i="3"/>
  <c r="P237" i="3"/>
  <c r="P236" i="3"/>
  <c r="P223" i="3"/>
  <c r="P222" i="3"/>
  <c r="P205" i="3"/>
  <c r="P191" i="3"/>
  <c r="P177" i="3"/>
  <c r="P163" i="3"/>
  <c r="P263" i="3"/>
  <c r="P251" i="3"/>
  <c r="P214" i="3"/>
  <c r="P200" i="3"/>
  <c r="P186" i="3"/>
  <c r="P172" i="3"/>
  <c r="P365" i="3"/>
  <c r="P334" i="3"/>
  <c r="P321" i="3"/>
  <c r="P305" i="3"/>
  <c r="P264" i="3"/>
  <c r="P256" i="3"/>
  <c r="P254" i="3"/>
  <c r="P253" i="3"/>
  <c r="P249" i="3"/>
  <c r="P235" i="3"/>
  <c r="P221" i="3"/>
  <c r="P209" i="3"/>
  <c r="P195" i="3"/>
  <c r="P181" i="3"/>
  <c r="P167" i="3"/>
  <c r="P349" i="3"/>
  <c r="P332" i="3"/>
  <c r="P300" i="3"/>
  <c r="P248" i="3"/>
  <c r="P234" i="3"/>
  <c r="P220" i="3"/>
  <c r="P204" i="3"/>
  <c r="P190" i="3"/>
  <c r="P176" i="3"/>
  <c r="P162" i="3"/>
  <c r="P310" i="3"/>
  <c r="P273" i="3"/>
  <c r="P247" i="3"/>
  <c r="P233" i="3"/>
  <c r="P219" i="3"/>
  <c r="P213" i="3"/>
  <c r="P199" i="3"/>
  <c r="P185" i="3"/>
  <c r="P171" i="3"/>
  <c r="P291" i="3"/>
  <c r="P259" i="3"/>
  <c r="P258" i="3"/>
  <c r="P208" i="3"/>
  <c r="P194" i="3"/>
  <c r="P180" i="3"/>
  <c r="P166" i="3"/>
  <c r="P392" i="3"/>
  <c r="P306" i="3"/>
  <c r="P286" i="3"/>
  <c r="P265" i="3"/>
  <c r="P246" i="3"/>
  <c r="P232" i="3"/>
  <c r="P218" i="3"/>
  <c r="P203" i="3"/>
  <c r="P189" i="3"/>
  <c r="P175" i="3"/>
  <c r="P161" i="3"/>
  <c r="P397" i="3"/>
  <c r="P335" i="3"/>
  <c r="P322" i="3"/>
  <c r="P301" i="3"/>
  <c r="P296" i="3"/>
  <c r="P260" i="3"/>
  <c r="P245" i="3"/>
  <c r="P231" i="3"/>
  <c r="P217" i="3"/>
  <c r="P212" i="3"/>
  <c r="P198" i="3"/>
  <c r="P184" i="3"/>
  <c r="P170" i="3"/>
  <c r="P277" i="3"/>
  <c r="P268" i="3"/>
  <c r="P207" i="3"/>
  <c r="P355" i="3"/>
  <c r="P292" i="3"/>
  <c r="P261" i="3"/>
  <c r="P244" i="3"/>
  <c r="P287" i="3"/>
  <c r="P282" i="3"/>
  <c r="P243" i="3"/>
  <c r="P229" i="3"/>
  <c r="P211" i="3"/>
  <c r="P197" i="3"/>
  <c r="P183" i="3"/>
  <c r="P169" i="3"/>
  <c r="P336" i="3"/>
  <c r="P320" i="3"/>
  <c r="P242" i="3"/>
  <c r="P228" i="3"/>
  <c r="P206" i="3"/>
  <c r="P192" i="3"/>
  <c r="P178" i="3"/>
  <c r="P164" i="3"/>
  <c r="P318" i="3"/>
  <c r="P278" i="3"/>
  <c r="P240" i="3"/>
  <c r="P226" i="3"/>
  <c r="P215" i="3"/>
  <c r="P201" i="3"/>
  <c r="P187" i="3"/>
  <c r="P173" i="3"/>
  <c r="P165" i="3"/>
  <c r="C67" i="3"/>
  <c r="P202" i="3"/>
  <c r="P230" i="3"/>
  <c r="P193" i="3"/>
  <c r="P188" i="3"/>
  <c r="P179" i="3"/>
  <c r="P216" i="3"/>
  <c r="P174" i="3"/>
  <c r="E63" i="3"/>
  <c r="E64" i="3" s="1"/>
  <c r="C63" i="3"/>
  <c r="C64" i="3" s="1"/>
  <c r="E12" i="3"/>
  <c r="C12" i="3"/>
  <c r="D64" i="3"/>
  <c r="D12" i="3"/>
  <c r="C66" i="1" l="1"/>
  <c r="L3" i="1" s="1"/>
  <c r="L4" i="1" s="1"/>
  <c r="J78" i="3"/>
  <c r="I78" i="3"/>
  <c r="H78" i="3"/>
  <c r="G78" i="3"/>
  <c r="D11" i="3"/>
  <c r="D70" i="3"/>
  <c r="E11" i="3"/>
  <c r="E70" i="3"/>
  <c r="N78" i="3"/>
  <c r="M78" i="3"/>
  <c r="L78" i="3"/>
  <c r="K78" i="3"/>
  <c r="C11" i="3"/>
  <c r="F78" i="3"/>
  <c r="E78" i="3"/>
  <c r="D78" i="3"/>
  <c r="C78" i="3"/>
  <c r="C70" i="3"/>
  <c r="C65" i="3" l="1"/>
  <c r="C6" i="3" s="1"/>
  <c r="D65" i="3"/>
  <c r="D6" i="3" s="1"/>
  <c r="E65" i="3"/>
  <c r="E6" i="3" s="1"/>
  <c r="L7" i="1"/>
  <c r="L8" i="1" s="1"/>
  <c r="L5" i="1"/>
  <c r="E22" i="3" l="1"/>
  <c r="C22" i="3"/>
  <c r="D22" i="3"/>
  <c r="L13" i="1"/>
  <c r="L11" i="1"/>
  <c r="L12" i="1" s="1"/>
  <c r="D891" i="3"/>
  <c r="D877" i="3"/>
  <c r="D863" i="3"/>
  <c r="E863" i="3" s="1"/>
  <c r="M863" i="3" s="1"/>
  <c r="D849" i="3"/>
  <c r="E849" i="3" s="1"/>
  <c r="D835" i="3"/>
  <c r="D900" i="3"/>
  <c r="D895" i="3"/>
  <c r="D881" i="3"/>
  <c r="E881" i="3" s="1"/>
  <c r="D867" i="3"/>
  <c r="D853" i="3"/>
  <c r="E853" i="3" s="1"/>
  <c r="D839" i="3"/>
  <c r="E839" i="3" s="1"/>
  <c r="D890" i="3"/>
  <c r="D876" i="3"/>
  <c r="D862" i="3"/>
  <c r="E862" i="3" s="1"/>
  <c r="D899" i="3"/>
  <c r="E899" i="3" s="1"/>
  <c r="D885" i="3"/>
  <c r="E885" i="3" s="1"/>
  <c r="D871" i="3"/>
  <c r="D857" i="3"/>
  <c r="E857" i="3" s="1"/>
  <c r="M857" i="3" s="1"/>
  <c r="D843" i="3"/>
  <c r="D829" i="3"/>
  <c r="D898" i="3"/>
  <c r="D884" i="3"/>
  <c r="E884" i="3" s="1"/>
  <c r="D870" i="3"/>
  <c r="E870" i="3" s="1"/>
  <c r="D856" i="3"/>
  <c r="E856" i="3" s="1"/>
  <c r="M856" i="3" s="1"/>
  <c r="D842" i="3"/>
  <c r="D828" i="3"/>
  <c r="D893" i="3"/>
  <c r="D879" i="3"/>
  <c r="D865" i="3"/>
  <c r="D851" i="3"/>
  <c r="D837" i="3"/>
  <c r="E837" i="3" s="1"/>
  <c r="D823" i="3"/>
  <c r="D897" i="3"/>
  <c r="E897" i="3" s="1"/>
  <c r="D887" i="3"/>
  <c r="D873" i="3"/>
  <c r="E873" i="3" s="1"/>
  <c r="D859" i="3"/>
  <c r="E859" i="3" s="1"/>
  <c r="D845" i="3"/>
  <c r="E845" i="3" s="1"/>
  <c r="D831" i="3"/>
  <c r="E831" i="3" s="1"/>
  <c r="M831" i="3" s="1"/>
  <c r="D896" i="3"/>
  <c r="E896" i="3" s="1"/>
  <c r="D882" i="3"/>
  <c r="E882" i="3" s="1"/>
  <c r="D868" i="3"/>
  <c r="D854" i="3"/>
  <c r="D840" i="3"/>
  <c r="E840" i="3" s="1"/>
  <c r="D826" i="3"/>
  <c r="D883" i="3"/>
  <c r="E883" i="3" s="1"/>
  <c r="D878" i="3"/>
  <c r="E878" i="3" s="1"/>
  <c r="D848" i="3"/>
  <c r="E848" i="3" s="1"/>
  <c r="D818" i="3"/>
  <c r="E818" i="3" s="1"/>
  <c r="D804" i="3"/>
  <c r="E804" i="3" s="1"/>
  <c r="M804" i="3" s="1"/>
  <c r="D790" i="3"/>
  <c r="E790" i="3" s="1"/>
  <c r="D825" i="3"/>
  <c r="D813" i="3"/>
  <c r="D799" i="3"/>
  <c r="E799" i="3" s="1"/>
  <c r="D785" i="3"/>
  <c r="D886" i="3"/>
  <c r="E886" i="3" s="1"/>
  <c r="D808" i="3"/>
  <c r="E808" i="3" s="1"/>
  <c r="M808" i="3" s="1"/>
  <c r="D794" i="3"/>
  <c r="D780" i="3"/>
  <c r="E780" i="3" s="1"/>
  <c r="D866" i="3"/>
  <c r="D861" i="3"/>
  <c r="E861" i="3" s="1"/>
  <c r="D858" i="3"/>
  <c r="D836" i="3"/>
  <c r="D833" i="3"/>
  <c r="E833" i="3" s="1"/>
  <c r="D830" i="3"/>
  <c r="D817" i="3"/>
  <c r="E817" i="3" s="1"/>
  <c r="D803" i="3"/>
  <c r="E803" i="3" s="1"/>
  <c r="M803" i="3" s="1"/>
  <c r="D789" i="3"/>
  <c r="E789" i="3" s="1"/>
  <c r="D822" i="3"/>
  <c r="E822" i="3" s="1"/>
  <c r="D812" i="3"/>
  <c r="D798" i="3"/>
  <c r="E798" i="3" s="1"/>
  <c r="M798" i="3" s="1"/>
  <c r="D784" i="3"/>
  <c r="E784" i="3" s="1"/>
  <c r="D869" i="3"/>
  <c r="E869" i="3" s="1"/>
  <c r="D864" i="3"/>
  <c r="D816" i="3"/>
  <c r="E816" i="3" s="1"/>
  <c r="D802" i="3"/>
  <c r="E802" i="3" s="1"/>
  <c r="M802" i="3" s="1"/>
  <c r="D788" i="3"/>
  <c r="D880" i="3"/>
  <c r="D875" i="3"/>
  <c r="D824" i="3"/>
  <c r="E824" i="3" s="1"/>
  <c r="D819" i="3"/>
  <c r="D805" i="3"/>
  <c r="D860" i="3"/>
  <c r="E860" i="3" s="1"/>
  <c r="D841" i="3"/>
  <c r="E841" i="3" s="1"/>
  <c r="D838" i="3"/>
  <c r="D832" i="3"/>
  <c r="D888" i="3"/>
  <c r="D809" i="3"/>
  <c r="D872" i="3"/>
  <c r="D814" i="3"/>
  <c r="E814" i="3" s="1"/>
  <c r="M814" i="3" s="1"/>
  <c r="D764" i="3"/>
  <c r="E764" i="3" s="1"/>
  <c r="M764" i="3" s="1"/>
  <c r="D750" i="3"/>
  <c r="E750" i="3" s="1"/>
  <c r="D736" i="3"/>
  <c r="E736" i="3" s="1"/>
  <c r="D773" i="3"/>
  <c r="E773" i="3" s="1"/>
  <c r="D759" i="3"/>
  <c r="E759" i="3" s="1"/>
  <c r="D745" i="3"/>
  <c r="D850" i="3"/>
  <c r="E850" i="3" s="1"/>
  <c r="D807" i="3"/>
  <c r="E807" i="3" s="1"/>
  <c r="M807" i="3" s="1"/>
  <c r="D786" i="3"/>
  <c r="E786" i="3" s="1"/>
  <c r="M786" i="3" s="1"/>
  <c r="D779" i="3"/>
  <c r="E779" i="3" s="1"/>
  <c r="D778" i="3"/>
  <c r="E778" i="3" s="1"/>
  <c r="D768" i="3"/>
  <c r="D754" i="3"/>
  <c r="E754" i="3" s="1"/>
  <c r="D740" i="3"/>
  <c r="E740" i="3" s="1"/>
  <c r="M740" i="3" s="1"/>
  <c r="D894" i="3"/>
  <c r="E894" i="3" s="1"/>
  <c r="M894" i="3" s="1"/>
  <c r="D855" i="3"/>
  <c r="D847" i="3"/>
  <c r="E847" i="3" s="1"/>
  <c r="M847" i="3" s="1"/>
  <c r="D801" i="3"/>
  <c r="D777" i="3"/>
  <c r="D763" i="3"/>
  <c r="D749" i="3"/>
  <c r="D735" i="3"/>
  <c r="D874" i="3"/>
  <c r="D852" i="3"/>
  <c r="E852" i="3" s="1"/>
  <c r="D844" i="3"/>
  <c r="E844" i="3" s="1"/>
  <c r="D795" i="3"/>
  <c r="D791" i="3"/>
  <c r="E791" i="3" s="1"/>
  <c r="D772" i="3"/>
  <c r="D758" i="3"/>
  <c r="D744" i="3"/>
  <c r="E744" i="3" s="1"/>
  <c r="D846" i="3"/>
  <c r="D820" i="3"/>
  <c r="E820" i="3" s="1"/>
  <c r="D815" i="3"/>
  <c r="D782" i="3"/>
  <c r="E782" i="3" s="1"/>
  <c r="D776" i="3"/>
  <c r="E776" i="3" s="1"/>
  <c r="M776" i="3" s="1"/>
  <c r="D762" i="3"/>
  <c r="E762" i="3" s="1"/>
  <c r="M762" i="3" s="1"/>
  <c r="D796" i="3"/>
  <c r="D792" i="3"/>
  <c r="D783" i="3"/>
  <c r="E783" i="3" s="1"/>
  <c r="D771" i="3"/>
  <c r="D892" i="3"/>
  <c r="E892" i="3" s="1"/>
  <c r="D806" i="3"/>
  <c r="D797" i="3"/>
  <c r="D827" i="3"/>
  <c r="D821" i="3"/>
  <c r="E821" i="3" s="1"/>
  <c r="D770" i="3"/>
  <c r="E770" i="3" s="1"/>
  <c r="D767" i="3"/>
  <c r="D726" i="3"/>
  <c r="E726" i="3" s="1"/>
  <c r="D712" i="3"/>
  <c r="E712" i="3" s="1"/>
  <c r="D889" i="3"/>
  <c r="E889" i="3" s="1"/>
  <c r="D800" i="3"/>
  <c r="D755" i="3"/>
  <c r="D738" i="3"/>
  <c r="D721" i="3"/>
  <c r="D707" i="3"/>
  <c r="D834" i="3"/>
  <c r="E834" i="3" s="1"/>
  <c r="D730" i="3"/>
  <c r="D716" i="3"/>
  <c r="E716" i="3" s="1"/>
  <c r="D702" i="3"/>
  <c r="D739" i="3"/>
  <c r="E739" i="3" s="1"/>
  <c r="D725" i="3"/>
  <c r="E725" i="3" s="1"/>
  <c r="M725" i="3" s="1"/>
  <c r="D711" i="3"/>
  <c r="D697" i="3"/>
  <c r="E697" i="3" s="1"/>
  <c r="D756" i="3"/>
  <c r="E756" i="3" s="1"/>
  <c r="D751" i="3"/>
  <c r="E751" i="3" s="1"/>
  <c r="D720" i="3"/>
  <c r="E720" i="3" s="1"/>
  <c r="D706" i="3"/>
  <c r="D793" i="3"/>
  <c r="D774" i="3"/>
  <c r="D760" i="3"/>
  <c r="E760" i="3" s="1"/>
  <c r="D729" i="3"/>
  <c r="E729" i="3" s="1"/>
  <c r="D715" i="3"/>
  <c r="D701" i="3"/>
  <c r="D787" i="3"/>
  <c r="E787" i="3" s="1"/>
  <c r="D752" i="3"/>
  <c r="D724" i="3"/>
  <c r="E724" i="3" s="1"/>
  <c r="D765" i="3"/>
  <c r="E765" i="3" s="1"/>
  <c r="D757" i="3"/>
  <c r="E757" i="3" s="1"/>
  <c r="D746" i="3"/>
  <c r="D719" i="3"/>
  <c r="E719" i="3" s="1"/>
  <c r="M719" i="3" s="1"/>
  <c r="D705" i="3"/>
  <c r="D761" i="3"/>
  <c r="E761" i="3" s="1"/>
  <c r="D753" i="3"/>
  <c r="D728" i="3"/>
  <c r="E728" i="3" s="1"/>
  <c r="M728" i="3" s="1"/>
  <c r="D714" i="3"/>
  <c r="D700" i="3"/>
  <c r="D748" i="3"/>
  <c r="E748" i="3" s="1"/>
  <c r="M748" i="3" s="1"/>
  <c r="D742" i="3"/>
  <c r="D811" i="3"/>
  <c r="E811" i="3" s="1"/>
  <c r="M811" i="3" s="1"/>
  <c r="D722" i="3"/>
  <c r="E722" i="3" s="1"/>
  <c r="D681" i="3"/>
  <c r="E681" i="3" s="1"/>
  <c r="D667" i="3"/>
  <c r="E667" i="3" s="1"/>
  <c r="D643" i="3"/>
  <c r="E643" i="3" s="1"/>
  <c r="M643" i="3" s="1"/>
  <c r="D766" i="3"/>
  <c r="E766" i="3" s="1"/>
  <c r="D718" i="3"/>
  <c r="D709" i="3"/>
  <c r="D696" i="3"/>
  <c r="E696" i="3" s="1"/>
  <c r="M696" i="3" s="1"/>
  <c r="D690" i="3"/>
  <c r="D676" i="3"/>
  <c r="D662" i="3"/>
  <c r="E662" i="3" s="1"/>
  <c r="D638" i="3"/>
  <c r="D769" i="3"/>
  <c r="E769" i="3" s="1"/>
  <c r="D747" i="3"/>
  <c r="D741" i="3"/>
  <c r="E741" i="3" s="1"/>
  <c r="M741" i="3" s="1"/>
  <c r="D704" i="3"/>
  <c r="E704" i="3" s="1"/>
  <c r="M704" i="3" s="1"/>
  <c r="D698" i="3"/>
  <c r="E698" i="3" s="1"/>
  <c r="D695" i="3"/>
  <c r="D685" i="3"/>
  <c r="D671" i="3"/>
  <c r="E671" i="3" s="1"/>
  <c r="D647" i="3"/>
  <c r="D810" i="3"/>
  <c r="D680" i="3"/>
  <c r="D666" i="3"/>
  <c r="D642" i="3"/>
  <c r="D775" i="3"/>
  <c r="E775" i="3" s="1"/>
  <c r="D733" i="3"/>
  <c r="D731" i="3"/>
  <c r="D699" i="3"/>
  <c r="D694" i="3"/>
  <c r="D689" i="3"/>
  <c r="D675" i="3"/>
  <c r="D661" i="3"/>
  <c r="D637" i="3"/>
  <c r="D623" i="3"/>
  <c r="E623" i="3" s="1"/>
  <c r="M623" i="3" s="1"/>
  <c r="D727" i="3"/>
  <c r="E727" i="3" s="1"/>
  <c r="D684" i="3"/>
  <c r="E684" i="3" s="1"/>
  <c r="D670" i="3"/>
  <c r="E670" i="3" s="1"/>
  <c r="M670" i="3" s="1"/>
  <c r="D646" i="3"/>
  <c r="D723" i="3"/>
  <c r="E723" i="3" s="1"/>
  <c r="D693" i="3"/>
  <c r="D679" i="3"/>
  <c r="D665" i="3"/>
  <c r="E665" i="3" s="1"/>
  <c r="D641" i="3"/>
  <c r="D710" i="3"/>
  <c r="D688" i="3"/>
  <c r="E688" i="3" s="1"/>
  <c r="D674" i="3"/>
  <c r="D650" i="3"/>
  <c r="E650" i="3" s="1"/>
  <c r="D636" i="3"/>
  <c r="D743" i="3"/>
  <c r="D683" i="3"/>
  <c r="E683" i="3" s="1"/>
  <c r="D669" i="3"/>
  <c r="E669" i="3" s="1"/>
  <c r="M669" i="3" s="1"/>
  <c r="D645" i="3"/>
  <c r="D631" i="3"/>
  <c r="E631" i="3" s="1"/>
  <c r="D617" i="3"/>
  <c r="E617" i="3" s="1"/>
  <c r="M617" i="3" s="1"/>
  <c r="D781" i="3"/>
  <c r="D734" i="3"/>
  <c r="D732" i="3"/>
  <c r="E732" i="3" s="1"/>
  <c r="D703" i="3"/>
  <c r="E703" i="3" s="1"/>
  <c r="M703" i="3" s="1"/>
  <c r="D682" i="3"/>
  <c r="E682" i="3" s="1"/>
  <c r="D668" i="3"/>
  <c r="E668" i="3" s="1"/>
  <c r="D692" i="3"/>
  <c r="E692" i="3" s="1"/>
  <c r="D672" i="3"/>
  <c r="E672" i="3" s="1"/>
  <c r="D663" i="3"/>
  <c r="D626" i="3"/>
  <c r="E626" i="3" s="1"/>
  <c r="M626" i="3" s="1"/>
  <c r="D605" i="3"/>
  <c r="D591" i="3"/>
  <c r="E591" i="3" s="1"/>
  <c r="M591" i="3" s="1"/>
  <c r="D577" i="3"/>
  <c r="E577" i="3" s="1"/>
  <c r="D563" i="3"/>
  <c r="D549" i="3"/>
  <c r="D717" i="3"/>
  <c r="D639" i="3"/>
  <c r="E639" i="3" s="1"/>
  <c r="D632" i="3"/>
  <c r="D625" i="3"/>
  <c r="E625" i="3" s="1"/>
  <c r="D614" i="3"/>
  <c r="D600" i="3"/>
  <c r="D586" i="3"/>
  <c r="D572" i="3"/>
  <c r="D558" i="3"/>
  <c r="E558" i="3" s="1"/>
  <c r="D544" i="3"/>
  <c r="D737" i="3"/>
  <c r="D713" i="3"/>
  <c r="E713" i="3" s="1"/>
  <c r="D624" i="3"/>
  <c r="E624" i="3" s="1"/>
  <c r="D609" i="3"/>
  <c r="D595" i="3"/>
  <c r="E595" i="3" s="1"/>
  <c r="M595" i="3" s="1"/>
  <c r="D581" i="3"/>
  <c r="D567" i="3"/>
  <c r="E567" i="3" s="1"/>
  <c r="D553" i="3"/>
  <c r="D539" i="3"/>
  <c r="D687" i="3"/>
  <c r="E687" i="3" s="1"/>
  <c r="D604" i="3"/>
  <c r="D590" i="3"/>
  <c r="D576" i="3"/>
  <c r="D562" i="3"/>
  <c r="D548" i="3"/>
  <c r="D534" i="3"/>
  <c r="E534" i="3" s="1"/>
  <c r="D520" i="3"/>
  <c r="D678" i="3"/>
  <c r="E678" i="3" s="1"/>
  <c r="M678" i="3" s="1"/>
  <c r="D640" i="3"/>
  <c r="E640" i="3" s="1"/>
  <c r="D633" i="3"/>
  <c r="D622" i="3"/>
  <c r="D613" i="3"/>
  <c r="E613" i="3" s="1"/>
  <c r="M613" i="3" s="1"/>
  <c r="D599" i="3"/>
  <c r="E599" i="3" s="1"/>
  <c r="D585" i="3"/>
  <c r="E585" i="3" s="1"/>
  <c r="D571" i="3"/>
  <c r="D557" i="3"/>
  <c r="D543" i="3"/>
  <c r="E543" i="3" s="1"/>
  <c r="D529" i="3"/>
  <c r="E529" i="3" s="1"/>
  <c r="D621" i="3"/>
  <c r="E621" i="3" s="1"/>
  <c r="D608" i="3"/>
  <c r="D594" i="3"/>
  <c r="D580" i="3"/>
  <c r="E580" i="3" s="1"/>
  <c r="M580" i="3" s="1"/>
  <c r="D566" i="3"/>
  <c r="D552" i="3"/>
  <c r="E552" i="3" s="1"/>
  <c r="D538" i="3"/>
  <c r="E538" i="3" s="1"/>
  <c r="D524" i="3"/>
  <c r="D691" i="3"/>
  <c r="D603" i="3"/>
  <c r="E603" i="3" s="1"/>
  <c r="D589" i="3"/>
  <c r="E589" i="3" s="1"/>
  <c r="D575" i="3"/>
  <c r="D673" i="3"/>
  <c r="D620" i="3"/>
  <c r="E620" i="3" s="1"/>
  <c r="M620" i="3" s="1"/>
  <c r="D612" i="3"/>
  <c r="E612" i="3" s="1"/>
  <c r="M612" i="3" s="1"/>
  <c r="D598" i="3"/>
  <c r="D584" i="3"/>
  <c r="D570" i="3"/>
  <c r="E570" i="3" s="1"/>
  <c r="D556" i="3"/>
  <c r="E556" i="3" s="1"/>
  <c r="M556" i="3" s="1"/>
  <c r="D630" i="3"/>
  <c r="D629" i="3"/>
  <c r="D616" i="3"/>
  <c r="D606" i="3"/>
  <c r="E606" i="3" s="1"/>
  <c r="D592" i="3"/>
  <c r="E592" i="3" s="1"/>
  <c r="D578" i="3"/>
  <c r="D574" i="3"/>
  <c r="E574" i="3" s="1"/>
  <c r="D551" i="3"/>
  <c r="E551" i="3" s="1"/>
  <c r="M551" i="3" s="1"/>
  <c r="D516" i="3"/>
  <c r="E516" i="3" s="1"/>
  <c r="M516" i="3" s="1"/>
  <c r="D515" i="3"/>
  <c r="E515" i="3" s="1"/>
  <c r="D510" i="3"/>
  <c r="E510" i="3" s="1"/>
  <c r="D496" i="3"/>
  <c r="E496" i="3" s="1"/>
  <c r="M496" i="3" s="1"/>
  <c r="D482" i="3"/>
  <c r="D468" i="3"/>
  <c r="E468" i="3" s="1"/>
  <c r="D664" i="3"/>
  <c r="D597" i="3"/>
  <c r="E597" i="3" s="1"/>
  <c r="M597" i="3" s="1"/>
  <c r="D587" i="3"/>
  <c r="E587" i="3" s="1"/>
  <c r="D555" i="3"/>
  <c r="E555" i="3" s="1"/>
  <c r="D505" i="3"/>
  <c r="E505" i="3" s="1"/>
  <c r="M505" i="3" s="1"/>
  <c r="D491" i="3"/>
  <c r="D477" i="3"/>
  <c r="D514" i="3"/>
  <c r="E514" i="3" s="1"/>
  <c r="D500" i="3"/>
  <c r="D486" i="3"/>
  <c r="D607" i="3"/>
  <c r="E607" i="3" s="1"/>
  <c r="D602" i="3"/>
  <c r="D559" i="3"/>
  <c r="D509" i="3"/>
  <c r="E509" i="3" s="1"/>
  <c r="D495" i="3"/>
  <c r="D481" i="3"/>
  <c r="E481" i="3" s="1"/>
  <c r="M481" i="3" s="1"/>
  <c r="D467" i="3"/>
  <c r="E467" i="3" s="1"/>
  <c r="D644" i="3"/>
  <c r="D628" i="3"/>
  <c r="D569" i="3"/>
  <c r="D504" i="3"/>
  <c r="E504" i="3" s="1"/>
  <c r="D490" i="3"/>
  <c r="E490" i="3" s="1"/>
  <c r="D476" i="3"/>
  <c r="D462" i="3"/>
  <c r="D634" i="3"/>
  <c r="E634" i="3" s="1"/>
  <c r="M634" i="3" s="1"/>
  <c r="D583" i="3"/>
  <c r="E583" i="3" s="1"/>
  <c r="D513" i="3"/>
  <c r="D499" i="3"/>
  <c r="D485" i="3"/>
  <c r="E485" i="3" s="1"/>
  <c r="M485" i="3" s="1"/>
  <c r="D471" i="3"/>
  <c r="E471" i="3" s="1"/>
  <c r="M471" i="3" s="1"/>
  <c r="D610" i="3"/>
  <c r="D560" i="3"/>
  <c r="D540" i="3"/>
  <c r="D508" i="3"/>
  <c r="D494" i="3"/>
  <c r="E494" i="3" s="1"/>
  <c r="M494" i="3" s="1"/>
  <c r="D619" i="3"/>
  <c r="D593" i="3"/>
  <c r="E593" i="3" s="1"/>
  <c r="D588" i="3"/>
  <c r="E588" i="3" s="1"/>
  <c r="M588" i="3" s="1"/>
  <c r="D545" i="3"/>
  <c r="D503" i="3"/>
  <c r="E503" i="3" s="1"/>
  <c r="M503" i="3" s="1"/>
  <c r="D489" i="3"/>
  <c r="D649" i="3"/>
  <c r="E649" i="3" s="1"/>
  <c r="D615" i="3"/>
  <c r="D512" i="3"/>
  <c r="E512" i="3" s="1"/>
  <c r="D498" i="3"/>
  <c r="E498" i="3" s="1"/>
  <c r="D484" i="3"/>
  <c r="D470" i="3"/>
  <c r="D456" i="3"/>
  <c r="E456" i="3" s="1"/>
  <c r="D627" i="3"/>
  <c r="E627" i="3" s="1"/>
  <c r="D601" i="3"/>
  <c r="D579" i="3"/>
  <c r="E579" i="3" s="1"/>
  <c r="D554" i="3"/>
  <c r="D542" i="3"/>
  <c r="D535" i="3"/>
  <c r="E535" i="3" s="1"/>
  <c r="D523" i="3"/>
  <c r="E523" i="3" s="1"/>
  <c r="D522" i="3"/>
  <c r="D521" i="3"/>
  <c r="D519" i="3"/>
  <c r="E519" i="3" s="1"/>
  <c r="D511" i="3"/>
  <c r="E511" i="3" s="1"/>
  <c r="D497" i="3"/>
  <c r="D708" i="3"/>
  <c r="E708" i="3" s="1"/>
  <c r="D565" i="3"/>
  <c r="D492" i="3"/>
  <c r="E492" i="3" s="1"/>
  <c r="D448" i="3"/>
  <c r="E448" i="3" s="1"/>
  <c r="D443" i="3"/>
  <c r="E443" i="3" s="1"/>
  <c r="D429" i="3"/>
  <c r="E429" i="3" s="1"/>
  <c r="M429" i="3" s="1"/>
  <c r="D415" i="3"/>
  <c r="E415" i="3" s="1"/>
  <c r="D391" i="3"/>
  <c r="E391" i="3" s="1"/>
  <c r="D377" i="3"/>
  <c r="E377" i="3" s="1"/>
  <c r="D363" i="3"/>
  <c r="D349" i="3"/>
  <c r="E349" i="3" s="1"/>
  <c r="M349" i="3" s="1"/>
  <c r="D537" i="3"/>
  <c r="D517" i="3"/>
  <c r="D507" i="3"/>
  <c r="E507" i="3" s="1"/>
  <c r="D480" i="3"/>
  <c r="E480" i="3" s="1"/>
  <c r="M480" i="3" s="1"/>
  <c r="D466" i="3"/>
  <c r="D438" i="3"/>
  <c r="D424" i="3"/>
  <c r="E424" i="3" s="1"/>
  <c r="M424" i="3" s="1"/>
  <c r="D400" i="3"/>
  <c r="E400" i="3" s="1"/>
  <c r="M400" i="3" s="1"/>
  <c r="D386" i="3"/>
  <c r="D372" i="3"/>
  <c r="D358" i="3"/>
  <c r="E358" i="3" s="1"/>
  <c r="M358" i="3" s="1"/>
  <c r="D501" i="3"/>
  <c r="D472" i="3"/>
  <c r="E472" i="3" s="1"/>
  <c r="M472" i="3" s="1"/>
  <c r="D465" i="3"/>
  <c r="D464" i="3"/>
  <c r="E464" i="3" s="1"/>
  <c r="D463" i="3"/>
  <c r="D461" i="3"/>
  <c r="D447" i="3"/>
  <c r="D433" i="3"/>
  <c r="E433" i="3" s="1"/>
  <c r="M433" i="3" s="1"/>
  <c r="D419" i="3"/>
  <c r="E419" i="3" s="1"/>
  <c r="D395" i="3"/>
  <c r="E395" i="3" s="1"/>
  <c r="M395" i="3" s="1"/>
  <c r="D381" i="3"/>
  <c r="E381" i="3" s="1"/>
  <c r="D367" i="3"/>
  <c r="D353" i="3"/>
  <c r="E353" i="3" s="1"/>
  <c r="D677" i="3"/>
  <c r="E677" i="3" s="1"/>
  <c r="M677" i="3" s="1"/>
  <c r="D541" i="3"/>
  <c r="D532" i="3"/>
  <c r="E532" i="3" s="1"/>
  <c r="D530" i="3"/>
  <c r="E530" i="3" s="1"/>
  <c r="D483" i="3"/>
  <c r="D460" i="3"/>
  <c r="E460" i="3" s="1"/>
  <c r="D442" i="3"/>
  <c r="D428" i="3"/>
  <c r="D414" i="3"/>
  <c r="E414" i="3" s="1"/>
  <c r="M414" i="3" s="1"/>
  <c r="D390" i="3"/>
  <c r="D376" i="3"/>
  <c r="E376" i="3" s="1"/>
  <c r="D362" i="3"/>
  <c r="D348" i="3"/>
  <c r="E348" i="3" s="1"/>
  <c r="D618" i="3"/>
  <c r="E618" i="3" s="1"/>
  <c r="D564" i="3"/>
  <c r="D546" i="3"/>
  <c r="D488" i="3"/>
  <c r="D459" i="3"/>
  <c r="E459" i="3" s="1"/>
  <c r="D458" i="3"/>
  <c r="E458" i="3" s="1"/>
  <c r="M458" i="3" s="1"/>
  <c r="D457" i="3"/>
  <c r="D437" i="3"/>
  <c r="E437" i="3" s="1"/>
  <c r="M437" i="3" s="1"/>
  <c r="D423" i="3"/>
  <c r="D399" i="3"/>
  <c r="D385" i="3"/>
  <c r="D371" i="3"/>
  <c r="E371" i="3" s="1"/>
  <c r="M371" i="3" s="1"/>
  <c r="D357" i="3"/>
  <c r="E357" i="3" s="1"/>
  <c r="M357" i="3" s="1"/>
  <c r="D343" i="3"/>
  <c r="E343" i="3" s="1"/>
  <c r="M343" i="3" s="1"/>
  <c r="D329" i="3"/>
  <c r="E329" i="3" s="1"/>
  <c r="M329" i="3" s="1"/>
  <c r="D315" i="3"/>
  <c r="E315" i="3" s="1"/>
  <c r="M315" i="3" s="1"/>
  <c r="D635" i="3"/>
  <c r="D493" i="3"/>
  <c r="D446" i="3"/>
  <c r="D432" i="3"/>
  <c r="D418" i="3"/>
  <c r="D394" i="3"/>
  <c r="D380" i="3"/>
  <c r="E380" i="3" s="1"/>
  <c r="M380" i="3" s="1"/>
  <c r="D366" i="3"/>
  <c r="E366" i="3" s="1"/>
  <c r="D352" i="3"/>
  <c r="D611" i="3"/>
  <c r="D527" i="3"/>
  <c r="D525" i="3"/>
  <c r="E525" i="3" s="1"/>
  <c r="D473" i="3"/>
  <c r="D455" i="3"/>
  <c r="E455" i="3" s="1"/>
  <c r="M455" i="3" s="1"/>
  <c r="D441" i="3"/>
  <c r="D427" i="3"/>
  <c r="D413" i="3"/>
  <c r="E413" i="3" s="1"/>
  <c r="M413" i="3" s="1"/>
  <c r="D389" i="3"/>
  <c r="E389" i="3" s="1"/>
  <c r="M389" i="3" s="1"/>
  <c r="D375" i="3"/>
  <c r="D361" i="3"/>
  <c r="E361" i="3" s="1"/>
  <c r="D582" i="3"/>
  <c r="D561" i="3"/>
  <c r="D536" i="3"/>
  <c r="D454" i="3"/>
  <c r="E454" i="3" s="1"/>
  <c r="M454" i="3" s="1"/>
  <c r="D436" i="3"/>
  <c r="E436" i="3" s="1"/>
  <c r="M436" i="3" s="1"/>
  <c r="D422" i="3"/>
  <c r="D398" i="3"/>
  <c r="D384" i="3"/>
  <c r="E384" i="3" s="1"/>
  <c r="D370" i="3"/>
  <c r="D356" i="3"/>
  <c r="E356" i="3" s="1"/>
  <c r="M356" i="3" s="1"/>
  <c r="D686" i="3"/>
  <c r="D518" i="3"/>
  <c r="E518" i="3" s="1"/>
  <c r="D506" i="3"/>
  <c r="D502" i="3"/>
  <c r="D478" i="3"/>
  <c r="D474" i="3"/>
  <c r="E474" i="3" s="1"/>
  <c r="D469" i="3"/>
  <c r="D453" i="3"/>
  <c r="D445" i="3"/>
  <c r="D431" i="3"/>
  <c r="D417" i="3"/>
  <c r="D393" i="3"/>
  <c r="D379" i="3"/>
  <c r="D365" i="3"/>
  <c r="E365" i="3" s="1"/>
  <c r="D351" i="3"/>
  <c r="D337" i="3"/>
  <c r="E337" i="3" s="1"/>
  <c r="M337" i="3" s="1"/>
  <c r="D323" i="3"/>
  <c r="E323" i="3" s="1"/>
  <c r="D568" i="3"/>
  <c r="E568" i="3" s="1"/>
  <c r="D533" i="3"/>
  <c r="D450" i="3"/>
  <c r="E450" i="3" s="1"/>
  <c r="D444" i="3"/>
  <c r="E444" i="3" s="1"/>
  <c r="D430" i="3"/>
  <c r="E430" i="3" s="1"/>
  <c r="M430" i="3" s="1"/>
  <c r="D416" i="3"/>
  <c r="E416" i="3" s="1"/>
  <c r="D392" i="3"/>
  <c r="E392" i="3" s="1"/>
  <c r="D378" i="3"/>
  <c r="E378" i="3" s="1"/>
  <c r="D341" i="3"/>
  <c r="E341" i="3" s="1"/>
  <c r="M341" i="3" s="1"/>
  <c r="D327" i="3"/>
  <c r="D299" i="3"/>
  <c r="E299" i="3" s="1"/>
  <c r="D285" i="3"/>
  <c r="E285" i="3" s="1"/>
  <c r="M285" i="3" s="1"/>
  <c r="D271" i="3"/>
  <c r="E271" i="3" s="1"/>
  <c r="M271" i="3" s="1"/>
  <c r="D596" i="3"/>
  <c r="D425" i="3"/>
  <c r="E425" i="3" s="1"/>
  <c r="D421" i="3"/>
  <c r="D388" i="3"/>
  <c r="D313" i="3"/>
  <c r="E313" i="3" s="1"/>
  <c r="D308" i="3"/>
  <c r="D294" i="3"/>
  <c r="D280" i="3"/>
  <c r="D266" i="3"/>
  <c r="E266" i="3" s="1"/>
  <c r="M266" i="3" s="1"/>
  <c r="D252" i="3"/>
  <c r="E252" i="3" s="1"/>
  <c r="M252" i="3" s="1"/>
  <c r="D382" i="3"/>
  <c r="E382" i="3" s="1"/>
  <c r="D355" i="3"/>
  <c r="D340" i="3"/>
  <c r="E340" i="3" s="1"/>
  <c r="D326" i="3"/>
  <c r="E326" i="3" s="1"/>
  <c r="D303" i="3"/>
  <c r="D289" i="3"/>
  <c r="D275" i="3"/>
  <c r="D261" i="3"/>
  <c r="D526" i="3"/>
  <c r="E526" i="3" s="1"/>
  <c r="D368" i="3"/>
  <c r="D339" i="3"/>
  <c r="E339" i="3" s="1"/>
  <c r="M339" i="3" s="1"/>
  <c r="D338" i="3"/>
  <c r="E338" i="3" s="1"/>
  <c r="D325" i="3"/>
  <c r="E325" i="3" s="1"/>
  <c r="D324" i="3"/>
  <c r="D312" i="3"/>
  <c r="E312" i="3" s="1"/>
  <c r="D298" i="3"/>
  <c r="D284" i="3"/>
  <c r="E284" i="3" s="1"/>
  <c r="D270" i="3"/>
  <c r="D256" i="3"/>
  <c r="E256" i="3" s="1"/>
  <c r="M256" i="3" s="1"/>
  <c r="D242" i="3"/>
  <c r="D228" i="3"/>
  <c r="E228" i="3" s="1"/>
  <c r="D452" i="3"/>
  <c r="D411" i="3"/>
  <c r="D397" i="3"/>
  <c r="D373" i="3"/>
  <c r="E373" i="3" s="1"/>
  <c r="D307" i="3"/>
  <c r="D293" i="3"/>
  <c r="D279" i="3"/>
  <c r="E279" i="3" s="1"/>
  <c r="M279" i="3" s="1"/>
  <c r="D487" i="3"/>
  <c r="D479" i="3"/>
  <c r="D440" i="3"/>
  <c r="D336" i="3"/>
  <c r="D322" i="3"/>
  <c r="E322" i="3" s="1"/>
  <c r="M322" i="3" s="1"/>
  <c r="D302" i="3"/>
  <c r="E302" i="3" s="1"/>
  <c r="D288" i="3"/>
  <c r="D274" i="3"/>
  <c r="E274" i="3" s="1"/>
  <c r="M274" i="3" s="1"/>
  <c r="D260" i="3"/>
  <c r="D434" i="3"/>
  <c r="E434" i="3" s="1"/>
  <c r="M434" i="3" s="1"/>
  <c r="D350" i="3"/>
  <c r="E350" i="3" s="1"/>
  <c r="D335" i="3"/>
  <c r="D321" i="3"/>
  <c r="D311" i="3"/>
  <c r="D297" i="3"/>
  <c r="E297" i="3" s="1"/>
  <c r="D283" i="3"/>
  <c r="D269" i="3"/>
  <c r="D648" i="3"/>
  <c r="D528" i="3"/>
  <c r="E528" i="3" s="1"/>
  <c r="D334" i="3"/>
  <c r="D320" i="3"/>
  <c r="D306" i="3"/>
  <c r="D292" i="3"/>
  <c r="D278" i="3"/>
  <c r="D426" i="3"/>
  <c r="D387" i="3"/>
  <c r="D383" i="3"/>
  <c r="E383" i="3" s="1"/>
  <c r="D369" i="3"/>
  <c r="D364" i="3"/>
  <c r="D359" i="3"/>
  <c r="D333" i="3"/>
  <c r="E333" i="3" s="1"/>
  <c r="D319" i="3"/>
  <c r="D301" i="3"/>
  <c r="E301" i="3" s="1"/>
  <c r="D287" i="3"/>
  <c r="E287" i="3" s="1"/>
  <c r="M287" i="3" s="1"/>
  <c r="D273" i="3"/>
  <c r="E273" i="3" s="1"/>
  <c r="M273" i="3" s="1"/>
  <c r="D259" i="3"/>
  <c r="E259" i="3" s="1"/>
  <c r="D245" i="3"/>
  <c r="E245" i="3" s="1"/>
  <c r="M245" i="3" s="1"/>
  <c r="D231" i="3"/>
  <c r="D217" i="3"/>
  <c r="E217" i="3" s="1"/>
  <c r="M217" i="3" s="1"/>
  <c r="D475" i="3"/>
  <c r="E475" i="3" s="1"/>
  <c r="M475" i="3" s="1"/>
  <c r="D439" i="3"/>
  <c r="D346" i="3"/>
  <c r="D258" i="3"/>
  <c r="D214" i="3"/>
  <c r="D200" i="3"/>
  <c r="E200" i="3" s="1"/>
  <c r="M200" i="3" s="1"/>
  <c r="D186" i="3"/>
  <c r="E186" i="3" s="1"/>
  <c r="M186" i="3" s="1"/>
  <c r="D172" i="3"/>
  <c r="E172" i="3" s="1"/>
  <c r="D344" i="3"/>
  <c r="E344" i="3" s="1"/>
  <c r="M344" i="3" s="1"/>
  <c r="D342" i="3"/>
  <c r="E342" i="3" s="1"/>
  <c r="D282" i="3"/>
  <c r="D277" i="3"/>
  <c r="D248" i="3"/>
  <c r="E248" i="3" s="1"/>
  <c r="M248" i="3" s="1"/>
  <c r="D234" i="3"/>
  <c r="D220" i="3"/>
  <c r="D209" i="3"/>
  <c r="E209" i="3" s="1"/>
  <c r="M209" i="3" s="1"/>
  <c r="D195" i="3"/>
  <c r="D181" i="3"/>
  <c r="D167" i="3"/>
  <c r="E167" i="3" s="1"/>
  <c r="M167" i="3" s="1"/>
  <c r="D374" i="3"/>
  <c r="D331" i="3"/>
  <c r="E331" i="3" s="1"/>
  <c r="D247" i="3"/>
  <c r="E247" i="3" s="1"/>
  <c r="D233" i="3"/>
  <c r="E233" i="3" s="1"/>
  <c r="M233" i="3" s="1"/>
  <c r="D219" i="3"/>
  <c r="E219" i="3" s="1"/>
  <c r="M219" i="3" s="1"/>
  <c r="D204" i="3"/>
  <c r="D190" i="3"/>
  <c r="D176" i="3"/>
  <c r="D162" i="3"/>
  <c r="D550" i="3"/>
  <c r="D547" i="3"/>
  <c r="D435" i="3"/>
  <c r="D412" i="3"/>
  <c r="D396" i="3"/>
  <c r="E396" i="3" s="1"/>
  <c r="D318" i="3"/>
  <c r="D304" i="3"/>
  <c r="D246" i="3"/>
  <c r="D232" i="3"/>
  <c r="E232" i="3" s="1"/>
  <c r="M232" i="3" s="1"/>
  <c r="D218" i="3"/>
  <c r="E218" i="3" s="1"/>
  <c r="D213" i="3"/>
  <c r="E213" i="3" s="1"/>
  <c r="D199" i="3"/>
  <c r="D185" i="3"/>
  <c r="E185" i="3" s="1"/>
  <c r="M185" i="3" s="1"/>
  <c r="D171" i="3"/>
  <c r="D360" i="3"/>
  <c r="D309" i="3"/>
  <c r="D208" i="3"/>
  <c r="E208" i="3" s="1"/>
  <c r="D194" i="3"/>
  <c r="D180" i="3"/>
  <c r="E180" i="3" s="1"/>
  <c r="D166" i="3"/>
  <c r="E166" i="3" s="1"/>
  <c r="D316" i="3"/>
  <c r="E316" i="3" s="1"/>
  <c r="D203" i="3"/>
  <c r="E203" i="3" s="1"/>
  <c r="M203" i="3" s="1"/>
  <c r="D189" i="3"/>
  <c r="E189" i="3" s="1"/>
  <c r="D175" i="3"/>
  <c r="D161" i="3"/>
  <c r="E161" i="3" s="1"/>
  <c r="M161" i="3" s="1"/>
  <c r="D420" i="3"/>
  <c r="D347" i="3"/>
  <c r="D314" i="3"/>
  <c r="D290" i="3"/>
  <c r="D272" i="3"/>
  <c r="D244" i="3"/>
  <c r="E244" i="3" s="1"/>
  <c r="M244" i="3" s="1"/>
  <c r="D230" i="3"/>
  <c r="E230" i="3" s="1"/>
  <c r="D212" i="3"/>
  <c r="D198" i="3"/>
  <c r="D184" i="3"/>
  <c r="D170" i="3"/>
  <c r="D345" i="3"/>
  <c r="D295" i="3"/>
  <c r="E295" i="3" s="1"/>
  <c r="D262" i="3"/>
  <c r="E262" i="3" s="1"/>
  <c r="D243" i="3"/>
  <c r="D229" i="3"/>
  <c r="E229" i="3" s="1"/>
  <c r="D207" i="3"/>
  <c r="D193" i="3"/>
  <c r="D179" i="3"/>
  <c r="E179" i="3" s="1"/>
  <c r="M179" i="3" s="1"/>
  <c r="D165" i="3"/>
  <c r="E165" i="3" s="1"/>
  <c r="M165" i="3" s="1"/>
  <c r="D531" i="3"/>
  <c r="D449" i="3"/>
  <c r="D354" i="3"/>
  <c r="E354" i="3" s="1"/>
  <c r="D332" i="3"/>
  <c r="D305" i="3"/>
  <c r="E305" i="3" s="1"/>
  <c r="D300" i="3"/>
  <c r="D216" i="3"/>
  <c r="D202" i="3"/>
  <c r="E202" i="3" s="1"/>
  <c r="M202" i="3" s="1"/>
  <c r="D188" i="3"/>
  <c r="E188" i="3" s="1"/>
  <c r="M188" i="3" s="1"/>
  <c r="D174" i="3"/>
  <c r="D573" i="3"/>
  <c r="E573" i="3" s="1"/>
  <c r="D310" i="3"/>
  <c r="E310" i="3" s="1"/>
  <c r="D267" i="3"/>
  <c r="E267" i="3" s="1"/>
  <c r="D263" i="3"/>
  <c r="E263" i="3" s="1"/>
  <c r="M263" i="3" s="1"/>
  <c r="D241" i="3"/>
  <c r="D240" i="3"/>
  <c r="D227" i="3"/>
  <c r="D226" i="3"/>
  <c r="E226" i="3" s="1"/>
  <c r="D211" i="3"/>
  <c r="E211" i="3" s="1"/>
  <c r="D330" i="3"/>
  <c r="E330" i="3" s="1"/>
  <c r="D281" i="3"/>
  <c r="E281" i="3" s="1"/>
  <c r="M281" i="3" s="1"/>
  <c r="D239" i="3"/>
  <c r="E239" i="3" s="1"/>
  <c r="M239" i="3" s="1"/>
  <c r="D328" i="3"/>
  <c r="E328" i="3" s="1"/>
  <c r="D317" i="3"/>
  <c r="E317" i="3" s="1"/>
  <c r="D291" i="3"/>
  <c r="E291" i="3" s="1"/>
  <c r="D286" i="3"/>
  <c r="E286" i="3" s="1"/>
  <c r="M286" i="3" s="1"/>
  <c r="D276" i="3"/>
  <c r="D264" i="3"/>
  <c r="D251" i="3"/>
  <c r="D238" i="3"/>
  <c r="D237" i="3"/>
  <c r="D224" i="3"/>
  <c r="D223" i="3"/>
  <c r="D215" i="3"/>
  <c r="E215" i="3" s="1"/>
  <c r="D201" i="3"/>
  <c r="E201" i="3" s="1"/>
  <c r="D187" i="3"/>
  <c r="D173" i="3"/>
  <c r="D296" i="3"/>
  <c r="D254" i="3"/>
  <c r="E254" i="3" s="1"/>
  <c r="D253" i="3"/>
  <c r="E253" i="3" s="1"/>
  <c r="D250" i="3"/>
  <c r="D236" i="3"/>
  <c r="D222" i="3"/>
  <c r="D210" i="3"/>
  <c r="E210" i="3" s="1"/>
  <c r="M210" i="3" s="1"/>
  <c r="D196" i="3"/>
  <c r="D182" i="3"/>
  <c r="E182" i="3" s="1"/>
  <c r="D168" i="3"/>
  <c r="E168" i="3" s="1"/>
  <c r="M168" i="3" s="1"/>
  <c r="D451" i="3"/>
  <c r="D268" i="3"/>
  <c r="D265" i="3"/>
  <c r="D257" i="3"/>
  <c r="E257" i="3" s="1"/>
  <c r="D255" i="3"/>
  <c r="E255" i="3" s="1"/>
  <c r="D249" i="3"/>
  <c r="E249" i="3" s="1"/>
  <c r="D235" i="3"/>
  <c r="E235" i="3" s="1"/>
  <c r="D221" i="3"/>
  <c r="D205" i="3"/>
  <c r="E205" i="3" s="1"/>
  <c r="M205" i="3" s="1"/>
  <c r="D191" i="3"/>
  <c r="D177" i="3"/>
  <c r="D163" i="3"/>
  <c r="E163" i="3" s="1"/>
  <c r="M163" i="3" s="1"/>
  <c r="D225" i="3"/>
  <c r="D169" i="3"/>
  <c r="D206" i="3"/>
  <c r="D192" i="3"/>
  <c r="D197" i="3"/>
  <c r="D178" i="3"/>
  <c r="E178" i="3" s="1"/>
  <c r="D183" i="3"/>
  <c r="D164" i="3"/>
  <c r="E164" i="3" s="1"/>
  <c r="M724" i="3" l="1"/>
  <c r="M464" i="3"/>
  <c r="M667" i="3"/>
  <c r="M353" i="3"/>
  <c r="E875" i="3"/>
  <c r="M875" i="3" s="1"/>
  <c r="E563" i="3"/>
  <c r="M563" i="3" s="1"/>
  <c r="M509" i="3"/>
  <c r="M682" i="3"/>
  <c r="E829" i="3"/>
  <c r="M829" i="3" s="1"/>
  <c r="M697" i="3"/>
  <c r="M262" i="3"/>
  <c r="E522" i="3"/>
  <c r="M522" i="3" s="1"/>
  <c r="M391" i="3"/>
  <c r="M687" i="3"/>
  <c r="M490" i="3"/>
  <c r="E428" i="3"/>
  <c r="M428" i="3" s="1"/>
  <c r="M631" i="3"/>
  <c r="E733" i="3"/>
  <c r="M733" i="3" s="1"/>
  <c r="E633" i="3"/>
  <c r="M633" i="3" s="1"/>
  <c r="M592" i="3"/>
  <c r="M538" i="3"/>
  <c r="E701" i="3"/>
  <c r="M701" i="3" s="1"/>
  <c r="E303" i="3"/>
  <c r="M303" i="3" s="1"/>
  <c r="M504" i="3"/>
  <c r="E598" i="3"/>
  <c r="M598" i="3" s="1"/>
  <c r="E521" i="3"/>
  <c r="M521" i="3" s="1"/>
  <c r="E642" i="3"/>
  <c r="M642" i="3" s="1"/>
  <c r="M201" i="3"/>
  <c r="M340" i="3"/>
  <c r="E813" i="3"/>
  <c r="M813" i="3" s="1"/>
  <c r="M456" i="3"/>
  <c r="M534" i="3"/>
  <c r="M624" i="3"/>
  <c r="E777" i="3"/>
  <c r="M777" i="3" s="1"/>
  <c r="E501" i="3"/>
  <c r="M501" i="3" s="1"/>
  <c r="M448" i="3"/>
  <c r="M514" i="3"/>
  <c r="M299" i="3"/>
  <c r="E363" i="3"/>
  <c r="M363" i="3" s="1"/>
  <c r="M492" i="3"/>
  <c r="E609" i="3"/>
  <c r="M609" i="3" s="1"/>
  <c r="E796" i="3"/>
  <c r="M796" i="3" s="1"/>
  <c r="E842" i="3"/>
  <c r="M842" i="3" s="1"/>
  <c r="M862" i="3"/>
  <c r="M729" i="3"/>
  <c r="M778" i="3"/>
  <c r="M579" i="3"/>
  <c r="M625" i="3"/>
  <c r="E675" i="3"/>
  <c r="M675" i="3" s="1"/>
  <c r="E763" i="3"/>
  <c r="M763" i="3" s="1"/>
  <c r="M869" i="3"/>
  <c r="M820" i="3"/>
  <c r="M589" i="3"/>
  <c r="M672" i="3"/>
  <c r="M532" i="3"/>
  <c r="E183" i="3"/>
  <c r="M183" i="3" s="1"/>
  <c r="M342" i="3"/>
  <c r="E542" i="3"/>
  <c r="M542" i="3" s="1"/>
  <c r="M419" i="3"/>
  <c r="E867" i="3"/>
  <c r="E192" i="3"/>
  <c r="M192" i="3" s="1"/>
  <c r="E546" i="3"/>
  <c r="E462" i="3"/>
  <c r="M462" i="3" s="1"/>
  <c r="E628" i="3"/>
  <c r="M628" i="3" s="1"/>
  <c r="E742" i="3"/>
  <c r="M742" i="3" s="1"/>
  <c r="M897" i="3"/>
  <c r="E693" i="3"/>
  <c r="M693" i="3" s="1"/>
  <c r="E680" i="3"/>
  <c r="M680" i="3" s="1"/>
  <c r="M883" i="3"/>
  <c r="M759" i="3"/>
  <c r="M878" i="3"/>
  <c r="E569" i="3"/>
  <c r="M569" i="3" s="1"/>
  <c r="M751" i="3"/>
  <c r="M182" i="3"/>
  <c r="M723" i="3"/>
  <c r="M873" i="3"/>
  <c r="E272" i="3"/>
  <c r="M272" i="3" s="1"/>
  <c r="M166" i="3"/>
  <c r="E227" i="3"/>
  <c r="M227" i="3" s="1"/>
  <c r="E469" i="3"/>
  <c r="M469" i="3" s="1"/>
  <c r="M761" i="3"/>
  <c r="M317" i="3"/>
  <c r="E222" i="3"/>
  <c r="M222" i="3" s="1"/>
  <c r="E238" i="3"/>
  <c r="M238" i="3" s="1"/>
  <c r="E237" i="3"/>
  <c r="M237" i="3" s="1"/>
  <c r="M850" i="3"/>
  <c r="M226" i="3"/>
  <c r="M882" i="3"/>
  <c r="M259" i="3"/>
  <c r="M229" i="3"/>
  <c r="M247" i="3"/>
  <c r="G196" i="3"/>
  <c r="J196" i="3" s="1"/>
  <c r="E196" i="3"/>
  <c r="M313" i="3"/>
  <c r="G268" i="3"/>
  <c r="J268" i="3" s="1"/>
  <c r="E268" i="3"/>
  <c r="M268" i="3" s="1"/>
  <c r="M211" i="3"/>
  <c r="G243" i="3"/>
  <c r="E243" i="3"/>
  <c r="M243" i="3" s="1"/>
  <c r="G193" i="3"/>
  <c r="J193" i="3" s="1"/>
  <c r="E193" i="3"/>
  <c r="M193" i="3" s="1"/>
  <c r="G184" i="3"/>
  <c r="J184" i="3" s="1"/>
  <c r="E184" i="3"/>
  <c r="M180" i="3"/>
  <c r="G369" i="3"/>
  <c r="J369" i="3" s="1"/>
  <c r="G335" i="3"/>
  <c r="J335" i="3" s="1"/>
  <c r="G327" i="3"/>
  <c r="J327" i="3" s="1"/>
  <c r="M780" i="3"/>
  <c r="G240" i="3"/>
  <c r="J240" i="3" s="1"/>
  <c r="G520" i="3"/>
  <c r="J520" i="3" s="1"/>
  <c r="E520" i="3"/>
  <c r="M520" i="3" s="1"/>
  <c r="M230" i="3"/>
  <c r="M790" i="3"/>
  <c r="G832" i="3"/>
  <c r="E832" i="3"/>
  <c r="G178" i="3"/>
  <c r="J178" i="3" s="1"/>
  <c r="G192" i="3"/>
  <c r="J192" i="3" s="1"/>
  <c r="E214" i="3"/>
  <c r="G451" i="3"/>
  <c r="J451" i="3" s="1"/>
  <c r="E451" i="3"/>
  <c r="M451" i="3" s="1"/>
  <c r="E250" i="3"/>
  <c r="M250" i="3" s="1"/>
  <c r="G281" i="3"/>
  <c r="L281" i="3" s="1"/>
  <c r="G227" i="3"/>
  <c r="J227" i="3" s="1"/>
  <c r="G449" i="3"/>
  <c r="J449" i="3" s="1"/>
  <c r="G229" i="3"/>
  <c r="J229" i="3" s="1"/>
  <c r="G175" i="3"/>
  <c r="J175" i="3" s="1"/>
  <c r="G199" i="3"/>
  <c r="J199" i="3" s="1"/>
  <c r="M384" i="3"/>
  <c r="M323" i="3"/>
  <c r="M178" i="3"/>
  <c r="G301" i="3"/>
  <c r="J301" i="3" s="1"/>
  <c r="G359" i="3"/>
  <c r="J359" i="3" s="1"/>
  <c r="M328" i="3"/>
  <c r="G228" i="3"/>
  <c r="G270" i="3"/>
  <c r="J270" i="3" s="1"/>
  <c r="E270" i="3"/>
  <c r="G368" i="3"/>
  <c r="J368" i="3" s="1"/>
  <c r="E368" i="3"/>
  <c r="M368" i="3" s="1"/>
  <c r="G450" i="3"/>
  <c r="M450" i="3"/>
  <c r="G506" i="3"/>
  <c r="J506" i="3" s="1"/>
  <c r="G561" i="3"/>
  <c r="J561" i="3" s="1"/>
  <c r="G441" i="3"/>
  <c r="J441" i="3" s="1"/>
  <c r="G329" i="3"/>
  <c r="J329" i="3" s="1"/>
  <c r="G541" i="3"/>
  <c r="J541" i="3" s="1"/>
  <c r="E479" i="3"/>
  <c r="M479" i="3" s="1"/>
  <c r="G605" i="3"/>
  <c r="J605" i="3" s="1"/>
  <c r="E605" i="3"/>
  <c r="M684" i="3"/>
  <c r="M671" i="3"/>
  <c r="M760" i="3"/>
  <c r="G707" i="3"/>
  <c r="E707" i="3"/>
  <c r="M707" i="3" s="1"/>
  <c r="G726" i="3"/>
  <c r="I726" i="3" s="1"/>
  <c r="H726" i="3" s="1"/>
  <c r="K726" i="3" s="1"/>
  <c r="G791" i="3"/>
  <c r="Q791" i="3" s="1"/>
  <c r="M791" i="3"/>
  <c r="G777" i="3"/>
  <c r="G768" i="3"/>
  <c r="E768" i="3"/>
  <c r="M768" i="3" s="1"/>
  <c r="M754" i="3"/>
  <c r="G864" i="3"/>
  <c r="E864" i="3"/>
  <c r="M864" i="3" s="1"/>
  <c r="G823" i="3"/>
  <c r="G843" i="3"/>
  <c r="E843" i="3"/>
  <c r="M843" i="3" s="1"/>
  <c r="G495" i="3"/>
  <c r="J495" i="3" s="1"/>
  <c r="E495" i="3"/>
  <c r="G171" i="3"/>
  <c r="J171" i="3" s="1"/>
  <c r="G702" i="3"/>
  <c r="E702" i="3"/>
  <c r="M849" i="3"/>
  <c r="G234" i="3"/>
  <c r="J234" i="3" s="1"/>
  <c r="G622" i="3"/>
  <c r="J622" i="3" s="1"/>
  <c r="E622" i="3"/>
  <c r="M622" i="3" s="1"/>
  <c r="G810" i="3"/>
  <c r="E810" i="3"/>
  <c r="G235" i="3"/>
  <c r="J235" i="3" s="1"/>
  <c r="G224" i="3"/>
  <c r="J224" i="3" s="1"/>
  <c r="G794" i="3"/>
  <c r="E794" i="3"/>
  <c r="M794" i="3" s="1"/>
  <c r="G177" i="3"/>
  <c r="J177" i="3" s="1"/>
  <c r="G265" i="3"/>
  <c r="J265" i="3" s="1"/>
  <c r="E191" i="3"/>
  <c r="G173" i="3"/>
  <c r="J173" i="3" s="1"/>
  <c r="G251" i="3"/>
  <c r="J251" i="3" s="1"/>
  <c r="M338" i="3"/>
  <c r="G310" i="3"/>
  <c r="J310" i="3" s="1"/>
  <c r="M310" i="3"/>
  <c r="G174" i="3"/>
  <c r="J174" i="3" s="1"/>
  <c r="M213" i="3"/>
  <c r="G396" i="3"/>
  <c r="J396" i="3" s="1"/>
  <c r="M396" i="3"/>
  <c r="G219" i="3"/>
  <c r="J219" i="3" s="1"/>
  <c r="G331" i="3"/>
  <c r="J331" i="3" s="1"/>
  <c r="M331" i="3"/>
  <c r="G181" i="3"/>
  <c r="J181" i="3" s="1"/>
  <c r="G220" i="3"/>
  <c r="J220" i="3" s="1"/>
  <c r="G200" i="3"/>
  <c r="J200" i="3" s="1"/>
  <c r="G364" i="3"/>
  <c r="J364" i="3" s="1"/>
  <c r="G288" i="3"/>
  <c r="J288" i="3" s="1"/>
  <c r="E335" i="3"/>
  <c r="G440" i="3"/>
  <c r="J440" i="3" s="1"/>
  <c r="E440" i="3"/>
  <c r="M316" i="3"/>
  <c r="G275" i="3"/>
  <c r="J275" i="3" s="1"/>
  <c r="E275" i="3"/>
  <c r="G308" i="3"/>
  <c r="J308" i="3" s="1"/>
  <c r="G518" i="3"/>
  <c r="M518" i="3"/>
  <c r="G582" i="3"/>
  <c r="J582" i="3" s="1"/>
  <c r="E582" i="3"/>
  <c r="M582" i="3" s="1"/>
  <c r="E506" i="3"/>
  <c r="G484" i="3"/>
  <c r="J484" i="3" s="1"/>
  <c r="G619" i="3"/>
  <c r="J619" i="3" s="1"/>
  <c r="M585" i="3"/>
  <c r="G695" i="3"/>
  <c r="E695" i="3"/>
  <c r="G827" i="3"/>
  <c r="E827" i="3"/>
  <c r="G819" i="3"/>
  <c r="E819" i="3"/>
  <c r="M819" i="3" s="1"/>
  <c r="G890" i="3"/>
  <c r="G231" i="3"/>
  <c r="J231" i="3" s="1"/>
  <c r="G793" i="3"/>
  <c r="E793" i="3"/>
  <c r="G206" i="3"/>
  <c r="J206" i="3" s="1"/>
  <c r="G531" i="3"/>
  <c r="J531" i="3" s="1"/>
  <c r="G420" i="3"/>
  <c r="J420" i="3" s="1"/>
  <c r="G190" i="3"/>
  <c r="J190" i="3" s="1"/>
  <c r="G258" i="3"/>
  <c r="J258" i="3" s="1"/>
  <c r="G362" i="3"/>
  <c r="J362" i="3" s="1"/>
  <c r="E362" i="3"/>
  <c r="M362" i="3" s="1"/>
  <c r="G242" i="3"/>
  <c r="J242" i="3" s="1"/>
  <c r="M757" i="3"/>
  <c r="G309" i="3"/>
  <c r="J309" i="3" s="1"/>
  <c r="G195" i="3"/>
  <c r="J195" i="3" s="1"/>
  <c r="G387" i="3"/>
  <c r="J387" i="3" s="1"/>
  <c r="E387" i="3"/>
  <c r="M387" i="3" s="1"/>
  <c r="E374" i="3"/>
  <c r="G164" i="3"/>
  <c r="J164" i="3" s="1"/>
  <c r="G221" i="3"/>
  <c r="J221" i="3" s="1"/>
  <c r="G215" i="3"/>
  <c r="L215" i="3" s="1"/>
  <c r="G216" i="3"/>
  <c r="J216" i="3" s="1"/>
  <c r="G272" i="3"/>
  <c r="J272" i="3" s="1"/>
  <c r="G194" i="3"/>
  <c r="J194" i="3" s="1"/>
  <c r="G246" i="3"/>
  <c r="J246" i="3" s="1"/>
  <c r="G412" i="3"/>
  <c r="J412" i="3" s="1"/>
  <c r="G277" i="3"/>
  <c r="J277" i="3" s="1"/>
  <c r="M228" i="3"/>
  <c r="G292" i="3"/>
  <c r="J292" i="3" s="1"/>
  <c r="G334" i="3"/>
  <c r="J334" i="3" s="1"/>
  <c r="E292" i="3"/>
  <c r="E334" i="3"/>
  <c r="G434" i="3"/>
  <c r="J434" i="3" s="1"/>
  <c r="G336" i="3"/>
  <c r="J336" i="3" s="1"/>
  <c r="G307" i="3"/>
  <c r="J307" i="3" s="1"/>
  <c r="G326" i="3"/>
  <c r="J326" i="3" s="1"/>
  <c r="M326" i="3"/>
  <c r="G313" i="3"/>
  <c r="J313" i="3" s="1"/>
  <c r="G431" i="3"/>
  <c r="J431" i="3" s="1"/>
  <c r="E431" i="3"/>
  <c r="G361" i="3"/>
  <c r="J361" i="3" s="1"/>
  <c r="M361" i="3"/>
  <c r="G442" i="3"/>
  <c r="J442" i="3" s="1"/>
  <c r="E442" i="3"/>
  <c r="M442" i="3" s="1"/>
  <c r="E484" i="3"/>
  <c r="G602" i="3"/>
  <c r="J602" i="3" s="1"/>
  <c r="E602" i="3"/>
  <c r="M577" i="3"/>
  <c r="M529" i="3"/>
  <c r="G590" i="3"/>
  <c r="J590" i="3" s="1"/>
  <c r="G553" i="3"/>
  <c r="J553" i="3" s="1"/>
  <c r="G646" i="3"/>
  <c r="J646" i="3" s="1"/>
  <c r="E646" i="3"/>
  <c r="M646" i="3" s="1"/>
  <c r="G815" i="3"/>
  <c r="E815" i="3"/>
  <c r="G801" i="3"/>
  <c r="E801" i="3"/>
  <c r="G764" i="3"/>
  <c r="Q764" i="3" s="1"/>
  <c r="G840" i="3"/>
  <c r="I840" i="3" s="1"/>
  <c r="H840" i="3" s="1"/>
  <c r="K840" i="3" s="1"/>
  <c r="M840" i="3"/>
  <c r="G837" i="3"/>
  <c r="M837" i="3"/>
  <c r="G835" i="3"/>
  <c r="E835" i="3"/>
  <c r="G397" i="3"/>
  <c r="J397" i="3" s="1"/>
  <c r="E397" i="3"/>
  <c r="M397" i="3" s="1"/>
  <c r="G230" i="3"/>
  <c r="G282" i="3"/>
  <c r="J282" i="3" s="1"/>
  <c r="E531" i="3"/>
  <c r="G453" i="3"/>
  <c r="J453" i="3" s="1"/>
  <c r="G487" i="3"/>
  <c r="J487" i="3" s="1"/>
  <c r="E487" i="3"/>
  <c r="M816" i="3"/>
  <c r="G166" i="3"/>
  <c r="J166" i="3" s="1"/>
  <c r="G578" i="3"/>
  <c r="J578" i="3" s="1"/>
  <c r="E578" i="3"/>
  <c r="G168" i="3"/>
  <c r="G286" i="3"/>
  <c r="L286" i="3" s="1"/>
  <c r="E206" i="3"/>
  <c r="M206" i="3" s="1"/>
  <c r="G305" i="3"/>
  <c r="J305" i="3" s="1"/>
  <c r="M305" i="3"/>
  <c r="G165" i="3"/>
  <c r="L165" i="3" s="1"/>
  <c r="G262" i="3"/>
  <c r="M235" i="3"/>
  <c r="G314" i="3"/>
  <c r="J314" i="3" s="1"/>
  <c r="E290" i="3"/>
  <c r="M290" i="3" s="1"/>
  <c r="G208" i="3"/>
  <c r="J208" i="3" s="1"/>
  <c r="G550" i="3"/>
  <c r="J550" i="3" s="1"/>
  <c r="E550" i="3"/>
  <c r="M550" i="3" s="1"/>
  <c r="E199" i="3"/>
  <c r="G233" i="3"/>
  <c r="E220" i="3"/>
  <c r="M220" i="3" s="1"/>
  <c r="E277" i="3"/>
  <c r="E282" i="3"/>
  <c r="G306" i="3"/>
  <c r="J306" i="3" s="1"/>
  <c r="E359" i="3"/>
  <c r="G648" i="3"/>
  <c r="J648" i="3" s="1"/>
  <c r="E648" i="3"/>
  <c r="M648" i="3" s="1"/>
  <c r="E306" i="3"/>
  <c r="G279" i="3"/>
  <c r="J279" i="3" s="1"/>
  <c r="G339" i="3"/>
  <c r="J339" i="3" s="1"/>
  <c r="G355" i="3"/>
  <c r="J355" i="3" s="1"/>
  <c r="E355" i="3"/>
  <c r="G568" i="3"/>
  <c r="M568" i="3"/>
  <c r="G379" i="3"/>
  <c r="J379" i="3" s="1"/>
  <c r="G454" i="3"/>
  <c r="G394" i="3"/>
  <c r="J394" i="3" s="1"/>
  <c r="E394" i="3"/>
  <c r="G458" i="3"/>
  <c r="J458" i="3" s="1"/>
  <c r="M460" i="3"/>
  <c r="G466" i="3"/>
  <c r="E466" i="3"/>
  <c r="M466" i="3" s="1"/>
  <c r="G492" i="3"/>
  <c r="J492" i="3" s="1"/>
  <c r="G627" i="3"/>
  <c r="J627" i="3" s="1"/>
  <c r="M627" i="3"/>
  <c r="G587" i="3"/>
  <c r="L587" i="3" s="1"/>
  <c r="M587" i="3"/>
  <c r="G510" i="3"/>
  <c r="J510" i="3" s="1"/>
  <c r="M510" i="3"/>
  <c r="G524" i="3"/>
  <c r="J524" i="3" s="1"/>
  <c r="E524" i="3"/>
  <c r="E590" i="3"/>
  <c r="M769" i="3"/>
  <c r="M765" i="3"/>
  <c r="M727" i="3"/>
  <c r="G735" i="3"/>
  <c r="E735" i="3"/>
  <c r="G838" i="3"/>
  <c r="E838" i="3"/>
  <c r="M838" i="3" s="1"/>
  <c r="G788" i="3"/>
  <c r="E788" i="3"/>
  <c r="G830" i="3"/>
  <c r="E830" i="3"/>
  <c r="M830" i="3" s="1"/>
  <c r="G885" i="3"/>
  <c r="I885" i="3" s="1"/>
  <c r="M885" i="3"/>
  <c r="G264" i="3"/>
  <c r="J264" i="3" s="1"/>
  <c r="G435" i="3"/>
  <c r="J435" i="3" s="1"/>
  <c r="E190" i="3"/>
  <c r="M190" i="3" s="1"/>
  <c r="G297" i="3"/>
  <c r="L297" i="3" s="1"/>
  <c r="G411" i="3"/>
  <c r="J411" i="3" s="1"/>
  <c r="G645" i="3"/>
  <c r="J645" i="3" s="1"/>
  <c r="E645" i="3"/>
  <c r="M645" i="3" s="1"/>
  <c r="M779" i="3"/>
  <c r="G610" i="3"/>
  <c r="J610" i="3" s="1"/>
  <c r="E610" i="3"/>
  <c r="G755" i="3"/>
  <c r="E755" i="3"/>
  <c r="M755" i="3" s="1"/>
  <c r="G239" i="3"/>
  <c r="J239" i="3" s="1"/>
  <c r="G300" i="3"/>
  <c r="J300" i="3" s="1"/>
  <c r="G210" i="3"/>
  <c r="J210" i="3" s="1"/>
  <c r="G291" i="3"/>
  <c r="J291" i="3" s="1"/>
  <c r="M291" i="3"/>
  <c r="M208" i="3"/>
  <c r="G207" i="3"/>
  <c r="J207" i="3" s="1"/>
  <c r="G198" i="3"/>
  <c r="J198" i="3" s="1"/>
  <c r="E198" i="3"/>
  <c r="G162" i="3"/>
  <c r="J162" i="3" s="1"/>
  <c r="E162" i="3"/>
  <c r="G342" i="3"/>
  <c r="J342" i="3" s="1"/>
  <c r="E181" i="3"/>
  <c r="M181" i="3" s="1"/>
  <c r="G439" i="3"/>
  <c r="G245" i="3"/>
  <c r="L245" i="3" s="1"/>
  <c r="M284" i="3"/>
  <c r="E364" i="3"/>
  <c r="M364" i="3" s="1"/>
  <c r="G269" i="3"/>
  <c r="J269" i="3" s="1"/>
  <c r="E269" i="3"/>
  <c r="M269" i="3" s="1"/>
  <c r="E251" i="3"/>
  <c r="M251" i="3" s="1"/>
  <c r="G298" i="3"/>
  <c r="J298" i="3" s="1"/>
  <c r="G430" i="3"/>
  <c r="L430" i="3" s="1"/>
  <c r="E527" i="3"/>
  <c r="M527" i="3" s="1"/>
  <c r="G371" i="3"/>
  <c r="L371" i="3" s="1"/>
  <c r="G459" i="3"/>
  <c r="J459" i="3" s="1"/>
  <c r="M459" i="3"/>
  <c r="M376" i="3"/>
  <c r="E541" i="3"/>
  <c r="G545" i="3"/>
  <c r="E545" i="3"/>
  <c r="M545" i="3" s="1"/>
  <c r="G597" i="3"/>
  <c r="J597" i="3" s="1"/>
  <c r="G515" i="3"/>
  <c r="J515" i="3" s="1"/>
  <c r="M515" i="3"/>
  <c r="G608" i="3"/>
  <c r="J608" i="3" s="1"/>
  <c r="E608" i="3"/>
  <c r="G557" i="3"/>
  <c r="E557" i="3"/>
  <c r="M557" i="3" s="1"/>
  <c r="E553" i="3"/>
  <c r="M553" i="3" s="1"/>
  <c r="M681" i="3"/>
  <c r="G683" i="3"/>
  <c r="Q683" i="3" s="1"/>
  <c r="M683" i="3"/>
  <c r="G674" i="3"/>
  <c r="E674" i="3"/>
  <c r="M674" i="3" s="1"/>
  <c r="M688" i="3"/>
  <c r="G775" i="3"/>
  <c r="I775" i="3" s="1"/>
  <c r="H775" i="3" s="1"/>
  <c r="K775" i="3" s="1"/>
  <c r="M775" i="3"/>
  <c r="M720" i="3"/>
  <c r="G872" i="3"/>
  <c r="E872" i="3"/>
  <c r="M872" i="3" s="1"/>
  <c r="G812" i="3"/>
  <c r="E812" i="3"/>
  <c r="M812" i="3" s="1"/>
  <c r="G324" i="3"/>
  <c r="J324" i="3" s="1"/>
  <c r="E324" i="3"/>
  <c r="G392" i="3"/>
  <c r="J392" i="3" s="1"/>
  <c r="M392" i="3"/>
  <c r="G422" i="3"/>
  <c r="J422" i="3" s="1"/>
  <c r="E422" i="3"/>
  <c r="G482" i="3"/>
  <c r="J482" i="3" s="1"/>
  <c r="E482" i="3"/>
  <c r="M482" i="3" s="1"/>
  <c r="G584" i="3"/>
  <c r="J584" i="3" s="1"/>
  <c r="E584" i="3"/>
  <c r="G641" i="3"/>
  <c r="J641" i="3" s="1"/>
  <c r="E641" i="3"/>
  <c r="G721" i="3"/>
  <c r="G345" i="3"/>
  <c r="J345" i="3" s="1"/>
  <c r="G479" i="3"/>
  <c r="J479" i="3" s="1"/>
  <c r="G365" i="3"/>
  <c r="J365" i="3" s="1"/>
  <c r="G476" i="3"/>
  <c r="J476" i="3" s="1"/>
  <c r="E476" i="3"/>
  <c r="M621" i="3"/>
  <c r="G296" i="3"/>
  <c r="J296" i="3" s="1"/>
  <c r="G241" i="3"/>
  <c r="J241" i="3" s="1"/>
  <c r="G189" i="3"/>
  <c r="J189" i="3" s="1"/>
  <c r="G172" i="3"/>
  <c r="J172" i="3" s="1"/>
  <c r="G319" i="3"/>
  <c r="J319" i="3" s="1"/>
  <c r="G528" i="3"/>
  <c r="J528" i="3" s="1"/>
  <c r="M528" i="3"/>
  <c r="G543" i="3"/>
  <c r="J543" i="3" s="1"/>
  <c r="M543" i="3"/>
  <c r="M650" i="3"/>
  <c r="M662" i="3"/>
  <c r="M739" i="3"/>
  <c r="G218" i="3"/>
  <c r="J218" i="3" s="1"/>
  <c r="E435" i="3"/>
  <c r="M435" i="3" s="1"/>
  <c r="G214" i="3"/>
  <c r="J214" i="3" s="1"/>
  <c r="E240" i="3"/>
  <c r="M240" i="3" s="1"/>
  <c r="G302" i="3"/>
  <c r="J302" i="3" s="1"/>
  <c r="E224" i="3"/>
  <c r="G197" i="3"/>
  <c r="J197" i="3" s="1"/>
  <c r="E236" i="3"/>
  <c r="M301" i="3"/>
  <c r="G211" i="3"/>
  <c r="J211" i="3" s="1"/>
  <c r="E197" i="3"/>
  <c r="E241" i="3"/>
  <c r="M241" i="3" s="1"/>
  <c r="G332" i="3"/>
  <c r="J332" i="3" s="1"/>
  <c r="G295" i="3"/>
  <c r="L295" i="3" s="1"/>
  <c r="M295" i="3"/>
  <c r="G244" i="3"/>
  <c r="G161" i="3"/>
  <c r="J161" i="3" s="1"/>
  <c r="E314" i="3"/>
  <c r="M314" i="3" s="1"/>
  <c r="E175" i="3"/>
  <c r="E327" i="3"/>
  <c r="G185" i="3"/>
  <c r="J185" i="3" s="1"/>
  <c r="G204" i="3"/>
  <c r="J204" i="3" s="1"/>
  <c r="M164" i="3"/>
  <c r="E204" i="3"/>
  <c r="G248" i="3"/>
  <c r="G344" i="3"/>
  <c r="J344" i="3" s="1"/>
  <c r="M297" i="3"/>
  <c r="G287" i="3"/>
  <c r="G333" i="3"/>
  <c r="L333" i="3" s="1"/>
  <c r="M333" i="3"/>
  <c r="E420" i="3"/>
  <c r="E369" i="3"/>
  <c r="G311" i="3"/>
  <c r="J311" i="3" s="1"/>
  <c r="G350" i="3"/>
  <c r="J350" i="3" s="1"/>
  <c r="M350" i="3"/>
  <c r="E311" i="3"/>
  <c r="G452" i="3"/>
  <c r="E452" i="3"/>
  <c r="E298" i="3"/>
  <c r="G323" i="3"/>
  <c r="J323" i="3" s="1"/>
  <c r="G370" i="3"/>
  <c r="E370" i="3"/>
  <c r="M370" i="3" s="1"/>
  <c r="G381" i="3"/>
  <c r="J381" i="3" s="1"/>
  <c r="M381" i="3"/>
  <c r="G500" i="3"/>
  <c r="J500" i="3" s="1"/>
  <c r="G477" i="3"/>
  <c r="J477" i="3" s="1"/>
  <c r="E477" i="3"/>
  <c r="G558" i="3"/>
  <c r="J558" i="3" s="1"/>
  <c r="M558" i="3"/>
  <c r="M692" i="3"/>
  <c r="G725" i="3"/>
  <c r="Q725" i="3" s="1"/>
  <c r="M773" i="3"/>
  <c r="M744" i="3"/>
  <c r="G809" i="3"/>
  <c r="E809" i="3"/>
  <c r="M809" i="3" s="1"/>
  <c r="G887" i="3"/>
  <c r="E887" i="3"/>
  <c r="G898" i="3"/>
  <c r="G877" i="3"/>
  <c r="E877" i="3"/>
  <c r="G374" i="3"/>
  <c r="J374" i="3" s="1"/>
  <c r="E231" i="3"/>
  <c r="G600" i="3"/>
  <c r="J600" i="3" s="1"/>
  <c r="G191" i="3"/>
  <c r="J191" i="3" s="1"/>
  <c r="G276" i="3"/>
  <c r="G289" i="3"/>
  <c r="J289" i="3" s="1"/>
  <c r="G367" i="3"/>
  <c r="J367" i="3" s="1"/>
  <c r="E367" i="3"/>
  <c r="G880" i="3"/>
  <c r="E880" i="3"/>
  <c r="M880" i="3" s="1"/>
  <c r="M817" i="3"/>
  <c r="M870" i="3"/>
  <c r="G163" i="3"/>
  <c r="J163" i="3" s="1"/>
  <c r="G249" i="3"/>
  <c r="J249" i="3" s="1"/>
  <c r="E177" i="3"/>
  <c r="M177" i="3" s="1"/>
  <c r="G250" i="3"/>
  <c r="J250" i="3" s="1"/>
  <c r="G237" i="3"/>
  <c r="J237" i="3" s="1"/>
  <c r="E264" i="3"/>
  <c r="M264" i="3" s="1"/>
  <c r="G263" i="3"/>
  <c r="J263" i="3" s="1"/>
  <c r="G573" i="3"/>
  <c r="L573" i="3" s="1"/>
  <c r="M573" i="3"/>
  <c r="E242" i="3"/>
  <c r="M242" i="3" s="1"/>
  <c r="E174" i="3"/>
  <c r="E345" i="3"/>
  <c r="G203" i="3"/>
  <c r="J203" i="3" s="1"/>
  <c r="G316" i="3"/>
  <c r="G304" i="3"/>
  <c r="J304" i="3" s="1"/>
  <c r="G167" i="3"/>
  <c r="J167" i="3" s="1"/>
  <c r="G186" i="3"/>
  <c r="J186" i="3" s="1"/>
  <c r="M302" i="3"/>
  <c r="G475" i="3"/>
  <c r="J475" i="3" s="1"/>
  <c r="G426" i="3"/>
  <c r="J426" i="3" s="1"/>
  <c r="E426" i="3"/>
  <c r="E319" i="3"/>
  <c r="G274" i="3"/>
  <c r="J274" i="3" s="1"/>
  <c r="E288" i="3"/>
  <c r="M288" i="3" s="1"/>
  <c r="E336" i="3"/>
  <c r="G526" i="3"/>
  <c r="M526" i="3"/>
  <c r="G280" i="3"/>
  <c r="J280" i="3" s="1"/>
  <c r="E280" i="3"/>
  <c r="G421" i="3"/>
  <c r="J421" i="3" s="1"/>
  <c r="G285" i="3"/>
  <c r="Q285" i="3" s="1"/>
  <c r="E421" i="3"/>
  <c r="M421" i="3" s="1"/>
  <c r="E439" i="3"/>
  <c r="M439" i="3" s="1"/>
  <c r="E412" i="3"/>
  <c r="M412" i="3" s="1"/>
  <c r="G527" i="3"/>
  <c r="J527" i="3" s="1"/>
  <c r="G418" i="3"/>
  <c r="J418" i="3" s="1"/>
  <c r="G488" i="3"/>
  <c r="J488" i="3" s="1"/>
  <c r="E488" i="3"/>
  <c r="M488" i="3" s="1"/>
  <c r="G463" i="3"/>
  <c r="J463" i="3" s="1"/>
  <c r="E463" i="3"/>
  <c r="G542" i="3"/>
  <c r="J542" i="3" s="1"/>
  <c r="G508" i="3"/>
  <c r="J508" i="3" s="1"/>
  <c r="E508" i="3"/>
  <c r="E619" i="3"/>
  <c r="M619" i="3" s="1"/>
  <c r="G552" i="3"/>
  <c r="J552" i="3" s="1"/>
  <c r="M552" i="3"/>
  <c r="G632" i="3"/>
  <c r="J632" i="3" s="1"/>
  <c r="E632" i="3"/>
  <c r="G732" i="3"/>
  <c r="G705" i="3"/>
  <c r="E705" i="3"/>
  <c r="M705" i="3" s="1"/>
  <c r="M818" i="3"/>
  <c r="G836" i="3"/>
  <c r="E836" i="3"/>
  <c r="M836" i="3" s="1"/>
  <c r="M845" i="3"/>
  <c r="M861" i="3"/>
  <c r="G882" i="3"/>
  <c r="Q882" i="3" s="1"/>
  <c r="G899" i="3"/>
  <c r="I899" i="3" s="1"/>
  <c r="H899" i="3" s="1"/>
  <c r="K899" i="3" s="1"/>
  <c r="G549" i="3"/>
  <c r="J549" i="3" s="1"/>
  <c r="E549" i="3"/>
  <c r="G273" i="3"/>
  <c r="J273" i="3" s="1"/>
  <c r="G325" i="3"/>
  <c r="J325" i="3" s="1"/>
  <c r="G383" i="3"/>
  <c r="M383" i="3"/>
  <c r="G260" i="3"/>
  <c r="J260" i="3" s="1"/>
  <c r="G284" i="3"/>
  <c r="J284" i="3" s="1"/>
  <c r="E411" i="3"/>
  <c r="M411" i="3" s="1"/>
  <c r="M498" i="3"/>
  <c r="M607" i="3"/>
  <c r="G594" i="3"/>
  <c r="J594" i="3" s="1"/>
  <c r="E594" i="3"/>
  <c r="M594" i="3" s="1"/>
  <c r="G581" i="3"/>
  <c r="J581" i="3" s="1"/>
  <c r="E581" i="3"/>
  <c r="M581" i="3" s="1"/>
  <c r="G663" i="3"/>
  <c r="G731" i="3"/>
  <c r="E731" i="3"/>
  <c r="M731" i="3" s="1"/>
  <c r="M789" i="3"/>
  <c r="G547" i="3"/>
  <c r="J547" i="3" s="1"/>
  <c r="E547" i="3"/>
  <c r="M547" i="3" s="1"/>
  <c r="E453" i="3"/>
  <c r="G225" i="3"/>
  <c r="J225" i="3" s="1"/>
  <c r="M189" i="3"/>
  <c r="G205" i="3"/>
  <c r="J205" i="3" s="1"/>
  <c r="G255" i="3"/>
  <c r="L255" i="3" s="1"/>
  <c r="E221" i="3"/>
  <c r="G201" i="3"/>
  <c r="G238" i="3"/>
  <c r="J238" i="3" s="1"/>
  <c r="G317" i="3"/>
  <c r="J317" i="3" s="1"/>
  <c r="M218" i="3"/>
  <c r="G267" i="3"/>
  <c r="G202" i="3"/>
  <c r="L202" i="3" s="1"/>
  <c r="E216" i="3"/>
  <c r="E300" i="3"/>
  <c r="E207" i="3"/>
  <c r="M207" i="3" s="1"/>
  <c r="G347" i="3"/>
  <c r="J347" i="3" s="1"/>
  <c r="E347" i="3"/>
  <c r="M347" i="3" s="1"/>
  <c r="M255" i="3"/>
  <c r="G180" i="3"/>
  <c r="J180" i="3" s="1"/>
  <c r="G232" i="3"/>
  <c r="L232" i="3" s="1"/>
  <c r="E309" i="3"/>
  <c r="E171" i="3"/>
  <c r="E304" i="3"/>
  <c r="G209" i="3"/>
  <c r="J209" i="3" s="1"/>
  <c r="G278" i="3"/>
  <c r="J278" i="3" s="1"/>
  <c r="G320" i="3"/>
  <c r="J320" i="3" s="1"/>
  <c r="E278" i="3"/>
  <c r="E320" i="3"/>
  <c r="M320" i="3" s="1"/>
  <c r="E307" i="3"/>
  <c r="M307" i="3" s="1"/>
  <c r="G382" i="3"/>
  <c r="J382" i="3" s="1"/>
  <c r="M382" i="3"/>
  <c r="G299" i="3"/>
  <c r="J299" i="3" s="1"/>
  <c r="E332" i="3"/>
  <c r="E379" i="3"/>
  <c r="G385" i="3"/>
  <c r="E385" i="3"/>
  <c r="M385" i="3" s="1"/>
  <c r="M512" i="3"/>
  <c r="G386" i="3"/>
  <c r="J386" i="3" s="1"/>
  <c r="E386" i="3"/>
  <c r="M386" i="3" s="1"/>
  <c r="M708" i="3"/>
  <c r="M467" i="3"/>
  <c r="M599" i="3"/>
  <c r="G644" i="3"/>
  <c r="J644" i="3" s="1"/>
  <c r="E644" i="3"/>
  <c r="E500" i="3"/>
  <c r="M500" i="3" s="1"/>
  <c r="G620" i="3"/>
  <c r="L620" i="3" s="1"/>
  <c r="M567" i="3"/>
  <c r="G639" i="3"/>
  <c r="J639" i="3" s="1"/>
  <c r="M639" i="3"/>
  <c r="G591" i="3"/>
  <c r="J591" i="3" s="1"/>
  <c r="G734" i="3"/>
  <c r="E734" i="3"/>
  <c r="G666" i="3"/>
  <c r="E666" i="3"/>
  <c r="M666" i="3" s="1"/>
  <c r="G700" i="3"/>
  <c r="E700" i="3"/>
  <c r="M726" i="3"/>
  <c r="M732" i="3"/>
  <c r="M782" i="3"/>
  <c r="M852" i="3"/>
  <c r="E898" i="3"/>
  <c r="G346" i="3"/>
  <c r="J346" i="3" s="1"/>
  <c r="E346" i="3"/>
  <c r="M346" i="3" s="1"/>
  <c r="G629" i="3"/>
  <c r="J629" i="3" s="1"/>
  <c r="E629" i="3"/>
  <c r="G236" i="3"/>
  <c r="J236" i="3" s="1"/>
  <c r="M468" i="3"/>
  <c r="G448" i="3"/>
  <c r="J448" i="3" s="1"/>
  <c r="G223" i="3"/>
  <c r="J223" i="3" s="1"/>
  <c r="G438" i="3"/>
  <c r="J438" i="3" s="1"/>
  <c r="E438" i="3"/>
  <c r="G187" i="3"/>
  <c r="J187" i="3" s="1"/>
  <c r="M366" i="3"/>
  <c r="G169" i="3"/>
  <c r="G183" i="3"/>
  <c r="E173" i="3"/>
  <c r="E187" i="3"/>
  <c r="M187" i="3" s="1"/>
  <c r="G257" i="3"/>
  <c r="J257" i="3" s="1"/>
  <c r="G182" i="3"/>
  <c r="J182" i="3" s="1"/>
  <c r="G222" i="3"/>
  <c r="J222" i="3" s="1"/>
  <c r="G253" i="3"/>
  <c r="M253" i="3"/>
  <c r="G330" i="3"/>
  <c r="J330" i="3" s="1"/>
  <c r="M330" i="3"/>
  <c r="E225" i="3"/>
  <c r="G354" i="3"/>
  <c r="J354" i="3" s="1"/>
  <c r="M354" i="3"/>
  <c r="G179" i="3"/>
  <c r="L179" i="3" s="1"/>
  <c r="G170" i="3"/>
  <c r="M249" i="3"/>
  <c r="M365" i="3"/>
  <c r="E170" i="3"/>
  <c r="G360" i="3"/>
  <c r="J360" i="3" s="1"/>
  <c r="E360" i="3"/>
  <c r="M360" i="3" s="1"/>
  <c r="E194" i="3"/>
  <c r="G318" i="3"/>
  <c r="J318" i="3" s="1"/>
  <c r="E318" i="3"/>
  <c r="E246" i="3"/>
  <c r="E260" i="3"/>
  <c r="M260" i="3" s="1"/>
  <c r="E234" i="3"/>
  <c r="G217" i="3"/>
  <c r="J217" i="3" s="1"/>
  <c r="E296" i="3"/>
  <c r="G321" i="3"/>
  <c r="J321" i="3" s="1"/>
  <c r="E321" i="3"/>
  <c r="G293" i="3"/>
  <c r="J293" i="3" s="1"/>
  <c r="E293" i="3"/>
  <c r="E223" i="3"/>
  <c r="M223" i="3" s="1"/>
  <c r="E265" i="3"/>
  <c r="E289" i="3"/>
  <c r="M289" i="3" s="1"/>
  <c r="M444" i="3"/>
  <c r="E441" i="3"/>
  <c r="G635" i="3"/>
  <c r="J635" i="3" s="1"/>
  <c r="E635" i="3"/>
  <c r="M635" i="3" s="1"/>
  <c r="G414" i="3"/>
  <c r="J414" i="3" s="1"/>
  <c r="M416" i="3"/>
  <c r="G465" i="3"/>
  <c r="J465" i="3" s="1"/>
  <c r="E465" i="3"/>
  <c r="M507" i="3"/>
  <c r="G470" i="3"/>
  <c r="J470" i="3" s="1"/>
  <c r="E470" i="3"/>
  <c r="M470" i="3" s="1"/>
  <c r="G615" i="3"/>
  <c r="J615" i="3" s="1"/>
  <c r="E615" i="3"/>
  <c r="M606" i="3"/>
  <c r="G603" i="3"/>
  <c r="M603" i="3"/>
  <c r="E561" i="3"/>
  <c r="E663" i="3"/>
  <c r="G781" i="3"/>
  <c r="E781" i="3"/>
  <c r="M781" i="3" s="1"/>
  <c r="G675" i="3"/>
  <c r="G638" i="3"/>
  <c r="J638" i="3" s="1"/>
  <c r="E638" i="3"/>
  <c r="M638" i="3" s="1"/>
  <c r="G722" i="3"/>
  <c r="Q722" i="3" s="1"/>
  <c r="M722" i="3"/>
  <c r="G805" i="3"/>
  <c r="E805" i="3"/>
  <c r="M824" i="3"/>
  <c r="G896" i="3"/>
  <c r="Q896" i="3" s="1"/>
  <c r="M896" i="3"/>
  <c r="E823" i="3"/>
  <c r="E890" i="3"/>
  <c r="G891" i="3"/>
  <c r="E891" i="3"/>
  <c r="G489" i="3"/>
  <c r="J489" i="3" s="1"/>
  <c r="E489" i="3"/>
  <c r="G636" i="3"/>
  <c r="J636" i="3" s="1"/>
  <c r="E636" i="3"/>
  <c r="G806" i="3"/>
  <c r="E806" i="3"/>
  <c r="G290" i="3"/>
  <c r="J290" i="3" s="1"/>
  <c r="G213" i="3"/>
  <c r="J213" i="3" s="1"/>
  <c r="G188" i="3"/>
  <c r="J188" i="3" s="1"/>
  <c r="M377" i="3"/>
  <c r="G338" i="3"/>
  <c r="J338" i="3" s="1"/>
  <c r="G665" i="3"/>
  <c r="E258" i="3"/>
  <c r="G254" i="3"/>
  <c r="J254" i="3" s="1"/>
  <c r="G328" i="3"/>
  <c r="J328" i="3" s="1"/>
  <c r="E276" i="3"/>
  <c r="M276" i="3" s="1"/>
  <c r="G226" i="3"/>
  <c r="E169" i="3"/>
  <c r="G212" i="3"/>
  <c r="J212" i="3" s="1"/>
  <c r="M254" i="3"/>
  <c r="M172" i="3"/>
  <c r="E212" i="3"/>
  <c r="M257" i="3"/>
  <c r="G176" i="3"/>
  <c r="J176" i="3" s="1"/>
  <c r="M215" i="3"/>
  <c r="G247" i="3"/>
  <c r="J247" i="3" s="1"/>
  <c r="E176" i="3"/>
  <c r="E195" i="3"/>
  <c r="M195" i="3" s="1"/>
  <c r="M325" i="3"/>
  <c r="G259" i="3"/>
  <c r="J259" i="3" s="1"/>
  <c r="G283" i="3"/>
  <c r="J283" i="3" s="1"/>
  <c r="E283" i="3"/>
  <c r="M283" i="3" s="1"/>
  <c r="G322" i="3"/>
  <c r="G373" i="3"/>
  <c r="L373" i="3" s="1"/>
  <c r="M373" i="3"/>
  <c r="M267" i="3"/>
  <c r="G312" i="3"/>
  <c r="J312" i="3" s="1"/>
  <c r="M312" i="3"/>
  <c r="G261" i="3"/>
  <c r="J261" i="3" s="1"/>
  <c r="E261" i="3"/>
  <c r="E308" i="3"/>
  <c r="E449" i="3"/>
  <c r="G502" i="3"/>
  <c r="J502" i="3" s="1"/>
  <c r="E502" i="3"/>
  <c r="G536" i="3"/>
  <c r="J536" i="3" s="1"/>
  <c r="E536" i="3"/>
  <c r="M536" i="3" s="1"/>
  <c r="G352" i="3"/>
  <c r="J352" i="3" s="1"/>
  <c r="E352" i="3"/>
  <c r="M443" i="3"/>
  <c r="E418" i="3"/>
  <c r="G532" i="3"/>
  <c r="J532" i="3" s="1"/>
  <c r="G415" i="3"/>
  <c r="J415" i="3" s="1"/>
  <c r="M415" i="3"/>
  <c r="G497" i="3"/>
  <c r="E497" i="3"/>
  <c r="M497" i="3" s="1"/>
  <c r="E600" i="3"/>
  <c r="M665" i="3"/>
  <c r="M712" i="3"/>
  <c r="G685" i="3"/>
  <c r="E685" i="3"/>
  <c r="G718" i="3"/>
  <c r="E718" i="3"/>
  <c r="E721" i="3"/>
  <c r="G792" i="3"/>
  <c r="E792" i="3"/>
  <c r="G745" i="3"/>
  <c r="E745" i="3"/>
  <c r="M745" i="3" s="1"/>
  <c r="M859" i="3"/>
  <c r="M899" i="3"/>
  <c r="G828" i="3"/>
  <c r="E828" i="3"/>
  <c r="M828" i="3" s="1"/>
  <c r="G895" i="3"/>
  <c r="E895" i="3"/>
  <c r="M895" i="3" s="1"/>
  <c r="G596" i="3"/>
  <c r="G341" i="3"/>
  <c r="J341" i="3" s="1"/>
  <c r="G393" i="3"/>
  <c r="J393" i="3" s="1"/>
  <c r="E393" i="3"/>
  <c r="G375" i="3"/>
  <c r="J375" i="3" s="1"/>
  <c r="G432" i="3"/>
  <c r="J432" i="3" s="1"/>
  <c r="G493" i="3"/>
  <c r="J493" i="3" s="1"/>
  <c r="G399" i="3"/>
  <c r="J399" i="3" s="1"/>
  <c r="G395" i="3"/>
  <c r="L395" i="3" s="1"/>
  <c r="E461" i="3"/>
  <c r="M461" i="3" s="1"/>
  <c r="G349" i="3"/>
  <c r="L349" i="3" s="1"/>
  <c r="G565" i="3"/>
  <c r="J565" i="3" s="1"/>
  <c r="G523" i="3"/>
  <c r="L523" i="3" s="1"/>
  <c r="G601" i="3"/>
  <c r="J601" i="3" s="1"/>
  <c r="G498" i="3"/>
  <c r="J498" i="3" s="1"/>
  <c r="G560" i="3"/>
  <c r="J560" i="3" s="1"/>
  <c r="G471" i="3"/>
  <c r="L471" i="3" s="1"/>
  <c r="G583" i="3"/>
  <c r="L583" i="3" s="1"/>
  <c r="G559" i="3"/>
  <c r="J559" i="3" s="1"/>
  <c r="G491" i="3"/>
  <c r="J491" i="3" s="1"/>
  <c r="M530" i="3"/>
  <c r="G571" i="3"/>
  <c r="J571" i="3" s="1"/>
  <c r="G534" i="3"/>
  <c r="J534" i="3" s="1"/>
  <c r="G743" i="3"/>
  <c r="E743" i="3"/>
  <c r="G679" i="3"/>
  <c r="G699" i="3"/>
  <c r="E699" i="3"/>
  <c r="G741" i="3"/>
  <c r="Q741" i="3" s="1"/>
  <c r="G662" i="3"/>
  <c r="I662" i="3" s="1"/>
  <c r="H662" i="3" s="1"/>
  <c r="K662" i="3" s="1"/>
  <c r="G643" i="3"/>
  <c r="J643" i="3" s="1"/>
  <c r="G748" i="3"/>
  <c r="I748" i="3" s="1"/>
  <c r="G714" i="3"/>
  <c r="E710" i="3"/>
  <c r="G756" i="3"/>
  <c r="G716" i="3"/>
  <c r="Q716" i="3" s="1"/>
  <c r="G738" i="3"/>
  <c r="G767" i="3"/>
  <c r="G892" i="3"/>
  <c r="I892" i="3" s="1"/>
  <c r="G855" i="3"/>
  <c r="G802" i="3"/>
  <c r="I802" i="3" s="1"/>
  <c r="H802" i="3" s="1"/>
  <c r="K802" i="3" s="1"/>
  <c r="G790" i="3"/>
  <c r="I790" i="3" s="1"/>
  <c r="G831" i="3"/>
  <c r="Q831" i="3" s="1"/>
  <c r="G851" i="3"/>
  <c r="E851" i="3"/>
  <c r="G839" i="3"/>
  <c r="G445" i="3"/>
  <c r="G478" i="3"/>
  <c r="J478" i="3" s="1"/>
  <c r="G356" i="3"/>
  <c r="J356" i="3" s="1"/>
  <c r="E445" i="3"/>
  <c r="G427" i="3"/>
  <c r="J427" i="3" s="1"/>
  <c r="G348" i="3"/>
  <c r="J348" i="3" s="1"/>
  <c r="G447" i="3"/>
  <c r="J447" i="3" s="1"/>
  <c r="G372" i="3"/>
  <c r="J372" i="3" s="1"/>
  <c r="G391" i="3"/>
  <c r="L391" i="3" s="1"/>
  <c r="G708" i="3"/>
  <c r="Q708" i="3" s="1"/>
  <c r="G535" i="3"/>
  <c r="J535" i="3" s="1"/>
  <c r="G513" i="3"/>
  <c r="J513" i="3" s="1"/>
  <c r="G570" i="3"/>
  <c r="J570" i="3" s="1"/>
  <c r="G691" i="3"/>
  <c r="G613" i="3"/>
  <c r="J613" i="3" s="1"/>
  <c r="G576" i="3"/>
  <c r="J576" i="3" s="1"/>
  <c r="E576" i="3"/>
  <c r="G544" i="3"/>
  <c r="J544" i="3" s="1"/>
  <c r="M583" i="3"/>
  <c r="E544" i="3"/>
  <c r="G703" i="3"/>
  <c r="G661" i="3"/>
  <c r="E661" i="3"/>
  <c r="G747" i="3"/>
  <c r="G752" i="3"/>
  <c r="G774" i="3"/>
  <c r="G720" i="3"/>
  <c r="G711" i="3"/>
  <c r="G712" i="3"/>
  <c r="Q712" i="3" s="1"/>
  <c r="G770" i="3"/>
  <c r="Q770" i="3" s="1"/>
  <c r="G772" i="3"/>
  <c r="M770" i="3"/>
  <c r="M841" i="3"/>
  <c r="G817" i="3"/>
  <c r="G780" i="3"/>
  <c r="G825" i="3"/>
  <c r="G848" i="3"/>
  <c r="G873" i="3"/>
  <c r="Q873" i="3" s="1"/>
  <c r="G893" i="3"/>
  <c r="M853" i="3"/>
  <c r="E893" i="3"/>
  <c r="M893" i="3" s="1"/>
  <c r="G876" i="3"/>
  <c r="G881" i="3"/>
  <c r="I881" i="3" s="1"/>
  <c r="H881" i="3" s="1"/>
  <c r="K881" i="3" s="1"/>
  <c r="G266" i="3"/>
  <c r="J266" i="3" s="1"/>
  <c r="G388" i="3"/>
  <c r="J388" i="3" s="1"/>
  <c r="G378" i="3"/>
  <c r="J378" i="3" s="1"/>
  <c r="G398" i="3"/>
  <c r="J398" i="3" s="1"/>
  <c r="G473" i="3"/>
  <c r="J473" i="3" s="1"/>
  <c r="G457" i="3"/>
  <c r="J457" i="3" s="1"/>
  <c r="G390" i="3"/>
  <c r="J390" i="3" s="1"/>
  <c r="G424" i="3"/>
  <c r="J424" i="3" s="1"/>
  <c r="G443" i="3"/>
  <c r="E611" i="3"/>
  <c r="M611" i="3" s="1"/>
  <c r="E513" i="3"/>
  <c r="G481" i="3"/>
  <c r="L481" i="3" s="1"/>
  <c r="M523" i="3"/>
  <c r="G486" i="3"/>
  <c r="J486" i="3" s="1"/>
  <c r="G555" i="3"/>
  <c r="J555" i="3" s="1"/>
  <c r="G468" i="3"/>
  <c r="G574" i="3"/>
  <c r="J574" i="3" s="1"/>
  <c r="G616" i="3"/>
  <c r="J616" i="3" s="1"/>
  <c r="G612" i="3"/>
  <c r="L612" i="3" s="1"/>
  <c r="G678" i="3"/>
  <c r="Q678" i="3" s="1"/>
  <c r="G539" i="3"/>
  <c r="J539" i="3" s="1"/>
  <c r="G624" i="3"/>
  <c r="J624" i="3" s="1"/>
  <c r="G586" i="3"/>
  <c r="J586" i="3" s="1"/>
  <c r="G625" i="3"/>
  <c r="L625" i="3" s="1"/>
  <c r="E586" i="3"/>
  <c r="G626" i="3"/>
  <c r="J626" i="3" s="1"/>
  <c r="G631" i="3"/>
  <c r="L631" i="3" s="1"/>
  <c r="G769" i="3"/>
  <c r="G709" i="3"/>
  <c r="M784" i="3"/>
  <c r="G715" i="3"/>
  <c r="G797" i="3"/>
  <c r="G771" i="3"/>
  <c r="G874" i="3"/>
  <c r="E772" i="3"/>
  <c r="G894" i="3"/>
  <c r="G850" i="3"/>
  <c r="G773" i="3"/>
  <c r="M822" i="3"/>
  <c r="E800" i="3"/>
  <c r="G785" i="3"/>
  <c r="G856" i="3"/>
  <c r="G425" i="3"/>
  <c r="L425" i="3" s="1"/>
  <c r="G271" i="3"/>
  <c r="J271" i="3" s="1"/>
  <c r="G533" i="3"/>
  <c r="J533" i="3" s="1"/>
  <c r="G417" i="3"/>
  <c r="J417" i="3" s="1"/>
  <c r="E417" i="3"/>
  <c r="G389" i="3"/>
  <c r="G446" i="3"/>
  <c r="J446" i="3" s="1"/>
  <c r="G423" i="3"/>
  <c r="J423" i="3" s="1"/>
  <c r="E399" i="3"/>
  <c r="G530" i="3"/>
  <c r="J530" i="3" s="1"/>
  <c r="G419" i="3"/>
  <c r="J419" i="3" s="1"/>
  <c r="G461" i="3"/>
  <c r="J461" i="3" s="1"/>
  <c r="G480" i="3"/>
  <c r="G363" i="3"/>
  <c r="G554" i="3"/>
  <c r="J554" i="3" s="1"/>
  <c r="G512" i="3"/>
  <c r="J512" i="3" s="1"/>
  <c r="E596" i="3"/>
  <c r="M596" i="3" s="1"/>
  <c r="G485" i="3"/>
  <c r="J485" i="3" s="1"/>
  <c r="G634" i="3"/>
  <c r="J634" i="3" s="1"/>
  <c r="M519" i="3"/>
  <c r="M593" i="3"/>
  <c r="G505" i="3"/>
  <c r="G516" i="3"/>
  <c r="J516" i="3" s="1"/>
  <c r="G585" i="3"/>
  <c r="J585" i="3" s="1"/>
  <c r="G548" i="3"/>
  <c r="J548" i="3" s="1"/>
  <c r="E548" i="3"/>
  <c r="M555" i="3"/>
  <c r="G668" i="3"/>
  <c r="G693" i="3"/>
  <c r="G623" i="3"/>
  <c r="J623" i="3" s="1"/>
  <c r="G733" i="3"/>
  <c r="G676" i="3"/>
  <c r="G667" i="3"/>
  <c r="G728" i="3"/>
  <c r="G746" i="3"/>
  <c r="G787" i="3"/>
  <c r="I787" i="3" s="1"/>
  <c r="H787" i="3" s="1"/>
  <c r="K787" i="3" s="1"/>
  <c r="G730" i="3"/>
  <c r="G783" i="3"/>
  <c r="Q783" i="3" s="1"/>
  <c r="G762" i="3"/>
  <c r="I762" i="3" s="1"/>
  <c r="G744" i="3"/>
  <c r="M783" i="3"/>
  <c r="G875" i="3"/>
  <c r="G816" i="3"/>
  <c r="I816" i="3" s="1"/>
  <c r="H816" i="3" s="1"/>
  <c r="K816" i="3" s="1"/>
  <c r="G869" i="3"/>
  <c r="I869" i="3" s="1"/>
  <c r="H869" i="3" s="1"/>
  <c r="K869" i="3" s="1"/>
  <c r="G789" i="3"/>
  <c r="I789" i="3" s="1"/>
  <c r="H789" i="3" s="1"/>
  <c r="K789" i="3" s="1"/>
  <c r="G833" i="3"/>
  <c r="G804" i="3"/>
  <c r="Q804" i="3" s="1"/>
  <c r="G845" i="3"/>
  <c r="M884" i="3"/>
  <c r="G865" i="3"/>
  <c r="E865" i="3"/>
  <c r="M865" i="3" s="1"/>
  <c r="G853" i="3"/>
  <c r="I853" i="3" s="1"/>
  <c r="H853" i="3" s="1"/>
  <c r="K853" i="3" s="1"/>
  <c r="M892" i="3"/>
  <c r="G729" i="3"/>
  <c r="I729" i="3" s="1"/>
  <c r="G796" i="3"/>
  <c r="G740" i="3"/>
  <c r="I740" i="3" s="1"/>
  <c r="G778" i="3"/>
  <c r="I778" i="3" s="1"/>
  <c r="G736" i="3"/>
  <c r="I736" i="3" s="1"/>
  <c r="G841" i="3"/>
  <c r="G784" i="3"/>
  <c r="G822" i="3"/>
  <c r="G799" i="3"/>
  <c r="G870" i="3"/>
  <c r="I870" i="3" s="1"/>
  <c r="G340" i="3"/>
  <c r="G444" i="3"/>
  <c r="G337" i="3"/>
  <c r="E398" i="3"/>
  <c r="G525" i="3"/>
  <c r="J525" i="3" s="1"/>
  <c r="G366" i="3"/>
  <c r="J366" i="3" s="1"/>
  <c r="G343" i="3"/>
  <c r="J343" i="3" s="1"/>
  <c r="E432" i="3"/>
  <c r="G460" i="3"/>
  <c r="M378" i="3"/>
  <c r="G464" i="3"/>
  <c r="J464" i="3" s="1"/>
  <c r="G507" i="3"/>
  <c r="J507" i="3" s="1"/>
  <c r="E372" i="3"/>
  <c r="M372" i="3" s="1"/>
  <c r="E517" i="3"/>
  <c r="M517" i="3" s="1"/>
  <c r="G511" i="3"/>
  <c r="G540" i="3"/>
  <c r="J540" i="3" s="1"/>
  <c r="E540" i="3"/>
  <c r="M540" i="3" s="1"/>
  <c r="G490" i="3"/>
  <c r="G628" i="3"/>
  <c r="G607" i="3"/>
  <c r="J607" i="3" s="1"/>
  <c r="M474" i="3"/>
  <c r="G592" i="3"/>
  <c r="L592" i="3" s="1"/>
  <c r="G630" i="3"/>
  <c r="J630" i="3" s="1"/>
  <c r="G575" i="3"/>
  <c r="J575" i="3" s="1"/>
  <c r="G566" i="3"/>
  <c r="J566" i="3" s="1"/>
  <c r="G633" i="3"/>
  <c r="J633" i="3" s="1"/>
  <c r="G595" i="3"/>
  <c r="L595" i="3" s="1"/>
  <c r="G713" i="3"/>
  <c r="I713" i="3" s="1"/>
  <c r="G563" i="3"/>
  <c r="G672" i="3"/>
  <c r="G688" i="3"/>
  <c r="G670" i="3"/>
  <c r="G680" i="3"/>
  <c r="G647" i="3"/>
  <c r="J647" i="3" s="1"/>
  <c r="G698" i="3"/>
  <c r="Q698" i="3" s="1"/>
  <c r="G766" i="3"/>
  <c r="I766" i="3" s="1"/>
  <c r="E676" i="3"/>
  <c r="G811" i="3"/>
  <c r="E747" i="3"/>
  <c r="G757" i="3"/>
  <c r="Q757" i="3" s="1"/>
  <c r="E774" i="3"/>
  <c r="G800" i="3"/>
  <c r="E738" i="3"/>
  <c r="G821" i="3"/>
  <c r="E771" i="3"/>
  <c r="E753" i="3"/>
  <c r="M753" i="3" s="1"/>
  <c r="G795" i="3"/>
  <c r="G749" i="3"/>
  <c r="E795" i="3"/>
  <c r="M795" i="3" s="1"/>
  <c r="G779" i="3"/>
  <c r="G858" i="3"/>
  <c r="G878" i="3"/>
  <c r="I878" i="3" s="1"/>
  <c r="G854" i="3"/>
  <c r="E854" i="3"/>
  <c r="M834" i="3"/>
  <c r="E874" i="3"/>
  <c r="G857" i="3"/>
  <c r="I857" i="3" s="1"/>
  <c r="H857" i="3" s="1"/>
  <c r="K857" i="3" s="1"/>
  <c r="G849" i="3"/>
  <c r="Q849" i="3" s="1"/>
  <c r="G686" i="3"/>
  <c r="G413" i="3"/>
  <c r="L413" i="3" s="1"/>
  <c r="G455" i="3"/>
  <c r="L455" i="3" s="1"/>
  <c r="G437" i="3"/>
  <c r="L437" i="3" s="1"/>
  <c r="E423" i="3"/>
  <c r="G677" i="3"/>
  <c r="G433" i="3"/>
  <c r="L433" i="3" s="1"/>
  <c r="G472" i="3"/>
  <c r="J472" i="3" s="1"/>
  <c r="G358" i="3"/>
  <c r="J358" i="3" s="1"/>
  <c r="E447" i="3"/>
  <c r="G517" i="3"/>
  <c r="J517" i="3" s="1"/>
  <c r="G377" i="3"/>
  <c r="J377" i="3" s="1"/>
  <c r="G519" i="3"/>
  <c r="J519" i="3" s="1"/>
  <c r="G579" i="3"/>
  <c r="G588" i="3"/>
  <c r="J588" i="3" s="1"/>
  <c r="G499" i="3"/>
  <c r="J499" i="3" s="1"/>
  <c r="E457" i="3"/>
  <c r="G664" i="3"/>
  <c r="E491" i="3"/>
  <c r="G556" i="3"/>
  <c r="L556" i="3" s="1"/>
  <c r="E533" i="3"/>
  <c r="G599" i="3"/>
  <c r="L599" i="3" s="1"/>
  <c r="G562" i="3"/>
  <c r="J562" i="3" s="1"/>
  <c r="E562" i="3"/>
  <c r="G737" i="3"/>
  <c r="G717" i="3"/>
  <c r="G682" i="3"/>
  <c r="E664" i="3"/>
  <c r="G637" i="3"/>
  <c r="E637" i="3"/>
  <c r="G704" i="3"/>
  <c r="I704" i="3" s="1"/>
  <c r="G690" i="3"/>
  <c r="G681" i="3"/>
  <c r="M750" i="3"/>
  <c r="E714" i="3"/>
  <c r="G724" i="3"/>
  <c r="I724" i="3" s="1"/>
  <c r="H724" i="3" s="1"/>
  <c r="K724" i="3" s="1"/>
  <c r="M698" i="3"/>
  <c r="G706" i="3"/>
  <c r="M736" i="3"/>
  <c r="G697" i="3"/>
  <c r="I697" i="3" s="1"/>
  <c r="G889" i="3"/>
  <c r="G776" i="3"/>
  <c r="I776" i="3" s="1"/>
  <c r="H776" i="3" s="1"/>
  <c r="K776" i="3" s="1"/>
  <c r="G758" i="3"/>
  <c r="E749" i="3"/>
  <c r="G786" i="3"/>
  <c r="M756" i="3"/>
  <c r="G860" i="3"/>
  <c r="M821" i="3"/>
  <c r="G803" i="3"/>
  <c r="G861" i="3"/>
  <c r="I861" i="3" s="1"/>
  <c r="G818" i="3"/>
  <c r="Q818" i="3" s="1"/>
  <c r="G883" i="3"/>
  <c r="I883" i="3" s="1"/>
  <c r="H883" i="3" s="1"/>
  <c r="K883" i="3" s="1"/>
  <c r="G859" i="3"/>
  <c r="G879" i="3"/>
  <c r="M839" i="3"/>
  <c r="E879" i="3"/>
  <c r="G862" i="3"/>
  <c r="G867" i="3"/>
  <c r="G303" i="3"/>
  <c r="G252" i="3"/>
  <c r="J252" i="3" s="1"/>
  <c r="G469" i="3"/>
  <c r="G384" i="3"/>
  <c r="L384" i="3" s="1"/>
  <c r="E375" i="3"/>
  <c r="E473" i="3"/>
  <c r="G546" i="3"/>
  <c r="G376" i="3"/>
  <c r="J376" i="3" s="1"/>
  <c r="M425" i="3"/>
  <c r="G400" i="3"/>
  <c r="G537" i="3"/>
  <c r="G429" i="3"/>
  <c r="J429" i="3" s="1"/>
  <c r="E537" i="3"/>
  <c r="M537" i="3" s="1"/>
  <c r="G649" i="3"/>
  <c r="J649" i="3" s="1"/>
  <c r="G503" i="3"/>
  <c r="L503" i="3" s="1"/>
  <c r="G593" i="3"/>
  <c r="J593" i="3" s="1"/>
  <c r="E560" i="3"/>
  <c r="E499" i="3"/>
  <c r="M499" i="3" s="1"/>
  <c r="G569" i="3"/>
  <c r="J569" i="3" s="1"/>
  <c r="G467" i="3"/>
  <c r="J467" i="3" s="1"/>
  <c r="E630" i="3"/>
  <c r="M511" i="3"/>
  <c r="E559" i="3"/>
  <c r="E616" i="3"/>
  <c r="E601" i="3"/>
  <c r="G598" i="3"/>
  <c r="M535" i="3"/>
  <c r="E575" i="3"/>
  <c r="G640" i="3"/>
  <c r="G604" i="3"/>
  <c r="J604" i="3" s="1"/>
  <c r="G687" i="3"/>
  <c r="Q687" i="3" s="1"/>
  <c r="E604" i="3"/>
  <c r="G572" i="3"/>
  <c r="J572" i="3" s="1"/>
  <c r="E737" i="3"/>
  <c r="E572" i="3"/>
  <c r="G692" i="3"/>
  <c r="G617" i="3"/>
  <c r="L617" i="3" s="1"/>
  <c r="E679" i="3"/>
  <c r="G727" i="3"/>
  <c r="Q727" i="3" s="1"/>
  <c r="G689" i="3"/>
  <c r="E689" i="3"/>
  <c r="G742" i="3"/>
  <c r="G753" i="3"/>
  <c r="M716" i="3"/>
  <c r="G701" i="3"/>
  <c r="E752" i="3"/>
  <c r="M752" i="3" s="1"/>
  <c r="G739" i="3"/>
  <c r="I739" i="3" s="1"/>
  <c r="G820" i="3"/>
  <c r="Q820" i="3" s="1"/>
  <c r="E758" i="3"/>
  <c r="G759" i="3"/>
  <c r="I759" i="3" s="1"/>
  <c r="H759" i="3" s="1"/>
  <c r="K759" i="3" s="1"/>
  <c r="E855" i="3"/>
  <c r="G866" i="3"/>
  <c r="G808" i="3"/>
  <c r="G886" i="3"/>
  <c r="Q886" i="3" s="1"/>
  <c r="G842" i="3"/>
  <c r="M881" i="3"/>
  <c r="E866" i="3"/>
  <c r="E858" i="3"/>
  <c r="G294" i="3"/>
  <c r="G416" i="3"/>
  <c r="M348" i="3"/>
  <c r="E388" i="3"/>
  <c r="G436" i="3"/>
  <c r="J436" i="3" s="1"/>
  <c r="E478" i="3"/>
  <c r="M478" i="3" s="1"/>
  <c r="G611" i="3"/>
  <c r="J611" i="3" s="1"/>
  <c r="E427" i="3"/>
  <c r="M427" i="3" s="1"/>
  <c r="G315" i="3"/>
  <c r="G564" i="3"/>
  <c r="J564" i="3" s="1"/>
  <c r="G428" i="3"/>
  <c r="G483" i="3"/>
  <c r="J483" i="3" s="1"/>
  <c r="E390" i="3"/>
  <c r="E483" i="3"/>
  <c r="M483" i="3" s="1"/>
  <c r="E554" i="3"/>
  <c r="G521" i="3"/>
  <c r="J521" i="3" s="1"/>
  <c r="E493" i="3"/>
  <c r="M493" i="3" s="1"/>
  <c r="G494" i="3"/>
  <c r="G462" i="3"/>
  <c r="G509" i="3"/>
  <c r="L509" i="3" s="1"/>
  <c r="G514" i="3"/>
  <c r="E486" i="3"/>
  <c r="M525" i="3"/>
  <c r="G496" i="3"/>
  <c r="J496" i="3" s="1"/>
  <c r="G551" i="3"/>
  <c r="L551" i="3" s="1"/>
  <c r="G538" i="3"/>
  <c r="L538" i="3" s="1"/>
  <c r="G621" i="3"/>
  <c r="J621" i="3" s="1"/>
  <c r="E566" i="3"/>
  <c r="G567" i="3"/>
  <c r="J567" i="3" s="1"/>
  <c r="G614" i="3"/>
  <c r="J614" i="3" s="1"/>
  <c r="M574" i="3"/>
  <c r="E614" i="3"/>
  <c r="G669" i="3"/>
  <c r="G650" i="3"/>
  <c r="G710" i="3"/>
  <c r="G723" i="3"/>
  <c r="I723" i="3" s="1"/>
  <c r="G694" i="3"/>
  <c r="G642" i="3"/>
  <c r="J642" i="3" s="1"/>
  <c r="M668" i="3"/>
  <c r="E647" i="3"/>
  <c r="G696" i="3"/>
  <c r="I696" i="3" s="1"/>
  <c r="H696" i="3" s="1"/>
  <c r="K696" i="3" s="1"/>
  <c r="E709" i="3"/>
  <c r="M709" i="3" s="1"/>
  <c r="G719" i="3"/>
  <c r="G765" i="3"/>
  <c r="Q765" i="3" s="1"/>
  <c r="G751" i="3"/>
  <c r="E711" i="3"/>
  <c r="M711" i="3" s="1"/>
  <c r="E730" i="3"/>
  <c r="G846" i="3"/>
  <c r="G844" i="3"/>
  <c r="Q844" i="3" s="1"/>
  <c r="G754" i="3"/>
  <c r="I754" i="3" s="1"/>
  <c r="H754" i="3" s="1"/>
  <c r="K754" i="3" s="1"/>
  <c r="G750" i="3"/>
  <c r="G814" i="3"/>
  <c r="I814" i="3" s="1"/>
  <c r="H814" i="3" s="1"/>
  <c r="K814" i="3" s="1"/>
  <c r="M886" i="3"/>
  <c r="G824" i="3"/>
  <c r="Q824" i="3" s="1"/>
  <c r="E797" i="3"/>
  <c r="G798" i="3"/>
  <c r="I798" i="3" s="1"/>
  <c r="M889" i="3"/>
  <c r="G813" i="3"/>
  <c r="E785" i="3"/>
  <c r="E825" i="3"/>
  <c r="G826" i="3"/>
  <c r="E826" i="3"/>
  <c r="E846" i="3"/>
  <c r="G884" i="3"/>
  <c r="I884" i="3" s="1"/>
  <c r="G829" i="3"/>
  <c r="G900" i="3"/>
  <c r="M860" i="3"/>
  <c r="E900" i="3"/>
  <c r="G256" i="3"/>
  <c r="L256" i="3" s="1"/>
  <c r="E294" i="3"/>
  <c r="G351" i="3"/>
  <c r="J351" i="3" s="1"/>
  <c r="G474" i="3"/>
  <c r="E351" i="3"/>
  <c r="G380" i="3"/>
  <c r="J380" i="3" s="1"/>
  <c r="G357" i="3"/>
  <c r="J357" i="3" s="1"/>
  <c r="E446" i="3"/>
  <c r="G618" i="3"/>
  <c r="L618" i="3" s="1"/>
  <c r="G353" i="3"/>
  <c r="L353" i="3" s="1"/>
  <c r="G501" i="3"/>
  <c r="J501" i="3" s="1"/>
  <c r="G522" i="3"/>
  <c r="J522" i="3" s="1"/>
  <c r="G456" i="3"/>
  <c r="L456" i="3" s="1"/>
  <c r="E564" i="3"/>
  <c r="E686" i="3"/>
  <c r="M570" i="3"/>
  <c r="G504" i="3"/>
  <c r="J504" i="3" s="1"/>
  <c r="G606" i="3"/>
  <c r="J606" i="3" s="1"/>
  <c r="E565" i="3"/>
  <c r="M565" i="3" s="1"/>
  <c r="G673" i="3"/>
  <c r="G589" i="3"/>
  <c r="L589" i="3" s="1"/>
  <c r="E673" i="3"/>
  <c r="G580" i="3"/>
  <c r="J580" i="3" s="1"/>
  <c r="G529" i="3"/>
  <c r="J529" i="3" s="1"/>
  <c r="E571" i="3"/>
  <c r="G609" i="3"/>
  <c r="J609" i="3" s="1"/>
  <c r="E539" i="3"/>
  <c r="G577" i="3"/>
  <c r="Q577" i="3" s="1"/>
  <c r="M618" i="3"/>
  <c r="E691" i="3"/>
  <c r="M691" i="3" s="1"/>
  <c r="E717" i="3"/>
  <c r="G684" i="3"/>
  <c r="Q684" i="3" s="1"/>
  <c r="E694" i="3"/>
  <c r="G671" i="3"/>
  <c r="Q671" i="3" s="1"/>
  <c r="M649" i="3"/>
  <c r="M640" i="3"/>
  <c r="E690" i="3"/>
  <c r="G761" i="3"/>
  <c r="I761" i="3" s="1"/>
  <c r="M766" i="3"/>
  <c r="E746" i="3"/>
  <c r="G760" i="3"/>
  <c r="I760" i="3" s="1"/>
  <c r="H760" i="3" s="1"/>
  <c r="K760" i="3" s="1"/>
  <c r="E715" i="3"/>
  <c r="E706" i="3"/>
  <c r="M713" i="3"/>
  <c r="G834" i="3"/>
  <c r="G782" i="3"/>
  <c r="E767" i="3"/>
  <c r="G852" i="3"/>
  <c r="I852" i="3" s="1"/>
  <c r="G763" i="3"/>
  <c r="G847" i="3"/>
  <c r="G807" i="3"/>
  <c r="M833" i="3"/>
  <c r="G888" i="3"/>
  <c r="M799" i="3"/>
  <c r="M844" i="3"/>
  <c r="M787" i="3"/>
  <c r="G868" i="3"/>
  <c r="E868" i="3"/>
  <c r="M868" i="3" s="1"/>
  <c r="G897" i="3"/>
  <c r="Q897" i="3" s="1"/>
  <c r="M848" i="3"/>
  <c r="E888" i="3"/>
  <c r="G871" i="3"/>
  <c r="E871" i="3"/>
  <c r="E876" i="3"/>
  <c r="G863" i="3"/>
  <c r="L627" i="3" l="1"/>
  <c r="S627" i="3" s="1"/>
  <c r="Q495" i="3"/>
  <c r="Q875" i="3"/>
  <c r="I733" i="3"/>
  <c r="H733" i="3" s="1"/>
  <c r="K733" i="3" s="1"/>
  <c r="Q775" i="3"/>
  <c r="I763" i="3"/>
  <c r="H763" i="3" s="1"/>
  <c r="K763" i="3" s="1"/>
  <c r="Q793" i="3"/>
  <c r="Q282" i="3"/>
  <c r="L469" i="3"/>
  <c r="N469" i="3" s="1"/>
  <c r="O469" i="3" s="1"/>
  <c r="L600" i="3"/>
  <c r="N600" i="3" s="1"/>
  <c r="Q826" i="3"/>
  <c r="Q263" i="3"/>
  <c r="Q422" i="3"/>
  <c r="L453" i="3"/>
  <c r="S453" i="3" s="1"/>
  <c r="Q788" i="3"/>
  <c r="Q742" i="3"/>
  <c r="L553" i="3"/>
  <c r="S553" i="3" s="1"/>
  <c r="Q235" i="3"/>
  <c r="L598" i="3"/>
  <c r="N598" i="3" s="1"/>
  <c r="O598" i="3" s="1"/>
  <c r="L641" i="3"/>
  <c r="N641" i="3" s="1"/>
  <c r="L335" i="3"/>
  <c r="S335" i="3" s="1"/>
  <c r="L184" i="3"/>
  <c r="S184" i="3" s="1"/>
  <c r="L224" i="3"/>
  <c r="S224" i="3" s="1"/>
  <c r="L296" i="3"/>
  <c r="S296" i="3" s="1"/>
  <c r="L236" i="3"/>
  <c r="S236" i="3" s="1"/>
  <c r="L222" i="3"/>
  <c r="N222" i="3" s="1"/>
  <c r="O222" i="3" s="1"/>
  <c r="Q508" i="3"/>
  <c r="Q520" i="3"/>
  <c r="L642" i="3"/>
  <c r="S642" i="3" s="1"/>
  <c r="L188" i="3"/>
  <c r="N188" i="3" s="1"/>
  <c r="O188" i="3" s="1"/>
  <c r="L438" i="3"/>
  <c r="S438" i="3" s="1"/>
  <c r="I777" i="3"/>
  <c r="H777" i="3" s="1"/>
  <c r="K777" i="3" s="1"/>
  <c r="L387" i="3"/>
  <c r="S387" i="3" s="1"/>
  <c r="L178" i="3"/>
  <c r="S178" i="3" s="1"/>
  <c r="Q242" i="3"/>
  <c r="Q545" i="3"/>
  <c r="L486" i="3"/>
  <c r="N486" i="3" s="1"/>
  <c r="Q755" i="3"/>
  <c r="Q552" i="3"/>
  <c r="Q745" i="3"/>
  <c r="L475" i="3"/>
  <c r="S475" i="3" s="1"/>
  <c r="M495" i="3"/>
  <c r="Q190" i="3"/>
  <c r="Q327" i="3"/>
  <c r="Q161" i="3"/>
  <c r="L360" i="3"/>
  <c r="S360" i="3" s="1"/>
  <c r="Q616" i="3"/>
  <c r="I680" i="3"/>
  <c r="L680" i="3" s="1"/>
  <c r="Q532" i="3"/>
  <c r="Q360" i="3"/>
  <c r="L207" i="3"/>
  <c r="N207" i="3" s="1"/>
  <c r="O207" i="3" s="1"/>
  <c r="I838" i="3"/>
  <c r="H838" i="3" s="1"/>
  <c r="K838" i="3" s="1"/>
  <c r="Q565" i="3"/>
  <c r="I770" i="3"/>
  <c r="H770" i="3" s="1"/>
  <c r="K770" i="3" s="1"/>
  <c r="L547" i="3"/>
  <c r="S547" i="3" s="1"/>
  <c r="Q369" i="3"/>
  <c r="I695" i="3"/>
  <c r="H695" i="3" s="1"/>
  <c r="K695" i="3" s="1"/>
  <c r="L388" i="3"/>
  <c r="S388" i="3" s="1"/>
  <c r="Q734" i="3"/>
  <c r="I887" i="3"/>
  <c r="H887" i="3" s="1"/>
  <c r="K887" i="3" s="1"/>
  <c r="Q630" i="3"/>
  <c r="I675" i="3"/>
  <c r="H675" i="3" s="1"/>
  <c r="K675" i="3" s="1"/>
  <c r="L441" i="3"/>
  <c r="S441" i="3" s="1"/>
  <c r="Q451" i="3"/>
  <c r="Q613" i="3"/>
  <c r="Q225" i="3"/>
  <c r="I725" i="3"/>
  <c r="H725" i="3" s="1"/>
  <c r="K725" i="3" s="1"/>
  <c r="L580" i="3"/>
  <c r="N580" i="3" s="1"/>
  <c r="O580" i="3" s="1"/>
  <c r="L458" i="3"/>
  <c r="S458" i="3" s="1"/>
  <c r="L506" i="3"/>
  <c r="S506" i="3" s="1"/>
  <c r="Q329" i="3"/>
  <c r="Q265" i="3"/>
  <c r="Q815" i="3"/>
  <c r="L227" i="3"/>
  <c r="N227" i="3" s="1"/>
  <c r="O227" i="3" s="1"/>
  <c r="L341" i="3"/>
  <c r="N341" i="3" s="1"/>
  <c r="O341" i="3" s="1"/>
  <c r="L247" i="3"/>
  <c r="S247" i="3" s="1"/>
  <c r="Q472" i="3"/>
  <c r="L464" i="3"/>
  <c r="S464" i="3" s="1"/>
  <c r="Q696" i="3"/>
  <c r="I708" i="3"/>
  <c r="H708" i="3" s="1"/>
  <c r="K708" i="3" s="1"/>
  <c r="L397" i="3"/>
  <c r="N397" i="3" s="1"/>
  <c r="O397" i="3" s="1"/>
  <c r="Q768" i="3"/>
  <c r="L515" i="3"/>
  <c r="S515" i="3" s="1"/>
  <c r="L571" i="3"/>
  <c r="S571" i="3" s="1"/>
  <c r="L601" i="3"/>
  <c r="N601" i="3" s="1"/>
  <c r="Q795" i="3"/>
  <c r="M225" i="3"/>
  <c r="L489" i="3"/>
  <c r="N489" i="3" s="1"/>
  <c r="L379" i="3"/>
  <c r="S379" i="3" s="1"/>
  <c r="L309" i="3"/>
  <c r="S309" i="3" s="1"/>
  <c r="Q367" i="3"/>
  <c r="Q206" i="3"/>
  <c r="L566" i="3"/>
  <c r="S566" i="3" s="1"/>
  <c r="L271" i="3"/>
  <c r="S271" i="3" s="1"/>
  <c r="L492" i="3"/>
  <c r="S492" i="3" s="1"/>
  <c r="Q835" i="3"/>
  <c r="Q164" i="3"/>
  <c r="L522" i="3"/>
  <c r="S522" i="3" s="1"/>
  <c r="Q723" i="3"/>
  <c r="I712" i="3"/>
  <c r="H712" i="3" s="1"/>
  <c r="K712" i="3" s="1"/>
  <c r="L644" i="3"/>
  <c r="S644" i="3" s="1"/>
  <c r="L263" i="3"/>
  <c r="S263" i="3" s="1"/>
  <c r="L166" i="3"/>
  <c r="S166" i="3" s="1"/>
  <c r="Q633" i="3"/>
  <c r="L502" i="3"/>
  <c r="S502" i="3" s="1"/>
  <c r="L619" i="3"/>
  <c r="N619" i="3" s="1"/>
  <c r="O619" i="3" s="1"/>
  <c r="L298" i="3"/>
  <c r="S298" i="3" s="1"/>
  <c r="Q827" i="3"/>
  <c r="Q312" i="3"/>
  <c r="I663" i="3"/>
  <c r="H663" i="3" s="1"/>
  <c r="K663" i="3" s="1"/>
  <c r="L398" i="3"/>
  <c r="N398" i="3" s="1"/>
  <c r="Q800" i="3"/>
  <c r="L213" i="3"/>
  <c r="S213" i="3" s="1"/>
  <c r="L561" i="3"/>
  <c r="S561" i="3" s="1"/>
  <c r="L234" i="3"/>
  <c r="S234" i="3" s="1"/>
  <c r="L487" i="3"/>
  <c r="N487" i="3" s="1"/>
  <c r="M695" i="3"/>
  <c r="L275" i="3"/>
  <c r="S275" i="3" s="1"/>
  <c r="L449" i="3"/>
  <c r="N449" i="3" s="1"/>
  <c r="Q178" i="3"/>
  <c r="Q729" i="3"/>
  <c r="Q853" i="3"/>
  <c r="Q525" i="3"/>
  <c r="L447" i="3"/>
  <c r="S447" i="3" s="1"/>
  <c r="L399" i="3"/>
  <c r="S399" i="3" s="1"/>
  <c r="L308" i="3"/>
  <c r="S308" i="3" s="1"/>
  <c r="Q305" i="3"/>
  <c r="Q354" i="3"/>
  <c r="L629" i="3"/>
  <c r="S629" i="3" s="1"/>
  <c r="Q386" i="3"/>
  <c r="L463" i="3"/>
  <c r="S463" i="3" s="1"/>
  <c r="Q167" i="3"/>
  <c r="L359" i="3"/>
  <c r="S359" i="3" s="1"/>
  <c r="L193" i="3"/>
  <c r="S193" i="3" s="1"/>
  <c r="Q622" i="3"/>
  <c r="L229" i="3"/>
  <c r="N229" i="3" s="1"/>
  <c r="O229" i="3" s="1"/>
  <c r="Q748" i="3"/>
  <c r="L366" i="3"/>
  <c r="S366" i="3" s="1"/>
  <c r="Q516" i="3"/>
  <c r="Q666" i="3"/>
  <c r="Q542" i="3"/>
  <c r="Q421" i="3"/>
  <c r="L185" i="3"/>
  <c r="S185" i="3" s="1"/>
  <c r="Q236" i="3"/>
  <c r="Q543" i="3"/>
  <c r="L324" i="3"/>
  <c r="S324" i="3" s="1"/>
  <c r="L510" i="3"/>
  <c r="S510" i="3" s="1"/>
  <c r="L313" i="3"/>
  <c r="N313" i="3" s="1"/>
  <c r="O313" i="3" s="1"/>
  <c r="L380" i="3"/>
  <c r="S380" i="3" s="1"/>
  <c r="I804" i="3"/>
  <c r="H804" i="3" s="1"/>
  <c r="K804" i="3" s="1"/>
  <c r="L559" i="3"/>
  <c r="S559" i="3" s="1"/>
  <c r="Q643" i="3"/>
  <c r="L472" i="3"/>
  <c r="N472" i="3" s="1"/>
  <c r="O472" i="3" s="1"/>
  <c r="L525" i="3"/>
  <c r="S525" i="3" s="1"/>
  <c r="Q359" i="3"/>
  <c r="Q479" i="3"/>
  <c r="M224" i="3"/>
  <c r="Q314" i="3"/>
  <c r="Q200" i="3"/>
  <c r="L602" i="3"/>
  <c r="N602" i="3" s="1"/>
  <c r="Q499" i="3"/>
  <c r="L273" i="3"/>
  <c r="S273" i="3" s="1"/>
  <c r="L370" i="3"/>
  <c r="N370" i="3" s="1"/>
  <c r="O370" i="3" s="1"/>
  <c r="Q387" i="3"/>
  <c r="L343" i="3"/>
  <c r="S343" i="3" s="1"/>
  <c r="L246" i="3"/>
  <c r="S246" i="3" s="1"/>
  <c r="Q343" i="3"/>
  <c r="Q535" i="3"/>
  <c r="L467" i="3"/>
  <c r="N467" i="3" s="1"/>
  <c r="O467" i="3" s="1"/>
  <c r="L585" i="3"/>
  <c r="S585" i="3" s="1"/>
  <c r="L461" i="3"/>
  <c r="N461" i="3" s="1"/>
  <c r="O461" i="3" s="1"/>
  <c r="L544" i="3"/>
  <c r="S544" i="3" s="1"/>
  <c r="I743" i="3"/>
  <c r="H743" i="3" s="1"/>
  <c r="K743" i="3" s="1"/>
  <c r="Q222" i="3"/>
  <c r="I890" i="3"/>
  <c r="H890" i="3" s="1"/>
  <c r="K890" i="3" s="1"/>
  <c r="I781" i="3"/>
  <c r="H781" i="3" s="1"/>
  <c r="K781" i="3" s="1"/>
  <c r="L205" i="3"/>
  <c r="N205" i="3" s="1"/>
  <c r="O205" i="3" s="1"/>
  <c r="L581" i="3"/>
  <c r="N581" i="3" s="1"/>
  <c r="O581" i="3" s="1"/>
  <c r="I764" i="3"/>
  <c r="H764" i="3" s="1"/>
  <c r="K764" i="3" s="1"/>
  <c r="L323" i="3"/>
  <c r="S323" i="3" s="1"/>
  <c r="L435" i="3"/>
  <c r="S435" i="3" s="1"/>
  <c r="Q273" i="3"/>
  <c r="L584" i="3"/>
  <c r="S584" i="3" s="1"/>
  <c r="L305" i="3"/>
  <c r="S305" i="3" s="1"/>
  <c r="L484" i="3"/>
  <c r="S484" i="3" s="1"/>
  <c r="L546" i="3"/>
  <c r="N546" i="3" s="1"/>
  <c r="Q277" i="3"/>
  <c r="Q759" i="3"/>
  <c r="L491" i="3"/>
  <c r="S491" i="3" s="1"/>
  <c r="Q564" i="3"/>
  <c r="L390" i="3"/>
  <c r="S390" i="3" s="1"/>
  <c r="Q762" i="3"/>
  <c r="Q895" i="3"/>
  <c r="L386" i="3"/>
  <c r="S386" i="3" s="1"/>
  <c r="Q594" i="3"/>
  <c r="Q558" i="3"/>
  <c r="Q872" i="3"/>
  <c r="L214" i="3"/>
  <c r="S214" i="3" s="1"/>
  <c r="Q268" i="3"/>
  <c r="Q515" i="3"/>
  <c r="I831" i="3"/>
  <c r="H831" i="3" s="1"/>
  <c r="K831" i="3" s="1"/>
  <c r="Q358" i="3"/>
  <c r="M282" i="3"/>
  <c r="Q288" i="3"/>
  <c r="Q842" i="3"/>
  <c r="L569" i="3"/>
  <c r="S569" i="3" s="1"/>
  <c r="L516" i="3"/>
  <c r="N516" i="3" s="1"/>
  <c r="O516" i="3" s="1"/>
  <c r="Q364" i="3"/>
  <c r="M335" i="3"/>
  <c r="Q319" i="3"/>
  <c r="L345" i="3"/>
  <c r="S345" i="3" s="1"/>
  <c r="Q739" i="3"/>
  <c r="L590" i="3"/>
  <c r="S590" i="3" s="1"/>
  <c r="Q310" i="3"/>
  <c r="M506" i="3"/>
  <c r="Q208" i="3"/>
  <c r="I867" i="3"/>
  <c r="H867" i="3" s="1"/>
  <c r="K867" i="3" s="1"/>
  <c r="Q634" i="3"/>
  <c r="Q517" i="3"/>
  <c r="Q426" i="3"/>
  <c r="Q553" i="3"/>
  <c r="Q452" i="3"/>
  <c r="L204" i="3"/>
  <c r="S204" i="3" s="1"/>
  <c r="Q621" i="3"/>
  <c r="I741" i="3"/>
  <c r="H741" i="3" s="1"/>
  <c r="K741" i="3" s="1"/>
  <c r="L164" i="3"/>
  <c r="N164" i="3" s="1"/>
  <c r="O164" i="3" s="1"/>
  <c r="Q519" i="3"/>
  <c r="Q691" i="3"/>
  <c r="Q733" i="3"/>
  <c r="L575" i="3"/>
  <c r="S575" i="3" s="1"/>
  <c r="L562" i="3"/>
  <c r="S562" i="3" s="1"/>
  <c r="Q828" i="3"/>
  <c r="I806" i="3"/>
  <c r="H806" i="3" s="1"/>
  <c r="K806" i="3" s="1"/>
  <c r="Q448" i="3"/>
  <c r="M887" i="3"/>
  <c r="L431" i="3"/>
  <c r="S431" i="3" s="1"/>
  <c r="Q374" i="3"/>
  <c r="L440" i="3"/>
  <c r="S440" i="3" s="1"/>
  <c r="L429" i="3"/>
  <c r="S429" i="3" s="1"/>
  <c r="Q641" i="3"/>
  <c r="L513" i="3"/>
  <c r="S513" i="3" s="1"/>
  <c r="L163" i="3"/>
  <c r="S163" i="3" s="1"/>
  <c r="Q220" i="3"/>
  <c r="L396" i="3"/>
  <c r="S396" i="3" s="1"/>
  <c r="M236" i="3"/>
  <c r="M867" i="3"/>
  <c r="L351" i="3"/>
  <c r="S351" i="3" s="1"/>
  <c r="L504" i="3"/>
  <c r="N504" i="3" s="1"/>
  <c r="O504" i="3" s="1"/>
  <c r="Q554" i="3"/>
  <c r="Q763" i="3"/>
  <c r="L358" i="3"/>
  <c r="N358" i="3" s="1"/>
  <c r="O358" i="3" s="1"/>
  <c r="Q372" i="3"/>
  <c r="Q427" i="3"/>
  <c r="L634" i="3"/>
  <c r="N634" i="3" s="1"/>
  <c r="O634" i="3" s="1"/>
  <c r="L530" i="3"/>
  <c r="S530" i="3" s="1"/>
  <c r="I897" i="3"/>
  <c r="L424" i="3"/>
  <c r="S424" i="3" s="1"/>
  <c r="Q187" i="3"/>
  <c r="Q635" i="3"/>
  <c r="L448" i="3"/>
  <c r="N448" i="3" s="1"/>
  <c r="O448" i="3" s="1"/>
  <c r="L591" i="3"/>
  <c r="N591" i="3" s="1"/>
  <c r="O591" i="3" s="1"/>
  <c r="Q581" i="3"/>
  <c r="L528" i="3"/>
  <c r="S528" i="3" s="1"/>
  <c r="L422" i="3"/>
  <c r="S422" i="3" s="1"/>
  <c r="L557" i="3"/>
  <c r="N557" i="3" s="1"/>
  <c r="O557" i="3" s="1"/>
  <c r="Q885" i="3"/>
  <c r="L314" i="3"/>
  <c r="S314" i="3" s="1"/>
  <c r="L282" i="3"/>
  <c r="N282" i="3" s="1"/>
  <c r="M827" i="3"/>
  <c r="Q810" i="3"/>
  <c r="Q843" i="3"/>
  <c r="I832" i="3"/>
  <c r="H832" i="3" s="1"/>
  <c r="K832" i="3" s="1"/>
  <c r="M324" i="3"/>
  <c r="M374" i="3"/>
  <c r="M546" i="3"/>
  <c r="L420" i="3"/>
  <c r="N420" i="3" s="1"/>
  <c r="M629" i="3"/>
  <c r="Q512" i="3"/>
  <c r="L597" i="3"/>
  <c r="S597" i="3" s="1"/>
  <c r="L210" i="3"/>
  <c r="S210" i="3" s="1"/>
  <c r="Q724" i="3"/>
  <c r="Q540" i="3"/>
  <c r="M743" i="3"/>
  <c r="L649" i="3"/>
  <c r="N649" i="3" s="1"/>
  <c r="O649" i="3" s="1"/>
  <c r="L485" i="3"/>
  <c r="S485" i="3" s="1"/>
  <c r="I783" i="3"/>
  <c r="H783" i="3" s="1"/>
  <c r="Q639" i="3"/>
  <c r="M441" i="3"/>
  <c r="L374" i="3"/>
  <c r="N374" i="3" s="1"/>
  <c r="L218" i="3"/>
  <c r="S218" i="3" s="1"/>
  <c r="Q461" i="3"/>
  <c r="L198" i="3"/>
  <c r="S198" i="3" s="1"/>
  <c r="Q642" i="3"/>
  <c r="Q794" i="3"/>
  <c r="M319" i="3"/>
  <c r="Q832" i="3"/>
  <c r="Q180" i="3"/>
  <c r="Q211" i="3"/>
  <c r="Q205" i="3"/>
  <c r="M426" i="3"/>
  <c r="L172" i="3"/>
  <c r="N172" i="3" s="1"/>
  <c r="O172" i="3" s="1"/>
  <c r="L532" i="3"/>
  <c r="S532" i="3" s="1"/>
  <c r="M641" i="3"/>
  <c r="L377" i="3"/>
  <c r="S377" i="3" s="1"/>
  <c r="L357" i="3"/>
  <c r="S357" i="3" s="1"/>
  <c r="Q867" i="3"/>
  <c r="Q743" i="3"/>
  <c r="L570" i="3"/>
  <c r="S570" i="3" s="1"/>
  <c r="L356" i="3"/>
  <c r="S356" i="3" s="1"/>
  <c r="Q324" i="3"/>
  <c r="L636" i="3"/>
  <c r="S636" i="3" s="1"/>
  <c r="L635" i="3"/>
  <c r="S635" i="3" s="1"/>
  <c r="M584" i="3"/>
  <c r="Q171" i="3"/>
  <c r="Q547" i="3"/>
  <c r="I877" i="3"/>
  <c r="H877" i="3" s="1"/>
  <c r="K877" i="3" s="1"/>
  <c r="L578" i="3"/>
  <c r="N578" i="3" s="1"/>
  <c r="Q397" i="3"/>
  <c r="Q529" i="3"/>
  <c r="L220" i="3"/>
  <c r="S220" i="3" s="1"/>
  <c r="Q726" i="3"/>
  <c r="M420" i="3"/>
  <c r="Q528" i="3"/>
  <c r="Q870" i="3"/>
  <c r="L639" i="3"/>
  <c r="S639" i="3" s="1"/>
  <c r="L329" i="3"/>
  <c r="S329" i="3" s="1"/>
  <c r="L498" i="3"/>
  <c r="S498" i="3" s="1"/>
  <c r="L558" i="3"/>
  <c r="S558" i="3" s="1"/>
  <c r="L326" i="3"/>
  <c r="S326" i="3" s="1"/>
  <c r="Q250" i="3"/>
  <c r="L696" i="3"/>
  <c r="N696" i="3" s="1"/>
  <c r="O696" i="3" s="1"/>
  <c r="Q753" i="3"/>
  <c r="Q478" i="3"/>
  <c r="L519" i="3"/>
  <c r="S519" i="3" s="1"/>
  <c r="L554" i="3"/>
  <c r="S554" i="3" s="1"/>
  <c r="L378" i="3"/>
  <c r="N378" i="3" s="1"/>
  <c r="O378" i="3" s="1"/>
  <c r="L535" i="3"/>
  <c r="S535" i="3" s="1"/>
  <c r="I745" i="3"/>
  <c r="Q713" i="3"/>
  <c r="Q237" i="3"/>
  <c r="Q214" i="3"/>
  <c r="M438" i="3"/>
  <c r="Q789" i="3"/>
  <c r="L899" i="3"/>
  <c r="N899" i="3" s="1"/>
  <c r="O899" i="3" s="1"/>
  <c r="L426" i="3"/>
  <c r="S426" i="3" s="1"/>
  <c r="M277" i="3"/>
  <c r="Q812" i="3"/>
  <c r="Q223" i="3"/>
  <c r="Q458" i="3"/>
  <c r="L339" i="3"/>
  <c r="S339" i="3" s="1"/>
  <c r="Q606" i="3"/>
  <c r="Q396" i="3"/>
  <c r="I849" i="3"/>
  <c r="Q326" i="3"/>
  <c r="L574" i="3"/>
  <c r="S574" i="3" s="1"/>
  <c r="L237" i="3"/>
  <c r="S237" i="3" s="1"/>
  <c r="L459" i="3"/>
  <c r="S459" i="3" s="1"/>
  <c r="Q884" i="3"/>
  <c r="M564" i="3"/>
  <c r="Q629" i="3"/>
  <c r="L421" i="3"/>
  <c r="S421" i="3" s="1"/>
  <c r="L289" i="3"/>
  <c r="S289" i="3" s="1"/>
  <c r="L265" i="3"/>
  <c r="S265" i="3" s="1"/>
  <c r="Q869" i="3"/>
  <c r="L628" i="3"/>
  <c r="N628" i="3" s="1"/>
  <c r="O628" i="3" s="1"/>
  <c r="L363" i="3"/>
  <c r="N363" i="3" s="1"/>
  <c r="O363" i="3" s="1"/>
  <c r="L470" i="3"/>
  <c r="S470" i="3" s="1"/>
  <c r="Q438" i="3"/>
  <c r="M600" i="3"/>
  <c r="Q600" i="3"/>
  <c r="Q475" i="3"/>
  <c r="Q166" i="3"/>
  <c r="L477" i="3"/>
  <c r="S477" i="3" s="1"/>
  <c r="L161" i="3"/>
  <c r="N161" i="3" s="1"/>
  <c r="L302" i="3"/>
  <c r="S302" i="3" s="1"/>
  <c r="Q584" i="3"/>
  <c r="L279" i="3"/>
  <c r="S279" i="3" s="1"/>
  <c r="Q487" i="3"/>
  <c r="Q506" i="3"/>
  <c r="Q317" i="3"/>
  <c r="Q338" i="3"/>
  <c r="Q284" i="3"/>
  <c r="M345" i="3"/>
  <c r="L434" i="3"/>
  <c r="S434" i="3" s="1"/>
  <c r="I717" i="3"/>
  <c r="H717" i="3" s="1"/>
  <c r="K717" i="3" s="1"/>
  <c r="L633" i="3"/>
  <c r="S633" i="3" s="1"/>
  <c r="L816" i="3"/>
  <c r="N816" i="3" s="1"/>
  <c r="O816" i="3" s="1"/>
  <c r="L586" i="3"/>
  <c r="S586" i="3" s="1"/>
  <c r="L611" i="3"/>
  <c r="S611" i="3" s="1"/>
  <c r="L372" i="3"/>
  <c r="S372" i="3" s="1"/>
  <c r="Q590" i="3"/>
  <c r="L328" i="3"/>
  <c r="S328" i="3" s="1"/>
  <c r="L257" i="3"/>
  <c r="S257" i="3" s="1"/>
  <c r="Q597" i="3"/>
  <c r="L260" i="3"/>
  <c r="S260" i="3" s="1"/>
  <c r="L552" i="3"/>
  <c r="S552" i="3" s="1"/>
  <c r="Q527" i="3"/>
  <c r="L500" i="3"/>
  <c r="N500" i="3" s="1"/>
  <c r="O500" i="3" s="1"/>
  <c r="L240" i="3"/>
  <c r="N240" i="3" s="1"/>
  <c r="O240" i="3" s="1"/>
  <c r="L543" i="3"/>
  <c r="S543" i="3" s="1"/>
  <c r="Q521" i="3"/>
  <c r="M265" i="3"/>
  <c r="Q605" i="3"/>
  <c r="Q313" i="3"/>
  <c r="M214" i="3"/>
  <c r="L724" i="3"/>
  <c r="N724" i="3" s="1"/>
  <c r="O724" i="3" s="1"/>
  <c r="L560" i="3"/>
  <c r="N560" i="3" s="1"/>
  <c r="L588" i="3"/>
  <c r="N588" i="3" s="1"/>
  <c r="O588" i="3" s="1"/>
  <c r="L512" i="3"/>
  <c r="S512" i="3" s="1"/>
  <c r="L478" i="3"/>
  <c r="S478" i="3" s="1"/>
  <c r="L238" i="3"/>
  <c r="N238" i="3" s="1"/>
  <c r="O238" i="3" s="1"/>
  <c r="M452" i="3"/>
  <c r="M234" i="3"/>
  <c r="Q283" i="3"/>
  <c r="Q778" i="3"/>
  <c r="L760" i="3"/>
  <c r="N760" i="3" s="1"/>
  <c r="O760" i="3" s="1"/>
  <c r="L759" i="3"/>
  <c r="N759" i="3" s="1"/>
  <c r="O759" i="3" s="1"/>
  <c r="Q473" i="3"/>
  <c r="Q736" i="3"/>
  <c r="M554" i="3"/>
  <c r="Q796" i="3"/>
  <c r="Q881" i="3"/>
  <c r="Q593" i="3"/>
  <c r="Q234" i="3"/>
  <c r="Q210" i="3"/>
  <c r="Q345" i="3"/>
  <c r="Q231" i="3"/>
  <c r="L251" i="3"/>
  <c r="S251" i="3" s="1"/>
  <c r="M487" i="3"/>
  <c r="L531" i="3"/>
  <c r="N531" i="3" s="1"/>
  <c r="Q342" i="3"/>
  <c r="L346" i="3"/>
  <c r="S346" i="3" s="1"/>
  <c r="L206" i="3"/>
  <c r="S206" i="3" s="1"/>
  <c r="L521" i="3"/>
  <c r="S521" i="3" s="1"/>
  <c r="L375" i="3"/>
  <c r="S375" i="3" s="1"/>
  <c r="I716" i="3"/>
  <c r="H716" i="3" s="1"/>
  <c r="K716" i="3" s="1"/>
  <c r="L354" i="3"/>
  <c r="N354" i="3" s="1"/>
  <c r="O354" i="3" s="1"/>
  <c r="Q172" i="3"/>
  <c r="Q412" i="3"/>
  <c r="Q251" i="3"/>
  <c r="I817" i="3"/>
  <c r="H817" i="3" s="1"/>
  <c r="K817" i="3" s="1"/>
  <c r="Q350" i="3"/>
  <c r="Q291" i="3"/>
  <c r="Q192" i="3"/>
  <c r="Q819" i="3"/>
  <c r="L235" i="3"/>
  <c r="N235" i="3" s="1"/>
  <c r="O235" i="3" s="1"/>
  <c r="Q591" i="3"/>
  <c r="M832" i="3"/>
  <c r="N589" i="3"/>
  <c r="O589" i="3" s="1"/>
  <c r="N391" i="3"/>
  <c r="O391" i="3" s="1"/>
  <c r="I900" i="3"/>
  <c r="H900" i="3" s="1"/>
  <c r="K900" i="3" s="1"/>
  <c r="Q900" i="3"/>
  <c r="M900" i="3"/>
  <c r="L615" i="3"/>
  <c r="Q615" i="3"/>
  <c r="M615" i="3"/>
  <c r="J233" i="3"/>
  <c r="Q233" i="3"/>
  <c r="L233" i="3"/>
  <c r="H861" i="3"/>
  <c r="K861" i="3" s="1"/>
  <c r="L861" i="3"/>
  <c r="J243" i="3"/>
  <c r="L243" i="3"/>
  <c r="I690" i="3"/>
  <c r="H690" i="3" s="1"/>
  <c r="K690" i="3" s="1"/>
  <c r="M690" i="3"/>
  <c r="Q690" i="3"/>
  <c r="J538" i="3"/>
  <c r="S538" i="3" s="1"/>
  <c r="Q538" i="3"/>
  <c r="J416" i="3"/>
  <c r="Q416" i="3"/>
  <c r="L416" i="3"/>
  <c r="I714" i="3"/>
  <c r="H714" i="3" s="1"/>
  <c r="K714" i="3" s="1"/>
  <c r="Q714" i="3"/>
  <c r="M714" i="3"/>
  <c r="I771" i="3"/>
  <c r="H771" i="3" s="1"/>
  <c r="K771" i="3" s="1"/>
  <c r="Q771" i="3"/>
  <c r="M771" i="3"/>
  <c r="J337" i="3"/>
  <c r="Q337" i="3"/>
  <c r="L337" i="3"/>
  <c r="J389" i="3"/>
  <c r="Q389" i="3"/>
  <c r="L389" i="3"/>
  <c r="I769" i="3"/>
  <c r="H769" i="3" s="1"/>
  <c r="K769" i="3" s="1"/>
  <c r="J445" i="3"/>
  <c r="L445" i="3"/>
  <c r="J373" i="3"/>
  <c r="S373" i="3" s="1"/>
  <c r="Q373" i="3"/>
  <c r="J383" i="3"/>
  <c r="Q383" i="3"/>
  <c r="L383" i="3"/>
  <c r="J276" i="3"/>
  <c r="L276" i="3"/>
  <c r="L476" i="3"/>
  <c r="Q476" i="3"/>
  <c r="M476" i="3"/>
  <c r="L264" i="3"/>
  <c r="M199" i="3"/>
  <c r="Q199" i="3"/>
  <c r="L199" i="3"/>
  <c r="I864" i="3"/>
  <c r="H864" i="3" s="1"/>
  <c r="K864" i="3" s="1"/>
  <c r="Q864" i="3"/>
  <c r="H761" i="3"/>
  <c r="K761" i="3" s="1"/>
  <c r="L761" i="3"/>
  <c r="N433" i="3"/>
  <c r="O433" i="3" s="1"/>
  <c r="N612" i="3"/>
  <c r="O612" i="3" s="1"/>
  <c r="M332" i="3"/>
  <c r="Q332" i="3"/>
  <c r="L304" i="3"/>
  <c r="Q304" i="3"/>
  <c r="M304" i="3"/>
  <c r="N202" i="3"/>
  <c r="O202" i="3" s="1"/>
  <c r="J316" i="3"/>
  <c r="Q316" i="3"/>
  <c r="L316" i="3"/>
  <c r="N295" i="3"/>
  <c r="O295" i="3" s="1"/>
  <c r="L608" i="3"/>
  <c r="Q608" i="3"/>
  <c r="I730" i="3"/>
  <c r="H730" i="3" s="1"/>
  <c r="K730" i="3" s="1"/>
  <c r="Q730" i="3"/>
  <c r="M730" i="3"/>
  <c r="J294" i="3"/>
  <c r="L294" i="3"/>
  <c r="I758" i="3"/>
  <c r="H758" i="3" s="1"/>
  <c r="K758" i="3" s="1"/>
  <c r="Q758" i="3"/>
  <c r="M758" i="3"/>
  <c r="J579" i="3"/>
  <c r="Q579" i="3"/>
  <c r="L579" i="3"/>
  <c r="J444" i="3"/>
  <c r="Q444" i="3"/>
  <c r="L444" i="3"/>
  <c r="I839" i="3"/>
  <c r="H839" i="3" s="1"/>
  <c r="K839" i="3" s="1"/>
  <c r="Q839" i="3"/>
  <c r="Q756" i="3"/>
  <c r="I756" i="3"/>
  <c r="J497" i="3"/>
  <c r="L497" i="3"/>
  <c r="N373" i="3"/>
  <c r="O373" i="3" s="1"/>
  <c r="L332" i="3"/>
  <c r="H778" i="3"/>
  <c r="K778" i="3" s="1"/>
  <c r="L778" i="3"/>
  <c r="I735" i="3"/>
  <c r="M735" i="3"/>
  <c r="Q735" i="3"/>
  <c r="L362" i="3"/>
  <c r="I702" i="3"/>
  <c r="H702" i="3" s="1"/>
  <c r="K702" i="3" s="1"/>
  <c r="M702" i="3"/>
  <c r="Q702" i="3"/>
  <c r="Q707" i="3"/>
  <c r="I686" i="3"/>
  <c r="H686" i="3" s="1"/>
  <c r="K686" i="3" s="1"/>
  <c r="M686" i="3"/>
  <c r="Q686" i="3"/>
  <c r="J640" i="3"/>
  <c r="Q640" i="3"/>
  <c r="J253" i="3"/>
  <c r="Q253" i="3"/>
  <c r="L253" i="3"/>
  <c r="I700" i="3"/>
  <c r="H700" i="3" s="1"/>
  <c r="K700" i="3" s="1"/>
  <c r="Q700" i="3"/>
  <c r="M700" i="3"/>
  <c r="J526" i="3"/>
  <c r="Q526" i="3"/>
  <c r="H723" i="3"/>
  <c r="K723" i="3" s="1"/>
  <c r="L723" i="3"/>
  <c r="Q894" i="3"/>
  <c r="I894" i="3"/>
  <c r="H894" i="3" s="1"/>
  <c r="K894" i="3" s="1"/>
  <c r="J170" i="3"/>
  <c r="L170" i="3"/>
  <c r="Q674" i="3"/>
  <c r="N456" i="3"/>
  <c r="O456" i="3" s="1"/>
  <c r="Q859" i="3"/>
  <c r="N599" i="3"/>
  <c r="O599" i="3" s="1"/>
  <c r="H878" i="3"/>
  <c r="K878" i="3" s="1"/>
  <c r="L878" i="3"/>
  <c r="J460" i="3"/>
  <c r="Q460" i="3"/>
  <c r="L460" i="3"/>
  <c r="J505" i="3"/>
  <c r="Q505" i="3"/>
  <c r="L505" i="3"/>
  <c r="J480" i="3"/>
  <c r="Q480" i="3"/>
  <c r="L480" i="3"/>
  <c r="I772" i="3"/>
  <c r="H772" i="3" s="1"/>
  <c r="K772" i="3" s="1"/>
  <c r="M772" i="3"/>
  <c r="Q772" i="3"/>
  <c r="Q258" i="3"/>
  <c r="M258" i="3"/>
  <c r="N179" i="3"/>
  <c r="O179" i="3" s="1"/>
  <c r="Q549" i="3"/>
  <c r="M549" i="3"/>
  <c r="L549" i="3"/>
  <c r="I705" i="3"/>
  <c r="H705" i="3" s="1"/>
  <c r="K705" i="3" s="1"/>
  <c r="Q705" i="3"/>
  <c r="L439" i="3"/>
  <c r="Q482" i="3"/>
  <c r="J430" i="3"/>
  <c r="S430" i="3" s="1"/>
  <c r="Q430" i="3"/>
  <c r="H885" i="3"/>
  <c r="K885" i="3" s="1"/>
  <c r="L885" i="3"/>
  <c r="L648" i="3"/>
  <c r="Q648" i="3"/>
  <c r="L258" i="3"/>
  <c r="N281" i="3"/>
  <c r="O281" i="3" s="1"/>
  <c r="J400" i="3"/>
  <c r="Q400" i="3"/>
  <c r="L400" i="3"/>
  <c r="N551" i="3"/>
  <c r="O551" i="3" s="1"/>
  <c r="I670" i="3"/>
  <c r="H670" i="3" s="1"/>
  <c r="K670" i="3" s="1"/>
  <c r="Q670" i="3"/>
  <c r="L610" i="3"/>
  <c r="Q610" i="3"/>
  <c r="M610" i="3"/>
  <c r="M306" i="3"/>
  <c r="Q306" i="3"/>
  <c r="L306" i="3"/>
  <c r="Q834" i="3"/>
  <c r="I834" i="3"/>
  <c r="J468" i="3"/>
  <c r="Q468" i="3"/>
  <c r="L468" i="3"/>
  <c r="M508" i="3"/>
  <c r="L508" i="3"/>
  <c r="L814" i="3"/>
  <c r="J650" i="3"/>
  <c r="L650" i="3"/>
  <c r="Q650" i="3"/>
  <c r="J428" i="3"/>
  <c r="Q428" i="3"/>
  <c r="L428" i="3"/>
  <c r="N617" i="3"/>
  <c r="O617" i="3" s="1"/>
  <c r="I889" i="3"/>
  <c r="H889" i="3" s="1"/>
  <c r="K889" i="3" s="1"/>
  <c r="Q889" i="3"/>
  <c r="J599" i="3"/>
  <c r="S599" i="3" s="1"/>
  <c r="Q599" i="3"/>
  <c r="Q744" i="3"/>
  <c r="H790" i="3"/>
  <c r="K790" i="3" s="1"/>
  <c r="L790" i="3"/>
  <c r="H748" i="3"/>
  <c r="K748" i="3" s="1"/>
  <c r="L748" i="3"/>
  <c r="N523" i="3"/>
  <c r="O523" i="3" s="1"/>
  <c r="M465" i="3"/>
  <c r="L465" i="3"/>
  <c r="L319" i="3"/>
  <c r="Q769" i="3"/>
  <c r="N430" i="3"/>
  <c r="O430" i="3" s="1"/>
  <c r="H852" i="3"/>
  <c r="K852" i="3" s="1"/>
  <c r="L852" i="3"/>
  <c r="Q582" i="3"/>
  <c r="L582" i="3"/>
  <c r="N538" i="3"/>
  <c r="O538" i="3" s="1"/>
  <c r="J340" i="3"/>
  <c r="Q340" i="3"/>
  <c r="L340" i="3"/>
  <c r="J322" i="3"/>
  <c r="Q322" i="3"/>
  <c r="L322" i="3"/>
  <c r="H729" i="3"/>
  <c r="K729" i="3" s="1"/>
  <c r="L729" i="3"/>
  <c r="J370" i="3"/>
  <c r="Q370" i="3"/>
  <c r="J439" i="3"/>
  <c r="Q439" i="3"/>
  <c r="J776" i="3"/>
  <c r="Q776" i="3"/>
  <c r="L776" i="3"/>
  <c r="N437" i="3"/>
  <c r="O437" i="3" s="1"/>
  <c r="I823" i="3"/>
  <c r="H823" i="3" s="1"/>
  <c r="K823" i="3" s="1"/>
  <c r="M823" i="3"/>
  <c r="Q823" i="3"/>
  <c r="J589" i="3"/>
  <c r="S589" i="3" s="1"/>
  <c r="Q589" i="3"/>
  <c r="Q669" i="3"/>
  <c r="N503" i="3"/>
  <c r="O503" i="3" s="1"/>
  <c r="H704" i="3"/>
  <c r="K704" i="3" s="1"/>
  <c r="L704" i="3"/>
  <c r="N413" i="3"/>
  <c r="O413" i="3" s="1"/>
  <c r="I757" i="3"/>
  <c r="H757" i="3" s="1"/>
  <c r="K757" i="3" s="1"/>
  <c r="H713" i="3"/>
  <c r="K713" i="3" s="1"/>
  <c r="L713" i="3"/>
  <c r="J628" i="3"/>
  <c r="Q628" i="3"/>
  <c r="J625" i="3"/>
  <c r="S625" i="3" s="1"/>
  <c r="Q625" i="3"/>
  <c r="Q774" i="3"/>
  <c r="Q611" i="3"/>
  <c r="J596" i="3"/>
  <c r="Q596" i="3"/>
  <c r="L596" i="3"/>
  <c r="Q636" i="3"/>
  <c r="M636" i="3"/>
  <c r="Q465" i="3"/>
  <c r="Q318" i="3"/>
  <c r="M318" i="3"/>
  <c r="L318" i="3"/>
  <c r="L320" i="3"/>
  <c r="Q320" i="3"/>
  <c r="J573" i="3"/>
  <c r="S573" i="3" s="1"/>
  <c r="Q573" i="3"/>
  <c r="N333" i="3"/>
  <c r="O333" i="3" s="1"/>
  <c r="L482" i="3"/>
  <c r="I683" i="3"/>
  <c r="H683" i="3" s="1"/>
  <c r="K683" i="3" s="1"/>
  <c r="L495" i="3"/>
  <c r="Q196" i="3"/>
  <c r="L196" i="3"/>
  <c r="M196" i="3"/>
  <c r="H884" i="3"/>
  <c r="K884" i="3" s="1"/>
  <c r="L884" i="3"/>
  <c r="Q688" i="3"/>
  <c r="I688" i="3"/>
  <c r="H688" i="3" s="1"/>
  <c r="K688" i="3" s="1"/>
  <c r="M614" i="3"/>
  <c r="Q614" i="3"/>
  <c r="L614" i="3"/>
  <c r="I747" i="3"/>
  <c r="H747" i="3" s="1"/>
  <c r="K747" i="3" s="1"/>
  <c r="Q747" i="3"/>
  <c r="M747" i="3"/>
  <c r="Q784" i="3"/>
  <c r="I784" i="3"/>
  <c r="H784" i="3" s="1"/>
  <c r="K784" i="3" s="1"/>
  <c r="N481" i="3"/>
  <c r="O481" i="3" s="1"/>
  <c r="J802" i="3"/>
  <c r="L802" i="3"/>
  <c r="Q802" i="3"/>
  <c r="N349" i="3"/>
  <c r="O349" i="3" s="1"/>
  <c r="Q221" i="3"/>
  <c r="M221" i="3"/>
  <c r="L221" i="3"/>
  <c r="Q632" i="3"/>
  <c r="M632" i="3"/>
  <c r="J285" i="3"/>
  <c r="L285" i="3"/>
  <c r="N573" i="3"/>
  <c r="O573" i="3" s="1"/>
  <c r="J287" i="3"/>
  <c r="Q287" i="3"/>
  <c r="L287" i="3"/>
  <c r="H739" i="3"/>
  <c r="K739" i="3" s="1"/>
  <c r="L739" i="3"/>
  <c r="L645" i="3"/>
  <c r="Q645" i="3"/>
  <c r="Q830" i="3"/>
  <c r="J168" i="3"/>
  <c r="Q168" i="3"/>
  <c r="L168" i="3"/>
  <c r="I837" i="3"/>
  <c r="H837" i="3" s="1"/>
  <c r="K837" i="3" s="1"/>
  <c r="Q837" i="3"/>
  <c r="L646" i="3"/>
  <c r="Q646" i="3"/>
  <c r="L442" i="3"/>
  <c r="Q442" i="3"/>
  <c r="I810" i="3"/>
  <c r="H810" i="3" s="1"/>
  <c r="K810" i="3" s="1"/>
  <c r="M810" i="3"/>
  <c r="Q777" i="3"/>
  <c r="N509" i="3"/>
  <c r="O509" i="3" s="1"/>
  <c r="Q533" i="3"/>
  <c r="M533" i="3"/>
  <c r="L533" i="3"/>
  <c r="I825" i="3"/>
  <c r="H825" i="3" s="1"/>
  <c r="K825" i="3" s="1"/>
  <c r="M825" i="3"/>
  <c r="Q825" i="3"/>
  <c r="I886" i="3"/>
  <c r="H886" i="3" s="1"/>
  <c r="K886" i="3" s="1"/>
  <c r="J384" i="3"/>
  <c r="S384" i="3" s="1"/>
  <c r="Q384" i="3"/>
  <c r="I803" i="3"/>
  <c r="H803" i="3" s="1"/>
  <c r="K803" i="3" s="1"/>
  <c r="Q803" i="3"/>
  <c r="J637" i="3"/>
  <c r="L637" i="3"/>
  <c r="N556" i="3"/>
  <c r="O556" i="3" s="1"/>
  <c r="H798" i="3"/>
  <c r="K798" i="3" s="1"/>
  <c r="L798" i="3"/>
  <c r="Q811" i="3"/>
  <c r="I811" i="3"/>
  <c r="H811" i="3" s="1"/>
  <c r="K811" i="3" s="1"/>
  <c r="J490" i="3"/>
  <c r="Q490" i="3"/>
  <c r="L490" i="3"/>
  <c r="Q841" i="3"/>
  <c r="I841" i="3"/>
  <c r="H841" i="3" s="1"/>
  <c r="K841" i="3" s="1"/>
  <c r="Q845" i="3"/>
  <c r="Q693" i="3"/>
  <c r="I693" i="3"/>
  <c r="M418" i="3"/>
  <c r="L418" i="3"/>
  <c r="Q418" i="3"/>
  <c r="L212" i="3"/>
  <c r="Q898" i="3"/>
  <c r="I734" i="3"/>
  <c r="H734" i="3" s="1"/>
  <c r="K734" i="3" s="1"/>
  <c r="M734" i="3"/>
  <c r="L632" i="3"/>
  <c r="I744" i="3"/>
  <c r="H744" i="3" s="1"/>
  <c r="K744" i="3" s="1"/>
  <c r="L195" i="3"/>
  <c r="I821" i="3"/>
  <c r="H821" i="3" s="1"/>
  <c r="K821" i="3" s="1"/>
  <c r="Q821" i="3"/>
  <c r="J228" i="3"/>
  <c r="Q228" i="3"/>
  <c r="L228" i="3"/>
  <c r="N384" i="3"/>
  <c r="O384" i="3" s="1"/>
  <c r="N625" i="3"/>
  <c r="O625" i="3" s="1"/>
  <c r="J462" i="3"/>
  <c r="L462" i="3"/>
  <c r="H736" i="3"/>
  <c r="K736" i="3" s="1"/>
  <c r="L736" i="3"/>
  <c r="N255" i="3"/>
  <c r="O255" i="3" s="1"/>
  <c r="J545" i="3"/>
  <c r="L545" i="3"/>
  <c r="J568" i="3"/>
  <c r="Q568" i="3"/>
  <c r="L568" i="3"/>
  <c r="J230" i="3"/>
  <c r="Q230" i="3"/>
  <c r="L230" i="3"/>
  <c r="L605" i="3"/>
  <c r="Q863" i="3"/>
  <c r="I863" i="3"/>
  <c r="H863" i="3" s="1"/>
  <c r="K863" i="3" s="1"/>
  <c r="Q681" i="3"/>
  <c r="I681" i="3"/>
  <c r="H681" i="3" s="1"/>
  <c r="K681" i="3" s="1"/>
  <c r="L640" i="3"/>
  <c r="Q807" i="3"/>
  <c r="I807" i="3"/>
  <c r="H807" i="3" s="1"/>
  <c r="K807" i="3" s="1"/>
  <c r="J315" i="3"/>
  <c r="L315" i="3"/>
  <c r="Q315" i="3"/>
  <c r="J577" i="3"/>
  <c r="L577" i="3"/>
  <c r="I699" i="3"/>
  <c r="H699" i="3" s="1"/>
  <c r="K699" i="3" s="1"/>
  <c r="Q699" i="3"/>
  <c r="M699" i="3"/>
  <c r="N395" i="3"/>
  <c r="O395" i="3" s="1"/>
  <c r="Q352" i="3"/>
  <c r="M352" i="3"/>
  <c r="L352" i="3"/>
  <c r="I859" i="3"/>
  <c r="H859" i="3" s="1"/>
  <c r="K859" i="3" s="1"/>
  <c r="J603" i="3"/>
  <c r="L603" i="3"/>
  <c r="Q603" i="3"/>
  <c r="Q321" i="3"/>
  <c r="M321" i="3"/>
  <c r="L321" i="3"/>
  <c r="L173" i="3"/>
  <c r="Q173" i="3"/>
  <c r="M173" i="3"/>
  <c r="J385" i="3"/>
  <c r="L385" i="3"/>
  <c r="Q385" i="3"/>
  <c r="M300" i="3"/>
  <c r="L300" i="3"/>
  <c r="Q300" i="3"/>
  <c r="Q264" i="3"/>
  <c r="Q462" i="3"/>
  <c r="J452" i="3"/>
  <c r="L452" i="3"/>
  <c r="M541" i="3"/>
  <c r="L541" i="3"/>
  <c r="N297" i="3"/>
  <c r="O297" i="3" s="1"/>
  <c r="J466" i="3"/>
  <c r="L466" i="3"/>
  <c r="Q466" i="3"/>
  <c r="Q334" i="3"/>
  <c r="L334" i="3"/>
  <c r="M334" i="3"/>
  <c r="J215" i="3"/>
  <c r="S215" i="3" s="1"/>
  <c r="Q215" i="3"/>
  <c r="I793" i="3"/>
  <c r="H793" i="3" s="1"/>
  <c r="K793" i="3" s="1"/>
  <c r="M793" i="3"/>
  <c r="N595" i="3"/>
  <c r="O595" i="3" s="1"/>
  <c r="M647" i="3"/>
  <c r="L647" i="3"/>
  <c r="Q647" i="3"/>
  <c r="I808" i="3"/>
  <c r="H808" i="3" s="1"/>
  <c r="K808" i="3" s="1"/>
  <c r="Q808" i="3"/>
  <c r="L857" i="3"/>
  <c r="J226" i="3"/>
  <c r="Q226" i="3"/>
  <c r="L226" i="3"/>
  <c r="M311" i="3"/>
  <c r="Q311" i="3"/>
  <c r="L311" i="3"/>
  <c r="Q191" i="3"/>
  <c r="M191" i="3"/>
  <c r="L191" i="3"/>
  <c r="Q243" i="3"/>
  <c r="M446" i="3"/>
  <c r="Q446" i="3"/>
  <c r="H697" i="3"/>
  <c r="K697" i="3" s="1"/>
  <c r="L697" i="3"/>
  <c r="J363" i="3"/>
  <c r="Q363" i="3"/>
  <c r="J391" i="3"/>
  <c r="S391" i="3" s="1"/>
  <c r="Q391" i="3"/>
  <c r="Q309" i="3"/>
  <c r="M309" i="3"/>
  <c r="N371" i="3"/>
  <c r="O371" i="3" s="1"/>
  <c r="N587" i="3"/>
  <c r="O587" i="3" s="1"/>
  <c r="H870" i="3"/>
  <c r="K870" i="3" s="1"/>
  <c r="L870" i="3"/>
  <c r="I710" i="3"/>
  <c r="H710" i="3" s="1"/>
  <c r="K710" i="3" s="1"/>
  <c r="M710" i="3"/>
  <c r="Q710" i="3"/>
  <c r="Q449" i="3"/>
  <c r="M449" i="3"/>
  <c r="L526" i="3"/>
  <c r="Q847" i="3"/>
  <c r="I785" i="3"/>
  <c r="H785" i="3" s="1"/>
  <c r="K785" i="3" s="1"/>
  <c r="Q785" i="3"/>
  <c r="M785" i="3"/>
  <c r="H766" i="3"/>
  <c r="K766" i="3" s="1"/>
  <c r="L766" i="3"/>
  <c r="I868" i="3"/>
  <c r="H868" i="3" s="1"/>
  <c r="K868" i="3" s="1"/>
  <c r="Q868" i="3"/>
  <c r="J494" i="3"/>
  <c r="Q494" i="3"/>
  <c r="L494" i="3"/>
  <c r="Q682" i="3"/>
  <c r="I682" i="3"/>
  <c r="H682" i="3" s="1"/>
  <c r="K682" i="3" s="1"/>
  <c r="H740" i="3"/>
  <c r="K740" i="3" s="1"/>
  <c r="L740" i="3"/>
  <c r="L787" i="3"/>
  <c r="J443" i="3"/>
  <c r="Q443" i="3"/>
  <c r="L443" i="3"/>
  <c r="I847" i="3"/>
  <c r="H847" i="3" s="1"/>
  <c r="K847" i="3" s="1"/>
  <c r="I669" i="3"/>
  <c r="H669" i="3" s="1"/>
  <c r="K669" i="3" s="1"/>
  <c r="J183" i="3"/>
  <c r="Q183" i="3"/>
  <c r="L183" i="3"/>
  <c r="Q574" i="3"/>
  <c r="Q216" i="3"/>
  <c r="M216" i="3"/>
  <c r="L216" i="3"/>
  <c r="I845" i="3"/>
  <c r="J557" i="3"/>
  <c r="Q557" i="3"/>
  <c r="N215" i="3"/>
  <c r="O215" i="3" s="1"/>
  <c r="N256" i="3"/>
  <c r="O256" i="3" s="1"/>
  <c r="J537" i="3"/>
  <c r="Q537" i="3"/>
  <c r="L537" i="3"/>
  <c r="J433" i="3"/>
  <c r="S433" i="3" s="1"/>
  <c r="Q433" i="3"/>
  <c r="H892" i="3"/>
  <c r="K892" i="3" s="1"/>
  <c r="L892" i="3"/>
  <c r="L446" i="3"/>
  <c r="H762" i="3"/>
  <c r="K762" i="3" s="1"/>
  <c r="L762" i="3"/>
  <c r="M176" i="3"/>
  <c r="Q176" i="3"/>
  <c r="L176" i="3"/>
  <c r="J169" i="3"/>
  <c r="L169" i="3"/>
  <c r="I836" i="3"/>
  <c r="H836" i="3" s="1"/>
  <c r="K836" i="3" s="1"/>
  <c r="Q836" i="3"/>
  <c r="L488" i="3"/>
  <c r="J295" i="3"/>
  <c r="S295" i="3" s="1"/>
  <c r="Q295" i="3"/>
  <c r="M608" i="3"/>
  <c r="Q467" i="3"/>
  <c r="Q541" i="3"/>
  <c r="I711" i="3"/>
  <c r="H711" i="3" s="1"/>
  <c r="K711" i="3" s="1"/>
  <c r="J551" i="3"/>
  <c r="S551" i="3" s="1"/>
  <c r="Q551" i="3"/>
  <c r="L564" i="3"/>
  <c r="Q575" i="3"/>
  <c r="M575" i="3"/>
  <c r="J469" i="3"/>
  <c r="Q469" i="3"/>
  <c r="I664" i="3"/>
  <c r="H664" i="3" s="1"/>
  <c r="K664" i="3" s="1"/>
  <c r="M664" i="3"/>
  <c r="J857" i="3"/>
  <c r="Q857" i="3"/>
  <c r="I750" i="3"/>
  <c r="Q720" i="3"/>
  <c r="M717" i="3"/>
  <c r="Q677" i="3"/>
  <c r="I721" i="3"/>
  <c r="H721" i="3" s="1"/>
  <c r="K721" i="3" s="1"/>
  <c r="Q497" i="3"/>
  <c r="Q169" i="3"/>
  <c r="M169" i="3"/>
  <c r="I820" i="3"/>
  <c r="Q675" i="3"/>
  <c r="J179" i="3"/>
  <c r="S179" i="3" s="1"/>
  <c r="Q179" i="3"/>
  <c r="I873" i="3"/>
  <c r="Q379" i="3"/>
  <c r="M379" i="3"/>
  <c r="M278" i="3"/>
  <c r="Q278" i="3"/>
  <c r="J202" i="3"/>
  <c r="S202" i="3" s="1"/>
  <c r="Q202" i="3"/>
  <c r="Q380" i="3"/>
  <c r="Q887" i="3"/>
  <c r="Q721" i="3"/>
  <c r="I720" i="3"/>
  <c r="M388" i="3"/>
  <c r="Q356" i="3"/>
  <c r="I788" i="3"/>
  <c r="M788" i="3"/>
  <c r="J587" i="3"/>
  <c r="S587" i="3" s="1"/>
  <c r="Q587" i="3"/>
  <c r="Q504" i="3"/>
  <c r="I801" i="3"/>
  <c r="H801" i="3" s="1"/>
  <c r="K801" i="3" s="1"/>
  <c r="Q801" i="3"/>
  <c r="M801" i="3"/>
  <c r="Q292" i="3"/>
  <c r="M292" i="3"/>
  <c r="L412" i="3"/>
  <c r="I819" i="3"/>
  <c r="H819" i="3" s="1"/>
  <c r="K819" i="3" s="1"/>
  <c r="Q619" i="3"/>
  <c r="M440" i="3"/>
  <c r="L181" i="3"/>
  <c r="Q249" i="3"/>
  <c r="L327" i="3"/>
  <c r="Q420" i="3"/>
  <c r="Q182" i="3"/>
  <c r="M422" i="3"/>
  <c r="Q530" i="3"/>
  <c r="Q751" i="3"/>
  <c r="Q432" i="3"/>
  <c r="M432" i="3"/>
  <c r="M417" i="3"/>
  <c r="Q417" i="3"/>
  <c r="Q194" i="3"/>
  <c r="M194" i="3"/>
  <c r="N232" i="3"/>
  <c r="O232" i="3" s="1"/>
  <c r="J267" i="3"/>
  <c r="Q267" i="3"/>
  <c r="Q336" i="3"/>
  <c r="M336" i="3"/>
  <c r="J262" i="3"/>
  <c r="Q262" i="3"/>
  <c r="Q607" i="3"/>
  <c r="J518" i="3"/>
  <c r="Q518" i="3"/>
  <c r="L174" i="3"/>
  <c r="L177" i="3"/>
  <c r="Q325" i="3"/>
  <c r="L520" i="3"/>
  <c r="M184" i="3"/>
  <c r="Q247" i="3"/>
  <c r="M539" i="3"/>
  <c r="Q539" i="3"/>
  <c r="Q572" i="3"/>
  <c r="M572" i="3"/>
  <c r="Q423" i="3"/>
  <c r="M423" i="3"/>
  <c r="I676" i="3"/>
  <c r="H676" i="3" s="1"/>
  <c r="K676" i="3" s="1"/>
  <c r="M676" i="3"/>
  <c r="Q676" i="3"/>
  <c r="Q728" i="3"/>
  <c r="Q261" i="3"/>
  <c r="M261" i="3"/>
  <c r="N620" i="3"/>
  <c r="O620" i="3" s="1"/>
  <c r="J255" i="3"/>
  <c r="S255" i="3" s="1"/>
  <c r="Q255" i="3"/>
  <c r="I876" i="3"/>
  <c r="H876" i="3" s="1"/>
  <c r="K876" i="3" s="1"/>
  <c r="Q876" i="3"/>
  <c r="M876" i="3"/>
  <c r="I829" i="3"/>
  <c r="H829" i="3" s="1"/>
  <c r="K829" i="3" s="1"/>
  <c r="L609" i="3"/>
  <c r="I668" i="3"/>
  <c r="H668" i="3" s="1"/>
  <c r="K668" i="3" s="1"/>
  <c r="Q813" i="3"/>
  <c r="L754" i="3"/>
  <c r="I742" i="3"/>
  <c r="L496" i="3"/>
  <c r="I858" i="3"/>
  <c r="H858" i="3" s="1"/>
  <c r="K858" i="3" s="1"/>
  <c r="Q858" i="3"/>
  <c r="M858" i="3"/>
  <c r="Q703" i="3"/>
  <c r="I737" i="3"/>
  <c r="H737" i="3" s="1"/>
  <c r="K737" i="3" s="1"/>
  <c r="Q737" i="3"/>
  <c r="M737" i="3"/>
  <c r="J598" i="3"/>
  <c r="Q598" i="3"/>
  <c r="M560" i="3"/>
  <c r="Q560" i="3"/>
  <c r="L252" i="3"/>
  <c r="Q822" i="3"/>
  <c r="Q697" i="3"/>
  <c r="I738" i="3"/>
  <c r="M738" i="3"/>
  <c r="Q738" i="3"/>
  <c r="Q766" i="3"/>
  <c r="L624" i="3"/>
  <c r="L555" i="3"/>
  <c r="I851" i="3"/>
  <c r="H851" i="3" s="1"/>
  <c r="K851" i="3" s="1"/>
  <c r="Q851" i="3"/>
  <c r="M851" i="3"/>
  <c r="Q892" i="3"/>
  <c r="L432" i="3"/>
  <c r="I895" i="3"/>
  <c r="M721" i="3"/>
  <c r="Q665" i="3"/>
  <c r="M489" i="3"/>
  <c r="Q781" i="3"/>
  <c r="Q414" i="3"/>
  <c r="Q289" i="3"/>
  <c r="L223" i="3"/>
  <c r="I842" i="3"/>
  <c r="H842" i="3" s="1"/>
  <c r="K842" i="3" s="1"/>
  <c r="J620" i="3"/>
  <c r="S620" i="3" s="1"/>
  <c r="Q620" i="3"/>
  <c r="Q440" i="3"/>
  <c r="J232" i="3"/>
  <c r="S232" i="3" s="1"/>
  <c r="Q232" i="3"/>
  <c r="L267" i="3"/>
  <c r="I731" i="3"/>
  <c r="H731" i="3" s="1"/>
  <c r="K731" i="3" s="1"/>
  <c r="Q240" i="3"/>
  <c r="Q899" i="3"/>
  <c r="L542" i="3"/>
  <c r="L186" i="3"/>
  <c r="L203" i="3"/>
  <c r="I880" i="3"/>
  <c r="H880" i="3" s="1"/>
  <c r="K880" i="3" s="1"/>
  <c r="Q880" i="3"/>
  <c r="Q381" i="3"/>
  <c r="Q435" i="3"/>
  <c r="Q224" i="3"/>
  <c r="Q197" i="3"/>
  <c r="L189" i="3"/>
  <c r="I812" i="3"/>
  <c r="Q376" i="3"/>
  <c r="L342" i="3"/>
  <c r="Q271" i="3"/>
  <c r="L262" i="3"/>
  <c r="M578" i="3"/>
  <c r="Q366" i="3"/>
  <c r="I815" i="3"/>
  <c r="H815" i="3" s="1"/>
  <c r="K815" i="3" s="1"/>
  <c r="M815" i="3"/>
  <c r="Q602" i="3"/>
  <c r="L194" i="3"/>
  <c r="L190" i="3"/>
  <c r="L231" i="3"/>
  <c r="I791" i="3"/>
  <c r="H791" i="3" s="1"/>
  <c r="K791" i="3" s="1"/>
  <c r="L518" i="3"/>
  <c r="L331" i="3"/>
  <c r="I794" i="3"/>
  <c r="I727" i="3"/>
  <c r="I843" i="3"/>
  <c r="H843" i="3" s="1"/>
  <c r="K843" i="3" s="1"/>
  <c r="Q550" i="3"/>
  <c r="M630" i="3"/>
  <c r="M369" i="3"/>
  <c r="Q184" i="3"/>
  <c r="Q254" i="3"/>
  <c r="Q492" i="3"/>
  <c r="Q279" i="3"/>
  <c r="Q203" i="3"/>
  <c r="I871" i="3"/>
  <c r="H871" i="3" s="1"/>
  <c r="K871" i="3" s="1"/>
  <c r="Q871" i="3"/>
  <c r="M871" i="3"/>
  <c r="I689" i="3"/>
  <c r="H689" i="3" s="1"/>
  <c r="K689" i="3" s="1"/>
  <c r="M689" i="3"/>
  <c r="Q689" i="3"/>
  <c r="Q601" i="3"/>
  <c r="J303" i="3"/>
  <c r="Q303" i="3"/>
  <c r="J883" i="3"/>
  <c r="Q883" i="3"/>
  <c r="J556" i="3"/>
  <c r="S556" i="3" s="1"/>
  <c r="Q556" i="3"/>
  <c r="J437" i="3"/>
  <c r="S437" i="3" s="1"/>
  <c r="Q437" i="3"/>
  <c r="I854" i="3"/>
  <c r="H854" i="3" s="1"/>
  <c r="K854" i="3" s="1"/>
  <c r="M854" i="3"/>
  <c r="Q854" i="3"/>
  <c r="J563" i="3"/>
  <c r="Q563" i="3"/>
  <c r="L540" i="3"/>
  <c r="L789" i="3"/>
  <c r="L417" i="3"/>
  <c r="I800" i="3"/>
  <c r="H800" i="3" s="1"/>
  <c r="K800" i="3" s="1"/>
  <c r="M800" i="3"/>
  <c r="L539" i="3"/>
  <c r="Q415" i="3"/>
  <c r="Q436" i="3"/>
  <c r="L261" i="3"/>
  <c r="L283" i="3"/>
  <c r="Q290" i="3"/>
  <c r="Q489" i="3"/>
  <c r="L414" i="3"/>
  <c r="L217" i="3"/>
  <c r="Q299" i="3"/>
  <c r="L180" i="3"/>
  <c r="L594" i="3"/>
  <c r="Q695" i="3"/>
  <c r="L274" i="3"/>
  <c r="Q411" i="3"/>
  <c r="Q175" i="3"/>
  <c r="M175" i="3"/>
  <c r="J775" i="3"/>
  <c r="Q580" i="3"/>
  <c r="Q555" i="3"/>
  <c r="M355" i="3"/>
  <c r="Q355" i="3"/>
  <c r="L550" i="3"/>
  <c r="N165" i="3"/>
  <c r="O165" i="3" s="1"/>
  <c r="Q578" i="3"/>
  <c r="J840" i="3"/>
  <c r="M602" i="3"/>
  <c r="L292" i="3"/>
  <c r="Q335" i="3"/>
  <c r="Q252" i="3"/>
  <c r="I796" i="3"/>
  <c r="J450" i="3"/>
  <c r="Q450" i="3"/>
  <c r="M327" i="3"/>
  <c r="L175" i="3"/>
  <c r="L268" i="3"/>
  <c r="Q331" i="3"/>
  <c r="Q217" i="3"/>
  <c r="I706" i="3"/>
  <c r="H706" i="3" s="1"/>
  <c r="K706" i="3" s="1"/>
  <c r="M706" i="3"/>
  <c r="Q668" i="3"/>
  <c r="M571" i="3"/>
  <c r="Q571" i="3"/>
  <c r="Q798" i="3"/>
  <c r="I855" i="3"/>
  <c r="H855" i="3" s="1"/>
  <c r="K855" i="3" s="1"/>
  <c r="Q855" i="3"/>
  <c r="M855" i="3"/>
  <c r="L572" i="3"/>
  <c r="N455" i="3"/>
  <c r="O455" i="3" s="1"/>
  <c r="L563" i="3"/>
  <c r="L630" i="3"/>
  <c r="Q750" i="3"/>
  <c r="J853" i="3"/>
  <c r="J789" i="3"/>
  <c r="L419" i="3"/>
  <c r="L266" i="3"/>
  <c r="I728" i="3"/>
  <c r="H728" i="3" s="1"/>
  <c r="K728" i="3" s="1"/>
  <c r="L348" i="3"/>
  <c r="J523" i="3"/>
  <c r="S523" i="3" s="1"/>
  <c r="Q523" i="3"/>
  <c r="I718" i="3"/>
  <c r="H718" i="3" s="1"/>
  <c r="K718" i="3" s="1"/>
  <c r="Q718" i="3"/>
  <c r="Q626" i="3"/>
  <c r="Q207" i="3"/>
  <c r="I665" i="3"/>
  <c r="H665" i="3" s="1"/>
  <c r="K665" i="3" s="1"/>
  <c r="I677" i="3"/>
  <c r="I822" i="3"/>
  <c r="H822" i="3" s="1"/>
  <c r="K822" i="3" s="1"/>
  <c r="L278" i="3"/>
  <c r="J899" i="3"/>
  <c r="M280" i="3"/>
  <c r="Q280" i="3"/>
  <c r="Q477" i="3"/>
  <c r="L381" i="3"/>
  <c r="L350" i="3"/>
  <c r="L344" i="3"/>
  <c r="L211" i="3"/>
  <c r="L241" i="3"/>
  <c r="L775" i="3"/>
  <c r="M308" i="3"/>
  <c r="M162" i="3"/>
  <c r="Q162" i="3"/>
  <c r="L239" i="3"/>
  <c r="J165" i="3"/>
  <c r="S165" i="3" s="1"/>
  <c r="Q165" i="3"/>
  <c r="L840" i="3"/>
  <c r="L307" i="3"/>
  <c r="Q392" i="3"/>
  <c r="M890" i="3"/>
  <c r="M484" i="3"/>
  <c r="L288" i="3"/>
  <c r="Q219" i="3"/>
  <c r="L310" i="3"/>
  <c r="L622" i="3"/>
  <c r="I671" i="3"/>
  <c r="Q649" i="3"/>
  <c r="Q357" i="3"/>
  <c r="L450" i="3"/>
  <c r="M359" i="3"/>
  <c r="L369" i="3"/>
  <c r="Q731" i="3"/>
  <c r="Q163" i="3"/>
  <c r="Q181" i="3"/>
  <c r="Q510" i="3"/>
  <c r="Q189" i="3"/>
  <c r="Q276" i="3"/>
  <c r="J456" i="3"/>
  <c r="S456" i="3" s="1"/>
  <c r="Q456" i="3"/>
  <c r="J754" i="3"/>
  <c r="I874" i="3"/>
  <c r="Q874" i="3"/>
  <c r="M874" i="3"/>
  <c r="Q672" i="3"/>
  <c r="M544" i="3"/>
  <c r="Q544" i="3"/>
  <c r="L493" i="3"/>
  <c r="L593" i="3"/>
  <c r="L303" i="3"/>
  <c r="L883" i="3"/>
  <c r="J511" i="3"/>
  <c r="Q511" i="3"/>
  <c r="Q501" i="3"/>
  <c r="L501" i="3"/>
  <c r="J474" i="3"/>
  <c r="Q474" i="3"/>
  <c r="I797" i="3"/>
  <c r="H797" i="3" s="1"/>
  <c r="K797" i="3" s="1"/>
  <c r="Q797" i="3"/>
  <c r="M797" i="3"/>
  <c r="J514" i="3"/>
  <c r="Q514" i="3"/>
  <c r="Q711" i="3"/>
  <c r="L376" i="3"/>
  <c r="Q266" i="3"/>
  <c r="L517" i="3"/>
  <c r="J455" i="3"/>
  <c r="S455" i="3" s="1"/>
  <c r="Q455" i="3"/>
  <c r="I795" i="3"/>
  <c r="J592" i="3"/>
  <c r="S592" i="3" s="1"/>
  <c r="Q592" i="3"/>
  <c r="L511" i="3"/>
  <c r="L853" i="3"/>
  <c r="J869" i="3"/>
  <c r="Q548" i="3"/>
  <c r="M548" i="3"/>
  <c r="I875" i="3"/>
  <c r="H875" i="3" s="1"/>
  <c r="K875" i="3" s="1"/>
  <c r="J881" i="3"/>
  <c r="Q576" i="3"/>
  <c r="M576" i="3"/>
  <c r="L427" i="3"/>
  <c r="M718" i="3"/>
  <c r="I678" i="3"/>
  <c r="H678" i="3" s="1"/>
  <c r="K678" i="3" s="1"/>
  <c r="L415" i="3"/>
  <c r="Q536" i="3"/>
  <c r="Q496" i="3"/>
  <c r="Q485" i="3"/>
  <c r="L290" i="3"/>
  <c r="Q470" i="3"/>
  <c r="L182" i="3"/>
  <c r="Q346" i="3"/>
  <c r="Q464" i="3"/>
  <c r="L299" i="3"/>
  <c r="L317" i="3"/>
  <c r="L325" i="3"/>
  <c r="I896" i="3"/>
  <c r="Q692" i="3"/>
  <c r="M463" i="3"/>
  <c r="L250" i="3"/>
  <c r="M877" i="3"/>
  <c r="Q833" i="3"/>
  <c r="M477" i="3"/>
  <c r="J248" i="3"/>
  <c r="Q248" i="3"/>
  <c r="L269" i="3"/>
  <c r="L411" i="3"/>
  <c r="Q838" i="3"/>
  <c r="Q522" i="3"/>
  <c r="Q394" i="3"/>
  <c r="M394" i="3"/>
  <c r="L355" i="3"/>
  <c r="Q453" i="3"/>
  <c r="Q361" i="3"/>
  <c r="Q365" i="3"/>
  <c r="L242" i="3"/>
  <c r="Q531" i="3"/>
  <c r="Q890" i="3"/>
  <c r="Q484" i="3"/>
  <c r="Q441" i="3"/>
  <c r="Q218" i="3"/>
  <c r="L451" i="3"/>
  <c r="Q623" i="3"/>
  <c r="Q848" i="3"/>
  <c r="Q227" i="3"/>
  <c r="M171" i="3"/>
  <c r="Q274" i="3"/>
  <c r="Q239" i="3"/>
  <c r="Q301" i="3"/>
  <c r="Q229" i="3"/>
  <c r="I715" i="3"/>
  <c r="H715" i="3" s="1"/>
  <c r="K715" i="3" s="1"/>
  <c r="M715" i="3"/>
  <c r="Q715" i="3"/>
  <c r="Q829" i="3"/>
  <c r="Q706" i="3"/>
  <c r="J760" i="3"/>
  <c r="I694" i="3"/>
  <c r="M694" i="3"/>
  <c r="Q694" i="3"/>
  <c r="L606" i="3"/>
  <c r="Q351" i="3"/>
  <c r="M351" i="3"/>
  <c r="M486" i="3"/>
  <c r="Q486" i="3"/>
  <c r="I866" i="3"/>
  <c r="Q866" i="3"/>
  <c r="M866" i="3"/>
  <c r="M491" i="3"/>
  <c r="Q491" i="3"/>
  <c r="I767" i="3"/>
  <c r="H767" i="3" s="1"/>
  <c r="K767" i="3" s="1"/>
  <c r="M767" i="3"/>
  <c r="Q767" i="3"/>
  <c r="I746" i="3"/>
  <c r="Q746" i="3"/>
  <c r="M746" i="3"/>
  <c r="L529" i="3"/>
  <c r="Q588" i="3"/>
  <c r="J353" i="3"/>
  <c r="S353" i="3" s="1"/>
  <c r="Q353" i="3"/>
  <c r="L474" i="3"/>
  <c r="I846" i="3"/>
  <c r="M846" i="3"/>
  <c r="Q846" i="3"/>
  <c r="L567" i="3"/>
  <c r="L514" i="3"/>
  <c r="Q483" i="3"/>
  <c r="L436" i="3"/>
  <c r="I752" i="3"/>
  <c r="Q752" i="3"/>
  <c r="Q604" i="3"/>
  <c r="M604" i="3"/>
  <c r="I672" i="3"/>
  <c r="H672" i="3" s="1"/>
  <c r="K672" i="3" s="1"/>
  <c r="J503" i="3"/>
  <c r="S503" i="3" s="1"/>
  <c r="Q503" i="3"/>
  <c r="I749" i="3"/>
  <c r="H749" i="3" s="1"/>
  <c r="K749" i="3" s="1"/>
  <c r="M749" i="3"/>
  <c r="Q749" i="3"/>
  <c r="Q704" i="3"/>
  <c r="Q562" i="3"/>
  <c r="M562" i="3"/>
  <c r="M447" i="3"/>
  <c r="Q447" i="3"/>
  <c r="N592" i="3"/>
  <c r="O592" i="3" s="1"/>
  <c r="I865" i="3"/>
  <c r="H865" i="3" s="1"/>
  <c r="K865" i="3" s="1"/>
  <c r="Q865" i="3"/>
  <c r="L869" i="3"/>
  <c r="L548" i="3"/>
  <c r="Q378" i="3"/>
  <c r="J631" i="3"/>
  <c r="S631" i="3" s="1"/>
  <c r="Q631" i="3"/>
  <c r="L881" i="3"/>
  <c r="Q667" i="3"/>
  <c r="L576" i="3"/>
  <c r="L643" i="3"/>
  <c r="L565" i="3"/>
  <c r="Q393" i="3"/>
  <c r="M393" i="3"/>
  <c r="I828" i="3"/>
  <c r="L312" i="3"/>
  <c r="L259" i="3"/>
  <c r="L338" i="3"/>
  <c r="M806" i="3"/>
  <c r="Q638" i="3"/>
  <c r="Q185" i="3"/>
  <c r="Q330" i="3"/>
  <c r="Q257" i="3"/>
  <c r="I703" i="3"/>
  <c r="Q852" i="3"/>
  <c r="I666" i="3"/>
  <c r="H666" i="3" s="1"/>
  <c r="K666" i="3" s="1"/>
  <c r="Q644" i="3"/>
  <c r="L225" i="3"/>
  <c r="M663" i="3"/>
  <c r="Q498" i="3"/>
  <c r="I692" i="3"/>
  <c r="Q463" i="3"/>
  <c r="L527" i="3"/>
  <c r="L280" i="3"/>
  <c r="L167" i="3"/>
  <c r="Q296" i="3"/>
  <c r="Q177" i="3"/>
  <c r="Q860" i="3"/>
  <c r="Q877" i="3"/>
  <c r="I833" i="3"/>
  <c r="H833" i="3" s="1"/>
  <c r="K833" i="3" s="1"/>
  <c r="Q534" i="3"/>
  <c r="L248" i="3"/>
  <c r="M296" i="3"/>
  <c r="L365" i="3"/>
  <c r="L392" i="3"/>
  <c r="I872" i="3"/>
  <c r="H872" i="3" s="1"/>
  <c r="K872" i="3" s="1"/>
  <c r="L291" i="3"/>
  <c r="Q786" i="3"/>
  <c r="I848" i="3"/>
  <c r="M524" i="3"/>
  <c r="Q524" i="3"/>
  <c r="L394" i="3"/>
  <c r="L208" i="3"/>
  <c r="M453" i="3"/>
  <c r="M590" i="3"/>
  <c r="M561" i="3"/>
  <c r="L361" i="3"/>
  <c r="L272" i="3"/>
  <c r="M531" i="3"/>
  <c r="I827" i="3"/>
  <c r="Q308" i="3"/>
  <c r="L219" i="3"/>
  <c r="L171" i="3"/>
  <c r="I768" i="3"/>
  <c r="H768" i="3" s="1"/>
  <c r="K768" i="3" s="1"/>
  <c r="J726" i="3"/>
  <c r="Q502" i="3"/>
  <c r="Q368" i="3"/>
  <c r="I722" i="3"/>
  <c r="H722" i="3" s="1"/>
  <c r="K722" i="3" s="1"/>
  <c r="Q193" i="3"/>
  <c r="Q272" i="3"/>
  <c r="Q459" i="3"/>
  <c r="Q302" i="3"/>
  <c r="J281" i="3"/>
  <c r="S281" i="3" s="1"/>
  <c r="Q281" i="3"/>
  <c r="Q493" i="3"/>
  <c r="Q624" i="3"/>
  <c r="N353" i="3"/>
  <c r="O353" i="3" s="1"/>
  <c r="I826" i="3"/>
  <c r="Q719" i="3"/>
  <c r="M390" i="3"/>
  <c r="Q390" i="3"/>
  <c r="Q559" i="3"/>
  <c r="M559" i="3"/>
  <c r="J546" i="3"/>
  <c r="Q546" i="3"/>
  <c r="M601" i="3"/>
  <c r="Q457" i="3"/>
  <c r="M457" i="3"/>
  <c r="J413" i="3"/>
  <c r="S413" i="3" s="1"/>
  <c r="Q413" i="3"/>
  <c r="I774" i="3"/>
  <c r="H774" i="3" s="1"/>
  <c r="K774" i="3" s="1"/>
  <c r="M774" i="3"/>
  <c r="Q740" i="3"/>
  <c r="N631" i="3"/>
  <c r="O631" i="3" s="1"/>
  <c r="L457" i="3"/>
  <c r="M445" i="3"/>
  <c r="Q445" i="3"/>
  <c r="I698" i="3"/>
  <c r="H698" i="3" s="1"/>
  <c r="K698" i="3" s="1"/>
  <c r="J583" i="3"/>
  <c r="S583" i="3" s="1"/>
  <c r="Q583" i="3"/>
  <c r="Q419" i="3"/>
  <c r="L536" i="3"/>
  <c r="Q806" i="3"/>
  <c r="Q170" i="3"/>
  <c r="M170" i="3"/>
  <c r="Q382" i="3"/>
  <c r="Q347" i="3"/>
  <c r="Q663" i="3"/>
  <c r="I818" i="3"/>
  <c r="Q209" i="3"/>
  <c r="Q174" i="3"/>
  <c r="M174" i="3"/>
  <c r="M367" i="3"/>
  <c r="I860" i="3"/>
  <c r="Q298" i="3"/>
  <c r="M298" i="3"/>
  <c r="M204" i="3"/>
  <c r="Q204" i="3"/>
  <c r="Q260" i="3"/>
  <c r="L162" i="3"/>
  <c r="M231" i="3"/>
  <c r="I786" i="3"/>
  <c r="H786" i="3" s="1"/>
  <c r="K786" i="3" s="1"/>
  <c r="J297" i="3"/>
  <c r="S297" i="3" s="1"/>
  <c r="Q297" i="3"/>
  <c r="I824" i="3"/>
  <c r="H824" i="3" s="1"/>
  <c r="K824" i="3" s="1"/>
  <c r="L336" i="3"/>
  <c r="L364" i="3"/>
  <c r="L726" i="3"/>
  <c r="I684" i="3"/>
  <c r="H684" i="3" s="1"/>
  <c r="K684" i="3" s="1"/>
  <c r="M197" i="3"/>
  <c r="Q507" i="3"/>
  <c r="Q732" i="3"/>
  <c r="Q773" i="3"/>
  <c r="I888" i="3"/>
  <c r="H888" i="3" s="1"/>
  <c r="K888" i="3" s="1"/>
  <c r="Q888" i="3"/>
  <c r="I709" i="3"/>
  <c r="H709" i="3" s="1"/>
  <c r="K709" i="3" s="1"/>
  <c r="Q709" i="3"/>
  <c r="Q566" i="3"/>
  <c r="M566" i="3"/>
  <c r="J509" i="3"/>
  <c r="S509" i="3" s="1"/>
  <c r="Q509" i="3"/>
  <c r="Q701" i="3"/>
  <c r="I679" i="3"/>
  <c r="Q679" i="3"/>
  <c r="M679" i="3"/>
  <c r="Q637" i="3"/>
  <c r="M637" i="3"/>
  <c r="L499" i="3"/>
  <c r="I701" i="3"/>
  <c r="H701" i="3" s="1"/>
  <c r="K701" i="3" s="1"/>
  <c r="J595" i="3"/>
  <c r="S595" i="3" s="1"/>
  <c r="Q595" i="3"/>
  <c r="Q398" i="3"/>
  <c r="M398" i="3"/>
  <c r="J816" i="3"/>
  <c r="Q399" i="3"/>
  <c r="M399" i="3"/>
  <c r="J612" i="3"/>
  <c r="S612" i="3" s="1"/>
  <c r="Q612" i="3"/>
  <c r="J481" i="3"/>
  <c r="S481" i="3" s="1"/>
  <c r="Q481" i="3"/>
  <c r="J662" i="3"/>
  <c r="N583" i="3"/>
  <c r="O583" i="3" s="1"/>
  <c r="J349" i="3"/>
  <c r="S349" i="3" s="1"/>
  <c r="Q349" i="3"/>
  <c r="I792" i="3"/>
  <c r="H792" i="3" s="1"/>
  <c r="K792" i="3" s="1"/>
  <c r="I685" i="3"/>
  <c r="H685" i="3" s="1"/>
  <c r="K685" i="3" s="1"/>
  <c r="M685" i="3"/>
  <c r="Q685" i="3"/>
  <c r="M616" i="3"/>
  <c r="Q212" i="3"/>
  <c r="M212" i="3"/>
  <c r="Q377" i="3"/>
  <c r="I891" i="3"/>
  <c r="H891" i="3" s="1"/>
  <c r="K891" i="3" s="1"/>
  <c r="I805" i="3"/>
  <c r="M293" i="3"/>
  <c r="Q293" i="3"/>
  <c r="L187" i="3"/>
  <c r="Q754" i="3"/>
  <c r="J201" i="3"/>
  <c r="Q201" i="3"/>
  <c r="Q664" i="3"/>
  <c r="Q328" i="3"/>
  <c r="Q500" i="3"/>
  <c r="Q344" i="3"/>
  <c r="J244" i="3"/>
  <c r="Q244" i="3"/>
  <c r="L197" i="3"/>
  <c r="Q241" i="3"/>
  <c r="L479" i="3"/>
  <c r="I674" i="3"/>
  <c r="H674" i="3" s="1"/>
  <c r="K674" i="3" s="1"/>
  <c r="Q213" i="3"/>
  <c r="I755" i="3"/>
  <c r="M888" i="3"/>
  <c r="I830" i="3"/>
  <c r="H830" i="3" s="1"/>
  <c r="K830" i="3" s="1"/>
  <c r="Q856" i="3"/>
  <c r="L524" i="3"/>
  <c r="J454" i="3"/>
  <c r="Q454" i="3"/>
  <c r="I835" i="3"/>
  <c r="H835" i="3" s="1"/>
  <c r="K835" i="3" s="1"/>
  <c r="M835" i="3"/>
  <c r="Q878" i="3"/>
  <c r="Q782" i="3"/>
  <c r="L277" i="3"/>
  <c r="Q717" i="3"/>
  <c r="Q561" i="3"/>
  <c r="L368" i="3"/>
  <c r="L301" i="3"/>
  <c r="Q780" i="3"/>
  <c r="M502" i="3"/>
  <c r="Q323" i="3"/>
  <c r="M644" i="3"/>
  <c r="Q570" i="3"/>
  <c r="Q269" i="3"/>
  <c r="I882" i="3"/>
  <c r="Q761" i="3"/>
  <c r="I691" i="3"/>
  <c r="J618" i="3"/>
  <c r="S618" i="3" s="1"/>
  <c r="Q618" i="3"/>
  <c r="Q294" i="3"/>
  <c r="M294" i="3"/>
  <c r="L621" i="3"/>
  <c r="L483" i="3"/>
  <c r="L604" i="3"/>
  <c r="Q862" i="3"/>
  <c r="Q861" i="3"/>
  <c r="I813" i="3"/>
  <c r="I719" i="3"/>
  <c r="H719" i="3" s="1"/>
  <c r="K719" i="3" s="1"/>
  <c r="Q680" i="3"/>
  <c r="L607" i="3"/>
  <c r="L507" i="3"/>
  <c r="L623" i="3"/>
  <c r="L423" i="3"/>
  <c r="J425" i="3"/>
  <c r="S425" i="3" s="1"/>
  <c r="Q425" i="3"/>
  <c r="Q850" i="3"/>
  <c r="L626" i="3"/>
  <c r="M513" i="3"/>
  <c r="Q513" i="3"/>
  <c r="I893" i="3"/>
  <c r="H893" i="3" s="1"/>
  <c r="K893" i="3" s="1"/>
  <c r="Q893" i="3"/>
  <c r="I661" i="3"/>
  <c r="H661" i="3" s="1"/>
  <c r="K661" i="3" s="1"/>
  <c r="Q661" i="3"/>
  <c r="M661" i="3"/>
  <c r="L613" i="3"/>
  <c r="L662" i="3"/>
  <c r="L534" i="3"/>
  <c r="J471" i="3"/>
  <c r="S471" i="3" s="1"/>
  <c r="Q471" i="3"/>
  <c r="L393" i="3"/>
  <c r="M792" i="3"/>
  <c r="Q569" i="3"/>
  <c r="L254" i="3"/>
  <c r="Q891" i="3"/>
  <c r="M805" i="3"/>
  <c r="L638" i="3"/>
  <c r="L293" i="3"/>
  <c r="Q246" i="3"/>
  <c r="M246" i="3"/>
  <c r="L330" i="3"/>
  <c r="I862" i="3"/>
  <c r="Q567" i="3"/>
  <c r="L382" i="3"/>
  <c r="L209" i="3"/>
  <c r="L347" i="3"/>
  <c r="L201" i="3"/>
  <c r="L284" i="3"/>
  <c r="I850" i="3"/>
  <c r="Q488" i="3"/>
  <c r="L249" i="3"/>
  <c r="I809" i="3"/>
  <c r="H809" i="3" s="1"/>
  <c r="K809" i="3" s="1"/>
  <c r="Q809" i="3"/>
  <c r="Q662" i="3"/>
  <c r="L244" i="3"/>
  <c r="I844" i="3"/>
  <c r="H844" i="3" s="1"/>
  <c r="K844" i="3" s="1"/>
  <c r="J371" i="3"/>
  <c r="S371" i="3" s="1"/>
  <c r="Q371" i="3"/>
  <c r="N245" i="3"/>
  <c r="O245" i="3" s="1"/>
  <c r="I856" i="3"/>
  <c r="L454" i="3"/>
  <c r="J286" i="3"/>
  <c r="S286" i="3" s="1"/>
  <c r="Q286" i="3"/>
  <c r="I782" i="3"/>
  <c r="I732" i="3"/>
  <c r="Q431" i="3"/>
  <c r="M431" i="3"/>
  <c r="Q434" i="3"/>
  <c r="Q186" i="3"/>
  <c r="Q362" i="3"/>
  <c r="M826" i="3"/>
  <c r="I687" i="3"/>
  <c r="M275" i="3"/>
  <c r="Q275" i="3"/>
  <c r="L200" i="3"/>
  <c r="Q799" i="3"/>
  <c r="M605" i="3"/>
  <c r="Q424" i="3"/>
  <c r="M270" i="3"/>
  <c r="Q270" i="3"/>
  <c r="L192" i="3"/>
  <c r="Q627" i="3"/>
  <c r="Q259" i="3"/>
  <c r="Q817" i="3"/>
  <c r="I673" i="3"/>
  <c r="M673" i="3"/>
  <c r="Q673" i="3"/>
  <c r="N618" i="3"/>
  <c r="O618" i="3" s="1"/>
  <c r="J256" i="3"/>
  <c r="S256" i="3" s="1"/>
  <c r="Q256" i="3"/>
  <c r="J814" i="3"/>
  <c r="Q814" i="3"/>
  <c r="J696" i="3"/>
  <c r="Q388" i="3"/>
  <c r="J759" i="3"/>
  <c r="J617" i="3"/>
  <c r="S617" i="3" s="1"/>
  <c r="Q617" i="3"/>
  <c r="M375" i="3"/>
  <c r="Q375" i="3"/>
  <c r="I879" i="3"/>
  <c r="H879" i="3" s="1"/>
  <c r="K879" i="3" s="1"/>
  <c r="Q879" i="3"/>
  <c r="M879" i="3"/>
  <c r="J724" i="3"/>
  <c r="I753" i="3"/>
  <c r="J787" i="3"/>
  <c r="Q787" i="3"/>
  <c r="N425" i="3"/>
  <c r="O425" i="3" s="1"/>
  <c r="M586" i="3"/>
  <c r="Q586" i="3"/>
  <c r="L616" i="3"/>
  <c r="M473" i="3"/>
  <c r="L473" i="3"/>
  <c r="I751" i="3"/>
  <c r="H751" i="3" s="1"/>
  <c r="K751" i="3" s="1"/>
  <c r="I667" i="3"/>
  <c r="H667" i="3" s="1"/>
  <c r="K667" i="3" s="1"/>
  <c r="N471" i="3"/>
  <c r="O471" i="3" s="1"/>
  <c r="J395" i="3"/>
  <c r="S395" i="3" s="1"/>
  <c r="Q395" i="3"/>
  <c r="Q792" i="3"/>
  <c r="Q195" i="3"/>
  <c r="M891" i="3"/>
  <c r="Q805" i="3"/>
  <c r="I898" i="3"/>
  <c r="H898" i="3" s="1"/>
  <c r="K898" i="3" s="1"/>
  <c r="Q779" i="3"/>
  <c r="Q609" i="3"/>
  <c r="L367" i="3"/>
  <c r="M898" i="3"/>
  <c r="J333" i="3"/>
  <c r="S333" i="3" s="1"/>
  <c r="Q333" i="3"/>
  <c r="I773" i="3"/>
  <c r="J245" i="3"/>
  <c r="S245" i="3" s="1"/>
  <c r="Q245" i="3"/>
  <c r="Q198" i="3"/>
  <c r="M198" i="3"/>
  <c r="I779" i="3"/>
  <c r="Q307" i="3"/>
  <c r="N286" i="3"/>
  <c r="O286" i="3" s="1"/>
  <c r="Q816" i="3"/>
  <c r="I765" i="3"/>
  <c r="H765" i="3" s="1"/>
  <c r="K765" i="3" s="1"/>
  <c r="Q429" i="3"/>
  <c r="Q790" i="3"/>
  <c r="Q760" i="3"/>
  <c r="Q585" i="3"/>
  <c r="I799" i="3"/>
  <c r="I707" i="3"/>
  <c r="L270" i="3"/>
  <c r="Q238" i="3"/>
  <c r="Q339" i="3"/>
  <c r="I780" i="3"/>
  <c r="Q348" i="3"/>
  <c r="Q840" i="3"/>
  <c r="Q188" i="3"/>
  <c r="Q341" i="3"/>
  <c r="N627" i="3" l="1"/>
  <c r="O627" i="3" s="1"/>
  <c r="J733" i="3"/>
  <c r="L733" i="3"/>
  <c r="N733" i="3" s="1"/>
  <c r="O733" i="3" s="1"/>
  <c r="N377" i="3"/>
  <c r="O377" i="3" s="1"/>
  <c r="L763" i="3"/>
  <c r="N763" i="3" s="1"/>
  <c r="O763" i="3" s="1"/>
  <c r="J763" i="3"/>
  <c r="S164" i="3"/>
  <c r="S619" i="3"/>
  <c r="N184" i="3"/>
  <c r="O184" i="3" s="1"/>
  <c r="N271" i="3"/>
  <c r="O271" i="3" s="1"/>
  <c r="S581" i="3"/>
  <c r="L838" i="3"/>
  <c r="N838" i="3" s="1"/>
  <c r="O838" i="3" s="1"/>
  <c r="S397" i="3"/>
  <c r="S469" i="3"/>
  <c r="J708" i="3"/>
  <c r="N380" i="3"/>
  <c r="O380" i="3" s="1"/>
  <c r="N506" i="3"/>
  <c r="O506" i="3" s="1"/>
  <c r="J867" i="3"/>
  <c r="N522" i="3"/>
  <c r="O522" i="3" s="1"/>
  <c r="S600" i="3"/>
  <c r="N185" i="3"/>
  <c r="O185" i="3" s="1"/>
  <c r="N644" i="3"/>
  <c r="O644" i="3" s="1"/>
  <c r="S461" i="3"/>
  <c r="L702" i="3"/>
  <c r="N702" i="3" s="1"/>
  <c r="O702" i="3" s="1"/>
  <c r="J804" i="3"/>
  <c r="L804" i="3"/>
  <c r="N804" i="3" s="1"/>
  <c r="O804" i="3" s="1"/>
  <c r="J838" i="3"/>
  <c r="N296" i="3"/>
  <c r="O296" i="3" s="1"/>
  <c r="J806" i="3"/>
  <c r="S229" i="3"/>
  <c r="L708" i="3"/>
  <c r="L876" i="3"/>
  <c r="N876" i="3" s="1"/>
  <c r="O876" i="3" s="1"/>
  <c r="L887" i="3"/>
  <c r="N887" i="3" s="1"/>
  <c r="O887" i="3" s="1"/>
  <c r="S188" i="3"/>
  <c r="N388" i="3"/>
  <c r="O388" i="3" s="1"/>
  <c r="B85" i="3"/>
  <c r="J852" i="3"/>
  <c r="S852" i="3" s="1"/>
  <c r="N475" i="3"/>
  <c r="O475" i="3" s="1"/>
  <c r="N305" i="3"/>
  <c r="O305" i="3" s="1"/>
  <c r="J712" i="3"/>
  <c r="N210" i="3"/>
  <c r="O210" i="3" s="1"/>
  <c r="J741" i="3"/>
  <c r="N453" i="3"/>
  <c r="O453" i="3" s="1"/>
  <c r="N642" i="3"/>
  <c r="O642" i="3" s="1"/>
  <c r="N570" i="3"/>
  <c r="O570" i="3" s="1"/>
  <c r="N314" i="3"/>
  <c r="O314" i="3" s="1"/>
  <c r="N584" i="3"/>
  <c r="O584" i="3" s="1"/>
  <c r="S341" i="3"/>
  <c r="J695" i="3"/>
  <c r="S724" i="3"/>
  <c r="N360" i="3"/>
  <c r="O360" i="3" s="1"/>
  <c r="S634" i="3"/>
  <c r="N263" i="3"/>
  <c r="O263" i="3" s="1"/>
  <c r="N502" i="3"/>
  <c r="O502" i="3" s="1"/>
  <c r="S238" i="3"/>
  <c r="S489" i="3"/>
  <c r="L777" i="3"/>
  <c r="N777" i="3" s="1"/>
  <c r="O777" i="3" s="1"/>
  <c r="N513" i="3"/>
  <c r="O513" i="3" s="1"/>
  <c r="N356" i="3"/>
  <c r="O356" i="3" s="1"/>
  <c r="S282" i="3"/>
  <c r="N553" i="3"/>
  <c r="O553" i="3" s="1"/>
  <c r="N438" i="3"/>
  <c r="O438" i="3" s="1"/>
  <c r="J716" i="3"/>
  <c r="J777" i="3"/>
  <c r="N535" i="3"/>
  <c r="O535" i="3" s="1"/>
  <c r="S227" i="3"/>
  <c r="S628" i="3"/>
  <c r="S641" i="3"/>
  <c r="N544" i="3"/>
  <c r="O544" i="3" s="1"/>
  <c r="N359" i="3"/>
  <c r="O359" i="3" s="1"/>
  <c r="N510" i="3"/>
  <c r="O510" i="3" s="1"/>
  <c r="S449" i="3"/>
  <c r="J832" i="3"/>
  <c r="N387" i="3"/>
  <c r="O387" i="3" s="1"/>
  <c r="N335" i="3"/>
  <c r="O335" i="3" s="1"/>
  <c r="N498" i="3"/>
  <c r="O498" i="3" s="1"/>
  <c r="N441" i="3"/>
  <c r="O441" i="3" s="1"/>
  <c r="S487" i="3"/>
  <c r="N562" i="3"/>
  <c r="O562" i="3" s="1"/>
  <c r="N324" i="3"/>
  <c r="O324" i="3" s="1"/>
  <c r="N166" i="3"/>
  <c r="O166" i="3" s="1"/>
  <c r="N298" i="3"/>
  <c r="O298" i="3" s="1"/>
  <c r="J734" i="3"/>
  <c r="J781" i="3"/>
  <c r="J870" i="3"/>
  <c r="S870" i="3" s="1"/>
  <c r="S205" i="3"/>
  <c r="S598" i="3"/>
  <c r="N224" i="3"/>
  <c r="O224" i="3" s="1"/>
  <c r="N273" i="3"/>
  <c r="O273" i="3" s="1"/>
  <c r="L867" i="3"/>
  <c r="N464" i="3"/>
  <c r="O464" i="3" s="1"/>
  <c r="L743" i="3"/>
  <c r="N743" i="3" s="1"/>
  <c r="O743" i="3" s="1"/>
  <c r="L781" i="3"/>
  <c r="S531" i="3"/>
  <c r="N275" i="3"/>
  <c r="O275" i="3" s="1"/>
  <c r="S486" i="3"/>
  <c r="S649" i="3"/>
  <c r="N566" i="3"/>
  <c r="O566" i="3" s="1"/>
  <c r="S602" i="3"/>
  <c r="N492" i="3"/>
  <c r="O492" i="3" s="1"/>
  <c r="N247" i="3"/>
  <c r="O247" i="3" s="1"/>
  <c r="J861" i="3"/>
  <c r="S861" i="3" s="1"/>
  <c r="N279" i="3"/>
  <c r="O279" i="3" s="1"/>
  <c r="S161" i="3"/>
  <c r="S222" i="3"/>
  <c r="N559" i="3"/>
  <c r="O559" i="3" s="1"/>
  <c r="S601" i="3"/>
  <c r="L700" i="3"/>
  <c r="N700" i="3" s="1"/>
  <c r="O700" i="3" s="1"/>
  <c r="J770" i="3"/>
  <c r="S207" i="3"/>
  <c r="L770" i="3"/>
  <c r="L695" i="3"/>
  <c r="N236" i="3"/>
  <c r="O236" i="3" s="1"/>
  <c r="N554" i="3"/>
  <c r="O554" i="3" s="1"/>
  <c r="J706" i="3"/>
  <c r="N178" i="3"/>
  <c r="O178" i="3" s="1"/>
  <c r="S760" i="3"/>
  <c r="N213" i="3"/>
  <c r="O213" i="3" s="1"/>
  <c r="S580" i="3"/>
  <c r="J778" i="3"/>
  <c r="S778" i="3" s="1"/>
  <c r="N390" i="3"/>
  <c r="O390" i="3" s="1"/>
  <c r="L705" i="3"/>
  <c r="N705" i="3" s="1"/>
  <c r="O705" i="3" s="1"/>
  <c r="J690" i="3"/>
  <c r="N302" i="3"/>
  <c r="O302" i="3" s="1"/>
  <c r="N611" i="3"/>
  <c r="O611" i="3" s="1"/>
  <c r="J681" i="3"/>
  <c r="S358" i="3"/>
  <c r="J790" i="3"/>
  <c r="S790" i="3" s="1"/>
  <c r="J743" i="3"/>
  <c r="O602" i="3"/>
  <c r="J702" i="3"/>
  <c r="L686" i="3"/>
  <c r="N686" i="3" s="1"/>
  <c r="O686" i="3" s="1"/>
  <c r="N204" i="3"/>
  <c r="O204" i="3" s="1"/>
  <c r="L711" i="3"/>
  <c r="N711" i="3" s="1"/>
  <c r="O711" i="3" s="1"/>
  <c r="L831" i="3"/>
  <c r="N218" i="3"/>
  <c r="O218" i="3" s="1"/>
  <c r="J831" i="3"/>
  <c r="N379" i="3"/>
  <c r="O379" i="3" s="1"/>
  <c r="N528" i="3"/>
  <c r="O528" i="3" s="1"/>
  <c r="J885" i="3"/>
  <c r="S885" i="3" s="1"/>
  <c r="J785" i="3"/>
  <c r="N463" i="3"/>
  <c r="O463" i="3" s="1"/>
  <c r="N422" i="3"/>
  <c r="O422" i="3" s="1"/>
  <c r="H680" i="3"/>
  <c r="K680" i="3" s="1"/>
  <c r="S759" i="3"/>
  <c r="L717" i="3"/>
  <c r="N717" i="3" s="1"/>
  <c r="O717" i="3" s="1"/>
  <c r="N246" i="3"/>
  <c r="O246" i="3" s="1"/>
  <c r="S420" i="3"/>
  <c r="N440" i="3"/>
  <c r="O440" i="3" s="1"/>
  <c r="N309" i="3"/>
  <c r="O309" i="3" s="1"/>
  <c r="S374" i="3"/>
  <c r="L706" i="3"/>
  <c r="N706" i="3" s="1"/>
  <c r="O706" i="3" s="1"/>
  <c r="N421" i="3"/>
  <c r="O421" i="3" s="1"/>
  <c r="N198" i="3"/>
  <c r="O198" i="3" s="1"/>
  <c r="N561" i="3"/>
  <c r="O561" i="3" s="1"/>
  <c r="N220" i="3"/>
  <c r="O220" i="3" s="1"/>
  <c r="S370" i="3"/>
  <c r="N558" i="3"/>
  <c r="O558" i="3" s="1"/>
  <c r="S240" i="3"/>
  <c r="N343" i="3"/>
  <c r="O343" i="3" s="1"/>
  <c r="L737" i="3"/>
  <c r="N737" i="3" s="1"/>
  <c r="O737" i="3" s="1"/>
  <c r="J675" i="3"/>
  <c r="N586" i="3"/>
  <c r="O586" i="3" s="1"/>
  <c r="S378" i="3"/>
  <c r="N163" i="3"/>
  <c r="O163" i="3" s="1"/>
  <c r="L712" i="3"/>
  <c r="N712" i="3" s="1"/>
  <c r="O712" i="3" s="1"/>
  <c r="O282" i="3"/>
  <c r="O487" i="3"/>
  <c r="J725" i="3"/>
  <c r="L725" i="3"/>
  <c r="N725" i="3" s="1"/>
  <c r="O725" i="3" s="1"/>
  <c r="L716" i="3"/>
  <c r="S235" i="3"/>
  <c r="L806" i="3"/>
  <c r="N806" i="3" s="1"/>
  <c r="O806" i="3" s="1"/>
  <c r="J887" i="3"/>
  <c r="S560" i="3"/>
  <c r="N458" i="3"/>
  <c r="O458" i="3" s="1"/>
  <c r="N547" i="3"/>
  <c r="O547" i="3" s="1"/>
  <c r="N386" i="3"/>
  <c r="O386" i="3" s="1"/>
  <c r="S578" i="3"/>
  <c r="N251" i="3"/>
  <c r="O251" i="3" s="1"/>
  <c r="J761" i="3"/>
  <c r="S761" i="3" s="1"/>
  <c r="L888" i="3"/>
  <c r="N888" i="3" s="1"/>
  <c r="O888" i="3" s="1"/>
  <c r="J793" i="3"/>
  <c r="L868" i="3"/>
  <c r="N868" i="3" s="1"/>
  <c r="O868" i="3" s="1"/>
  <c r="B81" i="3"/>
  <c r="L688" i="3"/>
  <c r="L675" i="3"/>
  <c r="N675" i="3" s="1"/>
  <c r="O675" i="3" s="1"/>
  <c r="S591" i="3"/>
  <c r="S467" i="3"/>
  <c r="J704" i="3"/>
  <c r="S704" i="3" s="1"/>
  <c r="N569" i="3"/>
  <c r="O569" i="3" s="1"/>
  <c r="L793" i="3"/>
  <c r="N793" i="3" s="1"/>
  <c r="O793" i="3" s="1"/>
  <c r="J762" i="3"/>
  <c r="S762" i="3" s="1"/>
  <c r="J713" i="3"/>
  <c r="S713" i="3" s="1"/>
  <c r="J729" i="3"/>
  <c r="S729" i="3" s="1"/>
  <c r="L764" i="3"/>
  <c r="L810" i="3"/>
  <c r="N345" i="3"/>
  <c r="O345" i="3" s="1"/>
  <c r="L900" i="3"/>
  <c r="N900" i="3" s="1"/>
  <c r="O900" i="3" s="1"/>
  <c r="N346" i="3"/>
  <c r="O346" i="3" s="1"/>
  <c r="J715" i="3"/>
  <c r="O601" i="3"/>
  <c r="O489" i="3"/>
  <c r="N308" i="3"/>
  <c r="O308" i="3" s="1"/>
  <c r="N629" i="3"/>
  <c r="O629" i="3" s="1"/>
  <c r="J900" i="3"/>
  <c r="L877" i="3"/>
  <c r="N633" i="3"/>
  <c r="O633" i="3" s="1"/>
  <c r="J710" i="3"/>
  <c r="S504" i="3"/>
  <c r="J717" i="3"/>
  <c r="S557" i="3"/>
  <c r="S516" i="3"/>
  <c r="S696" i="3"/>
  <c r="N585" i="3"/>
  <c r="O585" i="3" s="1"/>
  <c r="O641" i="3"/>
  <c r="J676" i="3"/>
  <c r="L871" i="3"/>
  <c r="N871" i="3" s="1"/>
  <c r="O871" i="3" s="1"/>
  <c r="N429" i="3"/>
  <c r="O429" i="3" s="1"/>
  <c r="B87" i="3"/>
  <c r="N597" i="3"/>
  <c r="O597" i="3" s="1"/>
  <c r="J877" i="3"/>
  <c r="N525" i="3"/>
  <c r="O525" i="3" s="1"/>
  <c r="N366" i="3"/>
  <c r="O366" i="3" s="1"/>
  <c r="N399" i="3"/>
  <c r="O399" i="3" s="1"/>
  <c r="N372" i="3"/>
  <c r="O372" i="3" s="1"/>
  <c r="N571" i="3"/>
  <c r="O571" i="3" s="1"/>
  <c r="N234" i="3"/>
  <c r="O234" i="3" s="1"/>
  <c r="L741" i="3"/>
  <c r="N741" i="3" s="1"/>
  <c r="O741" i="3" s="1"/>
  <c r="N543" i="3"/>
  <c r="O543" i="3" s="1"/>
  <c r="N326" i="3"/>
  <c r="O326" i="3" s="1"/>
  <c r="S472" i="3"/>
  <c r="N214" i="3"/>
  <c r="O214" i="3" s="1"/>
  <c r="S172" i="3"/>
  <c r="N447" i="3"/>
  <c r="O447" i="3" s="1"/>
  <c r="N477" i="3"/>
  <c r="O477" i="3" s="1"/>
  <c r="S398" i="3"/>
  <c r="N289" i="3"/>
  <c r="O289" i="3" s="1"/>
  <c r="O398" i="3"/>
  <c r="J723" i="3"/>
  <c r="S723" i="3" s="1"/>
  <c r="S899" i="3"/>
  <c r="O560" i="3"/>
  <c r="J728" i="3"/>
  <c r="J837" i="3"/>
  <c r="N193" i="3"/>
  <c r="O193" i="3" s="1"/>
  <c r="J669" i="3"/>
  <c r="N435" i="3"/>
  <c r="O435" i="3" s="1"/>
  <c r="N519" i="3"/>
  <c r="O519" i="3" s="1"/>
  <c r="N323" i="3"/>
  <c r="O323" i="3" s="1"/>
  <c r="N532" i="3"/>
  <c r="O532" i="3" s="1"/>
  <c r="L663" i="3"/>
  <c r="N663" i="3" s="1"/>
  <c r="O663" i="3" s="1"/>
  <c r="N459" i="3"/>
  <c r="O459" i="3" s="1"/>
  <c r="N426" i="3"/>
  <c r="O426" i="3" s="1"/>
  <c r="N515" i="3"/>
  <c r="O515" i="3" s="1"/>
  <c r="J730" i="3"/>
  <c r="J731" i="3"/>
  <c r="J825" i="3"/>
  <c r="J809" i="3"/>
  <c r="N431" i="3"/>
  <c r="O431" i="3" s="1"/>
  <c r="O420" i="3"/>
  <c r="O546" i="3"/>
  <c r="J875" i="3"/>
  <c r="L835" i="3"/>
  <c r="N835" i="3" s="1"/>
  <c r="O835" i="3" s="1"/>
  <c r="S816" i="3"/>
  <c r="J764" i="3"/>
  <c r="L685" i="3"/>
  <c r="J663" i="3"/>
  <c r="J817" i="3"/>
  <c r="L676" i="3"/>
  <c r="J685" i="3"/>
  <c r="J758" i="3"/>
  <c r="J871" i="3"/>
  <c r="O578" i="3"/>
  <c r="J771" i="3"/>
  <c r="J841" i="3"/>
  <c r="N639" i="3"/>
  <c r="O639" i="3" s="1"/>
  <c r="N521" i="3"/>
  <c r="O521" i="3" s="1"/>
  <c r="J890" i="3"/>
  <c r="L863" i="3"/>
  <c r="N863" i="3" s="1"/>
  <c r="O863" i="3" s="1"/>
  <c r="L825" i="3"/>
  <c r="N825" i="3" s="1"/>
  <c r="O825" i="3" s="1"/>
  <c r="L769" i="3"/>
  <c r="N769" i="3" s="1"/>
  <c r="O769" i="3" s="1"/>
  <c r="S313" i="3"/>
  <c r="N396" i="3"/>
  <c r="O396" i="3" s="1"/>
  <c r="N530" i="3"/>
  <c r="O530" i="3" s="1"/>
  <c r="J689" i="3"/>
  <c r="L836" i="3"/>
  <c r="N836" i="3" s="1"/>
  <c r="O836" i="3" s="1"/>
  <c r="L682" i="3"/>
  <c r="N682" i="3" s="1"/>
  <c r="O682" i="3" s="1"/>
  <c r="J767" i="3"/>
  <c r="J688" i="3"/>
  <c r="S546" i="3"/>
  <c r="N491" i="3"/>
  <c r="O491" i="3" s="1"/>
  <c r="L890" i="3"/>
  <c r="S354" i="3"/>
  <c r="N265" i="3"/>
  <c r="O265" i="3" s="1"/>
  <c r="N357" i="3"/>
  <c r="O357" i="3" s="1"/>
  <c r="J740" i="3"/>
  <c r="S740" i="3" s="1"/>
  <c r="O531" i="3"/>
  <c r="J765" i="3"/>
  <c r="J665" i="3"/>
  <c r="J792" i="3"/>
  <c r="L747" i="3"/>
  <c r="N747" i="3" s="1"/>
  <c r="O747" i="3" s="1"/>
  <c r="L683" i="3"/>
  <c r="N683" i="3" s="1"/>
  <c r="O683" i="3" s="1"/>
  <c r="N328" i="3"/>
  <c r="O328" i="3" s="1"/>
  <c r="N575" i="3"/>
  <c r="O575" i="3" s="1"/>
  <c r="J766" i="3"/>
  <c r="S766" i="3" s="1"/>
  <c r="N484" i="3"/>
  <c r="O484" i="3" s="1"/>
  <c r="O374" i="3"/>
  <c r="N470" i="3"/>
  <c r="O470" i="3" s="1"/>
  <c r="N339" i="3"/>
  <c r="O339" i="3" s="1"/>
  <c r="N206" i="3"/>
  <c r="O206" i="3" s="1"/>
  <c r="N590" i="3"/>
  <c r="O590" i="3" s="1"/>
  <c r="L758" i="3"/>
  <c r="L847" i="3"/>
  <c r="N847" i="3" s="1"/>
  <c r="O847" i="3" s="1"/>
  <c r="K783" i="3"/>
  <c r="J783" i="3"/>
  <c r="J811" i="3"/>
  <c r="N512" i="3"/>
  <c r="O512" i="3" s="1"/>
  <c r="N351" i="3"/>
  <c r="O351" i="3" s="1"/>
  <c r="L783" i="3"/>
  <c r="S588" i="3"/>
  <c r="L817" i="3"/>
  <c r="J768" i="3"/>
  <c r="N635" i="3"/>
  <c r="O635" i="3" s="1"/>
  <c r="J865" i="3"/>
  <c r="J684" i="3"/>
  <c r="O486" i="3"/>
  <c r="J714" i="3"/>
  <c r="L843" i="3"/>
  <c r="N843" i="3" s="1"/>
  <c r="O843" i="3" s="1"/>
  <c r="J698" i="3"/>
  <c r="N237" i="3"/>
  <c r="O237" i="3" s="1"/>
  <c r="N424" i="3"/>
  <c r="O424" i="3" s="1"/>
  <c r="J800" i="3"/>
  <c r="J892" i="3"/>
  <c r="S892" i="3" s="1"/>
  <c r="L709" i="3"/>
  <c r="N709" i="3" s="1"/>
  <c r="O709" i="3" s="1"/>
  <c r="L898" i="3"/>
  <c r="N898" i="3" s="1"/>
  <c r="O898" i="3" s="1"/>
  <c r="J711" i="3"/>
  <c r="S363" i="3"/>
  <c r="L721" i="3"/>
  <c r="N721" i="3" s="1"/>
  <c r="O721" i="3" s="1"/>
  <c r="N375" i="3"/>
  <c r="O375" i="3" s="1"/>
  <c r="J889" i="3"/>
  <c r="L829" i="3"/>
  <c r="N829" i="3" s="1"/>
  <c r="O829" i="3" s="1"/>
  <c r="J798" i="3"/>
  <c r="S798" i="3" s="1"/>
  <c r="S448" i="3"/>
  <c r="B88" i="3"/>
  <c r="J888" i="3"/>
  <c r="J810" i="3"/>
  <c r="J722" i="3"/>
  <c r="J772" i="3"/>
  <c r="L767" i="3"/>
  <c r="J808" i="3"/>
  <c r="L811" i="3"/>
  <c r="N811" i="3" s="1"/>
  <c r="O811" i="3" s="1"/>
  <c r="J721" i="3"/>
  <c r="L886" i="3"/>
  <c r="J886" i="3"/>
  <c r="J666" i="3"/>
  <c r="N478" i="3"/>
  <c r="O478" i="3" s="1"/>
  <c r="H745" i="3"/>
  <c r="L745" i="3"/>
  <c r="N745" i="3" s="1"/>
  <c r="O745" i="3" s="1"/>
  <c r="N485" i="3"/>
  <c r="O485" i="3" s="1"/>
  <c r="S500" i="3"/>
  <c r="L674" i="3"/>
  <c r="N674" i="3" s="1"/>
  <c r="O674" i="3" s="1"/>
  <c r="L865" i="3"/>
  <c r="N865" i="3" s="1"/>
  <c r="O865" i="3" s="1"/>
  <c r="J842" i="3"/>
  <c r="N636" i="3"/>
  <c r="O636" i="3" s="1"/>
  <c r="L819" i="3"/>
  <c r="N819" i="3" s="1"/>
  <c r="O819" i="3" s="1"/>
  <c r="J833" i="3"/>
  <c r="L771" i="3"/>
  <c r="N771" i="3" s="1"/>
  <c r="O771" i="3" s="1"/>
  <c r="H897" i="3"/>
  <c r="L897" i="3"/>
  <c r="N897" i="3" s="1"/>
  <c r="O897" i="3" s="1"/>
  <c r="J749" i="3"/>
  <c r="J739" i="3"/>
  <c r="S739" i="3" s="1"/>
  <c r="N552" i="3"/>
  <c r="O552" i="3" s="1"/>
  <c r="J815" i="3"/>
  <c r="N329" i="3"/>
  <c r="O329" i="3" s="1"/>
  <c r="J736" i="3"/>
  <c r="S736" i="3" s="1"/>
  <c r="L841" i="3"/>
  <c r="J821" i="3"/>
  <c r="H849" i="3"/>
  <c r="L849" i="3"/>
  <c r="L749" i="3"/>
  <c r="L689" i="3"/>
  <c r="N689" i="3" s="1"/>
  <c r="O689" i="3" s="1"/>
  <c r="N257" i="3"/>
  <c r="O257" i="3" s="1"/>
  <c r="J878" i="3"/>
  <c r="S878" i="3" s="1"/>
  <c r="L664" i="3"/>
  <c r="J884" i="3"/>
  <c r="S884" i="3" s="1"/>
  <c r="O600" i="3"/>
  <c r="N574" i="3"/>
  <c r="O574" i="3" s="1"/>
  <c r="J747" i="3"/>
  <c r="L815" i="3"/>
  <c r="J668" i="3"/>
  <c r="L855" i="3"/>
  <c r="N855" i="3" s="1"/>
  <c r="O855" i="3" s="1"/>
  <c r="N260" i="3"/>
  <c r="O260" i="3" s="1"/>
  <c r="L710" i="3"/>
  <c r="L889" i="3"/>
  <c r="N889" i="3" s="1"/>
  <c r="O889" i="3" s="1"/>
  <c r="J801" i="3"/>
  <c r="L768" i="3"/>
  <c r="N768" i="3" s="1"/>
  <c r="O768" i="3" s="1"/>
  <c r="J859" i="3"/>
  <c r="N434" i="3"/>
  <c r="O434" i="3" s="1"/>
  <c r="J822" i="3"/>
  <c r="J835" i="3"/>
  <c r="L684" i="3"/>
  <c r="N684" i="3" s="1"/>
  <c r="O684" i="3" s="1"/>
  <c r="J664" i="3"/>
  <c r="J748" i="3"/>
  <c r="S748" i="3" s="1"/>
  <c r="J843" i="3"/>
  <c r="L699" i="3"/>
  <c r="N699" i="3" s="1"/>
  <c r="O699" i="3" s="1"/>
  <c r="L808" i="3"/>
  <c r="L837" i="3"/>
  <c r="J774" i="3"/>
  <c r="J894" i="3"/>
  <c r="L839" i="3"/>
  <c r="N839" i="3" s="1"/>
  <c r="O839" i="3" s="1"/>
  <c r="L730" i="3"/>
  <c r="L690" i="3"/>
  <c r="N690" i="3" s="1"/>
  <c r="O690" i="3" s="1"/>
  <c r="L832" i="3"/>
  <c r="H805" i="3"/>
  <c r="L805" i="3"/>
  <c r="H848" i="3"/>
  <c r="L848" i="3"/>
  <c r="S167" i="3"/>
  <c r="N167" i="3"/>
  <c r="O167" i="3" s="1"/>
  <c r="S565" i="3"/>
  <c r="N565" i="3"/>
  <c r="O565" i="3" s="1"/>
  <c r="S348" i="3"/>
  <c r="N348" i="3"/>
  <c r="O348" i="3" s="1"/>
  <c r="S540" i="3"/>
  <c r="N540" i="3"/>
  <c r="O540" i="3" s="1"/>
  <c r="H788" i="3"/>
  <c r="L788" i="3"/>
  <c r="H820" i="3"/>
  <c r="L820" i="3"/>
  <c r="S176" i="3"/>
  <c r="N176" i="3"/>
  <c r="O176" i="3" s="1"/>
  <c r="S494" i="3"/>
  <c r="N494" i="3"/>
  <c r="O494" i="3" s="1"/>
  <c r="S645" i="3"/>
  <c r="N645" i="3"/>
  <c r="O645" i="3" s="1"/>
  <c r="S285" i="3"/>
  <c r="N285" i="3"/>
  <c r="O285" i="3" s="1"/>
  <c r="S320" i="3"/>
  <c r="N320" i="3"/>
  <c r="O320" i="3" s="1"/>
  <c r="N729" i="3"/>
  <c r="O729" i="3" s="1"/>
  <c r="N790" i="3"/>
  <c r="O790" i="3" s="1"/>
  <c r="S616" i="3"/>
  <c r="N616" i="3"/>
  <c r="O616" i="3" s="1"/>
  <c r="H753" i="3"/>
  <c r="L753" i="3"/>
  <c r="S330" i="3"/>
  <c r="N330" i="3"/>
  <c r="O330" i="3" s="1"/>
  <c r="S604" i="3"/>
  <c r="N604" i="3"/>
  <c r="O604" i="3" s="1"/>
  <c r="S524" i="3"/>
  <c r="N524" i="3"/>
  <c r="O524" i="3" s="1"/>
  <c r="S280" i="3"/>
  <c r="N280" i="3"/>
  <c r="O280" i="3" s="1"/>
  <c r="S643" i="3"/>
  <c r="N643" i="3"/>
  <c r="O643" i="3" s="1"/>
  <c r="S474" i="3"/>
  <c r="N474" i="3"/>
  <c r="O474" i="3" s="1"/>
  <c r="S606" i="3"/>
  <c r="N606" i="3"/>
  <c r="O606" i="3" s="1"/>
  <c r="S250" i="3"/>
  <c r="N250" i="3"/>
  <c r="O250" i="3" s="1"/>
  <c r="S517" i="3"/>
  <c r="N517" i="3"/>
  <c r="O517" i="3" s="1"/>
  <c r="L765" i="3"/>
  <c r="S883" i="3"/>
  <c r="N883" i="3"/>
  <c r="O883" i="3" s="1"/>
  <c r="S622" i="3"/>
  <c r="N622" i="3"/>
  <c r="O622" i="3" s="1"/>
  <c r="S268" i="3"/>
  <c r="N268" i="3"/>
  <c r="O268" i="3" s="1"/>
  <c r="S594" i="3"/>
  <c r="N594" i="3"/>
  <c r="O594" i="3" s="1"/>
  <c r="S414" i="3"/>
  <c r="N414" i="3"/>
  <c r="O414" i="3" s="1"/>
  <c r="S177" i="3"/>
  <c r="N177" i="3"/>
  <c r="O177" i="3" s="1"/>
  <c r="S537" i="3"/>
  <c r="N537" i="3"/>
  <c r="O537" i="3" s="1"/>
  <c r="O449" i="3"/>
  <c r="B80" i="3"/>
  <c r="L681" i="3"/>
  <c r="N884" i="3"/>
  <c r="O884" i="3" s="1"/>
  <c r="L757" i="3"/>
  <c r="S582" i="3"/>
  <c r="N582" i="3"/>
  <c r="O582" i="3" s="1"/>
  <c r="H834" i="3"/>
  <c r="L834" i="3"/>
  <c r="S505" i="3"/>
  <c r="N505" i="3"/>
  <c r="O505" i="3" s="1"/>
  <c r="S579" i="3"/>
  <c r="N579" i="3"/>
  <c r="O579" i="3" s="1"/>
  <c r="S304" i="3"/>
  <c r="N304" i="3"/>
  <c r="O304" i="3" s="1"/>
  <c r="H846" i="3"/>
  <c r="L846" i="3"/>
  <c r="S217" i="3"/>
  <c r="N217" i="3"/>
  <c r="O217" i="3" s="1"/>
  <c r="H794" i="3"/>
  <c r="L794" i="3"/>
  <c r="S609" i="3"/>
  <c r="N609" i="3"/>
  <c r="O609" i="3" s="1"/>
  <c r="S443" i="3"/>
  <c r="N443" i="3"/>
  <c r="O443" i="3" s="1"/>
  <c r="L785" i="3"/>
  <c r="S577" i="3"/>
  <c r="N577" i="3"/>
  <c r="O577" i="3" s="1"/>
  <c r="N736" i="3"/>
  <c r="O736" i="3" s="1"/>
  <c r="S389" i="3"/>
  <c r="N389" i="3"/>
  <c r="O389" i="3" s="1"/>
  <c r="N680" i="3"/>
  <c r="O680" i="3" s="1"/>
  <c r="H780" i="3"/>
  <c r="L780" i="3"/>
  <c r="H779" i="3"/>
  <c r="L779" i="3"/>
  <c r="H687" i="3"/>
  <c r="L687" i="3"/>
  <c r="S454" i="3"/>
  <c r="N454" i="3"/>
  <c r="O454" i="3" s="1"/>
  <c r="J872" i="3"/>
  <c r="H850" i="3"/>
  <c r="L850" i="3"/>
  <c r="S507" i="3"/>
  <c r="N507" i="3"/>
  <c r="O507" i="3" s="1"/>
  <c r="S483" i="3"/>
  <c r="N483" i="3"/>
  <c r="O483" i="3" s="1"/>
  <c r="S336" i="3"/>
  <c r="N336" i="3"/>
  <c r="O336" i="3" s="1"/>
  <c r="S272" i="3"/>
  <c r="N272" i="3"/>
  <c r="O272" i="3" s="1"/>
  <c r="S291" i="3"/>
  <c r="N291" i="3"/>
  <c r="O291" i="3" s="1"/>
  <c r="S527" i="3"/>
  <c r="N527" i="3"/>
  <c r="O527" i="3" s="1"/>
  <c r="S548" i="3"/>
  <c r="N548" i="3"/>
  <c r="O548" i="3" s="1"/>
  <c r="J786" i="3"/>
  <c r="S303" i="3"/>
  <c r="N303" i="3"/>
  <c r="O303" i="3" s="1"/>
  <c r="S241" i="3"/>
  <c r="N241" i="3"/>
  <c r="O241" i="3" s="1"/>
  <c r="S331" i="3"/>
  <c r="N331" i="3"/>
  <c r="O331" i="3" s="1"/>
  <c r="S262" i="3"/>
  <c r="N262" i="3"/>
  <c r="O262" i="3" s="1"/>
  <c r="S267" i="3"/>
  <c r="N267" i="3"/>
  <c r="O267" i="3" s="1"/>
  <c r="H738" i="3"/>
  <c r="L738" i="3"/>
  <c r="S174" i="3"/>
  <c r="N174" i="3"/>
  <c r="O174" i="3" s="1"/>
  <c r="N697" i="3"/>
  <c r="O697" i="3" s="1"/>
  <c r="S311" i="3"/>
  <c r="N311" i="3"/>
  <c r="O311" i="3" s="1"/>
  <c r="S452" i="3"/>
  <c r="N452" i="3"/>
  <c r="O452" i="3" s="1"/>
  <c r="L665" i="3"/>
  <c r="S637" i="3"/>
  <c r="N637" i="3"/>
  <c r="O637" i="3" s="1"/>
  <c r="L774" i="3"/>
  <c r="J757" i="3"/>
  <c r="L719" i="3"/>
  <c r="S322" i="3"/>
  <c r="N322" i="3"/>
  <c r="O322" i="3" s="1"/>
  <c r="S508" i="3"/>
  <c r="N508" i="3"/>
  <c r="O508" i="3" s="1"/>
  <c r="S258" i="3"/>
  <c r="N258" i="3"/>
  <c r="O258" i="3" s="1"/>
  <c r="S439" i="3"/>
  <c r="N439" i="3"/>
  <c r="O439" i="3" s="1"/>
  <c r="S608" i="3"/>
  <c r="N608" i="3"/>
  <c r="O608" i="3" s="1"/>
  <c r="L864" i="3"/>
  <c r="S476" i="3"/>
  <c r="N476" i="3"/>
  <c r="O476" i="3" s="1"/>
  <c r="L786" i="3"/>
  <c r="S593" i="3"/>
  <c r="N593" i="3"/>
  <c r="O593" i="3" s="1"/>
  <c r="S183" i="3"/>
  <c r="N183" i="3"/>
  <c r="O183" i="3" s="1"/>
  <c r="S776" i="3"/>
  <c r="N776" i="3"/>
  <c r="O776" i="3" s="1"/>
  <c r="S321" i="3"/>
  <c r="N321" i="3"/>
  <c r="O321" i="3" s="1"/>
  <c r="H856" i="3"/>
  <c r="L856" i="3"/>
  <c r="S293" i="3"/>
  <c r="N293" i="3"/>
  <c r="O293" i="3" s="1"/>
  <c r="S162" i="3"/>
  <c r="N162" i="3"/>
  <c r="O162" i="3" s="1"/>
  <c r="N740" i="3"/>
  <c r="O740" i="3" s="1"/>
  <c r="S416" i="3"/>
  <c r="N416" i="3"/>
  <c r="O416" i="3" s="1"/>
  <c r="S192" i="3"/>
  <c r="N192" i="3"/>
  <c r="O192" i="3" s="1"/>
  <c r="S457" i="3"/>
  <c r="N457" i="3"/>
  <c r="O457" i="3" s="1"/>
  <c r="S338" i="3"/>
  <c r="N338" i="3"/>
  <c r="O338" i="3" s="1"/>
  <c r="O161" i="3"/>
  <c r="H896" i="3"/>
  <c r="L896" i="3"/>
  <c r="S427" i="3"/>
  <c r="N427" i="3"/>
  <c r="O427" i="3" s="1"/>
  <c r="S511" i="3"/>
  <c r="N511" i="3"/>
  <c r="O511" i="3" s="1"/>
  <c r="J672" i="3"/>
  <c r="S419" i="3"/>
  <c r="N419" i="3"/>
  <c r="O419" i="3" s="1"/>
  <c r="L800" i="3"/>
  <c r="S180" i="3"/>
  <c r="N180" i="3"/>
  <c r="O180" i="3" s="1"/>
  <c r="S417" i="3"/>
  <c r="N417" i="3"/>
  <c r="O417" i="3" s="1"/>
  <c r="S231" i="3"/>
  <c r="N231" i="3"/>
  <c r="O231" i="3" s="1"/>
  <c r="J697" i="3"/>
  <c r="S697" i="3" s="1"/>
  <c r="S564" i="3"/>
  <c r="N564" i="3"/>
  <c r="O564" i="3" s="1"/>
  <c r="S488" i="3"/>
  <c r="N488" i="3"/>
  <c r="O488" i="3" s="1"/>
  <c r="J847" i="3"/>
  <c r="L661" i="3"/>
  <c r="S315" i="3"/>
  <c r="N315" i="3"/>
  <c r="O315" i="3" s="1"/>
  <c r="L803" i="3"/>
  <c r="J819" i="3"/>
  <c r="S340" i="3"/>
  <c r="N340" i="3"/>
  <c r="O340" i="3" s="1"/>
  <c r="S648" i="3"/>
  <c r="N648" i="3"/>
  <c r="O648" i="3" s="1"/>
  <c r="S549" i="3"/>
  <c r="N549" i="3"/>
  <c r="O549" i="3" s="1"/>
  <c r="S253" i="3"/>
  <c r="N253" i="3"/>
  <c r="O253" i="3" s="1"/>
  <c r="S383" i="3"/>
  <c r="N383" i="3"/>
  <c r="O383" i="3" s="1"/>
  <c r="S445" i="3"/>
  <c r="N445" i="3"/>
  <c r="O445" i="3" s="1"/>
  <c r="S518" i="3"/>
  <c r="N518" i="3"/>
  <c r="O518" i="3" s="1"/>
  <c r="S393" i="3"/>
  <c r="N393" i="3"/>
  <c r="O393" i="3" s="1"/>
  <c r="H860" i="3"/>
  <c r="L860" i="3"/>
  <c r="S392" i="3"/>
  <c r="N392" i="3"/>
  <c r="O392" i="3" s="1"/>
  <c r="S576" i="3"/>
  <c r="N576" i="3"/>
  <c r="O576" i="3" s="1"/>
  <c r="S344" i="3"/>
  <c r="N344" i="3"/>
  <c r="O344" i="3" s="1"/>
  <c r="J797" i="3"/>
  <c r="S175" i="3"/>
  <c r="N175" i="3"/>
  <c r="O175" i="3" s="1"/>
  <c r="S270" i="3"/>
  <c r="N270" i="3"/>
  <c r="O270" i="3" s="1"/>
  <c r="S529" i="3"/>
  <c r="N529" i="3"/>
  <c r="O529" i="3" s="1"/>
  <c r="S350" i="3"/>
  <c r="N350" i="3"/>
  <c r="O350" i="3" s="1"/>
  <c r="S624" i="3"/>
  <c r="N624" i="3"/>
  <c r="O624" i="3" s="1"/>
  <c r="S226" i="3"/>
  <c r="N226" i="3"/>
  <c r="O226" i="3" s="1"/>
  <c r="S490" i="3"/>
  <c r="N490" i="3"/>
  <c r="O490" i="3" s="1"/>
  <c r="N861" i="3"/>
  <c r="O861" i="3" s="1"/>
  <c r="S638" i="3"/>
  <c r="N638" i="3"/>
  <c r="O638" i="3" s="1"/>
  <c r="H799" i="3"/>
  <c r="L799" i="3"/>
  <c r="S347" i="3"/>
  <c r="N347" i="3"/>
  <c r="O347" i="3" s="1"/>
  <c r="S536" i="3"/>
  <c r="N536" i="3"/>
  <c r="O536" i="3" s="1"/>
  <c r="S248" i="3"/>
  <c r="N248" i="3"/>
  <c r="O248" i="3" s="1"/>
  <c r="S514" i="3"/>
  <c r="N514" i="3"/>
  <c r="O514" i="3" s="1"/>
  <c r="S325" i="3"/>
  <c r="N325" i="3"/>
  <c r="O325" i="3" s="1"/>
  <c r="L722" i="3"/>
  <c r="S376" i="3"/>
  <c r="N376" i="3"/>
  <c r="O376" i="3" s="1"/>
  <c r="S239" i="3"/>
  <c r="N239" i="3"/>
  <c r="O239" i="3" s="1"/>
  <c r="S381" i="3"/>
  <c r="N381" i="3"/>
  <c r="O381" i="3" s="1"/>
  <c r="S283" i="3"/>
  <c r="N283" i="3"/>
  <c r="O283" i="3" s="1"/>
  <c r="S190" i="3"/>
  <c r="N190" i="3"/>
  <c r="O190" i="3" s="1"/>
  <c r="S342" i="3"/>
  <c r="N342" i="3"/>
  <c r="O342" i="3" s="1"/>
  <c r="S203" i="3"/>
  <c r="N203" i="3"/>
  <c r="O203" i="3" s="1"/>
  <c r="H895" i="3"/>
  <c r="L895" i="3"/>
  <c r="L728" i="3"/>
  <c r="H873" i="3"/>
  <c r="L873" i="3"/>
  <c r="J699" i="3"/>
  <c r="S446" i="3"/>
  <c r="N446" i="3"/>
  <c r="O446" i="3" s="1"/>
  <c r="H845" i="3"/>
  <c r="L845" i="3"/>
  <c r="L858" i="3"/>
  <c r="S466" i="3"/>
  <c r="N466" i="3"/>
  <c r="O466" i="3" s="1"/>
  <c r="J661" i="3"/>
  <c r="S545" i="3"/>
  <c r="N545" i="3"/>
  <c r="O545" i="3" s="1"/>
  <c r="S632" i="3"/>
  <c r="N632" i="3"/>
  <c r="O632" i="3" s="1"/>
  <c r="J855" i="3"/>
  <c r="J803" i="3"/>
  <c r="N739" i="3"/>
  <c r="O739" i="3" s="1"/>
  <c r="S802" i="3"/>
  <c r="N802" i="3"/>
  <c r="O802" i="3" s="1"/>
  <c r="S196" i="3"/>
  <c r="N196" i="3"/>
  <c r="O196" i="3" s="1"/>
  <c r="J683" i="3"/>
  <c r="J744" i="3"/>
  <c r="S468" i="3"/>
  <c r="N468" i="3"/>
  <c r="O468" i="3" s="1"/>
  <c r="J670" i="3"/>
  <c r="N885" i="3"/>
  <c r="O885" i="3" s="1"/>
  <c r="S199" i="3"/>
  <c r="N199" i="3"/>
  <c r="O199" i="3" s="1"/>
  <c r="S243" i="3"/>
  <c r="N243" i="3"/>
  <c r="O243" i="3" s="1"/>
  <c r="S361" i="3"/>
  <c r="N361" i="3"/>
  <c r="O361" i="3" s="1"/>
  <c r="S451" i="3"/>
  <c r="N451" i="3"/>
  <c r="O451" i="3" s="1"/>
  <c r="S278" i="3"/>
  <c r="N278" i="3"/>
  <c r="O278" i="3" s="1"/>
  <c r="H755" i="3"/>
  <c r="L755" i="3"/>
  <c r="S418" i="3"/>
  <c r="N418" i="3"/>
  <c r="O418" i="3" s="1"/>
  <c r="N704" i="3"/>
  <c r="O704" i="3" s="1"/>
  <c r="S465" i="3"/>
  <c r="N465" i="3"/>
  <c r="O465" i="3" s="1"/>
  <c r="S225" i="3"/>
  <c r="N225" i="3"/>
  <c r="O225" i="3" s="1"/>
  <c r="S259" i="3"/>
  <c r="N259" i="3"/>
  <c r="O259" i="3" s="1"/>
  <c r="S881" i="3"/>
  <c r="N881" i="3"/>
  <c r="O881" i="3" s="1"/>
  <c r="H866" i="3"/>
  <c r="L866" i="3"/>
  <c r="S411" i="3"/>
  <c r="N411" i="3"/>
  <c r="S290" i="3"/>
  <c r="N290" i="3"/>
  <c r="O290" i="3" s="1"/>
  <c r="S501" i="3"/>
  <c r="N501" i="3"/>
  <c r="O501" i="3" s="1"/>
  <c r="S369" i="3"/>
  <c r="N369" i="3"/>
  <c r="O369" i="3" s="1"/>
  <c r="H677" i="3"/>
  <c r="L677" i="3"/>
  <c r="S261" i="3"/>
  <c r="N261" i="3"/>
  <c r="O261" i="3" s="1"/>
  <c r="S186" i="3"/>
  <c r="N186" i="3"/>
  <c r="O186" i="3" s="1"/>
  <c r="S432" i="3"/>
  <c r="N432" i="3"/>
  <c r="O432" i="3" s="1"/>
  <c r="S252" i="3"/>
  <c r="N252" i="3"/>
  <c r="O252" i="3" s="1"/>
  <c r="S496" i="3"/>
  <c r="N496" i="3"/>
  <c r="O496" i="3" s="1"/>
  <c r="N892" i="3"/>
  <c r="O892" i="3" s="1"/>
  <c r="N766" i="3"/>
  <c r="O766" i="3" s="1"/>
  <c r="J858" i="3"/>
  <c r="S857" i="3"/>
  <c r="N857" i="3"/>
  <c r="O857" i="3" s="1"/>
  <c r="S300" i="3"/>
  <c r="N300" i="3"/>
  <c r="O300" i="3" s="1"/>
  <c r="S603" i="3"/>
  <c r="N603" i="3"/>
  <c r="O603" i="3" s="1"/>
  <c r="J863" i="3"/>
  <c r="S533" i="3"/>
  <c r="N533" i="3"/>
  <c r="O533" i="3" s="1"/>
  <c r="S221" i="3"/>
  <c r="N221" i="3"/>
  <c r="O221" i="3" s="1"/>
  <c r="S614" i="3"/>
  <c r="N614" i="3"/>
  <c r="O614" i="3" s="1"/>
  <c r="S482" i="3"/>
  <c r="N482" i="3"/>
  <c r="O482" i="3" s="1"/>
  <c r="L822" i="3"/>
  <c r="S306" i="3"/>
  <c r="N306" i="3"/>
  <c r="O306" i="3" s="1"/>
  <c r="L772" i="3"/>
  <c r="L672" i="3"/>
  <c r="J674" i="3"/>
  <c r="S332" i="3"/>
  <c r="N332" i="3"/>
  <c r="O332" i="3" s="1"/>
  <c r="S294" i="3"/>
  <c r="N294" i="3"/>
  <c r="O294" i="3" s="1"/>
  <c r="S316" i="3"/>
  <c r="N316" i="3"/>
  <c r="O316" i="3" s="1"/>
  <c r="S621" i="3"/>
  <c r="N621" i="3"/>
  <c r="O621" i="3" s="1"/>
  <c r="S630" i="3"/>
  <c r="N630" i="3"/>
  <c r="O630" i="3" s="1"/>
  <c r="S334" i="3"/>
  <c r="N334" i="3"/>
  <c r="O334" i="3" s="1"/>
  <c r="H720" i="3"/>
  <c r="L720" i="3"/>
  <c r="S168" i="3"/>
  <c r="N168" i="3"/>
  <c r="O168" i="3" s="1"/>
  <c r="S428" i="3"/>
  <c r="N428" i="3"/>
  <c r="O428" i="3" s="1"/>
  <c r="S170" i="3"/>
  <c r="N170" i="3"/>
  <c r="O170" i="3" s="1"/>
  <c r="H735" i="3"/>
  <c r="L735" i="3"/>
  <c r="H882" i="3"/>
  <c r="L882" i="3"/>
  <c r="S365" i="3"/>
  <c r="N365" i="3"/>
  <c r="O365" i="3" s="1"/>
  <c r="S436" i="3"/>
  <c r="N436" i="3"/>
  <c r="O436" i="3" s="1"/>
  <c r="S327" i="3"/>
  <c r="N327" i="3"/>
  <c r="O327" i="3" s="1"/>
  <c r="H750" i="3"/>
  <c r="L750" i="3"/>
  <c r="N762" i="3"/>
  <c r="O762" i="3" s="1"/>
  <c r="L744" i="3"/>
  <c r="N778" i="3"/>
  <c r="O778" i="3" s="1"/>
  <c r="S626" i="3"/>
  <c r="N626" i="3"/>
  <c r="O626" i="3" s="1"/>
  <c r="S277" i="3"/>
  <c r="N277" i="3"/>
  <c r="O277" i="3" s="1"/>
  <c r="B82" i="3"/>
  <c r="S244" i="3"/>
  <c r="N244" i="3"/>
  <c r="O244" i="3" s="1"/>
  <c r="S209" i="3"/>
  <c r="N209" i="3"/>
  <c r="O209" i="3" s="1"/>
  <c r="S534" i="3"/>
  <c r="N534" i="3"/>
  <c r="O534" i="3" s="1"/>
  <c r="S208" i="3"/>
  <c r="N208" i="3"/>
  <c r="O208" i="3" s="1"/>
  <c r="S567" i="3"/>
  <c r="N567" i="3"/>
  <c r="O567" i="3" s="1"/>
  <c r="H732" i="3"/>
  <c r="L732" i="3"/>
  <c r="S499" i="3"/>
  <c r="N499" i="3"/>
  <c r="O499" i="3" s="1"/>
  <c r="L718" i="3"/>
  <c r="L715" i="3"/>
  <c r="J719" i="3"/>
  <c r="S171" i="3"/>
  <c r="N171" i="3"/>
  <c r="O171" i="3" s="1"/>
  <c r="S394" i="3"/>
  <c r="N394" i="3"/>
  <c r="O394" i="3" s="1"/>
  <c r="S312" i="3"/>
  <c r="N312" i="3"/>
  <c r="O312" i="3" s="1"/>
  <c r="H746" i="3"/>
  <c r="L746" i="3"/>
  <c r="S269" i="3"/>
  <c r="N269" i="3"/>
  <c r="O269" i="3" s="1"/>
  <c r="L731" i="3"/>
  <c r="H874" i="3"/>
  <c r="L874" i="3"/>
  <c r="J667" i="3"/>
  <c r="S194" i="3"/>
  <c r="N194" i="3"/>
  <c r="O194" i="3" s="1"/>
  <c r="L833" i="3"/>
  <c r="H742" i="3"/>
  <c r="L742" i="3"/>
  <c r="S520" i="3"/>
  <c r="N520" i="3"/>
  <c r="O520" i="3" s="1"/>
  <c r="J751" i="3"/>
  <c r="S181" i="3"/>
  <c r="N181" i="3"/>
  <c r="O181" i="3" s="1"/>
  <c r="L792" i="3"/>
  <c r="L701" i="3"/>
  <c r="S287" i="3"/>
  <c r="N287" i="3"/>
  <c r="O287" i="3" s="1"/>
  <c r="B84" i="3"/>
  <c r="N878" i="3"/>
  <c r="O878" i="3" s="1"/>
  <c r="L894" i="3"/>
  <c r="J839" i="3"/>
  <c r="L784" i="3"/>
  <c r="S266" i="3"/>
  <c r="N266" i="3"/>
  <c r="O266" i="3" s="1"/>
  <c r="S787" i="3"/>
  <c r="N787" i="3"/>
  <c r="O787" i="3" s="1"/>
  <c r="H756" i="3"/>
  <c r="L756" i="3"/>
  <c r="S367" i="3"/>
  <c r="N367" i="3"/>
  <c r="O367" i="3" s="1"/>
  <c r="H692" i="3"/>
  <c r="L692" i="3"/>
  <c r="H752" i="3"/>
  <c r="L752" i="3"/>
  <c r="S182" i="3"/>
  <c r="N182" i="3"/>
  <c r="O182" i="3" s="1"/>
  <c r="S647" i="3"/>
  <c r="N647" i="3"/>
  <c r="O647" i="3" s="1"/>
  <c r="S568" i="3"/>
  <c r="N568" i="3"/>
  <c r="O568" i="3" s="1"/>
  <c r="S318" i="3"/>
  <c r="N318" i="3"/>
  <c r="O318" i="3" s="1"/>
  <c r="N852" i="3"/>
  <c r="O852" i="3" s="1"/>
  <c r="S460" i="3"/>
  <c r="N460" i="3"/>
  <c r="O460" i="3" s="1"/>
  <c r="J898" i="3"/>
  <c r="H707" i="3"/>
  <c r="L707" i="3"/>
  <c r="S201" i="3"/>
  <c r="N201" i="3"/>
  <c r="O201" i="3" s="1"/>
  <c r="J686" i="3"/>
  <c r="H813" i="3"/>
  <c r="L813" i="3"/>
  <c r="H679" i="3"/>
  <c r="L679" i="3"/>
  <c r="L872" i="3"/>
  <c r="S382" i="3"/>
  <c r="N382" i="3"/>
  <c r="O382" i="3" s="1"/>
  <c r="S662" i="3"/>
  <c r="N662" i="3"/>
  <c r="O662" i="3" s="1"/>
  <c r="H773" i="3"/>
  <c r="L773" i="3"/>
  <c r="H782" i="3"/>
  <c r="L782" i="3"/>
  <c r="H691" i="3"/>
  <c r="L691" i="3"/>
  <c r="S479" i="3"/>
  <c r="N479" i="3"/>
  <c r="O479" i="3" s="1"/>
  <c r="J701" i="3"/>
  <c r="S726" i="3"/>
  <c r="N726" i="3"/>
  <c r="O726" i="3" s="1"/>
  <c r="J824" i="3"/>
  <c r="J718" i="3"/>
  <c r="L678" i="3"/>
  <c r="J829" i="3"/>
  <c r="S317" i="3"/>
  <c r="N317" i="3"/>
  <c r="O317" i="3" s="1"/>
  <c r="L698" i="3"/>
  <c r="S450" i="3"/>
  <c r="N450" i="3"/>
  <c r="O450" i="3" s="1"/>
  <c r="S307" i="3"/>
  <c r="N307" i="3"/>
  <c r="O307" i="3" s="1"/>
  <c r="B79" i="3"/>
  <c r="J880" i="3"/>
  <c r="L667" i="3"/>
  <c r="J737" i="3"/>
  <c r="S789" i="3"/>
  <c r="N789" i="3"/>
  <c r="O789" i="3" s="1"/>
  <c r="H812" i="3"/>
  <c r="L812" i="3"/>
  <c r="S542" i="3"/>
  <c r="N542" i="3"/>
  <c r="O542" i="3" s="1"/>
  <c r="S223" i="3"/>
  <c r="N223" i="3"/>
  <c r="O223" i="3" s="1"/>
  <c r="L751" i="3"/>
  <c r="S169" i="3"/>
  <c r="N169" i="3"/>
  <c r="O169" i="3" s="1"/>
  <c r="S216" i="3"/>
  <c r="N216" i="3"/>
  <c r="O216" i="3" s="1"/>
  <c r="J682" i="3"/>
  <c r="N870" i="3"/>
  <c r="O870" i="3" s="1"/>
  <c r="S191" i="3"/>
  <c r="N191" i="3"/>
  <c r="O191" i="3" s="1"/>
  <c r="L668" i="3"/>
  <c r="J807" i="3"/>
  <c r="S605" i="3"/>
  <c r="N605" i="3"/>
  <c r="O605" i="3" s="1"/>
  <c r="S228" i="3"/>
  <c r="N228" i="3"/>
  <c r="O228" i="3" s="1"/>
  <c r="L830" i="3"/>
  <c r="L734" i="3"/>
  <c r="H693" i="3"/>
  <c r="L693" i="3"/>
  <c r="S596" i="3"/>
  <c r="N596" i="3"/>
  <c r="O596" i="3" s="1"/>
  <c r="S319" i="3"/>
  <c r="N319" i="3"/>
  <c r="O319" i="3" s="1"/>
  <c r="S650" i="3"/>
  <c r="N650" i="3"/>
  <c r="O650" i="3" s="1"/>
  <c r="S400" i="3"/>
  <c r="N400" i="3"/>
  <c r="O400" i="3" s="1"/>
  <c r="J891" i="3"/>
  <c r="L893" i="3"/>
  <c r="L797" i="3"/>
  <c r="B83" i="3"/>
  <c r="S853" i="3"/>
  <c r="N853" i="3"/>
  <c r="O853" i="3" s="1"/>
  <c r="S211" i="3"/>
  <c r="N211" i="3"/>
  <c r="O211" i="3" s="1"/>
  <c r="S539" i="3"/>
  <c r="N539" i="3"/>
  <c r="O539" i="3" s="1"/>
  <c r="S284" i="3"/>
  <c r="N284" i="3"/>
  <c r="O284" i="3" s="1"/>
  <c r="H694" i="3"/>
  <c r="L694" i="3"/>
  <c r="S555" i="3"/>
  <c r="N555" i="3"/>
  <c r="O555" i="3" s="1"/>
  <c r="S462" i="3"/>
  <c r="N462" i="3"/>
  <c r="O462" i="3" s="1"/>
  <c r="S276" i="3"/>
  <c r="N276" i="3"/>
  <c r="O276" i="3" s="1"/>
  <c r="S195" i="3"/>
  <c r="N195" i="3"/>
  <c r="O195" i="3" s="1"/>
  <c r="H826" i="3"/>
  <c r="L826" i="3"/>
  <c r="S219" i="3"/>
  <c r="N219" i="3"/>
  <c r="O219" i="3" s="1"/>
  <c r="H828" i="3"/>
  <c r="L828" i="3"/>
  <c r="S242" i="3"/>
  <c r="N242" i="3"/>
  <c r="O242" i="3" s="1"/>
  <c r="J678" i="3"/>
  <c r="S493" i="3"/>
  <c r="N493" i="3"/>
  <c r="O493" i="3" s="1"/>
  <c r="S274" i="3"/>
  <c r="N274" i="3"/>
  <c r="O274" i="3" s="1"/>
  <c r="J705" i="3"/>
  <c r="S526" i="3"/>
  <c r="N526" i="3"/>
  <c r="O526" i="3" s="1"/>
  <c r="S541" i="3"/>
  <c r="N541" i="3"/>
  <c r="O541" i="3" s="1"/>
  <c r="S352" i="3"/>
  <c r="N352" i="3"/>
  <c r="O352" i="3" s="1"/>
  <c r="S442" i="3"/>
  <c r="N442" i="3"/>
  <c r="O442" i="3" s="1"/>
  <c r="S495" i="3"/>
  <c r="N495" i="3"/>
  <c r="O495" i="3" s="1"/>
  <c r="L879" i="3"/>
  <c r="L875" i="3"/>
  <c r="S264" i="3"/>
  <c r="N264" i="3"/>
  <c r="O264" i="3" s="1"/>
  <c r="S233" i="3"/>
  <c r="N233" i="3"/>
  <c r="O233" i="3" s="1"/>
  <c r="S615" i="3"/>
  <c r="N615" i="3"/>
  <c r="O615" i="3" s="1"/>
  <c r="L807" i="3"/>
  <c r="L891" i="3"/>
  <c r="B86" i="3"/>
  <c r="S607" i="3"/>
  <c r="N607" i="3"/>
  <c r="O607" i="3" s="1"/>
  <c r="S187" i="3"/>
  <c r="N187" i="3"/>
  <c r="O187" i="3" s="1"/>
  <c r="S173" i="3"/>
  <c r="N173" i="3"/>
  <c r="O173" i="3" s="1"/>
  <c r="S563" i="3"/>
  <c r="N563" i="3"/>
  <c r="O563" i="3" s="1"/>
  <c r="J864" i="3"/>
  <c r="S869" i="3"/>
  <c r="N869" i="3"/>
  <c r="O869" i="3" s="1"/>
  <c r="S288" i="3"/>
  <c r="N288" i="3"/>
  <c r="O288" i="3" s="1"/>
  <c r="S292" i="3"/>
  <c r="N292" i="3"/>
  <c r="O292" i="3" s="1"/>
  <c r="S254" i="3"/>
  <c r="N254" i="3"/>
  <c r="O254" i="3" s="1"/>
  <c r="J876" i="3"/>
  <c r="H818" i="3"/>
  <c r="L818" i="3"/>
  <c r="L824" i="3"/>
  <c r="H795" i="3"/>
  <c r="L795" i="3"/>
  <c r="H796" i="3"/>
  <c r="L796" i="3"/>
  <c r="L791" i="3"/>
  <c r="S189" i="3"/>
  <c r="N189" i="3"/>
  <c r="O189" i="3" s="1"/>
  <c r="S754" i="3"/>
  <c r="N754" i="3"/>
  <c r="O754" i="3" s="1"/>
  <c r="S385" i="3"/>
  <c r="N385" i="3"/>
  <c r="O385" i="3" s="1"/>
  <c r="H673" i="3"/>
  <c r="L673" i="3"/>
  <c r="S613" i="3"/>
  <c r="N613" i="3"/>
  <c r="O613" i="3" s="1"/>
  <c r="S423" i="3"/>
  <c r="N423" i="3"/>
  <c r="O423" i="3" s="1"/>
  <c r="S301" i="3"/>
  <c r="N301" i="3"/>
  <c r="O301" i="3" s="1"/>
  <c r="J823" i="3"/>
  <c r="J854" i="3"/>
  <c r="J844" i="3"/>
  <c r="S299" i="3"/>
  <c r="N299" i="3"/>
  <c r="O299" i="3" s="1"/>
  <c r="L854" i="3"/>
  <c r="S775" i="3"/>
  <c r="N775" i="3"/>
  <c r="O775" i="3" s="1"/>
  <c r="S572" i="3"/>
  <c r="N572" i="3"/>
  <c r="O572" i="3" s="1"/>
  <c r="J836" i="3"/>
  <c r="J868" i="3"/>
  <c r="N798" i="3"/>
  <c r="O798" i="3" s="1"/>
  <c r="J830" i="3"/>
  <c r="L666" i="3"/>
  <c r="N713" i="3"/>
  <c r="O713" i="3" s="1"/>
  <c r="L842" i="3"/>
  <c r="N748" i="3"/>
  <c r="O748" i="3" s="1"/>
  <c r="S814" i="3"/>
  <c r="N814" i="3"/>
  <c r="O814" i="3" s="1"/>
  <c r="J879" i="3"/>
  <c r="S480" i="3"/>
  <c r="N480" i="3"/>
  <c r="O480" i="3" s="1"/>
  <c r="N723" i="3"/>
  <c r="O723" i="3" s="1"/>
  <c r="S362" i="3"/>
  <c r="N362" i="3"/>
  <c r="O362" i="3" s="1"/>
  <c r="S444" i="3"/>
  <c r="N444" i="3"/>
  <c r="O444" i="3" s="1"/>
  <c r="N761" i="3"/>
  <c r="O761" i="3" s="1"/>
  <c r="J893" i="3"/>
  <c r="L670" i="3"/>
  <c r="S355" i="3"/>
  <c r="N355" i="3"/>
  <c r="O355" i="3" s="1"/>
  <c r="S310" i="3"/>
  <c r="N310" i="3"/>
  <c r="O310" i="3" s="1"/>
  <c r="S212" i="3"/>
  <c r="N212" i="3"/>
  <c r="O212" i="3" s="1"/>
  <c r="S337" i="3"/>
  <c r="N337" i="3"/>
  <c r="O337" i="3" s="1"/>
  <c r="S473" i="3"/>
  <c r="N473" i="3"/>
  <c r="O473" i="3" s="1"/>
  <c r="S200" i="3"/>
  <c r="N200" i="3"/>
  <c r="O200" i="3" s="1"/>
  <c r="S249" i="3"/>
  <c r="N249" i="3"/>
  <c r="O249" i="3" s="1"/>
  <c r="H862" i="3"/>
  <c r="L862" i="3"/>
  <c r="S623" i="3"/>
  <c r="N623" i="3"/>
  <c r="O623" i="3" s="1"/>
  <c r="S368" i="3"/>
  <c r="N368" i="3"/>
  <c r="O368" i="3" s="1"/>
  <c r="S197" i="3"/>
  <c r="N197" i="3"/>
  <c r="O197" i="3" s="1"/>
  <c r="S364" i="3"/>
  <c r="N364" i="3"/>
  <c r="O364" i="3" s="1"/>
  <c r="H827" i="3"/>
  <c r="L827" i="3"/>
  <c r="H703" i="3"/>
  <c r="L703" i="3"/>
  <c r="S415" i="3"/>
  <c r="N415" i="3"/>
  <c r="O415" i="3" s="1"/>
  <c r="H671" i="3"/>
  <c r="L671" i="3"/>
  <c r="S840" i="3"/>
  <c r="N840" i="3"/>
  <c r="O840" i="3" s="1"/>
  <c r="L851" i="3"/>
  <c r="S550" i="3"/>
  <c r="N550" i="3"/>
  <c r="O550" i="3" s="1"/>
  <c r="J851" i="3"/>
  <c r="J700" i="3"/>
  <c r="H727" i="3"/>
  <c r="L727" i="3"/>
  <c r="J791" i="3"/>
  <c r="S412" i="3"/>
  <c r="N412" i="3"/>
  <c r="O412" i="3" s="1"/>
  <c r="L844" i="3"/>
  <c r="S640" i="3"/>
  <c r="N640" i="3"/>
  <c r="O640" i="3" s="1"/>
  <c r="S230" i="3"/>
  <c r="N230" i="3"/>
  <c r="O230" i="3" s="1"/>
  <c r="L880" i="3"/>
  <c r="L821" i="3"/>
  <c r="S646" i="3"/>
  <c r="N646" i="3"/>
  <c r="O646" i="3" s="1"/>
  <c r="J784" i="3"/>
  <c r="L669" i="3"/>
  <c r="L823" i="3"/>
  <c r="L809" i="3"/>
  <c r="S610" i="3"/>
  <c r="N610" i="3"/>
  <c r="O610" i="3" s="1"/>
  <c r="L859" i="3"/>
  <c r="L801" i="3"/>
  <c r="S497" i="3"/>
  <c r="N497" i="3"/>
  <c r="O497" i="3" s="1"/>
  <c r="J769" i="3"/>
  <c r="L714" i="3"/>
  <c r="J709" i="3"/>
  <c r="S733" i="3" l="1"/>
  <c r="S763" i="3"/>
  <c r="S804" i="3"/>
  <c r="S702" i="3"/>
  <c r="S708" i="3"/>
  <c r="S867" i="3"/>
  <c r="N708" i="3"/>
  <c r="O708" i="3" s="1"/>
  <c r="S838" i="3"/>
  <c r="S876" i="3"/>
  <c r="S887" i="3"/>
  <c r="S689" i="3"/>
  <c r="S806" i="3"/>
  <c r="S737" i="3"/>
  <c r="S695" i="3"/>
  <c r="S716" i="3"/>
  <c r="S770" i="3"/>
  <c r="N867" i="3"/>
  <c r="O867" i="3" s="1"/>
  <c r="S700" i="3"/>
  <c r="S777" i="3"/>
  <c r="S711" i="3"/>
  <c r="S743" i="3"/>
  <c r="S706" i="3"/>
  <c r="S781" i="3"/>
  <c r="S709" i="3"/>
  <c r="N770" i="3"/>
  <c r="O770" i="3" s="1"/>
  <c r="N781" i="3"/>
  <c r="O781" i="3" s="1"/>
  <c r="N695" i="3"/>
  <c r="O695" i="3" s="1"/>
  <c r="S676" i="3"/>
  <c r="S825" i="3"/>
  <c r="S685" i="3"/>
  <c r="S705" i="3"/>
  <c r="S855" i="3"/>
  <c r="S688" i="3"/>
  <c r="S900" i="3"/>
  <c r="S721" i="3"/>
  <c r="S767" i="3"/>
  <c r="S835" i="3"/>
  <c r="J680" i="3"/>
  <c r="S680" i="3" s="1"/>
  <c r="N716" i="3"/>
  <c r="O716" i="3" s="1"/>
  <c r="S868" i="3"/>
  <c r="S686" i="3"/>
  <c r="S831" i="3"/>
  <c r="S886" i="3"/>
  <c r="S717" i="3"/>
  <c r="S810" i="3"/>
  <c r="S675" i="3"/>
  <c r="N688" i="3"/>
  <c r="O688" i="3" s="1"/>
  <c r="S764" i="3"/>
  <c r="S793" i="3"/>
  <c r="S725" i="3"/>
  <c r="N685" i="3"/>
  <c r="O685" i="3" s="1"/>
  <c r="N676" i="3"/>
  <c r="O676" i="3" s="1"/>
  <c r="S877" i="3"/>
  <c r="S730" i="3"/>
  <c r="N831" i="3"/>
  <c r="O831" i="3" s="1"/>
  <c r="S839" i="3"/>
  <c r="S837" i="3"/>
  <c r="S712" i="3"/>
  <c r="S674" i="3"/>
  <c r="S836" i="3"/>
  <c r="N877" i="3"/>
  <c r="O877" i="3" s="1"/>
  <c r="S888" i="3"/>
  <c r="N730" i="3"/>
  <c r="O730" i="3" s="1"/>
  <c r="S898" i="3"/>
  <c r="S871" i="3"/>
  <c r="S663" i="3"/>
  <c r="N764" i="3"/>
  <c r="O764" i="3" s="1"/>
  <c r="N810" i="3"/>
  <c r="O810" i="3" s="1"/>
  <c r="S890" i="3"/>
  <c r="S771" i="3"/>
  <c r="S865" i="3"/>
  <c r="S815" i="3"/>
  <c r="S841" i="3"/>
  <c r="S747" i="3"/>
  <c r="N890" i="3"/>
  <c r="O890" i="3" s="1"/>
  <c r="N886" i="3"/>
  <c r="O886" i="3" s="1"/>
  <c r="S863" i="3"/>
  <c r="S758" i="3"/>
  <c r="S819" i="3"/>
  <c r="S769" i="3"/>
  <c r="S684" i="3"/>
  <c r="S683" i="3"/>
  <c r="S847" i="3"/>
  <c r="N767" i="3"/>
  <c r="O767" i="3" s="1"/>
  <c r="N841" i="3"/>
  <c r="O841" i="3" s="1"/>
  <c r="S808" i="3"/>
  <c r="S710" i="3"/>
  <c r="S741" i="3"/>
  <c r="S783" i="3"/>
  <c r="S749" i="3"/>
  <c r="S843" i="3"/>
  <c r="S682" i="3"/>
  <c r="S699" i="3"/>
  <c r="S829" i="3"/>
  <c r="S811" i="3"/>
  <c r="N758" i="3"/>
  <c r="O758" i="3" s="1"/>
  <c r="N749" i="3"/>
  <c r="O749" i="3" s="1"/>
  <c r="N808" i="3"/>
  <c r="O808" i="3" s="1"/>
  <c r="S664" i="3"/>
  <c r="C87" i="3"/>
  <c r="D87" i="3" s="1"/>
  <c r="K897" i="3"/>
  <c r="J897" i="3"/>
  <c r="G84" i="3"/>
  <c r="H84" i="3" s="1"/>
  <c r="G80" i="3"/>
  <c r="H80" i="3" s="1"/>
  <c r="G83" i="3"/>
  <c r="H83" i="3" s="1"/>
  <c r="N664" i="3"/>
  <c r="O664" i="3" s="1"/>
  <c r="C81" i="3"/>
  <c r="D81" i="3" s="1"/>
  <c r="G81" i="3"/>
  <c r="H81" i="3" s="1"/>
  <c r="C84" i="3"/>
  <c r="D84" i="3" s="1"/>
  <c r="G82" i="3"/>
  <c r="H82" i="3" s="1"/>
  <c r="S817" i="3"/>
  <c r="N817" i="3"/>
  <c r="O817" i="3" s="1"/>
  <c r="S768" i="3"/>
  <c r="N837" i="3"/>
  <c r="O837" i="3" s="1"/>
  <c r="K745" i="3"/>
  <c r="J745" i="3"/>
  <c r="S889" i="3"/>
  <c r="N783" i="3"/>
  <c r="O783" i="3" s="1"/>
  <c r="G88" i="3"/>
  <c r="H88" i="3" s="1"/>
  <c r="N815" i="3"/>
  <c r="O815" i="3" s="1"/>
  <c r="S690" i="3"/>
  <c r="C86" i="3"/>
  <c r="D86" i="3" s="1"/>
  <c r="N710" i="3"/>
  <c r="O710" i="3" s="1"/>
  <c r="C83" i="3"/>
  <c r="D83" i="3" s="1"/>
  <c r="N849" i="3"/>
  <c r="O849" i="3" s="1"/>
  <c r="K849" i="3"/>
  <c r="J849" i="3"/>
  <c r="S832" i="3"/>
  <c r="N832" i="3"/>
  <c r="O832" i="3" s="1"/>
  <c r="S670" i="3"/>
  <c r="N670" i="3"/>
  <c r="O670" i="3" s="1"/>
  <c r="S809" i="3"/>
  <c r="N809" i="3"/>
  <c r="O809" i="3" s="1"/>
  <c r="K862" i="3"/>
  <c r="J862" i="3"/>
  <c r="S801" i="3"/>
  <c r="N801" i="3"/>
  <c r="O801" i="3" s="1"/>
  <c r="K673" i="3"/>
  <c r="J673" i="3"/>
  <c r="K782" i="3"/>
  <c r="J782" i="3"/>
  <c r="K679" i="3"/>
  <c r="J679" i="3"/>
  <c r="N677" i="3"/>
  <c r="O677" i="3" s="1"/>
  <c r="N845" i="3"/>
  <c r="O845" i="3" s="1"/>
  <c r="S722" i="3"/>
  <c r="N722" i="3"/>
  <c r="O722" i="3" s="1"/>
  <c r="N860" i="3"/>
  <c r="O860" i="3" s="1"/>
  <c r="S786" i="3"/>
  <c r="N786" i="3"/>
  <c r="O786" i="3" s="1"/>
  <c r="N799" i="3"/>
  <c r="O799" i="3" s="1"/>
  <c r="N856" i="3"/>
  <c r="O856" i="3" s="1"/>
  <c r="S751" i="3"/>
  <c r="N751" i="3"/>
  <c r="O751" i="3" s="1"/>
  <c r="S774" i="3"/>
  <c r="N774" i="3"/>
  <c r="O774" i="3" s="1"/>
  <c r="K818" i="3"/>
  <c r="J818" i="3"/>
  <c r="S859" i="3"/>
  <c r="N859" i="3"/>
  <c r="O859" i="3" s="1"/>
  <c r="S667" i="3"/>
  <c r="N667" i="3"/>
  <c r="O667" i="3" s="1"/>
  <c r="N813" i="3"/>
  <c r="O813" i="3" s="1"/>
  <c r="N756" i="3"/>
  <c r="O756" i="3" s="1"/>
  <c r="S894" i="3"/>
  <c r="N894" i="3"/>
  <c r="O894" i="3" s="1"/>
  <c r="N874" i="3"/>
  <c r="O874" i="3" s="1"/>
  <c r="S715" i="3"/>
  <c r="N715" i="3"/>
  <c r="O715" i="3" s="1"/>
  <c r="S822" i="3"/>
  <c r="N822" i="3"/>
  <c r="O822" i="3" s="1"/>
  <c r="K677" i="3"/>
  <c r="J677" i="3"/>
  <c r="N755" i="3"/>
  <c r="O755" i="3" s="1"/>
  <c r="K845" i="3"/>
  <c r="J845" i="3"/>
  <c r="K860" i="3"/>
  <c r="J860" i="3"/>
  <c r="S803" i="3"/>
  <c r="N803" i="3"/>
  <c r="O803" i="3" s="1"/>
  <c r="N850" i="3"/>
  <c r="O850" i="3" s="1"/>
  <c r="N794" i="3"/>
  <c r="O794" i="3" s="1"/>
  <c r="S681" i="3"/>
  <c r="N681" i="3"/>
  <c r="O681" i="3" s="1"/>
  <c r="S864" i="3"/>
  <c r="N864" i="3"/>
  <c r="O864" i="3" s="1"/>
  <c r="S844" i="3"/>
  <c r="N844" i="3"/>
  <c r="O844" i="3" s="1"/>
  <c r="N828" i="3"/>
  <c r="O828" i="3" s="1"/>
  <c r="K813" i="3"/>
  <c r="J813" i="3"/>
  <c r="K756" i="3"/>
  <c r="J756" i="3"/>
  <c r="K874" i="3"/>
  <c r="J874" i="3"/>
  <c r="S718" i="3"/>
  <c r="N718" i="3"/>
  <c r="O718" i="3" s="1"/>
  <c r="K755" i="3"/>
  <c r="J755" i="3"/>
  <c r="K850" i="3"/>
  <c r="J850" i="3"/>
  <c r="K794" i="3"/>
  <c r="J794" i="3"/>
  <c r="N788" i="3"/>
  <c r="O788" i="3" s="1"/>
  <c r="S669" i="3"/>
  <c r="N669" i="3"/>
  <c r="O669" i="3" s="1"/>
  <c r="S851" i="3"/>
  <c r="N851" i="3"/>
  <c r="O851" i="3" s="1"/>
  <c r="N827" i="3"/>
  <c r="O827" i="3" s="1"/>
  <c r="N826" i="3"/>
  <c r="O826" i="3" s="1"/>
  <c r="N746" i="3"/>
  <c r="O746" i="3" s="1"/>
  <c r="K873" i="3"/>
  <c r="J873" i="3"/>
  <c r="C79" i="3"/>
  <c r="C15" i="3"/>
  <c r="C24" i="3" s="1"/>
  <c r="N687" i="3"/>
  <c r="O687" i="3" s="1"/>
  <c r="K788" i="3"/>
  <c r="J788" i="3"/>
  <c r="S719" i="3"/>
  <c r="N719" i="3"/>
  <c r="O719" i="3" s="1"/>
  <c r="S661" i="3"/>
  <c r="N661" i="3"/>
  <c r="K896" i="3"/>
  <c r="J896" i="3"/>
  <c r="K827" i="3"/>
  <c r="J827" i="3"/>
  <c r="N862" i="3"/>
  <c r="O862" i="3" s="1"/>
  <c r="N818" i="3"/>
  <c r="O818" i="3" s="1"/>
  <c r="S879" i="3"/>
  <c r="N879" i="3"/>
  <c r="O879" i="3" s="1"/>
  <c r="K826" i="3"/>
  <c r="J826" i="3"/>
  <c r="N694" i="3"/>
  <c r="O694" i="3" s="1"/>
  <c r="S668" i="3"/>
  <c r="N668" i="3"/>
  <c r="O668" i="3" s="1"/>
  <c r="N742" i="3"/>
  <c r="O742" i="3" s="1"/>
  <c r="K746" i="3"/>
  <c r="J746" i="3"/>
  <c r="N732" i="3"/>
  <c r="O732" i="3" s="1"/>
  <c r="N882" i="3"/>
  <c r="O882" i="3" s="1"/>
  <c r="N720" i="3"/>
  <c r="O720" i="3" s="1"/>
  <c r="C14" i="3"/>
  <c r="K687" i="3"/>
  <c r="J687" i="3"/>
  <c r="N846" i="3"/>
  <c r="O846" i="3" s="1"/>
  <c r="N848" i="3"/>
  <c r="O848" i="3" s="1"/>
  <c r="N795" i="3"/>
  <c r="O795" i="3" s="1"/>
  <c r="K828" i="3"/>
  <c r="J828" i="3"/>
  <c r="C80" i="3"/>
  <c r="D80" i="3" s="1"/>
  <c r="N773" i="3"/>
  <c r="O773" i="3" s="1"/>
  <c r="K856" i="3"/>
  <c r="J856" i="3"/>
  <c r="S891" i="3"/>
  <c r="N891" i="3"/>
  <c r="O891" i="3" s="1"/>
  <c r="S797" i="3"/>
  <c r="N797" i="3"/>
  <c r="O797" i="3" s="1"/>
  <c r="S728" i="3"/>
  <c r="N728" i="3"/>
  <c r="O728" i="3" s="1"/>
  <c r="S893" i="3"/>
  <c r="N893" i="3"/>
  <c r="O893" i="3" s="1"/>
  <c r="N812" i="3"/>
  <c r="O812" i="3" s="1"/>
  <c r="S698" i="3"/>
  <c r="N698" i="3"/>
  <c r="O698" i="3" s="1"/>
  <c r="N691" i="3"/>
  <c r="O691" i="3" s="1"/>
  <c r="N752" i="3"/>
  <c r="O752" i="3" s="1"/>
  <c r="S833" i="3"/>
  <c r="N833" i="3"/>
  <c r="O833" i="3" s="1"/>
  <c r="N735" i="3"/>
  <c r="O735" i="3" s="1"/>
  <c r="D14" i="3"/>
  <c r="O411" i="3"/>
  <c r="N895" i="3"/>
  <c r="O895" i="3" s="1"/>
  <c r="S800" i="3"/>
  <c r="N800" i="3"/>
  <c r="O800" i="3" s="1"/>
  <c r="N738" i="3"/>
  <c r="O738" i="3" s="1"/>
  <c r="K779" i="3"/>
  <c r="J779" i="3"/>
  <c r="K834" i="3"/>
  <c r="J834" i="3"/>
  <c r="K753" i="3"/>
  <c r="J753" i="3"/>
  <c r="N805" i="3"/>
  <c r="O805" i="3" s="1"/>
  <c r="N820" i="3"/>
  <c r="O820" i="3" s="1"/>
  <c r="K799" i="3"/>
  <c r="J799" i="3"/>
  <c r="K720" i="3"/>
  <c r="J720" i="3"/>
  <c r="N779" i="3"/>
  <c r="O779" i="3" s="1"/>
  <c r="S807" i="3"/>
  <c r="N807" i="3"/>
  <c r="O807" i="3" s="1"/>
  <c r="S821" i="3"/>
  <c r="N821" i="3"/>
  <c r="O821" i="3" s="1"/>
  <c r="N671" i="3"/>
  <c r="O671" i="3" s="1"/>
  <c r="N796" i="3"/>
  <c r="O796" i="3" s="1"/>
  <c r="G86" i="3"/>
  <c r="H86" i="3" s="1"/>
  <c r="N693" i="3"/>
  <c r="O693" i="3" s="1"/>
  <c r="K812" i="3"/>
  <c r="J812" i="3"/>
  <c r="K691" i="3"/>
  <c r="J691" i="3"/>
  <c r="N707" i="3"/>
  <c r="O707" i="3" s="1"/>
  <c r="K752" i="3"/>
  <c r="J752" i="3"/>
  <c r="S784" i="3"/>
  <c r="N784" i="3"/>
  <c r="O784" i="3" s="1"/>
  <c r="K735" i="3"/>
  <c r="J735" i="3"/>
  <c r="K895" i="3"/>
  <c r="J895" i="3"/>
  <c r="K738" i="3"/>
  <c r="J738" i="3"/>
  <c r="G85" i="3"/>
  <c r="H85" i="3" s="1"/>
  <c r="N780" i="3"/>
  <c r="O780" i="3" s="1"/>
  <c r="S785" i="3"/>
  <c r="N785" i="3"/>
  <c r="O785" i="3" s="1"/>
  <c r="K805" i="3"/>
  <c r="J805" i="3"/>
  <c r="C88" i="3"/>
  <c r="D88" i="3" s="1"/>
  <c r="S791" i="3"/>
  <c r="N791" i="3"/>
  <c r="O791" i="3" s="1"/>
  <c r="K694" i="3"/>
  <c r="J694" i="3"/>
  <c r="C82" i="3"/>
  <c r="D82" i="3" s="1"/>
  <c r="N834" i="3"/>
  <c r="O834" i="3" s="1"/>
  <c r="K848" i="3"/>
  <c r="J848" i="3"/>
  <c r="S854" i="3"/>
  <c r="N854" i="3"/>
  <c r="O854" i="3" s="1"/>
  <c r="K693" i="3"/>
  <c r="J693" i="3"/>
  <c r="S872" i="3"/>
  <c r="N872" i="3"/>
  <c r="O872" i="3" s="1"/>
  <c r="K707" i="3"/>
  <c r="J707" i="3"/>
  <c r="N692" i="3"/>
  <c r="O692" i="3" s="1"/>
  <c r="N750" i="3"/>
  <c r="O750" i="3" s="1"/>
  <c r="S672" i="3"/>
  <c r="N672" i="3"/>
  <c r="O672" i="3" s="1"/>
  <c r="N866" i="3"/>
  <c r="O866" i="3" s="1"/>
  <c r="S665" i="3"/>
  <c r="N665" i="3"/>
  <c r="O665" i="3" s="1"/>
  <c r="K780" i="3"/>
  <c r="J780" i="3"/>
  <c r="S765" i="3"/>
  <c r="N765" i="3"/>
  <c r="O765" i="3" s="1"/>
  <c r="E13" i="3"/>
  <c r="D13" i="3"/>
  <c r="C13" i="3"/>
  <c r="S744" i="3"/>
  <c r="N744" i="3"/>
  <c r="O744" i="3" s="1"/>
  <c r="N896" i="3"/>
  <c r="O896" i="3" s="1"/>
  <c r="K820" i="3"/>
  <c r="J820" i="3"/>
  <c r="S823" i="3"/>
  <c r="N823" i="3"/>
  <c r="O823" i="3" s="1"/>
  <c r="S824" i="3"/>
  <c r="N824" i="3"/>
  <c r="O824" i="3" s="1"/>
  <c r="S842" i="3"/>
  <c r="N842" i="3"/>
  <c r="O842" i="3" s="1"/>
  <c r="K732" i="3"/>
  <c r="J732" i="3"/>
  <c r="S880" i="3"/>
  <c r="N880" i="3"/>
  <c r="O880" i="3" s="1"/>
  <c r="K671" i="3"/>
  <c r="J671" i="3"/>
  <c r="S666" i="3"/>
  <c r="N666" i="3"/>
  <c r="O666" i="3" s="1"/>
  <c r="K796" i="3"/>
  <c r="J796" i="3"/>
  <c r="K727" i="3"/>
  <c r="J727" i="3"/>
  <c r="C85" i="3"/>
  <c r="D85" i="3" s="1"/>
  <c r="S734" i="3"/>
  <c r="N734" i="3"/>
  <c r="O734" i="3" s="1"/>
  <c r="K692" i="3"/>
  <c r="J692" i="3"/>
  <c r="S701" i="3"/>
  <c r="N701" i="3"/>
  <c r="O701" i="3" s="1"/>
  <c r="K750" i="3"/>
  <c r="J750" i="3"/>
  <c r="S772" i="3"/>
  <c r="N772" i="3"/>
  <c r="O772" i="3" s="1"/>
  <c r="K866" i="3"/>
  <c r="J866" i="3"/>
  <c r="G87" i="3"/>
  <c r="H87" i="3" s="1"/>
  <c r="S757" i="3"/>
  <c r="N757" i="3"/>
  <c r="O757" i="3" s="1"/>
  <c r="S731" i="3"/>
  <c r="N731" i="3"/>
  <c r="O731" i="3" s="1"/>
  <c r="N703" i="3"/>
  <c r="O703" i="3" s="1"/>
  <c r="K795" i="3"/>
  <c r="J795" i="3"/>
  <c r="K703" i="3"/>
  <c r="J703" i="3"/>
  <c r="S875" i="3"/>
  <c r="N875" i="3"/>
  <c r="O875" i="3" s="1"/>
  <c r="K773" i="3"/>
  <c r="J773" i="3"/>
  <c r="N873" i="3"/>
  <c r="O873" i="3" s="1"/>
  <c r="K742" i="3"/>
  <c r="J742" i="3"/>
  <c r="K882" i="3"/>
  <c r="J882" i="3"/>
  <c r="K846" i="3"/>
  <c r="J846" i="3"/>
  <c r="N753" i="3"/>
  <c r="O753" i="3" s="1"/>
  <c r="S714" i="3"/>
  <c r="N714" i="3"/>
  <c r="O714" i="3" s="1"/>
  <c r="N727" i="3"/>
  <c r="O727" i="3" s="1"/>
  <c r="N673" i="3"/>
  <c r="O673" i="3" s="1"/>
  <c r="S830" i="3"/>
  <c r="N830" i="3"/>
  <c r="O830" i="3" s="1"/>
  <c r="S678" i="3"/>
  <c r="N678" i="3"/>
  <c r="O678" i="3" s="1"/>
  <c r="N782" i="3"/>
  <c r="O782" i="3" s="1"/>
  <c r="N679" i="3"/>
  <c r="O679" i="3" s="1"/>
  <c r="S792" i="3"/>
  <c r="N792" i="3"/>
  <c r="O792" i="3" s="1"/>
  <c r="S858" i="3"/>
  <c r="N858" i="3"/>
  <c r="O858" i="3" s="1"/>
  <c r="S882" i="3" l="1"/>
  <c r="S828" i="3"/>
  <c r="S794" i="3"/>
  <c r="S679" i="3"/>
  <c r="S671" i="3"/>
  <c r="S812" i="3"/>
  <c r="S692" i="3"/>
  <c r="S707" i="3"/>
  <c r="S805" i="3"/>
  <c r="S752" i="3"/>
  <c r="S691" i="3"/>
  <c r="S687" i="3"/>
  <c r="S895" i="3"/>
  <c r="S856" i="3"/>
  <c r="S846" i="3"/>
  <c r="S834" i="3"/>
  <c r="S860" i="3"/>
  <c r="S693" i="3"/>
  <c r="S788" i="3"/>
  <c r="S796" i="3"/>
  <c r="S827" i="3"/>
  <c r="S873" i="3"/>
  <c r="S753" i="3"/>
  <c r="S727" i="3"/>
  <c r="S818" i="3"/>
  <c r="S745" i="3"/>
  <c r="S897" i="3"/>
  <c r="S795" i="3"/>
  <c r="S850" i="3"/>
  <c r="S677" i="3"/>
  <c r="S732" i="3"/>
  <c r="S779" i="3"/>
  <c r="S746" i="3"/>
  <c r="S896" i="3"/>
  <c r="S782" i="3"/>
  <c r="S849" i="3"/>
  <c r="S780" i="3"/>
  <c r="S874" i="3"/>
  <c r="S673" i="3"/>
  <c r="S773" i="3"/>
  <c r="S866" i="3"/>
  <c r="K81" i="3"/>
  <c r="L81" i="3" s="1"/>
  <c r="K88" i="3"/>
  <c r="L88" i="3" s="1"/>
  <c r="S820" i="3"/>
  <c r="S738" i="3"/>
  <c r="S845" i="3"/>
  <c r="S862" i="3"/>
  <c r="S813" i="3"/>
  <c r="K83" i="3"/>
  <c r="L83" i="3" s="1"/>
  <c r="K82" i="3"/>
  <c r="L82" i="3" s="1"/>
  <c r="S703" i="3"/>
  <c r="S750" i="3"/>
  <c r="S720" i="3"/>
  <c r="K84" i="3"/>
  <c r="L84" i="3" s="1"/>
  <c r="S848" i="3"/>
  <c r="S799" i="3"/>
  <c r="S755" i="3"/>
  <c r="S694" i="3"/>
  <c r="S826" i="3"/>
  <c r="S742" i="3"/>
  <c r="S735" i="3"/>
  <c r="S756" i="3"/>
  <c r="G79" i="3"/>
  <c r="D15" i="3"/>
  <c r="D24" i="3" s="1"/>
  <c r="D79" i="3"/>
  <c r="E79" i="3"/>
  <c r="C16" i="3"/>
  <c r="K86" i="3"/>
  <c r="L86" i="3" s="1"/>
  <c r="K80" i="3"/>
  <c r="L80" i="3" s="1"/>
  <c r="K85" i="3"/>
  <c r="L85" i="3" s="1"/>
  <c r="K87" i="3"/>
  <c r="L87" i="3" s="1"/>
  <c r="E14" i="3"/>
  <c r="O661" i="3"/>
  <c r="E31" i="3"/>
  <c r="K79" i="3" l="1"/>
  <c r="E15" i="3"/>
  <c r="E24" i="3" s="1"/>
  <c r="E80" i="3"/>
  <c r="P79" i="3"/>
  <c r="F79" i="3"/>
  <c r="C17" i="3"/>
  <c r="C25" i="3" s="1"/>
  <c r="H79" i="3"/>
  <c r="D16" i="3"/>
  <c r="I79" i="3"/>
  <c r="R79" i="3" l="1"/>
  <c r="I80" i="3"/>
  <c r="J79" i="3"/>
  <c r="D17" i="3"/>
  <c r="D25" i="3" s="1"/>
  <c r="F80" i="3"/>
  <c r="Q79" i="3"/>
  <c r="E81" i="3"/>
  <c r="P80" i="3"/>
  <c r="L79" i="3"/>
  <c r="M79" i="3"/>
  <c r="E16" i="3"/>
  <c r="F81" i="3" l="1"/>
  <c r="Q80" i="3"/>
  <c r="T79" i="3"/>
  <c r="M80" i="3"/>
  <c r="E17" i="3"/>
  <c r="E25" i="3" s="1"/>
  <c r="N79" i="3"/>
  <c r="P81" i="3"/>
  <c r="E82" i="3"/>
  <c r="S79" i="3"/>
  <c r="J80" i="3"/>
  <c r="R80" i="3"/>
  <c r="I81" i="3"/>
  <c r="P82" i="3" l="1"/>
  <c r="E83" i="3"/>
  <c r="T80" i="3"/>
  <c r="M81" i="3"/>
  <c r="U79" i="3"/>
  <c r="N80" i="3"/>
  <c r="F82" i="3"/>
  <c r="Q81" i="3"/>
  <c r="R81" i="3"/>
  <c r="I82" i="3"/>
  <c r="S80" i="3"/>
  <c r="J81" i="3"/>
  <c r="U80" i="3" l="1"/>
  <c r="N81" i="3"/>
  <c r="T81" i="3"/>
  <c r="M82" i="3"/>
  <c r="P83" i="3"/>
  <c r="E84" i="3"/>
  <c r="J82" i="3"/>
  <c r="S81" i="3"/>
  <c r="R82" i="3"/>
  <c r="I83" i="3"/>
  <c r="F83" i="3"/>
  <c r="Q82" i="3"/>
  <c r="R83" i="3" l="1"/>
  <c r="I84" i="3"/>
  <c r="T82" i="3"/>
  <c r="M83" i="3"/>
  <c r="U81" i="3"/>
  <c r="N82" i="3"/>
  <c r="J83" i="3"/>
  <c r="S82" i="3"/>
  <c r="E85" i="3"/>
  <c r="P84" i="3"/>
  <c r="F84" i="3"/>
  <c r="Q83" i="3"/>
  <c r="F85" i="3" l="1"/>
  <c r="Q84" i="3"/>
  <c r="P85" i="3"/>
  <c r="E86" i="3"/>
  <c r="J84" i="3"/>
  <c r="S83" i="3"/>
  <c r="U82" i="3"/>
  <c r="N83" i="3"/>
  <c r="I85" i="3"/>
  <c r="R84" i="3"/>
  <c r="T83" i="3"/>
  <c r="M84" i="3"/>
  <c r="T84" i="3" l="1"/>
  <c r="M85" i="3"/>
  <c r="I86" i="3"/>
  <c r="R85" i="3"/>
  <c r="U83" i="3"/>
  <c r="N84" i="3"/>
  <c r="J85" i="3"/>
  <c r="S84" i="3"/>
  <c r="P86" i="3"/>
  <c r="E87" i="3"/>
  <c r="F86" i="3"/>
  <c r="Q85" i="3"/>
  <c r="J86" i="3" l="1"/>
  <c r="S85" i="3"/>
  <c r="U84" i="3"/>
  <c r="N85" i="3"/>
  <c r="I87" i="3"/>
  <c r="R86" i="3"/>
  <c r="E88" i="3"/>
  <c r="P87" i="3"/>
  <c r="T85" i="3"/>
  <c r="M86" i="3"/>
  <c r="F87" i="3"/>
  <c r="Q86" i="3"/>
  <c r="T86" i="3" l="1"/>
  <c r="M87" i="3"/>
  <c r="F88" i="3"/>
  <c r="Q87" i="3"/>
  <c r="P88" i="3"/>
  <c r="E89" i="3"/>
  <c r="I88" i="3"/>
  <c r="R87" i="3"/>
  <c r="U85" i="3"/>
  <c r="N86" i="3"/>
  <c r="J87" i="3"/>
  <c r="S86" i="3"/>
  <c r="U86" i="3" l="1"/>
  <c r="N87" i="3"/>
  <c r="P89" i="3"/>
  <c r="E90" i="3"/>
  <c r="S87" i="3"/>
  <c r="J88" i="3"/>
  <c r="Q88" i="3"/>
  <c r="F89" i="3"/>
  <c r="T87" i="3"/>
  <c r="M88" i="3"/>
  <c r="R88" i="3"/>
  <c r="I89" i="3"/>
  <c r="T88" i="3" l="1"/>
  <c r="M89" i="3"/>
  <c r="Q89" i="3"/>
  <c r="F90" i="3"/>
  <c r="S88" i="3"/>
  <c r="J89" i="3"/>
  <c r="U87" i="3"/>
  <c r="N88" i="3"/>
  <c r="I90" i="3"/>
  <c r="R89" i="3"/>
  <c r="E91" i="3"/>
  <c r="P90" i="3"/>
  <c r="R90" i="3" l="1"/>
  <c r="I91" i="3"/>
  <c r="P91" i="3"/>
  <c r="E92" i="3"/>
  <c r="U88" i="3"/>
  <c r="N89" i="3"/>
  <c r="F91" i="3"/>
  <c r="Q90" i="3"/>
  <c r="T89" i="3"/>
  <c r="M90" i="3"/>
  <c r="J90" i="3"/>
  <c r="S89" i="3"/>
  <c r="N90" i="3" l="1"/>
  <c r="U89" i="3"/>
  <c r="S90" i="3"/>
  <c r="J91" i="3"/>
  <c r="T90" i="3"/>
  <c r="M91" i="3"/>
  <c r="Q91" i="3"/>
  <c r="F92" i="3"/>
  <c r="P92" i="3"/>
  <c r="E93" i="3"/>
  <c r="R91" i="3"/>
  <c r="I92" i="3"/>
  <c r="E94" i="3" l="1"/>
  <c r="P93" i="3"/>
  <c r="T91" i="3"/>
  <c r="M92" i="3"/>
  <c r="S91" i="3"/>
  <c r="J92" i="3"/>
  <c r="I93" i="3"/>
  <c r="R92" i="3"/>
  <c r="F93" i="3"/>
  <c r="Q92" i="3"/>
  <c r="U90" i="3"/>
  <c r="N91" i="3"/>
  <c r="Q93" i="3" l="1"/>
  <c r="F94" i="3"/>
  <c r="U91" i="3"/>
  <c r="N92" i="3"/>
  <c r="R93" i="3"/>
  <c r="I94" i="3"/>
  <c r="J93" i="3"/>
  <c r="S92" i="3"/>
  <c r="M93" i="3"/>
  <c r="T92" i="3"/>
  <c r="P94" i="3"/>
  <c r="E95" i="3"/>
  <c r="S93" i="3" l="1"/>
  <c r="J94" i="3"/>
  <c r="Q94" i="3"/>
  <c r="F95" i="3"/>
  <c r="E96" i="3"/>
  <c r="P95" i="3"/>
  <c r="T93" i="3"/>
  <c r="M94" i="3"/>
  <c r="R94" i="3"/>
  <c r="I95" i="3"/>
  <c r="U92" i="3"/>
  <c r="N93" i="3"/>
  <c r="T94" i="3" l="1"/>
  <c r="M95" i="3"/>
  <c r="F96" i="3"/>
  <c r="Q95" i="3"/>
  <c r="S94" i="3"/>
  <c r="J95" i="3"/>
  <c r="U93" i="3"/>
  <c r="N94" i="3"/>
  <c r="I96" i="3"/>
  <c r="R95" i="3"/>
  <c r="P96" i="3"/>
  <c r="E97" i="3"/>
  <c r="P97" i="3" l="1"/>
  <c r="E98" i="3"/>
  <c r="P98" i="3" s="1"/>
  <c r="R96" i="3"/>
  <c r="I97" i="3"/>
  <c r="J96" i="3"/>
  <c r="S95" i="3"/>
  <c r="N95" i="3"/>
  <c r="U94" i="3"/>
  <c r="Q96" i="3"/>
  <c r="F97" i="3"/>
  <c r="M96" i="3"/>
  <c r="T95" i="3"/>
  <c r="C18" i="3" l="1"/>
  <c r="T96" i="3"/>
  <c r="M97" i="3"/>
  <c r="Q97" i="3"/>
  <c r="F98" i="3"/>
  <c r="Q98" i="3" s="1"/>
  <c r="U95" i="3"/>
  <c r="N96" i="3"/>
  <c r="S96" i="3"/>
  <c r="J97" i="3"/>
  <c r="R97" i="3"/>
  <c r="I98" i="3"/>
  <c r="R98" i="3" s="1"/>
  <c r="C19" i="3" l="1"/>
  <c r="D18" i="3"/>
  <c r="S97" i="3"/>
  <c r="J98" i="3"/>
  <c r="S98" i="3" s="1"/>
  <c r="U96" i="3"/>
  <c r="N97" i="3"/>
  <c r="M98" i="3"/>
  <c r="T98" i="3" s="1"/>
  <c r="T97" i="3"/>
  <c r="D19" i="3" l="1"/>
  <c r="E18" i="3"/>
  <c r="U97" i="3"/>
  <c r="N98" i="3"/>
  <c r="U98" i="3" s="1"/>
  <c r="E19" i="3" l="1"/>
</calcChain>
</file>

<file path=xl/sharedStrings.xml><?xml version="1.0" encoding="utf-8"?>
<sst xmlns="http://schemas.openxmlformats.org/spreadsheetml/2006/main" count="641" uniqueCount="531">
  <si>
    <t>AVESTA — Case Inputs</t>
  </si>
  <si>
    <t>Edit the yellow cells. Location is fixed at Cairo. Initial values are the previous El Mo3alem example, not new measurements.</t>
  </si>
  <si>
    <t>Case name</t>
  </si>
  <si>
    <t>El Mo3alem shop — example</t>
  </si>
  <si>
    <t>Input mode</t>
  </si>
  <si>
    <t>Monthly consumption (kWh)</t>
  </si>
  <si>
    <t>Monthly use, not the cumulative meter reading</t>
  </si>
  <si>
    <t>Monthly bill amount (EGP)</t>
  </si>
  <si>
    <t>Consumption bill, not a prepaid top-up</t>
  </si>
  <si>
    <t>Tariff category</t>
  </si>
  <si>
    <t>Commercial</t>
  </si>
  <si>
    <t>Billing period days</t>
  </si>
  <si>
    <t>Pricing basis</t>
  </si>
  <si>
    <t>Actual flat rate is available only with both bill amount and consumption</t>
  </si>
  <si>
    <t>Available installation area</t>
  </si>
  <si>
    <t>Unspecified</t>
  </si>
  <si>
    <t>Available area (m2)</t>
  </si>
  <si>
    <t>Usable installation area after obstacles; unspecified area sets no cap</t>
  </si>
  <si>
    <t>Energy distribution</t>
  </si>
  <si>
    <t>Constant load</t>
  </si>
  <si>
    <t>Daytime energy share</t>
  </si>
  <si>
    <t>Share of energy, not appliance count; night share is calculated</t>
  </si>
  <si>
    <t>Critical load</t>
  </si>
  <si>
    <t>Unknown</t>
  </si>
  <si>
    <t>Critical load (kW)</t>
  </si>
  <si>
    <t>When unknown, no customer-specific backup hours are calculated</t>
  </si>
  <si>
    <t>Selected consumption and bill</t>
  </si>
  <si>
    <t>Input status</t>
  </si>
  <si>
    <t>Selected monthly use (kWh)</t>
  </si>
  <si>
    <t>Average consumption (kWh/day)</t>
  </si>
  <si>
    <t>Active daytime energy share</t>
  </si>
  <si>
    <t>Reference official bill (EGP)</t>
  </si>
  <si>
    <t>Paid less official bill (EGP)</t>
  </si>
  <si>
    <t>Active pricing basis</t>
  </si>
  <si>
    <t>Actual average (EGP/kWh)</t>
  </si>
  <si>
    <t>Official average (EGP/kWh)</t>
  </si>
  <si>
    <t>Average rate difference (EGP/kWh)</t>
  </si>
  <si>
    <t>Selected baseline bill (EGP)</t>
  </si>
  <si>
    <t>Reference-data status</t>
  </si>
  <si>
    <t>Enter the case inputs, review assumptions, then choose equipment and quantities on the Scenarios sheet.</t>
  </si>
  <si>
    <t>Actual flat rate spreads the paid bill over kWh; it may differ from the marginal cost of avoided electricity.</t>
  </si>
  <si>
    <t>One representative day/night cycle per month with constant daily load. This is not an hourly simulation.</t>
  </si>
  <si>
    <t>Inverse-bill calculations — audit detail</t>
  </si>
  <si>
    <t>Tariff</t>
  </si>
  <si>
    <t>Above</t>
  </si>
  <si>
    <t>Up to</t>
  </si>
  <si>
    <t>Candidate kWh</t>
  </si>
  <si>
    <t>Candidate bill</t>
  </si>
  <si>
    <t>Valid solution 1/0</t>
  </si>
  <si>
    <t>Accepted kWh</t>
  </si>
  <si>
    <t>Accepted solution count</t>
  </si>
  <si>
    <t>AVESTA — Assumptions and Catalog</t>
  </si>
  <si>
    <t>Yellow cells are editable. Equipment prices and limits are illustrative, not supplier quotes or manufacturer specifications.</t>
  </si>
  <si>
    <t>Study period</t>
  </si>
  <si>
    <t>years</t>
  </si>
  <si>
    <t>1 to 20</t>
  </si>
  <si>
    <t>Nominal discount rate</t>
  </si>
  <si>
    <t>%</t>
  </si>
  <si>
    <t>Illustrative assumption; approval needed</t>
  </si>
  <si>
    <t>Tariff and fee escalation</t>
  </si>
  <si>
    <t>% per year</t>
  </si>
  <si>
    <t>Flat by default; applies to all bill components</t>
  </si>
  <si>
    <t>Maintenance cost escalation</t>
  </si>
  <si>
    <t>Assumed cost escalation</t>
  </si>
  <si>
    <t>Annual PV degradation</t>
  </si>
  <si>
    <t>Assumption</t>
  </si>
  <si>
    <t>Charge efficiency</t>
  </si>
  <si>
    <t>AC input to stored energy</t>
  </si>
  <si>
    <t>Discharge efficiency</t>
  </si>
  <si>
    <t>Stored energy to AC load</t>
  </si>
  <si>
    <t>Daytime duration</t>
  </si>
  <si>
    <t>hours/day</t>
  </si>
  <si>
    <t>Not PSH; used only to split daily load</t>
  </si>
  <si>
    <t>PV charging window</t>
  </si>
  <si>
    <t>Approximate power window, not hourly simulation</t>
  </si>
  <si>
    <t>Grid charging window</t>
  </si>
  <si>
    <t>Battery-only scenario</t>
  </si>
  <si>
    <t>Installation area multiplier</t>
  </si>
  <si>
    <t>times panel area</t>
  </si>
  <si>
    <t>Includes assumed installation clearances</t>
  </si>
  <si>
    <t>Installation and BOS</t>
  </si>
  <si>
    <t>% of equipment</t>
  </si>
  <si>
    <t>Applied once to PV, battery and inverter</t>
  </si>
  <si>
    <t>Annual maintenance</t>
  </si>
  <si>
    <t>% of CAPEX</t>
  </si>
  <si>
    <t>Estimate pending service quotes</t>
  </si>
  <si>
    <t>Battery replacement year</t>
  </si>
  <si>
    <t>Assumption; use 0 to disable replacement</t>
  </si>
  <si>
    <t>Battery replacement cost</t>
  </si>
  <si>
    <t>% of battery cost</t>
  </si>
  <si>
    <t>Including cost escalation</t>
  </si>
  <si>
    <t>Inverter replacement year</t>
  </si>
  <si>
    <t>Inverter replacement cost</t>
  </si>
  <si>
    <t>% of inverter cost</t>
  </si>
  <si>
    <t>Annual battery degradation</t>
  </si>
  <si>
    <t>Age resets in the assumed replacement year</t>
  </si>
  <si>
    <t>First forecast calendar year</t>
  </si>
  <si>
    <t>Month lengths follow the calendar</t>
  </si>
  <si>
    <t>Inverse-bill tolerance</t>
  </si>
  <si>
    <t>EGP</t>
  </si>
  <si>
    <t>Check calculated bill against input</t>
  </si>
  <si>
    <t>Battery auxiliary consumption</t>
  </si>
  <si>
    <t>kWh/day</t>
  </si>
  <si>
    <t>Not estimated; enter standby consumption</t>
  </si>
  <si>
    <t>Cairo average solar yield</t>
  </si>
  <si>
    <t>Average daily PV yield</t>
  </si>
  <si>
    <t>kWh/kWp/day</t>
  </si>
  <si>
    <t>Monthly generation = PV kWp × daily yield × calendar days.</t>
  </si>
  <si>
    <t>4.98 kWh/kWp/day is the rounded Cairo annual daily average from the previous PVGIS reference.</t>
  </si>
  <si>
    <t>Cairo; south-facing, 30° tilt. PV losses are included. No monthly solar seasonality is modeled.</t>
  </si>
  <si>
    <t>Source: European Commission JRC PVGIS 5.3 / SARAH3, prior project extract dated 30 September 2026.</t>
  </si>
  <si>
    <t>https://re.jrc.ec.europa.eu/pvg_tools/en/</t>
  </si>
  <si>
    <t>Editable reference tariff bands</t>
  </si>
  <si>
    <t>Tariffs from prior project files; current applicability could not be confirmed from the regulator link. Verify before commercial use.</t>
  </si>
  <si>
    <t>Type</t>
  </si>
  <si>
    <t>Above kWh</t>
  </si>
  <si>
    <t>Up to kWh</t>
  </si>
  <si>
    <t>Energy rate</t>
  </si>
  <si>
    <t>Energy intercept</t>
  </si>
  <si>
    <t>Service fee (EGP)</t>
  </si>
  <si>
    <t>Stamp/kWh</t>
  </si>
  <si>
    <t>Marginal rate incl. stamp</t>
  </si>
  <si>
    <t>Residential</t>
  </si>
  <si>
    <t>Residential rates: prior project model; service fees require confirmation. Commercial: prior El Mo3alem presentation (April 2026).</t>
  </si>
  <si>
    <t>https://www.egyptera.org/ar/TarrifApril2026.aspx — verification on 19 October 2026 returned 404. Annual stamp excluded.</t>
  </si>
  <si>
    <t>Example panels — replace with supplier specifications</t>
  </si>
  <si>
    <t>ID</t>
  </si>
  <si>
    <t>Name</t>
  </si>
  <si>
    <t>Wp</t>
  </si>
  <si>
    <t>Panel area (m2)</t>
  </si>
  <si>
    <t>Panel price (EGP)</t>
  </si>
  <si>
    <t>PV550</t>
  </si>
  <si>
    <t>Example panel 550</t>
  </si>
  <si>
    <t>PV670</t>
  </si>
  <si>
    <t>Example panel 670</t>
  </si>
  <si>
    <t>Example batteries — confirm real compatibility</t>
  </si>
  <si>
    <t>Description</t>
  </si>
  <si>
    <t>Nominal kWh</t>
  </si>
  <si>
    <t>Usable fraction</t>
  </si>
  <si>
    <t>Charge kW</t>
  </si>
  <si>
    <t>Discharge kW</t>
  </si>
  <si>
    <t>Price (EGP)</t>
  </si>
  <si>
    <t>Compatibility group</t>
  </si>
  <si>
    <t>BAT10</t>
  </si>
  <si>
    <t>Example battery 10</t>
  </si>
  <si>
    <t>LV</t>
  </si>
  <si>
    <t>BAT16</t>
  </si>
  <si>
    <t>Example battery 16</t>
  </si>
  <si>
    <t>BAT32</t>
  </si>
  <si>
    <t>Example battery 32</t>
  </si>
  <si>
    <t>Example inverters — not product recommendations</t>
  </si>
  <si>
    <t>AC kW</t>
  </si>
  <si>
    <t>PV limit kWp</t>
  </si>
  <si>
    <t>Backup 1/0</t>
  </si>
  <si>
    <t>Phases</t>
  </si>
  <si>
    <t>GRID10</t>
  </si>
  <si>
    <t>Grid-tied solar 10</t>
  </si>
  <si>
    <t>NONE</t>
  </si>
  <si>
    <t>HYB5</t>
  </si>
  <si>
    <t>Hybrid 5</t>
  </si>
  <si>
    <t>HYB12</t>
  </si>
  <si>
    <t>Hybrid 12</t>
  </si>
  <si>
    <t>HYB20</t>
  </si>
  <si>
    <t>Hybrid 20</t>
  </si>
  <si>
    <t>Example prices from the prior presentation: PV 8,000 EGP/kWp, battery 13,640 EGP/kWh, inverter 6,000 EGP/kW.</t>
  </si>
  <si>
    <t>Power, area and compatibility limits are illustrative. They are not certified AVESTA specifications and exclude load starting currents.</t>
  </si>
  <si>
    <t>AVESTA — Scenario Comparison</t>
  </si>
  <si>
    <t>Three manually selected configurations. Financial results are indicative; no automatic size optimization.</t>
  </si>
  <si>
    <t>Metric</t>
  </si>
  <si>
    <t>Unit</t>
  </si>
  <si>
    <t>Solar only</t>
  </si>
  <si>
    <t>Battery only</t>
  </si>
  <si>
    <t>Solar and battery</t>
  </si>
  <si>
    <t>Configuration status</t>
  </si>
  <si>
    <t>PV capacity</t>
  </si>
  <si>
    <t>kWp</t>
  </si>
  <si>
    <t>Nominal battery capacity</t>
  </si>
  <si>
    <t>kWh</t>
  </si>
  <si>
    <t>Inverter capacity</t>
  </si>
  <si>
    <t>kW</t>
  </si>
  <si>
    <t>Required roof area</t>
  </si>
  <si>
    <t>m²</t>
  </si>
  <si>
    <t>Initial investment</t>
  </si>
  <si>
    <t>Year 1 solar generation</t>
  </si>
  <si>
    <t>Year 1 baseline bill</t>
  </si>
  <si>
    <t>Year 1 bill after installation</t>
  </si>
  <si>
    <t>Year 1 bill savings</t>
  </si>
  <si>
    <t>Year 1 savings after maintenance</t>
  </si>
  <si>
    <t>NPV over study period</t>
  </si>
  <si>
    <t>Simple payback</t>
  </si>
  <si>
    <t>Discounted payback</t>
  </si>
  <si>
    <t>Full-charge backup energy</t>
  </si>
  <si>
    <t>kWh AC</t>
  </si>
  <si>
    <t>Maximum backup power</t>
  </si>
  <si>
    <t>Backup hours from full charge</t>
  </si>
  <si>
    <t>hours</t>
  </si>
  <si>
    <t>Reserved backup energy</t>
  </si>
  <si>
    <t>System role</t>
  </si>
  <si>
    <t>Financial outcome</t>
  </si>
  <si>
    <t>Roof area status</t>
  </si>
  <si>
    <t>Full-charge backup is not guaranteed at outage time. Motor surge, load phase balance and site checks are not modeled.</t>
  </si>
  <si>
    <t>NPV excludes financing, taxes and outage value. The no-investment baseline has NPV = 0.</t>
  </si>
  <si>
    <t>Battery savings vs matched PV</t>
  </si>
  <si>
    <t>EGP/year</t>
  </si>
  <si>
    <t>Incremental battery investment</t>
  </si>
  <si>
    <t>Incremental comparison uses the same PV and hybrid inverter without a battery; no cheaper inverter alternative is assumed.</t>
  </si>
  <si>
    <t>Equipment and quantities — edit yellow cells</t>
  </si>
  <si>
    <t>Setting</t>
  </si>
  <si>
    <t>Panel model</t>
  </si>
  <si>
    <t>Panel quantity</t>
  </si>
  <si>
    <t>Battery model</t>
  </si>
  <si>
    <t>Battery unit quantity</t>
  </si>
  <si>
    <t>Inverter model</t>
  </si>
  <si>
    <t>Reserved share of usable capacity</t>
  </si>
  <si>
    <t>Battery-only operating mode</t>
  </si>
  <si>
    <t>Backup</t>
  </si>
  <si>
    <t>Grid-charged delivery limit</t>
  </si>
  <si>
    <t>Unused fields: battery for solar-only and PV for battery-only. Grid-cycle mode applies only to the battery-only column.</t>
  </si>
  <si>
    <t>Sizing and cost details</t>
  </si>
  <si>
    <t>Installed PV (kWp)</t>
  </si>
  <si>
    <t>Nominal battery capacity (kWh)</t>
  </si>
  <si>
    <t>Inverter AC rating (kW)</t>
  </si>
  <si>
    <t>Inverter PV limit (kWp)</t>
  </si>
  <si>
    <t>Usable internal capacity (kWh)</t>
  </si>
  <si>
    <t>Battery charge limit (AC kW)</t>
  </si>
  <si>
    <t>Battery discharge limit (AC kW)</t>
  </si>
  <si>
    <t>Backup supported 1/0</t>
  </si>
  <si>
    <t>Required area (m2)</t>
  </si>
  <si>
    <t>PV panel cost (EGP)</t>
  </si>
  <si>
    <t>Battery cost (EGP)</t>
  </si>
  <si>
    <t>Inverter cost (EGP)</t>
  </si>
  <si>
    <t>Installation and BOS (EGP)</t>
  </si>
  <si>
    <t>Total investment (EGP)</t>
  </si>
  <si>
    <t>Model validity 1/0</t>
  </si>
  <si>
    <t>Compatibility status</t>
  </si>
  <si>
    <t>Reserved internal energy (kWh)</t>
  </si>
  <si>
    <t>Full-charge backup (kWh AC)</t>
  </si>
  <si>
    <t>Backup power (kW)</t>
  </si>
  <si>
    <t>Year 1 maintenance (EGP)</t>
  </si>
  <si>
    <t>Annual cash flows — year-end timing</t>
  </si>
  <si>
    <t>Year</t>
  </si>
  <si>
    <t>Baseline EGP</t>
  </si>
  <si>
    <t>Solar net cash flow</t>
  </si>
  <si>
    <t>Discounted solar cash flow</t>
  </si>
  <si>
    <t>Solar cumulative CF</t>
  </si>
  <si>
    <t>Cumulative discounted CF</t>
  </si>
  <si>
    <t>Battery net cash flow</t>
  </si>
  <si>
    <t>Discounted battery cash flow</t>
  </si>
  <si>
    <t>Battery cumulative CF</t>
  </si>
  <si>
    <t>Combined net cash flow</t>
  </si>
  <si>
    <t>Discounted combined cash flow</t>
  </si>
  <si>
    <t>Combined cumulative CF</t>
  </si>
  <si>
    <t>C Payback</t>
  </si>
  <si>
    <t>C Discounted</t>
  </si>
  <si>
    <t>D Payback</t>
  </si>
  <si>
    <t>D Discounted</t>
  </si>
  <si>
    <t>E Payback</t>
  </si>
  <si>
    <t>E Discounted</t>
  </si>
  <si>
    <t>Payback is the first cumulative cash-flow crossing of zero. Fractional years are interpolated. Later replacement can reduce the balance.</t>
  </si>
  <si>
    <t>Grants, financing, taxes, residual value and outage value are excluded. A battery does not generate energy.</t>
  </si>
  <si>
    <t>Annual degradation; one replacement in the selected year. Full-charge backup figures relate to year 1.</t>
  </si>
  <si>
    <t>Solar only — monthly calculations</t>
  </si>
  <si>
    <t>month</t>
  </si>
  <si>
    <t>Days</t>
  </si>
  <si>
    <t>Day load kWh/d</t>
  </si>
  <si>
    <t>Night load kWh/d</t>
  </si>
  <si>
    <t>PV kWh/mo</t>
  </si>
  <si>
    <t>Direct use kWh/mo</t>
  </si>
  <si>
    <t>Charge kWh/mo</t>
  </si>
  <si>
    <t>Discharge kWh/mo</t>
  </si>
  <si>
    <t>Unused PV kWh/mo</t>
  </si>
  <si>
    <t>Losses kWh/mo</t>
  </si>
  <si>
    <t>Grid imports kWh/mo</t>
  </si>
  <si>
    <t>New bill EGP</t>
  </si>
  <si>
    <t>Bill savings EGP</t>
  </si>
  <si>
    <t>Operating capacity kWh</t>
  </si>
  <si>
    <t>Matched PV-only bill (EGP)</t>
  </si>
  <si>
    <t>Battery age</t>
  </si>
  <si>
    <t>Balance check kWh</t>
  </si>
  <si>
    <t>Battery only — monthly calculations</t>
  </si>
  <si>
    <t>Solar and battery — monthly calculations</t>
  </si>
  <si>
    <t>Formula reference</t>
  </si>
  <si>
    <t>Each distinct calculation is explained once. Repeated monthly and scenario formulas use the same rule. Cell references point to the working formulas.</t>
  </si>
  <si>
    <t>Calculation</t>
  </si>
  <si>
    <t>Equation / rule</t>
  </si>
  <si>
    <t>Parameters and units</t>
  </si>
  <si>
    <t>Purpose and workbook location</t>
  </si>
  <si>
    <t>1. Consumption and tariff</t>
  </si>
  <si>
    <t>Input validity</t>
  </si>
  <si>
    <t>Ready only when the selected inputs are numeric and within their permitted ranges.</t>
  </si>
  <si>
    <t>Days &gt; 0. Consumption and bill &gt;= 0 when required. Specified roof and known critical load &gt; 0. Day share is 0 to 1. Bill-only requires exactly one valid solution.</t>
  </si>
  <si>
    <t>Stops unavailable or ambiguous inputs from being treated as a valid case. Inputs!C25.</t>
  </si>
  <si>
    <t>Tariff marginal rate</t>
  </si>
  <si>
    <t>m = energy rate + stamp rate</t>
  </si>
  <si>
    <t>m: EGP/kWh. Energy rate: column D. Stamp rate: column G in the tariff table.</t>
  </si>
  <si>
    <t>Combines variable charges for the selected band. Assumptions and Catalog!H50:H65.</t>
  </si>
  <si>
    <t>Tariff band intercept</t>
  </si>
  <si>
    <t>b = previous upper limit × previous rate + previous intercept - previous upper limit × new rate</t>
  </si>
  <si>
    <t>b: fixed energy adjustment in EGP. Used only for the continuous bands. Other bands use their entered intercept, including full-consumption resets.</t>
  </si>
  <si>
    <t>Preserves the specific tariff's band rules. Assumptions and Catalog!E52, E54:E55 and E64.</t>
  </si>
  <si>
    <t>Official monthly bill</t>
  </si>
  <si>
    <t>T(E) = E × m + b + fee, using the first band whose upper limit contains E</t>
  </si>
  <si>
    <t>E: monthly kWh. m: marginal EGP/kWh. b: energy intercept, EGP. fee: service charge, EGP. Tariff type selects the residential or commercial table.</t>
  </si>
  <si>
    <t>Computes the actual piecewise bill instead of multiplying all consumption by an average price. Inputs!C29 and Scenarios!M:N monthly blocks.</t>
  </si>
  <si>
    <t>Inverse bill candidate</t>
  </si>
  <si>
    <t>E_candidate = (Paid - b - fee) / m; use 0 when m = 0</t>
  </si>
  <si>
    <t>Paid, b and fee: EGP. m: EGP/kWh. Each tariff band is tested separately. The zero-rate band's candidate still has to pass the bill check.</t>
  </si>
  <si>
    <t>Estimates monthly consumption when only the bill is known. Inputs!D50:D63.</t>
  </si>
  <si>
    <t>Inverse bill validation</t>
  </si>
  <si>
    <t>Valid = 1 if type matches, lower &lt; E_candidate &lt;= upper, E_candidate &gt;= 0 and ABS(candidate bill - Paid) &lt;= tolerance; otherwise 0</t>
  </si>
  <si>
    <t>Candidate bill = E_candidate × m + b + fee. Tolerance: Assumptions and Catalog!C25, EGP. Bounds and tariff type come from the selected band.</t>
  </si>
  <si>
    <t>Rejects candidates that do not belong to the band or do not reproduce the bill. Inputs!E50:F63.</t>
  </si>
  <si>
    <t>Accepted consumption</t>
  </si>
  <si>
    <t>Solution count = SUM(valid flags). E_month = SUM(valid candidates) only if count = 1; otherwise use entered kWh when that input mode applies</t>
  </si>
  <si>
    <t>Valid candidates: candidate kWh where flag = 1, else 0. Invalid inputs return an unavailable message.</t>
  </si>
  <si>
    <t>Avoids silently selecting a solution when bill inversion is ambiguous. Inputs!G50:G63, C66 and C26.</t>
  </si>
  <si>
    <t>Daily consumption</t>
  </si>
  <si>
    <t>E_day = E_month / period days</t>
  </si>
  <si>
    <t>E_month: accepted monthly kWh. Period days: Inputs!C10. E_day: kWh/day.</t>
  </si>
  <si>
    <t>Normalizes the entered billing period to a constant daily load used throughout the forecast. Inputs!C27.</t>
  </si>
  <si>
    <t>Day and night split</t>
  </si>
  <si>
    <t>Day share = entered share if known, else daylight hours / 24. Day load = E_day × day share. Night load = E_day - day load</t>
  </si>
  <si>
    <t>Day and night loads: kWh/day. Daylight hours: Assumptions and Catalog!C13. Share is a fraction of energy, not appliance count.</t>
  </si>
  <si>
    <t>Separates direct solar demand from demand that may use stored energy. Inputs!C28; Scenarios!D:E monthly blocks.</t>
  </si>
  <si>
    <t>Actual and official average prices</t>
  </si>
  <si>
    <t>p_actual = Paid / E_month; p_official = T(E_month) / E_month; price gap = p_actual - p_official</t>
  </si>
  <si>
    <t>Prices: EGP/kWh. Actual price requires both bill and positive consumption. Official average also requires positive consumption.</t>
  </si>
  <si>
    <t>Shows the difference between the paid average and the tariff-based average. Inputs!C32:C34.</t>
  </si>
  <si>
    <t>Bill difference</t>
  </si>
  <si>
    <t>Bill gap = Paid - T(E_month)</t>
  </si>
  <si>
    <t>Paid and official bill: EGP for the entered month. Available only when both bill and consumption were supplied.</t>
  </si>
  <si>
    <t>Shows how much more or less was paid than the reference tariff calculation. Inputs!C30.</t>
  </si>
  <si>
    <t>Selected pricing basis</t>
  </si>
  <si>
    <t>B(E) = E × p_actual in Actual flat mode; otherwise B(E) = T(E)</t>
  </si>
  <si>
    <t>Actual flat mode is accepted only with both bill and positive consumption. B(E): EGP for any monthly import E.</t>
  </si>
  <si>
    <t>Uses the chosen price basis consistently for baseline and post-installation bills. Inputs!C31, C35; Scenarios!M, N and Q monthly blocks. A paid average is not necessarily an avoidable marginal price.</t>
  </si>
  <si>
    <t>2. Equipment, area and initial investment</t>
  </si>
  <si>
    <t>Catalog lookup</t>
  </si>
  <si>
    <t>Specification = INDEX(catalog data, MATCH(selected model ID, catalog IDs, 0), specification column)</t>
  </si>
  <si>
    <t>Model IDs: Scenarios!C39:E43. Catalogs: Assumptions and Catalog rows 73:74, 79:81 and 86:89.</t>
  </si>
  <si>
    <t>Retrieves the chosen equipment's capacity, power, area, price and compatibility. Used throughout Scenarios!C51:E70.</t>
  </si>
  <si>
    <t>Installed PV capacity</t>
  </si>
  <si>
    <t>P_PV = panel count × panel Wp / 1000</t>
  </si>
  <si>
    <t>P_PV: kWp. Panel rating: Wp. Battery-only sets PV capacity to zero.</t>
  </si>
  <si>
    <t>Determines solar generation and checks the inverter PV limit. Scenarios!C51:E51; summary row 7.</t>
  </si>
  <si>
    <t>Battery nominal and usable capacity</t>
  </si>
  <si>
    <t>C_nom = battery count × unit kWh. C_usable = C_nom × usable fraction</t>
  </si>
  <si>
    <t>Capacities: kWh stored internally. Usable fraction: catalog value from 0 to 1. Solar-only sets nominal battery capacity to zero.</t>
  </si>
  <si>
    <t>Distinguishes purchased capacity from usable storage before reserve and losses. Scenarios!C52:E52 and C55:E55; summary row 8.</t>
  </si>
  <si>
    <t>Inverter ratings and support</t>
  </si>
  <si>
    <t>P_inv, PV_limit and backup flag = selected inverter catalog values</t>
  </si>
  <si>
    <t>P_inv: AC kW. PV_limit: allowed PV kWp. Backup flag: 1 supported, 0 unsupported; solar-only forces 0.</t>
  </si>
  <si>
    <t>Supplies the inverter limits and backup eligibility. Scenarios!C53:E54 and C58:E58; summary row 9.</t>
  </si>
  <si>
    <t>Charge and discharge power limits</t>
  </si>
  <si>
    <t>P_ch = MIN(count × battery charge kW, inverter charge kW). P_dis = MIN(count × battery discharge kW, inverter AC kW)</t>
  </si>
  <si>
    <t>P_ch and P_dis: kW at the model's AC boundary. Battery count and ratings come from the selected configuration.</t>
  </si>
  <si>
    <t>Limits charging, discharge and backup by both battery and inverter ratings. Scenarios!C56:E57.</t>
  </si>
  <si>
    <t>Installation area</t>
  </si>
  <si>
    <t>Area = (P_PV × 1000 / panel Wp) × panel area × spacing factor</t>
  </si>
  <si>
    <t>Area and panel area: m2. Spacing factor: Assumptions and Catalog!C16. Parenthesis recovers the active panel count.</t>
  </si>
  <si>
    <t>Checks whether the chosen array fits a specified roof. An unspecified roof does not constrain sizing. Scenarios!C59:E59; summary row 10.</t>
  </si>
  <si>
    <t>Equipment costs</t>
  </si>
  <si>
    <t>PV cost = active panel count × panel price. Battery cost = active battery count × battery price. Inverter cost = catalog inverter price</t>
  </si>
  <si>
    <t>Costs: EGP. Active counts are recovered from installed capacities, so inactive scenario equipment is excluded.</t>
  </si>
  <si>
    <t>Builds the equipment subtotal from the selected models and quantities. Scenarios!C60:E62.</t>
  </si>
  <si>
    <t>BOS and initial investment</t>
  </si>
  <si>
    <t>BOS = (PV cost + battery cost + inverter cost) × BOS rate. CAPEX = equipment subtotal + BOS</t>
  </si>
  <si>
    <t>BOS: installation and balance of system cost, EGP. BOS rate: Assumptions and Catalog!C17. CAPEX: upfront EGP.</t>
  </si>
  <si>
    <t>Calculates the year-zero investment without adding installation twice. Scenarios!C63:E64; summary row 11.</t>
  </si>
  <si>
    <t>Battery compatibility</t>
  </si>
  <si>
    <t>Compatible if nominal battery capacity = 0 OR battery group = inverter group</t>
  </si>
  <si>
    <t>Compatibility group: catalog text, such as LV. This is a catalog-group check, not a complete electrical design check.</t>
  </si>
  <si>
    <t>Flags incompatible selections before interpreting the results. Scenarios!C66:E66.</t>
  </si>
  <si>
    <t>Configuration validity</t>
  </si>
  <si>
    <t>Valid = 1 when inputs are ready, PV &lt;= inverter PV limit, specified roof fits, compatibility passes, counts are nonnegative integers, reserve is 0 to 1, efficiencies are &gt; 0 and &lt;= 1, and study years are 1 to 20</t>
  </si>
  <si>
    <t>Limits and flags come from the input, assumptions and sizing cells. All conditions must pass.</t>
  </si>
  <si>
    <t>Gates reported financial results and backup runtime. Scenarios!C65:E65 and C6:E6.</t>
  </si>
  <si>
    <t>Roof status</t>
  </si>
  <si>
    <t>Unspecified roof: fit not verified. Specified roof: compare required area &lt;= available area</t>
  </si>
  <si>
    <t>Both areas: m2. Available area: Inputs!C15, used only when Inputs!C14 is Specified.</t>
  </si>
  <si>
    <t>Separates an unconstrained estimate from a layout that fits the supplied area. Scenarios!C26:E26.</t>
  </si>
  <si>
    <t>Year-one maintenance</t>
  </si>
  <si>
    <t>OM_1 = CAPEX × annual maintenance rate</t>
  </si>
  <si>
    <t>OM_1: EGP/year. Maintenance rate: Assumptions and Catalog!C18.</t>
  </si>
  <si>
    <t>Provides the recurring operating-cost base used in annual net savings. Scenarios!C70:E70.</t>
  </si>
  <si>
    <t>3. Monthly solar and battery energy</t>
  </si>
  <si>
    <t>Monthly calculation scope</t>
  </si>
  <si>
    <t>Solar-only: rows 161:400. Battery-only: rows 411:650. Solar + battery: rows 661:900. Each block has 12 months × 20 years.</t>
  </si>
  <si>
    <t>Unless stated otherwise, references below are in Scenarios. y is study year starting at 1. n is calendar days in the month. Monthly energy is kWh.</t>
  </si>
  <si>
    <t>Explains repeated formulas once. The study horizon controls financial inclusion; monthly physical calculations remain available for all 20 years.</t>
  </si>
  <si>
    <t>Calendar month length</t>
  </si>
  <si>
    <t>n = DAY(DATE(first forecast year + y - 1, month + 1, 0))</t>
  </si>
  <si>
    <t>First forecast year: Assumptions and Catalog!C24. Month: 1 to 12. n includes leap years.</t>
  </si>
  <si>
    <t>Converts constant daily energy into the correct monthly quantity. Scenarios monthly column C.</t>
  </si>
  <si>
    <t>Solar generation</t>
  </si>
  <si>
    <t>E_PV = P_PV × Y_daily × n × (1 - d_PV)^(y - 1)</t>
  </si>
  <si>
    <t>P_PV: installed kWp. Y_daily: Assumptions and Catalog!C31, kWh/kWp/day. d_PV: annual PV degradation at C10.</t>
  </si>
  <si>
    <t>Uses the single Cairo average and annual degradation. The yield includes PV losses; no monthly seasonality or hourly clipping is modeled. Scenarios monthly column F.</t>
  </si>
  <si>
    <t>Direct solar use</t>
  </si>
  <si>
    <t>E_direct = MIN(E_PV, day load × n)</t>
  </si>
  <si>
    <t>E_PV: monthly solar generation. Day load: kWh/day from the consumption split.</t>
  </si>
  <si>
    <t>Limits directly consumed solar to estimated daytime energy demand. Scenarios monthly column G. This is an aggregate energy estimate.</t>
  </si>
  <si>
    <t>Age = y - replacement year if replacement year &gt; 0 and y &gt;= replacement year; otherwise Age = y - 1</t>
  </si>
  <si>
    <t>Age: years. Battery replacement year: Assumptions and Catalog!C19. A replacement resets age to zero once.</t>
  </si>
  <si>
    <t>Resets capacity degradation in the replacement year. Scenarios monthly column R. The annual model applies fresh capacity for that year and books replacement cost at year-end.</t>
  </si>
  <si>
    <t>Capacity available for cycling</t>
  </si>
  <si>
    <t>C_cycle = C_usable × (1 - reserve fraction) × (1 - d_batt)^Age</t>
  </si>
  <si>
    <t>C_cycle: stored kWh per modeled daily cycle. Reserve: Scenarios row 44. d_batt: Assumptions and Catalog!C23.</t>
  </si>
  <si>
    <t>Excludes reserved energy and accounts for battery capacity degradation. Scenarios monthly column P.</t>
  </si>
  <si>
    <t>Combined system battery delivery</t>
  </si>
  <si>
    <t>E_dis = MIN(night load × n, C_cycle × eta_dis × n, (E_PV - E_direct) × eta_ch × eta_dis, P_ch × h_PV × eta_ch × eta_dis × n, P_dis × (24 - h_day) × n)</t>
  </si>
  <si>
    <t>E_dis: AC kWh/month. eta_ch / eta_dis: C11 / C12. h_PV: PV charge window C14, hours/day. h_day: daylight hours C13. P_ch / P_dis: kW. C_cycle: stored kWh.</t>
  </si>
  <si>
    <t>Uses the smallest of night demand, usable storage, solar surplus, charging-power and discharging-power limits. Scenarios!I661:I900.</t>
  </si>
  <si>
    <t>Battery-only grid-cycle delivery</t>
  </si>
  <si>
    <t>E_dis = n × MIN(daily target, E_day, C_cycle × eta_dis, P_dis × (24 - h_grid), P_ch × h_grid × eta_ch × eta_dis) in Grid cycle mode; otherwise 0</t>
  </si>
  <si>
    <t>Daily target: Scenarios!D46, AC kWh/day. h_grid: Assumptions and Catalog!C15, hours/day. Other symbols are defined above.</t>
  </si>
  <si>
    <t>Limits grid-charged battery cycling. Backup mode does not perform a daily cycle. Solar-only delivery is always 0. Scenarios!I411:I650 and I161:I400.</t>
  </si>
  <si>
    <t>Charging energy</t>
  </si>
  <si>
    <t>E_charge = E_dis / (eta_ch × eta_dis)</t>
  </si>
  <si>
    <t>E_charge: AC kWh/month required to deliver E_dis. eta_ch and eta_dis: charging and discharging efficiencies.</t>
  </si>
  <si>
    <t>Includes both losses and charges only enough to support modeled discharge. Scenarios monthly column H.</t>
  </si>
  <si>
    <t>Unused solar</t>
  </si>
  <si>
    <t>E_surplus = MAX(E_PV - E_direct - E_charge, 0) for solar scenarios; battery-only excludes grid charging from this subtraction</t>
  </si>
  <si>
    <t>All energies: kWh/month. E_charge is solar charging only for the combined system.</t>
  </si>
  <si>
    <t>Identifies solar energy not used onsite. It earns no export income in this model. Scenarios monthly column J.</t>
  </si>
  <si>
    <t>Battery conversion losses</t>
  </si>
  <si>
    <t>E_loss = E_charge - E_dis</t>
  </si>
  <si>
    <t>E_loss: kWh/month. Charge and discharge are measured at the AC boundaries.</t>
  </si>
  <si>
    <t>Quantifies energy lost in storage conversion. Scenarios monthly column K.</t>
  </si>
  <si>
    <t>Auxiliary energy</t>
  </si>
  <si>
    <t>E_aux = auxiliary kWh/day × n when a battery is installed; otherwise 0</t>
  </si>
  <si>
    <t>Auxiliary consumption: Assumptions and Catalog!C26. Solar-only always uses 0.</t>
  </si>
  <si>
    <t>Adds battery standby/auxiliary energy to grid demand. Embedded in monthly columns L and S.</t>
  </si>
  <si>
    <t>Grid import</t>
  </si>
  <si>
    <t>E_grid = E_day × n - E_direct - E_dis + grid charging + E_aux</t>
  </si>
  <si>
    <t>Grid charging = E_charge for battery-only, otherwise 0. E_grid: kWh/month.</t>
  </si>
  <si>
    <t>Finds purchased electricity after onsite supply and storage losses. Scenarios monthly column L. Grid cycling under a flat tariff does not create cheap energy.</t>
  </si>
  <si>
    <t>Energy balance check</t>
  </si>
  <si>
    <t>Balance = E_PV + E_grid - E_day × n - E_surplus - E_loss - E_aux</t>
  </si>
  <si>
    <t>All quantities: kWh/month. A consistent energy balance is zero, apart from floating-point rounding.</t>
  </si>
  <si>
    <t>Checks that energy is neither created nor omitted. Scenarios monthly column S.</t>
  </si>
  <si>
    <t>Monthly baseline bill</t>
  </si>
  <si>
    <t>Bill_base = B(E_day × n) × (1 + g_tariff)^(y - 1)</t>
  </si>
  <si>
    <t>B(E): chosen price function defined in section 1. g_tariff: annual tariff and fee growth, Assumptions and Catalog!C8.</t>
  </si>
  <si>
    <t>Values the no-system monthly grid supply using the same pricing basis. Scenarios monthly column M.</t>
  </si>
  <si>
    <t>Monthly system bill and savings</t>
  </si>
  <si>
    <t>Bill_system = B(E_grid) × (1 + g_tariff)^(y - 1). Saving = Bill_base - Bill_system</t>
  </si>
  <si>
    <t>Bills and saving: EGP/month. Growth multiplies the entire calculated bill, including fees.</t>
  </si>
  <si>
    <t>Measures avoided electricity cost before maintenance and replacement. Scenarios monthly columns N and O.</t>
  </si>
  <si>
    <t>PV-only comparator bill</t>
  </si>
  <si>
    <t>Bill_PV_comparator = B(E_day × n - E_direct) × (1 + g_tariff)^(y - 1)</t>
  </si>
  <si>
    <t>Same PV size and direct-use estimate as the respective configuration, without battery cycling or battery auxiliaries.</t>
  </si>
  <si>
    <t>Separates the incremental value of adding storage to the combined system's PV. Scenarios monthly column Q.</t>
  </si>
  <si>
    <t>Year-one energy and bill summaries</t>
  </si>
  <si>
    <t>PV generation = SUM(first 12 monthly PV values). Baseline bill, system bill and bill savings = their respective first-year monthly sums</t>
  </si>
  <si>
    <t>Energy: kWh/year. Bills: EGP/year. Baseline is shared because all scenarios serve the same load.</t>
  </si>
  <si>
    <t>Presents comparable first-year totals. Scenarios!C12:E15. System bill and savings are gated by configuration validity.</t>
  </si>
  <si>
    <t>4. Backup capability</t>
  </si>
  <si>
    <t>Reserved stored energy</t>
  </si>
  <si>
    <t>C_reserve = C_usable × reserve fraction</t>
  </si>
  <si>
    <t>C_reserve: internal kWh. Reserve fraction: Scenarios!C44:E44. This is year-one usable capacity.</t>
  </si>
  <si>
    <t>Identifies storage withheld from normal cycling. Scenarios!C67:E67.</t>
  </si>
  <si>
    <t>Full-charge and reserved backup energy</t>
  </si>
  <si>
    <t>E_full = C_usable × eta_dis; E_reserved = C_reserve × eta_dis. Both are 0 when backup is unsupported.</t>
  </si>
  <si>
    <t>E_full and E_reserved: AC kWh. eta_dis: Assumptions and Catalog!C12.</t>
  </si>
  <si>
    <t>Shows year-one energy available from full charge and from the reserve. Scenarios!C68:E68 and C20:E20, C23:E23. Actual state of charge at an outage is not guaranteed.</t>
  </si>
  <si>
    <t>Backup power</t>
  </si>
  <si>
    <t>P_backup = P_dis when backup is supported; otherwise 0</t>
  </si>
  <si>
    <t>P_backup: kW. P_dis: combined inverter/battery discharge limit.</t>
  </si>
  <si>
    <t>Checks whether the critical load fits the system's modeled power capability. Scenarios!C69:E69 and C21:E21. Starting current and phase constraints are not modeled.</t>
  </si>
  <si>
    <t>Full-charge backup duration</t>
  </si>
  <si>
    <t>Hours = E_full / P_critical, only for a valid configuration with backup, known critical load and P_critical &lt;= P_backup</t>
  </si>
  <si>
    <t>E_full: AC kWh. P_critical: Inputs!C21, kW. Unknown load gives Load unknown; excess load gives a power-limit message.</t>
  </si>
  <si>
    <t>Estimates how long a constant critical load can run from full charge. Scenarios!C22:E22. It is not a guaranteed outage runtime.</t>
  </si>
  <si>
    <t>5. Annual cash flows, NPV and payback</t>
  </si>
  <si>
    <t>Initial cash flow</t>
  </si>
  <si>
    <t>CF_0 = -CAPEX</t>
  </si>
  <si>
    <t>CF_0: EGP at time zero. CAPEX: upfront system investment. It is not discounted.</t>
  </si>
  <si>
    <t>Recognizes the cash paid today before annual savings begin. Scenarios!C78:N78 initialize net, discounted and cumulative series.</t>
  </si>
  <si>
    <t>Annual gross savings</t>
  </si>
  <si>
    <t>Saving_y = SUM(monthly bill savings where study year = y)</t>
  </si>
  <si>
    <t>Saving_y: EGP/year. SUMIFS selects the 12 months for each scenario. Annual baseline uses the same grouping of baseline bills.</t>
  </si>
  <si>
    <t>Aggregates bill savings into annual cash flows. Embedded in Scenarios!C79:C98, G79:G98 and K79:K98. Baseline: B79:B98.</t>
  </si>
  <si>
    <t>Replacement cost</t>
  </si>
  <si>
    <t>R_y = battery cost × battery replacement factor if y = battery replacement year &gt; 0, plus inverter cost × inverter replacement factor if y = inverter replacement year &gt; 0</t>
  </si>
  <si>
    <t>Costs: original component EGP before BOS. Factors: Assumptions and Catalog!C20 and C22. Years: C19 and C21. Each component is replaced at most once.</t>
  </si>
  <si>
    <t>Books component replacement in its selected year. A year of 0 disables replacement. Embedded in annual net cash-flow formulas.</t>
  </si>
  <si>
    <t>Annual net cash flow</t>
  </si>
  <si>
    <t>CF_y = Saving_y - (OM_1 + R_y) × (1 + g_cost)^(y - 1), for y &lt;= N; otherwise 0</t>
  </si>
  <si>
    <t>OM_1: first-year maintenance, EGP. R_y: replacement at base prices. g_cost: C9. N: study horizon C6. Annual cash flows occur at year-end.</t>
  </si>
  <si>
    <t>Combines savings, maintenance and replacement into the investment cash flow. Scenarios annual columns C, G and K; year-one summary row 16.</t>
  </si>
  <si>
    <t>Discounted annual cash flow</t>
  </si>
  <si>
    <t>DCF_y = CF_y / (1 + r)^y</t>
  </si>
  <si>
    <t>DCF_y: present-value EGP. r: nominal annual discount rate, Assumptions and Catalog!C7. y: year-end timing.</t>
  </si>
  <si>
    <t>Converts future net cash flows to their equivalent value today. Scenarios annual columns D, H and L.</t>
  </si>
  <si>
    <t>Net present value (NPV)</t>
  </si>
  <si>
    <t>NPV = -CAPEX + SUM(CF_y / (1 + r)^y), y = 1 to N</t>
  </si>
  <si>
    <t>NPV: EGP today. N: study years. r: discount rate. CF_y: annual net cash flow. Excel implementation sums the discounted column including year zero.</t>
  </si>
  <si>
    <t>Compares the project with no investment, whose NPV is zero. Positive NPV exceeds the assumed required return. Scenarios!C17:E17.</t>
  </si>
  <si>
    <t>Cumulative cash flows</t>
  </si>
  <si>
    <t>Cum_y = Cum_(y-1) + CF_y. DCum_y = DCum_(y-1) + DCF_y. Both start at -CAPEX.</t>
  </si>
  <si>
    <t>Cum: undiscounted EGP. DCum: discounted EGP. Starting balance is year zero.</t>
  </si>
  <si>
    <t>Tracks unrecovered investment and identifies payback crossings. Scenarios annual columns E/F, I/J and M/N.</t>
  </si>
  <si>
    <t>At first crossing: PB = (y - 1) - Cum_(y-1) / CF_y</t>
  </si>
  <si>
    <t>Crossing requires Cum_y &gt;= 0, Cum_(y-1) &lt; 0, CF_y &gt; 0 and y &lt;= N. Otherwise that year receives helper value 999. MIN selects the first crossing; all 999 means Not reached.</t>
  </si>
  <si>
    <t>Estimates years to recover investment without discounting. Uses varying annual cash flows, not simply CAPEX / year-one saving. Scenarios!P79:P98, R79:R98, T79:T98; summary row 18.</t>
  </si>
  <si>
    <t>At first crossing: DPB = (y - 1) - DCum_(y-1) / DCF_y</t>
  </si>
  <si>
    <t>Crossing and sentinel logic are the same as simple payback, using discounted balances and cash flows.</t>
  </si>
  <si>
    <t>Estimates recovery after allowing for the time value of money. Scenarios!Q79:Q98, S79:S98, U79:U98; summary row 19. Fractions interpolate within the crossing year. Later replacement can reduce the balance again.</t>
  </si>
  <si>
    <t>Incremental battery saving</t>
  </si>
  <si>
    <t>Delta saving = SUM(first-year PV comparator bills) - SUM(first-year combined-system bills)</t>
  </si>
  <si>
    <t>Both cases use the same PV and hybrid inverter. Delta saving: EGP/year before maintenance or replacement.</t>
  </si>
  <si>
    <t>Isolates the first-year bill effect of storage rather than comparing systems with different PV sizes. Scenarios!E31 = SUM(Q661:Q672) - SUM(N661:N672).</t>
  </si>
  <si>
    <t>Incremental battery cost</t>
  </si>
  <si>
    <t>Delta CAPEX = combined battery cost × (1 + BOS rate)</t>
  </si>
  <si>
    <t>Battery cost: Scenarios!E61. BOS rate: Assumptions and Catalog!C17. EGP upfront.</t>
  </si>
  <si>
    <t>The comparator already has the same hybrid inverter, so this formula includes no inverter upgrade difference, despite the existing broader row label. Scenarios!E32.</t>
  </si>
  <si>
    <t>System role classification</t>
  </si>
  <si>
    <t>If first-year bill saving &gt; 0: Bill savings, plus backup when P_backup &gt; 0. Otherwise: Backup without savings when P_backup &gt; 0, else No proven savings.</t>
  </si>
  <si>
    <t>Uses bill savings before maintenance and backup power, after configuration validity. It does not use NPV to assign the role.</t>
  </si>
  <si>
    <t>Distinguishes the system's energy/backup role from its investment attractiveness. Scenarios!C24:E24.</t>
  </si>
  <si>
    <t>Financial classification</t>
  </si>
  <si>
    <t>NPV &gt; 0: positive. NPV = 0: discounted break-even. NPV &lt; 0: negative. Invalid configuration: invalid result.</t>
  </si>
  <si>
    <t>NPV uses the selected horizon, discount rate, tariff, costs and replacement assumptions.</t>
  </si>
  <si>
    <t>Summarizes financial performance separately from bill savings and backup. Scenarios!C25:E25.</t>
  </si>
  <si>
    <t>Scope and exclusions</t>
  </si>
  <si>
    <t>Three manually selected configurations. No automatic sizing or optimization equation is used.</t>
  </si>
  <si>
    <t>No financing, tax, subsidy, salvage value, outage valuation or export revenue. Constant daily load and average solar yield. One representative daily battery cycle.</t>
  </si>
  <si>
    <t>Defines what the equations cover. The reference documents the existing model; it does not introduce additional economic benefits or a new optimization algorithm.</t>
  </si>
  <si>
    <t>Actual flat rate</t>
  </si>
  <si>
    <t>Bill and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</si>
</sst>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;\—"/>
    <numFmt numFmtId="165" formatCode="0.0%"/>
  </numFmts>
  <fonts count="12" x14ac:knownFonts="1">
    <font>
      <sz val="10"/>
      <name val="Arial"/>
      <family val="2"/>
    </font>
    <font>
      <sz val="11"/>
      <name val="Calibri"/>
      <charset val="1"/>
    </font>
    <font>
      <sz val="11"/>
      <color rgb="FF17283B"/>
      <name val="Arial"/>
      <charset val="1"/>
    </font>
    <font>
      <b/>
      <sz val="16"/>
      <color rgb="FF16324F"/>
      <name val="Arial"/>
      <charset val="1"/>
    </font>
    <font>
      <sz val="11"/>
      <color rgb="FF526475"/>
      <name val="Arial"/>
      <charset val="1"/>
    </font>
    <font>
      <sz val="11"/>
      <color rgb="FF185ABD"/>
      <name val="Arial"/>
      <charset val="1"/>
    </font>
    <font>
      <b/>
      <sz val="11"/>
      <color rgb="FFFFFFFF"/>
      <name val="Arial"/>
      <charset val="1"/>
    </font>
    <font>
      <b/>
      <sz val="11"/>
      <color rgb="FF17283B"/>
      <name val="Arial"/>
      <charset val="1"/>
    </font>
    <font>
      <sz val="11"/>
      <color rgb="FF17283B"/>
      <name val="Arial"/>
    </font>
    <font>
      <b/>
      <sz val="16"/>
      <color rgb="FF16324F"/>
      <name val="Arial"/>
    </font>
    <font>
      <b/>
      <sz val="11"/>
      <color rgb="FF17283B"/>
      <name val="Arial"/>
    </font>
    <font>
      <b/>
      <sz val="11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CE8E6"/>
      </patternFill>
    </fill>
    <fill>
      <patternFill patternType="solid">
        <fgColor rgb="FFFFF2CC"/>
        <bgColor rgb="FFFCE8E6"/>
      </patternFill>
    </fill>
    <fill>
      <patternFill patternType="solid">
        <fgColor rgb="FF16324F"/>
        <bgColor rgb="FF17283B"/>
      </patternFill>
    </fill>
    <fill>
      <patternFill patternType="solid">
        <fgColor rgb="FFDCE6EF"/>
        <bgColor rgb="FFE7E6E6"/>
      </patternFill>
    </fill>
    <fill>
      <patternFill patternType="none"/>
    </fill>
    <fill>
      <patternFill patternType="solid">
        <fgColor rgb="FFDCE6EF"/>
      </patternFill>
    </fill>
    <fill>
      <patternFill patternType="solid">
        <fgColor rgb="FF16324F"/>
      </patternFill>
    </fill>
    <fill>
      <patternFill patternType="solid">
        <fgColor rgb="FFF1F5F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2" fillId="0" borderId="0" xfId="1" applyNumberFormat="1" applyFont="1" applyAlignment="1">
      <alignment horizontal="left" vertical="center" wrapText="1" readingOrder="1"/>
    </xf>
  </cellStyleXfs>
  <cellXfs count="32">
    <xf numFmtId="0" fontId="0" fillId="0" borderId="0" xfId="0"/>
    <xf numFmtId="0" fontId="10" fillId="7" borderId="1" xfId="2" applyNumberFormat="1" applyFont="1" applyFill="1" applyBorder="1" applyAlignment="1">
      <alignment horizontal="left" vertical="center" wrapText="1"/>
    </xf>
    <xf numFmtId="0" fontId="8" fillId="6" borderId="1" xfId="2" applyNumberFormat="1" applyFont="1" applyFill="1" applyBorder="1" applyAlignment="1">
      <alignment horizontal="left" vertical="center" wrapText="1"/>
    </xf>
    <xf numFmtId="164" fontId="2" fillId="0" borderId="0" xfId="1" applyNumberFormat="1" applyFont="1" applyAlignment="1">
      <alignment vertical="center" wrapText="1"/>
    </xf>
    <xf numFmtId="164" fontId="2" fillId="0" borderId="0" xfId="1" applyNumberFormat="1" applyFont="1" applyAlignment="1">
      <alignment horizontal="left" vertical="center" wrapText="1" readingOrder="1"/>
    </xf>
    <xf numFmtId="16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/>
    </xf>
    <xf numFmtId="164" fontId="7" fillId="5" borderId="0" xfId="1" applyNumberFormat="1" applyFont="1" applyFill="1" applyAlignment="1">
      <alignment horizontal="center" vertical="center" wrapText="1"/>
    </xf>
    <xf numFmtId="0" fontId="1" fillId="0" borderId="0" xfId="1" applyAlignment="1">
      <alignment wrapText="1"/>
    </xf>
    <xf numFmtId="164" fontId="5" fillId="3" borderId="0" xfId="1" applyNumberFormat="1" applyFont="1" applyFill="1" applyAlignment="1" applyProtection="1">
      <alignment horizontal="left" vertical="center" readingOrder="1"/>
      <protection locked="0"/>
    </xf>
    <xf numFmtId="164" fontId="5" fillId="3" borderId="0" xfId="1" applyNumberFormat="1" applyFont="1" applyFill="1" applyAlignment="1" applyProtection="1">
      <alignment vertical="center"/>
      <protection locked="0"/>
    </xf>
    <xf numFmtId="1" fontId="5" fillId="3" borderId="0" xfId="1" applyNumberFormat="1" applyFont="1" applyFill="1" applyAlignment="1" applyProtection="1">
      <alignment vertical="center"/>
      <protection locked="0"/>
    </xf>
    <xf numFmtId="165" fontId="5" fillId="3" borderId="0" xfId="1" applyNumberFormat="1" applyFont="1" applyFill="1" applyAlignment="1" applyProtection="1">
      <alignment vertical="center"/>
      <protection locked="0"/>
    </xf>
    <xf numFmtId="164" fontId="2" fillId="0" borderId="0" xfId="1" applyNumberFormat="1" applyFont="1" applyAlignment="1">
      <alignment horizontal="left" vertical="center" readingOrder="1"/>
    </xf>
    <xf numFmtId="164" fontId="7" fillId="5" borderId="0" xfId="1" applyNumberFormat="1" applyFont="1" applyFill="1" applyAlignment="1">
      <alignment horizontal="left" vertical="center" wrapText="1" readingOrder="1"/>
    </xf>
    <xf numFmtId="164" fontId="2" fillId="0" borderId="0" xfId="1" applyNumberFormat="1" applyFont="1" applyAlignment="1" applyProtection="1">
      <alignment vertical="center"/>
      <protection locked="0"/>
    </xf>
    <xf numFmtId="0" fontId="10" fillId="6" borderId="1" xfId="2" applyNumberFormat="1" applyFont="1" applyFill="1" applyBorder="1" applyAlignment="1">
      <alignment horizontal="left" vertical="center" wrapText="1"/>
    </xf>
    <xf numFmtId="0" fontId="10" fillId="9" borderId="1" xfId="2" applyNumberFormat="1" applyFont="1" applyFill="1" applyBorder="1" applyAlignment="1">
      <alignment horizontal="left" vertical="center" wrapText="1"/>
    </xf>
    <xf numFmtId="164" fontId="2" fillId="0" borderId="0" xfId="1" applyNumberFormat="1" applyFont="1" applyAlignment="1">
      <alignment vertical="center" wrapText="1"/>
    </xf>
    <xf numFmtId="164" fontId="4" fillId="0" borderId="0" xfId="1" applyNumberFormat="1" applyFont="1" applyAlignment="1">
      <alignment horizontal="left" vertical="center" wrapText="1" readingOrder="1"/>
    </xf>
    <xf numFmtId="164" fontId="4" fillId="0" borderId="0" xfId="1" applyNumberFormat="1" applyFont="1" applyAlignment="1">
      <alignment vertical="center" wrapText="1"/>
    </xf>
    <xf numFmtId="164" fontId="6" fillId="4" borderId="0" xfId="1" applyNumberFormat="1" applyFont="1" applyFill="1" applyAlignment="1">
      <alignment horizontal="left" vertical="center" wrapText="1" readingOrder="1"/>
    </xf>
    <xf numFmtId="164" fontId="6" fillId="4" borderId="0" xfId="1" applyNumberFormat="1" applyFont="1" applyFill="1" applyAlignment="1">
      <alignment vertical="center" wrapText="1"/>
    </xf>
    <xf numFmtId="164" fontId="6" fillId="4" borderId="0" xfId="1" applyNumberFormat="1" applyFont="1" applyFill="1" applyAlignment="1">
      <alignment horizontal="left" vertical="center" readingOrder="1"/>
    </xf>
    <xf numFmtId="164" fontId="3" fillId="2" borderId="0" xfId="1" applyNumberFormat="1" applyFont="1" applyFill="1" applyAlignment="1">
      <alignment vertical="center"/>
    </xf>
    <xf numFmtId="0" fontId="8" fillId="9" borderId="1" xfId="2" applyNumberFormat="1" applyFont="1" applyFill="1" applyBorder="1" applyAlignment="1">
      <alignment horizontal="left" vertical="center" wrapText="1"/>
    </xf>
    <xf numFmtId="0" fontId="8" fillId="6" borderId="1" xfId="2" applyNumberFormat="1" applyFont="1" applyFill="1" applyBorder="1" applyAlignment="1">
      <alignment horizontal="left" vertical="center" wrapText="1"/>
    </xf>
    <xf numFmtId="0" fontId="11" fillId="8" borderId="1" xfId="2" applyNumberFormat="1" applyFont="1" applyFill="1" applyBorder="1" applyAlignment="1">
      <alignment horizontal="left" vertical="center" wrapText="1"/>
    </xf>
    <xf numFmtId="0" fontId="10" fillId="7" borderId="1" xfId="2" applyNumberFormat="1" applyFont="1" applyFill="1" applyBorder="1" applyAlignment="1">
      <alignment horizontal="left" vertical="center" wrapText="1"/>
    </xf>
    <xf numFmtId="0" fontId="9" fillId="6" borderId="1" xfId="2" applyNumberFormat="1" applyFont="1" applyFill="1" applyBorder="1" applyAlignment="1">
      <alignment horizontal="left" vertical="center" wrapText="1"/>
    </xf>
    <xf numFmtId="164" fontId="6" fillId="4" borderId="0" xfId="1" applyNumberFormat="1" applyFont="1" applyFill="1" applyAlignment="1">
      <alignment vertical="center"/>
    </xf>
    <xf numFmtId="0" fontId="0" fillId="10" borderId="0" xfId="0" applyFill="1"/>
  </cellXfs>
  <cellStyles count="2">
    <cellStyle name="Normal" xfId="0" builtinId="0"/>
    <cellStyle name="Normal 2" xfId="1" xr:uid="{00000000-0005-0000-0000-000006000000}"/>
  </cellStyles>
  <dxfs count="7">
    <dxf>
      <font>
        <color rgb="FFA61C00"/>
      </font>
      <fill>
        <patternFill>
          <bgColor rgb="FFFCE8E6"/>
        </patternFill>
      </fill>
    </dxf>
    <dxf>
      <font>
        <color rgb="FFA61C00"/>
      </font>
      <fill>
        <patternFill>
          <bgColor rgb="FFFCE8E6"/>
        </patternFill>
      </fill>
    </dxf>
    <dxf>
      <font>
        <color rgb="FF777777"/>
      </font>
      <fill>
        <patternFill>
          <bgColor rgb="FFE7E6E6"/>
        </patternFill>
      </fill>
    </dxf>
    <dxf>
      <font>
        <color rgb="FF777777"/>
      </font>
      <fill>
        <patternFill>
          <bgColor rgb="FFE7E6E6"/>
        </patternFill>
      </fill>
    </dxf>
    <dxf>
      <font>
        <color rgb="FF777777"/>
      </font>
      <fill>
        <patternFill>
          <bgColor rgb="FFE7E6E6"/>
        </patternFill>
      </fill>
    </dxf>
    <dxf>
      <font>
        <color rgb="FF777777"/>
      </font>
      <fill>
        <patternFill>
          <bgColor rgb="FFE7E6E6"/>
        </patternFill>
      </fill>
    </dxf>
    <dxf>
      <font>
        <color rgb="FF777777"/>
      </font>
      <fill>
        <patternFill>
          <bgColor rgb="FF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37C78"/>
      <rgbColor rgb="FFC0C0C0"/>
      <rgbColor rgb="FF777777"/>
      <rgbColor rgb="FF9999FF"/>
      <rgbColor rgb="FF993366"/>
      <rgbColor rgb="FFFFF2CC"/>
      <rgbColor rgb="FFDCE6EF"/>
      <rgbColor rgb="FF660066"/>
      <rgbColor rgb="FFFF8080"/>
      <rgbColor rgb="FF185AB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718D"/>
      <rgbColor rgb="FF969696"/>
      <rgbColor rgb="FF16324F"/>
      <rgbColor rgb="FF339966"/>
      <rgbColor rgb="FF003300"/>
      <rgbColor rgb="FF333300"/>
      <rgbColor rgb="FFA61C00"/>
      <rgbColor rgb="FF993366"/>
      <rgbColor rgb="FF526475"/>
      <rgbColor rgb="FF1728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7C78"/>
    <pageSetUpPr fitToPage="1"/>
  </sheetPr>
  <dimension ref="A1:Q104"/>
  <sheetViews>
    <sheetView showGridLines="0" tabSelected="1" zoomScale="80" zoomScaleNormal="80" workbookViewId="0">
      <selection activeCell="D9" sqref="D9"/>
    </sheetView>
  </sheetViews>
  <sheetFormatPr defaultColWidth="8.42578125" defaultRowHeight="12.75" x14ac:dyDescent="0.2"/>
  <cols>
    <col min="1" max="1" width="43" customWidth="1"/>
    <col min="2" max="2" width="19" customWidth="1"/>
    <col min="3" max="3" width="27" customWidth="1"/>
    <col min="4" max="4" width="17" customWidth="1"/>
    <col min="5" max="8" width="18" customWidth="1"/>
    <col min="9" max="9" width="8.42578125" style="31"/>
    <col min="10" max="10" width="36.5703125" customWidth="1"/>
    <col min="12" max="12" width="22.28515625" customWidth="1"/>
  </cols>
  <sheetData>
    <row r="1" spans="1:17" ht="23.1" customHeight="1" x14ac:dyDescent="0.2">
      <c r="A1" s="5"/>
      <c r="B1" s="5"/>
      <c r="C1" s="5"/>
      <c r="D1" s="5"/>
      <c r="E1" s="5"/>
      <c r="F1" s="5"/>
      <c r="G1" s="5"/>
      <c r="J1" s="3"/>
      <c r="K1" s="5"/>
      <c r="L1" s="5"/>
      <c r="M1" s="5"/>
      <c r="N1" s="5"/>
      <c r="O1" s="5"/>
      <c r="P1" s="5"/>
    </row>
    <row r="2" spans="1:17" ht="30" customHeight="1" x14ac:dyDescent="0.2">
      <c r="A2" s="23" t="s">
        <v>0</v>
      </c>
      <c r="B2" s="24"/>
      <c r="C2" s="24"/>
      <c r="D2" s="24"/>
      <c r="E2" s="24"/>
      <c r="F2" s="24"/>
      <c r="G2" s="5"/>
      <c r="J2" s="21" t="s">
        <v>26</v>
      </c>
      <c r="K2" s="22"/>
      <c r="L2" s="22"/>
      <c r="M2" s="22"/>
      <c r="N2" s="22"/>
      <c r="O2" s="22"/>
      <c r="P2" s="5"/>
    </row>
    <row r="3" spans="1:17" ht="44.1" customHeight="1" x14ac:dyDescent="0.2">
      <c r="A3" s="19" t="s">
        <v>1</v>
      </c>
      <c r="B3" s="20"/>
      <c r="C3" s="20"/>
      <c r="D3" s="20"/>
      <c r="E3" s="20"/>
      <c r="F3" s="20"/>
      <c r="G3" s="20"/>
      <c r="H3" s="20"/>
      <c r="J3" s="4" t="s">
        <v>27</v>
      </c>
      <c r="K3" s="5"/>
      <c r="L3" s="2" t="str">
        <f>IF(OR(C10&lt;=0,COUNT(C10)=0),"Enter billing days",IF(AND(C6&lt;&gt;"Bill only",OR(C7&lt;0,COUNT(C7)=0)),"Enter consumption",IF(AND(C6&lt;&gt;"Consumption only",OR(C8&lt;0,COUNT(C8)=0)),"Enter bill amount",IF(AND(C6="Bill only",C66&lt;&gt;1),"Bill does not give a unique consumption",IF(AND(C14="Specified",OR(C15&lt;=0,COUNT(C15)=0)),"Enter a positive area",IF(AND(C17="Known",OR(C18&lt;0,C18&gt;1,COUNT(C18)=0)),"Check daytime share",IF(AND(C20="Known",OR(C21&lt;=0,COUNT(C21)=0)),"Enter a positive critical load","Ready for indicative calculation")))))))</f>
        <v>Ready for indicative calculation</v>
      </c>
      <c r="M3" s="18"/>
      <c r="N3" s="18"/>
      <c r="O3" s="18"/>
      <c r="P3" s="18"/>
      <c r="Q3" s="18"/>
    </row>
    <row r="4" spans="1:17" ht="23.1" customHeight="1" x14ac:dyDescent="0.2">
      <c r="A4" s="5"/>
      <c r="B4" s="5"/>
      <c r="C4" s="5"/>
      <c r="D4" s="5"/>
      <c r="E4" s="5"/>
      <c r="F4" s="5"/>
      <c r="G4" s="5"/>
      <c r="J4" s="4" t="s">
        <v>28</v>
      </c>
      <c r="K4" s="5"/>
      <c r="L4" s="5">
        <f>IF(L3&lt;&gt;"Ready for indicative calculation","Not available",IF(C6="Bill only",SUM(G50:G63),C7))</f>
        <v>2421</v>
      </c>
      <c r="M4" s="5"/>
      <c r="N4" s="5"/>
      <c r="O4" s="5"/>
      <c r="P4" s="5"/>
    </row>
    <row r="5" spans="1:17" ht="33.950000000000003" customHeight="1" x14ac:dyDescent="0.2">
      <c r="A5" s="4" t="s">
        <v>2</v>
      </c>
      <c r="B5" s="5"/>
      <c r="C5" s="9" t="s">
        <v>3</v>
      </c>
      <c r="D5" s="5"/>
      <c r="E5" s="5"/>
      <c r="F5" s="5"/>
      <c r="G5" s="5"/>
      <c r="J5" s="4" t="s">
        <v>29</v>
      </c>
      <c r="K5" s="5"/>
      <c r="L5" s="5">
        <f>IF(ISNUMBER(L4),L4/C10,"Not available")</f>
        <v>80.7</v>
      </c>
      <c r="M5" s="5"/>
      <c r="N5" s="5"/>
      <c r="O5" s="5"/>
      <c r="P5" s="5"/>
    </row>
    <row r="6" spans="1:17" ht="33.950000000000003" customHeight="1" x14ac:dyDescent="0.2">
      <c r="A6" s="4" t="s">
        <v>4</v>
      </c>
      <c r="B6" s="5"/>
      <c r="C6" s="9" t="s">
        <v>530</v>
      </c>
      <c r="D6" s="5"/>
      <c r="E6" s="5"/>
      <c r="F6" s="5"/>
      <c r="G6" s="5"/>
      <c r="J6" s="4" t="s">
        <v>30</v>
      </c>
      <c r="K6" s="5"/>
      <c r="L6" s="6">
        <f>IF(C17="Known",C18,'Assumptions and Catalog'!$C$13/24)</f>
        <v>0.5</v>
      </c>
      <c r="M6" s="5"/>
      <c r="N6" s="5"/>
      <c r="O6" s="5"/>
      <c r="P6" s="5"/>
    </row>
    <row r="7" spans="1:17" ht="33.950000000000003" customHeight="1" x14ac:dyDescent="0.2">
      <c r="A7" s="4" t="s">
        <v>5</v>
      </c>
      <c r="B7" s="5"/>
      <c r="C7" s="10">
        <v>2421</v>
      </c>
      <c r="D7" s="5"/>
      <c r="E7" s="2" t="s">
        <v>6</v>
      </c>
      <c r="F7" s="18"/>
      <c r="G7" s="18"/>
      <c r="H7" s="18"/>
      <c r="J7" s="4" t="s">
        <v>31</v>
      </c>
      <c r="K7" s="5"/>
      <c r="L7" s="5">
        <f>IF(ISNUMBER(L4),IF(Inputs!$C$9="Residential",IF(L4&lt;='Assumptions and Catalog'!$C$50,L4*'Assumptions and Catalog'!$H$50+'Assumptions and Catalog'!$E$50+'Assumptions and Catalog'!$F$50,IF(L4&lt;='Assumptions and Catalog'!$C$51,L4*'Assumptions and Catalog'!$H$51+'Assumptions and Catalog'!$E$51+'Assumptions and Catalog'!$F$51,IF(L4&lt;='Assumptions and Catalog'!$C$52,L4*'Assumptions and Catalog'!$H$52+'Assumptions and Catalog'!$E$52+'Assumptions and Catalog'!$F$52,IF(L4&lt;='Assumptions and Catalog'!$C$53,L4*'Assumptions and Catalog'!$H$53+'Assumptions and Catalog'!$E$53+'Assumptions and Catalog'!$F$53,IF(L4&lt;='Assumptions and Catalog'!$C$54,L4*'Assumptions and Catalog'!$H$54+'Assumptions and Catalog'!$E$54+'Assumptions and Catalog'!$F$54,IF(L4&lt;='Assumptions and Catalog'!$C$55,L4*'Assumptions and Catalog'!$H$55+'Assumptions and Catalog'!$E$55+'Assumptions and Catalog'!$F$55,IF(L4&lt;='Assumptions and Catalog'!$C$56,L4*'Assumptions and Catalog'!$H$56+'Assumptions and Catalog'!$E$56+'Assumptions and Catalog'!$F$56,IF(L4&lt;='Assumptions and Catalog'!$C$57,L4*'Assumptions and Catalog'!$H$57+'Assumptions and Catalog'!$E$57+'Assumptions and Catalog'!$F$57,"Out of range")))))))),IF(L4&lt;='Assumptions and Catalog'!$C$60,L4*'Assumptions and Catalog'!$H$60+'Assumptions and Catalog'!$E$60+'Assumptions and Catalog'!$F$60,IF(L4&lt;='Assumptions and Catalog'!$C$61,L4*'Assumptions and Catalog'!$H$61+'Assumptions and Catalog'!$E$61+'Assumptions and Catalog'!$F$61,IF(L4&lt;='Assumptions and Catalog'!$C$62,L4*'Assumptions and Catalog'!$H$62+'Assumptions and Catalog'!$E$62+'Assumptions and Catalog'!$F$62,IF(L4&lt;='Assumptions and Catalog'!$C$63,L4*'Assumptions and Catalog'!$H$63+'Assumptions and Catalog'!$E$63+'Assumptions and Catalog'!$F$63,IF(L4&lt;='Assumptions and Catalog'!$C$64,L4*'Assumptions and Catalog'!$H$64+'Assumptions and Catalog'!$E$64+'Assumptions and Catalog'!$F$64,IF(L4&lt;='Assumptions and Catalog'!$C$65,L4*'Assumptions and Catalog'!$H$65+'Assumptions and Catalog'!$E$65+'Assumptions and Catalog'!$F$65,"Out of range"))))))),"Not available")</f>
        <v>6867.2199999999993</v>
      </c>
      <c r="M7" s="5"/>
      <c r="N7" s="5"/>
      <c r="O7" s="5"/>
      <c r="P7" s="5"/>
    </row>
    <row r="8" spans="1:17" ht="33.950000000000003" customHeight="1" x14ac:dyDescent="0.2">
      <c r="A8" s="4" t="s">
        <v>7</v>
      </c>
      <c r="B8" s="5"/>
      <c r="C8" s="10">
        <v>8279</v>
      </c>
      <c r="D8" s="5"/>
      <c r="E8" s="2" t="s">
        <v>8</v>
      </c>
      <c r="F8" s="18"/>
      <c r="G8" s="18"/>
      <c r="H8" s="18"/>
      <c r="J8" s="4" t="s">
        <v>32</v>
      </c>
      <c r="K8" s="5"/>
      <c r="L8" s="5">
        <f>IF(AND(C6="Bill and consumption",ISNUMBER(L7)),C8-L7,"Not available")</f>
        <v>1411.7800000000007</v>
      </c>
      <c r="M8" s="5"/>
      <c r="N8" s="5"/>
      <c r="O8" s="5"/>
      <c r="P8" s="5"/>
    </row>
    <row r="9" spans="1:17" ht="33.950000000000003" customHeight="1" x14ac:dyDescent="0.2">
      <c r="A9" s="4" t="s">
        <v>9</v>
      </c>
      <c r="B9" s="5"/>
      <c r="C9" s="9" t="s">
        <v>10</v>
      </c>
      <c r="D9" s="5"/>
      <c r="E9" s="5"/>
      <c r="F9" s="5"/>
      <c r="G9" s="5"/>
      <c r="J9" s="4" t="s">
        <v>33</v>
      </c>
      <c r="K9" s="5"/>
      <c r="L9" s="13" t="str">
        <f>IF(AND(C6="Bill and consumption",C7&gt;0,C11="Actual flat rate"),"Actual flat rate","Official")</f>
        <v>Actual flat rate</v>
      </c>
      <c r="M9" s="5"/>
      <c r="N9" s="5"/>
      <c r="O9" s="5"/>
      <c r="P9" s="5"/>
    </row>
    <row r="10" spans="1:17" ht="33.950000000000003" customHeight="1" x14ac:dyDescent="0.2">
      <c r="A10" s="4" t="s">
        <v>11</v>
      </c>
      <c r="B10" s="5"/>
      <c r="C10" s="11">
        <v>30</v>
      </c>
      <c r="D10" s="5"/>
      <c r="E10" s="5"/>
      <c r="F10" s="5"/>
      <c r="G10" s="5"/>
      <c r="J10" s="4" t="s">
        <v>34</v>
      </c>
      <c r="K10" s="5"/>
      <c r="L10" s="5">
        <f>IF(AND(C6="Bill and consumption",C7&gt;0),C8/C7,"Not available")</f>
        <v>3.4196612969847169</v>
      </c>
      <c r="M10" s="5"/>
      <c r="N10" s="5"/>
      <c r="O10" s="5"/>
      <c r="P10" s="5"/>
    </row>
    <row r="11" spans="1:17" ht="33.950000000000003" customHeight="1" x14ac:dyDescent="0.2">
      <c r="A11" s="4" t="s">
        <v>12</v>
      </c>
      <c r="B11" s="5"/>
      <c r="C11" s="9" t="s">
        <v>529</v>
      </c>
      <c r="D11" s="5"/>
      <c r="E11" s="2" t="s">
        <v>13</v>
      </c>
      <c r="F11" s="18"/>
      <c r="G11" s="18"/>
      <c r="H11" s="18"/>
      <c r="J11" s="4" t="s">
        <v>35</v>
      </c>
      <c r="K11" s="5"/>
      <c r="L11" s="5">
        <f>IF(AND(ISNUMBER(L4),L4&gt;0),L7/L4,"Not available")</f>
        <v>2.8365220983064847</v>
      </c>
      <c r="M11" s="5"/>
      <c r="N11" s="5"/>
      <c r="O11" s="5"/>
      <c r="P11" s="5"/>
    </row>
    <row r="12" spans="1:17" ht="33.950000000000003" customHeight="1" x14ac:dyDescent="0.2">
      <c r="A12" s="3"/>
      <c r="B12" s="5"/>
      <c r="C12" s="5"/>
      <c r="D12" s="5"/>
      <c r="E12" s="5"/>
      <c r="F12" s="5"/>
      <c r="G12" s="5"/>
      <c r="J12" s="4" t="s">
        <v>36</v>
      </c>
      <c r="K12" s="5"/>
      <c r="L12" s="5">
        <f>IF(AND(ISNUMBER(L10),ISNUMBER(L11)),L10-L11,"Not available")</f>
        <v>0.58313919867823216</v>
      </c>
      <c r="M12" s="5"/>
      <c r="N12" s="5"/>
      <c r="O12" s="5"/>
      <c r="P12" s="5"/>
    </row>
    <row r="13" spans="1:17" ht="33.950000000000003" customHeight="1" x14ac:dyDescent="0.2">
      <c r="A13" s="3"/>
      <c r="B13" s="5"/>
      <c r="C13" s="5"/>
      <c r="D13" s="5"/>
      <c r="E13" s="5"/>
      <c r="F13" s="5"/>
      <c r="G13" s="5"/>
      <c r="J13" s="4" t="s">
        <v>37</v>
      </c>
      <c r="K13" s="5"/>
      <c r="L13" s="5">
        <f>IF(ISNUMBER(L4),IF(L9="Actual flat rate",L4*L10,L7),"Not available")</f>
        <v>8279</v>
      </c>
      <c r="M13" s="5"/>
      <c r="N13" s="5"/>
      <c r="O13" s="5"/>
      <c r="P13" s="5"/>
    </row>
    <row r="14" spans="1:17" ht="33.950000000000003" customHeight="1" x14ac:dyDescent="0.2">
      <c r="A14" s="4" t="s">
        <v>14</v>
      </c>
      <c r="B14" s="5"/>
      <c r="C14" s="9" t="s">
        <v>15</v>
      </c>
      <c r="D14" s="5"/>
      <c r="E14" s="5"/>
      <c r="F14" s="5"/>
      <c r="G14" s="5"/>
      <c r="J14" s="4" t="s">
        <v>38</v>
      </c>
      <c r="K14" s="5"/>
      <c r="L14" s="2" t="str">
        <f>"Reference tariffs and prices: verify before commercial use"</f>
        <v>Reference tariffs and prices: verify before commercial use</v>
      </c>
      <c r="M14" s="18"/>
      <c r="N14" s="18"/>
      <c r="O14" s="18"/>
      <c r="P14" s="18"/>
      <c r="Q14" s="18"/>
    </row>
    <row r="15" spans="1:17" ht="33.950000000000003" customHeight="1" x14ac:dyDescent="0.2">
      <c r="A15" s="4" t="s">
        <v>16</v>
      </c>
      <c r="B15" s="5"/>
      <c r="C15" s="10">
        <v>50</v>
      </c>
      <c r="D15" s="5"/>
      <c r="E15" s="2" t="s">
        <v>17</v>
      </c>
      <c r="F15" s="18"/>
      <c r="G15" s="18"/>
      <c r="H15" s="18"/>
      <c r="J15" s="3"/>
      <c r="K15" s="5"/>
      <c r="L15" s="5"/>
      <c r="M15" s="5"/>
      <c r="N15" s="5"/>
      <c r="O15" s="5"/>
      <c r="P15" s="5"/>
    </row>
    <row r="16" spans="1:17" ht="33.950000000000003" customHeight="1" x14ac:dyDescent="0.2">
      <c r="A16" s="3"/>
      <c r="B16" s="5"/>
      <c r="C16" s="5"/>
      <c r="D16" s="5"/>
      <c r="E16" s="5"/>
      <c r="F16" s="5"/>
      <c r="G16" s="5"/>
    </row>
    <row r="17" spans="1:8" ht="33.950000000000003" customHeight="1" x14ac:dyDescent="0.2">
      <c r="A17" s="4" t="s">
        <v>18</v>
      </c>
      <c r="B17" s="5"/>
      <c r="C17" s="9" t="s">
        <v>19</v>
      </c>
      <c r="D17" s="5"/>
      <c r="E17" s="5"/>
      <c r="F17" s="5"/>
      <c r="G17" s="5"/>
    </row>
    <row r="18" spans="1:8" ht="33.950000000000003" customHeight="1" x14ac:dyDescent="0.2">
      <c r="A18" s="4" t="s">
        <v>20</v>
      </c>
      <c r="B18" s="5"/>
      <c r="C18" s="12">
        <v>0.5</v>
      </c>
      <c r="D18" s="5"/>
      <c r="E18" s="2" t="s">
        <v>21</v>
      </c>
      <c r="F18" s="18"/>
      <c r="G18" s="18"/>
      <c r="H18" s="18"/>
    </row>
    <row r="19" spans="1:8" ht="33.950000000000003" customHeight="1" x14ac:dyDescent="0.2">
      <c r="A19" s="3"/>
      <c r="B19" s="5"/>
      <c r="C19" s="5"/>
      <c r="D19" s="5"/>
      <c r="E19" s="5"/>
      <c r="F19" s="5"/>
      <c r="G19" s="5"/>
    </row>
    <row r="20" spans="1:8" ht="33.950000000000003" customHeight="1" x14ac:dyDescent="0.2">
      <c r="A20" s="4" t="s">
        <v>22</v>
      </c>
      <c r="B20" s="5"/>
      <c r="C20" s="9" t="s">
        <v>23</v>
      </c>
      <c r="D20" s="5"/>
      <c r="E20" s="5"/>
      <c r="F20" s="5"/>
      <c r="G20" s="5"/>
    </row>
    <row r="21" spans="1:8" ht="33.950000000000003" customHeight="1" x14ac:dyDescent="0.2">
      <c r="A21" s="4" t="s">
        <v>24</v>
      </c>
      <c r="B21" s="5"/>
      <c r="C21" s="10">
        <v>4</v>
      </c>
      <c r="D21" s="5"/>
      <c r="E21" s="2" t="s">
        <v>25</v>
      </c>
      <c r="F21" s="18"/>
      <c r="G21" s="18"/>
      <c r="H21" s="18"/>
    </row>
    <row r="22" spans="1:8" ht="33.950000000000003" customHeight="1" x14ac:dyDescent="0.2">
      <c r="A22" s="3"/>
      <c r="B22" s="5"/>
      <c r="C22" s="5"/>
      <c r="D22" s="5"/>
      <c r="E22" s="5"/>
      <c r="F22" s="5"/>
      <c r="G22" s="5"/>
    </row>
    <row r="23" spans="1:8" ht="33.950000000000003" customHeight="1" x14ac:dyDescent="0.2"/>
    <row r="24" spans="1:8" ht="33.950000000000003" customHeight="1" x14ac:dyDescent="0.2"/>
    <row r="25" spans="1:8" ht="33.950000000000003" customHeight="1" x14ac:dyDescent="0.2"/>
    <row r="26" spans="1:8" ht="33.950000000000003" customHeight="1" x14ac:dyDescent="0.2"/>
    <row r="27" spans="1:8" ht="33.950000000000003" customHeight="1" x14ac:dyDescent="0.2"/>
    <row r="28" spans="1:8" ht="33.950000000000003" customHeight="1" x14ac:dyDescent="0.2"/>
    <row r="29" spans="1:8" ht="33.950000000000003" customHeight="1" x14ac:dyDescent="0.2"/>
    <row r="30" spans="1:8" ht="33.950000000000003" customHeight="1" x14ac:dyDescent="0.2"/>
    <row r="31" spans="1:8" ht="33.950000000000003" customHeight="1" x14ac:dyDescent="0.2"/>
    <row r="32" spans="1:8" ht="33.950000000000003" customHeight="1" x14ac:dyDescent="0.2"/>
    <row r="33" spans="1:8" ht="33.950000000000003" customHeight="1" x14ac:dyDescent="0.2"/>
    <row r="34" spans="1:8" ht="33.950000000000003" customHeight="1" x14ac:dyDescent="0.2"/>
    <row r="35" spans="1:8" ht="33.950000000000003" customHeight="1" x14ac:dyDescent="0.2"/>
    <row r="36" spans="1:8" ht="33.950000000000003" customHeight="1" x14ac:dyDescent="0.2"/>
    <row r="37" spans="1:8" ht="33.950000000000003" customHeight="1" x14ac:dyDescent="0.2"/>
    <row r="38" spans="1:8" ht="33.950000000000003" customHeight="1" x14ac:dyDescent="0.2">
      <c r="A38" s="3"/>
      <c r="B38" s="5"/>
      <c r="C38" s="5"/>
      <c r="D38" s="5"/>
      <c r="E38" s="5"/>
      <c r="F38" s="5"/>
      <c r="G38" s="5"/>
    </row>
    <row r="39" spans="1:8" ht="44.1" customHeight="1" x14ac:dyDescent="0.2">
      <c r="A39" s="19" t="s">
        <v>39</v>
      </c>
      <c r="B39" s="20"/>
      <c r="C39" s="20"/>
      <c r="D39" s="20"/>
      <c r="E39" s="20"/>
      <c r="F39" s="20"/>
      <c r="G39" s="20"/>
      <c r="H39" s="20"/>
    </row>
    <row r="40" spans="1:8" ht="44.1" customHeight="1" x14ac:dyDescent="0.2">
      <c r="A40" s="19" t="s">
        <v>40</v>
      </c>
      <c r="B40" s="20"/>
      <c r="C40" s="20"/>
      <c r="D40" s="20"/>
      <c r="E40" s="20"/>
      <c r="F40" s="20"/>
      <c r="G40" s="20"/>
      <c r="H40" s="20"/>
    </row>
    <row r="41" spans="1:8" ht="44.1" customHeight="1" x14ac:dyDescent="0.2">
      <c r="A41" s="19" t="s">
        <v>41</v>
      </c>
      <c r="B41" s="20"/>
      <c r="C41" s="20"/>
      <c r="D41" s="20"/>
      <c r="E41" s="20"/>
      <c r="F41" s="20"/>
      <c r="G41" s="20"/>
      <c r="H41" s="20"/>
    </row>
    <row r="42" spans="1:8" ht="33.950000000000003" customHeight="1" x14ac:dyDescent="0.2">
      <c r="A42" s="3"/>
      <c r="B42" s="5"/>
      <c r="C42" s="5"/>
      <c r="D42" s="5"/>
      <c r="E42" s="5"/>
      <c r="F42" s="5"/>
      <c r="G42" s="5"/>
    </row>
    <row r="43" spans="1:8" ht="33.950000000000003" customHeight="1" x14ac:dyDescent="0.2">
      <c r="A43" s="3"/>
      <c r="B43" s="5"/>
      <c r="C43" s="5"/>
      <c r="D43" s="5"/>
      <c r="E43" s="5"/>
      <c r="F43" s="5"/>
      <c r="G43" s="5"/>
    </row>
    <row r="44" spans="1:8" ht="33.950000000000003" customHeight="1" x14ac:dyDescent="0.2">
      <c r="A44" s="3"/>
      <c r="B44" s="5"/>
      <c r="C44" s="5"/>
      <c r="D44" s="5"/>
      <c r="E44" s="5"/>
      <c r="F44" s="5"/>
      <c r="G44" s="5"/>
    </row>
    <row r="45" spans="1:8" ht="33.950000000000003" customHeight="1" x14ac:dyDescent="0.2">
      <c r="A45" s="3"/>
      <c r="B45" s="5"/>
      <c r="C45" s="5"/>
      <c r="D45" s="5"/>
      <c r="E45" s="5"/>
      <c r="F45" s="5"/>
      <c r="G45" s="5"/>
    </row>
    <row r="46" spans="1:8" ht="33.950000000000003" customHeight="1" x14ac:dyDescent="0.2">
      <c r="A46" s="3"/>
      <c r="B46" s="5"/>
      <c r="C46" s="5"/>
      <c r="D46" s="5"/>
      <c r="E46" s="5"/>
      <c r="F46" s="5"/>
      <c r="G46" s="5"/>
    </row>
    <row r="47" spans="1:8" ht="33.950000000000003" customHeight="1" x14ac:dyDescent="0.2">
      <c r="A47" s="21" t="s">
        <v>42</v>
      </c>
      <c r="B47" s="22"/>
      <c r="C47" s="22"/>
      <c r="D47" s="22"/>
      <c r="E47" s="22"/>
      <c r="F47" s="22"/>
      <c r="G47" s="22"/>
      <c r="H47" s="22"/>
    </row>
    <row r="48" spans="1:8" ht="33.950000000000003" customHeight="1" x14ac:dyDescent="0.2">
      <c r="A48" s="3"/>
      <c r="B48" s="5"/>
      <c r="C48" s="5"/>
      <c r="D48" s="5"/>
      <c r="E48" s="5"/>
      <c r="F48" s="5"/>
      <c r="G48" s="5"/>
    </row>
    <row r="49" spans="1:7" ht="33.950000000000003" customHeight="1" x14ac:dyDescent="0.2">
      <c r="A49" s="14" t="s">
        <v>43</v>
      </c>
      <c r="B49" s="14" t="s">
        <v>44</v>
      </c>
      <c r="C49" s="14" t="s">
        <v>45</v>
      </c>
      <c r="D49" s="14" t="s">
        <v>46</v>
      </c>
      <c r="E49" s="14" t="s">
        <v>47</v>
      </c>
      <c r="F49" s="14" t="s">
        <v>48</v>
      </c>
      <c r="G49" s="14" t="s">
        <v>49</v>
      </c>
    </row>
    <row r="50" spans="1:7" ht="33.950000000000003" customHeight="1" x14ac:dyDescent="0.2">
      <c r="A50" s="4" t="str">
        <f>'Assumptions and Catalog'!$A$50</f>
        <v>Residential</v>
      </c>
      <c r="B50" s="5">
        <f>'Assumptions and Catalog'!$B$50</f>
        <v>-1</v>
      </c>
      <c r="C50" s="5">
        <f>'Assumptions and Catalog'!$C$50</f>
        <v>0</v>
      </c>
      <c r="D50" s="5">
        <f>IF('Assumptions and Catalog'!$H$50=0,0,($C$8-'Assumptions and Catalog'!$E$50-'Assumptions and Catalog'!$F$50)/'Assumptions and Catalog'!$H$50)</f>
        <v>0</v>
      </c>
      <c r="E50" s="5">
        <f>D50*'Assumptions and Catalog'!$H$50+'Assumptions and Catalog'!$E$50+'Assumptions and Catalog'!$F$50</f>
        <v>9</v>
      </c>
      <c r="F50" s="5">
        <f>IF(AND(A50=$C$9,D50&gt;B50,D50&lt;=C50,D50&gt;=0,ABS(E50-$C$8)&lt;='Assumptions and Catalog'!$C$25),1,0)</f>
        <v>0</v>
      </c>
      <c r="G50" s="5">
        <f t="shared" ref="G50:G63" si="0">IF(F50=1,D50,0)</f>
        <v>0</v>
      </c>
    </row>
    <row r="51" spans="1:7" ht="33.950000000000003" customHeight="1" x14ac:dyDescent="0.2">
      <c r="A51" s="4" t="str">
        <f>'Assumptions and Catalog'!$A$51</f>
        <v>Residential</v>
      </c>
      <c r="B51" s="5">
        <f>'Assumptions and Catalog'!$B$51</f>
        <v>0</v>
      </c>
      <c r="C51" s="5">
        <f>'Assumptions and Catalog'!$C$51</f>
        <v>50</v>
      </c>
      <c r="D51" s="5">
        <f>IF('Assumptions and Catalog'!$H$51=0,0,($C$8-'Assumptions and Catalog'!$E$51-'Assumptions and Catalog'!$F$51)/'Assumptions and Catalog'!$H$51)</f>
        <v>12173.529411764704</v>
      </c>
      <c r="E51" s="5">
        <f>D51*'Assumptions and Catalog'!$H$51+'Assumptions and Catalog'!$E$51+'Assumptions and Catalog'!$F$51</f>
        <v>8279</v>
      </c>
      <c r="F51" s="5">
        <f>IF(AND(A51=$C$9,D51&gt;B51,D51&lt;=C51,D51&gt;=0,ABS(E51-$C$8)&lt;='Assumptions and Catalog'!$C$25),1,0)</f>
        <v>0</v>
      </c>
      <c r="G51" s="5">
        <f t="shared" si="0"/>
        <v>0</v>
      </c>
    </row>
    <row r="52" spans="1:7" ht="33.950000000000003" customHeight="1" x14ac:dyDescent="0.2">
      <c r="A52" s="4" t="str">
        <f>'Assumptions and Catalog'!$A$52</f>
        <v>Residential</v>
      </c>
      <c r="B52" s="5">
        <f>'Assumptions and Catalog'!$B$52</f>
        <v>50</v>
      </c>
      <c r="C52" s="5">
        <f>'Assumptions and Catalog'!$C$52</f>
        <v>100</v>
      </c>
      <c r="D52" s="5">
        <f>IF('Assumptions and Catalog'!$H$52=0,0,($C$8-'Assumptions and Catalog'!$E$52-'Assumptions and Catalog'!$F$52)/'Assumptions and Catalog'!$H$52)</f>
        <v>9524.7126436781618</v>
      </c>
      <c r="E52" s="5">
        <f>D52*'Assumptions and Catalog'!$H$52+'Assumptions and Catalog'!$E$52+'Assumptions and Catalog'!$F$52</f>
        <v>8279</v>
      </c>
      <c r="F52" s="5">
        <f>IF(AND(A52=$C$9,D52&gt;B52,D52&lt;=C52,D52&gt;=0,ABS(E52-$C$8)&lt;='Assumptions and Catalog'!$C$25),1,0)</f>
        <v>0</v>
      </c>
      <c r="G52" s="5">
        <f t="shared" si="0"/>
        <v>0</v>
      </c>
    </row>
    <row r="53" spans="1:7" ht="33.950000000000003" customHeight="1" x14ac:dyDescent="0.2">
      <c r="A53" s="4" t="str">
        <f>'Assumptions and Catalog'!$A$53</f>
        <v>Residential</v>
      </c>
      <c r="B53" s="5">
        <f>'Assumptions and Catalog'!$B$53</f>
        <v>100</v>
      </c>
      <c r="C53" s="5">
        <f>'Assumptions and Catalog'!$C$53</f>
        <v>200</v>
      </c>
      <c r="D53" s="5">
        <f>IF('Assumptions and Catalog'!$H$53=0,0,($C$8-'Assumptions and Catalog'!$E$53-'Assumptions and Catalog'!$F$53)/'Assumptions and Catalog'!$H$53)</f>
        <v>8273</v>
      </c>
      <c r="E53" s="5">
        <f>D53*'Assumptions and Catalog'!$H$53+'Assumptions and Catalog'!$E$53+'Assumptions and Catalog'!$F$53</f>
        <v>8279</v>
      </c>
      <c r="F53" s="5">
        <f>IF(AND(A53=$C$9,D53&gt;B53,D53&lt;=C53,D53&gt;=0,ABS(E53-$C$8)&lt;='Assumptions and Catalog'!$C$25),1,0)</f>
        <v>0</v>
      </c>
      <c r="G53" s="5">
        <f t="shared" si="0"/>
        <v>0</v>
      </c>
    </row>
    <row r="54" spans="1:7" ht="33.950000000000003" customHeight="1" x14ac:dyDescent="0.2">
      <c r="A54" s="4" t="str">
        <f>'Assumptions and Catalog'!$A$54</f>
        <v>Residential</v>
      </c>
      <c r="B54" s="5">
        <f>'Assumptions and Catalog'!$B$54</f>
        <v>200</v>
      </c>
      <c r="C54" s="5">
        <f>'Assumptions and Catalog'!$C$54</f>
        <v>350</v>
      </c>
      <c r="D54" s="5">
        <f>IF('Assumptions and Catalog'!$H$54=0,0,($C$8-'Assumptions and Catalog'!$E$54-'Assumptions and Catalog'!$F$54)/'Assumptions and Catalog'!$H$54)</f>
        <v>4863.5838150289019</v>
      </c>
      <c r="E54" s="5">
        <f>D54*'Assumptions and Catalog'!$H$54+'Assumptions and Catalog'!$E$54+'Assumptions and Catalog'!$F$54</f>
        <v>8279</v>
      </c>
      <c r="F54" s="5">
        <f>IF(AND(A54=$C$9,D54&gt;B54,D54&lt;=C54,D54&gt;=0,ABS(E54-$C$8)&lt;='Assumptions and Catalog'!$C$25),1,0)</f>
        <v>0</v>
      </c>
      <c r="G54" s="5">
        <f t="shared" si="0"/>
        <v>0</v>
      </c>
    </row>
    <row r="55" spans="1:7" ht="33.950000000000003" customHeight="1" x14ac:dyDescent="0.2">
      <c r="A55" s="4" t="str">
        <f>'Assumptions and Catalog'!$A$55</f>
        <v>Residential</v>
      </c>
      <c r="B55" s="5">
        <f>'Assumptions and Catalog'!$B$55</f>
        <v>350</v>
      </c>
      <c r="C55" s="5">
        <f>'Assumptions and Catalog'!$C$55</f>
        <v>650</v>
      </c>
      <c r="D55" s="5">
        <f>IF('Assumptions and Catalog'!$H$55=0,0,($C$8-'Assumptions and Catalog'!$E$55-'Assumptions and Catalog'!$F$55)/'Assumptions and Catalog'!$H$55)</f>
        <v>3930.0458715596328</v>
      </c>
      <c r="E55" s="5">
        <f>D55*'Assumptions and Catalog'!$H$55+'Assumptions and Catalog'!$E$55+'Assumptions and Catalog'!$F$55</f>
        <v>8279</v>
      </c>
      <c r="F55" s="5">
        <f>IF(AND(A55=$C$9,D55&gt;B55,D55&lt;=C55,D55&gt;=0,ABS(E55-$C$8)&lt;='Assumptions and Catalog'!$C$25),1,0)</f>
        <v>0</v>
      </c>
      <c r="G55" s="5">
        <f t="shared" si="0"/>
        <v>0</v>
      </c>
    </row>
    <row r="56" spans="1:7" ht="33.950000000000003" customHeight="1" x14ac:dyDescent="0.2">
      <c r="A56" s="4" t="str">
        <f>'Assumptions and Catalog'!$A$56</f>
        <v>Residential</v>
      </c>
      <c r="B56" s="5">
        <f>'Assumptions and Catalog'!$B$56</f>
        <v>650</v>
      </c>
      <c r="C56" s="5">
        <f>'Assumptions and Catalog'!$C$56</f>
        <v>1000</v>
      </c>
      <c r="D56" s="5">
        <f>IF('Assumptions and Catalog'!$H$56=0,0,($C$8-'Assumptions and Catalog'!$E$56-'Assumptions and Catalog'!$F$56)/'Assumptions and Catalog'!$H$56)</f>
        <v>3512.3404255319147</v>
      </c>
      <c r="E56" s="5">
        <f>D56*'Assumptions and Catalog'!$H$56+'Assumptions and Catalog'!$E$56+'Assumptions and Catalog'!$F$56</f>
        <v>8279</v>
      </c>
      <c r="F56" s="5">
        <f>IF(AND(A56=$C$9,D56&gt;B56,D56&lt;=C56,D56&gt;=0,ABS(E56-$C$8)&lt;='Assumptions and Catalog'!$C$25),1,0)</f>
        <v>0</v>
      </c>
      <c r="G56" s="5">
        <f t="shared" si="0"/>
        <v>0</v>
      </c>
    </row>
    <row r="57" spans="1:7" ht="33.950000000000003" customHeight="1" x14ac:dyDescent="0.2">
      <c r="A57" s="4" t="str">
        <f>'Assumptions and Catalog'!$A$57</f>
        <v>Residential</v>
      </c>
      <c r="B57" s="5">
        <f>'Assumptions and Catalog'!$B$57</f>
        <v>1000</v>
      </c>
      <c r="C57" s="5">
        <f>'Assumptions and Catalog'!$C$57</f>
        <v>10000000</v>
      </c>
      <c r="D57" s="5">
        <f>IF('Assumptions and Catalog'!$H$57=0,0,($C$8-'Assumptions and Catalog'!$E$57-'Assumptions and Catalog'!$F$57)/'Assumptions and Catalog'!$H$57)</f>
        <v>2850.8650519031139</v>
      </c>
      <c r="E57" s="5">
        <f>D57*'Assumptions and Catalog'!$H$57+'Assumptions and Catalog'!$E$57+'Assumptions and Catalog'!$F$57</f>
        <v>8279</v>
      </c>
      <c r="F57" s="5">
        <f>IF(AND(A57=$C$9,D57&gt;B57,D57&lt;=C57,D57&gt;=0,ABS(E57-$C$8)&lt;='Assumptions and Catalog'!$C$25),1,0)</f>
        <v>0</v>
      </c>
      <c r="G57" s="5">
        <f t="shared" si="0"/>
        <v>0</v>
      </c>
    </row>
    <row r="58" spans="1:7" ht="33.950000000000003" customHeight="1" x14ac:dyDescent="0.2">
      <c r="A58" s="4" t="str">
        <f>'Assumptions and Catalog'!$A$60</f>
        <v>Commercial</v>
      </c>
      <c r="B58" s="5">
        <f>'Assumptions and Catalog'!$B$60</f>
        <v>-1</v>
      </c>
      <c r="C58" s="5">
        <f>'Assumptions and Catalog'!$C$60</f>
        <v>0</v>
      </c>
      <c r="D58" s="5">
        <f>IF('Assumptions and Catalog'!$H$60=0,0,($C$8-'Assumptions and Catalog'!$E$60-'Assumptions and Catalog'!$F$60)/'Assumptions and Catalog'!$H$60)</f>
        <v>0</v>
      </c>
      <c r="E58" s="5">
        <f>D58*'Assumptions and Catalog'!$H$60+'Assumptions and Catalog'!$E$60+'Assumptions and Catalog'!$F$60</f>
        <v>9</v>
      </c>
      <c r="F58" s="5">
        <f>IF(AND(A58=$C$9,D58&gt;B58,D58&lt;=C58,D58&gt;=0,ABS(E58-$C$8)&lt;='Assumptions and Catalog'!$C$25),1,0)</f>
        <v>0</v>
      </c>
      <c r="G58" s="5">
        <f t="shared" si="0"/>
        <v>0</v>
      </c>
    </row>
    <row r="59" spans="1:7" ht="33.950000000000003" customHeight="1" x14ac:dyDescent="0.2">
      <c r="A59" s="4" t="str">
        <f>'Assumptions and Catalog'!$A$61</f>
        <v>Commercial</v>
      </c>
      <c r="B59" s="5">
        <f>'Assumptions and Catalog'!$B$61</f>
        <v>0</v>
      </c>
      <c r="C59" s="5">
        <f>'Assumptions and Catalog'!$C$61</f>
        <v>100</v>
      </c>
      <c r="D59" s="5">
        <f>IF('Assumptions and Catalog'!$H$61=0,0,($C$8-'Assumptions and Catalog'!$E$61-'Assumptions and Catalog'!$F$61)/'Assumptions and Catalog'!$H$61)</f>
        <v>5014.545454545454</v>
      </c>
      <c r="E59" s="5">
        <f>D59*'Assumptions and Catalog'!$H$61+'Assumptions and Catalog'!$E$61+'Assumptions and Catalog'!$F$61</f>
        <v>8279</v>
      </c>
      <c r="F59" s="5">
        <f>IF(AND(A59=$C$9,D59&gt;B59,D59&lt;=C59,D59&gt;=0,ABS(E59-$C$8)&lt;='Assumptions and Catalog'!$C$25),1,0)</f>
        <v>0</v>
      </c>
      <c r="G59" s="5">
        <f t="shared" si="0"/>
        <v>0</v>
      </c>
    </row>
    <row r="60" spans="1:7" ht="33.950000000000003" customHeight="1" x14ac:dyDescent="0.2">
      <c r="A60" s="4" t="str">
        <f>'Assumptions and Catalog'!$A$62</f>
        <v>Commercial</v>
      </c>
      <c r="B60" s="5">
        <f>'Assumptions and Catalog'!$B$62</f>
        <v>100</v>
      </c>
      <c r="C60" s="5">
        <f>'Assumptions and Catalog'!$C$62</f>
        <v>250</v>
      </c>
      <c r="D60" s="5">
        <f>IF('Assumptions and Catalog'!$H$62=0,0,($C$8-'Assumptions and Catalog'!$E$62-'Assumptions and Catalog'!$F$62)/'Assumptions and Catalog'!$H$62)</f>
        <v>3773.51598173516</v>
      </c>
      <c r="E60" s="5">
        <f>D60*'Assumptions and Catalog'!$H$62+'Assumptions and Catalog'!$E$62+'Assumptions and Catalog'!$F$62</f>
        <v>8279</v>
      </c>
      <c r="F60" s="5">
        <f>IF(AND(A60=$C$9,D60&gt;B60,D60&lt;=C60,D60&gt;=0,ABS(E60-$C$8)&lt;='Assumptions and Catalog'!$C$25),1,0)</f>
        <v>0</v>
      </c>
      <c r="G60" s="5">
        <f t="shared" si="0"/>
        <v>0</v>
      </c>
    </row>
    <row r="61" spans="1:7" ht="33.950000000000003" customHeight="1" x14ac:dyDescent="0.2">
      <c r="A61" s="4" t="str">
        <f>'Assumptions and Catalog'!$A$63</f>
        <v>Commercial</v>
      </c>
      <c r="B61" s="5">
        <f>'Assumptions and Catalog'!$B$63</f>
        <v>250</v>
      </c>
      <c r="C61" s="5">
        <f>'Assumptions and Catalog'!$C$63</f>
        <v>600</v>
      </c>
      <c r="D61" s="5">
        <f>IF('Assumptions and Catalog'!$H$63=0,0,($C$8-'Assumptions and Catalog'!$E$63-'Assumptions and Catalog'!$F$63)/'Assumptions and Catalog'!$H$63)</f>
        <v>3093.2584269662921</v>
      </c>
      <c r="E61" s="5">
        <f>D61*'Assumptions and Catalog'!$H$63+'Assumptions and Catalog'!$E$63+'Assumptions and Catalog'!$F$63</f>
        <v>8279</v>
      </c>
      <c r="F61" s="5">
        <f>IF(AND(A61=$C$9,D61&gt;B61,D61&lt;=C61,D61&gt;=0,ABS(E61-$C$8)&lt;='Assumptions and Catalog'!$C$25),1,0)</f>
        <v>0</v>
      </c>
      <c r="G61" s="5">
        <f t="shared" si="0"/>
        <v>0</v>
      </c>
    </row>
    <row r="62" spans="1:7" ht="33.950000000000003" customHeight="1" x14ac:dyDescent="0.2">
      <c r="A62" s="4" t="str">
        <f>'Assumptions and Catalog'!$A$64</f>
        <v>Commercial</v>
      </c>
      <c r="B62" s="5">
        <f>'Assumptions and Catalog'!$B$64</f>
        <v>600</v>
      </c>
      <c r="C62" s="5">
        <f>'Assumptions and Catalog'!$C$64</f>
        <v>1000</v>
      </c>
      <c r="D62" s="5">
        <f>IF('Assumptions and Catalog'!$H$64=0,0,($C$8-'Assumptions and Catalog'!$E$64-'Assumptions and Catalog'!$F$64)/'Assumptions and Catalog'!$H$64)</f>
        <v>3001.4440433212994</v>
      </c>
      <c r="E62" s="5">
        <f>D62*'Assumptions and Catalog'!$H$64+'Assumptions and Catalog'!$E$64+'Assumptions and Catalog'!$F$64</f>
        <v>8279</v>
      </c>
      <c r="F62" s="5">
        <f>IF(AND(A62=$C$9,D62&gt;B62,D62&lt;=C62,D62&gt;=0,ABS(E62-$C$8)&lt;='Assumptions and Catalog'!$C$25),1,0)</f>
        <v>0</v>
      </c>
      <c r="G62" s="5">
        <f t="shared" si="0"/>
        <v>0</v>
      </c>
    </row>
    <row r="63" spans="1:7" ht="33.950000000000003" customHeight="1" x14ac:dyDescent="0.2">
      <c r="A63" s="4" t="str">
        <f>'Assumptions and Catalog'!$A$65</f>
        <v>Commercial</v>
      </c>
      <c r="B63" s="5">
        <f>'Assumptions and Catalog'!$B$65</f>
        <v>1000</v>
      </c>
      <c r="C63" s="5">
        <f>'Assumptions and Catalog'!$C$65</f>
        <v>10000000</v>
      </c>
      <c r="D63" s="5">
        <f>IF('Assumptions and Catalog'!$H$65=0,0,($C$8-'Assumptions and Catalog'!$E$65-'Assumptions and Catalog'!$F$65)/'Assumptions and Catalog'!$H$65)</f>
        <v>2921.6312056737588</v>
      </c>
      <c r="E63" s="5">
        <f>D63*'Assumptions and Catalog'!$H$65+'Assumptions and Catalog'!$E$65+'Assumptions and Catalog'!$F$65</f>
        <v>8279</v>
      </c>
      <c r="F63" s="5">
        <f>IF(AND(A63=$C$9,D63&gt;B63,D63&lt;=C63,D63&gt;=0,ABS(E63-$C$8)&lt;='Assumptions and Catalog'!$C$25),1,0)</f>
        <v>1</v>
      </c>
      <c r="G63" s="5">
        <f t="shared" si="0"/>
        <v>2921.6312056737588</v>
      </c>
    </row>
    <row r="64" spans="1:7" ht="33.950000000000003" customHeight="1" x14ac:dyDescent="0.2">
      <c r="A64" s="3"/>
      <c r="B64" s="5"/>
      <c r="C64" s="5"/>
      <c r="D64" s="5"/>
      <c r="E64" s="5"/>
      <c r="F64" s="5"/>
      <c r="G64" s="5"/>
    </row>
    <row r="65" spans="1:7" ht="33.950000000000003" customHeight="1" x14ac:dyDescent="0.2">
      <c r="A65" s="3"/>
      <c r="B65" s="5"/>
      <c r="C65" s="5"/>
      <c r="D65" s="5"/>
      <c r="E65" s="5"/>
      <c r="F65" s="5"/>
      <c r="G65" s="5"/>
    </row>
    <row r="66" spans="1:7" ht="33.950000000000003" customHeight="1" x14ac:dyDescent="0.2">
      <c r="A66" s="4" t="s">
        <v>50</v>
      </c>
      <c r="B66" s="5"/>
      <c r="C66" s="5">
        <f>SUM(F50:F63)</f>
        <v>1</v>
      </c>
      <c r="D66" s="5"/>
      <c r="E66" s="5"/>
      <c r="F66" s="5"/>
      <c r="G66" s="5"/>
    </row>
    <row r="67" spans="1:7" ht="33.950000000000003" customHeight="1" x14ac:dyDescent="0.25">
      <c r="A67" s="8"/>
    </row>
    <row r="68" spans="1:7" ht="33.950000000000003" customHeight="1" x14ac:dyDescent="0.25">
      <c r="A68" s="8"/>
    </row>
    <row r="69" spans="1:7" ht="33.950000000000003" customHeight="1" x14ac:dyDescent="0.25">
      <c r="A69" s="8"/>
    </row>
    <row r="70" spans="1:7" ht="33.950000000000003" customHeight="1" x14ac:dyDescent="0.25">
      <c r="A70" s="8"/>
    </row>
    <row r="71" spans="1:7" ht="33.950000000000003" customHeight="1" x14ac:dyDescent="0.25">
      <c r="A71" s="8"/>
    </row>
    <row r="72" spans="1:7" ht="33.950000000000003" customHeight="1" x14ac:dyDescent="0.25">
      <c r="A72" s="8"/>
    </row>
    <row r="73" spans="1:7" ht="33.950000000000003" customHeight="1" x14ac:dyDescent="0.25">
      <c r="A73" s="8"/>
    </row>
    <row r="74" spans="1:7" ht="33.950000000000003" customHeight="1" x14ac:dyDescent="0.25">
      <c r="A74" s="8"/>
    </row>
    <row r="75" spans="1:7" ht="33.950000000000003" customHeight="1" x14ac:dyDescent="0.25">
      <c r="A75" s="8"/>
    </row>
    <row r="76" spans="1:7" ht="33.950000000000003" customHeight="1" x14ac:dyDescent="0.25">
      <c r="A76" s="8"/>
    </row>
    <row r="77" spans="1:7" ht="33.950000000000003" customHeight="1" x14ac:dyDescent="0.25">
      <c r="A77" s="8"/>
    </row>
    <row r="78" spans="1:7" ht="33.950000000000003" customHeight="1" x14ac:dyDescent="0.25">
      <c r="A78" s="8"/>
    </row>
    <row r="79" spans="1:7" ht="33.950000000000003" customHeight="1" x14ac:dyDescent="0.25">
      <c r="A79" s="8"/>
    </row>
    <row r="80" spans="1:7" ht="33.950000000000003" customHeight="1" x14ac:dyDescent="0.25">
      <c r="A80" s="8"/>
    </row>
    <row r="81" spans="1:1" ht="33.950000000000003" customHeight="1" x14ac:dyDescent="0.25">
      <c r="A81" s="8"/>
    </row>
    <row r="82" spans="1:1" ht="33.950000000000003" customHeight="1" x14ac:dyDescent="0.25">
      <c r="A82" s="8"/>
    </row>
    <row r="83" spans="1:1" ht="33.950000000000003" customHeight="1" x14ac:dyDescent="0.25">
      <c r="A83" s="8"/>
    </row>
    <row r="84" spans="1:1" ht="33.950000000000003" customHeight="1" x14ac:dyDescent="0.25">
      <c r="A84" s="8"/>
    </row>
    <row r="85" spans="1:1" ht="33.950000000000003" customHeight="1" x14ac:dyDescent="0.25">
      <c r="A85" s="8"/>
    </row>
    <row r="86" spans="1:1" ht="33.950000000000003" customHeight="1" x14ac:dyDescent="0.25">
      <c r="A86" s="8"/>
    </row>
    <row r="87" spans="1:1" ht="33.950000000000003" customHeight="1" x14ac:dyDescent="0.25">
      <c r="A87" s="8"/>
    </row>
    <row r="88" spans="1:1" ht="33.950000000000003" customHeight="1" x14ac:dyDescent="0.25">
      <c r="A88" s="8"/>
    </row>
    <row r="89" spans="1:1" ht="33.950000000000003" customHeight="1" x14ac:dyDescent="0.25">
      <c r="A89" s="8"/>
    </row>
    <row r="90" spans="1:1" ht="33.950000000000003" customHeight="1" x14ac:dyDescent="0.25">
      <c r="A90" s="8"/>
    </row>
    <row r="91" spans="1:1" ht="33.950000000000003" customHeight="1" x14ac:dyDescent="0.25">
      <c r="A91" s="8"/>
    </row>
    <row r="92" spans="1:1" ht="33.950000000000003" customHeight="1" x14ac:dyDescent="0.25">
      <c r="A92" s="8"/>
    </row>
    <row r="93" spans="1:1" ht="33.950000000000003" customHeight="1" x14ac:dyDescent="0.25">
      <c r="A93" s="8"/>
    </row>
    <row r="94" spans="1:1" ht="33.950000000000003" customHeight="1" x14ac:dyDescent="0.25">
      <c r="A94" s="8"/>
    </row>
    <row r="95" spans="1:1" ht="33.950000000000003" customHeight="1" x14ac:dyDescent="0.25">
      <c r="A95" s="8"/>
    </row>
    <row r="96" spans="1:1" ht="33.950000000000003" customHeight="1" x14ac:dyDescent="0.25">
      <c r="A96" s="8"/>
    </row>
    <row r="97" spans="1:1" ht="33.950000000000003" customHeight="1" x14ac:dyDescent="0.25">
      <c r="A97" s="8"/>
    </row>
    <row r="98" spans="1:1" ht="33.950000000000003" customHeight="1" x14ac:dyDescent="0.25">
      <c r="A98" s="8"/>
    </row>
    <row r="99" spans="1:1" ht="33.950000000000003" customHeight="1" x14ac:dyDescent="0.25">
      <c r="A99" s="8"/>
    </row>
    <row r="100" spans="1:1" ht="33.950000000000003" customHeight="1" x14ac:dyDescent="0.25">
      <c r="A100" s="8"/>
    </row>
    <row r="101" spans="1:1" ht="33.950000000000003" customHeight="1" x14ac:dyDescent="0.25">
      <c r="A101" s="8"/>
    </row>
    <row r="102" spans="1:1" ht="33.950000000000003" customHeight="1" x14ac:dyDescent="0.25">
      <c r="A102" s="8"/>
    </row>
    <row r="103" spans="1:1" ht="33.950000000000003" customHeight="1" x14ac:dyDescent="0.25">
      <c r="A103" s="8"/>
    </row>
    <row r="104" spans="1:1" ht="33.950000000000003" customHeight="1" x14ac:dyDescent="0.25">
      <c r="A104" s="8"/>
    </row>
  </sheetData>
  <sheetProtection formatColumns="0" formatRows="0"/>
  <mergeCells count="15">
    <mergeCell ref="A2:F2"/>
    <mergeCell ref="A3:H3"/>
    <mergeCell ref="E7:H7"/>
    <mergeCell ref="E8:H8"/>
    <mergeCell ref="E11:H11"/>
    <mergeCell ref="E15:H15"/>
    <mergeCell ref="E18:H18"/>
    <mergeCell ref="E21:H21"/>
    <mergeCell ref="J2:O2"/>
    <mergeCell ref="L3:Q3"/>
    <mergeCell ref="L14:Q14"/>
    <mergeCell ref="A39:H39"/>
    <mergeCell ref="A40:H40"/>
    <mergeCell ref="A41:H41"/>
    <mergeCell ref="A47:H47"/>
  </mergeCells>
  <conditionalFormatting sqref="C7">
    <cfRule type="expression" dxfId="6" priority="2">
      <formula>$C$6="Bill only"</formula>
    </cfRule>
  </conditionalFormatting>
  <conditionalFormatting sqref="C8">
    <cfRule type="expression" dxfId="5" priority="3">
      <formula>$C$6="Consumption only"</formula>
    </cfRule>
  </conditionalFormatting>
  <conditionalFormatting sqref="C15">
    <cfRule type="expression" dxfId="4" priority="4">
      <formula>$C$14="Unspecified"</formula>
    </cfRule>
  </conditionalFormatting>
  <conditionalFormatting sqref="C18">
    <cfRule type="expression" dxfId="3" priority="5">
      <formula>$C$17="Constant load"</formula>
    </cfRule>
  </conditionalFormatting>
  <conditionalFormatting sqref="C21">
    <cfRule type="expression" dxfId="2" priority="6">
      <formula>$C$20="Unknown"</formula>
    </cfRule>
  </conditionalFormatting>
  <dataValidations count="9">
    <dataValidation type="list" sqref="C6" xr:uid="{00000000-0002-0000-0000-000000000000}">
      <formula1>"Bill and consumption,Consumption only,Bill only"</formula1>
      <formula2>0</formula2>
    </dataValidation>
    <dataValidation type="list" sqref="C9" xr:uid="{00000000-0002-0000-0000-000001000000}">
      <formula1>"Commercial,Residential"</formula1>
      <formula2>0</formula2>
    </dataValidation>
    <dataValidation type="list" sqref="C11" xr:uid="{00000000-0002-0000-0000-000002000000}">
      <formula1>"Official,Actual flat rate"</formula1>
      <formula2>0</formula2>
    </dataValidation>
    <dataValidation type="list" sqref="C14" xr:uid="{00000000-0002-0000-0000-000003000000}">
      <formula1>"Unspecified,Specified"</formula1>
      <formula2>0</formula2>
    </dataValidation>
    <dataValidation type="list" sqref="C17" xr:uid="{00000000-0002-0000-0000-000004000000}">
      <formula1>"Constant load,Known"</formula1>
      <formula2>0</formula2>
    </dataValidation>
    <dataValidation type="list" sqref="C20" xr:uid="{00000000-0002-0000-0000-000005000000}">
      <formula1>"Unknown,Known"</formula1>
      <formula2>0</formula2>
    </dataValidation>
    <dataValidation type="decimal" operator="greaterThanOrEqual" sqref="C21 C15 C7:C8" xr:uid="{00000000-0002-0000-0000-000006000000}">
      <formula1>0</formula1>
      <formula2>0</formula2>
    </dataValidation>
    <dataValidation type="whole" sqref="C10" xr:uid="{00000000-0002-0000-0000-00000A000000}">
      <formula1>1</formula1>
      <formula2>62</formula2>
    </dataValidation>
    <dataValidation type="decimal" sqref="C18" xr:uid="{00000000-0002-0000-0000-00000B000000}">
      <formula1>0</formula1>
      <formula2>1</formula2>
    </dataValidation>
  </dataValidations>
  <pageMargins left="0.7" right="0.7" top="0.75" bottom="0.75" header="0.511811023622047" footer="0.511811023622047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718D"/>
    <pageSetUpPr fitToPage="1"/>
  </sheetPr>
  <dimension ref="A1:I168"/>
  <sheetViews>
    <sheetView showGridLines="0" zoomScale="85" zoomScaleNormal="100" workbookViewId="0">
      <pane ySplit="4" topLeftCell="A12" activePane="bottomLeft" state="frozen"/>
      <selection pane="bottomLeft" activeCell="C13" sqref="C13"/>
    </sheetView>
  </sheetViews>
  <sheetFormatPr defaultColWidth="8.42578125" defaultRowHeight="12.75" x14ac:dyDescent="0.2"/>
  <cols>
    <col min="1" max="1" width="43" customWidth="1"/>
    <col min="2" max="2" width="19" customWidth="1"/>
    <col min="3" max="3" width="27" customWidth="1"/>
    <col min="4" max="4" width="40" customWidth="1"/>
    <col min="5" max="9" width="17" customWidth="1"/>
  </cols>
  <sheetData>
    <row r="1" spans="1:9" ht="23.1" customHeight="1" x14ac:dyDescent="0.2">
      <c r="A1" s="5"/>
      <c r="B1" s="5"/>
      <c r="C1" s="5"/>
      <c r="D1" s="5"/>
      <c r="E1" s="5"/>
      <c r="F1" s="5"/>
      <c r="G1" s="5"/>
      <c r="H1" s="5"/>
      <c r="I1" s="5"/>
    </row>
    <row r="2" spans="1:9" ht="30" customHeight="1" x14ac:dyDescent="0.2">
      <c r="A2" s="23" t="s">
        <v>51</v>
      </c>
      <c r="B2" s="24"/>
      <c r="C2" s="24"/>
      <c r="D2" s="24"/>
      <c r="E2" s="24"/>
      <c r="F2" s="24"/>
      <c r="G2" s="24"/>
      <c r="H2" s="24"/>
      <c r="I2" s="5"/>
    </row>
    <row r="3" spans="1:9" ht="44.1" customHeight="1" x14ac:dyDescent="0.2">
      <c r="A3" s="19" t="s">
        <v>52</v>
      </c>
      <c r="B3" s="20"/>
      <c r="C3" s="20"/>
      <c r="D3" s="20"/>
      <c r="E3" s="20"/>
      <c r="F3" s="20"/>
      <c r="G3" s="20"/>
      <c r="H3" s="20"/>
      <c r="I3" s="5"/>
    </row>
    <row r="4" spans="1:9" ht="23.1" customHeight="1" x14ac:dyDescent="0.2">
      <c r="A4" s="5"/>
      <c r="B4" s="5"/>
      <c r="C4" s="5"/>
      <c r="D4" s="5"/>
      <c r="E4" s="5"/>
      <c r="F4" s="5"/>
      <c r="G4" s="5"/>
      <c r="H4" s="5"/>
      <c r="I4" s="5"/>
    </row>
    <row r="5" spans="1:9" ht="33.950000000000003" customHeight="1" x14ac:dyDescent="0.2">
      <c r="A5" s="3"/>
      <c r="B5" s="5"/>
      <c r="C5" s="5"/>
      <c r="D5" s="5"/>
      <c r="E5" s="5"/>
      <c r="F5" s="5"/>
      <c r="G5" s="5"/>
      <c r="H5" s="5"/>
      <c r="I5" s="5"/>
    </row>
    <row r="6" spans="1:9" ht="33.950000000000003" customHeight="1" x14ac:dyDescent="0.2">
      <c r="A6" s="4" t="s">
        <v>53</v>
      </c>
      <c r="B6" s="13" t="s">
        <v>54</v>
      </c>
      <c r="C6" s="11">
        <v>10</v>
      </c>
      <c r="D6" s="4" t="s">
        <v>55</v>
      </c>
      <c r="E6" s="5"/>
      <c r="F6" s="5"/>
      <c r="G6" s="5"/>
      <c r="H6" s="5"/>
      <c r="I6" s="5"/>
    </row>
    <row r="7" spans="1:9" ht="33.950000000000003" customHeight="1" x14ac:dyDescent="0.2">
      <c r="A7" s="4" t="s">
        <v>56</v>
      </c>
      <c r="B7" s="13" t="s">
        <v>57</v>
      </c>
      <c r="C7" s="12">
        <v>0.1</v>
      </c>
      <c r="D7" s="4" t="s">
        <v>58</v>
      </c>
      <c r="E7" s="5"/>
      <c r="F7" s="5"/>
      <c r="G7" s="5"/>
      <c r="H7" s="5"/>
      <c r="I7" s="5"/>
    </row>
    <row r="8" spans="1:9" ht="33.950000000000003" customHeight="1" x14ac:dyDescent="0.2">
      <c r="A8" s="4" t="s">
        <v>59</v>
      </c>
      <c r="B8" s="13" t="s">
        <v>60</v>
      </c>
      <c r="C8" s="12">
        <v>0</v>
      </c>
      <c r="D8" s="4" t="s">
        <v>61</v>
      </c>
      <c r="E8" s="5"/>
      <c r="F8" s="5"/>
      <c r="G8" s="5"/>
      <c r="H8" s="5"/>
      <c r="I8" s="5"/>
    </row>
    <row r="9" spans="1:9" ht="33.950000000000003" customHeight="1" x14ac:dyDescent="0.2">
      <c r="A9" s="4" t="s">
        <v>62</v>
      </c>
      <c r="B9" s="13" t="s">
        <v>60</v>
      </c>
      <c r="C9" s="12">
        <v>0</v>
      </c>
      <c r="D9" s="4" t="s">
        <v>63</v>
      </c>
      <c r="E9" s="5"/>
      <c r="F9" s="5"/>
      <c r="G9" s="5"/>
      <c r="H9" s="5"/>
      <c r="I9" s="5"/>
    </row>
    <row r="10" spans="1:9" ht="33.950000000000003" customHeight="1" x14ac:dyDescent="0.2">
      <c r="A10" s="4" t="s">
        <v>64</v>
      </c>
      <c r="B10" s="13" t="s">
        <v>60</v>
      </c>
      <c r="C10" s="12">
        <v>5.0000000000000001E-3</v>
      </c>
      <c r="D10" s="4" t="s">
        <v>65</v>
      </c>
      <c r="E10" s="5"/>
      <c r="F10" s="5"/>
      <c r="G10" s="5"/>
      <c r="H10" s="5"/>
      <c r="I10" s="5"/>
    </row>
    <row r="11" spans="1:9" ht="33.950000000000003" customHeight="1" x14ac:dyDescent="0.2">
      <c r="A11" s="4" t="s">
        <v>66</v>
      </c>
      <c r="B11" s="13" t="s">
        <v>57</v>
      </c>
      <c r="C11" s="12">
        <v>0.97499999999999998</v>
      </c>
      <c r="D11" s="4" t="s">
        <v>67</v>
      </c>
      <c r="E11" s="5"/>
      <c r="F11" s="5"/>
      <c r="G11" s="5"/>
      <c r="H11" s="5"/>
      <c r="I11" s="5"/>
    </row>
    <row r="12" spans="1:9" ht="33.950000000000003" customHeight="1" x14ac:dyDescent="0.2">
      <c r="A12" s="4" t="s">
        <v>68</v>
      </c>
      <c r="B12" s="13" t="s">
        <v>57</v>
      </c>
      <c r="C12" s="12">
        <v>0.97499999999999998</v>
      </c>
      <c r="D12" s="4" t="s">
        <v>69</v>
      </c>
      <c r="E12" s="5"/>
      <c r="F12" s="5"/>
      <c r="G12" s="5"/>
      <c r="H12" s="5"/>
      <c r="I12" s="5"/>
    </row>
    <row r="13" spans="1:9" ht="33.950000000000003" customHeight="1" x14ac:dyDescent="0.2">
      <c r="A13" s="4" t="s">
        <v>70</v>
      </c>
      <c r="B13" s="13" t="s">
        <v>71</v>
      </c>
      <c r="C13" s="10">
        <v>12</v>
      </c>
      <c r="D13" s="4" t="s">
        <v>72</v>
      </c>
      <c r="E13" s="5"/>
      <c r="F13" s="5"/>
      <c r="G13" s="5"/>
      <c r="H13" s="5"/>
      <c r="I13" s="5"/>
    </row>
    <row r="14" spans="1:9" ht="33.950000000000003" customHeight="1" x14ac:dyDescent="0.2">
      <c r="A14" s="4" t="s">
        <v>73</v>
      </c>
      <c r="B14" s="13" t="s">
        <v>71</v>
      </c>
      <c r="C14" s="10">
        <v>6</v>
      </c>
      <c r="D14" s="4" t="s">
        <v>74</v>
      </c>
      <c r="E14" s="5"/>
      <c r="F14" s="5"/>
      <c r="G14" s="5"/>
      <c r="H14" s="5"/>
      <c r="I14" s="5"/>
    </row>
    <row r="15" spans="1:9" ht="33.950000000000003" customHeight="1" x14ac:dyDescent="0.2">
      <c r="A15" s="4" t="s">
        <v>75</v>
      </c>
      <c r="B15" s="13" t="s">
        <v>71</v>
      </c>
      <c r="C15" s="10">
        <v>8</v>
      </c>
      <c r="D15" s="4" t="s">
        <v>76</v>
      </c>
      <c r="E15" s="5"/>
      <c r="F15" s="5"/>
      <c r="G15" s="5"/>
      <c r="H15" s="5"/>
      <c r="I15" s="5"/>
    </row>
    <row r="16" spans="1:9" ht="33.950000000000003" customHeight="1" x14ac:dyDescent="0.2">
      <c r="A16" s="4" t="s">
        <v>77</v>
      </c>
      <c r="B16" s="13" t="s">
        <v>78</v>
      </c>
      <c r="C16" s="10">
        <v>1.5</v>
      </c>
      <c r="D16" s="4" t="s">
        <v>79</v>
      </c>
      <c r="E16" s="5"/>
      <c r="F16" s="5"/>
      <c r="G16" s="5"/>
      <c r="H16" s="5"/>
      <c r="I16" s="5"/>
    </row>
    <row r="17" spans="1:9" ht="33.950000000000003" customHeight="1" x14ac:dyDescent="0.2">
      <c r="A17" s="4" t="s">
        <v>80</v>
      </c>
      <c r="B17" s="13" t="s">
        <v>81</v>
      </c>
      <c r="C17" s="12">
        <v>0.1</v>
      </c>
      <c r="D17" s="4" t="s">
        <v>82</v>
      </c>
      <c r="E17" s="5"/>
      <c r="F17" s="5"/>
      <c r="G17" s="5"/>
      <c r="H17" s="5"/>
      <c r="I17" s="5"/>
    </row>
    <row r="18" spans="1:9" ht="33.950000000000003" customHeight="1" x14ac:dyDescent="0.2">
      <c r="A18" s="4" t="s">
        <v>83</v>
      </c>
      <c r="B18" s="13" t="s">
        <v>84</v>
      </c>
      <c r="C18" s="12">
        <v>0.01</v>
      </c>
      <c r="D18" s="4" t="s">
        <v>85</v>
      </c>
      <c r="E18" s="5"/>
      <c r="F18" s="5"/>
      <c r="G18" s="5"/>
      <c r="H18" s="5"/>
      <c r="I18" s="5"/>
    </row>
    <row r="19" spans="1:9" ht="33.950000000000003" customHeight="1" x14ac:dyDescent="0.2">
      <c r="A19" s="4" t="s">
        <v>86</v>
      </c>
      <c r="B19" s="13" t="s">
        <v>54</v>
      </c>
      <c r="C19" s="11">
        <v>11</v>
      </c>
      <c r="D19" s="4" t="s">
        <v>87</v>
      </c>
      <c r="E19" s="5"/>
      <c r="F19" s="5"/>
      <c r="G19" s="5"/>
      <c r="H19" s="5"/>
      <c r="I19" s="5"/>
    </row>
    <row r="20" spans="1:9" ht="33.950000000000003" customHeight="1" x14ac:dyDescent="0.2">
      <c r="A20" s="4" t="s">
        <v>88</v>
      </c>
      <c r="B20" s="13" t="s">
        <v>89</v>
      </c>
      <c r="C20" s="12">
        <v>1</v>
      </c>
      <c r="D20" s="4" t="s">
        <v>90</v>
      </c>
      <c r="E20" s="5"/>
      <c r="F20" s="5"/>
      <c r="G20" s="5"/>
      <c r="H20" s="5"/>
      <c r="I20" s="5"/>
    </row>
    <row r="21" spans="1:9" ht="33.950000000000003" customHeight="1" x14ac:dyDescent="0.2">
      <c r="A21" s="4" t="s">
        <v>91</v>
      </c>
      <c r="B21" s="13" t="s">
        <v>54</v>
      </c>
      <c r="C21" s="11">
        <v>12</v>
      </c>
      <c r="D21" s="4" t="s">
        <v>87</v>
      </c>
      <c r="E21" s="5"/>
      <c r="F21" s="5"/>
      <c r="G21" s="5"/>
      <c r="H21" s="5"/>
      <c r="I21" s="5"/>
    </row>
    <row r="22" spans="1:9" ht="33.950000000000003" customHeight="1" x14ac:dyDescent="0.2">
      <c r="A22" s="4" t="s">
        <v>92</v>
      </c>
      <c r="B22" s="13" t="s">
        <v>93</v>
      </c>
      <c r="C22" s="12">
        <v>1</v>
      </c>
      <c r="D22" s="4" t="s">
        <v>90</v>
      </c>
      <c r="E22" s="5"/>
      <c r="F22" s="5"/>
      <c r="G22" s="5"/>
      <c r="H22" s="5"/>
      <c r="I22" s="5"/>
    </row>
    <row r="23" spans="1:9" ht="33.950000000000003" customHeight="1" x14ac:dyDescent="0.2">
      <c r="A23" s="4" t="s">
        <v>94</v>
      </c>
      <c r="B23" s="13" t="s">
        <v>60</v>
      </c>
      <c r="C23" s="12">
        <v>0.02</v>
      </c>
      <c r="D23" s="4" t="s">
        <v>95</v>
      </c>
      <c r="E23" s="5"/>
      <c r="F23" s="5"/>
      <c r="G23" s="5"/>
      <c r="H23" s="5"/>
      <c r="I23" s="5"/>
    </row>
    <row r="24" spans="1:9" ht="33.950000000000003" customHeight="1" x14ac:dyDescent="0.2">
      <c r="A24" s="4" t="s">
        <v>96</v>
      </c>
      <c r="B24" s="13" t="s">
        <v>54</v>
      </c>
      <c r="C24" s="11">
        <v>2027</v>
      </c>
      <c r="D24" s="4" t="s">
        <v>97</v>
      </c>
      <c r="E24" s="5"/>
      <c r="F24" s="5"/>
      <c r="G24" s="5"/>
      <c r="H24" s="5"/>
      <c r="I24" s="5"/>
    </row>
    <row r="25" spans="1:9" ht="33.950000000000003" customHeight="1" x14ac:dyDescent="0.2">
      <c r="A25" s="4" t="s">
        <v>98</v>
      </c>
      <c r="B25" s="13" t="s">
        <v>99</v>
      </c>
      <c r="C25" s="10">
        <v>0.02</v>
      </c>
      <c r="D25" s="4" t="s">
        <v>100</v>
      </c>
      <c r="E25" s="5"/>
      <c r="F25" s="5"/>
      <c r="G25" s="5"/>
      <c r="H25" s="5"/>
      <c r="I25" s="5"/>
    </row>
    <row r="26" spans="1:9" ht="33.950000000000003" customHeight="1" x14ac:dyDescent="0.2">
      <c r="A26" s="4" t="s">
        <v>101</v>
      </c>
      <c r="B26" s="13" t="s">
        <v>102</v>
      </c>
      <c r="C26" s="10">
        <v>0</v>
      </c>
      <c r="D26" s="4" t="s">
        <v>103</v>
      </c>
      <c r="E26" s="5"/>
      <c r="F26" s="5"/>
      <c r="G26" s="5"/>
      <c r="H26" s="5"/>
      <c r="I26" s="5"/>
    </row>
    <row r="27" spans="1:9" ht="33.950000000000003" customHeight="1" x14ac:dyDescent="0.2">
      <c r="A27" s="3"/>
      <c r="B27" s="5"/>
      <c r="C27" s="5"/>
      <c r="D27" s="5"/>
      <c r="E27" s="5"/>
      <c r="F27" s="5"/>
      <c r="G27" s="5"/>
      <c r="H27" s="5"/>
      <c r="I27" s="5"/>
    </row>
    <row r="28" spans="1:9" ht="33.950000000000003" customHeight="1" x14ac:dyDescent="0.2">
      <c r="A28" s="3"/>
      <c r="B28" s="5"/>
      <c r="C28" s="5"/>
      <c r="D28" s="5"/>
      <c r="E28" s="5"/>
      <c r="F28" s="5"/>
      <c r="G28" s="5"/>
      <c r="H28" s="5"/>
      <c r="I28" s="5"/>
    </row>
    <row r="29" spans="1:9" ht="33.950000000000003" customHeight="1" x14ac:dyDescent="0.2">
      <c r="A29" s="21" t="s">
        <v>104</v>
      </c>
      <c r="B29" s="22"/>
      <c r="C29" s="22"/>
      <c r="D29" s="22"/>
      <c r="E29" s="22"/>
      <c r="F29" s="22"/>
      <c r="G29" s="22"/>
      <c r="H29" s="22"/>
      <c r="I29" s="5"/>
    </row>
    <row r="30" spans="1:9" ht="33.950000000000003" customHeight="1" x14ac:dyDescent="0.2">
      <c r="A30" s="3"/>
      <c r="B30" s="5"/>
      <c r="C30" s="5"/>
      <c r="D30" s="5"/>
      <c r="E30" s="5"/>
      <c r="F30" s="5"/>
      <c r="G30" s="5"/>
      <c r="H30" s="5"/>
      <c r="I30" s="5"/>
    </row>
    <row r="31" spans="1:9" ht="33.950000000000003" customHeight="1" x14ac:dyDescent="0.2">
      <c r="A31" s="4" t="s">
        <v>105</v>
      </c>
      <c r="B31" s="13" t="s">
        <v>106</v>
      </c>
      <c r="C31" s="10">
        <v>4.9800000000000004</v>
      </c>
      <c r="D31" s="2" t="s">
        <v>107</v>
      </c>
      <c r="E31" s="18"/>
      <c r="F31" s="18"/>
      <c r="G31" s="18"/>
      <c r="H31" s="18"/>
      <c r="I31" s="5"/>
    </row>
    <row r="32" spans="1:9" ht="33.950000000000003" customHeight="1" x14ac:dyDescent="0.2">
      <c r="A32" s="3"/>
      <c r="B32" s="5"/>
      <c r="C32" s="5"/>
      <c r="D32" s="5"/>
      <c r="E32" s="5"/>
      <c r="F32" s="5"/>
      <c r="G32" s="5"/>
      <c r="H32" s="5"/>
      <c r="I32" s="5"/>
    </row>
    <row r="33" spans="1:9" ht="44.1" customHeight="1" x14ac:dyDescent="0.2">
      <c r="A33" s="19" t="s">
        <v>108</v>
      </c>
      <c r="B33" s="20"/>
      <c r="C33" s="20"/>
      <c r="D33" s="20"/>
      <c r="E33" s="20"/>
      <c r="F33" s="20"/>
      <c r="G33" s="20"/>
      <c r="H33" s="20"/>
      <c r="I33" s="5"/>
    </row>
    <row r="34" spans="1:9" ht="44.1" customHeight="1" x14ac:dyDescent="0.2">
      <c r="A34" s="19" t="s">
        <v>109</v>
      </c>
      <c r="B34" s="20"/>
      <c r="C34" s="20"/>
      <c r="D34" s="20"/>
      <c r="E34" s="20"/>
      <c r="F34" s="20"/>
      <c r="G34" s="20"/>
      <c r="H34" s="20"/>
      <c r="I34" s="5"/>
    </row>
    <row r="35" spans="1:9" ht="44.1" customHeight="1" x14ac:dyDescent="0.2">
      <c r="A35" s="19" t="s">
        <v>110</v>
      </c>
      <c r="B35" s="20"/>
      <c r="C35" s="20"/>
      <c r="D35" s="20"/>
      <c r="E35" s="20"/>
      <c r="F35" s="20"/>
      <c r="G35" s="20"/>
      <c r="H35" s="20"/>
      <c r="I35" s="5"/>
    </row>
    <row r="36" spans="1:9" ht="44.1" customHeight="1" x14ac:dyDescent="0.2">
      <c r="A36" s="19" t="s">
        <v>111</v>
      </c>
      <c r="B36" s="20"/>
      <c r="C36" s="20"/>
      <c r="D36" s="20"/>
      <c r="E36" s="20"/>
      <c r="F36" s="20"/>
      <c r="G36" s="20"/>
      <c r="H36" s="20"/>
      <c r="I36" s="5"/>
    </row>
    <row r="37" spans="1:9" ht="33.950000000000003" customHeight="1" x14ac:dyDescent="0.2">
      <c r="A37" s="3"/>
      <c r="B37" s="5"/>
      <c r="C37" s="5"/>
      <c r="D37" s="5"/>
      <c r="E37" s="5"/>
      <c r="F37" s="5"/>
      <c r="G37" s="5"/>
      <c r="H37" s="5"/>
      <c r="I37" s="5"/>
    </row>
    <row r="38" spans="1:9" ht="33.950000000000003" customHeight="1" x14ac:dyDescent="0.2">
      <c r="A38" s="3"/>
      <c r="B38" s="5"/>
      <c r="C38" s="5"/>
      <c r="D38" s="5"/>
      <c r="E38" s="5"/>
      <c r="F38" s="5"/>
      <c r="G38" s="5"/>
      <c r="H38" s="5"/>
      <c r="I38" s="5"/>
    </row>
    <row r="39" spans="1:9" ht="33.950000000000003" customHeight="1" x14ac:dyDescent="0.2">
      <c r="A39" s="3"/>
      <c r="B39" s="5"/>
      <c r="C39" s="5"/>
      <c r="D39" s="5"/>
      <c r="E39" s="5"/>
      <c r="F39" s="5"/>
      <c r="G39" s="5"/>
      <c r="H39" s="5"/>
      <c r="I39" s="5"/>
    </row>
    <row r="40" spans="1:9" ht="33.950000000000003" customHeight="1" x14ac:dyDescent="0.2">
      <c r="A40" s="3"/>
      <c r="B40" s="5"/>
      <c r="C40" s="5"/>
      <c r="D40" s="5"/>
      <c r="E40" s="5"/>
      <c r="F40" s="5"/>
      <c r="G40" s="5"/>
      <c r="H40" s="5"/>
      <c r="I40" s="5"/>
    </row>
    <row r="41" spans="1:9" ht="33.950000000000003" customHeight="1" x14ac:dyDescent="0.2">
      <c r="A41" s="3"/>
      <c r="B41" s="5"/>
      <c r="C41" s="5"/>
      <c r="D41" s="5"/>
      <c r="E41" s="5"/>
      <c r="F41" s="5"/>
      <c r="G41" s="5"/>
      <c r="H41" s="5"/>
      <c r="I41" s="5"/>
    </row>
    <row r="42" spans="1:9" ht="33.950000000000003" customHeight="1" x14ac:dyDescent="0.2">
      <c r="A42" s="3"/>
      <c r="B42" s="5"/>
      <c r="C42" s="5"/>
      <c r="D42" s="5"/>
      <c r="E42" s="5"/>
      <c r="F42" s="5"/>
      <c r="G42" s="5"/>
      <c r="H42" s="5"/>
      <c r="I42" s="5"/>
    </row>
    <row r="43" spans="1:9" ht="33.950000000000003" customHeight="1" x14ac:dyDescent="0.2">
      <c r="A43" s="3"/>
      <c r="B43" s="5"/>
      <c r="C43" s="5"/>
      <c r="D43" s="5"/>
      <c r="E43" s="5"/>
      <c r="F43" s="5"/>
      <c r="G43" s="5"/>
      <c r="H43" s="5"/>
      <c r="I43" s="5"/>
    </row>
    <row r="44" spans="1:9" ht="33.950000000000003" customHeight="1" x14ac:dyDescent="0.2">
      <c r="A44" s="3"/>
      <c r="B44" s="5"/>
      <c r="C44" s="5"/>
      <c r="D44" s="5"/>
      <c r="E44" s="5"/>
      <c r="F44" s="5"/>
      <c r="G44" s="5"/>
      <c r="H44" s="5"/>
      <c r="I44" s="5"/>
    </row>
    <row r="45" spans="1:9" ht="33.950000000000003" customHeight="1" x14ac:dyDescent="0.2">
      <c r="A45" s="3"/>
      <c r="B45" s="5"/>
      <c r="C45" s="5"/>
      <c r="D45" s="5"/>
      <c r="E45" s="5"/>
      <c r="F45" s="5"/>
      <c r="G45" s="5"/>
      <c r="H45" s="5"/>
      <c r="I45" s="5"/>
    </row>
    <row r="46" spans="1:9" ht="33.950000000000003" customHeight="1" x14ac:dyDescent="0.2">
      <c r="A46" s="21" t="s">
        <v>112</v>
      </c>
      <c r="B46" s="22"/>
      <c r="C46" s="22"/>
      <c r="D46" s="22"/>
      <c r="E46" s="22"/>
      <c r="F46" s="22"/>
      <c r="G46" s="22"/>
      <c r="H46" s="22"/>
      <c r="I46" s="5"/>
    </row>
    <row r="47" spans="1:9" ht="44.1" customHeight="1" x14ac:dyDescent="0.2">
      <c r="A47" s="19" t="s">
        <v>113</v>
      </c>
      <c r="B47" s="20"/>
      <c r="C47" s="20"/>
      <c r="D47" s="20"/>
      <c r="E47" s="20"/>
      <c r="F47" s="20"/>
      <c r="G47" s="20"/>
      <c r="H47" s="20"/>
      <c r="I47" s="5"/>
    </row>
    <row r="48" spans="1:9" ht="33.950000000000003" customHeight="1" x14ac:dyDescent="0.2">
      <c r="A48" s="3"/>
      <c r="B48" s="5"/>
      <c r="C48" s="5"/>
      <c r="D48" s="5"/>
      <c r="E48" s="5"/>
      <c r="F48" s="5"/>
      <c r="G48" s="5"/>
      <c r="H48" s="5"/>
      <c r="I48" s="5"/>
    </row>
    <row r="49" spans="1:9" ht="33.950000000000003" customHeight="1" x14ac:dyDescent="0.2">
      <c r="A49" s="14" t="s">
        <v>114</v>
      </c>
      <c r="B49" s="14" t="s">
        <v>115</v>
      </c>
      <c r="C49" s="14" t="s">
        <v>116</v>
      </c>
      <c r="D49" s="14" t="s">
        <v>117</v>
      </c>
      <c r="E49" s="14" t="s">
        <v>118</v>
      </c>
      <c r="F49" s="14" t="s">
        <v>119</v>
      </c>
      <c r="G49" s="14" t="s">
        <v>120</v>
      </c>
      <c r="H49" s="14" t="s">
        <v>121</v>
      </c>
      <c r="I49" s="5"/>
    </row>
    <row r="50" spans="1:9" ht="33.950000000000003" customHeight="1" x14ac:dyDescent="0.2">
      <c r="A50" s="4" t="s">
        <v>122</v>
      </c>
      <c r="B50" s="5">
        <v>-1</v>
      </c>
      <c r="C50" s="5">
        <v>0</v>
      </c>
      <c r="D50" s="5">
        <v>0</v>
      </c>
      <c r="E50" s="5">
        <v>0</v>
      </c>
      <c r="F50" s="5">
        <v>9</v>
      </c>
      <c r="G50" s="5">
        <v>0</v>
      </c>
      <c r="H50" s="5">
        <f t="shared" ref="H50:H57" si="0">D50+G50</f>
        <v>0</v>
      </c>
      <c r="I50" s="5"/>
    </row>
    <row r="51" spans="1:9" ht="33.950000000000003" customHeight="1" x14ac:dyDescent="0.2">
      <c r="A51" s="4" t="s">
        <v>122</v>
      </c>
      <c r="B51" s="15">
        <v>0</v>
      </c>
      <c r="C51" s="15">
        <v>50</v>
      </c>
      <c r="D51" s="10">
        <v>0.68</v>
      </c>
      <c r="E51" s="5">
        <v>0</v>
      </c>
      <c r="F51" s="10">
        <v>1</v>
      </c>
      <c r="G51" s="10">
        <v>0</v>
      </c>
      <c r="H51" s="5">
        <f t="shared" si="0"/>
        <v>0.68</v>
      </c>
      <c r="I51" s="5"/>
    </row>
    <row r="52" spans="1:9" ht="33.950000000000003" customHeight="1" x14ac:dyDescent="0.2">
      <c r="A52" s="4" t="s">
        <v>122</v>
      </c>
      <c r="B52" s="15">
        <v>50</v>
      </c>
      <c r="C52" s="15">
        <v>100</v>
      </c>
      <c r="D52" s="10">
        <v>0.87</v>
      </c>
      <c r="E52" s="5">
        <f>C51*D51-C51*D52</f>
        <v>-9.5</v>
      </c>
      <c r="F52" s="10">
        <v>2</v>
      </c>
      <c r="G52" s="10">
        <v>0</v>
      </c>
      <c r="H52" s="5">
        <f t="shared" si="0"/>
        <v>0.87</v>
      </c>
      <c r="I52" s="5"/>
    </row>
    <row r="53" spans="1:9" ht="33.950000000000003" customHeight="1" x14ac:dyDescent="0.2">
      <c r="A53" s="4" t="s">
        <v>122</v>
      </c>
      <c r="B53" s="15">
        <v>100</v>
      </c>
      <c r="C53" s="15">
        <v>200</v>
      </c>
      <c r="D53" s="10">
        <v>1</v>
      </c>
      <c r="E53" s="5">
        <v>0</v>
      </c>
      <c r="F53" s="10">
        <v>6</v>
      </c>
      <c r="G53" s="10">
        <v>0</v>
      </c>
      <c r="H53" s="5">
        <f t="shared" si="0"/>
        <v>1</v>
      </c>
      <c r="I53" s="5"/>
    </row>
    <row r="54" spans="1:9" ht="33.950000000000003" customHeight="1" x14ac:dyDescent="0.2">
      <c r="A54" s="4" t="s">
        <v>122</v>
      </c>
      <c r="B54" s="15">
        <v>200</v>
      </c>
      <c r="C54" s="15">
        <v>350</v>
      </c>
      <c r="D54" s="10">
        <v>1.73</v>
      </c>
      <c r="E54" s="5">
        <f>C53*D53-C53*D54</f>
        <v>-146</v>
      </c>
      <c r="F54" s="10">
        <v>11</v>
      </c>
      <c r="G54" s="10">
        <v>0</v>
      </c>
      <c r="H54" s="5">
        <f t="shared" si="0"/>
        <v>1.73</v>
      </c>
      <c r="I54" s="5"/>
    </row>
    <row r="55" spans="1:9" ht="33.950000000000003" customHeight="1" x14ac:dyDescent="0.2">
      <c r="A55" s="4" t="s">
        <v>122</v>
      </c>
      <c r="B55" s="15">
        <v>350</v>
      </c>
      <c r="C55" s="15">
        <v>650</v>
      </c>
      <c r="D55" s="10">
        <v>2.1800000000000002</v>
      </c>
      <c r="E55" s="5">
        <f>C54*D54+E54-C54*D55</f>
        <v>-303.5</v>
      </c>
      <c r="F55" s="10">
        <v>15</v>
      </c>
      <c r="G55" s="10">
        <v>0</v>
      </c>
      <c r="H55" s="5">
        <f t="shared" si="0"/>
        <v>2.1800000000000002</v>
      </c>
      <c r="I55" s="5"/>
    </row>
    <row r="56" spans="1:9" ht="33.950000000000003" customHeight="1" x14ac:dyDescent="0.2">
      <c r="A56" s="4" t="s">
        <v>122</v>
      </c>
      <c r="B56" s="15">
        <v>650</v>
      </c>
      <c r="C56" s="15">
        <v>1000</v>
      </c>
      <c r="D56" s="10">
        <v>2.35</v>
      </c>
      <c r="E56" s="5">
        <v>0</v>
      </c>
      <c r="F56" s="10">
        <v>25</v>
      </c>
      <c r="G56" s="10">
        <v>0</v>
      </c>
      <c r="H56" s="5">
        <f t="shared" si="0"/>
        <v>2.35</v>
      </c>
      <c r="I56" s="5"/>
    </row>
    <row r="57" spans="1:9" ht="33.950000000000003" customHeight="1" x14ac:dyDescent="0.2">
      <c r="A57" s="4" t="s">
        <v>122</v>
      </c>
      <c r="B57" s="15">
        <v>1000</v>
      </c>
      <c r="C57" s="15">
        <v>10000000</v>
      </c>
      <c r="D57" s="10">
        <v>2.89</v>
      </c>
      <c r="E57" s="5">
        <v>0</v>
      </c>
      <c r="F57" s="10">
        <v>40</v>
      </c>
      <c r="G57" s="10">
        <v>0</v>
      </c>
      <c r="H57" s="5">
        <f t="shared" si="0"/>
        <v>2.89</v>
      </c>
      <c r="I57" s="5"/>
    </row>
    <row r="58" spans="1:9" ht="33.950000000000003" customHeight="1" x14ac:dyDescent="0.2">
      <c r="A58" s="3"/>
      <c r="B58" s="5"/>
      <c r="C58" s="5"/>
      <c r="D58" s="5"/>
      <c r="E58" s="5"/>
      <c r="F58" s="5"/>
      <c r="G58" s="5"/>
      <c r="H58" s="5"/>
      <c r="I58" s="5"/>
    </row>
    <row r="59" spans="1:9" ht="33.950000000000003" customHeight="1" x14ac:dyDescent="0.2">
      <c r="A59" s="3"/>
      <c r="B59" s="5"/>
      <c r="C59" s="5"/>
      <c r="D59" s="5"/>
      <c r="E59" s="5"/>
      <c r="F59" s="5"/>
      <c r="G59" s="5"/>
      <c r="H59" s="5"/>
      <c r="I59" s="5"/>
    </row>
    <row r="60" spans="1:9" ht="33.950000000000003" customHeight="1" x14ac:dyDescent="0.2">
      <c r="A60" s="4" t="s">
        <v>10</v>
      </c>
      <c r="B60" s="5">
        <v>-1</v>
      </c>
      <c r="C60" s="5">
        <v>0</v>
      </c>
      <c r="D60" s="5">
        <v>0</v>
      </c>
      <c r="E60" s="5">
        <v>0</v>
      </c>
      <c r="F60" s="5">
        <v>9</v>
      </c>
      <c r="G60" s="5">
        <v>0</v>
      </c>
      <c r="H60" s="5">
        <f t="shared" ref="H60:H65" si="1">D60+G60</f>
        <v>0</v>
      </c>
      <c r="I60" s="5"/>
    </row>
    <row r="61" spans="1:9" ht="33.950000000000003" customHeight="1" x14ac:dyDescent="0.2">
      <c r="A61" s="4" t="s">
        <v>10</v>
      </c>
      <c r="B61" s="15">
        <v>0</v>
      </c>
      <c r="C61" s="15">
        <v>100</v>
      </c>
      <c r="D61" s="10">
        <v>1.62</v>
      </c>
      <c r="E61" s="5">
        <v>0</v>
      </c>
      <c r="F61" s="10">
        <v>5</v>
      </c>
      <c r="G61" s="10">
        <v>0.03</v>
      </c>
      <c r="H61" s="5">
        <f t="shared" si="1"/>
        <v>1.6500000000000001</v>
      </c>
      <c r="I61" s="5"/>
    </row>
    <row r="62" spans="1:9" ht="33.950000000000003" customHeight="1" x14ac:dyDescent="0.2">
      <c r="A62" s="4" t="s">
        <v>10</v>
      </c>
      <c r="B62" s="15">
        <v>100</v>
      </c>
      <c r="C62" s="15">
        <v>250</v>
      </c>
      <c r="D62" s="10">
        <v>2.16</v>
      </c>
      <c r="E62" s="5">
        <v>0</v>
      </c>
      <c r="F62" s="10">
        <v>15</v>
      </c>
      <c r="G62" s="10">
        <v>0.03</v>
      </c>
      <c r="H62" s="5">
        <f t="shared" si="1"/>
        <v>2.19</v>
      </c>
      <c r="I62" s="5"/>
    </row>
    <row r="63" spans="1:9" ht="33.950000000000003" customHeight="1" x14ac:dyDescent="0.2">
      <c r="A63" s="4" t="s">
        <v>10</v>
      </c>
      <c r="B63" s="15">
        <v>250</v>
      </c>
      <c r="C63" s="15">
        <v>600</v>
      </c>
      <c r="D63" s="10">
        <v>2.64</v>
      </c>
      <c r="E63" s="5">
        <v>0</v>
      </c>
      <c r="F63" s="10">
        <v>20</v>
      </c>
      <c r="G63" s="10">
        <v>0.03</v>
      </c>
      <c r="H63" s="5">
        <f t="shared" si="1"/>
        <v>2.67</v>
      </c>
      <c r="I63" s="5"/>
    </row>
    <row r="64" spans="1:9" ht="33.950000000000003" customHeight="1" x14ac:dyDescent="0.2">
      <c r="A64" s="4" t="s">
        <v>10</v>
      </c>
      <c r="B64" s="15">
        <v>600</v>
      </c>
      <c r="C64" s="15">
        <v>1000</v>
      </c>
      <c r="D64" s="10">
        <v>2.74</v>
      </c>
      <c r="E64" s="5">
        <f>C63*D63-C63*D64</f>
        <v>-60.000000000000227</v>
      </c>
      <c r="F64" s="10">
        <v>25</v>
      </c>
      <c r="G64" s="10">
        <v>0.03</v>
      </c>
      <c r="H64" s="5">
        <f t="shared" si="1"/>
        <v>2.77</v>
      </c>
      <c r="I64" s="5"/>
    </row>
    <row r="65" spans="1:9" ht="33.950000000000003" customHeight="1" x14ac:dyDescent="0.2">
      <c r="A65" s="4" t="s">
        <v>10</v>
      </c>
      <c r="B65" s="15">
        <v>1000</v>
      </c>
      <c r="C65" s="15">
        <v>10000000</v>
      </c>
      <c r="D65" s="10">
        <v>2.79</v>
      </c>
      <c r="E65" s="5">
        <v>0</v>
      </c>
      <c r="F65" s="10">
        <v>40</v>
      </c>
      <c r="G65" s="10">
        <v>0.03</v>
      </c>
      <c r="H65" s="5">
        <f t="shared" si="1"/>
        <v>2.82</v>
      </c>
      <c r="I65" s="5"/>
    </row>
    <row r="66" spans="1:9" ht="33.950000000000003" customHeight="1" x14ac:dyDescent="0.2">
      <c r="A66" s="3"/>
      <c r="B66" s="5"/>
      <c r="C66" s="5"/>
      <c r="D66" s="5"/>
      <c r="E66" s="5"/>
      <c r="F66" s="5"/>
      <c r="G66" s="5"/>
      <c r="H66" s="5"/>
      <c r="I66" s="5"/>
    </row>
    <row r="67" spans="1:9" ht="44.1" customHeight="1" x14ac:dyDescent="0.2">
      <c r="A67" s="19" t="s">
        <v>123</v>
      </c>
      <c r="B67" s="20"/>
      <c r="C67" s="20"/>
      <c r="D67" s="20"/>
      <c r="E67" s="20"/>
      <c r="F67" s="20"/>
      <c r="G67" s="20"/>
      <c r="H67" s="20"/>
      <c r="I67" s="5"/>
    </row>
    <row r="68" spans="1:9" ht="44.1" customHeight="1" x14ac:dyDescent="0.2">
      <c r="A68" s="19" t="s">
        <v>124</v>
      </c>
      <c r="B68" s="20"/>
      <c r="C68" s="20"/>
      <c r="D68" s="20"/>
      <c r="E68" s="20"/>
      <c r="F68" s="20"/>
      <c r="G68" s="20"/>
      <c r="H68" s="20"/>
      <c r="I68" s="5"/>
    </row>
    <row r="69" spans="1:9" ht="33.950000000000003" customHeight="1" x14ac:dyDescent="0.2">
      <c r="A69" s="3"/>
      <c r="B69" s="5"/>
      <c r="C69" s="5"/>
      <c r="D69" s="5"/>
      <c r="E69" s="5"/>
      <c r="F69" s="5"/>
      <c r="G69" s="5"/>
      <c r="H69" s="5"/>
      <c r="I69" s="5"/>
    </row>
    <row r="70" spans="1:9" ht="33.950000000000003" customHeight="1" x14ac:dyDescent="0.2">
      <c r="A70" s="3"/>
      <c r="B70" s="5"/>
      <c r="C70" s="5"/>
      <c r="D70" s="5"/>
      <c r="E70" s="5"/>
      <c r="F70" s="5"/>
      <c r="G70" s="5"/>
      <c r="H70" s="5"/>
      <c r="I70" s="5"/>
    </row>
    <row r="71" spans="1:9" ht="33.950000000000003" customHeight="1" x14ac:dyDescent="0.2">
      <c r="A71" s="21" t="s">
        <v>125</v>
      </c>
      <c r="B71" s="22"/>
      <c r="C71" s="22"/>
      <c r="D71" s="22"/>
      <c r="E71" s="22"/>
      <c r="F71" s="22"/>
      <c r="G71" s="22"/>
      <c r="H71" s="22"/>
      <c r="I71" s="5"/>
    </row>
    <row r="72" spans="1:9" ht="33.950000000000003" customHeight="1" x14ac:dyDescent="0.2">
      <c r="A72" s="14" t="s">
        <v>126</v>
      </c>
      <c r="B72" s="14" t="s">
        <v>127</v>
      </c>
      <c r="C72" s="14" t="s">
        <v>128</v>
      </c>
      <c r="D72" s="14" t="s">
        <v>129</v>
      </c>
      <c r="E72" s="14" t="s">
        <v>130</v>
      </c>
      <c r="F72" s="5"/>
      <c r="G72" s="5"/>
      <c r="H72" s="5"/>
      <c r="I72" s="5"/>
    </row>
    <row r="73" spans="1:9" ht="33.950000000000003" customHeight="1" x14ac:dyDescent="0.2">
      <c r="A73" s="4" t="s">
        <v>131</v>
      </c>
      <c r="B73" s="13" t="s">
        <v>132</v>
      </c>
      <c r="C73" s="10">
        <v>550</v>
      </c>
      <c r="D73" s="10">
        <v>2.6</v>
      </c>
      <c r="E73" s="10">
        <v>4400</v>
      </c>
      <c r="F73" s="5"/>
      <c r="G73" s="5"/>
      <c r="H73" s="5"/>
      <c r="I73" s="5"/>
    </row>
    <row r="74" spans="1:9" ht="33.950000000000003" customHeight="1" x14ac:dyDescent="0.2">
      <c r="A74" s="4" t="s">
        <v>133</v>
      </c>
      <c r="B74" s="13" t="s">
        <v>134</v>
      </c>
      <c r="C74" s="10">
        <v>670</v>
      </c>
      <c r="D74" s="10">
        <v>2.7</v>
      </c>
      <c r="E74" s="10">
        <v>5360</v>
      </c>
      <c r="F74" s="5"/>
      <c r="G74" s="5"/>
      <c r="H74" s="5"/>
      <c r="I74" s="5"/>
    </row>
    <row r="75" spans="1:9" ht="33.950000000000003" customHeight="1" x14ac:dyDescent="0.2">
      <c r="A75" s="3"/>
      <c r="B75" s="5"/>
      <c r="C75" s="5"/>
      <c r="D75" s="5"/>
      <c r="E75" s="5"/>
      <c r="F75" s="5"/>
      <c r="G75" s="5"/>
      <c r="H75" s="5"/>
      <c r="I75" s="5"/>
    </row>
    <row r="76" spans="1:9" ht="33.950000000000003" customHeight="1" x14ac:dyDescent="0.2">
      <c r="A76" s="3"/>
      <c r="B76" s="5"/>
      <c r="C76" s="5"/>
      <c r="D76" s="5"/>
      <c r="E76" s="5"/>
      <c r="F76" s="5"/>
      <c r="G76" s="5"/>
      <c r="H76" s="5"/>
      <c r="I76" s="5"/>
    </row>
    <row r="77" spans="1:9" ht="33.950000000000003" customHeight="1" x14ac:dyDescent="0.2">
      <c r="A77" s="21" t="s">
        <v>135</v>
      </c>
      <c r="B77" s="22"/>
      <c r="C77" s="22"/>
      <c r="D77" s="22"/>
      <c r="E77" s="22"/>
      <c r="F77" s="22"/>
      <c r="G77" s="22"/>
      <c r="H77" s="22"/>
      <c r="I77" s="5"/>
    </row>
    <row r="78" spans="1:9" ht="33.950000000000003" customHeight="1" x14ac:dyDescent="0.2">
      <c r="A78" s="14" t="s">
        <v>126</v>
      </c>
      <c r="B78" s="14" t="s">
        <v>136</v>
      </c>
      <c r="C78" s="14" t="s">
        <v>137</v>
      </c>
      <c r="D78" s="14" t="s">
        <v>138</v>
      </c>
      <c r="E78" s="14" t="s">
        <v>139</v>
      </c>
      <c r="F78" s="14" t="s">
        <v>140</v>
      </c>
      <c r="G78" s="14" t="s">
        <v>141</v>
      </c>
      <c r="H78" s="14" t="s">
        <v>142</v>
      </c>
      <c r="I78" s="5"/>
    </row>
    <row r="79" spans="1:9" ht="33.950000000000003" customHeight="1" x14ac:dyDescent="0.2">
      <c r="A79" s="4" t="s">
        <v>143</v>
      </c>
      <c r="B79" s="13" t="s">
        <v>144</v>
      </c>
      <c r="C79" s="10">
        <v>10</v>
      </c>
      <c r="D79" s="10">
        <v>0.8</v>
      </c>
      <c r="E79" s="10">
        <v>5</v>
      </c>
      <c r="F79" s="10">
        <v>5</v>
      </c>
      <c r="G79" s="10">
        <v>136400</v>
      </c>
      <c r="H79" s="9" t="s">
        <v>145</v>
      </c>
      <c r="I79" s="5"/>
    </row>
    <row r="80" spans="1:9" ht="33.950000000000003" customHeight="1" x14ac:dyDescent="0.2">
      <c r="A80" s="4" t="s">
        <v>146</v>
      </c>
      <c r="B80" s="13" t="s">
        <v>147</v>
      </c>
      <c r="C80" s="10">
        <v>16</v>
      </c>
      <c r="D80" s="10">
        <v>0.8</v>
      </c>
      <c r="E80" s="10">
        <v>8</v>
      </c>
      <c r="F80" s="10">
        <v>8</v>
      </c>
      <c r="G80" s="10">
        <v>218240</v>
      </c>
      <c r="H80" s="9" t="s">
        <v>145</v>
      </c>
      <c r="I80" s="5"/>
    </row>
    <row r="81" spans="1:9" ht="33.950000000000003" customHeight="1" x14ac:dyDescent="0.2">
      <c r="A81" s="4" t="s">
        <v>148</v>
      </c>
      <c r="B81" s="13" t="s">
        <v>149</v>
      </c>
      <c r="C81" s="10">
        <v>32</v>
      </c>
      <c r="D81" s="10">
        <v>0.8</v>
      </c>
      <c r="E81" s="10">
        <v>10</v>
      </c>
      <c r="F81" s="10">
        <v>10</v>
      </c>
      <c r="G81" s="10">
        <v>436480</v>
      </c>
      <c r="H81" s="9" t="s">
        <v>145</v>
      </c>
      <c r="I81" s="5"/>
    </row>
    <row r="82" spans="1:9" ht="33.950000000000003" customHeight="1" x14ac:dyDescent="0.2">
      <c r="A82" s="3"/>
      <c r="B82" s="5"/>
      <c r="C82" s="5"/>
      <c r="D82" s="5"/>
      <c r="E82" s="5"/>
      <c r="F82" s="5"/>
      <c r="G82" s="5"/>
      <c r="H82" s="5"/>
      <c r="I82" s="5"/>
    </row>
    <row r="83" spans="1:9" ht="33.950000000000003" customHeight="1" x14ac:dyDescent="0.2">
      <c r="A83" s="3"/>
      <c r="B83" s="5"/>
      <c r="C83" s="5"/>
      <c r="D83" s="5"/>
      <c r="E83" s="5"/>
      <c r="F83" s="5"/>
      <c r="G83" s="5"/>
      <c r="H83" s="5"/>
      <c r="I83" s="5"/>
    </row>
    <row r="84" spans="1:9" ht="33.950000000000003" customHeight="1" x14ac:dyDescent="0.2">
      <c r="A84" s="21" t="s">
        <v>150</v>
      </c>
      <c r="B84" s="22"/>
      <c r="C84" s="22"/>
      <c r="D84" s="22"/>
      <c r="E84" s="22"/>
      <c r="F84" s="22"/>
      <c r="G84" s="22"/>
      <c r="H84" s="22"/>
      <c r="I84" s="22"/>
    </row>
    <row r="85" spans="1:9" ht="33.950000000000003" customHeight="1" x14ac:dyDescent="0.2">
      <c r="A85" s="14" t="s">
        <v>126</v>
      </c>
      <c r="B85" s="14" t="s">
        <v>136</v>
      </c>
      <c r="C85" s="14" t="s">
        <v>151</v>
      </c>
      <c r="D85" s="14" t="s">
        <v>152</v>
      </c>
      <c r="E85" s="14" t="s">
        <v>139</v>
      </c>
      <c r="F85" s="14" t="s">
        <v>153</v>
      </c>
      <c r="G85" s="14" t="s">
        <v>141</v>
      </c>
      <c r="H85" s="14" t="s">
        <v>142</v>
      </c>
      <c r="I85" s="14" t="s">
        <v>154</v>
      </c>
    </row>
    <row r="86" spans="1:9" ht="33.950000000000003" customHeight="1" x14ac:dyDescent="0.2">
      <c r="A86" s="4" t="s">
        <v>155</v>
      </c>
      <c r="B86" s="13" t="s">
        <v>156</v>
      </c>
      <c r="C86" s="10">
        <v>10</v>
      </c>
      <c r="D86" s="10">
        <v>13</v>
      </c>
      <c r="E86" s="10">
        <v>0</v>
      </c>
      <c r="F86" s="10">
        <v>0</v>
      </c>
      <c r="G86" s="10">
        <v>60000</v>
      </c>
      <c r="H86" s="9" t="s">
        <v>157</v>
      </c>
      <c r="I86" s="10">
        <v>3</v>
      </c>
    </row>
    <row r="87" spans="1:9" ht="33.950000000000003" customHeight="1" x14ac:dyDescent="0.2">
      <c r="A87" s="4" t="s">
        <v>158</v>
      </c>
      <c r="B87" s="13" t="s">
        <v>159</v>
      </c>
      <c r="C87" s="10">
        <v>5</v>
      </c>
      <c r="D87" s="10">
        <v>6.5</v>
      </c>
      <c r="E87" s="10">
        <v>5</v>
      </c>
      <c r="F87" s="10">
        <v>1</v>
      </c>
      <c r="G87" s="10">
        <v>30000</v>
      </c>
      <c r="H87" s="9" t="s">
        <v>145</v>
      </c>
      <c r="I87" s="10">
        <v>1</v>
      </c>
    </row>
    <row r="88" spans="1:9" ht="33.950000000000003" customHeight="1" x14ac:dyDescent="0.2">
      <c r="A88" s="4" t="s">
        <v>160</v>
      </c>
      <c r="B88" s="13" t="s">
        <v>161</v>
      </c>
      <c r="C88" s="10">
        <v>12</v>
      </c>
      <c r="D88" s="10">
        <v>15.6</v>
      </c>
      <c r="E88" s="10">
        <v>10</v>
      </c>
      <c r="F88" s="10">
        <v>1</v>
      </c>
      <c r="G88" s="10">
        <v>72000</v>
      </c>
      <c r="H88" s="9" t="s">
        <v>145</v>
      </c>
      <c r="I88" s="10">
        <v>3</v>
      </c>
    </row>
    <row r="89" spans="1:9" ht="33.950000000000003" customHeight="1" x14ac:dyDescent="0.2">
      <c r="A89" s="4" t="s">
        <v>162</v>
      </c>
      <c r="B89" s="13" t="s">
        <v>163</v>
      </c>
      <c r="C89" s="10">
        <v>20</v>
      </c>
      <c r="D89" s="10">
        <v>26</v>
      </c>
      <c r="E89" s="10">
        <v>15</v>
      </c>
      <c r="F89" s="10">
        <v>1</v>
      </c>
      <c r="G89" s="10">
        <v>120000</v>
      </c>
      <c r="H89" s="9" t="s">
        <v>145</v>
      </c>
      <c r="I89" s="10">
        <v>3</v>
      </c>
    </row>
    <row r="90" spans="1:9" ht="33.950000000000003" customHeight="1" x14ac:dyDescent="0.2">
      <c r="A90" s="3"/>
      <c r="B90" s="5"/>
      <c r="C90" s="5"/>
      <c r="D90" s="5"/>
      <c r="E90" s="5"/>
      <c r="F90" s="5"/>
      <c r="G90" s="5"/>
      <c r="H90" s="5"/>
      <c r="I90" s="5"/>
    </row>
    <row r="91" spans="1:9" ht="33.950000000000003" customHeight="1" x14ac:dyDescent="0.2">
      <c r="A91" s="3"/>
      <c r="B91" s="5"/>
      <c r="C91" s="5"/>
      <c r="D91" s="5"/>
      <c r="E91" s="5"/>
      <c r="F91" s="5"/>
      <c r="G91" s="5"/>
      <c r="H91" s="5"/>
      <c r="I91" s="5"/>
    </row>
    <row r="92" spans="1:9" ht="44.1" customHeight="1" x14ac:dyDescent="0.2">
      <c r="A92" s="19" t="s">
        <v>164</v>
      </c>
      <c r="B92" s="20"/>
      <c r="C92" s="20"/>
      <c r="D92" s="20"/>
      <c r="E92" s="20"/>
      <c r="F92" s="20"/>
      <c r="G92" s="20"/>
      <c r="H92" s="20"/>
      <c r="I92" s="5"/>
    </row>
    <row r="93" spans="1:9" ht="44.1" customHeight="1" x14ac:dyDescent="0.2">
      <c r="A93" s="19" t="s">
        <v>165</v>
      </c>
      <c r="B93" s="20"/>
      <c r="C93" s="20"/>
      <c r="D93" s="20"/>
      <c r="E93" s="20"/>
      <c r="F93" s="20"/>
      <c r="G93" s="20"/>
      <c r="H93" s="20"/>
      <c r="I93" s="5"/>
    </row>
    <row r="94" spans="1:9" ht="33.950000000000003" customHeight="1" x14ac:dyDescent="0.25">
      <c r="A94" s="8"/>
    </row>
    <row r="95" spans="1:9" ht="33.950000000000003" customHeight="1" x14ac:dyDescent="0.25">
      <c r="A95" s="8"/>
    </row>
    <row r="96" spans="1:9" ht="33.950000000000003" customHeight="1" x14ac:dyDescent="0.25">
      <c r="A96" s="8"/>
    </row>
    <row r="97" spans="1:9" ht="33.950000000000003" customHeight="1" x14ac:dyDescent="0.25">
      <c r="A97" s="8"/>
    </row>
    <row r="98" spans="1:9" ht="33.950000000000003" customHeight="1" x14ac:dyDescent="0.25">
      <c r="A98" s="8"/>
    </row>
    <row r="99" spans="1:9" ht="33.950000000000003" customHeight="1" x14ac:dyDescent="0.25">
      <c r="A99" s="8"/>
    </row>
    <row r="100" spans="1:9" ht="32.1" customHeight="1" x14ac:dyDescent="0.2">
      <c r="A100" s="29" t="s">
        <v>281</v>
      </c>
      <c r="B100" s="26"/>
      <c r="C100" s="26"/>
      <c r="D100" s="26"/>
      <c r="E100" s="26"/>
      <c r="F100" s="26"/>
      <c r="G100" s="26"/>
      <c r="H100" s="26"/>
      <c r="I100" s="26"/>
    </row>
    <row r="101" spans="1:9" ht="36" customHeight="1" x14ac:dyDescent="0.2">
      <c r="A101" s="26" t="s">
        <v>282</v>
      </c>
      <c r="B101" s="26"/>
      <c r="C101" s="26"/>
      <c r="D101" s="26"/>
      <c r="E101" s="26"/>
      <c r="F101" s="26"/>
      <c r="G101" s="26"/>
      <c r="H101" s="26"/>
      <c r="I101" s="26"/>
    </row>
    <row r="102" spans="1:9" ht="14.25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32.1" customHeight="1" x14ac:dyDescent="0.2">
      <c r="A103" s="1" t="s">
        <v>283</v>
      </c>
      <c r="B103" s="28" t="s">
        <v>284</v>
      </c>
      <c r="C103" s="28"/>
      <c r="D103" s="28" t="s">
        <v>285</v>
      </c>
      <c r="E103" s="28"/>
      <c r="F103" s="28"/>
      <c r="G103" s="28" t="s">
        <v>286</v>
      </c>
      <c r="H103" s="28"/>
      <c r="I103" s="28"/>
    </row>
    <row r="104" spans="1:9" ht="32.1" customHeight="1" x14ac:dyDescent="0.2">
      <c r="A104" s="27" t="s">
        <v>287</v>
      </c>
      <c r="B104" s="27"/>
      <c r="C104" s="27"/>
      <c r="D104" s="27"/>
      <c r="E104" s="27"/>
      <c r="F104" s="27"/>
      <c r="G104" s="27"/>
      <c r="H104" s="27"/>
      <c r="I104" s="27"/>
    </row>
    <row r="105" spans="1:9" ht="87.95" customHeight="1" x14ac:dyDescent="0.2">
      <c r="A105" s="16" t="s">
        <v>288</v>
      </c>
      <c r="B105" s="26" t="s">
        <v>289</v>
      </c>
      <c r="C105" s="26"/>
      <c r="D105" s="26" t="s">
        <v>290</v>
      </c>
      <c r="E105" s="26"/>
      <c r="F105" s="26"/>
      <c r="G105" s="26" t="s">
        <v>291</v>
      </c>
      <c r="H105" s="26"/>
      <c r="I105" s="26"/>
    </row>
    <row r="106" spans="1:9" ht="87.95" customHeight="1" x14ac:dyDescent="0.2">
      <c r="A106" s="17" t="s">
        <v>292</v>
      </c>
      <c r="B106" s="25" t="s">
        <v>293</v>
      </c>
      <c r="C106" s="25"/>
      <c r="D106" s="25" t="s">
        <v>294</v>
      </c>
      <c r="E106" s="25"/>
      <c r="F106" s="25"/>
      <c r="G106" s="25" t="s">
        <v>295</v>
      </c>
      <c r="H106" s="25"/>
      <c r="I106" s="25"/>
    </row>
    <row r="107" spans="1:9" ht="87.95" customHeight="1" x14ac:dyDescent="0.2">
      <c r="A107" s="16" t="s">
        <v>296</v>
      </c>
      <c r="B107" s="26" t="s">
        <v>297</v>
      </c>
      <c r="C107" s="26"/>
      <c r="D107" s="26" t="s">
        <v>298</v>
      </c>
      <c r="E107" s="26"/>
      <c r="F107" s="26"/>
      <c r="G107" s="26" t="s">
        <v>299</v>
      </c>
      <c r="H107" s="26"/>
      <c r="I107" s="26"/>
    </row>
    <row r="108" spans="1:9" ht="87.95" customHeight="1" x14ac:dyDescent="0.2">
      <c r="A108" s="17" t="s">
        <v>300</v>
      </c>
      <c r="B108" s="25" t="s">
        <v>301</v>
      </c>
      <c r="C108" s="25"/>
      <c r="D108" s="25" t="s">
        <v>302</v>
      </c>
      <c r="E108" s="25"/>
      <c r="F108" s="25"/>
      <c r="G108" s="25" t="s">
        <v>303</v>
      </c>
      <c r="H108" s="25"/>
      <c r="I108" s="25"/>
    </row>
    <row r="109" spans="1:9" ht="87.95" customHeight="1" x14ac:dyDescent="0.2">
      <c r="A109" s="16" t="s">
        <v>304</v>
      </c>
      <c r="B109" s="26" t="s">
        <v>305</v>
      </c>
      <c r="C109" s="26"/>
      <c r="D109" s="26" t="s">
        <v>306</v>
      </c>
      <c r="E109" s="26"/>
      <c r="F109" s="26"/>
      <c r="G109" s="26" t="s">
        <v>307</v>
      </c>
      <c r="H109" s="26"/>
      <c r="I109" s="26"/>
    </row>
    <row r="110" spans="1:9" ht="87.95" customHeight="1" x14ac:dyDescent="0.2">
      <c r="A110" s="17" t="s">
        <v>308</v>
      </c>
      <c r="B110" s="25" t="s">
        <v>309</v>
      </c>
      <c r="C110" s="25"/>
      <c r="D110" s="25" t="s">
        <v>310</v>
      </c>
      <c r="E110" s="25"/>
      <c r="F110" s="25"/>
      <c r="G110" s="25" t="s">
        <v>311</v>
      </c>
      <c r="H110" s="25"/>
      <c r="I110" s="25"/>
    </row>
    <row r="111" spans="1:9" ht="87.95" customHeight="1" x14ac:dyDescent="0.2">
      <c r="A111" s="16" t="s">
        <v>312</v>
      </c>
      <c r="B111" s="26" t="s">
        <v>313</v>
      </c>
      <c r="C111" s="26"/>
      <c r="D111" s="26" t="s">
        <v>314</v>
      </c>
      <c r="E111" s="26"/>
      <c r="F111" s="26"/>
      <c r="G111" s="26" t="s">
        <v>315</v>
      </c>
      <c r="H111" s="26"/>
      <c r="I111" s="26"/>
    </row>
    <row r="112" spans="1:9" ht="87.95" customHeight="1" x14ac:dyDescent="0.2">
      <c r="A112" s="17" t="s">
        <v>316</v>
      </c>
      <c r="B112" s="25" t="s">
        <v>317</v>
      </c>
      <c r="C112" s="25"/>
      <c r="D112" s="25" t="s">
        <v>318</v>
      </c>
      <c r="E112" s="25"/>
      <c r="F112" s="25"/>
      <c r="G112" s="25" t="s">
        <v>319</v>
      </c>
      <c r="H112" s="25"/>
      <c r="I112" s="25"/>
    </row>
    <row r="113" spans="1:9" ht="87.95" customHeight="1" x14ac:dyDescent="0.2">
      <c r="A113" s="16" t="s">
        <v>320</v>
      </c>
      <c r="B113" s="26" t="s">
        <v>321</v>
      </c>
      <c r="C113" s="26"/>
      <c r="D113" s="26" t="s">
        <v>322</v>
      </c>
      <c r="E113" s="26"/>
      <c r="F113" s="26"/>
      <c r="G113" s="26" t="s">
        <v>323</v>
      </c>
      <c r="H113" s="26"/>
      <c r="I113" s="26"/>
    </row>
    <row r="114" spans="1:9" ht="87.95" customHeight="1" x14ac:dyDescent="0.2">
      <c r="A114" s="17" t="s">
        <v>324</v>
      </c>
      <c r="B114" s="25" t="s">
        <v>325</v>
      </c>
      <c r="C114" s="25"/>
      <c r="D114" s="25" t="s">
        <v>326</v>
      </c>
      <c r="E114" s="25"/>
      <c r="F114" s="25"/>
      <c r="G114" s="25" t="s">
        <v>327</v>
      </c>
      <c r="H114" s="25"/>
      <c r="I114" s="25"/>
    </row>
    <row r="115" spans="1:9" ht="87.95" customHeight="1" x14ac:dyDescent="0.2">
      <c r="A115" s="16" t="s">
        <v>328</v>
      </c>
      <c r="B115" s="26" t="s">
        <v>329</v>
      </c>
      <c r="C115" s="26"/>
      <c r="D115" s="26" t="s">
        <v>330</v>
      </c>
      <c r="E115" s="26"/>
      <c r="F115" s="26"/>
      <c r="G115" s="26" t="s">
        <v>331</v>
      </c>
      <c r="H115" s="26"/>
      <c r="I115" s="26"/>
    </row>
    <row r="116" spans="1:9" ht="87.95" customHeight="1" x14ac:dyDescent="0.2">
      <c r="A116" s="17" t="s">
        <v>332</v>
      </c>
      <c r="B116" s="25" t="s">
        <v>333</v>
      </c>
      <c r="C116" s="25"/>
      <c r="D116" s="25" t="s">
        <v>334</v>
      </c>
      <c r="E116" s="25"/>
      <c r="F116" s="25"/>
      <c r="G116" s="25" t="s">
        <v>335</v>
      </c>
      <c r="H116" s="25"/>
      <c r="I116" s="25"/>
    </row>
    <row r="117" spans="1:9" ht="32.1" customHeight="1" x14ac:dyDescent="0.2">
      <c r="A117" s="27" t="s">
        <v>336</v>
      </c>
      <c r="B117" s="27"/>
      <c r="C117" s="27"/>
      <c r="D117" s="27"/>
      <c r="E117" s="27"/>
      <c r="F117" s="27"/>
      <c r="G117" s="27"/>
      <c r="H117" s="27"/>
      <c r="I117" s="27"/>
    </row>
    <row r="118" spans="1:9" ht="87.95" customHeight="1" x14ac:dyDescent="0.2">
      <c r="A118" s="17" t="s">
        <v>337</v>
      </c>
      <c r="B118" s="25" t="s">
        <v>338</v>
      </c>
      <c r="C118" s="25"/>
      <c r="D118" s="25" t="s">
        <v>339</v>
      </c>
      <c r="E118" s="25"/>
      <c r="F118" s="25"/>
      <c r="G118" s="25" t="s">
        <v>340</v>
      </c>
      <c r="H118" s="25"/>
      <c r="I118" s="25"/>
    </row>
    <row r="119" spans="1:9" ht="87.95" customHeight="1" x14ac:dyDescent="0.2">
      <c r="A119" s="16" t="s">
        <v>341</v>
      </c>
      <c r="B119" s="26" t="s">
        <v>342</v>
      </c>
      <c r="C119" s="26"/>
      <c r="D119" s="26" t="s">
        <v>343</v>
      </c>
      <c r="E119" s="26"/>
      <c r="F119" s="26"/>
      <c r="G119" s="26" t="s">
        <v>344</v>
      </c>
      <c r="H119" s="26"/>
      <c r="I119" s="26"/>
    </row>
    <row r="120" spans="1:9" ht="87.95" customHeight="1" x14ac:dyDescent="0.2">
      <c r="A120" s="17" t="s">
        <v>345</v>
      </c>
      <c r="B120" s="25" t="s">
        <v>346</v>
      </c>
      <c r="C120" s="25"/>
      <c r="D120" s="25" t="s">
        <v>347</v>
      </c>
      <c r="E120" s="25"/>
      <c r="F120" s="25"/>
      <c r="G120" s="25" t="s">
        <v>348</v>
      </c>
      <c r="H120" s="25"/>
      <c r="I120" s="25"/>
    </row>
    <row r="121" spans="1:9" ht="87.95" customHeight="1" x14ac:dyDescent="0.2">
      <c r="A121" s="16" t="s">
        <v>349</v>
      </c>
      <c r="B121" s="26" t="s">
        <v>350</v>
      </c>
      <c r="C121" s="26"/>
      <c r="D121" s="26" t="s">
        <v>351</v>
      </c>
      <c r="E121" s="26"/>
      <c r="F121" s="26"/>
      <c r="G121" s="26" t="s">
        <v>352</v>
      </c>
      <c r="H121" s="26"/>
      <c r="I121" s="26"/>
    </row>
    <row r="122" spans="1:9" ht="87.95" customHeight="1" x14ac:dyDescent="0.2">
      <c r="A122" s="17" t="s">
        <v>353</v>
      </c>
      <c r="B122" s="25" t="s">
        <v>354</v>
      </c>
      <c r="C122" s="25"/>
      <c r="D122" s="25" t="s">
        <v>355</v>
      </c>
      <c r="E122" s="25"/>
      <c r="F122" s="25"/>
      <c r="G122" s="25" t="s">
        <v>356</v>
      </c>
      <c r="H122" s="25"/>
      <c r="I122" s="25"/>
    </row>
    <row r="123" spans="1:9" ht="87.95" customHeight="1" x14ac:dyDescent="0.2">
      <c r="A123" s="16" t="s">
        <v>357</v>
      </c>
      <c r="B123" s="26" t="s">
        <v>358</v>
      </c>
      <c r="C123" s="26"/>
      <c r="D123" s="26" t="s">
        <v>359</v>
      </c>
      <c r="E123" s="26"/>
      <c r="F123" s="26"/>
      <c r="G123" s="26" t="s">
        <v>360</v>
      </c>
      <c r="H123" s="26"/>
      <c r="I123" s="26"/>
    </row>
    <row r="124" spans="1:9" ht="87.95" customHeight="1" x14ac:dyDescent="0.2">
      <c r="A124" s="17" t="s">
        <v>361</v>
      </c>
      <c r="B124" s="25" t="s">
        <v>362</v>
      </c>
      <c r="C124" s="25"/>
      <c r="D124" s="25" t="s">
        <v>363</v>
      </c>
      <c r="E124" s="25"/>
      <c r="F124" s="25"/>
      <c r="G124" s="25" t="s">
        <v>364</v>
      </c>
      <c r="H124" s="25"/>
      <c r="I124" s="25"/>
    </row>
    <row r="125" spans="1:9" ht="87.95" customHeight="1" x14ac:dyDescent="0.2">
      <c r="A125" s="16" t="s">
        <v>365</v>
      </c>
      <c r="B125" s="26" t="s">
        <v>366</v>
      </c>
      <c r="C125" s="26"/>
      <c r="D125" s="26" t="s">
        <v>367</v>
      </c>
      <c r="E125" s="26"/>
      <c r="F125" s="26"/>
      <c r="G125" s="26" t="s">
        <v>368</v>
      </c>
      <c r="H125" s="26"/>
      <c r="I125" s="26"/>
    </row>
    <row r="126" spans="1:9" ht="87.95" customHeight="1" x14ac:dyDescent="0.2">
      <c r="A126" s="17" t="s">
        <v>369</v>
      </c>
      <c r="B126" s="25" t="s">
        <v>370</v>
      </c>
      <c r="C126" s="25"/>
      <c r="D126" s="25" t="s">
        <v>371</v>
      </c>
      <c r="E126" s="25"/>
      <c r="F126" s="25"/>
      <c r="G126" s="25" t="s">
        <v>372</v>
      </c>
      <c r="H126" s="25"/>
      <c r="I126" s="25"/>
    </row>
    <row r="127" spans="1:9" ht="87.95" customHeight="1" x14ac:dyDescent="0.2">
      <c r="A127" s="16" t="s">
        <v>373</v>
      </c>
      <c r="B127" s="26" t="s">
        <v>374</v>
      </c>
      <c r="C127" s="26"/>
      <c r="D127" s="26" t="s">
        <v>375</v>
      </c>
      <c r="E127" s="26"/>
      <c r="F127" s="26"/>
      <c r="G127" s="26" t="s">
        <v>376</v>
      </c>
      <c r="H127" s="26"/>
      <c r="I127" s="26"/>
    </row>
    <row r="128" spans="1:9" ht="87.95" customHeight="1" x14ac:dyDescent="0.2">
      <c r="A128" s="17" t="s">
        <v>377</v>
      </c>
      <c r="B128" s="25" t="s">
        <v>378</v>
      </c>
      <c r="C128" s="25"/>
      <c r="D128" s="25" t="s">
        <v>379</v>
      </c>
      <c r="E128" s="25"/>
      <c r="F128" s="25"/>
      <c r="G128" s="25" t="s">
        <v>380</v>
      </c>
      <c r="H128" s="25"/>
      <c r="I128" s="25"/>
    </row>
    <row r="129" spans="1:9" ht="87.95" customHeight="1" x14ac:dyDescent="0.2">
      <c r="A129" s="16" t="s">
        <v>381</v>
      </c>
      <c r="B129" s="26" t="s">
        <v>382</v>
      </c>
      <c r="C129" s="26"/>
      <c r="D129" s="26" t="s">
        <v>383</v>
      </c>
      <c r="E129" s="26"/>
      <c r="F129" s="26"/>
      <c r="G129" s="26" t="s">
        <v>384</v>
      </c>
      <c r="H129" s="26"/>
      <c r="I129" s="26"/>
    </row>
    <row r="130" spans="1:9" ht="32.1" customHeight="1" x14ac:dyDescent="0.2">
      <c r="A130" s="27" t="s">
        <v>385</v>
      </c>
      <c r="B130" s="27"/>
      <c r="C130" s="27"/>
      <c r="D130" s="27"/>
      <c r="E130" s="27"/>
      <c r="F130" s="27"/>
      <c r="G130" s="27"/>
      <c r="H130" s="27"/>
      <c r="I130" s="27"/>
    </row>
    <row r="131" spans="1:9" ht="87.95" customHeight="1" x14ac:dyDescent="0.2">
      <c r="A131" s="16" t="s">
        <v>386</v>
      </c>
      <c r="B131" s="26" t="s">
        <v>387</v>
      </c>
      <c r="C131" s="26"/>
      <c r="D131" s="26" t="s">
        <v>388</v>
      </c>
      <c r="E131" s="26"/>
      <c r="F131" s="26"/>
      <c r="G131" s="26" t="s">
        <v>389</v>
      </c>
      <c r="H131" s="26"/>
      <c r="I131" s="26"/>
    </row>
    <row r="132" spans="1:9" ht="87.95" customHeight="1" x14ac:dyDescent="0.2">
      <c r="A132" s="17" t="s">
        <v>390</v>
      </c>
      <c r="B132" s="25" t="s">
        <v>391</v>
      </c>
      <c r="C132" s="25"/>
      <c r="D132" s="25" t="s">
        <v>392</v>
      </c>
      <c r="E132" s="25"/>
      <c r="F132" s="25"/>
      <c r="G132" s="25" t="s">
        <v>393</v>
      </c>
      <c r="H132" s="25"/>
      <c r="I132" s="25"/>
    </row>
    <row r="133" spans="1:9" ht="87.95" customHeight="1" x14ac:dyDescent="0.2">
      <c r="A133" s="16" t="s">
        <v>394</v>
      </c>
      <c r="B133" s="26" t="s">
        <v>395</v>
      </c>
      <c r="C133" s="26"/>
      <c r="D133" s="26" t="s">
        <v>396</v>
      </c>
      <c r="E133" s="26"/>
      <c r="F133" s="26"/>
      <c r="G133" s="26" t="s">
        <v>397</v>
      </c>
      <c r="H133" s="26"/>
      <c r="I133" s="26"/>
    </row>
    <row r="134" spans="1:9" ht="87.95" customHeight="1" x14ac:dyDescent="0.2">
      <c r="A134" s="17" t="s">
        <v>398</v>
      </c>
      <c r="B134" s="25" t="s">
        <v>399</v>
      </c>
      <c r="C134" s="25"/>
      <c r="D134" s="25" t="s">
        <v>400</v>
      </c>
      <c r="E134" s="25"/>
      <c r="F134" s="25"/>
      <c r="G134" s="25" t="s">
        <v>401</v>
      </c>
      <c r="H134" s="25"/>
      <c r="I134" s="25"/>
    </row>
    <row r="135" spans="1:9" ht="87.95" customHeight="1" x14ac:dyDescent="0.2">
      <c r="A135" s="16" t="s">
        <v>277</v>
      </c>
      <c r="B135" s="26" t="s">
        <v>402</v>
      </c>
      <c r="C135" s="26"/>
      <c r="D135" s="26" t="s">
        <v>403</v>
      </c>
      <c r="E135" s="26"/>
      <c r="F135" s="26"/>
      <c r="G135" s="26" t="s">
        <v>404</v>
      </c>
      <c r="H135" s="26"/>
      <c r="I135" s="26"/>
    </row>
    <row r="136" spans="1:9" ht="87.95" customHeight="1" x14ac:dyDescent="0.2">
      <c r="A136" s="17" t="s">
        <v>405</v>
      </c>
      <c r="B136" s="25" t="s">
        <v>406</v>
      </c>
      <c r="C136" s="25"/>
      <c r="D136" s="25" t="s">
        <v>407</v>
      </c>
      <c r="E136" s="25"/>
      <c r="F136" s="25"/>
      <c r="G136" s="25" t="s">
        <v>408</v>
      </c>
      <c r="H136" s="25"/>
      <c r="I136" s="25"/>
    </row>
    <row r="137" spans="1:9" ht="120" customHeight="1" x14ac:dyDescent="0.2">
      <c r="A137" s="16" t="s">
        <v>409</v>
      </c>
      <c r="B137" s="26" t="s">
        <v>410</v>
      </c>
      <c r="C137" s="26"/>
      <c r="D137" s="26" t="s">
        <v>411</v>
      </c>
      <c r="E137" s="26"/>
      <c r="F137" s="26"/>
      <c r="G137" s="26" t="s">
        <v>412</v>
      </c>
      <c r="H137" s="26"/>
      <c r="I137" s="26"/>
    </row>
    <row r="138" spans="1:9" ht="120" customHeight="1" x14ac:dyDescent="0.2">
      <c r="A138" s="17" t="s">
        <v>413</v>
      </c>
      <c r="B138" s="25" t="s">
        <v>414</v>
      </c>
      <c r="C138" s="25"/>
      <c r="D138" s="25" t="s">
        <v>415</v>
      </c>
      <c r="E138" s="25"/>
      <c r="F138" s="25"/>
      <c r="G138" s="25" t="s">
        <v>416</v>
      </c>
      <c r="H138" s="25"/>
      <c r="I138" s="25"/>
    </row>
    <row r="139" spans="1:9" ht="87.95" customHeight="1" x14ac:dyDescent="0.2">
      <c r="A139" s="16" t="s">
        <v>417</v>
      </c>
      <c r="B139" s="26" t="s">
        <v>418</v>
      </c>
      <c r="C139" s="26"/>
      <c r="D139" s="26" t="s">
        <v>419</v>
      </c>
      <c r="E139" s="26"/>
      <c r="F139" s="26"/>
      <c r="G139" s="26" t="s">
        <v>420</v>
      </c>
      <c r="H139" s="26"/>
      <c r="I139" s="26"/>
    </row>
    <row r="140" spans="1:9" ht="87.95" customHeight="1" x14ac:dyDescent="0.2">
      <c r="A140" s="17" t="s">
        <v>421</v>
      </c>
      <c r="B140" s="25" t="s">
        <v>422</v>
      </c>
      <c r="C140" s="25"/>
      <c r="D140" s="25" t="s">
        <v>423</v>
      </c>
      <c r="E140" s="25"/>
      <c r="F140" s="25"/>
      <c r="G140" s="25" t="s">
        <v>424</v>
      </c>
      <c r="H140" s="25"/>
      <c r="I140" s="25"/>
    </row>
    <row r="141" spans="1:9" ht="87.95" customHeight="1" x14ac:dyDescent="0.2">
      <c r="A141" s="16" t="s">
        <v>425</v>
      </c>
      <c r="B141" s="26" t="s">
        <v>426</v>
      </c>
      <c r="C141" s="26"/>
      <c r="D141" s="26" t="s">
        <v>427</v>
      </c>
      <c r="E141" s="26"/>
      <c r="F141" s="26"/>
      <c r="G141" s="26" t="s">
        <v>428</v>
      </c>
      <c r="H141" s="26"/>
      <c r="I141" s="26"/>
    </row>
    <row r="142" spans="1:9" ht="87.95" customHeight="1" x14ac:dyDescent="0.2">
      <c r="A142" s="17" t="s">
        <v>429</v>
      </c>
      <c r="B142" s="25" t="s">
        <v>430</v>
      </c>
      <c r="C142" s="25"/>
      <c r="D142" s="25" t="s">
        <v>431</v>
      </c>
      <c r="E142" s="25"/>
      <c r="F142" s="25"/>
      <c r="G142" s="25" t="s">
        <v>432</v>
      </c>
      <c r="H142" s="25"/>
      <c r="I142" s="25"/>
    </row>
    <row r="143" spans="1:9" ht="87.95" customHeight="1" x14ac:dyDescent="0.2">
      <c r="A143" s="16" t="s">
        <v>433</v>
      </c>
      <c r="B143" s="26" t="s">
        <v>434</v>
      </c>
      <c r="C143" s="26"/>
      <c r="D143" s="26" t="s">
        <v>435</v>
      </c>
      <c r="E143" s="26"/>
      <c r="F143" s="26"/>
      <c r="G143" s="26" t="s">
        <v>436</v>
      </c>
      <c r="H143" s="26"/>
      <c r="I143" s="26"/>
    </row>
    <row r="144" spans="1:9" ht="87.95" customHeight="1" x14ac:dyDescent="0.2">
      <c r="A144" s="17" t="s">
        <v>437</v>
      </c>
      <c r="B144" s="25" t="s">
        <v>438</v>
      </c>
      <c r="C144" s="25"/>
      <c r="D144" s="25" t="s">
        <v>439</v>
      </c>
      <c r="E144" s="25"/>
      <c r="F144" s="25"/>
      <c r="G144" s="25" t="s">
        <v>440</v>
      </c>
      <c r="H144" s="25"/>
      <c r="I144" s="25"/>
    </row>
    <row r="145" spans="1:9" ht="87.95" customHeight="1" x14ac:dyDescent="0.2">
      <c r="A145" s="16" t="s">
        <v>441</v>
      </c>
      <c r="B145" s="26" t="s">
        <v>442</v>
      </c>
      <c r="C145" s="26"/>
      <c r="D145" s="26" t="s">
        <v>443</v>
      </c>
      <c r="E145" s="26"/>
      <c r="F145" s="26"/>
      <c r="G145" s="26" t="s">
        <v>444</v>
      </c>
      <c r="H145" s="26"/>
      <c r="I145" s="26"/>
    </row>
    <row r="146" spans="1:9" ht="87.95" customHeight="1" x14ac:dyDescent="0.2">
      <c r="A146" s="17" t="s">
        <v>445</v>
      </c>
      <c r="B146" s="25" t="s">
        <v>446</v>
      </c>
      <c r="C146" s="25"/>
      <c r="D146" s="25" t="s">
        <v>447</v>
      </c>
      <c r="E146" s="25"/>
      <c r="F146" s="25"/>
      <c r="G146" s="25" t="s">
        <v>448</v>
      </c>
      <c r="H146" s="25"/>
      <c r="I146" s="25"/>
    </row>
    <row r="147" spans="1:9" ht="87.95" customHeight="1" x14ac:dyDescent="0.2">
      <c r="A147" s="16" t="s">
        <v>449</v>
      </c>
      <c r="B147" s="26" t="s">
        <v>450</v>
      </c>
      <c r="C147" s="26"/>
      <c r="D147" s="26" t="s">
        <v>451</v>
      </c>
      <c r="E147" s="26"/>
      <c r="F147" s="26"/>
      <c r="G147" s="26" t="s">
        <v>452</v>
      </c>
      <c r="H147" s="26"/>
      <c r="I147" s="26"/>
    </row>
    <row r="148" spans="1:9" ht="87.95" customHeight="1" x14ac:dyDescent="0.2">
      <c r="A148" s="17" t="s">
        <v>453</v>
      </c>
      <c r="B148" s="25" t="s">
        <v>454</v>
      </c>
      <c r="C148" s="25"/>
      <c r="D148" s="25" t="s">
        <v>455</v>
      </c>
      <c r="E148" s="25"/>
      <c r="F148" s="25"/>
      <c r="G148" s="25" t="s">
        <v>456</v>
      </c>
      <c r="H148" s="25"/>
      <c r="I148" s="25"/>
    </row>
    <row r="149" spans="1:9" ht="32.1" customHeight="1" x14ac:dyDescent="0.2">
      <c r="A149" s="27" t="s">
        <v>457</v>
      </c>
      <c r="B149" s="27"/>
      <c r="C149" s="27"/>
      <c r="D149" s="27"/>
      <c r="E149" s="27"/>
      <c r="F149" s="27"/>
      <c r="G149" s="27"/>
      <c r="H149" s="27"/>
      <c r="I149" s="27"/>
    </row>
    <row r="150" spans="1:9" ht="87.95" customHeight="1" x14ac:dyDescent="0.2">
      <c r="A150" s="17" t="s">
        <v>458</v>
      </c>
      <c r="B150" s="25" t="s">
        <v>459</v>
      </c>
      <c r="C150" s="25"/>
      <c r="D150" s="25" t="s">
        <v>460</v>
      </c>
      <c r="E150" s="25"/>
      <c r="F150" s="25"/>
      <c r="G150" s="25" t="s">
        <v>461</v>
      </c>
      <c r="H150" s="25"/>
      <c r="I150" s="25"/>
    </row>
    <row r="151" spans="1:9" ht="87.95" customHeight="1" x14ac:dyDescent="0.2">
      <c r="A151" s="16" t="s">
        <v>462</v>
      </c>
      <c r="B151" s="26" t="s">
        <v>463</v>
      </c>
      <c r="C151" s="26"/>
      <c r="D151" s="26" t="s">
        <v>464</v>
      </c>
      <c r="E151" s="26"/>
      <c r="F151" s="26"/>
      <c r="G151" s="26" t="s">
        <v>465</v>
      </c>
      <c r="H151" s="26"/>
      <c r="I151" s="26"/>
    </row>
    <row r="152" spans="1:9" ht="87.95" customHeight="1" x14ac:dyDescent="0.2">
      <c r="A152" s="17" t="s">
        <v>466</v>
      </c>
      <c r="B152" s="25" t="s">
        <v>467</v>
      </c>
      <c r="C152" s="25"/>
      <c r="D152" s="25" t="s">
        <v>468</v>
      </c>
      <c r="E152" s="25"/>
      <c r="F152" s="25"/>
      <c r="G152" s="25" t="s">
        <v>469</v>
      </c>
      <c r="H152" s="25"/>
      <c r="I152" s="25"/>
    </row>
    <row r="153" spans="1:9" ht="87.95" customHeight="1" x14ac:dyDescent="0.2">
      <c r="A153" s="16" t="s">
        <v>470</v>
      </c>
      <c r="B153" s="26" t="s">
        <v>471</v>
      </c>
      <c r="C153" s="26"/>
      <c r="D153" s="26" t="s">
        <v>472</v>
      </c>
      <c r="E153" s="26"/>
      <c r="F153" s="26"/>
      <c r="G153" s="26" t="s">
        <v>473</v>
      </c>
      <c r="H153" s="26"/>
      <c r="I153" s="26"/>
    </row>
    <row r="154" spans="1:9" ht="32.1" customHeight="1" x14ac:dyDescent="0.2">
      <c r="A154" s="27" t="s">
        <v>474</v>
      </c>
      <c r="B154" s="27"/>
      <c r="C154" s="27"/>
      <c r="D154" s="27"/>
      <c r="E154" s="27"/>
      <c r="F154" s="27"/>
      <c r="G154" s="27"/>
      <c r="H154" s="27"/>
      <c r="I154" s="27"/>
    </row>
    <row r="155" spans="1:9" ht="87.95" customHeight="1" x14ac:dyDescent="0.2">
      <c r="A155" s="16" t="s">
        <v>475</v>
      </c>
      <c r="B155" s="26" t="s">
        <v>476</v>
      </c>
      <c r="C155" s="26"/>
      <c r="D155" s="26" t="s">
        <v>477</v>
      </c>
      <c r="E155" s="26"/>
      <c r="F155" s="26"/>
      <c r="G155" s="26" t="s">
        <v>478</v>
      </c>
      <c r="H155" s="26"/>
      <c r="I155" s="26"/>
    </row>
    <row r="156" spans="1:9" ht="87.95" customHeight="1" x14ac:dyDescent="0.2">
      <c r="A156" s="17" t="s">
        <v>479</v>
      </c>
      <c r="B156" s="25" t="s">
        <v>480</v>
      </c>
      <c r="C156" s="25"/>
      <c r="D156" s="25" t="s">
        <v>481</v>
      </c>
      <c r="E156" s="25"/>
      <c r="F156" s="25"/>
      <c r="G156" s="25" t="s">
        <v>482</v>
      </c>
      <c r="H156" s="25"/>
      <c r="I156" s="25"/>
    </row>
    <row r="157" spans="1:9" ht="87.95" customHeight="1" x14ac:dyDescent="0.2">
      <c r="A157" s="16" t="s">
        <v>483</v>
      </c>
      <c r="B157" s="26" t="s">
        <v>484</v>
      </c>
      <c r="C157" s="26"/>
      <c r="D157" s="26" t="s">
        <v>485</v>
      </c>
      <c r="E157" s="26"/>
      <c r="F157" s="26"/>
      <c r="G157" s="26" t="s">
        <v>486</v>
      </c>
      <c r="H157" s="26"/>
      <c r="I157" s="26"/>
    </row>
    <row r="158" spans="1:9" ht="87.95" customHeight="1" x14ac:dyDescent="0.2">
      <c r="A158" s="17" t="s">
        <v>487</v>
      </c>
      <c r="B158" s="25" t="s">
        <v>488</v>
      </c>
      <c r="C158" s="25"/>
      <c r="D158" s="25" t="s">
        <v>489</v>
      </c>
      <c r="E158" s="25"/>
      <c r="F158" s="25"/>
      <c r="G158" s="25" t="s">
        <v>490</v>
      </c>
      <c r="H158" s="25"/>
      <c r="I158" s="25"/>
    </row>
    <row r="159" spans="1:9" ht="87.95" customHeight="1" x14ac:dyDescent="0.2">
      <c r="A159" s="16" t="s">
        <v>491</v>
      </c>
      <c r="B159" s="26" t="s">
        <v>492</v>
      </c>
      <c r="C159" s="26"/>
      <c r="D159" s="26" t="s">
        <v>493</v>
      </c>
      <c r="E159" s="26"/>
      <c r="F159" s="26"/>
      <c r="G159" s="26" t="s">
        <v>494</v>
      </c>
      <c r="H159" s="26"/>
      <c r="I159" s="26"/>
    </row>
    <row r="160" spans="1:9" ht="87.95" customHeight="1" x14ac:dyDescent="0.2">
      <c r="A160" s="17" t="s">
        <v>495</v>
      </c>
      <c r="B160" s="25" t="s">
        <v>496</v>
      </c>
      <c r="C160" s="25"/>
      <c r="D160" s="25" t="s">
        <v>497</v>
      </c>
      <c r="E160" s="25"/>
      <c r="F160" s="25"/>
      <c r="G160" s="25" t="s">
        <v>498</v>
      </c>
      <c r="H160" s="25"/>
      <c r="I160" s="25"/>
    </row>
    <row r="161" spans="1:9" ht="87.95" customHeight="1" x14ac:dyDescent="0.2">
      <c r="A161" s="16" t="s">
        <v>499</v>
      </c>
      <c r="B161" s="26" t="s">
        <v>500</v>
      </c>
      <c r="C161" s="26"/>
      <c r="D161" s="26" t="s">
        <v>501</v>
      </c>
      <c r="E161" s="26"/>
      <c r="F161" s="26"/>
      <c r="G161" s="26" t="s">
        <v>502</v>
      </c>
      <c r="H161" s="26"/>
      <c r="I161" s="26"/>
    </row>
    <row r="162" spans="1:9" ht="87.95" customHeight="1" x14ac:dyDescent="0.2">
      <c r="A162" s="17" t="s">
        <v>189</v>
      </c>
      <c r="B162" s="25" t="s">
        <v>503</v>
      </c>
      <c r="C162" s="25"/>
      <c r="D162" s="25" t="s">
        <v>504</v>
      </c>
      <c r="E162" s="25"/>
      <c r="F162" s="25"/>
      <c r="G162" s="25" t="s">
        <v>505</v>
      </c>
      <c r="H162" s="25"/>
      <c r="I162" s="25"/>
    </row>
    <row r="163" spans="1:9" ht="87.95" customHeight="1" x14ac:dyDescent="0.2">
      <c r="A163" s="16" t="s">
        <v>190</v>
      </c>
      <c r="B163" s="26" t="s">
        <v>506</v>
      </c>
      <c r="C163" s="26"/>
      <c r="D163" s="26" t="s">
        <v>507</v>
      </c>
      <c r="E163" s="26"/>
      <c r="F163" s="26"/>
      <c r="G163" s="26" t="s">
        <v>508</v>
      </c>
      <c r="H163" s="26"/>
      <c r="I163" s="26"/>
    </row>
    <row r="164" spans="1:9" ht="87.95" customHeight="1" x14ac:dyDescent="0.2">
      <c r="A164" s="17" t="s">
        <v>509</v>
      </c>
      <c r="B164" s="25" t="s">
        <v>510</v>
      </c>
      <c r="C164" s="25"/>
      <c r="D164" s="25" t="s">
        <v>511</v>
      </c>
      <c r="E164" s="25"/>
      <c r="F164" s="25"/>
      <c r="G164" s="25" t="s">
        <v>512</v>
      </c>
      <c r="H164" s="25"/>
      <c r="I164" s="25"/>
    </row>
    <row r="165" spans="1:9" ht="87.95" customHeight="1" x14ac:dyDescent="0.2">
      <c r="A165" s="16" t="s">
        <v>513</v>
      </c>
      <c r="B165" s="26" t="s">
        <v>514</v>
      </c>
      <c r="C165" s="26"/>
      <c r="D165" s="26" t="s">
        <v>515</v>
      </c>
      <c r="E165" s="26"/>
      <c r="F165" s="26"/>
      <c r="G165" s="26" t="s">
        <v>516</v>
      </c>
      <c r="H165" s="26"/>
      <c r="I165" s="26"/>
    </row>
    <row r="166" spans="1:9" ht="87.95" customHeight="1" x14ac:dyDescent="0.2">
      <c r="A166" s="17" t="s">
        <v>517</v>
      </c>
      <c r="B166" s="25" t="s">
        <v>518</v>
      </c>
      <c r="C166" s="25"/>
      <c r="D166" s="25" t="s">
        <v>519</v>
      </c>
      <c r="E166" s="25"/>
      <c r="F166" s="25"/>
      <c r="G166" s="25" t="s">
        <v>520</v>
      </c>
      <c r="H166" s="25"/>
      <c r="I166" s="25"/>
    </row>
    <row r="167" spans="1:9" ht="87.95" customHeight="1" x14ac:dyDescent="0.2">
      <c r="A167" s="16" t="s">
        <v>521</v>
      </c>
      <c r="B167" s="26" t="s">
        <v>522</v>
      </c>
      <c r="C167" s="26"/>
      <c r="D167" s="26" t="s">
        <v>523</v>
      </c>
      <c r="E167" s="26"/>
      <c r="F167" s="26"/>
      <c r="G167" s="26" t="s">
        <v>524</v>
      </c>
      <c r="H167" s="26"/>
      <c r="I167" s="26"/>
    </row>
    <row r="168" spans="1:9" ht="87.95" customHeight="1" x14ac:dyDescent="0.2">
      <c r="A168" s="17" t="s">
        <v>525</v>
      </c>
      <c r="B168" s="25" t="s">
        <v>526</v>
      </c>
      <c r="C168" s="25"/>
      <c r="D168" s="25" t="s">
        <v>527</v>
      </c>
      <c r="E168" s="25"/>
      <c r="F168" s="25"/>
      <c r="G168" s="25" t="s">
        <v>528</v>
      </c>
      <c r="H168" s="25"/>
      <c r="I168" s="25"/>
    </row>
  </sheetData>
  <sheetProtection sheet="1" formatColumns="0" formatRows="0"/>
  <mergeCells count="207">
    <mergeCell ref="A2:H2"/>
    <mergeCell ref="A3:H3"/>
    <mergeCell ref="A29:H29"/>
    <mergeCell ref="D31:H31"/>
    <mergeCell ref="A33:H33"/>
    <mergeCell ref="A34:H34"/>
    <mergeCell ref="A35:H35"/>
    <mergeCell ref="A36:H36"/>
    <mergeCell ref="A46:H46"/>
    <mergeCell ref="A47:H47"/>
    <mergeCell ref="A67:H67"/>
    <mergeCell ref="A68:H68"/>
    <mergeCell ref="A71:H71"/>
    <mergeCell ref="A77:H77"/>
    <mergeCell ref="A84:I84"/>
    <mergeCell ref="A92:H92"/>
    <mergeCell ref="A93:H93"/>
    <mergeCell ref="A100:I100"/>
    <mergeCell ref="A101:I101"/>
    <mergeCell ref="B103:C103"/>
    <mergeCell ref="D103:F103"/>
    <mergeCell ref="G103:I103"/>
    <mergeCell ref="A104:I104"/>
    <mergeCell ref="B105:C105"/>
    <mergeCell ref="D105:F105"/>
    <mergeCell ref="G105:I105"/>
    <mergeCell ref="B106:C106"/>
    <mergeCell ref="D106:F106"/>
    <mergeCell ref="G106:I106"/>
    <mergeCell ref="B107:C107"/>
    <mergeCell ref="D107:F107"/>
    <mergeCell ref="G107:I107"/>
    <mergeCell ref="B108:C108"/>
    <mergeCell ref="D108:F108"/>
    <mergeCell ref="G108:I108"/>
    <mergeCell ref="B109:C109"/>
    <mergeCell ref="D109:F109"/>
    <mergeCell ref="G109:I109"/>
    <mergeCell ref="B110:C110"/>
    <mergeCell ref="D110:F110"/>
    <mergeCell ref="G110:I110"/>
    <mergeCell ref="B111:C111"/>
    <mergeCell ref="D111:F111"/>
    <mergeCell ref="G111:I111"/>
    <mergeCell ref="B112:C112"/>
    <mergeCell ref="D112:F112"/>
    <mergeCell ref="G112:I112"/>
    <mergeCell ref="B113:C113"/>
    <mergeCell ref="D113:F113"/>
    <mergeCell ref="G113:I113"/>
    <mergeCell ref="B114:C114"/>
    <mergeCell ref="D114:F114"/>
    <mergeCell ref="G114:I114"/>
    <mergeCell ref="B115:C115"/>
    <mergeCell ref="D115:F115"/>
    <mergeCell ref="G115:I115"/>
    <mergeCell ref="B116:C116"/>
    <mergeCell ref="D116:F116"/>
    <mergeCell ref="G116:I116"/>
    <mergeCell ref="A117:I117"/>
    <mergeCell ref="B118:C118"/>
    <mergeCell ref="D118:F118"/>
    <mergeCell ref="G118:I118"/>
    <mergeCell ref="B119:C119"/>
    <mergeCell ref="D119:F119"/>
    <mergeCell ref="G119:I119"/>
    <mergeCell ref="B120:C120"/>
    <mergeCell ref="D120:F120"/>
    <mergeCell ref="G120:I120"/>
    <mergeCell ref="B121:C121"/>
    <mergeCell ref="D121:F121"/>
    <mergeCell ref="G121:I121"/>
    <mergeCell ref="B122:C122"/>
    <mergeCell ref="D122:F122"/>
    <mergeCell ref="G122:I122"/>
    <mergeCell ref="B123:C123"/>
    <mergeCell ref="D123:F123"/>
    <mergeCell ref="G123:I123"/>
    <mergeCell ref="B124:C124"/>
    <mergeCell ref="D124:F124"/>
    <mergeCell ref="G124:I124"/>
    <mergeCell ref="B125:C125"/>
    <mergeCell ref="D125:F125"/>
    <mergeCell ref="G125:I125"/>
    <mergeCell ref="B126:C126"/>
    <mergeCell ref="D126:F126"/>
    <mergeCell ref="G126:I126"/>
    <mergeCell ref="B127:C127"/>
    <mergeCell ref="D127:F127"/>
    <mergeCell ref="G127:I127"/>
    <mergeCell ref="B128:C128"/>
    <mergeCell ref="D128:F128"/>
    <mergeCell ref="G128:I128"/>
    <mergeCell ref="B129:C129"/>
    <mergeCell ref="D129:F129"/>
    <mergeCell ref="G129:I129"/>
    <mergeCell ref="A130:I130"/>
    <mergeCell ref="B131:C131"/>
    <mergeCell ref="D131:F131"/>
    <mergeCell ref="G131:I131"/>
    <mergeCell ref="B132:C132"/>
    <mergeCell ref="D132:F132"/>
    <mergeCell ref="G132:I132"/>
    <mergeCell ref="B133:C133"/>
    <mergeCell ref="D133:F133"/>
    <mergeCell ref="G133:I133"/>
    <mergeCell ref="B134:C134"/>
    <mergeCell ref="D134:F134"/>
    <mergeCell ref="G134:I134"/>
    <mergeCell ref="B135:C135"/>
    <mergeCell ref="D135:F135"/>
    <mergeCell ref="G135:I135"/>
    <mergeCell ref="B136:C136"/>
    <mergeCell ref="D136:F136"/>
    <mergeCell ref="G136:I136"/>
    <mergeCell ref="B137:C137"/>
    <mergeCell ref="D137:F137"/>
    <mergeCell ref="G137:I137"/>
    <mergeCell ref="B138:C138"/>
    <mergeCell ref="D138:F138"/>
    <mergeCell ref="G138:I138"/>
    <mergeCell ref="B139:C139"/>
    <mergeCell ref="D139:F139"/>
    <mergeCell ref="G139:I139"/>
    <mergeCell ref="B140:C140"/>
    <mergeCell ref="D140:F140"/>
    <mergeCell ref="G140:I140"/>
    <mergeCell ref="B141:C141"/>
    <mergeCell ref="D141:F141"/>
    <mergeCell ref="G141:I141"/>
    <mergeCell ref="B142:C142"/>
    <mergeCell ref="D142:F142"/>
    <mergeCell ref="G142:I142"/>
    <mergeCell ref="B143:C143"/>
    <mergeCell ref="D143:F143"/>
    <mergeCell ref="G143:I143"/>
    <mergeCell ref="B144:C144"/>
    <mergeCell ref="D144:F144"/>
    <mergeCell ref="G144:I144"/>
    <mergeCell ref="B145:C145"/>
    <mergeCell ref="D145:F145"/>
    <mergeCell ref="G145:I145"/>
    <mergeCell ref="B146:C146"/>
    <mergeCell ref="D146:F146"/>
    <mergeCell ref="G146:I146"/>
    <mergeCell ref="B147:C147"/>
    <mergeCell ref="D147:F147"/>
    <mergeCell ref="G147:I147"/>
    <mergeCell ref="B148:C148"/>
    <mergeCell ref="D148:F148"/>
    <mergeCell ref="G148:I148"/>
    <mergeCell ref="A149:I149"/>
    <mergeCell ref="B150:C150"/>
    <mergeCell ref="D150:F150"/>
    <mergeCell ref="G150:I150"/>
    <mergeCell ref="B151:C151"/>
    <mergeCell ref="D151:F151"/>
    <mergeCell ref="G151:I151"/>
    <mergeCell ref="B152:C152"/>
    <mergeCell ref="D152:F152"/>
    <mergeCell ref="G152:I152"/>
    <mergeCell ref="B153:C153"/>
    <mergeCell ref="D153:F153"/>
    <mergeCell ref="G153:I153"/>
    <mergeCell ref="A154:I154"/>
    <mergeCell ref="B155:C155"/>
    <mergeCell ref="D155:F155"/>
    <mergeCell ref="G155:I155"/>
    <mergeCell ref="B156:C156"/>
    <mergeCell ref="D156:F156"/>
    <mergeCell ref="G156:I156"/>
    <mergeCell ref="B157:C157"/>
    <mergeCell ref="D157:F157"/>
    <mergeCell ref="G157:I157"/>
    <mergeCell ref="B158:C158"/>
    <mergeCell ref="D158:F158"/>
    <mergeCell ref="G158:I158"/>
    <mergeCell ref="B159:C159"/>
    <mergeCell ref="D159:F159"/>
    <mergeCell ref="G159:I159"/>
    <mergeCell ref="B160:C160"/>
    <mergeCell ref="D160:F160"/>
    <mergeCell ref="G160:I160"/>
    <mergeCell ref="B161:C161"/>
    <mergeCell ref="D161:F161"/>
    <mergeCell ref="G161:I161"/>
    <mergeCell ref="B162:C162"/>
    <mergeCell ref="D162:F162"/>
    <mergeCell ref="G162:I162"/>
    <mergeCell ref="B163:C163"/>
    <mergeCell ref="D163:F163"/>
    <mergeCell ref="G163:I163"/>
    <mergeCell ref="B164:C164"/>
    <mergeCell ref="D164:F164"/>
    <mergeCell ref="G164:I164"/>
    <mergeCell ref="B168:C168"/>
    <mergeCell ref="D168:F168"/>
    <mergeCell ref="G168:I168"/>
    <mergeCell ref="B165:C165"/>
    <mergeCell ref="D165:F165"/>
    <mergeCell ref="G165:I165"/>
    <mergeCell ref="B166:C166"/>
    <mergeCell ref="D166:F166"/>
    <mergeCell ref="G166:I166"/>
    <mergeCell ref="B167:C167"/>
    <mergeCell ref="D167:F167"/>
    <mergeCell ref="G167:I167"/>
  </mergeCells>
  <dataValidations count="12">
    <dataValidation type="decimal" sqref="C31" xr:uid="{00000000-0002-0000-0100-000000000000}">
      <formula1>0.1</formula1>
      <formula2>10</formula2>
    </dataValidation>
    <dataValidation type="whole" showErrorMessage="1" errorTitle="Invalid value" error="Enter a value within the permitted range" sqref="C6" xr:uid="{00000000-0002-0000-0100-000001000000}">
      <formula1>1</formula1>
      <formula2>20</formula2>
    </dataValidation>
    <dataValidation type="decimal" showErrorMessage="1" errorTitle="Invalid value" error="Enter a value within the permitted range" sqref="C7" xr:uid="{00000000-0002-0000-0100-000002000000}">
      <formula1>0</formula1>
      <formula2>1</formula2>
    </dataValidation>
    <dataValidation type="decimal" showErrorMessage="1" errorTitle="Invalid value" error="Enter a value within the permitted range" sqref="C10 C23" xr:uid="{00000000-0002-0000-0100-000003000000}">
      <formula1>0</formula1>
      <formula2>0.99</formula2>
    </dataValidation>
    <dataValidation type="decimal" showErrorMessage="1" errorTitle="Invalid value" error="Enter a value within the permitted range" sqref="C11 C12" xr:uid="{00000000-0002-0000-0100-000004000000}">
      <formula1>0.01</formula1>
      <formula2>1</formula2>
    </dataValidation>
    <dataValidation type="decimal" showErrorMessage="1" errorTitle="Invalid value" error="Enter a value within the permitted range" sqref="C13" xr:uid="{00000000-0002-0000-0100-000005000000}">
      <formula1>1</formula1>
      <formula2>23</formula2>
    </dataValidation>
    <dataValidation type="decimal" showErrorMessage="1" errorTitle="Invalid value" error="Enter a value within the permitted range" sqref="C14 C15" xr:uid="{00000000-0002-0000-0100-000006000000}">
      <formula1>0</formula1>
      <formula2>24</formula2>
    </dataValidation>
    <dataValidation type="decimal" showErrorMessage="1" errorTitle="Invalid value" error="Enter a value within the permitted range" sqref="C16" xr:uid="{00000000-0002-0000-0100-000007000000}">
      <formula1>1</formula1>
      <formula2>10</formula2>
    </dataValidation>
    <dataValidation type="decimal" showErrorMessage="1" errorTitle="Invalid value" error="Enter a value within the permitted range" sqref="C17 C18 C20 C22" xr:uid="{00000000-0002-0000-0100-000008000000}">
      <formula1>0</formula1>
      <formula2>10</formula2>
    </dataValidation>
    <dataValidation type="whole" showErrorMessage="1" errorTitle="Invalid value" error="Enter a value within the permitted range" sqref="C19 C21" xr:uid="{00000000-0002-0000-0100-000009000000}">
      <formula1>0</formula1>
      <formula2>40</formula2>
    </dataValidation>
    <dataValidation type="whole" showErrorMessage="1" errorTitle="Invalid value" error="Enter a value within the permitted range" sqref="C24" xr:uid="{00000000-0002-0000-0100-00000A000000}">
      <formula1>2000</formula1>
      <formula2>2100</formula2>
    </dataValidation>
    <dataValidation type="decimal" showErrorMessage="1" errorTitle="Invalid value" error="Enter a value within the permitted range" sqref="C26" xr:uid="{00000000-0002-0000-0100-00000B000000}">
      <formula1>0</formula1>
      <formula2>1000</formula2>
    </dataValidation>
  </dataValidations>
  <pageMargins left="0.7" right="0.7" top="0.75" bottom="0.75" header="0.511811023622047" footer="0.511811023622047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324F"/>
    <pageSetUpPr fitToPage="1"/>
  </sheetPr>
  <dimension ref="A1:U900"/>
  <sheetViews>
    <sheetView showGridLines="0" zoomScale="85" zoomScaleNormal="100" workbookViewId="0">
      <pane ySplit="5" topLeftCell="A6" activePane="bottomLeft" state="frozen"/>
      <selection pane="bottomLeft" activeCell="E17" sqref="E17"/>
    </sheetView>
  </sheetViews>
  <sheetFormatPr defaultColWidth="8.42578125" defaultRowHeight="12.75" outlineLevelRow="1" x14ac:dyDescent="0.2"/>
  <cols>
    <col min="1" max="1" width="43" customWidth="1"/>
    <col min="2" max="2" width="13" customWidth="1"/>
    <col min="3" max="5" width="29" customWidth="1"/>
    <col min="6" max="21" width="17" customWidth="1"/>
  </cols>
  <sheetData>
    <row r="1" spans="1:21" ht="23.1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30" customHeight="1" x14ac:dyDescent="0.2">
      <c r="A2" s="23" t="s">
        <v>166</v>
      </c>
      <c r="B2" s="24"/>
      <c r="C2" s="24"/>
      <c r="D2" s="24"/>
      <c r="E2" s="2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44.1" customHeight="1" x14ac:dyDescent="0.2">
      <c r="A3" s="19" t="s">
        <v>167</v>
      </c>
      <c r="B3" s="20"/>
      <c r="C3" s="20"/>
      <c r="D3" s="20"/>
      <c r="E3" s="20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3.1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45.95" customHeight="1" x14ac:dyDescent="0.2">
      <c r="A5" s="14" t="s">
        <v>168</v>
      </c>
      <c r="B5" s="14" t="s">
        <v>169</v>
      </c>
      <c r="C5" s="14" t="s">
        <v>170</v>
      </c>
      <c r="D5" s="14" t="s">
        <v>171</v>
      </c>
      <c r="E5" s="14" t="s">
        <v>172</v>
      </c>
      <c r="F5" s="5"/>
      <c r="G5" s="5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45.95" customHeight="1" x14ac:dyDescent="0.2">
      <c r="A6" s="4" t="s">
        <v>173</v>
      </c>
      <c r="B6" s="5"/>
      <c r="C6" s="4" t="str">
        <f>IF(C65=1,"Valid for indicative calculation","Check inputs / area / compatibility")</f>
        <v>Valid for indicative calculation</v>
      </c>
      <c r="D6" s="4" t="str">
        <f>IF(D65=1,"Valid for indicative calculation","Check inputs / area / compatibility")</f>
        <v>Valid for indicative calculation</v>
      </c>
      <c r="E6" s="4" t="str">
        <f>IF(E65=1,"Valid for indicative calculation","Check inputs / area / compatibility")</f>
        <v>Valid for indicative calculation</v>
      </c>
      <c r="F6" s="5"/>
      <c r="G6" s="5"/>
      <c r="H6" s="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33.950000000000003" customHeight="1" x14ac:dyDescent="0.2">
      <c r="A7" s="4" t="s">
        <v>174</v>
      </c>
      <c r="B7" s="13" t="s">
        <v>175</v>
      </c>
      <c r="C7" s="5">
        <f t="shared" ref="C7:E9" si="0">C51</f>
        <v>6.7</v>
      </c>
      <c r="D7" s="5">
        <f t="shared" si="0"/>
        <v>0</v>
      </c>
      <c r="E7" s="5">
        <f t="shared" si="0"/>
        <v>5.5</v>
      </c>
      <c r="F7" s="5"/>
      <c r="G7" s="5"/>
      <c r="H7" s="21" t="s">
        <v>206</v>
      </c>
      <c r="I7" s="22"/>
      <c r="J7" s="22"/>
      <c r="K7" s="22"/>
      <c r="L7" s="22"/>
      <c r="M7" s="5"/>
      <c r="N7" s="5"/>
      <c r="O7" s="5"/>
      <c r="P7" s="5"/>
      <c r="Q7" s="5"/>
      <c r="R7" s="5"/>
      <c r="S7" s="5"/>
      <c r="T7" s="5"/>
      <c r="U7" s="5"/>
    </row>
    <row r="8" spans="1:21" ht="33.950000000000003" customHeight="1" x14ac:dyDescent="0.2">
      <c r="A8" s="4" t="s">
        <v>176</v>
      </c>
      <c r="B8" s="13" t="s">
        <v>177</v>
      </c>
      <c r="C8" s="5">
        <f t="shared" si="0"/>
        <v>0</v>
      </c>
      <c r="D8" s="5">
        <f t="shared" si="0"/>
        <v>64</v>
      </c>
      <c r="E8" s="5">
        <f t="shared" si="0"/>
        <v>160</v>
      </c>
      <c r="F8" s="5"/>
      <c r="G8" s="5"/>
      <c r="H8" s="14" t="s">
        <v>207</v>
      </c>
      <c r="I8" s="14" t="s">
        <v>169</v>
      </c>
      <c r="J8" s="14" t="s">
        <v>170</v>
      </c>
      <c r="K8" s="14" t="s">
        <v>171</v>
      </c>
      <c r="L8" s="14" t="s">
        <v>172</v>
      </c>
      <c r="M8" s="5"/>
      <c r="N8" s="5"/>
      <c r="O8" s="5"/>
      <c r="P8" s="5"/>
      <c r="Q8" s="5"/>
      <c r="R8" s="5"/>
      <c r="S8" s="5"/>
      <c r="T8" s="5"/>
      <c r="U8" s="5"/>
    </row>
    <row r="9" spans="1:21" ht="33.950000000000003" customHeight="1" x14ac:dyDescent="0.2">
      <c r="A9" s="4" t="s">
        <v>178</v>
      </c>
      <c r="B9" s="13" t="s">
        <v>179</v>
      </c>
      <c r="C9" s="5">
        <f t="shared" si="0"/>
        <v>10</v>
      </c>
      <c r="D9" s="5">
        <f t="shared" si="0"/>
        <v>5</v>
      </c>
      <c r="E9" s="5">
        <f t="shared" si="0"/>
        <v>12</v>
      </c>
      <c r="F9" s="5"/>
      <c r="G9" s="5"/>
      <c r="H9" s="4" t="s">
        <v>208</v>
      </c>
      <c r="I9" s="5"/>
      <c r="J9" s="9" t="s">
        <v>133</v>
      </c>
      <c r="K9" s="9" t="s">
        <v>131</v>
      </c>
      <c r="L9" s="9" t="s">
        <v>131</v>
      </c>
      <c r="M9" s="5"/>
      <c r="N9" s="5"/>
      <c r="O9" s="5"/>
      <c r="P9" s="5"/>
      <c r="Q9" s="5"/>
      <c r="R9" s="5"/>
      <c r="S9" s="5"/>
      <c r="T9" s="5"/>
      <c r="U9" s="5"/>
    </row>
    <row r="10" spans="1:21" ht="33.950000000000003" customHeight="1" x14ac:dyDescent="0.2">
      <c r="A10" s="4" t="s">
        <v>180</v>
      </c>
      <c r="B10" s="13" t="s">
        <v>181</v>
      </c>
      <c r="C10" s="5">
        <f>C59</f>
        <v>40.5</v>
      </c>
      <c r="D10" s="5">
        <f>D59</f>
        <v>0</v>
      </c>
      <c r="E10" s="5">
        <f>E59</f>
        <v>39</v>
      </c>
      <c r="F10" s="5"/>
      <c r="G10" s="5"/>
      <c r="H10" s="4" t="s">
        <v>209</v>
      </c>
      <c r="I10" s="5"/>
      <c r="J10" s="11">
        <v>10</v>
      </c>
      <c r="K10" s="11">
        <v>0</v>
      </c>
      <c r="L10" s="11">
        <v>10</v>
      </c>
      <c r="M10" s="5"/>
      <c r="N10" s="5"/>
      <c r="O10" s="5"/>
      <c r="P10" s="5"/>
      <c r="Q10" s="5"/>
      <c r="R10" s="5"/>
      <c r="S10" s="5"/>
      <c r="T10" s="5"/>
      <c r="U10" s="5"/>
    </row>
    <row r="11" spans="1:21" ht="33.950000000000003" customHeight="1" x14ac:dyDescent="0.2">
      <c r="A11" s="4" t="s">
        <v>182</v>
      </c>
      <c r="B11" s="13" t="s">
        <v>99</v>
      </c>
      <c r="C11" s="5">
        <f>C64</f>
        <v>124960</v>
      </c>
      <c r="D11" s="5">
        <f>D64</f>
        <v>993256</v>
      </c>
      <c r="E11" s="5">
        <f>E64</f>
        <v>2528240</v>
      </c>
      <c r="F11" s="5"/>
      <c r="G11" s="5"/>
      <c r="H11" s="4" t="s">
        <v>210</v>
      </c>
      <c r="I11" s="5"/>
      <c r="J11" s="9" t="s">
        <v>148</v>
      </c>
      <c r="K11" s="9" t="s">
        <v>148</v>
      </c>
      <c r="L11" s="9" t="s">
        <v>148</v>
      </c>
      <c r="M11" s="5"/>
      <c r="N11" s="5"/>
      <c r="O11" s="5"/>
      <c r="P11" s="5"/>
      <c r="Q11" s="5"/>
      <c r="R11" s="5"/>
      <c r="S11" s="5"/>
      <c r="T11" s="5"/>
      <c r="U11" s="5"/>
    </row>
    <row r="12" spans="1:21" ht="33.950000000000003" customHeight="1" x14ac:dyDescent="0.2">
      <c r="A12" s="4" t="s">
        <v>183</v>
      </c>
      <c r="B12" s="13" t="s">
        <v>177</v>
      </c>
      <c r="C12" s="5">
        <f>SUM(F161:F172)</f>
        <v>12178.590000000002</v>
      </c>
      <c r="D12" s="5">
        <f>SUM(F411:F422)</f>
        <v>0</v>
      </c>
      <c r="E12" s="5">
        <f>SUM(F661:F672)</f>
        <v>9997.35</v>
      </c>
      <c r="F12" s="5"/>
      <c r="G12" s="5"/>
      <c r="H12" s="4" t="s">
        <v>211</v>
      </c>
      <c r="I12" s="5"/>
      <c r="J12" s="11">
        <v>0</v>
      </c>
      <c r="K12" s="11">
        <v>2</v>
      </c>
      <c r="L12" s="11">
        <v>5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ht="33.950000000000003" customHeight="1" x14ac:dyDescent="0.2">
      <c r="A13" s="4" t="s">
        <v>184</v>
      </c>
      <c r="B13" s="13" t="s">
        <v>99</v>
      </c>
      <c r="C13" s="5">
        <f>$B$79</f>
        <v>100727.83333333334</v>
      </c>
      <c r="D13" s="5">
        <f>$B$79</f>
        <v>100727.83333333334</v>
      </c>
      <c r="E13" s="5">
        <f>$B$79</f>
        <v>100727.83333333334</v>
      </c>
      <c r="F13" s="5"/>
      <c r="G13" s="5"/>
      <c r="H13" s="4" t="s">
        <v>212</v>
      </c>
      <c r="I13" s="5"/>
      <c r="J13" s="9" t="s">
        <v>155</v>
      </c>
      <c r="K13" s="9" t="s">
        <v>158</v>
      </c>
      <c r="L13" s="9" t="s">
        <v>160</v>
      </c>
      <c r="M13" s="5"/>
      <c r="N13" s="5"/>
      <c r="O13" s="5"/>
      <c r="P13" s="5"/>
      <c r="Q13" s="5"/>
      <c r="R13" s="5"/>
      <c r="S13" s="5"/>
      <c r="T13" s="5"/>
      <c r="U13" s="5"/>
    </row>
    <row r="14" spans="1:21" ht="33.950000000000003" customHeight="1" x14ac:dyDescent="0.2">
      <c r="A14" s="4" t="s">
        <v>185</v>
      </c>
      <c r="B14" s="13" t="s">
        <v>99</v>
      </c>
      <c r="C14" s="5">
        <f>IF(C65=1,SUM(N161:N172),"Invalid")</f>
        <v>59081.180458488227</v>
      </c>
      <c r="D14" s="5">
        <f>IF(D65=1,SUM(N411:N422),"Invalid")</f>
        <v>100727.83333333334</v>
      </c>
      <c r="E14" s="5">
        <f>IF(E65=1,SUM(N661:N672),"Invalid")</f>
        <v>66540.28246592317</v>
      </c>
      <c r="F14" s="5"/>
      <c r="G14" s="5"/>
      <c r="H14" s="4" t="s">
        <v>213</v>
      </c>
      <c r="I14" s="13" t="s">
        <v>57</v>
      </c>
      <c r="J14" s="12">
        <v>0.2</v>
      </c>
      <c r="K14" s="12">
        <v>1</v>
      </c>
      <c r="L14" s="12">
        <v>0.2</v>
      </c>
      <c r="M14" s="5"/>
      <c r="N14" s="5"/>
      <c r="O14" s="5"/>
      <c r="P14" s="5"/>
      <c r="Q14" s="5"/>
      <c r="R14" s="5"/>
      <c r="S14" s="5"/>
      <c r="T14" s="5"/>
      <c r="U14" s="5"/>
    </row>
    <row r="15" spans="1:21" ht="33.950000000000003" customHeight="1" x14ac:dyDescent="0.2">
      <c r="A15" s="4" t="s">
        <v>186</v>
      </c>
      <c r="B15" s="13" t="s">
        <v>99</v>
      </c>
      <c r="C15" s="5">
        <f>IF(C65=1,SUM(O161:O172),"Invalid")</f>
        <v>41646.652874845109</v>
      </c>
      <c r="D15" s="5">
        <f>IF(D65=1,SUM(O411:O422),"Invalid")</f>
        <v>0</v>
      </c>
      <c r="E15" s="5">
        <f>IF(E65=1,SUM(O661:O672),"Invalid")</f>
        <v>34187.550867410166</v>
      </c>
      <c r="F15" s="5"/>
      <c r="G15" s="5"/>
      <c r="H15" s="4" t="s">
        <v>214</v>
      </c>
      <c r="I15" s="5"/>
      <c r="J15" s="9" t="s">
        <v>215</v>
      </c>
      <c r="K15" s="9" t="s">
        <v>215</v>
      </c>
      <c r="L15" s="9" t="s">
        <v>215</v>
      </c>
      <c r="M15" s="5"/>
      <c r="N15" s="5"/>
      <c r="O15" s="5"/>
      <c r="P15" s="5"/>
      <c r="Q15" s="5"/>
      <c r="R15" s="5"/>
      <c r="S15" s="5"/>
      <c r="T15" s="5"/>
      <c r="U15" s="5"/>
    </row>
    <row r="16" spans="1:21" ht="33.950000000000003" customHeight="1" x14ac:dyDescent="0.2">
      <c r="A16" s="4" t="s">
        <v>187</v>
      </c>
      <c r="B16" s="13" t="s">
        <v>99</v>
      </c>
      <c r="C16" s="5">
        <f>IF(C65=1,C79,"Invalid")</f>
        <v>40397.052874845111</v>
      </c>
      <c r="D16" s="5">
        <f>IF(D65=1,G79,"Invalid")</f>
        <v>-9932.56</v>
      </c>
      <c r="E16" s="5">
        <f>IF(E65=1,K79,"Invalid")</f>
        <v>8905.1508674101642</v>
      </c>
      <c r="F16" s="5"/>
      <c r="G16" s="5"/>
      <c r="H16" s="4" t="s">
        <v>216</v>
      </c>
      <c r="I16" s="13" t="s">
        <v>102</v>
      </c>
      <c r="J16" s="10">
        <v>8</v>
      </c>
      <c r="K16" s="10">
        <v>8</v>
      </c>
      <c r="L16" s="10">
        <v>8</v>
      </c>
      <c r="M16" s="5"/>
      <c r="N16" s="5"/>
      <c r="O16" s="5"/>
      <c r="P16" s="5"/>
      <c r="Q16" s="5"/>
      <c r="R16" s="5"/>
      <c r="S16" s="5"/>
      <c r="T16" s="5"/>
      <c r="U16" s="5"/>
    </row>
    <row r="17" spans="1:21" ht="33.950000000000003" customHeight="1" x14ac:dyDescent="0.2">
      <c r="A17" s="4" t="s">
        <v>188</v>
      </c>
      <c r="B17" s="13" t="s">
        <v>99</v>
      </c>
      <c r="C17" s="5">
        <f>IF(C65=1,SUM(D78:D98),"Invalid")</f>
        <v>118751.57906266938</v>
      </c>
      <c r="D17" s="5">
        <f>IF(D65=1,SUM(H78:H98),"Invalid")</f>
        <v>-1054287.2814514381</v>
      </c>
      <c r="E17" s="5">
        <f>IF(E65=1,SUM(L78:L98),"Invalid")</f>
        <v>-2477224.6174755418</v>
      </c>
      <c r="F17" s="5"/>
      <c r="G17" s="5"/>
      <c r="H17" s="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3.950000000000003" customHeight="1" x14ac:dyDescent="0.2">
      <c r="A18" s="4" t="s">
        <v>189</v>
      </c>
      <c r="B18" s="13" t="s">
        <v>54</v>
      </c>
      <c r="C18" s="3">
        <f>IF(C65=0,"Invalid",IF(MIN(P79:P98)=999,"Not reached",MIN(P79:P98)))</f>
        <v>3.1075781112736065</v>
      </c>
      <c r="D18" s="4" t="str">
        <f>IF(D65=0,"Invalid",IF(MIN(R79:R98)=999,"Not reached",MIN(R79:R98)))</f>
        <v>Not reached</v>
      </c>
      <c r="E18" s="3" t="str">
        <f>IF(E65=0,"Invalid",IF(MIN(T79:T98)=999,"Not reached",MIN(T79:T98)))</f>
        <v>Not reached</v>
      </c>
      <c r="F18" s="5"/>
      <c r="G18" s="5"/>
      <c r="H18" s="19" t="s">
        <v>217</v>
      </c>
      <c r="I18" s="20"/>
      <c r="J18" s="20"/>
      <c r="K18" s="20"/>
      <c r="L18" s="20"/>
      <c r="M18" s="5"/>
      <c r="N18" s="5"/>
      <c r="O18" s="5"/>
      <c r="P18" s="5"/>
      <c r="Q18" s="5"/>
      <c r="R18" s="5"/>
      <c r="S18" s="5"/>
      <c r="T18" s="5"/>
      <c r="U18" s="5"/>
    </row>
    <row r="19" spans="1:21" ht="33.950000000000003" customHeight="1" x14ac:dyDescent="0.2">
      <c r="A19" s="4" t="s">
        <v>190</v>
      </c>
      <c r="B19" s="13" t="s">
        <v>54</v>
      </c>
      <c r="C19" s="3">
        <f>IF(C65=0,"Invalid",IF(MIN(Q79:Q98)=999,"Not reached",MIN(Q79:Q98)))</f>
        <v>3.9161381165938711</v>
      </c>
      <c r="D19" s="4" t="str">
        <f>IF(D65=0,"Invalid",IF(MIN(S79:S98)=999,"Not reached",MIN(S79:S98)))</f>
        <v>Not reached</v>
      </c>
      <c r="E19" s="4" t="str">
        <f>IF(E65=0,"Invalid",IF(MIN(U79:U98)=999,"Not reached",MIN(U79:U98)))</f>
        <v>Not reached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3.950000000000003" customHeight="1" x14ac:dyDescent="0.2">
      <c r="A20" s="4" t="s">
        <v>191</v>
      </c>
      <c r="B20" s="13" t="s">
        <v>192</v>
      </c>
      <c r="C20" s="5">
        <f t="shared" ref="C20:E21" si="1">C68</f>
        <v>0</v>
      </c>
      <c r="D20" s="5">
        <f t="shared" si="1"/>
        <v>49.92</v>
      </c>
      <c r="E20" s="5">
        <f t="shared" si="1"/>
        <v>124.8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33.950000000000003" customHeight="1" x14ac:dyDescent="0.2">
      <c r="A21" s="4" t="s">
        <v>193</v>
      </c>
      <c r="B21" s="13" t="s">
        <v>179</v>
      </c>
      <c r="C21" s="5">
        <f t="shared" si="1"/>
        <v>0</v>
      </c>
      <c r="D21" s="5">
        <f t="shared" si="1"/>
        <v>5</v>
      </c>
      <c r="E21" s="5">
        <f t="shared" si="1"/>
        <v>12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33.950000000000003" customHeight="1" x14ac:dyDescent="0.2">
      <c r="A22" s="4" t="s">
        <v>194</v>
      </c>
      <c r="B22" s="13" t="s">
        <v>195</v>
      </c>
      <c r="C22" s="4" t="str">
        <f>IF(C65=0,"Invalid",IF(C69=0,"Not available",IF(Inputs!$C$20="Unknown","Load unknown",IF(Inputs!$C$21&gt;C69,"Load exceeds power limit",C68/Inputs!$C$21))))</f>
        <v>Not available</v>
      </c>
      <c r="D22" s="4" t="str">
        <f>IF(D65=0,"Invalid",IF(D69=0,"Not available",IF(Inputs!$C$20="Unknown","Load unknown",IF(Inputs!$C$21&gt;D69,"Load exceeds power limit",D68/Inputs!$C$21))))</f>
        <v>Load unknown</v>
      </c>
      <c r="E22" s="4" t="str">
        <f>IF(E65=0,"Invalid",IF(E69=0,"Not available",IF(Inputs!$C$20="Unknown","Load unknown",IF(Inputs!$C$21&gt;E69,"Load exceeds power limit",E68/Inputs!$C$21))))</f>
        <v>Load unknown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3.950000000000003" customHeight="1" x14ac:dyDescent="0.2">
      <c r="A23" s="4" t="s">
        <v>196</v>
      </c>
      <c r="B23" s="13" t="s">
        <v>192</v>
      </c>
      <c r="C23" s="5">
        <f>IF(C58=1,C67*'Assumptions and Catalog'!$C$12,0)</f>
        <v>0</v>
      </c>
      <c r="D23" s="5">
        <f>IF(D58=1,D67*'Assumptions and Catalog'!$C$12,0)</f>
        <v>49.92</v>
      </c>
      <c r="E23" s="5">
        <f>IF(E58=1,E67*'Assumptions and Catalog'!$C$12,0)</f>
        <v>24.96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45.95" customHeight="1" x14ac:dyDescent="0.2">
      <c r="A24" s="4" t="s">
        <v>197</v>
      </c>
      <c r="B24" s="5"/>
      <c r="C24" s="4" t="str">
        <f>IF(C65=0,"Invalid",IF(C15&gt;0,IF(C69&gt;0,"Bill savings + backup capability","Bill savings"),IF(C69&gt;0,"Backup capability, no bill savings","No bill savings demonstrated")))</f>
        <v>Bill savings</v>
      </c>
      <c r="D24" s="4" t="str">
        <f>IF(D65=0,"Invalid",IF(D15&gt;0,IF(D69&gt;0,"Bill savings + backup capability","Bill savings"),IF(D69&gt;0,"Backup capability, no bill savings","No bill savings demonstrated")))</f>
        <v>Backup capability, no bill savings</v>
      </c>
      <c r="E24" s="4" t="str">
        <f>IF(E65=0,"Invalid",IF(E15&gt;0,IF(E69&gt;0,"Bill savings + backup capability","Bill savings"),IF(E69&gt;0,"Backup capability, no bill savings","No bill savings demonstrated")))</f>
        <v>Bill savings + backup capability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45.95" customHeight="1" x14ac:dyDescent="0.2">
      <c r="A25" s="4" t="s">
        <v>198</v>
      </c>
      <c r="B25" s="5"/>
      <c r="C25" s="4" t="str">
        <f>IF(C65=0,"Invalid",IF(C17&gt;0,"Positive NPV under assumptions",IF(C17=0,"Discounted breakeven","Negative NPV under assumptions")))</f>
        <v>Positive NPV under assumptions</v>
      </c>
      <c r="D25" s="4" t="str">
        <f>IF(D65=0,"Invalid",IF(D17&gt;0,"Positive NPV under assumptions",IF(D17=0,"Discounted breakeven","Negative NPV under assumptions")))</f>
        <v>Negative NPV under assumptions</v>
      </c>
      <c r="E25" s="4" t="str">
        <f>IF(E65=0,"Invalid",IF(E17&gt;0,"Positive NPV under assumptions",IF(E17=0,"Discounted breakeven","Negative NPV under assumptions")))</f>
        <v>Negative NPV under assumptions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45.95" customHeight="1" x14ac:dyDescent="0.2">
      <c r="A26" s="4" t="s">
        <v>199</v>
      </c>
      <c r="B26" s="5"/>
      <c r="C26" s="4" t="str">
        <f>IF(Inputs!$C$14="Unspecified","Roof fit not verified",IF(C59&lt;=Inputs!$C$15,"Within available area","Exceeds available area"))</f>
        <v>Roof fit not verified</v>
      </c>
      <c r="D26" s="4" t="str">
        <f>IF(Inputs!$C$14="Unspecified","Roof fit not verified",IF(D59&lt;=Inputs!$C$15,"Within available area","Exceeds available area"))</f>
        <v>Roof fit not verified</v>
      </c>
      <c r="E26" s="4" t="str">
        <f>IF(Inputs!$C$14="Unspecified","Roof fit not verified",IF(E59&lt;=Inputs!$C$15,"Within available area","Exceeds available area"))</f>
        <v>Roof fit not verified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33.950000000000003" customHeight="1" x14ac:dyDescent="0.2">
      <c r="A27" s="3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44.1" customHeight="1" x14ac:dyDescent="0.2">
      <c r="A28" s="19" t="s">
        <v>200</v>
      </c>
      <c r="B28" s="20"/>
      <c r="C28" s="20"/>
      <c r="D28" s="20"/>
      <c r="E28" s="2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44.1" customHeight="1" x14ac:dyDescent="0.2">
      <c r="A29" s="19" t="s">
        <v>201</v>
      </c>
      <c r="B29" s="20"/>
      <c r="C29" s="20"/>
      <c r="D29" s="20"/>
      <c r="E29" s="2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33.950000000000003" customHeight="1" x14ac:dyDescent="0.2">
      <c r="A30" s="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33.950000000000003" customHeight="1" x14ac:dyDescent="0.2">
      <c r="A31" s="4" t="s">
        <v>202</v>
      </c>
      <c r="B31" s="13" t="s">
        <v>203</v>
      </c>
      <c r="C31" s="5"/>
      <c r="D31" s="5"/>
      <c r="E31" s="5">
        <f>IF(E65=1,SUM(Q661:Q672)-SUM(N661:N672),"Invalid")</f>
        <v>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33.950000000000003" customHeight="1" x14ac:dyDescent="0.2">
      <c r="A32" s="4" t="s">
        <v>204</v>
      </c>
      <c r="B32" s="13" t="s">
        <v>99</v>
      </c>
      <c r="C32" s="5"/>
      <c r="D32" s="5"/>
      <c r="E32" s="5">
        <f>E61*(1+'Assumptions and Catalog'!$C$17)</f>
        <v>2400640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44.1" customHeight="1" x14ac:dyDescent="0.2">
      <c r="A33" s="19" t="s">
        <v>205</v>
      </c>
      <c r="B33" s="20"/>
      <c r="C33" s="20"/>
      <c r="D33" s="20"/>
      <c r="E33" s="2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33.950000000000003" customHeight="1" x14ac:dyDescent="0.2">
      <c r="A34" s="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33.950000000000003" customHeight="1" x14ac:dyDescent="0.2"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33.950000000000003" customHeight="1" x14ac:dyDescent="0.2"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33.950000000000003" customHeight="1" x14ac:dyDescent="0.2"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45.95" customHeight="1" x14ac:dyDescent="0.2"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33.950000000000003" customHeight="1" x14ac:dyDescent="0.2"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33.950000000000003" customHeight="1" x14ac:dyDescent="0.2"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33.950000000000003" customHeight="1" x14ac:dyDescent="0.2"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33.950000000000003" customHeight="1" x14ac:dyDescent="0.2"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33.950000000000003" customHeight="1" x14ac:dyDescent="0.2"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33.950000000000003" customHeight="1" x14ac:dyDescent="0.2"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33.950000000000003" customHeight="1" x14ac:dyDescent="0.2"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33.950000000000003" customHeight="1" x14ac:dyDescent="0.2"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33.950000000000003" customHeight="1" x14ac:dyDescent="0.2"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44.1" customHeight="1" x14ac:dyDescent="0.2"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33.950000000000003" customHeight="1" x14ac:dyDescent="0.2">
      <c r="A49" s="3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33.950000000000003" customHeight="1" x14ac:dyDescent="0.2">
      <c r="A50" s="21" t="s">
        <v>218</v>
      </c>
      <c r="B50" s="22"/>
      <c r="C50" s="22"/>
      <c r="D50" s="22"/>
      <c r="E50" s="2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33.950000000000003" customHeight="1" x14ac:dyDescent="0.2">
      <c r="A51" s="4" t="s">
        <v>219</v>
      </c>
      <c r="B51" s="5"/>
      <c r="C51" s="5">
        <f>J10*INDEX('Assumptions and Catalog'!$C$73:$I$74,MATCH(J9,'Assumptions and Catalog'!$A$73:$A$74,0),1)/1000</f>
        <v>6.7</v>
      </c>
      <c r="D51" s="5">
        <f>0</f>
        <v>0</v>
      </c>
      <c r="E51" s="5">
        <f>L10*INDEX('Assumptions and Catalog'!$C$73:$I$74,MATCH(L9,'Assumptions and Catalog'!$A$73:$A$74,0),1)/1000</f>
        <v>5.5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33.950000000000003" customHeight="1" x14ac:dyDescent="0.2">
      <c r="A52" s="4" t="s">
        <v>220</v>
      </c>
      <c r="B52" s="5"/>
      <c r="C52" s="5">
        <f>0</f>
        <v>0</v>
      </c>
      <c r="D52" s="5">
        <f>K12*INDEX('Assumptions and Catalog'!$C$79:$I$81,MATCH(K11,'Assumptions and Catalog'!$A$79:$A$81,0),1)</f>
        <v>64</v>
      </c>
      <c r="E52" s="5">
        <f>L12*INDEX('Assumptions and Catalog'!$C$79:$I$81,MATCH(L11,'Assumptions and Catalog'!$A$79:$A$81,0),1)</f>
        <v>160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33.950000000000003" customHeight="1" x14ac:dyDescent="0.2">
      <c r="A53" s="4" t="s">
        <v>221</v>
      </c>
      <c r="B53" s="5"/>
      <c r="C53" s="5">
        <f>INDEX('Assumptions and Catalog'!$C$86:$I$89,MATCH(J13,'Assumptions and Catalog'!$A$86:$A$89,0),1)</f>
        <v>10</v>
      </c>
      <c r="D53" s="5">
        <f>INDEX('Assumptions and Catalog'!$C$86:$I$89,MATCH(K13,'Assumptions and Catalog'!$A$86:$A$89,0),1)</f>
        <v>5</v>
      </c>
      <c r="E53" s="5">
        <f>INDEX('Assumptions and Catalog'!$C$86:$I$89,MATCH(L13,'Assumptions and Catalog'!$A$86:$A$89,0),1)</f>
        <v>12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33.950000000000003" customHeight="1" x14ac:dyDescent="0.2">
      <c r="A54" s="4" t="s">
        <v>222</v>
      </c>
      <c r="B54" s="5"/>
      <c r="C54" s="5">
        <f>INDEX('Assumptions and Catalog'!$C$86:$I$89,MATCH(J13,'Assumptions and Catalog'!$A$86:$A$89,0),2)</f>
        <v>13</v>
      </c>
      <c r="D54" s="5">
        <f>INDEX('Assumptions and Catalog'!$C$86:$I$89,MATCH(K13,'Assumptions and Catalog'!$A$86:$A$89,0),2)</f>
        <v>6.5</v>
      </c>
      <c r="E54" s="5">
        <f>INDEX('Assumptions and Catalog'!$C$86:$I$89,MATCH(L13,'Assumptions and Catalog'!$A$86:$A$89,0),2)</f>
        <v>15.6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33.950000000000003" customHeight="1" x14ac:dyDescent="0.2">
      <c r="A55" s="4" t="s">
        <v>223</v>
      </c>
      <c r="B55" s="5"/>
      <c r="C55" s="5">
        <f>C52*INDEX('Assumptions and Catalog'!$C$79:$I$81,MATCH(J11,'Assumptions and Catalog'!$A$79:$A$81,0),2)</f>
        <v>0</v>
      </c>
      <c r="D55" s="5">
        <f>D52*INDEX('Assumptions and Catalog'!$C$79:$I$81,MATCH(K11,'Assumptions and Catalog'!$A$79:$A$81,0),2)</f>
        <v>51.2</v>
      </c>
      <c r="E55" s="5">
        <f>E52*INDEX('Assumptions and Catalog'!$C$79:$I$81,MATCH(L11,'Assumptions and Catalog'!$A$79:$A$81,0),2)</f>
        <v>128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33.950000000000003" customHeight="1" x14ac:dyDescent="0.2">
      <c r="A56" s="4" t="s">
        <v>224</v>
      </c>
      <c r="B56" s="5"/>
      <c r="C56" s="5">
        <f>MIN(J12*INDEX('Assumptions and Catalog'!$C$79:$I$81,MATCH(J11,'Assumptions and Catalog'!$A$79:$A$81,0),3),INDEX('Assumptions and Catalog'!$C$86:$I$89,MATCH(J13,'Assumptions and Catalog'!$A$86:$A$89,0),3))</f>
        <v>0</v>
      </c>
      <c r="D56" s="5">
        <f>MIN(K12*INDEX('Assumptions and Catalog'!$C$79:$I$81,MATCH(K11,'Assumptions and Catalog'!$A$79:$A$81,0),3),INDEX('Assumptions and Catalog'!$C$86:$I$89,MATCH(K13,'Assumptions and Catalog'!$A$86:$A$89,0),3))</f>
        <v>5</v>
      </c>
      <c r="E56" s="5">
        <f>MIN(L12*INDEX('Assumptions and Catalog'!$C$79:$I$81,MATCH(L11,'Assumptions and Catalog'!$A$79:$A$81,0),3),INDEX('Assumptions and Catalog'!$C$86:$I$89,MATCH(L13,'Assumptions and Catalog'!$A$86:$A$89,0),3))</f>
        <v>10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33.950000000000003" customHeight="1" x14ac:dyDescent="0.2">
      <c r="A57" s="4" t="s">
        <v>225</v>
      </c>
      <c r="B57" s="5"/>
      <c r="C57" s="5">
        <f>MIN(J12*INDEX('Assumptions and Catalog'!$C$79:$I$81,MATCH(J11,'Assumptions and Catalog'!$A$79:$A$81,0),4),C53)</f>
        <v>0</v>
      </c>
      <c r="D57" s="5">
        <f>MIN(K12*INDEX('Assumptions and Catalog'!$C$79:$I$81,MATCH(K11,'Assumptions and Catalog'!$A$79:$A$81,0),4),D53)</f>
        <v>5</v>
      </c>
      <c r="E57" s="5">
        <f>MIN(L12*INDEX('Assumptions and Catalog'!$C$79:$I$81,MATCH(L11,'Assumptions and Catalog'!$A$79:$A$81,0),4),E53)</f>
        <v>12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33.950000000000003" customHeight="1" x14ac:dyDescent="0.2">
      <c r="A58" s="4" t="s">
        <v>226</v>
      </c>
      <c r="B58" s="5"/>
      <c r="C58" s="5">
        <f>0</f>
        <v>0</v>
      </c>
      <c r="D58" s="5">
        <f>INDEX('Assumptions and Catalog'!$C$86:$I$89,MATCH(K13,'Assumptions and Catalog'!$A$86:$A$89,0),4)</f>
        <v>1</v>
      </c>
      <c r="E58" s="5">
        <f>INDEX('Assumptions and Catalog'!$C$86:$I$89,MATCH(L13,'Assumptions and Catalog'!$A$86:$A$89,0),4)</f>
        <v>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33.950000000000003" customHeight="1" x14ac:dyDescent="0.2">
      <c r="A59" s="4" t="s">
        <v>227</v>
      </c>
      <c r="B59" s="5"/>
      <c r="C59" s="5">
        <f>C51*1000/INDEX('Assumptions and Catalog'!$C$73:$I$74,MATCH(J9,'Assumptions and Catalog'!$A$73:$A$74,0),1)*INDEX('Assumptions and Catalog'!$C$73:$I$74,MATCH(J9,'Assumptions and Catalog'!$A$73:$A$74,0),2)*'Assumptions and Catalog'!$C$16</f>
        <v>40.5</v>
      </c>
      <c r="D59" s="5">
        <f>D51*1000/INDEX('Assumptions and Catalog'!$C$73:$I$74,MATCH(K9,'Assumptions and Catalog'!$A$73:$A$74,0),1)*INDEX('Assumptions and Catalog'!$C$73:$I$74,MATCH(K9,'Assumptions and Catalog'!$A$73:$A$74,0),2)*'Assumptions and Catalog'!$C$16</f>
        <v>0</v>
      </c>
      <c r="E59" s="5">
        <f>E51*1000/INDEX('Assumptions and Catalog'!$C$73:$I$74,MATCH(L9,'Assumptions and Catalog'!$A$73:$A$74,0),1)*INDEX('Assumptions and Catalog'!$C$73:$I$74,MATCH(L9,'Assumptions and Catalog'!$A$73:$A$74,0),2)*'Assumptions and Catalog'!$C$16</f>
        <v>39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33.950000000000003" customHeight="1" x14ac:dyDescent="0.2">
      <c r="A60" s="4" t="s">
        <v>228</v>
      </c>
      <c r="B60" s="5"/>
      <c r="C60" s="5">
        <f>C51*1000/INDEX('Assumptions and Catalog'!$C$73:$I$74,MATCH(J9,'Assumptions and Catalog'!$A$73:$A$74,0),1)*INDEX('Assumptions and Catalog'!$C$73:$I$74,MATCH(J9,'Assumptions and Catalog'!$A$73:$A$74,0),3)</f>
        <v>53600</v>
      </c>
      <c r="D60" s="5">
        <f>D51*1000/INDEX('Assumptions and Catalog'!$C$73:$I$74,MATCH(K9,'Assumptions and Catalog'!$A$73:$A$74,0),1)*INDEX('Assumptions and Catalog'!$C$73:$I$74,MATCH(K9,'Assumptions and Catalog'!$A$73:$A$74,0),3)</f>
        <v>0</v>
      </c>
      <c r="E60" s="5">
        <f>E51*1000/INDEX('Assumptions and Catalog'!$C$73:$I$74,MATCH(L9,'Assumptions and Catalog'!$A$73:$A$74,0),1)*INDEX('Assumptions and Catalog'!$C$73:$I$74,MATCH(L9,'Assumptions and Catalog'!$A$73:$A$74,0),3)</f>
        <v>44000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33.950000000000003" customHeight="1" x14ac:dyDescent="0.2">
      <c r="A61" s="4" t="s">
        <v>229</v>
      </c>
      <c r="B61" s="5"/>
      <c r="C61" s="5">
        <f>C52/INDEX('Assumptions and Catalog'!$C$79:$I$81,MATCH(J11,'Assumptions and Catalog'!$A$79:$A$81,0),1)*INDEX('Assumptions and Catalog'!$C$79:$I$81,MATCH(J11,'Assumptions and Catalog'!$A$79:$A$81,0),5)</f>
        <v>0</v>
      </c>
      <c r="D61" s="5">
        <f>D52/INDEX('Assumptions and Catalog'!$C$79:$I$81,MATCH(K11,'Assumptions and Catalog'!$A$79:$A$81,0),1)*INDEX('Assumptions and Catalog'!$C$79:$I$81,MATCH(K11,'Assumptions and Catalog'!$A$79:$A$81,0),5)</f>
        <v>872960</v>
      </c>
      <c r="E61" s="5">
        <f>E52/INDEX('Assumptions and Catalog'!$C$79:$I$81,MATCH(L11,'Assumptions and Catalog'!$A$79:$A$81,0),1)*INDEX('Assumptions and Catalog'!$C$79:$I$81,MATCH(L11,'Assumptions and Catalog'!$A$79:$A$81,0),5)</f>
        <v>2182400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33.950000000000003" customHeight="1" x14ac:dyDescent="0.2">
      <c r="A62" s="4" t="s">
        <v>230</v>
      </c>
      <c r="B62" s="5"/>
      <c r="C62" s="5">
        <f>INDEX('Assumptions and Catalog'!$C$86:$I$89,MATCH(J13,'Assumptions and Catalog'!$A$86:$A$89,0),5)</f>
        <v>60000</v>
      </c>
      <c r="D62" s="5">
        <f>INDEX('Assumptions and Catalog'!$C$86:$I$89,MATCH(K13,'Assumptions and Catalog'!$A$86:$A$89,0),5)</f>
        <v>30000</v>
      </c>
      <c r="E62" s="5">
        <f>INDEX('Assumptions and Catalog'!$C$86:$I$89,MATCH(L13,'Assumptions and Catalog'!$A$86:$A$89,0),5)</f>
        <v>72000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33.950000000000003" customHeight="1" x14ac:dyDescent="0.2">
      <c r="A63" s="4" t="s">
        <v>231</v>
      </c>
      <c r="B63" s="5"/>
      <c r="C63" s="5">
        <f>SUM(C60:C62)*'Assumptions and Catalog'!$C$17</f>
        <v>11360</v>
      </c>
      <c r="D63" s="5">
        <f>SUM(D60:D62)*'Assumptions and Catalog'!$C$17</f>
        <v>90296</v>
      </c>
      <c r="E63" s="5">
        <f>SUM(E60:E62)*'Assumptions and Catalog'!$C$17</f>
        <v>229840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33.950000000000003" customHeight="1" x14ac:dyDescent="0.2">
      <c r="A64" s="4" t="s">
        <v>232</v>
      </c>
      <c r="B64" s="5"/>
      <c r="C64" s="5">
        <f>SUM(C60:C63)</f>
        <v>124960</v>
      </c>
      <c r="D64" s="5">
        <f>SUM(D60:D63)</f>
        <v>993256</v>
      </c>
      <c r="E64" s="5">
        <f>SUM(E60:E63)</f>
        <v>2528240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33.950000000000003" customHeight="1" x14ac:dyDescent="0.2">
      <c r="A65" s="4" t="s">
        <v>233</v>
      </c>
      <c r="B65" s="5"/>
      <c r="C65" s="5">
        <f>IF(AND(Inputs!$L$3="Ready for indicative calculation",C51&lt;=C54,OR(Inputs!$C$14="Unspecified",C59&lt;=Inputs!$C$15),C66="Compatible under assumptions",J10&gt;=0,J12&gt;=0,MOD(J10,1)=0,MOD(J12,1)=0,J14&gt;=0,J14&lt;=1,'Assumptions and Catalog'!$C$11&gt;0,'Assumptions and Catalog'!$C$11&lt;=1,'Assumptions and Catalog'!$C$12&gt;0,'Assumptions and Catalog'!$C$12&lt;=1,'Assumptions and Catalog'!$C$6&gt;=1,'Assumptions and Catalog'!$C$6&lt;=20),1,0)</f>
        <v>1</v>
      </c>
      <c r="D65" s="5">
        <f>IF(AND(Inputs!$L$3="Ready for indicative calculation",D51&lt;=D54,OR(Inputs!$C$14="Unspecified",D59&lt;=Inputs!$C$15),D66="Compatible under assumptions",K10&gt;=0,K12&gt;=0,MOD(K10,1)=0,MOD(K12,1)=0,K14&gt;=0,K14&lt;=1,'Assumptions and Catalog'!$C$11&gt;0,'Assumptions and Catalog'!$C$11&lt;=1,'Assumptions and Catalog'!$C$12&gt;0,'Assumptions and Catalog'!$C$12&lt;=1,'Assumptions and Catalog'!$C$6&gt;=1,'Assumptions and Catalog'!$C$6&lt;=20),1,0)</f>
        <v>1</v>
      </c>
      <c r="E65" s="5">
        <f>IF(AND(Inputs!$L$3="Ready for indicative calculation",E51&lt;=E54,OR(Inputs!$C$14="Unspecified",E59&lt;=Inputs!$C$15),E66="Compatible under assumptions",L10&gt;=0,L12&gt;=0,MOD(L10,1)=0,MOD(L12,1)=0,L14&gt;=0,L14&lt;=1,'Assumptions and Catalog'!$C$11&gt;0,'Assumptions and Catalog'!$C$11&lt;=1,'Assumptions and Catalog'!$C$12&gt;0,'Assumptions and Catalog'!$C$12&lt;=1,'Assumptions and Catalog'!$C$6&gt;=1,'Assumptions and Catalog'!$C$6&lt;=20),1,0)</f>
        <v>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33.950000000000003" customHeight="1" x14ac:dyDescent="0.2">
      <c r="A66" s="4" t="s">
        <v>234</v>
      </c>
      <c r="B66" s="5"/>
      <c r="C66" s="13" t="str">
        <f>IF(OR(C52=0,INDEX('Assumptions and Catalog'!$C$79:$I$81,MATCH(J11,'Assumptions and Catalog'!$A$79:$A$81,0),6)=INDEX('Assumptions and Catalog'!$C$86:$I$89,MATCH(J13,'Assumptions and Catalog'!$A$86:$A$89,0),6)),"Compatible under assumptions","Incompatible")</f>
        <v>Compatible under assumptions</v>
      </c>
      <c r="D66" s="13" t="str">
        <f>IF(OR(D52=0,INDEX('Assumptions and Catalog'!$C$79:$I$81,MATCH(K11,'Assumptions and Catalog'!$A$79:$A$81,0),6)=INDEX('Assumptions and Catalog'!$C$86:$I$89,MATCH(K13,'Assumptions and Catalog'!$A$86:$A$89,0),6)),"Compatible under assumptions","Incompatible")</f>
        <v>Compatible under assumptions</v>
      </c>
      <c r="E66" s="13" t="str">
        <f>IF(OR(E52=0,INDEX('Assumptions and Catalog'!$C$79:$I$81,MATCH(L11,'Assumptions and Catalog'!$A$79:$A$81,0),6)=INDEX('Assumptions and Catalog'!$C$86:$I$89,MATCH(L13,'Assumptions and Catalog'!$A$86:$A$89,0),6)),"Compatible under assumptions","Incompatible")</f>
        <v>Compatible under assumptions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33.950000000000003" customHeight="1" x14ac:dyDescent="0.2">
      <c r="A67" s="4" t="s">
        <v>235</v>
      </c>
      <c r="B67" s="5"/>
      <c r="C67" s="5">
        <f>C55*J14</f>
        <v>0</v>
      </c>
      <c r="D67" s="5">
        <f>D55*K14</f>
        <v>51.2</v>
      </c>
      <c r="E67" s="5">
        <f>E55*L14</f>
        <v>25.6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33.950000000000003" customHeight="1" x14ac:dyDescent="0.2">
      <c r="A68" s="4" t="s">
        <v>236</v>
      </c>
      <c r="B68" s="5"/>
      <c r="C68" s="5">
        <f>IF(C58=1,C55*'Assumptions and Catalog'!$C$12,0)</f>
        <v>0</v>
      </c>
      <c r="D68" s="5">
        <f>IF(D58=1,D55*'Assumptions and Catalog'!$C$12,0)</f>
        <v>49.92</v>
      </c>
      <c r="E68" s="5">
        <f>IF(E58=1,E55*'Assumptions and Catalog'!$C$12,0)</f>
        <v>124.8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33.950000000000003" customHeight="1" x14ac:dyDescent="0.2">
      <c r="A69" s="4" t="s">
        <v>237</v>
      </c>
      <c r="B69" s="5"/>
      <c r="C69" s="5">
        <f>IF(C58=1,C57,0)</f>
        <v>0</v>
      </c>
      <c r="D69" s="5">
        <f>IF(D58=1,D57,0)</f>
        <v>5</v>
      </c>
      <c r="E69" s="5">
        <f>IF(E58=1,E57,0)</f>
        <v>12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33.950000000000003" customHeight="1" x14ac:dyDescent="0.2">
      <c r="A70" s="4" t="s">
        <v>238</v>
      </c>
      <c r="B70" s="5"/>
      <c r="C70" s="5">
        <f>C64*'Assumptions and Catalog'!$C$18</f>
        <v>1249.6000000000001</v>
      </c>
      <c r="D70" s="5">
        <f>D64*'Assumptions and Catalog'!$C$18</f>
        <v>9932.56</v>
      </c>
      <c r="E70" s="5">
        <f>E64*'Assumptions and Catalog'!$C$18</f>
        <v>25282.400000000001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33.950000000000003" customHeight="1" x14ac:dyDescent="0.2">
      <c r="A71" s="3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33.950000000000003" customHeight="1" x14ac:dyDescent="0.2">
      <c r="A72" s="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33.950000000000003" customHeight="1" x14ac:dyDescent="0.2">
      <c r="A73" s="3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33.950000000000003" customHeight="1" x14ac:dyDescent="0.2">
      <c r="A74" s="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33.950000000000003" customHeight="1" x14ac:dyDescent="0.2">
      <c r="A75" s="21" t="s">
        <v>239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5"/>
      <c r="P75" s="5"/>
      <c r="Q75" s="5"/>
      <c r="R75" s="5"/>
      <c r="S75" s="5"/>
      <c r="T75" s="5"/>
      <c r="U75" s="5"/>
    </row>
    <row r="76" spans="1:21" ht="33.950000000000003" customHeight="1" x14ac:dyDescent="0.2">
      <c r="A76" s="3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33.950000000000003" customHeight="1" x14ac:dyDescent="0.2">
      <c r="A77" s="14" t="s">
        <v>240</v>
      </c>
      <c r="B77" s="14" t="s">
        <v>241</v>
      </c>
      <c r="C77" s="14" t="s">
        <v>242</v>
      </c>
      <c r="D77" s="14" t="s">
        <v>243</v>
      </c>
      <c r="E77" s="14" t="s">
        <v>244</v>
      </c>
      <c r="F77" s="14" t="s">
        <v>245</v>
      </c>
      <c r="G77" s="14" t="s">
        <v>246</v>
      </c>
      <c r="H77" s="14" t="s">
        <v>247</v>
      </c>
      <c r="I77" s="14" t="s">
        <v>248</v>
      </c>
      <c r="J77" s="14" t="s">
        <v>245</v>
      </c>
      <c r="K77" s="14" t="s">
        <v>249</v>
      </c>
      <c r="L77" s="14" t="s">
        <v>250</v>
      </c>
      <c r="M77" s="14" t="s">
        <v>251</v>
      </c>
      <c r="N77" s="14" t="s">
        <v>245</v>
      </c>
      <c r="O77" s="7"/>
      <c r="P77" s="14" t="s">
        <v>252</v>
      </c>
      <c r="Q77" s="14" t="s">
        <v>253</v>
      </c>
      <c r="R77" s="14" t="s">
        <v>254</v>
      </c>
      <c r="S77" s="14" t="s">
        <v>255</v>
      </c>
      <c r="T77" s="14" t="s">
        <v>256</v>
      </c>
      <c r="U77" s="14" t="s">
        <v>257</v>
      </c>
    </row>
    <row r="78" spans="1:21" ht="33.950000000000003" customHeight="1" x14ac:dyDescent="0.2">
      <c r="A78" s="3">
        <v>0</v>
      </c>
      <c r="B78" s="5">
        <v>0</v>
      </c>
      <c r="C78" s="5">
        <f>-C64</f>
        <v>-124960</v>
      </c>
      <c r="D78" s="5">
        <f>-C64</f>
        <v>-124960</v>
      </c>
      <c r="E78" s="5">
        <f>-C64</f>
        <v>-124960</v>
      </c>
      <c r="F78" s="5">
        <f>-C64</f>
        <v>-124960</v>
      </c>
      <c r="G78" s="5">
        <f>-D64</f>
        <v>-993256</v>
      </c>
      <c r="H78" s="5">
        <f>-D64</f>
        <v>-993256</v>
      </c>
      <c r="I78" s="5">
        <f>-D64</f>
        <v>-993256</v>
      </c>
      <c r="J78" s="5">
        <f>-D64</f>
        <v>-993256</v>
      </c>
      <c r="K78" s="5">
        <f>-E64</f>
        <v>-2528240</v>
      </c>
      <c r="L78" s="5">
        <f>-E64</f>
        <v>-2528240</v>
      </c>
      <c r="M78" s="5">
        <f>-E64</f>
        <v>-2528240</v>
      </c>
      <c r="N78" s="5">
        <f>-E64</f>
        <v>-2528240</v>
      </c>
      <c r="O78" s="5"/>
      <c r="P78" s="5"/>
      <c r="Q78" s="5"/>
      <c r="R78" s="5"/>
      <c r="S78" s="5"/>
      <c r="T78" s="5"/>
      <c r="U78" s="5"/>
    </row>
    <row r="79" spans="1:21" ht="33.950000000000003" customHeight="1" outlineLevel="1" x14ac:dyDescent="0.2">
      <c r="A79" s="3">
        <v>1</v>
      </c>
      <c r="B79" s="5">
        <f>IF(A79&lt;='Assumptions and Catalog'!$C$6,SUMIFS($M$161:$M$400,$A$161:$A$400,A79),0)</f>
        <v>100727.83333333334</v>
      </c>
      <c r="C79" s="5">
        <f>IF(A79&lt;='Assumptions and Catalog'!$C$6,SUMIFS($O$161:$O$400,$A$161:$A$400,A79)-(C$70+IF(AND('Assumptions and Catalog'!$C$19&gt;0,A79='Assumptions and Catalog'!$C$19),C$61*'Assumptions and Catalog'!$C$20,0)+IF(AND('Assumptions and Catalog'!$C$21&gt;0,A79='Assumptions and Catalog'!$C$21),C$62*'Assumptions and Catalog'!$C$22,0))*(1+'Assumptions and Catalog'!$C$9)^(A79-1),0)</f>
        <v>40397.052874845111</v>
      </c>
      <c r="D79" s="5">
        <f>C79/(1+'Assumptions and Catalog'!$C$7)^A79</f>
        <v>36724.59352258646</v>
      </c>
      <c r="E79" s="5">
        <f t="shared" ref="E79:E98" si="2">E78+C79</f>
        <v>-84562.947125154897</v>
      </c>
      <c r="F79" s="5">
        <f t="shared" ref="F79:F98" si="3">F78+D79</f>
        <v>-88235.406477413548</v>
      </c>
      <c r="G79" s="5">
        <f>IF(A79&lt;='Assumptions and Catalog'!$C$6,SUMIFS($O$411:$O$650,$A$411:$A$650,A79)-(D$70+IF(AND('Assumptions and Catalog'!$C$19&gt;0,A79='Assumptions and Catalog'!$C$19),D$61*'Assumptions and Catalog'!$C$20,0)+IF(AND('Assumptions and Catalog'!$C$21&gt;0,A79='Assumptions and Catalog'!$C$21),D$62*'Assumptions and Catalog'!$C$22,0))*(1+'Assumptions and Catalog'!$C$9)^(A79-1),0)</f>
        <v>-9932.56</v>
      </c>
      <c r="H79" s="5">
        <f>G79/(1+'Assumptions and Catalog'!$C$7)^A79</f>
        <v>-9029.5999999999985</v>
      </c>
      <c r="I79" s="5">
        <f t="shared" ref="I79:I98" si="4">I78+G79</f>
        <v>-1003188.56</v>
      </c>
      <c r="J79" s="5">
        <f t="shared" ref="J79:J98" si="5">J78+H79</f>
        <v>-1002285.6</v>
      </c>
      <c r="K79" s="5">
        <f>IF(A79&lt;='Assumptions and Catalog'!$C$6,SUMIFS($O$661:$O$900,$A$661:$A$900,A79)-(E$70+IF(AND('Assumptions and Catalog'!$C$19&gt;0,A79='Assumptions and Catalog'!$C$19),E$61*'Assumptions and Catalog'!$C$20,0)+IF(AND('Assumptions and Catalog'!$C$21&gt;0,A79='Assumptions and Catalog'!$C$21),E$62*'Assumptions and Catalog'!$C$22,0))*(1+'Assumptions and Catalog'!$C$9)^(A79-1),0)</f>
        <v>8905.1508674101642</v>
      </c>
      <c r="L79" s="5">
        <f>K79/(1+'Assumptions and Catalog'!$C$7)^A79</f>
        <v>8095.5916976456028</v>
      </c>
      <c r="M79" s="5">
        <f t="shared" ref="M79:M98" si="6">M78+K79</f>
        <v>-2519334.84913259</v>
      </c>
      <c r="N79" s="5">
        <f t="shared" ref="N79:N98" si="7">N78+L79</f>
        <v>-2520144.4083023546</v>
      </c>
      <c r="O79" s="5"/>
      <c r="P79" s="5">
        <f>IF(AND(A79&lt;='Assumptions and Catalog'!$C$6,E79&gt;=0,E78&lt;0,C79&gt;0),A79-1-E78/C79,999)</f>
        <v>999</v>
      </c>
      <c r="Q79" s="5">
        <f>IF(AND(A79&lt;='Assumptions and Catalog'!$C$6,F79&gt;=0,F78&lt;0,D79&gt;0),A79-1-F78/D79,999)</f>
        <v>999</v>
      </c>
      <c r="R79" s="5">
        <f>IF(AND(A79&lt;='Assumptions and Catalog'!$C$6,I79&gt;=0,I78&lt;0,G79&gt;0),A79-1-I78/G79,999)</f>
        <v>999</v>
      </c>
      <c r="S79" s="5">
        <f>IF(AND(A79&lt;='Assumptions and Catalog'!$C$6,J79&gt;=0,J78&lt;0,H79&gt;0),A79-1-J78/H79,999)</f>
        <v>999</v>
      </c>
      <c r="T79" s="5">
        <f>IF(AND(A79&lt;='Assumptions and Catalog'!$C$6,M79&gt;=0,M78&lt;0,K79&gt;0),A79-1-M78/K79,999)</f>
        <v>999</v>
      </c>
      <c r="U79" s="5">
        <f>IF(AND(A79&lt;='Assumptions and Catalog'!$C$6,N79&gt;=0,N78&lt;0,L79&gt;0),A79-1-N78/L79,999)</f>
        <v>999</v>
      </c>
    </row>
    <row r="80" spans="1:21" ht="33.950000000000003" customHeight="1" outlineLevel="1" x14ac:dyDescent="0.2">
      <c r="A80" s="3">
        <v>2</v>
      </c>
      <c r="B80" s="5">
        <f>IF(A80&lt;='Assumptions and Catalog'!$C$6,SUMIFS($M$161:$M$400,$A$161:$A$400,A80),0)</f>
        <v>101003.80000000002</v>
      </c>
      <c r="C80" s="5">
        <f>IF(A80&lt;='Assumptions and Catalog'!$C$6,SUMIFS($O$161:$O$400,$A$161:$A$400,A80)-(C$70+IF(AND('Assumptions and Catalog'!$C$19&gt;0,A80='Assumptions and Catalog'!$C$19),C$61*'Assumptions and Catalog'!$C$20,0)+IF(AND('Assumptions and Catalog'!$C$21&gt;0,A80='Assumptions and Catalog'!$C$21),C$62*'Assumptions and Catalog'!$C$22,0))*(1+'Assumptions and Catalog'!$C$9)^(A80-1),0)</f>
        <v>40302.349527211903</v>
      </c>
      <c r="D80" s="5">
        <f>C80/(1+'Assumptions and Catalog'!$C$7)^A80</f>
        <v>33307.726881993302</v>
      </c>
      <c r="E80" s="5">
        <f t="shared" si="2"/>
        <v>-44260.597597942993</v>
      </c>
      <c r="F80" s="5">
        <f t="shared" si="3"/>
        <v>-54927.679595420246</v>
      </c>
      <c r="G80" s="5">
        <f>IF(A80&lt;='Assumptions and Catalog'!$C$6,SUMIFS($O$411:$O$650,$A$411:$A$650,A80)-(D$70+IF(AND('Assumptions and Catalog'!$C$19&gt;0,A80='Assumptions and Catalog'!$C$19),D$61*'Assumptions and Catalog'!$C$20,0)+IF(AND('Assumptions and Catalog'!$C$21&gt;0,A80='Assumptions and Catalog'!$C$21),D$62*'Assumptions and Catalog'!$C$22,0))*(1+'Assumptions and Catalog'!$C$9)^(A80-1),0)</f>
        <v>-9932.56</v>
      </c>
      <c r="H80" s="5">
        <f>G80/(1+'Assumptions and Catalog'!$C$7)^A80</f>
        <v>-8208.7272727272702</v>
      </c>
      <c r="I80" s="5">
        <f t="shared" si="4"/>
        <v>-1013121.1200000001</v>
      </c>
      <c r="J80" s="5">
        <f t="shared" si="5"/>
        <v>-1010494.3272727273</v>
      </c>
      <c r="K80" s="5">
        <f>IF(A80&lt;='Assumptions and Catalog'!$C$6,SUMIFS($O$661:$O$900,$A$661:$A$900,A80)-(E$70+IF(AND('Assumptions and Catalog'!$C$19&gt;0,A80='Assumptions and Catalog'!$C$19),E$61*'Assumptions and Catalog'!$C$20,0)+IF(AND('Assumptions and Catalog'!$C$21&gt;0,A80='Assumptions and Catalog'!$C$21),E$62*'Assumptions and Catalog'!$C$22,0))*(1+'Assumptions and Catalog'!$C$9)^(A80-1),0)</f>
        <v>8827.4093133828937</v>
      </c>
      <c r="L80" s="5">
        <f>K80/(1+'Assumptions and Catalog'!$C$7)^A80</f>
        <v>7295.3795978371008</v>
      </c>
      <c r="M80" s="5">
        <f t="shared" si="6"/>
        <v>-2510507.4398192069</v>
      </c>
      <c r="N80" s="5">
        <f t="shared" si="7"/>
        <v>-2512849.0287045175</v>
      </c>
      <c r="O80" s="5"/>
      <c r="P80" s="5">
        <f>IF(AND(A80&lt;='Assumptions and Catalog'!$C$6,E80&gt;=0,E79&lt;0,C80&gt;0),A80-1-E79/C80,999)</f>
        <v>999</v>
      </c>
      <c r="Q80" s="5">
        <f>IF(AND(A80&lt;='Assumptions and Catalog'!$C$6,F80&gt;=0,F79&lt;0,D80&gt;0),A80-1-F79/D80,999)</f>
        <v>999</v>
      </c>
      <c r="R80" s="5">
        <f>IF(AND(A80&lt;='Assumptions and Catalog'!$C$6,I80&gt;=0,I79&lt;0,G80&gt;0),A80-1-I79/G80,999)</f>
        <v>999</v>
      </c>
      <c r="S80" s="5">
        <f>IF(AND(A80&lt;='Assumptions and Catalog'!$C$6,J80&gt;=0,J79&lt;0,H80&gt;0),A80-1-J79/H80,999)</f>
        <v>999</v>
      </c>
      <c r="T80" s="5">
        <f>IF(AND(A80&lt;='Assumptions and Catalog'!$C$6,M80&gt;=0,M79&lt;0,K80&gt;0),A80-1-M79/K80,999)</f>
        <v>999</v>
      </c>
      <c r="U80" s="5">
        <f>IF(AND(A80&lt;='Assumptions and Catalog'!$C$6,N80&gt;=0,N79&lt;0,L80&gt;0),A80-1-N79/L80,999)</f>
        <v>999</v>
      </c>
    </row>
    <row r="81" spans="1:21" ht="33.950000000000003" customHeight="1" outlineLevel="1" x14ac:dyDescent="0.2">
      <c r="A81" s="3">
        <v>3</v>
      </c>
      <c r="B81" s="5">
        <f>IF(A81&lt;='Assumptions and Catalog'!$C$6,SUMIFS($M$161:$M$400,$A$161:$A$400,A81),0)</f>
        <v>100727.83333333334</v>
      </c>
      <c r="C81" s="5">
        <f>IF(A81&lt;='Assumptions and Catalog'!$C$6,SUMIFS($O$161:$O$400,$A$161:$A$400,A81)-(C$70+IF(AND('Assumptions and Catalog'!$C$19&gt;0,A81='Assumptions and Catalog'!$C$19),C$61*'Assumptions and Catalog'!$C$20,0)+IF(AND('Assumptions and Catalog'!$C$21&gt;0,A81='Assumptions and Catalog'!$C$21),C$62*'Assumptions and Catalog'!$C$22,0))*(1+'Assumptions and Catalog'!$C$9)^(A81-1),0)</f>
        <v>39981.627512418541</v>
      </c>
      <c r="D81" s="5">
        <f>C81/(1+'Assumptions and Catalog'!$C$7)^A81</f>
        <v>30038.788514213771</v>
      </c>
      <c r="E81" s="5">
        <f t="shared" si="2"/>
        <v>-4278.9700855244519</v>
      </c>
      <c r="F81" s="5">
        <f t="shared" si="3"/>
        <v>-24888.891081206475</v>
      </c>
      <c r="G81" s="5">
        <f>IF(A81&lt;='Assumptions and Catalog'!$C$6,SUMIFS($O$411:$O$650,$A$411:$A$650,A81)-(D$70+IF(AND('Assumptions and Catalog'!$C$19&gt;0,A81='Assumptions and Catalog'!$C$19),D$61*'Assumptions and Catalog'!$C$20,0)+IF(AND('Assumptions and Catalog'!$C$21&gt;0,A81='Assumptions and Catalog'!$C$21),D$62*'Assumptions and Catalog'!$C$22,0))*(1+'Assumptions and Catalog'!$C$9)^(A81-1),0)</f>
        <v>-9932.56</v>
      </c>
      <c r="H81" s="5">
        <f>G81/(1+'Assumptions and Catalog'!$C$7)^A81</f>
        <v>-7462.4793388429725</v>
      </c>
      <c r="I81" s="5">
        <f t="shared" si="4"/>
        <v>-1023053.6800000002</v>
      </c>
      <c r="J81" s="5">
        <f t="shared" si="5"/>
        <v>-1017956.8066115703</v>
      </c>
      <c r="K81" s="5">
        <f>IF(A81&lt;='Assumptions and Catalog'!$C$6,SUMIFS($O$661:$O$900,$A$661:$A$900,A81)-(E$70+IF(AND('Assumptions and Catalog'!$C$19&gt;0,A81='Assumptions and Catalog'!$C$19),E$61*'Assumptions and Catalog'!$C$20,0)+IF(AND('Assumptions and Catalog'!$C$21&gt;0,A81='Assumptions and Catalog'!$C$21),E$62*'Assumptions and Catalog'!$C$22,0))*(1+'Assumptions and Catalog'!$C$9)^(A81-1),0)</f>
        <v>8564.1300475077514</v>
      </c>
      <c r="L81" s="5">
        <f>K81/(1+'Assumptions and Catalog'!$C$7)^A81</f>
        <v>6434.3576615385036</v>
      </c>
      <c r="M81" s="5">
        <f t="shared" si="6"/>
        <v>-2501943.3097716994</v>
      </c>
      <c r="N81" s="5">
        <f t="shared" si="7"/>
        <v>-2506414.6710429792</v>
      </c>
      <c r="O81" s="5"/>
      <c r="P81" s="5">
        <f>IF(AND(A81&lt;='Assumptions and Catalog'!$C$6,E81&gt;=0,E80&lt;0,C81&gt;0),A81-1-E80/C81,999)</f>
        <v>999</v>
      </c>
      <c r="Q81" s="5">
        <f>IF(AND(A81&lt;='Assumptions and Catalog'!$C$6,F81&gt;=0,F80&lt;0,D81&gt;0),A81-1-F80/D81,999)</f>
        <v>999</v>
      </c>
      <c r="R81" s="5">
        <f>IF(AND(A81&lt;='Assumptions and Catalog'!$C$6,I81&gt;=0,I80&lt;0,G81&gt;0),A81-1-I80/G81,999)</f>
        <v>999</v>
      </c>
      <c r="S81" s="5">
        <f>IF(AND(A81&lt;='Assumptions and Catalog'!$C$6,J81&gt;=0,J80&lt;0,H81&gt;0),A81-1-J80/H81,999)</f>
        <v>999</v>
      </c>
      <c r="T81" s="5">
        <f>IF(AND(A81&lt;='Assumptions and Catalog'!$C$6,M81&gt;=0,M80&lt;0,K81&gt;0),A81-1-M80/K81,999)</f>
        <v>999</v>
      </c>
      <c r="U81" s="5">
        <f>IF(AND(A81&lt;='Assumptions and Catalog'!$C$6,N81&gt;=0,N80&lt;0,L81&gt;0),A81-1-N80/L81,999)</f>
        <v>999</v>
      </c>
    </row>
    <row r="82" spans="1:21" ht="33.950000000000003" customHeight="1" outlineLevel="1" x14ac:dyDescent="0.2">
      <c r="A82" s="3">
        <v>4</v>
      </c>
      <c r="B82" s="5">
        <f>IF(A82&lt;='Assumptions and Catalog'!$C$6,SUMIFS($M$161:$M$400,$A$161:$A$400,A82),0)</f>
        <v>100727.83333333334</v>
      </c>
      <c r="C82" s="5">
        <f>IF(A82&lt;='Assumptions and Catalog'!$C$6,SUMIFS($O$161:$O$400,$A$161:$A$400,A82)-(C$70+IF(AND('Assumptions and Catalog'!$C$19&gt;0,A82='Assumptions and Catalog'!$C$19),C$61*'Assumptions and Catalog'!$C$20,0)+IF(AND('Assumptions and Catalog'!$C$21&gt;0,A82='Assumptions and Catalog'!$C$21),C$62*'Assumptions and Catalog'!$C$22,0))*(1+'Assumptions and Catalog'!$C$9)^(A82-1),0)</f>
        <v>39775.471374856439</v>
      </c>
      <c r="D82" s="5">
        <f>C82/(1+'Assumptions and Catalog'!$C$7)^A82</f>
        <v>27167.182142515147</v>
      </c>
      <c r="E82" s="5">
        <f t="shared" si="2"/>
        <v>35496.501289331987</v>
      </c>
      <c r="F82" s="5">
        <f t="shared" si="3"/>
        <v>2278.2910613086715</v>
      </c>
      <c r="G82" s="5">
        <f>IF(A82&lt;='Assumptions and Catalog'!$C$6,SUMIFS($O$411:$O$650,$A$411:$A$650,A82)-(D$70+IF(AND('Assumptions and Catalog'!$C$19&gt;0,A82='Assumptions and Catalog'!$C$19),D$61*'Assumptions and Catalog'!$C$20,0)+IF(AND('Assumptions and Catalog'!$C$21&gt;0,A82='Assumptions and Catalog'!$C$21),D$62*'Assumptions and Catalog'!$C$22,0))*(1+'Assumptions and Catalog'!$C$9)^(A82-1),0)</f>
        <v>-9932.56</v>
      </c>
      <c r="H82" s="5">
        <f>G82/(1+'Assumptions and Catalog'!$C$7)^A82</f>
        <v>-6784.0721262208845</v>
      </c>
      <c r="I82" s="5">
        <f t="shared" si="4"/>
        <v>-1032986.2400000002</v>
      </c>
      <c r="J82" s="5">
        <f t="shared" si="5"/>
        <v>-1024740.8787377912</v>
      </c>
      <c r="K82" s="5">
        <f>IF(A82&lt;='Assumptions and Catalog'!$C$6,SUMIFS($O$661:$O$900,$A$661:$A$900,A82)-(E$70+IF(AND('Assumptions and Catalog'!$C$19&gt;0,A82='Assumptions and Catalog'!$C$19),E$61*'Assumptions and Catalog'!$C$20,0)+IF(AND('Assumptions and Catalog'!$C$21&gt;0,A82='Assumptions and Catalog'!$C$21),E$62*'Assumptions and Catalog'!$C$22,0))*(1+'Assumptions and Catalog'!$C$9)^(A82-1),0)</f>
        <v>8394.8973972702152</v>
      </c>
      <c r="L82" s="5">
        <f>K82/(1+'Assumptions and Catalog'!$C$7)^A82</f>
        <v>5733.8278787447671</v>
      </c>
      <c r="M82" s="5">
        <f t="shared" si="6"/>
        <v>-2493548.4123744289</v>
      </c>
      <c r="N82" s="5">
        <f t="shared" si="7"/>
        <v>-2500680.8431642344</v>
      </c>
      <c r="O82" s="5"/>
      <c r="P82" s="5">
        <f>IF(AND(A82&lt;='Assumptions and Catalog'!$C$6,E82&gt;=0,E81&lt;0,C82&gt;0),A82-1-E81/C82,999)</f>
        <v>3.1075781112736065</v>
      </c>
      <c r="Q82" s="5">
        <f>IF(AND(A82&lt;='Assumptions and Catalog'!$C$6,F82&gt;=0,F81&lt;0,D82&gt;0),A82-1-F81/D82,999)</f>
        <v>3.9161381165938711</v>
      </c>
      <c r="R82" s="5">
        <f>IF(AND(A82&lt;='Assumptions and Catalog'!$C$6,I82&gt;=0,I81&lt;0,G82&gt;0),A82-1-I81/G82,999)</f>
        <v>999</v>
      </c>
      <c r="S82" s="5">
        <f>IF(AND(A82&lt;='Assumptions and Catalog'!$C$6,J82&gt;=0,J81&lt;0,H82&gt;0),A82-1-J81/H82,999)</f>
        <v>999</v>
      </c>
      <c r="T82" s="5">
        <f>IF(AND(A82&lt;='Assumptions and Catalog'!$C$6,M82&gt;=0,M81&lt;0,K82&gt;0),A82-1-M81/K82,999)</f>
        <v>999</v>
      </c>
      <c r="U82" s="5">
        <f>IF(AND(A82&lt;='Assumptions and Catalog'!$C$6,N82&gt;=0,N81&lt;0,L82&gt;0),A82-1-N81/L82,999)</f>
        <v>999</v>
      </c>
    </row>
    <row r="83" spans="1:21" ht="33.950000000000003" customHeight="1" outlineLevel="1" x14ac:dyDescent="0.2">
      <c r="A83" s="3">
        <v>5</v>
      </c>
      <c r="B83" s="5">
        <f>IF(A83&lt;='Assumptions and Catalog'!$C$6,SUMIFS($M$161:$M$400,$A$161:$A$400,A83),0)</f>
        <v>100727.83333333334</v>
      </c>
      <c r="C83" s="5">
        <f>IF(A83&lt;='Assumptions and Catalog'!$C$6,SUMIFS($O$161:$O$400,$A$161:$A$400,A83)-(C$70+IF(AND('Assumptions and Catalog'!$C$19&gt;0,A83='Assumptions and Catalog'!$C$19),C$61*'Assumptions and Catalog'!$C$20,0)+IF(AND('Assumptions and Catalog'!$C$21&gt;0,A83='Assumptions and Catalog'!$C$21),C$62*'Assumptions and Catalog'!$C$22,0))*(1+'Assumptions and Catalog'!$C$9)^(A83-1),0)</f>
        <v>39570.346017982163</v>
      </c>
      <c r="D83" s="5">
        <f>C83/(1+'Assumptions and Catalog'!$C$7)^A83</f>
        <v>24570.071603394048</v>
      </c>
      <c r="E83" s="5">
        <f t="shared" si="2"/>
        <v>75066.84730731415</v>
      </c>
      <c r="F83" s="5">
        <f t="shared" si="3"/>
        <v>26848.362664702719</v>
      </c>
      <c r="G83" s="5">
        <f>IF(A83&lt;='Assumptions and Catalog'!$C$6,SUMIFS($O$411:$O$650,$A$411:$A$650,A83)-(D$70+IF(AND('Assumptions and Catalog'!$C$19&gt;0,A83='Assumptions and Catalog'!$C$19),D$61*'Assumptions and Catalog'!$C$20,0)+IF(AND('Assumptions and Catalog'!$C$21&gt;0,A83='Assumptions and Catalog'!$C$21),D$62*'Assumptions and Catalog'!$C$22,0))*(1+'Assumptions and Catalog'!$C$9)^(A83-1),0)</f>
        <v>-9932.56</v>
      </c>
      <c r="H83" s="5">
        <f>G83/(1+'Assumptions and Catalog'!$C$7)^A83</f>
        <v>-6167.3382965644396</v>
      </c>
      <c r="I83" s="5">
        <f t="shared" si="4"/>
        <v>-1042918.8000000003</v>
      </c>
      <c r="J83" s="5">
        <f t="shared" si="5"/>
        <v>-1030908.2170343556</v>
      </c>
      <c r="K83" s="5">
        <f>IF(A83&lt;='Assumptions and Catalog'!$C$6,SUMIFS($O$661:$O$900,$A$661:$A$900,A83)-(E$70+IF(AND('Assumptions and Catalog'!$C$19&gt;0,A83='Assumptions and Catalog'!$C$19),E$61*'Assumptions and Catalog'!$C$20,0)+IF(AND('Assumptions and Catalog'!$C$21&gt;0,A83='Assumptions and Catalog'!$C$21),E$62*'Assumptions and Catalog'!$C$22,0))*(1+'Assumptions and Catalog'!$C$9)^(A83-1),0)</f>
        <v>8226.5109102838614</v>
      </c>
      <c r="L83" s="5">
        <f>K83/(1+'Assumptions and Catalog'!$C$7)^A83</f>
        <v>5108.0160385740282</v>
      </c>
      <c r="M83" s="5">
        <f t="shared" si="6"/>
        <v>-2485321.9014641452</v>
      </c>
      <c r="N83" s="5">
        <f t="shared" si="7"/>
        <v>-2495572.8271256606</v>
      </c>
      <c r="O83" s="5"/>
      <c r="P83" s="5">
        <f>IF(AND(A83&lt;='Assumptions and Catalog'!$C$6,E83&gt;=0,E82&lt;0,C83&gt;0),A83-1-E82/C83,999)</f>
        <v>999</v>
      </c>
      <c r="Q83" s="5">
        <f>IF(AND(A83&lt;='Assumptions and Catalog'!$C$6,F83&gt;=0,F82&lt;0,D83&gt;0),A83-1-F82/D83,999)</f>
        <v>999</v>
      </c>
      <c r="R83" s="5">
        <f>IF(AND(A83&lt;='Assumptions and Catalog'!$C$6,I83&gt;=0,I82&lt;0,G83&gt;0),A83-1-I82/G83,999)</f>
        <v>999</v>
      </c>
      <c r="S83" s="5">
        <f>IF(AND(A83&lt;='Assumptions and Catalog'!$C$6,J83&gt;=0,J82&lt;0,H83&gt;0),A83-1-J82/H83,999)</f>
        <v>999</v>
      </c>
      <c r="T83" s="5">
        <f>IF(AND(A83&lt;='Assumptions and Catalog'!$C$6,M83&gt;=0,M82&lt;0,K83&gt;0),A83-1-M82/K83,999)</f>
        <v>999</v>
      </c>
      <c r="U83" s="5">
        <f>IF(AND(A83&lt;='Assumptions and Catalog'!$C$6,N83&gt;=0,N82&lt;0,L83&gt;0),A83-1-N82/L83,999)</f>
        <v>999</v>
      </c>
    </row>
    <row r="84" spans="1:21" ht="33.950000000000003" customHeight="1" outlineLevel="1" x14ac:dyDescent="0.2">
      <c r="A84" s="3">
        <v>6</v>
      </c>
      <c r="B84" s="5">
        <f>IF(A84&lt;='Assumptions and Catalog'!$C$6,SUMIFS($M$161:$M$400,$A$161:$A$400,A84),0)</f>
        <v>101003.80000000002</v>
      </c>
      <c r="C84" s="5">
        <f>IF(A84&lt;='Assumptions and Catalog'!$C$6,SUMIFS($O$161:$O$400,$A$161:$A$400,A84)-(C$70+IF(AND('Assumptions and Catalog'!$C$19&gt;0,A84='Assumptions and Catalog'!$C$19),C$61*'Assumptions and Catalog'!$C$20,0)+IF(AND('Assumptions and Catalog'!$C$21&gt;0,A84='Assumptions and Catalog'!$C$21),C$62*'Assumptions and Catalog'!$C$22,0))*(1+'Assumptions and Catalog'!$C$9)^(A84-1),0)</f>
        <v>39477.522579091958</v>
      </c>
      <c r="D84" s="5">
        <f>C84/(1+'Assumptions and Catalog'!$C$7)^A84</f>
        <v>22284.032319006761</v>
      </c>
      <c r="E84" s="5">
        <f t="shared" si="2"/>
        <v>114544.36988640612</v>
      </c>
      <c r="F84" s="5">
        <f t="shared" si="3"/>
        <v>49132.394983709484</v>
      </c>
      <c r="G84" s="5">
        <f>IF(A84&lt;='Assumptions and Catalog'!$C$6,SUMIFS($O$411:$O$650,$A$411:$A$650,A84)-(D$70+IF(AND('Assumptions and Catalog'!$C$19&gt;0,A84='Assumptions and Catalog'!$C$19),D$61*'Assumptions and Catalog'!$C$20,0)+IF(AND('Assumptions and Catalog'!$C$21&gt;0,A84='Assumptions and Catalog'!$C$21),D$62*'Assumptions and Catalog'!$C$22,0))*(1+'Assumptions and Catalog'!$C$9)^(A84-1),0)</f>
        <v>-9932.56</v>
      </c>
      <c r="H84" s="5">
        <f>G84/(1+'Assumptions and Catalog'!$C$7)^A84</f>
        <v>-5606.6711786949445</v>
      </c>
      <c r="I84" s="5">
        <f t="shared" si="4"/>
        <v>-1052851.3600000003</v>
      </c>
      <c r="J84" s="5">
        <f t="shared" si="5"/>
        <v>-1036514.8882130506</v>
      </c>
      <c r="K84" s="5">
        <f>IF(A84&lt;='Assumptions and Catalog'!$C$6,SUMIFS($O$661:$O$900,$A$661:$A$900,A84)-(E$70+IF(AND('Assumptions and Catalog'!$C$19&gt;0,A84='Assumptions and Catalog'!$C$19),E$61*'Assumptions and Catalog'!$C$20,0)+IF(AND('Assumptions and Catalog'!$C$21&gt;0,A84='Assumptions and Catalog'!$C$21),E$62*'Assumptions and Catalog'!$C$22,0))*(1+'Assumptions and Catalog'!$C$9)^(A84-1),0)</f>
        <v>8150.3125649262292</v>
      </c>
      <c r="L84" s="5">
        <f>K84/(1+'Assumptions and Catalog'!$C$7)^A84</f>
        <v>4600.6389646905891</v>
      </c>
      <c r="M84" s="5">
        <f t="shared" si="6"/>
        <v>-2477171.5888992189</v>
      </c>
      <c r="N84" s="5">
        <f t="shared" si="7"/>
        <v>-2490972.1881609699</v>
      </c>
      <c r="O84" s="5"/>
      <c r="P84" s="5">
        <f>IF(AND(A84&lt;='Assumptions and Catalog'!$C$6,E84&gt;=0,E83&lt;0,C84&gt;0),A84-1-E83/C84,999)</f>
        <v>999</v>
      </c>
      <c r="Q84" s="5">
        <f>IF(AND(A84&lt;='Assumptions and Catalog'!$C$6,F84&gt;=0,F83&lt;0,D84&gt;0),A84-1-F83/D84,999)</f>
        <v>999</v>
      </c>
      <c r="R84" s="5">
        <f>IF(AND(A84&lt;='Assumptions and Catalog'!$C$6,I84&gt;=0,I83&lt;0,G84&gt;0),A84-1-I83/G84,999)</f>
        <v>999</v>
      </c>
      <c r="S84" s="5">
        <f>IF(AND(A84&lt;='Assumptions and Catalog'!$C$6,J84&gt;=0,J83&lt;0,H84&gt;0),A84-1-J83/H84,999)</f>
        <v>999</v>
      </c>
      <c r="T84" s="5">
        <f>IF(AND(A84&lt;='Assumptions and Catalog'!$C$6,M84&gt;=0,M83&lt;0,K84&gt;0),A84-1-M83/K84,999)</f>
        <v>999</v>
      </c>
      <c r="U84" s="5">
        <f>IF(AND(A84&lt;='Assumptions and Catalog'!$C$6,N84&gt;=0,N83&lt;0,L84&gt;0),A84-1-N83/L84,999)</f>
        <v>999</v>
      </c>
    </row>
    <row r="85" spans="1:21" ht="33.950000000000003" customHeight="1" outlineLevel="1" x14ac:dyDescent="0.2">
      <c r="A85" s="3">
        <v>7</v>
      </c>
      <c r="B85" s="5">
        <f>IF(A85&lt;='Assumptions and Catalog'!$C$6,SUMIFS($M$161:$M$400,$A$161:$A$400,A85),0)</f>
        <v>100727.83333333334</v>
      </c>
      <c r="C85" s="5">
        <f>IF(A85&lt;='Assumptions and Catalog'!$C$6,SUMIFS($O$161:$O$400,$A$161:$A$400,A85)-(C$70+IF(AND('Assumptions and Catalog'!$C$19&gt;0,A85='Assumptions and Catalog'!$C$19),C$61*'Assumptions and Catalog'!$C$20,0)+IF(AND('Assumptions and Catalog'!$C$21&gt;0,A85='Assumptions and Catalog'!$C$21),C$62*'Assumptions and Catalog'!$C$22,0))*(1+'Assumptions and Catalog'!$C$9)^(A85-1),0)</f>
        <v>39163.167056452796</v>
      </c>
      <c r="D85" s="5">
        <f>C85/(1+'Assumptions and Catalog'!$C$7)^A85</f>
        <v>20096.897110644109</v>
      </c>
      <c r="E85" s="5">
        <f t="shared" si="2"/>
        <v>153707.53694285892</v>
      </c>
      <c r="F85" s="5">
        <f t="shared" si="3"/>
        <v>69229.292094353586</v>
      </c>
      <c r="G85" s="5">
        <f>IF(A85&lt;='Assumptions and Catalog'!$C$6,SUMIFS($O$411:$O$650,$A$411:$A$650,A85)-(D$70+IF(AND('Assumptions and Catalog'!$C$19&gt;0,A85='Assumptions and Catalog'!$C$19),D$61*'Assumptions and Catalog'!$C$20,0)+IF(AND('Assumptions and Catalog'!$C$21&gt;0,A85='Assumptions and Catalog'!$C$21),D$62*'Assumptions and Catalog'!$C$22,0))*(1+'Assumptions and Catalog'!$C$9)^(A85-1),0)</f>
        <v>-9932.56</v>
      </c>
      <c r="H85" s="5">
        <f>G85/(1+'Assumptions and Catalog'!$C$7)^A85</f>
        <v>-5096.9737988135857</v>
      </c>
      <c r="I85" s="5">
        <f t="shared" si="4"/>
        <v>-1062783.9200000004</v>
      </c>
      <c r="J85" s="5">
        <f t="shared" si="5"/>
        <v>-1041611.8620118641</v>
      </c>
      <c r="K85" s="5">
        <f>IF(A85&lt;='Assumptions and Catalog'!$C$6,SUMIFS($O$661:$O$900,$A$661:$A$900,A85)-(E$70+IF(AND('Assumptions and Catalog'!$C$19&gt;0,A85='Assumptions and Catalog'!$C$19),E$61*'Assumptions and Catalog'!$C$20,0)+IF(AND('Assumptions and Catalog'!$C$21&gt;0,A85='Assumptions and Catalog'!$C$21),E$62*'Assumptions and Catalog'!$C$22,0))*(1+'Assumptions and Catalog'!$C$9)^(A85-1),0)</f>
        <v>7892.2595239537695</v>
      </c>
      <c r="L85" s="5">
        <f>K85/(1+'Assumptions and Catalog'!$C$7)^A85</f>
        <v>4049.9770459004876</v>
      </c>
      <c r="M85" s="5">
        <f t="shared" si="6"/>
        <v>-2469279.3293752652</v>
      </c>
      <c r="N85" s="5">
        <f t="shared" si="7"/>
        <v>-2486922.2111150692</v>
      </c>
      <c r="O85" s="5"/>
      <c r="P85" s="5">
        <f>IF(AND(A85&lt;='Assumptions and Catalog'!$C$6,E85&gt;=0,E84&lt;0,C85&gt;0),A85-1-E84/C85,999)</f>
        <v>999</v>
      </c>
      <c r="Q85" s="5">
        <f>IF(AND(A85&lt;='Assumptions and Catalog'!$C$6,F85&gt;=0,F84&lt;0,D85&gt;0),A85-1-F84/D85,999)</f>
        <v>999</v>
      </c>
      <c r="R85" s="5">
        <f>IF(AND(A85&lt;='Assumptions and Catalog'!$C$6,I85&gt;=0,I84&lt;0,G85&gt;0),A85-1-I84/G85,999)</f>
        <v>999</v>
      </c>
      <c r="S85" s="5">
        <f>IF(AND(A85&lt;='Assumptions and Catalog'!$C$6,J85&gt;=0,J84&lt;0,H85&gt;0),A85-1-J84/H85,999)</f>
        <v>999</v>
      </c>
      <c r="T85" s="5">
        <f>IF(AND(A85&lt;='Assumptions and Catalog'!$C$6,M85&gt;=0,M84&lt;0,K85&gt;0),A85-1-M84/K85,999)</f>
        <v>999</v>
      </c>
      <c r="U85" s="5">
        <f>IF(AND(A85&lt;='Assumptions and Catalog'!$C$6,N85&gt;=0,N84&lt;0,L85&gt;0),A85-1-N84/L85,999)</f>
        <v>999</v>
      </c>
    </row>
    <row r="86" spans="1:21" ht="33.950000000000003" customHeight="1" outlineLevel="1" x14ac:dyDescent="0.2">
      <c r="A86" s="3">
        <v>8</v>
      </c>
      <c r="B86" s="5">
        <f>IF(A86&lt;='Assumptions and Catalog'!$C$6,SUMIFS($M$161:$M$400,$A$161:$A$400,A86),0)</f>
        <v>100727.83333333334</v>
      </c>
      <c r="C86" s="5">
        <f>IF(A86&lt;='Assumptions and Catalog'!$C$6,SUMIFS($O$161:$O$400,$A$161:$A$400,A86)-(C$70+IF(AND('Assumptions and Catalog'!$C$19&gt;0,A86='Assumptions and Catalog'!$C$19),C$61*'Assumptions and Catalog'!$C$20,0)+IF(AND('Assumptions and Catalog'!$C$21&gt;0,A86='Assumptions and Catalog'!$C$21),C$62*'Assumptions and Catalog'!$C$22,0))*(1+'Assumptions and Catalog'!$C$9)^(A86-1),0)</f>
        <v>38961.103221170517</v>
      </c>
      <c r="D86" s="5">
        <f>C86/(1+'Assumptions and Catalog'!$C$7)^A86</f>
        <v>18175.642193789256</v>
      </c>
      <c r="E86" s="5">
        <f t="shared" si="2"/>
        <v>192668.64016402944</v>
      </c>
      <c r="F86" s="5">
        <f t="shared" si="3"/>
        <v>87404.934288142846</v>
      </c>
      <c r="G86" s="5">
        <f>IF(A86&lt;='Assumptions and Catalog'!$C$6,SUMIFS($O$411:$O$650,$A$411:$A$650,A86)-(D$70+IF(AND('Assumptions and Catalog'!$C$19&gt;0,A86='Assumptions and Catalog'!$C$19),D$61*'Assumptions and Catalog'!$C$20,0)+IF(AND('Assumptions and Catalog'!$C$21&gt;0,A86='Assumptions and Catalog'!$C$21),D$62*'Assumptions and Catalog'!$C$22,0))*(1+'Assumptions and Catalog'!$C$9)^(A86-1),0)</f>
        <v>-9932.56</v>
      </c>
      <c r="H86" s="5">
        <f>G86/(1+'Assumptions and Catalog'!$C$7)^A86</f>
        <v>-4633.6125443759875</v>
      </c>
      <c r="I86" s="5">
        <f t="shared" si="4"/>
        <v>-1072716.4800000004</v>
      </c>
      <c r="J86" s="5">
        <f t="shared" si="5"/>
        <v>-1046245.47455624</v>
      </c>
      <c r="K86" s="5">
        <f>IF(A86&lt;='Assumptions and Catalog'!$C$6,SUMIFS($O$661:$O$900,$A$661:$A$900,A86)-(E$70+IF(AND('Assumptions and Catalog'!$C$19&gt;0,A86='Assumptions and Catalog'!$C$19),E$61*'Assumptions and Catalog'!$C$20,0)+IF(AND('Assumptions and Catalog'!$C$21&gt;0,A86='Assumptions and Catalog'!$C$21),E$62*'Assumptions and Catalog'!$C$22,0))*(1+'Assumptions and Catalog'!$C$9)^(A86-1),0)</f>
        <v>7726.3862263339979</v>
      </c>
      <c r="L86" s="5">
        <f>K86/(1+'Assumptions and Catalog'!$C$7)^A86</f>
        <v>3604.4161969356401</v>
      </c>
      <c r="M86" s="5">
        <f t="shared" si="6"/>
        <v>-2461552.943148931</v>
      </c>
      <c r="N86" s="5">
        <f t="shared" si="7"/>
        <v>-2483317.7949181334</v>
      </c>
      <c r="O86" s="5"/>
      <c r="P86" s="5">
        <f>IF(AND(A86&lt;='Assumptions and Catalog'!$C$6,E86&gt;=0,E85&lt;0,C86&gt;0),A86-1-E85/C86,999)</f>
        <v>999</v>
      </c>
      <c r="Q86" s="5">
        <f>IF(AND(A86&lt;='Assumptions and Catalog'!$C$6,F86&gt;=0,F85&lt;0,D86&gt;0),A86-1-F85/D86,999)</f>
        <v>999</v>
      </c>
      <c r="R86" s="5">
        <f>IF(AND(A86&lt;='Assumptions and Catalog'!$C$6,I86&gt;=0,I85&lt;0,G86&gt;0),A86-1-I85/G86,999)</f>
        <v>999</v>
      </c>
      <c r="S86" s="5">
        <f>IF(AND(A86&lt;='Assumptions and Catalog'!$C$6,J86&gt;=0,J85&lt;0,H86&gt;0),A86-1-J85/H86,999)</f>
        <v>999</v>
      </c>
      <c r="T86" s="5">
        <f>IF(AND(A86&lt;='Assumptions and Catalog'!$C$6,M86&gt;=0,M85&lt;0,K86&gt;0),A86-1-M85/K86,999)</f>
        <v>999</v>
      </c>
      <c r="U86" s="5">
        <f>IF(AND(A86&lt;='Assumptions and Catalog'!$C$6,N86&gt;=0,N85&lt;0,L86&gt;0),A86-1-N85/L86,999)</f>
        <v>999</v>
      </c>
    </row>
    <row r="87" spans="1:21" ht="33.950000000000003" customHeight="1" outlineLevel="1" x14ac:dyDescent="0.2">
      <c r="A87" s="3">
        <v>9</v>
      </c>
      <c r="B87" s="5">
        <f>IF(A87&lt;='Assumptions and Catalog'!$C$6,SUMIFS($M$161:$M$400,$A$161:$A$400,A87),0)</f>
        <v>100727.83333333334</v>
      </c>
      <c r="C87" s="5">
        <f>IF(A87&lt;='Assumptions and Catalog'!$C$6,SUMIFS($O$161:$O$400,$A$161:$A$400,A87)-(C$70+IF(AND('Assumptions and Catalog'!$C$19&gt;0,A87='Assumptions and Catalog'!$C$19),C$61*'Assumptions and Catalog'!$C$20,0)+IF(AND('Assumptions and Catalog'!$C$21&gt;0,A87='Assumptions and Catalog'!$C$21),C$62*'Assumptions and Catalog'!$C$22,0))*(1+'Assumptions and Catalog'!$C$9)^(A87-1),0)</f>
        <v>38760.049705064674</v>
      </c>
      <c r="D87" s="5">
        <f>C87/(1+'Assumptions and Catalog'!$C$7)^A87</f>
        <v>16438.044767917054</v>
      </c>
      <c r="E87" s="5">
        <f t="shared" si="2"/>
        <v>231428.68986909412</v>
      </c>
      <c r="F87" s="5">
        <f t="shared" si="3"/>
        <v>103842.97905605991</v>
      </c>
      <c r="G87" s="5">
        <f>IF(A87&lt;='Assumptions and Catalog'!$C$6,SUMIFS($O$411:$O$650,$A$411:$A$650,A87)-(D$70+IF(AND('Assumptions and Catalog'!$C$19&gt;0,A87='Assumptions and Catalog'!$C$19),D$61*'Assumptions and Catalog'!$C$20,0)+IF(AND('Assumptions and Catalog'!$C$21&gt;0,A87='Assumptions and Catalog'!$C$21),D$62*'Assumptions and Catalog'!$C$22,0))*(1+'Assumptions and Catalog'!$C$9)^(A87-1),0)</f>
        <v>-9932.56</v>
      </c>
      <c r="H87" s="5">
        <f>G87/(1+'Assumptions and Catalog'!$C$7)^A87</f>
        <v>-4212.3750403418062</v>
      </c>
      <c r="I87" s="5">
        <f t="shared" si="4"/>
        <v>-1082649.0400000005</v>
      </c>
      <c r="J87" s="5">
        <f t="shared" si="5"/>
        <v>-1050457.8495965819</v>
      </c>
      <c r="K87" s="5">
        <f>IF(A87&lt;='Assumptions and Catalog'!$C$6,SUMIFS($O$661:$O$900,$A$661:$A$900,A87)-(E$70+IF(AND('Assumptions and Catalog'!$C$19&gt;0,A87='Assumptions and Catalog'!$C$19),E$61*'Assumptions and Catalog'!$C$20,0)+IF(AND('Assumptions and Catalog'!$C$21&gt;0,A87='Assumptions and Catalog'!$C$21),E$62*'Assumptions and Catalog'!$C$22,0))*(1+'Assumptions and Catalog'!$C$9)^(A87-1),0)</f>
        <v>7561.342295202332</v>
      </c>
      <c r="L87" s="5">
        <f>K87/(1+'Assumptions and Catalog'!$C$7)^A87</f>
        <v>3206.7472590944458</v>
      </c>
      <c r="M87" s="5">
        <f t="shared" si="6"/>
        <v>-2453991.6008537286</v>
      </c>
      <c r="N87" s="5">
        <f t="shared" si="7"/>
        <v>-2480111.047659039</v>
      </c>
      <c r="O87" s="5"/>
      <c r="P87" s="5">
        <f>IF(AND(A87&lt;='Assumptions and Catalog'!$C$6,E87&gt;=0,E86&lt;0,C87&gt;0),A87-1-E86/C87,999)</f>
        <v>999</v>
      </c>
      <c r="Q87" s="5">
        <f>IF(AND(A87&lt;='Assumptions and Catalog'!$C$6,F87&gt;=0,F86&lt;0,D87&gt;0),A87-1-F86/D87,999)</f>
        <v>999</v>
      </c>
      <c r="R87" s="5">
        <f>IF(AND(A87&lt;='Assumptions and Catalog'!$C$6,I87&gt;=0,I86&lt;0,G87&gt;0),A87-1-I86/G87,999)</f>
        <v>999</v>
      </c>
      <c r="S87" s="5">
        <f>IF(AND(A87&lt;='Assumptions and Catalog'!$C$6,J87&gt;=0,J86&lt;0,H87&gt;0),A87-1-J86/H87,999)</f>
        <v>999</v>
      </c>
      <c r="T87" s="5">
        <f>IF(AND(A87&lt;='Assumptions and Catalog'!$C$6,M87&gt;=0,M86&lt;0,K87&gt;0),A87-1-M86/K87,999)</f>
        <v>999</v>
      </c>
      <c r="U87" s="5">
        <f>IF(AND(A87&lt;='Assumptions and Catalog'!$C$6,N87&gt;=0,N86&lt;0,L87&gt;0),A87-1-N86/L87,999)</f>
        <v>999</v>
      </c>
    </row>
    <row r="88" spans="1:21" ht="33.950000000000003" customHeight="1" outlineLevel="1" x14ac:dyDescent="0.2">
      <c r="A88" s="3">
        <v>10</v>
      </c>
      <c r="B88" s="5">
        <f>IF(A88&lt;='Assumptions and Catalog'!$C$6,SUMIFS($M$161:$M$400,$A$161:$A$400,A88),0)</f>
        <v>101003.80000000002</v>
      </c>
      <c r="C88" s="5">
        <f>IF(A88&lt;='Assumptions and Catalog'!$C$6,SUMIFS($O$161:$O$400,$A$161:$A$400,A88)-(C$70+IF(AND('Assumptions and Catalog'!$C$19&gt;0,A88='Assumptions and Catalog'!$C$19),C$61*'Assumptions and Catalog'!$C$20,0)+IF(AND('Assumptions and Catalog'!$C$21&gt;0,A88='Assumptions and Catalog'!$C$21),C$62*'Assumptions and Catalog'!$C$22,0))*(1+'Assumptions and Catalog'!$C$9)^(A88-1),0)</f>
        <v>38669.068857790146</v>
      </c>
      <c r="D88" s="5">
        <f>C88/(1+'Assumptions and Catalog'!$C$7)^A88</f>
        <v>14908.600006609468</v>
      </c>
      <c r="E88" s="5">
        <f t="shared" si="2"/>
        <v>270097.75872688426</v>
      </c>
      <c r="F88" s="5">
        <f t="shared" si="3"/>
        <v>118751.57906266938</v>
      </c>
      <c r="G88" s="5">
        <f>IF(A88&lt;='Assumptions and Catalog'!$C$6,SUMIFS($O$411:$O$650,$A$411:$A$650,A88)-(D$70+IF(AND('Assumptions and Catalog'!$C$19&gt;0,A88='Assumptions and Catalog'!$C$19),D$61*'Assumptions and Catalog'!$C$20,0)+IF(AND('Assumptions and Catalog'!$C$21&gt;0,A88='Assumptions and Catalog'!$C$21),D$62*'Assumptions and Catalog'!$C$22,0))*(1+'Assumptions and Catalog'!$C$9)^(A88-1),0)</f>
        <v>-9932.56</v>
      </c>
      <c r="H88" s="5">
        <f>G88/(1+'Assumptions and Catalog'!$C$7)^A88</f>
        <v>-3829.4318548561869</v>
      </c>
      <c r="I88" s="5">
        <f t="shared" si="4"/>
        <v>-1092581.6000000006</v>
      </c>
      <c r="J88" s="5">
        <f t="shared" si="5"/>
        <v>-1054287.2814514381</v>
      </c>
      <c r="K88" s="5">
        <f>IF(A88&lt;='Assumptions and Catalog'!$C$6,SUMIFS($O$661:$O$900,$A$661:$A$900,A88)-(E$70+IF(AND('Assumptions and Catalog'!$C$19&gt;0,A88='Assumptions and Catalog'!$C$19),E$61*'Assumptions and Catalog'!$C$20,0)+IF(AND('Assumptions and Catalog'!$C$21&gt;0,A88='Assumptions and Catalog'!$C$21),E$62*'Assumptions and Catalog'!$C$22,0))*(1+'Assumptions and Catalog'!$C$9)^(A88-1),0)</f>
        <v>7486.6565250515996</v>
      </c>
      <c r="L88" s="5">
        <f>K88/(1+'Assumptions and Catalog'!$C$7)^A88</f>
        <v>2886.430183497459</v>
      </c>
      <c r="M88" s="5">
        <f t="shared" si="6"/>
        <v>-2446504.9443286769</v>
      </c>
      <c r="N88" s="5">
        <f t="shared" si="7"/>
        <v>-2477224.6174755418</v>
      </c>
      <c r="O88" s="5"/>
      <c r="P88" s="5">
        <f>IF(AND(A88&lt;='Assumptions and Catalog'!$C$6,E88&gt;=0,E87&lt;0,C88&gt;0),A88-1-E87/C88,999)</f>
        <v>999</v>
      </c>
      <c r="Q88" s="5">
        <f>IF(AND(A88&lt;='Assumptions and Catalog'!$C$6,F88&gt;=0,F87&lt;0,D88&gt;0),A88-1-F87/D88,999)</f>
        <v>999</v>
      </c>
      <c r="R88" s="5">
        <f>IF(AND(A88&lt;='Assumptions and Catalog'!$C$6,I88&gt;=0,I87&lt;0,G88&gt;0),A88-1-I87/G88,999)</f>
        <v>999</v>
      </c>
      <c r="S88" s="5">
        <f>IF(AND(A88&lt;='Assumptions and Catalog'!$C$6,J88&gt;=0,J87&lt;0,H88&gt;0),A88-1-J87/H88,999)</f>
        <v>999</v>
      </c>
      <c r="T88" s="5">
        <f>IF(AND(A88&lt;='Assumptions and Catalog'!$C$6,M88&gt;=0,M87&lt;0,K88&gt;0),A88-1-M87/K88,999)</f>
        <v>999</v>
      </c>
      <c r="U88" s="5">
        <f>IF(AND(A88&lt;='Assumptions and Catalog'!$C$6,N88&gt;=0,N87&lt;0,L88&gt;0),A88-1-N87/L88,999)</f>
        <v>999</v>
      </c>
    </row>
    <row r="89" spans="1:21" ht="33.950000000000003" customHeight="1" outlineLevel="1" x14ac:dyDescent="0.2">
      <c r="A89" s="3">
        <v>11</v>
      </c>
      <c r="B89" s="5">
        <f>IF(A89&lt;='Assumptions and Catalog'!$C$6,SUMIFS($M$161:$M$400,$A$161:$A$400,A89),0)</f>
        <v>0</v>
      </c>
      <c r="C89" s="5">
        <f>IF(A89&lt;='Assumptions and Catalog'!$C$6,SUMIFS($O$161:$O$400,$A$161:$A$400,A89)-(C$70+IF(AND('Assumptions and Catalog'!$C$19&gt;0,A89='Assumptions and Catalog'!$C$19),C$61*'Assumptions and Catalog'!$C$20,0)+IF(AND('Assumptions and Catalog'!$C$21&gt;0,A89='Assumptions and Catalog'!$C$21),C$62*'Assumptions and Catalog'!$C$22,0))*(1+'Assumptions and Catalog'!$C$9)^(A89-1),0)</f>
        <v>0</v>
      </c>
      <c r="D89" s="5">
        <f>C89/(1+'Assumptions and Catalog'!$C$7)^A89</f>
        <v>0</v>
      </c>
      <c r="E89" s="5">
        <f t="shared" si="2"/>
        <v>270097.75872688426</v>
      </c>
      <c r="F89" s="5">
        <f t="shared" si="3"/>
        <v>118751.57906266938</v>
      </c>
      <c r="G89" s="5">
        <f>IF(A89&lt;='Assumptions and Catalog'!$C$6,SUMIFS($O$411:$O$650,$A$411:$A$650,A89)-(D$70+IF(AND('Assumptions and Catalog'!$C$19&gt;0,A89='Assumptions and Catalog'!$C$19),D$61*'Assumptions and Catalog'!$C$20,0)+IF(AND('Assumptions and Catalog'!$C$21&gt;0,A89='Assumptions and Catalog'!$C$21),D$62*'Assumptions and Catalog'!$C$22,0))*(1+'Assumptions and Catalog'!$C$9)^(A89-1),0)</f>
        <v>0</v>
      </c>
      <c r="H89" s="5">
        <f>G89/(1+'Assumptions and Catalog'!$C$7)^A89</f>
        <v>0</v>
      </c>
      <c r="I89" s="5">
        <f t="shared" si="4"/>
        <v>-1092581.6000000006</v>
      </c>
      <c r="J89" s="5">
        <f t="shared" si="5"/>
        <v>-1054287.2814514381</v>
      </c>
      <c r="K89" s="5">
        <f>IF(A89&lt;='Assumptions and Catalog'!$C$6,SUMIFS($O$661:$O$900,$A$661:$A$900,A89)-(E$70+IF(AND('Assumptions and Catalog'!$C$19&gt;0,A89='Assumptions and Catalog'!$C$19),E$61*'Assumptions and Catalog'!$C$20,0)+IF(AND('Assumptions and Catalog'!$C$21&gt;0,A89='Assumptions and Catalog'!$C$21),E$62*'Assumptions and Catalog'!$C$22,0))*(1+'Assumptions and Catalog'!$C$9)^(A89-1),0)</f>
        <v>0</v>
      </c>
      <c r="L89" s="5">
        <f>K89/(1+'Assumptions and Catalog'!$C$7)^A89</f>
        <v>0</v>
      </c>
      <c r="M89" s="5">
        <f t="shared" si="6"/>
        <v>-2446504.9443286769</v>
      </c>
      <c r="N89" s="5">
        <f t="shared" si="7"/>
        <v>-2477224.6174755418</v>
      </c>
      <c r="O89" s="5"/>
      <c r="P89" s="5">
        <f>IF(AND(A89&lt;='Assumptions and Catalog'!$C$6,E89&gt;=0,E88&lt;0,C89&gt;0),A89-1-E88/C89,999)</f>
        <v>999</v>
      </c>
      <c r="Q89" s="5">
        <f>IF(AND(A89&lt;='Assumptions and Catalog'!$C$6,F89&gt;=0,F88&lt;0,D89&gt;0),A89-1-F88/D89,999)</f>
        <v>999</v>
      </c>
      <c r="R89" s="5">
        <f>IF(AND(A89&lt;='Assumptions and Catalog'!$C$6,I89&gt;=0,I88&lt;0,G89&gt;0),A89-1-I88/G89,999)</f>
        <v>999</v>
      </c>
      <c r="S89" s="5">
        <f>IF(AND(A89&lt;='Assumptions and Catalog'!$C$6,J89&gt;=0,J88&lt;0,H89&gt;0),A89-1-J88/H89,999)</f>
        <v>999</v>
      </c>
      <c r="T89" s="5">
        <f>IF(AND(A89&lt;='Assumptions and Catalog'!$C$6,M89&gt;=0,M88&lt;0,K89&gt;0),A89-1-M88/K89,999)</f>
        <v>999</v>
      </c>
      <c r="U89" s="5">
        <f>IF(AND(A89&lt;='Assumptions and Catalog'!$C$6,N89&gt;=0,N88&lt;0,L89&gt;0),A89-1-N88/L89,999)</f>
        <v>999</v>
      </c>
    </row>
    <row r="90" spans="1:21" ht="33.950000000000003" customHeight="1" outlineLevel="1" x14ac:dyDescent="0.2">
      <c r="A90" s="3">
        <v>12</v>
      </c>
      <c r="B90" s="5">
        <f>IF(A90&lt;='Assumptions and Catalog'!$C$6,SUMIFS($M$161:$M$400,$A$161:$A$400,A90),0)</f>
        <v>0</v>
      </c>
      <c r="C90" s="5">
        <f>IF(A90&lt;='Assumptions and Catalog'!$C$6,SUMIFS($O$161:$O$400,$A$161:$A$400,A90)-(C$70+IF(AND('Assumptions and Catalog'!$C$19&gt;0,A90='Assumptions and Catalog'!$C$19),C$61*'Assumptions and Catalog'!$C$20,0)+IF(AND('Assumptions and Catalog'!$C$21&gt;0,A90='Assumptions and Catalog'!$C$21),C$62*'Assumptions and Catalog'!$C$22,0))*(1+'Assumptions and Catalog'!$C$9)^(A90-1),0)</f>
        <v>0</v>
      </c>
      <c r="D90" s="5">
        <f>C90/(1+'Assumptions and Catalog'!$C$7)^A90</f>
        <v>0</v>
      </c>
      <c r="E90" s="5">
        <f t="shared" si="2"/>
        <v>270097.75872688426</v>
      </c>
      <c r="F90" s="5">
        <f t="shared" si="3"/>
        <v>118751.57906266938</v>
      </c>
      <c r="G90" s="5">
        <f>IF(A90&lt;='Assumptions and Catalog'!$C$6,SUMIFS($O$411:$O$650,$A$411:$A$650,A90)-(D$70+IF(AND('Assumptions and Catalog'!$C$19&gt;0,A90='Assumptions and Catalog'!$C$19),D$61*'Assumptions and Catalog'!$C$20,0)+IF(AND('Assumptions and Catalog'!$C$21&gt;0,A90='Assumptions and Catalog'!$C$21),D$62*'Assumptions and Catalog'!$C$22,0))*(1+'Assumptions and Catalog'!$C$9)^(A90-1),0)</f>
        <v>0</v>
      </c>
      <c r="H90" s="5">
        <f>G90/(1+'Assumptions and Catalog'!$C$7)^A90</f>
        <v>0</v>
      </c>
      <c r="I90" s="5">
        <f t="shared" si="4"/>
        <v>-1092581.6000000006</v>
      </c>
      <c r="J90" s="5">
        <f t="shared" si="5"/>
        <v>-1054287.2814514381</v>
      </c>
      <c r="K90" s="5">
        <f>IF(A90&lt;='Assumptions and Catalog'!$C$6,SUMIFS($O$661:$O$900,$A$661:$A$900,A90)-(E$70+IF(AND('Assumptions and Catalog'!$C$19&gt;0,A90='Assumptions and Catalog'!$C$19),E$61*'Assumptions and Catalog'!$C$20,0)+IF(AND('Assumptions and Catalog'!$C$21&gt;0,A90='Assumptions and Catalog'!$C$21),E$62*'Assumptions and Catalog'!$C$22,0))*(1+'Assumptions and Catalog'!$C$9)^(A90-1),0)</f>
        <v>0</v>
      </c>
      <c r="L90" s="5">
        <f>K90/(1+'Assumptions and Catalog'!$C$7)^A90</f>
        <v>0</v>
      </c>
      <c r="M90" s="5">
        <f t="shared" si="6"/>
        <v>-2446504.9443286769</v>
      </c>
      <c r="N90" s="5">
        <f t="shared" si="7"/>
        <v>-2477224.6174755418</v>
      </c>
      <c r="O90" s="5"/>
      <c r="P90" s="5">
        <f>IF(AND(A90&lt;='Assumptions and Catalog'!$C$6,E90&gt;=0,E89&lt;0,C90&gt;0),A90-1-E89/C90,999)</f>
        <v>999</v>
      </c>
      <c r="Q90" s="5">
        <f>IF(AND(A90&lt;='Assumptions and Catalog'!$C$6,F90&gt;=0,F89&lt;0,D90&gt;0),A90-1-F89/D90,999)</f>
        <v>999</v>
      </c>
      <c r="R90" s="5">
        <f>IF(AND(A90&lt;='Assumptions and Catalog'!$C$6,I90&gt;=0,I89&lt;0,G90&gt;0),A90-1-I89/G90,999)</f>
        <v>999</v>
      </c>
      <c r="S90" s="5">
        <f>IF(AND(A90&lt;='Assumptions and Catalog'!$C$6,J90&gt;=0,J89&lt;0,H90&gt;0),A90-1-J89/H90,999)</f>
        <v>999</v>
      </c>
      <c r="T90" s="5">
        <f>IF(AND(A90&lt;='Assumptions and Catalog'!$C$6,M90&gt;=0,M89&lt;0,K90&gt;0),A90-1-M89/K90,999)</f>
        <v>999</v>
      </c>
      <c r="U90" s="5">
        <f>IF(AND(A90&lt;='Assumptions and Catalog'!$C$6,N90&gt;=0,N89&lt;0,L90&gt;0),A90-1-N89/L90,999)</f>
        <v>999</v>
      </c>
    </row>
    <row r="91" spans="1:21" ht="33.950000000000003" customHeight="1" outlineLevel="1" x14ac:dyDescent="0.2">
      <c r="A91" s="3">
        <v>13</v>
      </c>
      <c r="B91" s="5">
        <f>IF(A91&lt;='Assumptions and Catalog'!$C$6,SUMIFS($M$161:$M$400,$A$161:$A$400,A91),0)</f>
        <v>0</v>
      </c>
      <c r="C91" s="5">
        <f>IF(A91&lt;='Assumptions and Catalog'!$C$6,SUMIFS($O$161:$O$400,$A$161:$A$400,A91)-(C$70+IF(AND('Assumptions and Catalog'!$C$19&gt;0,A91='Assumptions and Catalog'!$C$19),C$61*'Assumptions and Catalog'!$C$20,0)+IF(AND('Assumptions and Catalog'!$C$21&gt;0,A91='Assumptions and Catalog'!$C$21),C$62*'Assumptions and Catalog'!$C$22,0))*(1+'Assumptions and Catalog'!$C$9)^(A91-1),0)</f>
        <v>0</v>
      </c>
      <c r="D91" s="5">
        <f>C91/(1+'Assumptions and Catalog'!$C$7)^A91</f>
        <v>0</v>
      </c>
      <c r="E91" s="5">
        <f t="shared" si="2"/>
        <v>270097.75872688426</v>
      </c>
      <c r="F91" s="5">
        <f t="shared" si="3"/>
        <v>118751.57906266938</v>
      </c>
      <c r="G91" s="5">
        <f>IF(A91&lt;='Assumptions and Catalog'!$C$6,SUMIFS($O$411:$O$650,$A$411:$A$650,A91)-(D$70+IF(AND('Assumptions and Catalog'!$C$19&gt;0,A91='Assumptions and Catalog'!$C$19),D$61*'Assumptions and Catalog'!$C$20,0)+IF(AND('Assumptions and Catalog'!$C$21&gt;0,A91='Assumptions and Catalog'!$C$21),D$62*'Assumptions and Catalog'!$C$22,0))*(1+'Assumptions and Catalog'!$C$9)^(A91-1),0)</f>
        <v>0</v>
      </c>
      <c r="H91" s="5">
        <f>G91/(1+'Assumptions and Catalog'!$C$7)^A91</f>
        <v>0</v>
      </c>
      <c r="I91" s="5">
        <f t="shared" si="4"/>
        <v>-1092581.6000000006</v>
      </c>
      <c r="J91" s="5">
        <f t="shared" si="5"/>
        <v>-1054287.2814514381</v>
      </c>
      <c r="K91" s="5">
        <f>IF(A91&lt;='Assumptions and Catalog'!$C$6,SUMIFS($O$661:$O$900,$A$661:$A$900,A91)-(E$70+IF(AND('Assumptions and Catalog'!$C$19&gt;0,A91='Assumptions and Catalog'!$C$19),E$61*'Assumptions and Catalog'!$C$20,0)+IF(AND('Assumptions and Catalog'!$C$21&gt;0,A91='Assumptions and Catalog'!$C$21),E$62*'Assumptions and Catalog'!$C$22,0))*(1+'Assumptions and Catalog'!$C$9)^(A91-1),0)</f>
        <v>0</v>
      </c>
      <c r="L91" s="5">
        <f>K91/(1+'Assumptions and Catalog'!$C$7)^A91</f>
        <v>0</v>
      </c>
      <c r="M91" s="5">
        <f t="shared" si="6"/>
        <v>-2446504.9443286769</v>
      </c>
      <c r="N91" s="5">
        <f t="shared" si="7"/>
        <v>-2477224.6174755418</v>
      </c>
      <c r="O91" s="5"/>
      <c r="P91" s="5">
        <f>IF(AND(A91&lt;='Assumptions and Catalog'!$C$6,E91&gt;=0,E90&lt;0,C91&gt;0),A91-1-E90/C91,999)</f>
        <v>999</v>
      </c>
      <c r="Q91" s="5">
        <f>IF(AND(A91&lt;='Assumptions and Catalog'!$C$6,F91&gt;=0,F90&lt;0,D91&gt;0),A91-1-F90/D91,999)</f>
        <v>999</v>
      </c>
      <c r="R91" s="5">
        <f>IF(AND(A91&lt;='Assumptions and Catalog'!$C$6,I91&gt;=0,I90&lt;0,G91&gt;0),A91-1-I90/G91,999)</f>
        <v>999</v>
      </c>
      <c r="S91" s="5">
        <f>IF(AND(A91&lt;='Assumptions and Catalog'!$C$6,J91&gt;=0,J90&lt;0,H91&gt;0),A91-1-J90/H91,999)</f>
        <v>999</v>
      </c>
      <c r="T91" s="5">
        <f>IF(AND(A91&lt;='Assumptions and Catalog'!$C$6,M91&gt;=0,M90&lt;0,K91&gt;0),A91-1-M90/K91,999)</f>
        <v>999</v>
      </c>
      <c r="U91" s="5">
        <f>IF(AND(A91&lt;='Assumptions and Catalog'!$C$6,N91&gt;=0,N90&lt;0,L91&gt;0),A91-1-N90/L91,999)</f>
        <v>999</v>
      </c>
    </row>
    <row r="92" spans="1:21" ht="33.950000000000003" customHeight="1" outlineLevel="1" x14ac:dyDescent="0.2">
      <c r="A92" s="3">
        <v>14</v>
      </c>
      <c r="B92" s="5">
        <f>IF(A92&lt;='Assumptions and Catalog'!$C$6,SUMIFS($M$161:$M$400,$A$161:$A$400,A92),0)</f>
        <v>0</v>
      </c>
      <c r="C92" s="5">
        <f>IF(A92&lt;='Assumptions and Catalog'!$C$6,SUMIFS($O$161:$O$400,$A$161:$A$400,A92)-(C$70+IF(AND('Assumptions and Catalog'!$C$19&gt;0,A92='Assumptions and Catalog'!$C$19),C$61*'Assumptions and Catalog'!$C$20,0)+IF(AND('Assumptions and Catalog'!$C$21&gt;0,A92='Assumptions and Catalog'!$C$21),C$62*'Assumptions and Catalog'!$C$22,0))*(1+'Assumptions and Catalog'!$C$9)^(A92-1),0)</f>
        <v>0</v>
      </c>
      <c r="D92" s="5">
        <f>C92/(1+'Assumptions and Catalog'!$C$7)^A92</f>
        <v>0</v>
      </c>
      <c r="E92" s="5">
        <f t="shared" si="2"/>
        <v>270097.75872688426</v>
      </c>
      <c r="F92" s="5">
        <f t="shared" si="3"/>
        <v>118751.57906266938</v>
      </c>
      <c r="G92" s="5">
        <f>IF(A92&lt;='Assumptions and Catalog'!$C$6,SUMIFS($O$411:$O$650,$A$411:$A$650,A92)-(D$70+IF(AND('Assumptions and Catalog'!$C$19&gt;0,A92='Assumptions and Catalog'!$C$19),D$61*'Assumptions and Catalog'!$C$20,0)+IF(AND('Assumptions and Catalog'!$C$21&gt;0,A92='Assumptions and Catalog'!$C$21),D$62*'Assumptions and Catalog'!$C$22,0))*(1+'Assumptions and Catalog'!$C$9)^(A92-1),0)</f>
        <v>0</v>
      </c>
      <c r="H92" s="5">
        <f>G92/(1+'Assumptions and Catalog'!$C$7)^A92</f>
        <v>0</v>
      </c>
      <c r="I92" s="5">
        <f t="shared" si="4"/>
        <v>-1092581.6000000006</v>
      </c>
      <c r="J92" s="5">
        <f t="shared" si="5"/>
        <v>-1054287.2814514381</v>
      </c>
      <c r="K92" s="5">
        <f>IF(A92&lt;='Assumptions and Catalog'!$C$6,SUMIFS($O$661:$O$900,$A$661:$A$900,A92)-(E$70+IF(AND('Assumptions and Catalog'!$C$19&gt;0,A92='Assumptions and Catalog'!$C$19),E$61*'Assumptions and Catalog'!$C$20,0)+IF(AND('Assumptions and Catalog'!$C$21&gt;0,A92='Assumptions and Catalog'!$C$21),E$62*'Assumptions and Catalog'!$C$22,0))*(1+'Assumptions and Catalog'!$C$9)^(A92-1),0)</f>
        <v>0</v>
      </c>
      <c r="L92" s="5">
        <f>K92/(1+'Assumptions and Catalog'!$C$7)^A92</f>
        <v>0</v>
      </c>
      <c r="M92" s="5">
        <f t="shared" si="6"/>
        <v>-2446504.9443286769</v>
      </c>
      <c r="N92" s="5">
        <f t="shared" si="7"/>
        <v>-2477224.6174755418</v>
      </c>
      <c r="O92" s="5"/>
      <c r="P92" s="5">
        <f>IF(AND(A92&lt;='Assumptions and Catalog'!$C$6,E92&gt;=0,E91&lt;0,C92&gt;0),A92-1-E91/C92,999)</f>
        <v>999</v>
      </c>
      <c r="Q92" s="5">
        <f>IF(AND(A92&lt;='Assumptions and Catalog'!$C$6,F92&gt;=0,F91&lt;0,D92&gt;0),A92-1-F91/D92,999)</f>
        <v>999</v>
      </c>
      <c r="R92" s="5">
        <f>IF(AND(A92&lt;='Assumptions and Catalog'!$C$6,I92&gt;=0,I91&lt;0,G92&gt;0),A92-1-I91/G92,999)</f>
        <v>999</v>
      </c>
      <c r="S92" s="5">
        <f>IF(AND(A92&lt;='Assumptions and Catalog'!$C$6,J92&gt;=0,J91&lt;0,H92&gt;0),A92-1-J91/H92,999)</f>
        <v>999</v>
      </c>
      <c r="T92" s="5">
        <f>IF(AND(A92&lt;='Assumptions and Catalog'!$C$6,M92&gt;=0,M91&lt;0,K92&gt;0),A92-1-M91/K92,999)</f>
        <v>999</v>
      </c>
      <c r="U92" s="5">
        <f>IF(AND(A92&lt;='Assumptions and Catalog'!$C$6,N92&gt;=0,N91&lt;0,L92&gt;0),A92-1-N91/L92,999)</f>
        <v>999</v>
      </c>
    </row>
    <row r="93" spans="1:21" ht="33.950000000000003" customHeight="1" outlineLevel="1" x14ac:dyDescent="0.2">
      <c r="A93" s="3">
        <v>15</v>
      </c>
      <c r="B93" s="5">
        <f>IF(A93&lt;='Assumptions and Catalog'!$C$6,SUMIFS($M$161:$M$400,$A$161:$A$400,A93),0)</f>
        <v>0</v>
      </c>
      <c r="C93" s="5">
        <f>IF(A93&lt;='Assumptions and Catalog'!$C$6,SUMIFS($O$161:$O$400,$A$161:$A$400,A93)-(C$70+IF(AND('Assumptions and Catalog'!$C$19&gt;0,A93='Assumptions and Catalog'!$C$19),C$61*'Assumptions and Catalog'!$C$20,0)+IF(AND('Assumptions and Catalog'!$C$21&gt;0,A93='Assumptions and Catalog'!$C$21),C$62*'Assumptions and Catalog'!$C$22,0))*(1+'Assumptions and Catalog'!$C$9)^(A93-1),0)</f>
        <v>0</v>
      </c>
      <c r="D93" s="5">
        <f>C93/(1+'Assumptions and Catalog'!$C$7)^A93</f>
        <v>0</v>
      </c>
      <c r="E93" s="5">
        <f t="shared" si="2"/>
        <v>270097.75872688426</v>
      </c>
      <c r="F93" s="5">
        <f t="shared" si="3"/>
        <v>118751.57906266938</v>
      </c>
      <c r="G93" s="5">
        <f>IF(A93&lt;='Assumptions and Catalog'!$C$6,SUMIFS($O$411:$O$650,$A$411:$A$650,A93)-(D$70+IF(AND('Assumptions and Catalog'!$C$19&gt;0,A93='Assumptions and Catalog'!$C$19),D$61*'Assumptions and Catalog'!$C$20,0)+IF(AND('Assumptions and Catalog'!$C$21&gt;0,A93='Assumptions and Catalog'!$C$21),D$62*'Assumptions and Catalog'!$C$22,0))*(1+'Assumptions and Catalog'!$C$9)^(A93-1),0)</f>
        <v>0</v>
      </c>
      <c r="H93" s="5">
        <f>G93/(1+'Assumptions and Catalog'!$C$7)^A93</f>
        <v>0</v>
      </c>
      <c r="I93" s="5">
        <f t="shared" si="4"/>
        <v>-1092581.6000000006</v>
      </c>
      <c r="J93" s="5">
        <f t="shared" si="5"/>
        <v>-1054287.2814514381</v>
      </c>
      <c r="K93" s="5">
        <f>IF(A93&lt;='Assumptions and Catalog'!$C$6,SUMIFS($O$661:$O$900,$A$661:$A$900,A93)-(E$70+IF(AND('Assumptions and Catalog'!$C$19&gt;0,A93='Assumptions and Catalog'!$C$19),E$61*'Assumptions and Catalog'!$C$20,0)+IF(AND('Assumptions and Catalog'!$C$21&gt;0,A93='Assumptions and Catalog'!$C$21),E$62*'Assumptions and Catalog'!$C$22,0))*(1+'Assumptions and Catalog'!$C$9)^(A93-1),0)</f>
        <v>0</v>
      </c>
      <c r="L93" s="5">
        <f>K93/(1+'Assumptions and Catalog'!$C$7)^A93</f>
        <v>0</v>
      </c>
      <c r="M93" s="5">
        <f t="shared" si="6"/>
        <v>-2446504.9443286769</v>
      </c>
      <c r="N93" s="5">
        <f t="shared" si="7"/>
        <v>-2477224.6174755418</v>
      </c>
      <c r="O93" s="5"/>
      <c r="P93" s="5">
        <f>IF(AND(A93&lt;='Assumptions and Catalog'!$C$6,E93&gt;=0,E92&lt;0,C93&gt;0),A93-1-E92/C93,999)</f>
        <v>999</v>
      </c>
      <c r="Q93" s="5">
        <f>IF(AND(A93&lt;='Assumptions and Catalog'!$C$6,F93&gt;=0,F92&lt;0,D93&gt;0),A93-1-F92/D93,999)</f>
        <v>999</v>
      </c>
      <c r="R93" s="5">
        <f>IF(AND(A93&lt;='Assumptions and Catalog'!$C$6,I93&gt;=0,I92&lt;0,G93&gt;0),A93-1-I92/G93,999)</f>
        <v>999</v>
      </c>
      <c r="S93" s="5">
        <f>IF(AND(A93&lt;='Assumptions and Catalog'!$C$6,J93&gt;=0,J92&lt;0,H93&gt;0),A93-1-J92/H93,999)</f>
        <v>999</v>
      </c>
      <c r="T93" s="5">
        <f>IF(AND(A93&lt;='Assumptions and Catalog'!$C$6,M93&gt;=0,M92&lt;0,K93&gt;0),A93-1-M92/K93,999)</f>
        <v>999</v>
      </c>
      <c r="U93" s="5">
        <f>IF(AND(A93&lt;='Assumptions and Catalog'!$C$6,N93&gt;=0,N92&lt;0,L93&gt;0),A93-1-N92/L93,999)</f>
        <v>999</v>
      </c>
    </row>
    <row r="94" spans="1:21" ht="33.950000000000003" customHeight="1" outlineLevel="1" x14ac:dyDescent="0.2">
      <c r="A94" s="3">
        <v>16</v>
      </c>
      <c r="B94" s="5">
        <f>IF(A94&lt;='Assumptions and Catalog'!$C$6,SUMIFS($M$161:$M$400,$A$161:$A$400,A94),0)</f>
        <v>0</v>
      </c>
      <c r="C94" s="5">
        <f>IF(A94&lt;='Assumptions and Catalog'!$C$6,SUMIFS($O$161:$O$400,$A$161:$A$400,A94)-(C$70+IF(AND('Assumptions and Catalog'!$C$19&gt;0,A94='Assumptions and Catalog'!$C$19),C$61*'Assumptions and Catalog'!$C$20,0)+IF(AND('Assumptions and Catalog'!$C$21&gt;0,A94='Assumptions and Catalog'!$C$21),C$62*'Assumptions and Catalog'!$C$22,0))*(1+'Assumptions and Catalog'!$C$9)^(A94-1),0)</f>
        <v>0</v>
      </c>
      <c r="D94" s="5">
        <f>C94/(1+'Assumptions and Catalog'!$C$7)^A94</f>
        <v>0</v>
      </c>
      <c r="E94" s="5">
        <f t="shared" si="2"/>
        <v>270097.75872688426</v>
      </c>
      <c r="F94" s="5">
        <f t="shared" si="3"/>
        <v>118751.57906266938</v>
      </c>
      <c r="G94" s="5">
        <f>IF(A94&lt;='Assumptions and Catalog'!$C$6,SUMIFS($O$411:$O$650,$A$411:$A$650,A94)-(D$70+IF(AND('Assumptions and Catalog'!$C$19&gt;0,A94='Assumptions and Catalog'!$C$19),D$61*'Assumptions and Catalog'!$C$20,0)+IF(AND('Assumptions and Catalog'!$C$21&gt;0,A94='Assumptions and Catalog'!$C$21),D$62*'Assumptions and Catalog'!$C$22,0))*(1+'Assumptions and Catalog'!$C$9)^(A94-1),0)</f>
        <v>0</v>
      </c>
      <c r="H94" s="5">
        <f>G94/(1+'Assumptions and Catalog'!$C$7)^A94</f>
        <v>0</v>
      </c>
      <c r="I94" s="5">
        <f t="shared" si="4"/>
        <v>-1092581.6000000006</v>
      </c>
      <c r="J94" s="5">
        <f t="shared" si="5"/>
        <v>-1054287.2814514381</v>
      </c>
      <c r="K94" s="5">
        <f>IF(A94&lt;='Assumptions and Catalog'!$C$6,SUMIFS($O$661:$O$900,$A$661:$A$900,A94)-(E$70+IF(AND('Assumptions and Catalog'!$C$19&gt;0,A94='Assumptions and Catalog'!$C$19),E$61*'Assumptions and Catalog'!$C$20,0)+IF(AND('Assumptions and Catalog'!$C$21&gt;0,A94='Assumptions and Catalog'!$C$21),E$62*'Assumptions and Catalog'!$C$22,0))*(1+'Assumptions and Catalog'!$C$9)^(A94-1),0)</f>
        <v>0</v>
      </c>
      <c r="L94" s="5">
        <f>K94/(1+'Assumptions and Catalog'!$C$7)^A94</f>
        <v>0</v>
      </c>
      <c r="M94" s="5">
        <f t="shared" si="6"/>
        <v>-2446504.9443286769</v>
      </c>
      <c r="N94" s="5">
        <f t="shared" si="7"/>
        <v>-2477224.6174755418</v>
      </c>
      <c r="O94" s="5"/>
      <c r="P94" s="5">
        <f>IF(AND(A94&lt;='Assumptions and Catalog'!$C$6,E94&gt;=0,E93&lt;0,C94&gt;0),A94-1-E93/C94,999)</f>
        <v>999</v>
      </c>
      <c r="Q94" s="5">
        <f>IF(AND(A94&lt;='Assumptions and Catalog'!$C$6,F94&gt;=0,F93&lt;0,D94&gt;0),A94-1-F93/D94,999)</f>
        <v>999</v>
      </c>
      <c r="R94" s="5">
        <f>IF(AND(A94&lt;='Assumptions and Catalog'!$C$6,I94&gt;=0,I93&lt;0,G94&gt;0),A94-1-I93/G94,999)</f>
        <v>999</v>
      </c>
      <c r="S94" s="5">
        <f>IF(AND(A94&lt;='Assumptions and Catalog'!$C$6,J94&gt;=0,J93&lt;0,H94&gt;0),A94-1-J93/H94,999)</f>
        <v>999</v>
      </c>
      <c r="T94" s="5">
        <f>IF(AND(A94&lt;='Assumptions and Catalog'!$C$6,M94&gt;=0,M93&lt;0,K94&gt;0),A94-1-M93/K94,999)</f>
        <v>999</v>
      </c>
      <c r="U94" s="5">
        <f>IF(AND(A94&lt;='Assumptions and Catalog'!$C$6,N94&gt;=0,N93&lt;0,L94&gt;0),A94-1-N93/L94,999)</f>
        <v>999</v>
      </c>
    </row>
    <row r="95" spans="1:21" ht="33.950000000000003" customHeight="1" outlineLevel="1" x14ac:dyDescent="0.2">
      <c r="A95" s="3">
        <v>17</v>
      </c>
      <c r="B95" s="5">
        <f>IF(A95&lt;='Assumptions and Catalog'!$C$6,SUMIFS($M$161:$M$400,$A$161:$A$400,A95),0)</f>
        <v>0</v>
      </c>
      <c r="C95" s="5">
        <f>IF(A95&lt;='Assumptions and Catalog'!$C$6,SUMIFS($O$161:$O$400,$A$161:$A$400,A95)-(C$70+IF(AND('Assumptions and Catalog'!$C$19&gt;0,A95='Assumptions and Catalog'!$C$19),C$61*'Assumptions and Catalog'!$C$20,0)+IF(AND('Assumptions and Catalog'!$C$21&gt;0,A95='Assumptions and Catalog'!$C$21),C$62*'Assumptions and Catalog'!$C$22,0))*(1+'Assumptions and Catalog'!$C$9)^(A95-1),0)</f>
        <v>0</v>
      </c>
      <c r="D95" s="5">
        <f>C95/(1+'Assumptions and Catalog'!$C$7)^A95</f>
        <v>0</v>
      </c>
      <c r="E95" s="5">
        <f t="shared" si="2"/>
        <v>270097.75872688426</v>
      </c>
      <c r="F95" s="5">
        <f t="shared" si="3"/>
        <v>118751.57906266938</v>
      </c>
      <c r="G95" s="5">
        <f>IF(A95&lt;='Assumptions and Catalog'!$C$6,SUMIFS($O$411:$O$650,$A$411:$A$650,A95)-(D$70+IF(AND('Assumptions and Catalog'!$C$19&gt;0,A95='Assumptions and Catalog'!$C$19),D$61*'Assumptions and Catalog'!$C$20,0)+IF(AND('Assumptions and Catalog'!$C$21&gt;0,A95='Assumptions and Catalog'!$C$21),D$62*'Assumptions and Catalog'!$C$22,0))*(1+'Assumptions and Catalog'!$C$9)^(A95-1),0)</f>
        <v>0</v>
      </c>
      <c r="H95" s="5">
        <f>G95/(1+'Assumptions and Catalog'!$C$7)^A95</f>
        <v>0</v>
      </c>
      <c r="I95" s="5">
        <f t="shared" si="4"/>
        <v>-1092581.6000000006</v>
      </c>
      <c r="J95" s="5">
        <f t="shared" si="5"/>
        <v>-1054287.2814514381</v>
      </c>
      <c r="K95" s="5">
        <f>IF(A95&lt;='Assumptions and Catalog'!$C$6,SUMIFS($O$661:$O$900,$A$661:$A$900,A95)-(E$70+IF(AND('Assumptions and Catalog'!$C$19&gt;0,A95='Assumptions and Catalog'!$C$19),E$61*'Assumptions and Catalog'!$C$20,0)+IF(AND('Assumptions and Catalog'!$C$21&gt;0,A95='Assumptions and Catalog'!$C$21),E$62*'Assumptions and Catalog'!$C$22,0))*(1+'Assumptions and Catalog'!$C$9)^(A95-1),0)</f>
        <v>0</v>
      </c>
      <c r="L95" s="5">
        <f>K95/(1+'Assumptions and Catalog'!$C$7)^A95</f>
        <v>0</v>
      </c>
      <c r="M95" s="5">
        <f t="shared" si="6"/>
        <v>-2446504.9443286769</v>
      </c>
      <c r="N95" s="5">
        <f t="shared" si="7"/>
        <v>-2477224.6174755418</v>
      </c>
      <c r="O95" s="5"/>
      <c r="P95" s="5">
        <f>IF(AND(A95&lt;='Assumptions and Catalog'!$C$6,E95&gt;=0,E94&lt;0,C95&gt;0),A95-1-E94/C95,999)</f>
        <v>999</v>
      </c>
      <c r="Q95" s="5">
        <f>IF(AND(A95&lt;='Assumptions and Catalog'!$C$6,F95&gt;=0,F94&lt;0,D95&gt;0),A95-1-F94/D95,999)</f>
        <v>999</v>
      </c>
      <c r="R95" s="5">
        <f>IF(AND(A95&lt;='Assumptions and Catalog'!$C$6,I95&gt;=0,I94&lt;0,G95&gt;0),A95-1-I94/G95,999)</f>
        <v>999</v>
      </c>
      <c r="S95" s="5">
        <f>IF(AND(A95&lt;='Assumptions and Catalog'!$C$6,J95&gt;=0,J94&lt;0,H95&gt;0),A95-1-J94/H95,999)</f>
        <v>999</v>
      </c>
      <c r="T95" s="5">
        <f>IF(AND(A95&lt;='Assumptions and Catalog'!$C$6,M95&gt;=0,M94&lt;0,K95&gt;0),A95-1-M94/K95,999)</f>
        <v>999</v>
      </c>
      <c r="U95" s="5">
        <f>IF(AND(A95&lt;='Assumptions and Catalog'!$C$6,N95&gt;=0,N94&lt;0,L95&gt;0),A95-1-N94/L95,999)</f>
        <v>999</v>
      </c>
    </row>
    <row r="96" spans="1:21" ht="33.950000000000003" customHeight="1" outlineLevel="1" x14ac:dyDescent="0.2">
      <c r="A96" s="3">
        <v>18</v>
      </c>
      <c r="B96" s="5">
        <f>IF(A96&lt;='Assumptions and Catalog'!$C$6,SUMIFS($M$161:$M$400,$A$161:$A$400,A96),0)</f>
        <v>0</v>
      </c>
      <c r="C96" s="5">
        <f>IF(A96&lt;='Assumptions and Catalog'!$C$6,SUMIFS($O$161:$O$400,$A$161:$A$400,A96)-(C$70+IF(AND('Assumptions and Catalog'!$C$19&gt;0,A96='Assumptions and Catalog'!$C$19),C$61*'Assumptions and Catalog'!$C$20,0)+IF(AND('Assumptions and Catalog'!$C$21&gt;0,A96='Assumptions and Catalog'!$C$21),C$62*'Assumptions and Catalog'!$C$22,0))*(1+'Assumptions and Catalog'!$C$9)^(A96-1),0)</f>
        <v>0</v>
      </c>
      <c r="D96" s="5">
        <f>C96/(1+'Assumptions and Catalog'!$C$7)^A96</f>
        <v>0</v>
      </c>
      <c r="E96" s="5">
        <f t="shared" si="2"/>
        <v>270097.75872688426</v>
      </c>
      <c r="F96" s="5">
        <f t="shared" si="3"/>
        <v>118751.57906266938</v>
      </c>
      <c r="G96" s="5">
        <f>IF(A96&lt;='Assumptions and Catalog'!$C$6,SUMIFS($O$411:$O$650,$A$411:$A$650,A96)-(D$70+IF(AND('Assumptions and Catalog'!$C$19&gt;0,A96='Assumptions and Catalog'!$C$19),D$61*'Assumptions and Catalog'!$C$20,0)+IF(AND('Assumptions and Catalog'!$C$21&gt;0,A96='Assumptions and Catalog'!$C$21),D$62*'Assumptions and Catalog'!$C$22,0))*(1+'Assumptions and Catalog'!$C$9)^(A96-1),0)</f>
        <v>0</v>
      </c>
      <c r="H96" s="5">
        <f>G96/(1+'Assumptions and Catalog'!$C$7)^A96</f>
        <v>0</v>
      </c>
      <c r="I96" s="5">
        <f t="shared" si="4"/>
        <v>-1092581.6000000006</v>
      </c>
      <c r="J96" s="5">
        <f t="shared" si="5"/>
        <v>-1054287.2814514381</v>
      </c>
      <c r="K96" s="5">
        <f>IF(A96&lt;='Assumptions and Catalog'!$C$6,SUMIFS($O$661:$O$900,$A$661:$A$900,A96)-(E$70+IF(AND('Assumptions and Catalog'!$C$19&gt;0,A96='Assumptions and Catalog'!$C$19),E$61*'Assumptions and Catalog'!$C$20,0)+IF(AND('Assumptions and Catalog'!$C$21&gt;0,A96='Assumptions and Catalog'!$C$21),E$62*'Assumptions and Catalog'!$C$22,0))*(1+'Assumptions and Catalog'!$C$9)^(A96-1),0)</f>
        <v>0</v>
      </c>
      <c r="L96" s="5">
        <f>K96/(1+'Assumptions and Catalog'!$C$7)^A96</f>
        <v>0</v>
      </c>
      <c r="M96" s="5">
        <f t="shared" si="6"/>
        <v>-2446504.9443286769</v>
      </c>
      <c r="N96" s="5">
        <f t="shared" si="7"/>
        <v>-2477224.6174755418</v>
      </c>
      <c r="O96" s="5"/>
      <c r="P96" s="5">
        <f>IF(AND(A96&lt;='Assumptions and Catalog'!$C$6,E96&gt;=0,E95&lt;0,C96&gt;0),A96-1-E95/C96,999)</f>
        <v>999</v>
      </c>
      <c r="Q96" s="5">
        <f>IF(AND(A96&lt;='Assumptions and Catalog'!$C$6,F96&gt;=0,F95&lt;0,D96&gt;0),A96-1-F95/D96,999)</f>
        <v>999</v>
      </c>
      <c r="R96" s="5">
        <f>IF(AND(A96&lt;='Assumptions and Catalog'!$C$6,I96&gt;=0,I95&lt;0,G96&gt;0),A96-1-I95/G96,999)</f>
        <v>999</v>
      </c>
      <c r="S96" s="5">
        <f>IF(AND(A96&lt;='Assumptions and Catalog'!$C$6,J96&gt;=0,J95&lt;0,H96&gt;0),A96-1-J95/H96,999)</f>
        <v>999</v>
      </c>
      <c r="T96" s="5">
        <f>IF(AND(A96&lt;='Assumptions and Catalog'!$C$6,M96&gt;=0,M95&lt;0,K96&gt;0),A96-1-M95/K96,999)</f>
        <v>999</v>
      </c>
      <c r="U96" s="5">
        <f>IF(AND(A96&lt;='Assumptions and Catalog'!$C$6,N96&gt;=0,N95&lt;0,L96&gt;0),A96-1-N95/L96,999)</f>
        <v>999</v>
      </c>
    </row>
    <row r="97" spans="1:21" ht="33.950000000000003" customHeight="1" outlineLevel="1" x14ac:dyDescent="0.2">
      <c r="A97" s="3">
        <v>19</v>
      </c>
      <c r="B97" s="5">
        <f>IF(A97&lt;='Assumptions and Catalog'!$C$6,SUMIFS($M$161:$M$400,$A$161:$A$400,A97),0)</f>
        <v>0</v>
      </c>
      <c r="C97" s="5">
        <f>IF(A97&lt;='Assumptions and Catalog'!$C$6,SUMIFS($O$161:$O$400,$A$161:$A$400,A97)-(C$70+IF(AND('Assumptions and Catalog'!$C$19&gt;0,A97='Assumptions and Catalog'!$C$19),C$61*'Assumptions and Catalog'!$C$20,0)+IF(AND('Assumptions and Catalog'!$C$21&gt;0,A97='Assumptions and Catalog'!$C$21),C$62*'Assumptions and Catalog'!$C$22,0))*(1+'Assumptions and Catalog'!$C$9)^(A97-1),0)</f>
        <v>0</v>
      </c>
      <c r="D97" s="5">
        <f>C97/(1+'Assumptions and Catalog'!$C$7)^A97</f>
        <v>0</v>
      </c>
      <c r="E97" s="5">
        <f t="shared" si="2"/>
        <v>270097.75872688426</v>
      </c>
      <c r="F97" s="5">
        <f t="shared" si="3"/>
        <v>118751.57906266938</v>
      </c>
      <c r="G97" s="5">
        <f>IF(A97&lt;='Assumptions and Catalog'!$C$6,SUMIFS($O$411:$O$650,$A$411:$A$650,A97)-(D$70+IF(AND('Assumptions and Catalog'!$C$19&gt;0,A97='Assumptions and Catalog'!$C$19),D$61*'Assumptions and Catalog'!$C$20,0)+IF(AND('Assumptions and Catalog'!$C$21&gt;0,A97='Assumptions and Catalog'!$C$21),D$62*'Assumptions and Catalog'!$C$22,0))*(1+'Assumptions and Catalog'!$C$9)^(A97-1),0)</f>
        <v>0</v>
      </c>
      <c r="H97" s="5">
        <f>G97/(1+'Assumptions and Catalog'!$C$7)^A97</f>
        <v>0</v>
      </c>
      <c r="I97" s="5">
        <f t="shared" si="4"/>
        <v>-1092581.6000000006</v>
      </c>
      <c r="J97" s="5">
        <f t="shared" si="5"/>
        <v>-1054287.2814514381</v>
      </c>
      <c r="K97" s="5">
        <f>IF(A97&lt;='Assumptions and Catalog'!$C$6,SUMIFS($O$661:$O$900,$A$661:$A$900,A97)-(E$70+IF(AND('Assumptions and Catalog'!$C$19&gt;0,A97='Assumptions and Catalog'!$C$19),E$61*'Assumptions and Catalog'!$C$20,0)+IF(AND('Assumptions and Catalog'!$C$21&gt;0,A97='Assumptions and Catalog'!$C$21),E$62*'Assumptions and Catalog'!$C$22,0))*(1+'Assumptions and Catalog'!$C$9)^(A97-1),0)</f>
        <v>0</v>
      </c>
      <c r="L97" s="5">
        <f>K97/(1+'Assumptions and Catalog'!$C$7)^A97</f>
        <v>0</v>
      </c>
      <c r="M97" s="5">
        <f t="shared" si="6"/>
        <v>-2446504.9443286769</v>
      </c>
      <c r="N97" s="5">
        <f t="shared" si="7"/>
        <v>-2477224.6174755418</v>
      </c>
      <c r="O97" s="5"/>
      <c r="P97" s="5">
        <f>IF(AND(A97&lt;='Assumptions and Catalog'!$C$6,E97&gt;=0,E96&lt;0,C97&gt;0),A97-1-E96/C97,999)</f>
        <v>999</v>
      </c>
      <c r="Q97" s="5">
        <f>IF(AND(A97&lt;='Assumptions and Catalog'!$C$6,F97&gt;=0,F96&lt;0,D97&gt;0),A97-1-F96/D97,999)</f>
        <v>999</v>
      </c>
      <c r="R97" s="5">
        <f>IF(AND(A97&lt;='Assumptions and Catalog'!$C$6,I97&gt;=0,I96&lt;0,G97&gt;0),A97-1-I96/G97,999)</f>
        <v>999</v>
      </c>
      <c r="S97" s="5">
        <f>IF(AND(A97&lt;='Assumptions and Catalog'!$C$6,J97&gt;=0,J96&lt;0,H97&gt;0),A97-1-J96/H97,999)</f>
        <v>999</v>
      </c>
      <c r="T97" s="5">
        <f>IF(AND(A97&lt;='Assumptions and Catalog'!$C$6,M97&gt;=0,M96&lt;0,K97&gt;0),A97-1-M96/K97,999)</f>
        <v>999</v>
      </c>
      <c r="U97" s="5">
        <f>IF(AND(A97&lt;='Assumptions and Catalog'!$C$6,N97&gt;=0,N96&lt;0,L97&gt;0),A97-1-N96/L97,999)</f>
        <v>999</v>
      </c>
    </row>
    <row r="98" spans="1:21" ht="33.950000000000003" customHeight="1" outlineLevel="1" x14ac:dyDescent="0.2">
      <c r="A98" s="3">
        <v>20</v>
      </c>
      <c r="B98" s="5">
        <f>IF(A98&lt;='Assumptions and Catalog'!$C$6,SUMIFS($M$161:$M$400,$A$161:$A$400,A98),0)</f>
        <v>0</v>
      </c>
      <c r="C98" s="5">
        <f>IF(A98&lt;='Assumptions and Catalog'!$C$6,SUMIFS($O$161:$O$400,$A$161:$A$400,A98)-(C$70+IF(AND('Assumptions and Catalog'!$C$19&gt;0,A98='Assumptions and Catalog'!$C$19),C$61*'Assumptions and Catalog'!$C$20,0)+IF(AND('Assumptions and Catalog'!$C$21&gt;0,A98='Assumptions and Catalog'!$C$21),C$62*'Assumptions and Catalog'!$C$22,0))*(1+'Assumptions and Catalog'!$C$9)^(A98-1),0)</f>
        <v>0</v>
      </c>
      <c r="D98" s="5">
        <f>C98/(1+'Assumptions and Catalog'!$C$7)^A98</f>
        <v>0</v>
      </c>
      <c r="E98" s="5">
        <f t="shared" si="2"/>
        <v>270097.75872688426</v>
      </c>
      <c r="F98" s="5">
        <f t="shared" si="3"/>
        <v>118751.57906266938</v>
      </c>
      <c r="G98" s="5">
        <f>IF(A98&lt;='Assumptions and Catalog'!$C$6,SUMIFS($O$411:$O$650,$A$411:$A$650,A98)-(D$70+IF(AND('Assumptions and Catalog'!$C$19&gt;0,A98='Assumptions and Catalog'!$C$19),D$61*'Assumptions and Catalog'!$C$20,0)+IF(AND('Assumptions and Catalog'!$C$21&gt;0,A98='Assumptions and Catalog'!$C$21),D$62*'Assumptions and Catalog'!$C$22,0))*(1+'Assumptions and Catalog'!$C$9)^(A98-1),0)</f>
        <v>0</v>
      </c>
      <c r="H98" s="5">
        <f>G98/(1+'Assumptions and Catalog'!$C$7)^A98</f>
        <v>0</v>
      </c>
      <c r="I98" s="5">
        <f t="shared" si="4"/>
        <v>-1092581.6000000006</v>
      </c>
      <c r="J98" s="5">
        <f t="shared" si="5"/>
        <v>-1054287.2814514381</v>
      </c>
      <c r="K98" s="5">
        <f>IF(A98&lt;='Assumptions and Catalog'!$C$6,SUMIFS($O$661:$O$900,$A$661:$A$900,A98)-(E$70+IF(AND('Assumptions and Catalog'!$C$19&gt;0,A98='Assumptions and Catalog'!$C$19),E$61*'Assumptions and Catalog'!$C$20,0)+IF(AND('Assumptions and Catalog'!$C$21&gt;0,A98='Assumptions and Catalog'!$C$21),E$62*'Assumptions and Catalog'!$C$22,0))*(1+'Assumptions and Catalog'!$C$9)^(A98-1),0)</f>
        <v>0</v>
      </c>
      <c r="L98" s="5">
        <f>K98/(1+'Assumptions and Catalog'!$C$7)^A98</f>
        <v>0</v>
      </c>
      <c r="M98" s="5">
        <f t="shared" si="6"/>
        <v>-2446504.9443286769</v>
      </c>
      <c r="N98" s="5">
        <f t="shared" si="7"/>
        <v>-2477224.6174755418</v>
      </c>
      <c r="O98" s="5"/>
      <c r="P98" s="5">
        <f>IF(AND(A98&lt;='Assumptions and Catalog'!$C$6,E98&gt;=0,E97&lt;0,C98&gt;0),A98-1-E97/C98,999)</f>
        <v>999</v>
      </c>
      <c r="Q98" s="5">
        <f>IF(AND(A98&lt;='Assumptions and Catalog'!$C$6,F98&gt;=0,F97&lt;0,D98&gt;0),A98-1-F97/D98,999)</f>
        <v>999</v>
      </c>
      <c r="R98" s="5">
        <f>IF(AND(A98&lt;='Assumptions and Catalog'!$C$6,I98&gt;=0,I97&lt;0,G98&gt;0),A98-1-I97/G98,999)</f>
        <v>999</v>
      </c>
      <c r="S98" s="5">
        <f>IF(AND(A98&lt;='Assumptions and Catalog'!$C$6,J98&gt;=0,J97&lt;0,H98&gt;0),A98-1-J97/H98,999)</f>
        <v>999</v>
      </c>
      <c r="T98" s="5">
        <f>IF(AND(A98&lt;='Assumptions and Catalog'!$C$6,M98&gt;=0,M97&lt;0,K98&gt;0),A98-1-M97/K98,999)</f>
        <v>999</v>
      </c>
      <c r="U98" s="5">
        <f>IF(AND(A98&lt;='Assumptions and Catalog'!$C$6,N98&gt;=0,N97&lt;0,L98&gt;0),A98-1-N97/L98,999)</f>
        <v>999</v>
      </c>
    </row>
    <row r="99" spans="1:21" ht="33.950000000000003" customHeight="1" x14ac:dyDescent="0.2">
      <c r="A99" s="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33.950000000000003" customHeight="1" x14ac:dyDescent="0.2">
      <c r="A100" s="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33.950000000000003" customHeight="1" x14ac:dyDescent="0.2">
      <c r="A101" s="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44.1" customHeight="1" x14ac:dyDescent="0.2">
      <c r="A102" s="19" t="s">
        <v>258</v>
      </c>
      <c r="B102" s="20"/>
      <c r="C102" s="20"/>
      <c r="D102" s="20"/>
      <c r="E102" s="2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44.1" customHeight="1" x14ac:dyDescent="0.2">
      <c r="A103" s="19" t="s">
        <v>259</v>
      </c>
      <c r="B103" s="20"/>
      <c r="C103" s="20"/>
      <c r="D103" s="20"/>
      <c r="E103" s="2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44.1" customHeight="1" x14ac:dyDescent="0.2">
      <c r="A104" s="19" t="s">
        <v>260</v>
      </c>
      <c r="B104" s="20"/>
      <c r="C104" s="20"/>
      <c r="D104" s="20"/>
      <c r="E104" s="2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23.1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23.1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23.1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23.1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23.1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23.1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23.1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23.1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23.1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23.1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23.1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23.1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23.1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23.1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23.1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23.1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23.1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23.1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23.1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23.1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23.1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23.1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23.1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23.1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23.1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23.1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23.1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23.1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23.1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23.1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23.1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23.1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23.1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23.1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23.1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23.1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23.1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23.1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23.1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23.1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23.1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23.1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23.1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23.1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23.1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23.1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23.1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23.1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23.1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23.1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23.1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23.1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23.1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30" customHeight="1" x14ac:dyDescent="0.2">
      <c r="A158" s="23" t="s">
        <v>261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5"/>
      <c r="U158" s="5"/>
    </row>
    <row r="159" spans="1:21" ht="23.1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44.1" customHeight="1" x14ac:dyDescent="0.2">
      <c r="A160" s="14" t="s">
        <v>54</v>
      </c>
      <c r="B160" s="14" t="s">
        <v>262</v>
      </c>
      <c r="C160" s="14" t="s">
        <v>263</v>
      </c>
      <c r="D160" s="14" t="s">
        <v>264</v>
      </c>
      <c r="E160" s="14" t="s">
        <v>265</v>
      </c>
      <c r="F160" s="14" t="s">
        <v>266</v>
      </c>
      <c r="G160" s="14" t="s">
        <v>267</v>
      </c>
      <c r="H160" s="14" t="s">
        <v>268</v>
      </c>
      <c r="I160" s="14" t="s">
        <v>269</v>
      </c>
      <c r="J160" s="14" t="s">
        <v>270</v>
      </c>
      <c r="K160" s="14" t="s">
        <v>271</v>
      </c>
      <c r="L160" s="14" t="s">
        <v>272</v>
      </c>
      <c r="M160" s="14" t="s">
        <v>241</v>
      </c>
      <c r="N160" s="14" t="s">
        <v>273</v>
      </c>
      <c r="O160" s="14" t="s">
        <v>274</v>
      </c>
      <c r="P160" s="14" t="s">
        <v>275</v>
      </c>
      <c r="Q160" s="14" t="s">
        <v>276</v>
      </c>
      <c r="R160" s="14" t="s">
        <v>277</v>
      </c>
      <c r="S160" s="14" t="s">
        <v>278</v>
      </c>
      <c r="T160" s="5"/>
      <c r="U160" s="5"/>
    </row>
    <row r="161" spans="1:21" ht="23.1" customHeight="1" outlineLevel="1" x14ac:dyDescent="0.2">
      <c r="A161" s="5">
        <v>1</v>
      </c>
      <c r="B161" s="5">
        <v>1</v>
      </c>
      <c r="C161" s="5">
        <f>DAY(DATE('Assumptions and Catalog'!$C$24+A161-1,B161+1,0))</f>
        <v>31</v>
      </c>
      <c r="D161" s="5">
        <f>IF(ISNUMBER(Inputs!$L$5),Inputs!$L$5*Inputs!$L$6,0)</f>
        <v>40.35</v>
      </c>
      <c r="E161" s="5">
        <f>IF(ISNUMBER(Inputs!$L$5),Inputs!$L$5-D161,0)</f>
        <v>40.35</v>
      </c>
      <c r="F161" s="5">
        <f>C$51*'Assumptions and Catalog'!$C$31*C161*(1-'Assumptions and Catalog'!$C$10)^(A161-1)</f>
        <v>1034.3460000000002</v>
      </c>
      <c r="G161" s="5">
        <f t="shared" ref="G161:G224" si="8">MIN(F161,D161*C161)</f>
        <v>1034.3460000000002</v>
      </c>
      <c r="H161" s="5">
        <f>I161/('Assumptions and Catalog'!$C$11*'Assumptions and Catalog'!$C$12)</f>
        <v>0</v>
      </c>
      <c r="I161" s="5">
        <f>0</f>
        <v>0</v>
      </c>
      <c r="J161" s="5">
        <f t="shared" ref="J161:J224" si="9">MAX(F161-G161-H161,0)</f>
        <v>0</v>
      </c>
      <c r="K161" s="5">
        <f t="shared" ref="K161:K224" si="10">H161-I161</f>
        <v>0</v>
      </c>
      <c r="L161" s="5">
        <f t="shared" ref="L161:L224" si="11">(D161+E161)*C161-G161-I161+0+0</f>
        <v>1467.354</v>
      </c>
      <c r="M161" s="5">
        <f>IF(ISNUMBER(Inputs!$L$5),(IF(Inputs!$L$9="Actual flat rate",((D161+E161)*C161)*Inputs!$L$10,IF(Inputs!$C$9="Residential",IF(((D161+E161)*C161)&lt;='Assumptions and Catalog'!$C$50,((D161+E161)*C161)*'Assumptions and Catalog'!$H$50+'Assumptions and Catalog'!$E$50+'Assumptions and Catalog'!$F$50,IF(((D161+E161)*C161)&lt;='Assumptions and Catalog'!$C$51,((D161+E161)*C161)*'Assumptions and Catalog'!$H$51+'Assumptions and Catalog'!$E$51+'Assumptions and Catalog'!$F$51,IF(((D161+E161)*C161)&lt;='Assumptions and Catalog'!$C$52,((D161+E161)*C161)*'Assumptions and Catalog'!$H$52+'Assumptions and Catalog'!$E$52+'Assumptions and Catalog'!$F$52,IF(((D161+E161)*C161)&lt;='Assumptions and Catalog'!$C$53,((D161+E161)*C161)*'Assumptions and Catalog'!$H$53+'Assumptions and Catalog'!$E$53+'Assumptions and Catalog'!$F$53,IF(((D161+E161)*C161)&lt;='Assumptions and Catalog'!$C$54,((D161+E161)*C161)*'Assumptions and Catalog'!$H$54+'Assumptions and Catalog'!$E$54+'Assumptions and Catalog'!$F$54,IF(((D161+E161)*C161)&lt;='Assumptions and Catalog'!$C$55,((D161+E161)*C161)*'Assumptions and Catalog'!$H$55+'Assumptions and Catalog'!$E$55+'Assumptions and Catalog'!$F$55,IF(((D161+E161)*C161)&lt;='Assumptions and Catalog'!$C$56,((D161+E161)*C161)*'Assumptions and Catalog'!$H$56+'Assumptions and Catalog'!$E$56+'Assumptions and Catalog'!$F$56,IF(((D161+E161)*C161)&lt;='Assumptions and Catalog'!$C$57,((D161+E161)*C161)*'Assumptions and Catalog'!$H$57+'Assumptions and Catalog'!$E$57+'Assumptions and Catalog'!$F$57,"Out of range")))))))),IF(((D161+E161)*C161)&lt;='Assumptions and Catalog'!$C$60,((D161+E161)*C161)*'Assumptions and Catalog'!$H$60+'Assumptions and Catalog'!$E$60+'Assumptions and Catalog'!$F$60,IF(((D161+E161)*C161)&lt;='Assumptions and Catalog'!$C$61,((D161+E161)*C161)*'Assumptions and Catalog'!$H$61+'Assumptions and Catalog'!$E$61+'Assumptions and Catalog'!$F$61,IF(((D161+E161)*C161)&lt;='Assumptions and Catalog'!$C$62,((D161+E161)*C161)*'Assumptions and Catalog'!$H$62+'Assumptions and Catalog'!$E$62+'Assumptions and Catalog'!$F$62,IF(((D161+E161)*C161)&lt;='Assumptions and Catalog'!$C$63,((D161+E161)*C161)*'Assumptions and Catalog'!$H$63+'Assumptions and Catalog'!$E$63+'Assumptions and Catalog'!$F$63,IF(((D161+E161)*C161)&lt;='Assumptions and Catalog'!$C$64,((D161+E161)*C161)*'Assumptions and Catalog'!$H$64+'Assumptions and Catalog'!$E$64+'Assumptions and Catalog'!$F$64,IF(((D161+E161)*C161)&lt;='Assumptions and Catalog'!$C$65,((D161+E161)*C161)*'Assumptions and Catalog'!$H$65+'Assumptions and Catalog'!$E$65+'Assumptions and Catalog'!$F$65,"Out of range")))))))))*(1+'Assumptions and Catalog'!$C$8)^(A161-1),0)</f>
        <v>8554.9666666666672</v>
      </c>
      <c r="N161" s="5">
        <f>IF(ISNUMBER(Inputs!$L$5),(IF(Inputs!$L$9="Actual flat rate",L161*Inputs!$L$10,IF(Inputs!$C$9="Residential",IF(L161&lt;='Assumptions and Catalog'!$C$50,L161*'Assumptions and Catalog'!$H$50+'Assumptions and Catalog'!$E$50+'Assumptions and Catalog'!$F$50,IF(L161&lt;='Assumptions and Catalog'!$C$51,L161*'Assumptions and Catalog'!$H$51+'Assumptions and Catalog'!$E$51+'Assumptions and Catalog'!$F$51,IF(L161&lt;='Assumptions and Catalog'!$C$52,L161*'Assumptions and Catalog'!$H$52+'Assumptions and Catalog'!$E$52+'Assumptions and Catalog'!$F$52,IF(L161&lt;='Assumptions and Catalog'!$C$53,L161*'Assumptions and Catalog'!$H$53+'Assumptions and Catalog'!$E$53+'Assumptions and Catalog'!$F$53,IF(L161&lt;='Assumptions and Catalog'!$C$54,L161*'Assumptions and Catalog'!$H$54+'Assumptions and Catalog'!$E$54+'Assumptions and Catalog'!$F$54,IF(L161&lt;='Assumptions and Catalog'!$C$55,L161*'Assumptions and Catalog'!$H$55+'Assumptions and Catalog'!$E$55+'Assumptions and Catalog'!$F$55,IF(L161&lt;='Assumptions and Catalog'!$C$56,L161*'Assumptions and Catalog'!$H$56+'Assumptions and Catalog'!$E$56+'Assumptions and Catalog'!$F$56,IF(L161&lt;='Assumptions and Catalog'!$C$57,L161*'Assumptions and Catalog'!$H$57+'Assumptions and Catalog'!$E$57+'Assumptions and Catalog'!$F$57,"Out of range")))))))),IF(L161&lt;='Assumptions and Catalog'!$C$60,L161*'Assumptions and Catalog'!$H$60+'Assumptions and Catalog'!$E$60+'Assumptions and Catalog'!$F$60,IF(L161&lt;='Assumptions and Catalog'!$C$61,L161*'Assumptions and Catalog'!$H$61+'Assumptions and Catalog'!$E$61+'Assumptions and Catalog'!$F$61,IF(L161&lt;='Assumptions and Catalog'!$C$62,L161*'Assumptions and Catalog'!$H$62+'Assumptions and Catalog'!$E$62+'Assumptions and Catalog'!$F$62,IF(L161&lt;='Assumptions and Catalog'!$C$63,L161*'Assumptions and Catalog'!$H$63+'Assumptions and Catalog'!$E$63+'Assumptions and Catalog'!$F$63,IF(L161&lt;='Assumptions and Catalog'!$C$64,L161*'Assumptions and Catalog'!$H$64+'Assumptions and Catalog'!$E$64+'Assumptions and Catalog'!$F$64,IF(L161&lt;='Assumptions and Catalog'!$C$65,L161*'Assumptions and Catalog'!$H$65+'Assumptions and Catalog'!$E$65+'Assumptions and Catalog'!$F$65,"Out of range")))))))))*(1+'Assumptions and Catalog'!$C$8)^(A161-1),0)</f>
        <v>5017.8536827757125</v>
      </c>
      <c r="O161" s="5">
        <f t="shared" ref="O161:O224" si="12">M161-N161</f>
        <v>3537.1129838909546</v>
      </c>
      <c r="P161" s="5">
        <f>C$55*(1-J$14)*(1-'Assumptions and Catalog'!$C$23)^R161</f>
        <v>0</v>
      </c>
      <c r="Q161" s="5">
        <f>IF(ISNUMBER(Inputs!$L$5),(IF(Inputs!$L$9="Actual flat rate",((D161+E161)*C161-G161)*Inputs!$L$10,IF(Inputs!$C$9="Residential",IF(((D161+E161)*C161-G161)&lt;='Assumptions and Catalog'!$C$50,((D161+E161)*C161-G161)*'Assumptions and Catalog'!$H$50+'Assumptions and Catalog'!$E$50+'Assumptions and Catalog'!$F$50,IF(((D161+E161)*C161-G161)&lt;='Assumptions and Catalog'!$C$51,((D161+E161)*C161-G161)*'Assumptions and Catalog'!$H$51+'Assumptions and Catalog'!$E$51+'Assumptions and Catalog'!$F$51,IF(((D161+E161)*C161-G161)&lt;='Assumptions and Catalog'!$C$52,((D161+E161)*C161-G161)*'Assumptions and Catalog'!$H$52+'Assumptions and Catalog'!$E$52+'Assumptions and Catalog'!$F$52,IF(((D161+E161)*C161-G161)&lt;='Assumptions and Catalog'!$C$53,((D161+E161)*C161-G161)*'Assumptions and Catalog'!$H$53+'Assumptions and Catalog'!$E$53+'Assumptions and Catalog'!$F$53,IF(((D161+E161)*C161-G161)&lt;='Assumptions and Catalog'!$C$54,((D161+E161)*C161-G161)*'Assumptions and Catalog'!$H$54+'Assumptions and Catalog'!$E$54+'Assumptions and Catalog'!$F$54,IF(((D161+E161)*C161-G161)&lt;='Assumptions and Catalog'!$C$55,((D161+E161)*C161-G161)*'Assumptions and Catalog'!$H$55+'Assumptions and Catalog'!$E$55+'Assumptions and Catalog'!$F$55,IF(((D161+E161)*C161-G161)&lt;='Assumptions and Catalog'!$C$56,((D161+E161)*C161-G161)*'Assumptions and Catalog'!$H$56+'Assumptions and Catalog'!$E$56+'Assumptions and Catalog'!$F$56,IF(((D161+E161)*C161-G161)&lt;='Assumptions and Catalog'!$C$57,((D161+E161)*C161-G161)*'Assumptions and Catalog'!$H$57+'Assumptions and Catalog'!$E$57+'Assumptions and Catalog'!$F$57,"Out of range")))))))),IF(((D161+E161)*C161-G161)&lt;='Assumptions and Catalog'!$C$60,((D161+E161)*C161-G161)*'Assumptions and Catalog'!$H$60+'Assumptions and Catalog'!$E$60+'Assumptions and Catalog'!$F$60,IF(((D161+E161)*C161-G161)&lt;='Assumptions and Catalog'!$C$61,((D161+E161)*C161-G161)*'Assumptions and Catalog'!$H$61+'Assumptions and Catalog'!$E$61+'Assumptions and Catalog'!$F$61,IF(((D161+E161)*C161-G161)&lt;='Assumptions and Catalog'!$C$62,((D161+E161)*C161-G161)*'Assumptions and Catalog'!$H$62+'Assumptions and Catalog'!$E$62+'Assumptions and Catalog'!$F$62,IF(((D161+E161)*C161-G161)&lt;='Assumptions and Catalog'!$C$63,((D161+E161)*C161-G161)*'Assumptions and Catalog'!$H$63+'Assumptions and Catalog'!$E$63+'Assumptions and Catalog'!$F$63,IF(((D161+E161)*C161-G161)&lt;='Assumptions and Catalog'!$C$64,((D161+E161)*C161-G161)*'Assumptions and Catalog'!$H$64+'Assumptions and Catalog'!$E$64+'Assumptions and Catalog'!$F$64,IF(((D161+E161)*C161-G161)&lt;='Assumptions and Catalog'!$C$65,((D161+E161)*C161-G161)*'Assumptions and Catalog'!$H$65+'Assumptions and Catalog'!$E$65+'Assumptions and Catalog'!$F$65,"Out of range")))))))))*(1+'Assumptions and Catalog'!$C$8)^(A161-1),0)</f>
        <v>5017.8536827757125</v>
      </c>
      <c r="R161" s="5">
        <f>IF(AND('Assumptions and Catalog'!$C$19&gt;0,A161&gt;='Assumptions and Catalog'!$C$19),A161-'Assumptions and Catalog'!$C$19,A161-1)</f>
        <v>0</v>
      </c>
      <c r="S161" s="5">
        <f t="shared" ref="S161:S224" si="13">F161+L161-(D161+E161)*C161-J161-K161-0</f>
        <v>0</v>
      </c>
      <c r="T161" s="5"/>
      <c r="U161" s="5"/>
    </row>
    <row r="162" spans="1:21" ht="23.1" customHeight="1" outlineLevel="1" x14ac:dyDescent="0.2">
      <c r="A162" s="5">
        <v>1</v>
      </c>
      <c r="B162" s="5">
        <v>2</v>
      </c>
      <c r="C162" s="5">
        <f>DAY(DATE('Assumptions and Catalog'!$C$24+A162-1,B162+1,0))</f>
        <v>28</v>
      </c>
      <c r="D162" s="5">
        <f>IF(ISNUMBER(Inputs!$L$5),Inputs!$L$5*Inputs!$L$6,0)</f>
        <v>40.35</v>
      </c>
      <c r="E162" s="5">
        <f>IF(ISNUMBER(Inputs!$L$5),Inputs!$L$5-D162,0)</f>
        <v>40.35</v>
      </c>
      <c r="F162" s="5">
        <f>C$51*'Assumptions and Catalog'!$C$31*C162*(1-'Assumptions and Catalog'!$C$10)^(A162-1)</f>
        <v>934.24800000000016</v>
      </c>
      <c r="G162" s="5">
        <f t="shared" si="8"/>
        <v>934.24800000000016</v>
      </c>
      <c r="H162" s="5">
        <f>I162/('Assumptions and Catalog'!$C$11*'Assumptions and Catalog'!$C$12)</f>
        <v>0</v>
      </c>
      <c r="I162" s="5">
        <f>0</f>
        <v>0</v>
      </c>
      <c r="J162" s="5">
        <f t="shared" si="9"/>
        <v>0</v>
      </c>
      <c r="K162" s="5">
        <f t="shared" si="10"/>
        <v>0</v>
      </c>
      <c r="L162" s="5">
        <f t="shared" si="11"/>
        <v>1325.3519999999999</v>
      </c>
      <c r="M162" s="5">
        <f>IF(ISNUMBER(Inputs!$L$5),(IF(Inputs!$L$9="Actual flat rate",((D162+E162)*C162)*Inputs!$L$10,IF(Inputs!$C$9="Residential",IF(((D162+E162)*C162)&lt;='Assumptions and Catalog'!$C$50,((D162+E162)*C162)*'Assumptions and Catalog'!$H$50+'Assumptions and Catalog'!$E$50+'Assumptions and Catalog'!$F$50,IF(((D162+E162)*C162)&lt;='Assumptions and Catalog'!$C$51,((D162+E162)*C162)*'Assumptions and Catalog'!$H$51+'Assumptions and Catalog'!$E$51+'Assumptions and Catalog'!$F$51,IF(((D162+E162)*C162)&lt;='Assumptions and Catalog'!$C$52,((D162+E162)*C162)*'Assumptions and Catalog'!$H$52+'Assumptions and Catalog'!$E$52+'Assumptions and Catalog'!$F$52,IF(((D162+E162)*C162)&lt;='Assumptions and Catalog'!$C$53,((D162+E162)*C162)*'Assumptions and Catalog'!$H$53+'Assumptions and Catalog'!$E$53+'Assumptions and Catalog'!$F$53,IF(((D162+E162)*C162)&lt;='Assumptions and Catalog'!$C$54,((D162+E162)*C162)*'Assumptions and Catalog'!$H$54+'Assumptions and Catalog'!$E$54+'Assumptions and Catalog'!$F$54,IF(((D162+E162)*C162)&lt;='Assumptions and Catalog'!$C$55,((D162+E162)*C162)*'Assumptions and Catalog'!$H$55+'Assumptions and Catalog'!$E$55+'Assumptions and Catalog'!$F$55,IF(((D162+E162)*C162)&lt;='Assumptions and Catalog'!$C$56,((D162+E162)*C162)*'Assumptions and Catalog'!$H$56+'Assumptions and Catalog'!$E$56+'Assumptions and Catalog'!$F$56,IF(((D162+E162)*C162)&lt;='Assumptions and Catalog'!$C$57,((D162+E162)*C162)*'Assumptions and Catalog'!$H$57+'Assumptions and Catalog'!$E$57+'Assumptions and Catalog'!$F$57,"Out of range")))))))),IF(((D162+E162)*C162)&lt;='Assumptions and Catalog'!$C$60,((D162+E162)*C162)*'Assumptions and Catalog'!$H$60+'Assumptions and Catalog'!$E$60+'Assumptions and Catalog'!$F$60,IF(((D162+E162)*C162)&lt;='Assumptions and Catalog'!$C$61,((D162+E162)*C162)*'Assumptions and Catalog'!$H$61+'Assumptions and Catalog'!$E$61+'Assumptions and Catalog'!$F$61,IF(((D162+E162)*C162)&lt;='Assumptions and Catalog'!$C$62,((D162+E162)*C162)*'Assumptions and Catalog'!$H$62+'Assumptions and Catalog'!$E$62+'Assumptions and Catalog'!$F$62,IF(((D162+E162)*C162)&lt;='Assumptions and Catalog'!$C$63,((D162+E162)*C162)*'Assumptions and Catalog'!$H$63+'Assumptions and Catalog'!$E$63+'Assumptions and Catalog'!$F$63,IF(((D162+E162)*C162)&lt;='Assumptions and Catalog'!$C$64,((D162+E162)*C162)*'Assumptions and Catalog'!$H$64+'Assumptions and Catalog'!$E$64+'Assumptions and Catalog'!$F$64,IF(((D162+E162)*C162)&lt;='Assumptions and Catalog'!$C$65,((D162+E162)*C162)*'Assumptions and Catalog'!$H$65+'Assumptions and Catalog'!$E$65+'Assumptions and Catalog'!$F$65,"Out of range")))))))))*(1+'Assumptions and Catalog'!$C$8)^(A162-1),0)</f>
        <v>7727.0666666666657</v>
      </c>
      <c r="N162" s="5">
        <f>IF(ISNUMBER(Inputs!$L$5),(IF(Inputs!$L$9="Actual flat rate",L162*Inputs!$L$10,IF(Inputs!$C$9="Residential",IF(L162&lt;='Assumptions and Catalog'!$C$50,L162*'Assumptions and Catalog'!$H$50+'Assumptions and Catalog'!$E$50+'Assumptions and Catalog'!$F$50,IF(L162&lt;='Assumptions and Catalog'!$C$51,L162*'Assumptions and Catalog'!$H$51+'Assumptions and Catalog'!$E$51+'Assumptions and Catalog'!$F$51,IF(L162&lt;='Assumptions and Catalog'!$C$52,L162*'Assumptions and Catalog'!$H$52+'Assumptions and Catalog'!$E$52+'Assumptions and Catalog'!$F$52,IF(L162&lt;='Assumptions and Catalog'!$C$53,L162*'Assumptions and Catalog'!$H$53+'Assumptions and Catalog'!$E$53+'Assumptions and Catalog'!$F$53,IF(L162&lt;='Assumptions and Catalog'!$C$54,L162*'Assumptions and Catalog'!$H$54+'Assumptions and Catalog'!$E$54+'Assumptions and Catalog'!$F$54,IF(L162&lt;='Assumptions and Catalog'!$C$55,L162*'Assumptions and Catalog'!$H$55+'Assumptions and Catalog'!$E$55+'Assumptions and Catalog'!$F$55,IF(L162&lt;='Assumptions and Catalog'!$C$56,L162*'Assumptions and Catalog'!$H$56+'Assumptions and Catalog'!$E$56+'Assumptions and Catalog'!$F$56,IF(L162&lt;='Assumptions and Catalog'!$C$57,L162*'Assumptions and Catalog'!$H$57+'Assumptions and Catalog'!$E$57+'Assumptions and Catalog'!$F$57,"Out of range")))))))),IF(L162&lt;='Assumptions and Catalog'!$C$60,L162*'Assumptions and Catalog'!$H$60+'Assumptions and Catalog'!$E$60+'Assumptions and Catalog'!$F$60,IF(L162&lt;='Assumptions and Catalog'!$C$61,L162*'Assumptions and Catalog'!$H$61+'Assumptions and Catalog'!$E$61+'Assumptions and Catalog'!$F$61,IF(L162&lt;='Assumptions and Catalog'!$C$62,L162*'Assumptions and Catalog'!$H$62+'Assumptions and Catalog'!$E$62+'Assumptions and Catalog'!$F$62,IF(L162&lt;='Assumptions and Catalog'!$C$63,L162*'Assumptions and Catalog'!$H$63+'Assumptions and Catalog'!$E$63+'Assumptions and Catalog'!$F$63,IF(L162&lt;='Assumptions and Catalog'!$C$64,L162*'Assumptions and Catalog'!$H$64+'Assumptions and Catalog'!$E$64+'Assumptions and Catalog'!$F$64,IF(L162&lt;='Assumptions and Catalog'!$C$65,L162*'Assumptions and Catalog'!$H$65+'Assumptions and Catalog'!$E$65+'Assumptions and Catalog'!$F$65,"Out of range")))))))))*(1+'Assumptions and Catalog'!$C$8)^(A162-1),0)</f>
        <v>4532.254939281288</v>
      </c>
      <c r="O162" s="5">
        <f t="shared" si="12"/>
        <v>3194.8117273853777</v>
      </c>
      <c r="P162" s="5">
        <f>C$55*(1-J$14)*(1-'Assumptions and Catalog'!$C$23)^R162</f>
        <v>0</v>
      </c>
      <c r="Q162" s="5">
        <f>IF(ISNUMBER(Inputs!$L$5),(IF(Inputs!$L$9="Actual flat rate",((D162+E162)*C162-G162)*Inputs!$L$10,IF(Inputs!$C$9="Residential",IF(((D162+E162)*C162-G162)&lt;='Assumptions and Catalog'!$C$50,((D162+E162)*C162-G162)*'Assumptions and Catalog'!$H$50+'Assumptions and Catalog'!$E$50+'Assumptions and Catalog'!$F$50,IF(((D162+E162)*C162-G162)&lt;='Assumptions and Catalog'!$C$51,((D162+E162)*C162-G162)*'Assumptions and Catalog'!$H$51+'Assumptions and Catalog'!$E$51+'Assumptions and Catalog'!$F$51,IF(((D162+E162)*C162-G162)&lt;='Assumptions and Catalog'!$C$52,((D162+E162)*C162-G162)*'Assumptions and Catalog'!$H$52+'Assumptions and Catalog'!$E$52+'Assumptions and Catalog'!$F$52,IF(((D162+E162)*C162-G162)&lt;='Assumptions and Catalog'!$C$53,((D162+E162)*C162-G162)*'Assumptions and Catalog'!$H$53+'Assumptions and Catalog'!$E$53+'Assumptions and Catalog'!$F$53,IF(((D162+E162)*C162-G162)&lt;='Assumptions and Catalog'!$C$54,((D162+E162)*C162-G162)*'Assumptions and Catalog'!$H$54+'Assumptions and Catalog'!$E$54+'Assumptions and Catalog'!$F$54,IF(((D162+E162)*C162-G162)&lt;='Assumptions and Catalog'!$C$55,((D162+E162)*C162-G162)*'Assumptions and Catalog'!$H$55+'Assumptions and Catalog'!$E$55+'Assumptions and Catalog'!$F$55,IF(((D162+E162)*C162-G162)&lt;='Assumptions and Catalog'!$C$56,((D162+E162)*C162-G162)*'Assumptions and Catalog'!$H$56+'Assumptions and Catalog'!$E$56+'Assumptions and Catalog'!$F$56,IF(((D162+E162)*C162-G162)&lt;='Assumptions and Catalog'!$C$57,((D162+E162)*C162-G162)*'Assumptions and Catalog'!$H$57+'Assumptions and Catalog'!$E$57+'Assumptions and Catalog'!$F$57,"Out of range")))))))),IF(((D162+E162)*C162-G162)&lt;='Assumptions and Catalog'!$C$60,((D162+E162)*C162-G162)*'Assumptions and Catalog'!$H$60+'Assumptions and Catalog'!$E$60+'Assumptions and Catalog'!$F$60,IF(((D162+E162)*C162-G162)&lt;='Assumptions and Catalog'!$C$61,((D162+E162)*C162-G162)*'Assumptions and Catalog'!$H$61+'Assumptions and Catalog'!$E$61+'Assumptions and Catalog'!$F$61,IF(((D162+E162)*C162-G162)&lt;='Assumptions and Catalog'!$C$62,((D162+E162)*C162-G162)*'Assumptions and Catalog'!$H$62+'Assumptions and Catalog'!$E$62+'Assumptions and Catalog'!$F$62,IF(((D162+E162)*C162-G162)&lt;='Assumptions and Catalog'!$C$63,((D162+E162)*C162-G162)*'Assumptions and Catalog'!$H$63+'Assumptions and Catalog'!$E$63+'Assumptions and Catalog'!$F$63,IF(((D162+E162)*C162-G162)&lt;='Assumptions and Catalog'!$C$64,((D162+E162)*C162-G162)*'Assumptions and Catalog'!$H$64+'Assumptions and Catalog'!$E$64+'Assumptions and Catalog'!$F$64,IF(((D162+E162)*C162-G162)&lt;='Assumptions and Catalog'!$C$65,((D162+E162)*C162-G162)*'Assumptions and Catalog'!$H$65+'Assumptions and Catalog'!$E$65+'Assumptions and Catalog'!$F$65,"Out of range")))))))))*(1+'Assumptions and Catalog'!$C$8)^(A162-1),0)</f>
        <v>4532.254939281288</v>
      </c>
      <c r="R162" s="5">
        <f>IF(AND('Assumptions and Catalog'!$C$19&gt;0,A162&gt;='Assumptions and Catalog'!$C$19),A162-'Assumptions and Catalog'!$C$19,A162-1)</f>
        <v>0</v>
      </c>
      <c r="S162" s="5">
        <f t="shared" si="13"/>
        <v>0</v>
      </c>
      <c r="T162" s="5"/>
      <c r="U162" s="5"/>
    </row>
    <row r="163" spans="1:21" ht="23.1" customHeight="1" outlineLevel="1" x14ac:dyDescent="0.2">
      <c r="A163" s="5">
        <v>1</v>
      </c>
      <c r="B163" s="5">
        <v>3</v>
      </c>
      <c r="C163" s="5">
        <f>DAY(DATE('Assumptions and Catalog'!$C$24+A163-1,B163+1,0))</f>
        <v>31</v>
      </c>
      <c r="D163" s="5">
        <f>IF(ISNUMBER(Inputs!$L$5),Inputs!$L$5*Inputs!$L$6,0)</f>
        <v>40.35</v>
      </c>
      <c r="E163" s="5">
        <f>IF(ISNUMBER(Inputs!$L$5),Inputs!$L$5-D163,0)</f>
        <v>40.35</v>
      </c>
      <c r="F163" s="5">
        <f>C$51*'Assumptions and Catalog'!$C$31*C163*(1-'Assumptions and Catalog'!$C$10)^(A163-1)</f>
        <v>1034.3460000000002</v>
      </c>
      <c r="G163" s="5">
        <f t="shared" si="8"/>
        <v>1034.3460000000002</v>
      </c>
      <c r="H163" s="5">
        <f>I163/('Assumptions and Catalog'!$C$11*'Assumptions and Catalog'!$C$12)</f>
        <v>0</v>
      </c>
      <c r="I163" s="5">
        <f>0</f>
        <v>0</v>
      </c>
      <c r="J163" s="5">
        <f t="shared" si="9"/>
        <v>0</v>
      </c>
      <c r="K163" s="5">
        <f t="shared" si="10"/>
        <v>0</v>
      </c>
      <c r="L163" s="5">
        <f t="shared" si="11"/>
        <v>1467.354</v>
      </c>
      <c r="M163" s="5">
        <f>IF(ISNUMBER(Inputs!$L$5),(IF(Inputs!$L$9="Actual flat rate",((D163+E163)*C163)*Inputs!$L$10,IF(Inputs!$C$9="Residential",IF(((D163+E163)*C163)&lt;='Assumptions and Catalog'!$C$50,((D163+E163)*C163)*'Assumptions and Catalog'!$H$50+'Assumptions and Catalog'!$E$50+'Assumptions and Catalog'!$F$50,IF(((D163+E163)*C163)&lt;='Assumptions and Catalog'!$C$51,((D163+E163)*C163)*'Assumptions and Catalog'!$H$51+'Assumptions and Catalog'!$E$51+'Assumptions and Catalog'!$F$51,IF(((D163+E163)*C163)&lt;='Assumptions and Catalog'!$C$52,((D163+E163)*C163)*'Assumptions and Catalog'!$H$52+'Assumptions and Catalog'!$E$52+'Assumptions and Catalog'!$F$52,IF(((D163+E163)*C163)&lt;='Assumptions and Catalog'!$C$53,((D163+E163)*C163)*'Assumptions and Catalog'!$H$53+'Assumptions and Catalog'!$E$53+'Assumptions and Catalog'!$F$53,IF(((D163+E163)*C163)&lt;='Assumptions and Catalog'!$C$54,((D163+E163)*C163)*'Assumptions and Catalog'!$H$54+'Assumptions and Catalog'!$E$54+'Assumptions and Catalog'!$F$54,IF(((D163+E163)*C163)&lt;='Assumptions and Catalog'!$C$55,((D163+E163)*C163)*'Assumptions and Catalog'!$H$55+'Assumptions and Catalog'!$E$55+'Assumptions and Catalog'!$F$55,IF(((D163+E163)*C163)&lt;='Assumptions and Catalog'!$C$56,((D163+E163)*C163)*'Assumptions and Catalog'!$H$56+'Assumptions and Catalog'!$E$56+'Assumptions and Catalog'!$F$56,IF(((D163+E163)*C163)&lt;='Assumptions and Catalog'!$C$57,((D163+E163)*C163)*'Assumptions and Catalog'!$H$57+'Assumptions and Catalog'!$E$57+'Assumptions and Catalog'!$F$57,"Out of range")))))))),IF(((D163+E163)*C163)&lt;='Assumptions and Catalog'!$C$60,((D163+E163)*C163)*'Assumptions and Catalog'!$H$60+'Assumptions and Catalog'!$E$60+'Assumptions and Catalog'!$F$60,IF(((D163+E163)*C163)&lt;='Assumptions and Catalog'!$C$61,((D163+E163)*C163)*'Assumptions and Catalog'!$H$61+'Assumptions and Catalog'!$E$61+'Assumptions and Catalog'!$F$61,IF(((D163+E163)*C163)&lt;='Assumptions and Catalog'!$C$62,((D163+E163)*C163)*'Assumptions and Catalog'!$H$62+'Assumptions and Catalog'!$E$62+'Assumptions and Catalog'!$F$62,IF(((D163+E163)*C163)&lt;='Assumptions and Catalog'!$C$63,((D163+E163)*C163)*'Assumptions and Catalog'!$H$63+'Assumptions and Catalog'!$E$63+'Assumptions and Catalog'!$F$63,IF(((D163+E163)*C163)&lt;='Assumptions and Catalog'!$C$64,((D163+E163)*C163)*'Assumptions and Catalog'!$H$64+'Assumptions and Catalog'!$E$64+'Assumptions and Catalog'!$F$64,IF(((D163+E163)*C163)&lt;='Assumptions and Catalog'!$C$65,((D163+E163)*C163)*'Assumptions and Catalog'!$H$65+'Assumptions and Catalog'!$E$65+'Assumptions and Catalog'!$F$65,"Out of range")))))))))*(1+'Assumptions and Catalog'!$C$8)^(A163-1),0)</f>
        <v>8554.9666666666672</v>
      </c>
      <c r="N163" s="5">
        <f>IF(ISNUMBER(Inputs!$L$5),(IF(Inputs!$L$9="Actual flat rate",L163*Inputs!$L$10,IF(Inputs!$C$9="Residential",IF(L163&lt;='Assumptions and Catalog'!$C$50,L163*'Assumptions and Catalog'!$H$50+'Assumptions and Catalog'!$E$50+'Assumptions and Catalog'!$F$50,IF(L163&lt;='Assumptions and Catalog'!$C$51,L163*'Assumptions and Catalog'!$H$51+'Assumptions and Catalog'!$E$51+'Assumptions and Catalog'!$F$51,IF(L163&lt;='Assumptions and Catalog'!$C$52,L163*'Assumptions and Catalog'!$H$52+'Assumptions and Catalog'!$E$52+'Assumptions and Catalog'!$F$52,IF(L163&lt;='Assumptions and Catalog'!$C$53,L163*'Assumptions and Catalog'!$H$53+'Assumptions and Catalog'!$E$53+'Assumptions and Catalog'!$F$53,IF(L163&lt;='Assumptions and Catalog'!$C$54,L163*'Assumptions and Catalog'!$H$54+'Assumptions and Catalog'!$E$54+'Assumptions and Catalog'!$F$54,IF(L163&lt;='Assumptions and Catalog'!$C$55,L163*'Assumptions and Catalog'!$H$55+'Assumptions and Catalog'!$E$55+'Assumptions and Catalog'!$F$55,IF(L163&lt;='Assumptions and Catalog'!$C$56,L163*'Assumptions and Catalog'!$H$56+'Assumptions and Catalog'!$E$56+'Assumptions and Catalog'!$F$56,IF(L163&lt;='Assumptions and Catalog'!$C$57,L163*'Assumptions and Catalog'!$H$57+'Assumptions and Catalog'!$E$57+'Assumptions and Catalog'!$F$57,"Out of range")))))))),IF(L163&lt;='Assumptions and Catalog'!$C$60,L163*'Assumptions and Catalog'!$H$60+'Assumptions and Catalog'!$E$60+'Assumptions and Catalog'!$F$60,IF(L163&lt;='Assumptions and Catalog'!$C$61,L163*'Assumptions and Catalog'!$H$61+'Assumptions and Catalog'!$E$61+'Assumptions and Catalog'!$F$61,IF(L163&lt;='Assumptions and Catalog'!$C$62,L163*'Assumptions and Catalog'!$H$62+'Assumptions and Catalog'!$E$62+'Assumptions and Catalog'!$F$62,IF(L163&lt;='Assumptions and Catalog'!$C$63,L163*'Assumptions and Catalog'!$H$63+'Assumptions and Catalog'!$E$63+'Assumptions and Catalog'!$F$63,IF(L163&lt;='Assumptions and Catalog'!$C$64,L163*'Assumptions and Catalog'!$H$64+'Assumptions and Catalog'!$E$64+'Assumptions and Catalog'!$F$64,IF(L163&lt;='Assumptions and Catalog'!$C$65,L163*'Assumptions and Catalog'!$H$65+'Assumptions and Catalog'!$E$65+'Assumptions and Catalog'!$F$65,"Out of range")))))))))*(1+'Assumptions and Catalog'!$C$8)^(A163-1),0)</f>
        <v>5017.8536827757125</v>
      </c>
      <c r="O163" s="5">
        <f t="shared" si="12"/>
        <v>3537.1129838909546</v>
      </c>
      <c r="P163" s="5">
        <f>C$55*(1-J$14)*(1-'Assumptions and Catalog'!$C$23)^R163</f>
        <v>0</v>
      </c>
      <c r="Q163" s="5">
        <f>IF(ISNUMBER(Inputs!$L$5),(IF(Inputs!$L$9="Actual flat rate",((D163+E163)*C163-G163)*Inputs!$L$10,IF(Inputs!$C$9="Residential",IF(((D163+E163)*C163-G163)&lt;='Assumptions and Catalog'!$C$50,((D163+E163)*C163-G163)*'Assumptions and Catalog'!$H$50+'Assumptions and Catalog'!$E$50+'Assumptions and Catalog'!$F$50,IF(((D163+E163)*C163-G163)&lt;='Assumptions and Catalog'!$C$51,((D163+E163)*C163-G163)*'Assumptions and Catalog'!$H$51+'Assumptions and Catalog'!$E$51+'Assumptions and Catalog'!$F$51,IF(((D163+E163)*C163-G163)&lt;='Assumptions and Catalog'!$C$52,((D163+E163)*C163-G163)*'Assumptions and Catalog'!$H$52+'Assumptions and Catalog'!$E$52+'Assumptions and Catalog'!$F$52,IF(((D163+E163)*C163-G163)&lt;='Assumptions and Catalog'!$C$53,((D163+E163)*C163-G163)*'Assumptions and Catalog'!$H$53+'Assumptions and Catalog'!$E$53+'Assumptions and Catalog'!$F$53,IF(((D163+E163)*C163-G163)&lt;='Assumptions and Catalog'!$C$54,((D163+E163)*C163-G163)*'Assumptions and Catalog'!$H$54+'Assumptions and Catalog'!$E$54+'Assumptions and Catalog'!$F$54,IF(((D163+E163)*C163-G163)&lt;='Assumptions and Catalog'!$C$55,((D163+E163)*C163-G163)*'Assumptions and Catalog'!$H$55+'Assumptions and Catalog'!$E$55+'Assumptions and Catalog'!$F$55,IF(((D163+E163)*C163-G163)&lt;='Assumptions and Catalog'!$C$56,((D163+E163)*C163-G163)*'Assumptions and Catalog'!$H$56+'Assumptions and Catalog'!$E$56+'Assumptions and Catalog'!$F$56,IF(((D163+E163)*C163-G163)&lt;='Assumptions and Catalog'!$C$57,((D163+E163)*C163-G163)*'Assumptions and Catalog'!$H$57+'Assumptions and Catalog'!$E$57+'Assumptions and Catalog'!$F$57,"Out of range")))))))),IF(((D163+E163)*C163-G163)&lt;='Assumptions and Catalog'!$C$60,((D163+E163)*C163-G163)*'Assumptions and Catalog'!$H$60+'Assumptions and Catalog'!$E$60+'Assumptions and Catalog'!$F$60,IF(((D163+E163)*C163-G163)&lt;='Assumptions and Catalog'!$C$61,((D163+E163)*C163-G163)*'Assumptions and Catalog'!$H$61+'Assumptions and Catalog'!$E$61+'Assumptions and Catalog'!$F$61,IF(((D163+E163)*C163-G163)&lt;='Assumptions and Catalog'!$C$62,((D163+E163)*C163-G163)*'Assumptions and Catalog'!$H$62+'Assumptions and Catalog'!$E$62+'Assumptions and Catalog'!$F$62,IF(((D163+E163)*C163-G163)&lt;='Assumptions and Catalog'!$C$63,((D163+E163)*C163-G163)*'Assumptions and Catalog'!$H$63+'Assumptions and Catalog'!$E$63+'Assumptions and Catalog'!$F$63,IF(((D163+E163)*C163-G163)&lt;='Assumptions and Catalog'!$C$64,((D163+E163)*C163-G163)*'Assumptions and Catalog'!$H$64+'Assumptions and Catalog'!$E$64+'Assumptions and Catalog'!$F$64,IF(((D163+E163)*C163-G163)&lt;='Assumptions and Catalog'!$C$65,((D163+E163)*C163-G163)*'Assumptions and Catalog'!$H$65+'Assumptions and Catalog'!$E$65+'Assumptions and Catalog'!$F$65,"Out of range")))))))))*(1+'Assumptions and Catalog'!$C$8)^(A163-1),0)</f>
        <v>5017.8536827757125</v>
      </c>
      <c r="R163" s="5">
        <f>IF(AND('Assumptions and Catalog'!$C$19&gt;0,A163&gt;='Assumptions and Catalog'!$C$19),A163-'Assumptions and Catalog'!$C$19,A163-1)</f>
        <v>0</v>
      </c>
      <c r="S163" s="5">
        <f t="shared" si="13"/>
        <v>0</v>
      </c>
      <c r="T163" s="5"/>
      <c r="U163" s="5"/>
    </row>
    <row r="164" spans="1:21" ht="23.1" customHeight="1" outlineLevel="1" x14ac:dyDescent="0.2">
      <c r="A164" s="5">
        <v>1</v>
      </c>
      <c r="B164" s="5">
        <v>4</v>
      </c>
      <c r="C164" s="5">
        <f>DAY(DATE('Assumptions and Catalog'!$C$24+A164-1,B164+1,0))</f>
        <v>30</v>
      </c>
      <c r="D164" s="5">
        <f>IF(ISNUMBER(Inputs!$L$5),Inputs!$L$5*Inputs!$L$6,0)</f>
        <v>40.35</v>
      </c>
      <c r="E164" s="5">
        <f>IF(ISNUMBER(Inputs!$L$5),Inputs!$L$5-D164,0)</f>
        <v>40.35</v>
      </c>
      <c r="F164" s="5">
        <f>C$51*'Assumptions and Catalog'!$C$31*C164*(1-'Assumptions and Catalog'!$C$10)^(A164-1)</f>
        <v>1000.9800000000002</v>
      </c>
      <c r="G164" s="5">
        <f t="shared" si="8"/>
        <v>1000.9800000000002</v>
      </c>
      <c r="H164" s="5">
        <f>I164/('Assumptions and Catalog'!$C$11*'Assumptions and Catalog'!$C$12)</f>
        <v>0</v>
      </c>
      <c r="I164" s="5">
        <f>0</f>
        <v>0</v>
      </c>
      <c r="J164" s="5">
        <f t="shared" si="9"/>
        <v>0</v>
      </c>
      <c r="K164" s="5">
        <f t="shared" si="10"/>
        <v>0</v>
      </c>
      <c r="L164" s="5">
        <f t="shared" si="11"/>
        <v>1420.0199999999998</v>
      </c>
      <c r="M164" s="5">
        <f>IF(ISNUMBER(Inputs!$L$5),(IF(Inputs!$L$9="Actual flat rate",((D164+E164)*C164)*Inputs!$L$10,IF(Inputs!$C$9="Residential",IF(((D164+E164)*C164)&lt;='Assumptions and Catalog'!$C$50,((D164+E164)*C164)*'Assumptions and Catalog'!$H$50+'Assumptions and Catalog'!$E$50+'Assumptions and Catalog'!$F$50,IF(((D164+E164)*C164)&lt;='Assumptions and Catalog'!$C$51,((D164+E164)*C164)*'Assumptions and Catalog'!$H$51+'Assumptions and Catalog'!$E$51+'Assumptions and Catalog'!$F$51,IF(((D164+E164)*C164)&lt;='Assumptions and Catalog'!$C$52,((D164+E164)*C164)*'Assumptions and Catalog'!$H$52+'Assumptions and Catalog'!$E$52+'Assumptions and Catalog'!$F$52,IF(((D164+E164)*C164)&lt;='Assumptions and Catalog'!$C$53,((D164+E164)*C164)*'Assumptions and Catalog'!$H$53+'Assumptions and Catalog'!$E$53+'Assumptions and Catalog'!$F$53,IF(((D164+E164)*C164)&lt;='Assumptions and Catalog'!$C$54,((D164+E164)*C164)*'Assumptions and Catalog'!$H$54+'Assumptions and Catalog'!$E$54+'Assumptions and Catalog'!$F$54,IF(((D164+E164)*C164)&lt;='Assumptions and Catalog'!$C$55,((D164+E164)*C164)*'Assumptions and Catalog'!$H$55+'Assumptions and Catalog'!$E$55+'Assumptions and Catalog'!$F$55,IF(((D164+E164)*C164)&lt;='Assumptions and Catalog'!$C$56,((D164+E164)*C164)*'Assumptions and Catalog'!$H$56+'Assumptions and Catalog'!$E$56+'Assumptions and Catalog'!$F$56,IF(((D164+E164)*C164)&lt;='Assumptions and Catalog'!$C$57,((D164+E164)*C164)*'Assumptions and Catalog'!$H$57+'Assumptions and Catalog'!$E$57+'Assumptions and Catalog'!$F$57,"Out of range")))))))),IF(((D164+E164)*C164)&lt;='Assumptions and Catalog'!$C$60,((D164+E164)*C164)*'Assumptions and Catalog'!$H$60+'Assumptions and Catalog'!$E$60+'Assumptions and Catalog'!$F$60,IF(((D164+E164)*C164)&lt;='Assumptions and Catalog'!$C$61,((D164+E164)*C164)*'Assumptions and Catalog'!$H$61+'Assumptions and Catalog'!$E$61+'Assumptions and Catalog'!$F$61,IF(((D164+E164)*C164)&lt;='Assumptions and Catalog'!$C$62,((D164+E164)*C164)*'Assumptions and Catalog'!$H$62+'Assumptions and Catalog'!$E$62+'Assumptions and Catalog'!$F$62,IF(((D164+E164)*C164)&lt;='Assumptions and Catalog'!$C$63,((D164+E164)*C164)*'Assumptions and Catalog'!$H$63+'Assumptions and Catalog'!$E$63+'Assumptions and Catalog'!$F$63,IF(((D164+E164)*C164)&lt;='Assumptions and Catalog'!$C$64,((D164+E164)*C164)*'Assumptions and Catalog'!$H$64+'Assumptions and Catalog'!$E$64+'Assumptions and Catalog'!$F$64,IF(((D164+E164)*C164)&lt;='Assumptions and Catalog'!$C$65,((D164+E164)*C164)*'Assumptions and Catalog'!$H$65+'Assumptions and Catalog'!$E$65+'Assumptions and Catalog'!$F$65,"Out of range")))))))))*(1+'Assumptions and Catalog'!$C$8)^(A164-1),0)</f>
        <v>8279</v>
      </c>
      <c r="N164" s="5">
        <f>IF(ISNUMBER(Inputs!$L$5),(IF(Inputs!$L$9="Actual flat rate",L164*Inputs!$L$10,IF(Inputs!$C$9="Residential",IF(L164&lt;='Assumptions and Catalog'!$C$50,L164*'Assumptions and Catalog'!$H$50+'Assumptions and Catalog'!$E$50+'Assumptions and Catalog'!$F$50,IF(L164&lt;='Assumptions and Catalog'!$C$51,L164*'Assumptions and Catalog'!$H$51+'Assumptions and Catalog'!$E$51+'Assumptions and Catalog'!$F$51,IF(L164&lt;='Assumptions and Catalog'!$C$52,L164*'Assumptions and Catalog'!$H$52+'Assumptions and Catalog'!$E$52+'Assumptions and Catalog'!$F$52,IF(L164&lt;='Assumptions and Catalog'!$C$53,L164*'Assumptions and Catalog'!$H$53+'Assumptions and Catalog'!$E$53+'Assumptions and Catalog'!$F$53,IF(L164&lt;='Assumptions and Catalog'!$C$54,L164*'Assumptions and Catalog'!$H$54+'Assumptions and Catalog'!$E$54+'Assumptions and Catalog'!$F$54,IF(L164&lt;='Assumptions and Catalog'!$C$55,L164*'Assumptions and Catalog'!$H$55+'Assumptions and Catalog'!$E$55+'Assumptions and Catalog'!$F$55,IF(L164&lt;='Assumptions and Catalog'!$C$56,L164*'Assumptions and Catalog'!$H$56+'Assumptions and Catalog'!$E$56+'Assumptions and Catalog'!$F$56,IF(L164&lt;='Assumptions and Catalog'!$C$57,L164*'Assumptions and Catalog'!$H$57+'Assumptions and Catalog'!$E$57+'Assumptions and Catalog'!$F$57,"Out of range")))))))),IF(L164&lt;='Assumptions and Catalog'!$C$60,L164*'Assumptions and Catalog'!$H$60+'Assumptions and Catalog'!$E$60+'Assumptions and Catalog'!$F$60,IF(L164&lt;='Assumptions and Catalog'!$C$61,L164*'Assumptions and Catalog'!$H$61+'Assumptions and Catalog'!$E$61+'Assumptions and Catalog'!$F$61,IF(L164&lt;='Assumptions and Catalog'!$C$62,L164*'Assumptions and Catalog'!$H$62+'Assumptions and Catalog'!$E$62+'Assumptions and Catalog'!$F$62,IF(L164&lt;='Assumptions and Catalog'!$C$63,L164*'Assumptions and Catalog'!$H$63+'Assumptions and Catalog'!$E$63+'Assumptions and Catalog'!$F$63,IF(L164&lt;='Assumptions and Catalog'!$C$64,L164*'Assumptions and Catalog'!$H$64+'Assumptions and Catalog'!$E$64+'Assumptions and Catalog'!$F$64,IF(L164&lt;='Assumptions and Catalog'!$C$65,L164*'Assumptions and Catalog'!$H$65+'Assumptions and Catalog'!$E$65+'Assumptions and Catalog'!$F$65,"Out of range")))))))))*(1+'Assumptions and Catalog'!$C$8)^(A164-1),0)</f>
        <v>4855.9874349442371</v>
      </c>
      <c r="O164" s="5">
        <f t="shared" si="12"/>
        <v>3423.0125650557629</v>
      </c>
      <c r="P164" s="5">
        <f>C$55*(1-J$14)*(1-'Assumptions and Catalog'!$C$23)^R164</f>
        <v>0</v>
      </c>
      <c r="Q164" s="5">
        <f>IF(ISNUMBER(Inputs!$L$5),(IF(Inputs!$L$9="Actual flat rate",((D164+E164)*C164-G164)*Inputs!$L$10,IF(Inputs!$C$9="Residential",IF(((D164+E164)*C164-G164)&lt;='Assumptions and Catalog'!$C$50,((D164+E164)*C164-G164)*'Assumptions and Catalog'!$H$50+'Assumptions and Catalog'!$E$50+'Assumptions and Catalog'!$F$50,IF(((D164+E164)*C164-G164)&lt;='Assumptions and Catalog'!$C$51,((D164+E164)*C164-G164)*'Assumptions and Catalog'!$H$51+'Assumptions and Catalog'!$E$51+'Assumptions and Catalog'!$F$51,IF(((D164+E164)*C164-G164)&lt;='Assumptions and Catalog'!$C$52,((D164+E164)*C164-G164)*'Assumptions and Catalog'!$H$52+'Assumptions and Catalog'!$E$52+'Assumptions and Catalog'!$F$52,IF(((D164+E164)*C164-G164)&lt;='Assumptions and Catalog'!$C$53,((D164+E164)*C164-G164)*'Assumptions and Catalog'!$H$53+'Assumptions and Catalog'!$E$53+'Assumptions and Catalog'!$F$53,IF(((D164+E164)*C164-G164)&lt;='Assumptions and Catalog'!$C$54,((D164+E164)*C164-G164)*'Assumptions and Catalog'!$H$54+'Assumptions and Catalog'!$E$54+'Assumptions and Catalog'!$F$54,IF(((D164+E164)*C164-G164)&lt;='Assumptions and Catalog'!$C$55,((D164+E164)*C164-G164)*'Assumptions and Catalog'!$H$55+'Assumptions and Catalog'!$E$55+'Assumptions and Catalog'!$F$55,IF(((D164+E164)*C164-G164)&lt;='Assumptions and Catalog'!$C$56,((D164+E164)*C164-G164)*'Assumptions and Catalog'!$H$56+'Assumptions and Catalog'!$E$56+'Assumptions and Catalog'!$F$56,IF(((D164+E164)*C164-G164)&lt;='Assumptions and Catalog'!$C$57,((D164+E164)*C164-G164)*'Assumptions and Catalog'!$H$57+'Assumptions and Catalog'!$E$57+'Assumptions and Catalog'!$F$57,"Out of range")))))))),IF(((D164+E164)*C164-G164)&lt;='Assumptions and Catalog'!$C$60,((D164+E164)*C164-G164)*'Assumptions and Catalog'!$H$60+'Assumptions and Catalog'!$E$60+'Assumptions and Catalog'!$F$60,IF(((D164+E164)*C164-G164)&lt;='Assumptions and Catalog'!$C$61,((D164+E164)*C164-G164)*'Assumptions and Catalog'!$H$61+'Assumptions and Catalog'!$E$61+'Assumptions and Catalog'!$F$61,IF(((D164+E164)*C164-G164)&lt;='Assumptions and Catalog'!$C$62,((D164+E164)*C164-G164)*'Assumptions and Catalog'!$H$62+'Assumptions and Catalog'!$E$62+'Assumptions and Catalog'!$F$62,IF(((D164+E164)*C164-G164)&lt;='Assumptions and Catalog'!$C$63,((D164+E164)*C164-G164)*'Assumptions and Catalog'!$H$63+'Assumptions and Catalog'!$E$63+'Assumptions and Catalog'!$F$63,IF(((D164+E164)*C164-G164)&lt;='Assumptions and Catalog'!$C$64,((D164+E164)*C164-G164)*'Assumptions and Catalog'!$H$64+'Assumptions and Catalog'!$E$64+'Assumptions and Catalog'!$F$64,IF(((D164+E164)*C164-G164)&lt;='Assumptions and Catalog'!$C$65,((D164+E164)*C164-G164)*'Assumptions and Catalog'!$H$65+'Assumptions and Catalog'!$E$65+'Assumptions and Catalog'!$F$65,"Out of range")))))))))*(1+'Assumptions and Catalog'!$C$8)^(A164-1),0)</f>
        <v>4855.9874349442371</v>
      </c>
      <c r="R164" s="5">
        <f>IF(AND('Assumptions and Catalog'!$C$19&gt;0,A164&gt;='Assumptions and Catalog'!$C$19),A164-'Assumptions and Catalog'!$C$19,A164-1)</f>
        <v>0</v>
      </c>
      <c r="S164" s="5">
        <f t="shared" si="13"/>
        <v>0</v>
      </c>
      <c r="T164" s="5"/>
      <c r="U164" s="5"/>
    </row>
    <row r="165" spans="1:21" ht="23.1" customHeight="1" outlineLevel="1" x14ac:dyDescent="0.2">
      <c r="A165" s="5">
        <v>1</v>
      </c>
      <c r="B165" s="5">
        <v>5</v>
      </c>
      <c r="C165" s="5">
        <f>DAY(DATE('Assumptions and Catalog'!$C$24+A165-1,B165+1,0))</f>
        <v>31</v>
      </c>
      <c r="D165" s="5">
        <f>IF(ISNUMBER(Inputs!$L$5),Inputs!$L$5*Inputs!$L$6,0)</f>
        <v>40.35</v>
      </c>
      <c r="E165" s="5">
        <f>IF(ISNUMBER(Inputs!$L$5),Inputs!$L$5-D165,0)</f>
        <v>40.35</v>
      </c>
      <c r="F165" s="5">
        <f>C$51*'Assumptions and Catalog'!$C$31*C165*(1-'Assumptions and Catalog'!$C$10)^(A165-1)</f>
        <v>1034.3460000000002</v>
      </c>
      <c r="G165" s="5">
        <f t="shared" si="8"/>
        <v>1034.3460000000002</v>
      </c>
      <c r="H165" s="5">
        <f>I165/('Assumptions and Catalog'!$C$11*'Assumptions and Catalog'!$C$12)</f>
        <v>0</v>
      </c>
      <c r="I165" s="5">
        <f>0</f>
        <v>0</v>
      </c>
      <c r="J165" s="5">
        <f t="shared" si="9"/>
        <v>0</v>
      </c>
      <c r="K165" s="5">
        <f t="shared" si="10"/>
        <v>0</v>
      </c>
      <c r="L165" s="5">
        <f t="shared" si="11"/>
        <v>1467.354</v>
      </c>
      <c r="M165" s="5">
        <f>IF(ISNUMBER(Inputs!$L$5),(IF(Inputs!$L$9="Actual flat rate",((D165+E165)*C165)*Inputs!$L$10,IF(Inputs!$C$9="Residential",IF(((D165+E165)*C165)&lt;='Assumptions and Catalog'!$C$50,((D165+E165)*C165)*'Assumptions and Catalog'!$H$50+'Assumptions and Catalog'!$E$50+'Assumptions and Catalog'!$F$50,IF(((D165+E165)*C165)&lt;='Assumptions and Catalog'!$C$51,((D165+E165)*C165)*'Assumptions and Catalog'!$H$51+'Assumptions and Catalog'!$E$51+'Assumptions and Catalog'!$F$51,IF(((D165+E165)*C165)&lt;='Assumptions and Catalog'!$C$52,((D165+E165)*C165)*'Assumptions and Catalog'!$H$52+'Assumptions and Catalog'!$E$52+'Assumptions and Catalog'!$F$52,IF(((D165+E165)*C165)&lt;='Assumptions and Catalog'!$C$53,((D165+E165)*C165)*'Assumptions and Catalog'!$H$53+'Assumptions and Catalog'!$E$53+'Assumptions and Catalog'!$F$53,IF(((D165+E165)*C165)&lt;='Assumptions and Catalog'!$C$54,((D165+E165)*C165)*'Assumptions and Catalog'!$H$54+'Assumptions and Catalog'!$E$54+'Assumptions and Catalog'!$F$54,IF(((D165+E165)*C165)&lt;='Assumptions and Catalog'!$C$55,((D165+E165)*C165)*'Assumptions and Catalog'!$H$55+'Assumptions and Catalog'!$E$55+'Assumptions and Catalog'!$F$55,IF(((D165+E165)*C165)&lt;='Assumptions and Catalog'!$C$56,((D165+E165)*C165)*'Assumptions and Catalog'!$H$56+'Assumptions and Catalog'!$E$56+'Assumptions and Catalog'!$F$56,IF(((D165+E165)*C165)&lt;='Assumptions and Catalog'!$C$57,((D165+E165)*C165)*'Assumptions and Catalog'!$H$57+'Assumptions and Catalog'!$E$57+'Assumptions and Catalog'!$F$57,"Out of range")))))))),IF(((D165+E165)*C165)&lt;='Assumptions and Catalog'!$C$60,((D165+E165)*C165)*'Assumptions and Catalog'!$H$60+'Assumptions and Catalog'!$E$60+'Assumptions and Catalog'!$F$60,IF(((D165+E165)*C165)&lt;='Assumptions and Catalog'!$C$61,((D165+E165)*C165)*'Assumptions and Catalog'!$H$61+'Assumptions and Catalog'!$E$61+'Assumptions and Catalog'!$F$61,IF(((D165+E165)*C165)&lt;='Assumptions and Catalog'!$C$62,((D165+E165)*C165)*'Assumptions and Catalog'!$H$62+'Assumptions and Catalog'!$E$62+'Assumptions and Catalog'!$F$62,IF(((D165+E165)*C165)&lt;='Assumptions and Catalog'!$C$63,((D165+E165)*C165)*'Assumptions and Catalog'!$H$63+'Assumptions and Catalog'!$E$63+'Assumptions and Catalog'!$F$63,IF(((D165+E165)*C165)&lt;='Assumptions and Catalog'!$C$64,((D165+E165)*C165)*'Assumptions and Catalog'!$H$64+'Assumptions and Catalog'!$E$64+'Assumptions and Catalog'!$F$64,IF(((D165+E165)*C165)&lt;='Assumptions and Catalog'!$C$65,((D165+E165)*C165)*'Assumptions and Catalog'!$H$65+'Assumptions and Catalog'!$E$65+'Assumptions and Catalog'!$F$65,"Out of range")))))))))*(1+'Assumptions and Catalog'!$C$8)^(A165-1),0)</f>
        <v>8554.9666666666672</v>
      </c>
      <c r="N165" s="5">
        <f>IF(ISNUMBER(Inputs!$L$5),(IF(Inputs!$L$9="Actual flat rate",L165*Inputs!$L$10,IF(Inputs!$C$9="Residential",IF(L165&lt;='Assumptions and Catalog'!$C$50,L165*'Assumptions and Catalog'!$H$50+'Assumptions and Catalog'!$E$50+'Assumptions and Catalog'!$F$50,IF(L165&lt;='Assumptions and Catalog'!$C$51,L165*'Assumptions and Catalog'!$H$51+'Assumptions and Catalog'!$E$51+'Assumptions and Catalog'!$F$51,IF(L165&lt;='Assumptions and Catalog'!$C$52,L165*'Assumptions and Catalog'!$H$52+'Assumptions and Catalog'!$E$52+'Assumptions and Catalog'!$F$52,IF(L165&lt;='Assumptions and Catalog'!$C$53,L165*'Assumptions and Catalog'!$H$53+'Assumptions and Catalog'!$E$53+'Assumptions and Catalog'!$F$53,IF(L165&lt;='Assumptions and Catalog'!$C$54,L165*'Assumptions and Catalog'!$H$54+'Assumptions and Catalog'!$E$54+'Assumptions and Catalog'!$F$54,IF(L165&lt;='Assumptions and Catalog'!$C$55,L165*'Assumptions and Catalog'!$H$55+'Assumptions and Catalog'!$E$55+'Assumptions and Catalog'!$F$55,IF(L165&lt;='Assumptions and Catalog'!$C$56,L165*'Assumptions and Catalog'!$H$56+'Assumptions and Catalog'!$E$56+'Assumptions and Catalog'!$F$56,IF(L165&lt;='Assumptions and Catalog'!$C$57,L165*'Assumptions and Catalog'!$H$57+'Assumptions and Catalog'!$E$57+'Assumptions and Catalog'!$F$57,"Out of range")))))))),IF(L165&lt;='Assumptions and Catalog'!$C$60,L165*'Assumptions and Catalog'!$H$60+'Assumptions and Catalog'!$E$60+'Assumptions and Catalog'!$F$60,IF(L165&lt;='Assumptions and Catalog'!$C$61,L165*'Assumptions and Catalog'!$H$61+'Assumptions and Catalog'!$E$61+'Assumptions and Catalog'!$F$61,IF(L165&lt;='Assumptions and Catalog'!$C$62,L165*'Assumptions and Catalog'!$H$62+'Assumptions and Catalog'!$E$62+'Assumptions and Catalog'!$F$62,IF(L165&lt;='Assumptions and Catalog'!$C$63,L165*'Assumptions and Catalog'!$H$63+'Assumptions and Catalog'!$E$63+'Assumptions and Catalog'!$F$63,IF(L165&lt;='Assumptions and Catalog'!$C$64,L165*'Assumptions and Catalog'!$H$64+'Assumptions and Catalog'!$E$64+'Assumptions and Catalog'!$F$64,IF(L165&lt;='Assumptions and Catalog'!$C$65,L165*'Assumptions and Catalog'!$H$65+'Assumptions and Catalog'!$E$65+'Assumptions and Catalog'!$F$65,"Out of range")))))))))*(1+'Assumptions and Catalog'!$C$8)^(A165-1),0)</f>
        <v>5017.8536827757125</v>
      </c>
      <c r="O165" s="5">
        <f t="shared" si="12"/>
        <v>3537.1129838909546</v>
      </c>
      <c r="P165" s="5">
        <f>C$55*(1-J$14)*(1-'Assumptions and Catalog'!$C$23)^R165</f>
        <v>0</v>
      </c>
      <c r="Q165" s="5">
        <f>IF(ISNUMBER(Inputs!$L$5),(IF(Inputs!$L$9="Actual flat rate",((D165+E165)*C165-G165)*Inputs!$L$10,IF(Inputs!$C$9="Residential",IF(((D165+E165)*C165-G165)&lt;='Assumptions and Catalog'!$C$50,((D165+E165)*C165-G165)*'Assumptions and Catalog'!$H$50+'Assumptions and Catalog'!$E$50+'Assumptions and Catalog'!$F$50,IF(((D165+E165)*C165-G165)&lt;='Assumptions and Catalog'!$C$51,((D165+E165)*C165-G165)*'Assumptions and Catalog'!$H$51+'Assumptions and Catalog'!$E$51+'Assumptions and Catalog'!$F$51,IF(((D165+E165)*C165-G165)&lt;='Assumptions and Catalog'!$C$52,((D165+E165)*C165-G165)*'Assumptions and Catalog'!$H$52+'Assumptions and Catalog'!$E$52+'Assumptions and Catalog'!$F$52,IF(((D165+E165)*C165-G165)&lt;='Assumptions and Catalog'!$C$53,((D165+E165)*C165-G165)*'Assumptions and Catalog'!$H$53+'Assumptions and Catalog'!$E$53+'Assumptions and Catalog'!$F$53,IF(((D165+E165)*C165-G165)&lt;='Assumptions and Catalog'!$C$54,((D165+E165)*C165-G165)*'Assumptions and Catalog'!$H$54+'Assumptions and Catalog'!$E$54+'Assumptions and Catalog'!$F$54,IF(((D165+E165)*C165-G165)&lt;='Assumptions and Catalog'!$C$55,((D165+E165)*C165-G165)*'Assumptions and Catalog'!$H$55+'Assumptions and Catalog'!$E$55+'Assumptions and Catalog'!$F$55,IF(((D165+E165)*C165-G165)&lt;='Assumptions and Catalog'!$C$56,((D165+E165)*C165-G165)*'Assumptions and Catalog'!$H$56+'Assumptions and Catalog'!$E$56+'Assumptions and Catalog'!$F$56,IF(((D165+E165)*C165-G165)&lt;='Assumptions and Catalog'!$C$57,((D165+E165)*C165-G165)*'Assumptions and Catalog'!$H$57+'Assumptions and Catalog'!$E$57+'Assumptions and Catalog'!$F$57,"Out of range")))))))),IF(((D165+E165)*C165-G165)&lt;='Assumptions and Catalog'!$C$60,((D165+E165)*C165-G165)*'Assumptions and Catalog'!$H$60+'Assumptions and Catalog'!$E$60+'Assumptions and Catalog'!$F$60,IF(((D165+E165)*C165-G165)&lt;='Assumptions and Catalog'!$C$61,((D165+E165)*C165-G165)*'Assumptions and Catalog'!$H$61+'Assumptions and Catalog'!$E$61+'Assumptions and Catalog'!$F$61,IF(((D165+E165)*C165-G165)&lt;='Assumptions and Catalog'!$C$62,((D165+E165)*C165-G165)*'Assumptions and Catalog'!$H$62+'Assumptions and Catalog'!$E$62+'Assumptions and Catalog'!$F$62,IF(((D165+E165)*C165-G165)&lt;='Assumptions and Catalog'!$C$63,((D165+E165)*C165-G165)*'Assumptions and Catalog'!$H$63+'Assumptions and Catalog'!$E$63+'Assumptions and Catalog'!$F$63,IF(((D165+E165)*C165-G165)&lt;='Assumptions and Catalog'!$C$64,((D165+E165)*C165-G165)*'Assumptions and Catalog'!$H$64+'Assumptions and Catalog'!$E$64+'Assumptions and Catalog'!$F$64,IF(((D165+E165)*C165-G165)&lt;='Assumptions and Catalog'!$C$65,((D165+E165)*C165-G165)*'Assumptions and Catalog'!$H$65+'Assumptions and Catalog'!$E$65+'Assumptions and Catalog'!$F$65,"Out of range")))))))))*(1+'Assumptions and Catalog'!$C$8)^(A165-1),0)</f>
        <v>5017.8536827757125</v>
      </c>
      <c r="R165" s="5">
        <f>IF(AND('Assumptions and Catalog'!$C$19&gt;0,A165&gt;='Assumptions and Catalog'!$C$19),A165-'Assumptions and Catalog'!$C$19,A165-1)</f>
        <v>0</v>
      </c>
      <c r="S165" s="5">
        <f t="shared" si="13"/>
        <v>0</v>
      </c>
      <c r="T165" s="5"/>
      <c r="U165" s="5"/>
    </row>
    <row r="166" spans="1:21" ht="23.1" customHeight="1" outlineLevel="1" x14ac:dyDescent="0.2">
      <c r="A166" s="5">
        <v>1</v>
      </c>
      <c r="B166" s="5">
        <v>6</v>
      </c>
      <c r="C166" s="5">
        <f>DAY(DATE('Assumptions and Catalog'!$C$24+A166-1,B166+1,0))</f>
        <v>30</v>
      </c>
      <c r="D166" s="5">
        <f>IF(ISNUMBER(Inputs!$L$5),Inputs!$L$5*Inputs!$L$6,0)</f>
        <v>40.35</v>
      </c>
      <c r="E166" s="5">
        <f>IF(ISNUMBER(Inputs!$L$5),Inputs!$L$5-D166,0)</f>
        <v>40.35</v>
      </c>
      <c r="F166" s="5">
        <f>C$51*'Assumptions and Catalog'!$C$31*C166*(1-'Assumptions and Catalog'!$C$10)^(A166-1)</f>
        <v>1000.9800000000002</v>
      </c>
      <c r="G166" s="5">
        <f t="shared" si="8"/>
        <v>1000.9800000000002</v>
      </c>
      <c r="H166" s="5">
        <f>I166/('Assumptions and Catalog'!$C$11*'Assumptions and Catalog'!$C$12)</f>
        <v>0</v>
      </c>
      <c r="I166" s="5">
        <f>0</f>
        <v>0</v>
      </c>
      <c r="J166" s="5">
        <f t="shared" si="9"/>
        <v>0</v>
      </c>
      <c r="K166" s="5">
        <f t="shared" si="10"/>
        <v>0</v>
      </c>
      <c r="L166" s="5">
        <f t="shared" si="11"/>
        <v>1420.0199999999998</v>
      </c>
      <c r="M166" s="5">
        <f>IF(ISNUMBER(Inputs!$L$5),(IF(Inputs!$L$9="Actual flat rate",((D166+E166)*C166)*Inputs!$L$10,IF(Inputs!$C$9="Residential",IF(((D166+E166)*C166)&lt;='Assumptions and Catalog'!$C$50,((D166+E166)*C166)*'Assumptions and Catalog'!$H$50+'Assumptions and Catalog'!$E$50+'Assumptions and Catalog'!$F$50,IF(((D166+E166)*C166)&lt;='Assumptions and Catalog'!$C$51,((D166+E166)*C166)*'Assumptions and Catalog'!$H$51+'Assumptions and Catalog'!$E$51+'Assumptions and Catalog'!$F$51,IF(((D166+E166)*C166)&lt;='Assumptions and Catalog'!$C$52,((D166+E166)*C166)*'Assumptions and Catalog'!$H$52+'Assumptions and Catalog'!$E$52+'Assumptions and Catalog'!$F$52,IF(((D166+E166)*C166)&lt;='Assumptions and Catalog'!$C$53,((D166+E166)*C166)*'Assumptions and Catalog'!$H$53+'Assumptions and Catalog'!$E$53+'Assumptions and Catalog'!$F$53,IF(((D166+E166)*C166)&lt;='Assumptions and Catalog'!$C$54,((D166+E166)*C166)*'Assumptions and Catalog'!$H$54+'Assumptions and Catalog'!$E$54+'Assumptions and Catalog'!$F$54,IF(((D166+E166)*C166)&lt;='Assumptions and Catalog'!$C$55,((D166+E166)*C166)*'Assumptions and Catalog'!$H$55+'Assumptions and Catalog'!$E$55+'Assumptions and Catalog'!$F$55,IF(((D166+E166)*C166)&lt;='Assumptions and Catalog'!$C$56,((D166+E166)*C166)*'Assumptions and Catalog'!$H$56+'Assumptions and Catalog'!$E$56+'Assumptions and Catalog'!$F$56,IF(((D166+E166)*C166)&lt;='Assumptions and Catalog'!$C$57,((D166+E166)*C166)*'Assumptions and Catalog'!$H$57+'Assumptions and Catalog'!$E$57+'Assumptions and Catalog'!$F$57,"Out of range")))))))),IF(((D166+E166)*C166)&lt;='Assumptions and Catalog'!$C$60,((D166+E166)*C166)*'Assumptions and Catalog'!$H$60+'Assumptions and Catalog'!$E$60+'Assumptions and Catalog'!$F$60,IF(((D166+E166)*C166)&lt;='Assumptions and Catalog'!$C$61,((D166+E166)*C166)*'Assumptions and Catalog'!$H$61+'Assumptions and Catalog'!$E$61+'Assumptions and Catalog'!$F$61,IF(((D166+E166)*C166)&lt;='Assumptions and Catalog'!$C$62,((D166+E166)*C166)*'Assumptions and Catalog'!$H$62+'Assumptions and Catalog'!$E$62+'Assumptions and Catalog'!$F$62,IF(((D166+E166)*C166)&lt;='Assumptions and Catalog'!$C$63,((D166+E166)*C166)*'Assumptions and Catalog'!$H$63+'Assumptions and Catalog'!$E$63+'Assumptions and Catalog'!$F$63,IF(((D166+E166)*C166)&lt;='Assumptions and Catalog'!$C$64,((D166+E166)*C166)*'Assumptions and Catalog'!$H$64+'Assumptions and Catalog'!$E$64+'Assumptions and Catalog'!$F$64,IF(((D166+E166)*C166)&lt;='Assumptions and Catalog'!$C$65,((D166+E166)*C166)*'Assumptions and Catalog'!$H$65+'Assumptions and Catalog'!$E$65+'Assumptions and Catalog'!$F$65,"Out of range")))))))))*(1+'Assumptions and Catalog'!$C$8)^(A166-1),0)</f>
        <v>8279</v>
      </c>
      <c r="N166" s="5">
        <f>IF(ISNUMBER(Inputs!$L$5),(IF(Inputs!$L$9="Actual flat rate",L166*Inputs!$L$10,IF(Inputs!$C$9="Residential",IF(L166&lt;='Assumptions and Catalog'!$C$50,L166*'Assumptions and Catalog'!$H$50+'Assumptions and Catalog'!$E$50+'Assumptions and Catalog'!$F$50,IF(L166&lt;='Assumptions and Catalog'!$C$51,L166*'Assumptions and Catalog'!$H$51+'Assumptions and Catalog'!$E$51+'Assumptions and Catalog'!$F$51,IF(L166&lt;='Assumptions and Catalog'!$C$52,L166*'Assumptions and Catalog'!$H$52+'Assumptions and Catalog'!$E$52+'Assumptions and Catalog'!$F$52,IF(L166&lt;='Assumptions and Catalog'!$C$53,L166*'Assumptions and Catalog'!$H$53+'Assumptions and Catalog'!$E$53+'Assumptions and Catalog'!$F$53,IF(L166&lt;='Assumptions and Catalog'!$C$54,L166*'Assumptions and Catalog'!$H$54+'Assumptions and Catalog'!$E$54+'Assumptions and Catalog'!$F$54,IF(L166&lt;='Assumptions and Catalog'!$C$55,L166*'Assumptions and Catalog'!$H$55+'Assumptions and Catalog'!$E$55+'Assumptions and Catalog'!$F$55,IF(L166&lt;='Assumptions and Catalog'!$C$56,L166*'Assumptions and Catalog'!$H$56+'Assumptions and Catalog'!$E$56+'Assumptions and Catalog'!$F$56,IF(L166&lt;='Assumptions and Catalog'!$C$57,L166*'Assumptions and Catalog'!$H$57+'Assumptions and Catalog'!$E$57+'Assumptions and Catalog'!$F$57,"Out of range")))))))),IF(L166&lt;='Assumptions and Catalog'!$C$60,L166*'Assumptions and Catalog'!$H$60+'Assumptions and Catalog'!$E$60+'Assumptions and Catalog'!$F$60,IF(L166&lt;='Assumptions and Catalog'!$C$61,L166*'Assumptions and Catalog'!$H$61+'Assumptions and Catalog'!$E$61+'Assumptions and Catalog'!$F$61,IF(L166&lt;='Assumptions and Catalog'!$C$62,L166*'Assumptions and Catalog'!$H$62+'Assumptions and Catalog'!$E$62+'Assumptions and Catalog'!$F$62,IF(L166&lt;='Assumptions and Catalog'!$C$63,L166*'Assumptions and Catalog'!$H$63+'Assumptions and Catalog'!$E$63+'Assumptions and Catalog'!$F$63,IF(L166&lt;='Assumptions and Catalog'!$C$64,L166*'Assumptions and Catalog'!$H$64+'Assumptions and Catalog'!$E$64+'Assumptions and Catalog'!$F$64,IF(L166&lt;='Assumptions and Catalog'!$C$65,L166*'Assumptions and Catalog'!$H$65+'Assumptions and Catalog'!$E$65+'Assumptions and Catalog'!$F$65,"Out of range")))))))))*(1+'Assumptions and Catalog'!$C$8)^(A166-1),0)</f>
        <v>4855.9874349442371</v>
      </c>
      <c r="O166" s="5">
        <f t="shared" si="12"/>
        <v>3423.0125650557629</v>
      </c>
      <c r="P166" s="5">
        <f>C$55*(1-J$14)*(1-'Assumptions and Catalog'!$C$23)^R166</f>
        <v>0</v>
      </c>
      <c r="Q166" s="5">
        <f>IF(ISNUMBER(Inputs!$L$5),(IF(Inputs!$L$9="Actual flat rate",((D166+E166)*C166-G166)*Inputs!$L$10,IF(Inputs!$C$9="Residential",IF(((D166+E166)*C166-G166)&lt;='Assumptions and Catalog'!$C$50,((D166+E166)*C166-G166)*'Assumptions and Catalog'!$H$50+'Assumptions and Catalog'!$E$50+'Assumptions and Catalog'!$F$50,IF(((D166+E166)*C166-G166)&lt;='Assumptions and Catalog'!$C$51,((D166+E166)*C166-G166)*'Assumptions and Catalog'!$H$51+'Assumptions and Catalog'!$E$51+'Assumptions and Catalog'!$F$51,IF(((D166+E166)*C166-G166)&lt;='Assumptions and Catalog'!$C$52,((D166+E166)*C166-G166)*'Assumptions and Catalog'!$H$52+'Assumptions and Catalog'!$E$52+'Assumptions and Catalog'!$F$52,IF(((D166+E166)*C166-G166)&lt;='Assumptions and Catalog'!$C$53,((D166+E166)*C166-G166)*'Assumptions and Catalog'!$H$53+'Assumptions and Catalog'!$E$53+'Assumptions and Catalog'!$F$53,IF(((D166+E166)*C166-G166)&lt;='Assumptions and Catalog'!$C$54,((D166+E166)*C166-G166)*'Assumptions and Catalog'!$H$54+'Assumptions and Catalog'!$E$54+'Assumptions and Catalog'!$F$54,IF(((D166+E166)*C166-G166)&lt;='Assumptions and Catalog'!$C$55,((D166+E166)*C166-G166)*'Assumptions and Catalog'!$H$55+'Assumptions and Catalog'!$E$55+'Assumptions and Catalog'!$F$55,IF(((D166+E166)*C166-G166)&lt;='Assumptions and Catalog'!$C$56,((D166+E166)*C166-G166)*'Assumptions and Catalog'!$H$56+'Assumptions and Catalog'!$E$56+'Assumptions and Catalog'!$F$56,IF(((D166+E166)*C166-G166)&lt;='Assumptions and Catalog'!$C$57,((D166+E166)*C166-G166)*'Assumptions and Catalog'!$H$57+'Assumptions and Catalog'!$E$57+'Assumptions and Catalog'!$F$57,"Out of range")))))))),IF(((D166+E166)*C166-G166)&lt;='Assumptions and Catalog'!$C$60,((D166+E166)*C166-G166)*'Assumptions and Catalog'!$H$60+'Assumptions and Catalog'!$E$60+'Assumptions and Catalog'!$F$60,IF(((D166+E166)*C166-G166)&lt;='Assumptions and Catalog'!$C$61,((D166+E166)*C166-G166)*'Assumptions and Catalog'!$H$61+'Assumptions and Catalog'!$E$61+'Assumptions and Catalog'!$F$61,IF(((D166+E166)*C166-G166)&lt;='Assumptions and Catalog'!$C$62,((D166+E166)*C166-G166)*'Assumptions and Catalog'!$H$62+'Assumptions and Catalog'!$E$62+'Assumptions and Catalog'!$F$62,IF(((D166+E166)*C166-G166)&lt;='Assumptions and Catalog'!$C$63,((D166+E166)*C166-G166)*'Assumptions and Catalog'!$H$63+'Assumptions and Catalog'!$E$63+'Assumptions and Catalog'!$F$63,IF(((D166+E166)*C166-G166)&lt;='Assumptions and Catalog'!$C$64,((D166+E166)*C166-G166)*'Assumptions and Catalog'!$H$64+'Assumptions and Catalog'!$E$64+'Assumptions and Catalog'!$F$64,IF(((D166+E166)*C166-G166)&lt;='Assumptions and Catalog'!$C$65,((D166+E166)*C166-G166)*'Assumptions and Catalog'!$H$65+'Assumptions and Catalog'!$E$65+'Assumptions and Catalog'!$F$65,"Out of range")))))))))*(1+'Assumptions and Catalog'!$C$8)^(A166-1),0)</f>
        <v>4855.9874349442371</v>
      </c>
      <c r="R166" s="5">
        <f>IF(AND('Assumptions and Catalog'!$C$19&gt;0,A166&gt;='Assumptions and Catalog'!$C$19),A166-'Assumptions and Catalog'!$C$19,A166-1)</f>
        <v>0</v>
      </c>
      <c r="S166" s="5">
        <f t="shared" si="13"/>
        <v>0</v>
      </c>
      <c r="T166" s="5"/>
      <c r="U166" s="5"/>
    </row>
    <row r="167" spans="1:21" ht="23.1" customHeight="1" outlineLevel="1" x14ac:dyDescent="0.2">
      <c r="A167" s="5">
        <v>1</v>
      </c>
      <c r="B167" s="5">
        <v>7</v>
      </c>
      <c r="C167" s="5">
        <f>DAY(DATE('Assumptions and Catalog'!$C$24+A167-1,B167+1,0))</f>
        <v>31</v>
      </c>
      <c r="D167" s="5">
        <f>IF(ISNUMBER(Inputs!$L$5),Inputs!$L$5*Inputs!$L$6,0)</f>
        <v>40.35</v>
      </c>
      <c r="E167" s="5">
        <f>IF(ISNUMBER(Inputs!$L$5),Inputs!$L$5-D167,0)</f>
        <v>40.35</v>
      </c>
      <c r="F167" s="5">
        <f>C$51*'Assumptions and Catalog'!$C$31*C167*(1-'Assumptions and Catalog'!$C$10)^(A167-1)</f>
        <v>1034.3460000000002</v>
      </c>
      <c r="G167" s="5">
        <f t="shared" si="8"/>
        <v>1034.3460000000002</v>
      </c>
      <c r="H167" s="5">
        <f>I167/('Assumptions and Catalog'!$C$11*'Assumptions and Catalog'!$C$12)</f>
        <v>0</v>
      </c>
      <c r="I167" s="5">
        <f>0</f>
        <v>0</v>
      </c>
      <c r="J167" s="5">
        <f t="shared" si="9"/>
        <v>0</v>
      </c>
      <c r="K167" s="5">
        <f t="shared" si="10"/>
        <v>0</v>
      </c>
      <c r="L167" s="5">
        <f t="shared" si="11"/>
        <v>1467.354</v>
      </c>
      <c r="M167" s="5">
        <f>IF(ISNUMBER(Inputs!$L$5),(IF(Inputs!$L$9="Actual flat rate",((D167+E167)*C167)*Inputs!$L$10,IF(Inputs!$C$9="Residential",IF(((D167+E167)*C167)&lt;='Assumptions and Catalog'!$C$50,((D167+E167)*C167)*'Assumptions and Catalog'!$H$50+'Assumptions and Catalog'!$E$50+'Assumptions and Catalog'!$F$50,IF(((D167+E167)*C167)&lt;='Assumptions and Catalog'!$C$51,((D167+E167)*C167)*'Assumptions and Catalog'!$H$51+'Assumptions and Catalog'!$E$51+'Assumptions and Catalog'!$F$51,IF(((D167+E167)*C167)&lt;='Assumptions and Catalog'!$C$52,((D167+E167)*C167)*'Assumptions and Catalog'!$H$52+'Assumptions and Catalog'!$E$52+'Assumptions and Catalog'!$F$52,IF(((D167+E167)*C167)&lt;='Assumptions and Catalog'!$C$53,((D167+E167)*C167)*'Assumptions and Catalog'!$H$53+'Assumptions and Catalog'!$E$53+'Assumptions and Catalog'!$F$53,IF(((D167+E167)*C167)&lt;='Assumptions and Catalog'!$C$54,((D167+E167)*C167)*'Assumptions and Catalog'!$H$54+'Assumptions and Catalog'!$E$54+'Assumptions and Catalog'!$F$54,IF(((D167+E167)*C167)&lt;='Assumptions and Catalog'!$C$55,((D167+E167)*C167)*'Assumptions and Catalog'!$H$55+'Assumptions and Catalog'!$E$55+'Assumptions and Catalog'!$F$55,IF(((D167+E167)*C167)&lt;='Assumptions and Catalog'!$C$56,((D167+E167)*C167)*'Assumptions and Catalog'!$H$56+'Assumptions and Catalog'!$E$56+'Assumptions and Catalog'!$F$56,IF(((D167+E167)*C167)&lt;='Assumptions and Catalog'!$C$57,((D167+E167)*C167)*'Assumptions and Catalog'!$H$57+'Assumptions and Catalog'!$E$57+'Assumptions and Catalog'!$F$57,"Out of range")))))))),IF(((D167+E167)*C167)&lt;='Assumptions and Catalog'!$C$60,((D167+E167)*C167)*'Assumptions and Catalog'!$H$60+'Assumptions and Catalog'!$E$60+'Assumptions and Catalog'!$F$60,IF(((D167+E167)*C167)&lt;='Assumptions and Catalog'!$C$61,((D167+E167)*C167)*'Assumptions and Catalog'!$H$61+'Assumptions and Catalog'!$E$61+'Assumptions and Catalog'!$F$61,IF(((D167+E167)*C167)&lt;='Assumptions and Catalog'!$C$62,((D167+E167)*C167)*'Assumptions and Catalog'!$H$62+'Assumptions and Catalog'!$E$62+'Assumptions and Catalog'!$F$62,IF(((D167+E167)*C167)&lt;='Assumptions and Catalog'!$C$63,((D167+E167)*C167)*'Assumptions and Catalog'!$H$63+'Assumptions and Catalog'!$E$63+'Assumptions and Catalog'!$F$63,IF(((D167+E167)*C167)&lt;='Assumptions and Catalog'!$C$64,((D167+E167)*C167)*'Assumptions and Catalog'!$H$64+'Assumptions and Catalog'!$E$64+'Assumptions and Catalog'!$F$64,IF(((D167+E167)*C167)&lt;='Assumptions and Catalog'!$C$65,((D167+E167)*C167)*'Assumptions and Catalog'!$H$65+'Assumptions and Catalog'!$E$65+'Assumptions and Catalog'!$F$65,"Out of range")))))))))*(1+'Assumptions and Catalog'!$C$8)^(A167-1),0)</f>
        <v>8554.9666666666672</v>
      </c>
      <c r="N167" s="5">
        <f>IF(ISNUMBER(Inputs!$L$5),(IF(Inputs!$L$9="Actual flat rate",L167*Inputs!$L$10,IF(Inputs!$C$9="Residential",IF(L167&lt;='Assumptions and Catalog'!$C$50,L167*'Assumptions and Catalog'!$H$50+'Assumptions and Catalog'!$E$50+'Assumptions and Catalog'!$F$50,IF(L167&lt;='Assumptions and Catalog'!$C$51,L167*'Assumptions and Catalog'!$H$51+'Assumptions and Catalog'!$E$51+'Assumptions and Catalog'!$F$51,IF(L167&lt;='Assumptions and Catalog'!$C$52,L167*'Assumptions and Catalog'!$H$52+'Assumptions and Catalog'!$E$52+'Assumptions and Catalog'!$F$52,IF(L167&lt;='Assumptions and Catalog'!$C$53,L167*'Assumptions and Catalog'!$H$53+'Assumptions and Catalog'!$E$53+'Assumptions and Catalog'!$F$53,IF(L167&lt;='Assumptions and Catalog'!$C$54,L167*'Assumptions and Catalog'!$H$54+'Assumptions and Catalog'!$E$54+'Assumptions and Catalog'!$F$54,IF(L167&lt;='Assumptions and Catalog'!$C$55,L167*'Assumptions and Catalog'!$H$55+'Assumptions and Catalog'!$E$55+'Assumptions and Catalog'!$F$55,IF(L167&lt;='Assumptions and Catalog'!$C$56,L167*'Assumptions and Catalog'!$H$56+'Assumptions and Catalog'!$E$56+'Assumptions and Catalog'!$F$56,IF(L167&lt;='Assumptions and Catalog'!$C$57,L167*'Assumptions and Catalog'!$H$57+'Assumptions and Catalog'!$E$57+'Assumptions and Catalog'!$F$57,"Out of range")))))))),IF(L167&lt;='Assumptions and Catalog'!$C$60,L167*'Assumptions and Catalog'!$H$60+'Assumptions and Catalog'!$E$60+'Assumptions and Catalog'!$F$60,IF(L167&lt;='Assumptions and Catalog'!$C$61,L167*'Assumptions and Catalog'!$H$61+'Assumptions and Catalog'!$E$61+'Assumptions and Catalog'!$F$61,IF(L167&lt;='Assumptions and Catalog'!$C$62,L167*'Assumptions and Catalog'!$H$62+'Assumptions and Catalog'!$E$62+'Assumptions and Catalog'!$F$62,IF(L167&lt;='Assumptions and Catalog'!$C$63,L167*'Assumptions and Catalog'!$H$63+'Assumptions and Catalog'!$E$63+'Assumptions and Catalog'!$F$63,IF(L167&lt;='Assumptions and Catalog'!$C$64,L167*'Assumptions and Catalog'!$H$64+'Assumptions and Catalog'!$E$64+'Assumptions and Catalog'!$F$64,IF(L167&lt;='Assumptions and Catalog'!$C$65,L167*'Assumptions and Catalog'!$H$65+'Assumptions and Catalog'!$E$65+'Assumptions and Catalog'!$F$65,"Out of range")))))))))*(1+'Assumptions and Catalog'!$C$8)^(A167-1),0)</f>
        <v>5017.8536827757125</v>
      </c>
      <c r="O167" s="5">
        <f t="shared" si="12"/>
        <v>3537.1129838909546</v>
      </c>
      <c r="P167" s="5">
        <f>C$55*(1-J$14)*(1-'Assumptions and Catalog'!$C$23)^R167</f>
        <v>0</v>
      </c>
      <c r="Q167" s="5">
        <f>IF(ISNUMBER(Inputs!$L$5),(IF(Inputs!$L$9="Actual flat rate",((D167+E167)*C167-G167)*Inputs!$L$10,IF(Inputs!$C$9="Residential",IF(((D167+E167)*C167-G167)&lt;='Assumptions and Catalog'!$C$50,((D167+E167)*C167-G167)*'Assumptions and Catalog'!$H$50+'Assumptions and Catalog'!$E$50+'Assumptions and Catalog'!$F$50,IF(((D167+E167)*C167-G167)&lt;='Assumptions and Catalog'!$C$51,((D167+E167)*C167-G167)*'Assumptions and Catalog'!$H$51+'Assumptions and Catalog'!$E$51+'Assumptions and Catalog'!$F$51,IF(((D167+E167)*C167-G167)&lt;='Assumptions and Catalog'!$C$52,((D167+E167)*C167-G167)*'Assumptions and Catalog'!$H$52+'Assumptions and Catalog'!$E$52+'Assumptions and Catalog'!$F$52,IF(((D167+E167)*C167-G167)&lt;='Assumptions and Catalog'!$C$53,((D167+E167)*C167-G167)*'Assumptions and Catalog'!$H$53+'Assumptions and Catalog'!$E$53+'Assumptions and Catalog'!$F$53,IF(((D167+E167)*C167-G167)&lt;='Assumptions and Catalog'!$C$54,((D167+E167)*C167-G167)*'Assumptions and Catalog'!$H$54+'Assumptions and Catalog'!$E$54+'Assumptions and Catalog'!$F$54,IF(((D167+E167)*C167-G167)&lt;='Assumptions and Catalog'!$C$55,((D167+E167)*C167-G167)*'Assumptions and Catalog'!$H$55+'Assumptions and Catalog'!$E$55+'Assumptions and Catalog'!$F$55,IF(((D167+E167)*C167-G167)&lt;='Assumptions and Catalog'!$C$56,((D167+E167)*C167-G167)*'Assumptions and Catalog'!$H$56+'Assumptions and Catalog'!$E$56+'Assumptions and Catalog'!$F$56,IF(((D167+E167)*C167-G167)&lt;='Assumptions and Catalog'!$C$57,((D167+E167)*C167-G167)*'Assumptions and Catalog'!$H$57+'Assumptions and Catalog'!$E$57+'Assumptions and Catalog'!$F$57,"Out of range")))))))),IF(((D167+E167)*C167-G167)&lt;='Assumptions and Catalog'!$C$60,((D167+E167)*C167-G167)*'Assumptions and Catalog'!$H$60+'Assumptions and Catalog'!$E$60+'Assumptions and Catalog'!$F$60,IF(((D167+E167)*C167-G167)&lt;='Assumptions and Catalog'!$C$61,((D167+E167)*C167-G167)*'Assumptions and Catalog'!$H$61+'Assumptions and Catalog'!$E$61+'Assumptions and Catalog'!$F$61,IF(((D167+E167)*C167-G167)&lt;='Assumptions and Catalog'!$C$62,((D167+E167)*C167-G167)*'Assumptions and Catalog'!$H$62+'Assumptions and Catalog'!$E$62+'Assumptions and Catalog'!$F$62,IF(((D167+E167)*C167-G167)&lt;='Assumptions and Catalog'!$C$63,((D167+E167)*C167-G167)*'Assumptions and Catalog'!$H$63+'Assumptions and Catalog'!$E$63+'Assumptions and Catalog'!$F$63,IF(((D167+E167)*C167-G167)&lt;='Assumptions and Catalog'!$C$64,((D167+E167)*C167-G167)*'Assumptions and Catalog'!$H$64+'Assumptions and Catalog'!$E$64+'Assumptions and Catalog'!$F$64,IF(((D167+E167)*C167-G167)&lt;='Assumptions and Catalog'!$C$65,((D167+E167)*C167-G167)*'Assumptions and Catalog'!$H$65+'Assumptions and Catalog'!$E$65+'Assumptions and Catalog'!$F$65,"Out of range")))))))))*(1+'Assumptions and Catalog'!$C$8)^(A167-1),0)</f>
        <v>5017.8536827757125</v>
      </c>
      <c r="R167" s="5">
        <f>IF(AND('Assumptions and Catalog'!$C$19&gt;0,A167&gt;='Assumptions and Catalog'!$C$19),A167-'Assumptions and Catalog'!$C$19,A167-1)</f>
        <v>0</v>
      </c>
      <c r="S167" s="5">
        <f t="shared" si="13"/>
        <v>0</v>
      </c>
      <c r="T167" s="5"/>
      <c r="U167" s="5"/>
    </row>
    <row r="168" spans="1:21" ht="23.1" customHeight="1" outlineLevel="1" x14ac:dyDescent="0.2">
      <c r="A168" s="5">
        <v>1</v>
      </c>
      <c r="B168" s="5">
        <v>8</v>
      </c>
      <c r="C168" s="5">
        <f>DAY(DATE('Assumptions and Catalog'!$C$24+A168-1,B168+1,0))</f>
        <v>31</v>
      </c>
      <c r="D168" s="5">
        <f>IF(ISNUMBER(Inputs!$L$5),Inputs!$L$5*Inputs!$L$6,0)</f>
        <v>40.35</v>
      </c>
      <c r="E168" s="5">
        <f>IF(ISNUMBER(Inputs!$L$5),Inputs!$L$5-D168,0)</f>
        <v>40.35</v>
      </c>
      <c r="F168" s="5">
        <f>C$51*'Assumptions and Catalog'!$C$31*C168*(1-'Assumptions and Catalog'!$C$10)^(A168-1)</f>
        <v>1034.3460000000002</v>
      </c>
      <c r="G168" s="5">
        <f t="shared" si="8"/>
        <v>1034.3460000000002</v>
      </c>
      <c r="H168" s="5">
        <f>I168/('Assumptions and Catalog'!$C$11*'Assumptions and Catalog'!$C$12)</f>
        <v>0</v>
      </c>
      <c r="I168" s="5">
        <f>0</f>
        <v>0</v>
      </c>
      <c r="J168" s="5">
        <f t="shared" si="9"/>
        <v>0</v>
      </c>
      <c r="K168" s="5">
        <f t="shared" si="10"/>
        <v>0</v>
      </c>
      <c r="L168" s="5">
        <f t="shared" si="11"/>
        <v>1467.354</v>
      </c>
      <c r="M168" s="5">
        <f>IF(ISNUMBER(Inputs!$L$5),(IF(Inputs!$L$9="Actual flat rate",((D168+E168)*C168)*Inputs!$L$10,IF(Inputs!$C$9="Residential",IF(((D168+E168)*C168)&lt;='Assumptions and Catalog'!$C$50,((D168+E168)*C168)*'Assumptions and Catalog'!$H$50+'Assumptions and Catalog'!$E$50+'Assumptions and Catalog'!$F$50,IF(((D168+E168)*C168)&lt;='Assumptions and Catalog'!$C$51,((D168+E168)*C168)*'Assumptions and Catalog'!$H$51+'Assumptions and Catalog'!$E$51+'Assumptions and Catalog'!$F$51,IF(((D168+E168)*C168)&lt;='Assumptions and Catalog'!$C$52,((D168+E168)*C168)*'Assumptions and Catalog'!$H$52+'Assumptions and Catalog'!$E$52+'Assumptions and Catalog'!$F$52,IF(((D168+E168)*C168)&lt;='Assumptions and Catalog'!$C$53,((D168+E168)*C168)*'Assumptions and Catalog'!$H$53+'Assumptions and Catalog'!$E$53+'Assumptions and Catalog'!$F$53,IF(((D168+E168)*C168)&lt;='Assumptions and Catalog'!$C$54,((D168+E168)*C168)*'Assumptions and Catalog'!$H$54+'Assumptions and Catalog'!$E$54+'Assumptions and Catalog'!$F$54,IF(((D168+E168)*C168)&lt;='Assumptions and Catalog'!$C$55,((D168+E168)*C168)*'Assumptions and Catalog'!$H$55+'Assumptions and Catalog'!$E$55+'Assumptions and Catalog'!$F$55,IF(((D168+E168)*C168)&lt;='Assumptions and Catalog'!$C$56,((D168+E168)*C168)*'Assumptions and Catalog'!$H$56+'Assumptions and Catalog'!$E$56+'Assumptions and Catalog'!$F$56,IF(((D168+E168)*C168)&lt;='Assumptions and Catalog'!$C$57,((D168+E168)*C168)*'Assumptions and Catalog'!$H$57+'Assumptions and Catalog'!$E$57+'Assumptions and Catalog'!$F$57,"Out of range")))))))),IF(((D168+E168)*C168)&lt;='Assumptions and Catalog'!$C$60,((D168+E168)*C168)*'Assumptions and Catalog'!$H$60+'Assumptions and Catalog'!$E$60+'Assumptions and Catalog'!$F$60,IF(((D168+E168)*C168)&lt;='Assumptions and Catalog'!$C$61,((D168+E168)*C168)*'Assumptions and Catalog'!$H$61+'Assumptions and Catalog'!$E$61+'Assumptions and Catalog'!$F$61,IF(((D168+E168)*C168)&lt;='Assumptions and Catalog'!$C$62,((D168+E168)*C168)*'Assumptions and Catalog'!$H$62+'Assumptions and Catalog'!$E$62+'Assumptions and Catalog'!$F$62,IF(((D168+E168)*C168)&lt;='Assumptions and Catalog'!$C$63,((D168+E168)*C168)*'Assumptions and Catalog'!$H$63+'Assumptions and Catalog'!$E$63+'Assumptions and Catalog'!$F$63,IF(((D168+E168)*C168)&lt;='Assumptions and Catalog'!$C$64,((D168+E168)*C168)*'Assumptions and Catalog'!$H$64+'Assumptions and Catalog'!$E$64+'Assumptions and Catalog'!$F$64,IF(((D168+E168)*C168)&lt;='Assumptions and Catalog'!$C$65,((D168+E168)*C168)*'Assumptions and Catalog'!$H$65+'Assumptions and Catalog'!$E$65+'Assumptions and Catalog'!$F$65,"Out of range")))))))))*(1+'Assumptions and Catalog'!$C$8)^(A168-1),0)</f>
        <v>8554.9666666666672</v>
      </c>
      <c r="N168" s="5">
        <f>IF(ISNUMBER(Inputs!$L$5),(IF(Inputs!$L$9="Actual flat rate",L168*Inputs!$L$10,IF(Inputs!$C$9="Residential",IF(L168&lt;='Assumptions and Catalog'!$C$50,L168*'Assumptions and Catalog'!$H$50+'Assumptions and Catalog'!$E$50+'Assumptions and Catalog'!$F$50,IF(L168&lt;='Assumptions and Catalog'!$C$51,L168*'Assumptions and Catalog'!$H$51+'Assumptions and Catalog'!$E$51+'Assumptions and Catalog'!$F$51,IF(L168&lt;='Assumptions and Catalog'!$C$52,L168*'Assumptions and Catalog'!$H$52+'Assumptions and Catalog'!$E$52+'Assumptions and Catalog'!$F$52,IF(L168&lt;='Assumptions and Catalog'!$C$53,L168*'Assumptions and Catalog'!$H$53+'Assumptions and Catalog'!$E$53+'Assumptions and Catalog'!$F$53,IF(L168&lt;='Assumptions and Catalog'!$C$54,L168*'Assumptions and Catalog'!$H$54+'Assumptions and Catalog'!$E$54+'Assumptions and Catalog'!$F$54,IF(L168&lt;='Assumptions and Catalog'!$C$55,L168*'Assumptions and Catalog'!$H$55+'Assumptions and Catalog'!$E$55+'Assumptions and Catalog'!$F$55,IF(L168&lt;='Assumptions and Catalog'!$C$56,L168*'Assumptions and Catalog'!$H$56+'Assumptions and Catalog'!$E$56+'Assumptions and Catalog'!$F$56,IF(L168&lt;='Assumptions and Catalog'!$C$57,L168*'Assumptions and Catalog'!$H$57+'Assumptions and Catalog'!$E$57+'Assumptions and Catalog'!$F$57,"Out of range")))))))),IF(L168&lt;='Assumptions and Catalog'!$C$60,L168*'Assumptions and Catalog'!$H$60+'Assumptions and Catalog'!$E$60+'Assumptions and Catalog'!$F$60,IF(L168&lt;='Assumptions and Catalog'!$C$61,L168*'Assumptions and Catalog'!$H$61+'Assumptions and Catalog'!$E$61+'Assumptions and Catalog'!$F$61,IF(L168&lt;='Assumptions and Catalog'!$C$62,L168*'Assumptions and Catalog'!$H$62+'Assumptions and Catalog'!$E$62+'Assumptions and Catalog'!$F$62,IF(L168&lt;='Assumptions and Catalog'!$C$63,L168*'Assumptions and Catalog'!$H$63+'Assumptions and Catalog'!$E$63+'Assumptions and Catalog'!$F$63,IF(L168&lt;='Assumptions and Catalog'!$C$64,L168*'Assumptions and Catalog'!$H$64+'Assumptions and Catalog'!$E$64+'Assumptions and Catalog'!$F$64,IF(L168&lt;='Assumptions and Catalog'!$C$65,L168*'Assumptions and Catalog'!$H$65+'Assumptions and Catalog'!$E$65+'Assumptions and Catalog'!$F$65,"Out of range")))))))))*(1+'Assumptions and Catalog'!$C$8)^(A168-1),0)</f>
        <v>5017.8536827757125</v>
      </c>
      <c r="O168" s="5">
        <f t="shared" si="12"/>
        <v>3537.1129838909546</v>
      </c>
      <c r="P168" s="5">
        <f>C$55*(1-J$14)*(1-'Assumptions and Catalog'!$C$23)^R168</f>
        <v>0</v>
      </c>
      <c r="Q168" s="5">
        <f>IF(ISNUMBER(Inputs!$L$5),(IF(Inputs!$L$9="Actual flat rate",((D168+E168)*C168-G168)*Inputs!$L$10,IF(Inputs!$C$9="Residential",IF(((D168+E168)*C168-G168)&lt;='Assumptions and Catalog'!$C$50,((D168+E168)*C168-G168)*'Assumptions and Catalog'!$H$50+'Assumptions and Catalog'!$E$50+'Assumptions and Catalog'!$F$50,IF(((D168+E168)*C168-G168)&lt;='Assumptions and Catalog'!$C$51,((D168+E168)*C168-G168)*'Assumptions and Catalog'!$H$51+'Assumptions and Catalog'!$E$51+'Assumptions and Catalog'!$F$51,IF(((D168+E168)*C168-G168)&lt;='Assumptions and Catalog'!$C$52,((D168+E168)*C168-G168)*'Assumptions and Catalog'!$H$52+'Assumptions and Catalog'!$E$52+'Assumptions and Catalog'!$F$52,IF(((D168+E168)*C168-G168)&lt;='Assumptions and Catalog'!$C$53,((D168+E168)*C168-G168)*'Assumptions and Catalog'!$H$53+'Assumptions and Catalog'!$E$53+'Assumptions and Catalog'!$F$53,IF(((D168+E168)*C168-G168)&lt;='Assumptions and Catalog'!$C$54,((D168+E168)*C168-G168)*'Assumptions and Catalog'!$H$54+'Assumptions and Catalog'!$E$54+'Assumptions and Catalog'!$F$54,IF(((D168+E168)*C168-G168)&lt;='Assumptions and Catalog'!$C$55,((D168+E168)*C168-G168)*'Assumptions and Catalog'!$H$55+'Assumptions and Catalog'!$E$55+'Assumptions and Catalog'!$F$55,IF(((D168+E168)*C168-G168)&lt;='Assumptions and Catalog'!$C$56,((D168+E168)*C168-G168)*'Assumptions and Catalog'!$H$56+'Assumptions and Catalog'!$E$56+'Assumptions and Catalog'!$F$56,IF(((D168+E168)*C168-G168)&lt;='Assumptions and Catalog'!$C$57,((D168+E168)*C168-G168)*'Assumptions and Catalog'!$H$57+'Assumptions and Catalog'!$E$57+'Assumptions and Catalog'!$F$57,"Out of range")))))))),IF(((D168+E168)*C168-G168)&lt;='Assumptions and Catalog'!$C$60,((D168+E168)*C168-G168)*'Assumptions and Catalog'!$H$60+'Assumptions and Catalog'!$E$60+'Assumptions and Catalog'!$F$60,IF(((D168+E168)*C168-G168)&lt;='Assumptions and Catalog'!$C$61,((D168+E168)*C168-G168)*'Assumptions and Catalog'!$H$61+'Assumptions and Catalog'!$E$61+'Assumptions and Catalog'!$F$61,IF(((D168+E168)*C168-G168)&lt;='Assumptions and Catalog'!$C$62,((D168+E168)*C168-G168)*'Assumptions and Catalog'!$H$62+'Assumptions and Catalog'!$E$62+'Assumptions and Catalog'!$F$62,IF(((D168+E168)*C168-G168)&lt;='Assumptions and Catalog'!$C$63,((D168+E168)*C168-G168)*'Assumptions and Catalog'!$H$63+'Assumptions and Catalog'!$E$63+'Assumptions and Catalog'!$F$63,IF(((D168+E168)*C168-G168)&lt;='Assumptions and Catalog'!$C$64,((D168+E168)*C168-G168)*'Assumptions and Catalog'!$H$64+'Assumptions and Catalog'!$E$64+'Assumptions and Catalog'!$F$64,IF(((D168+E168)*C168-G168)&lt;='Assumptions and Catalog'!$C$65,((D168+E168)*C168-G168)*'Assumptions and Catalog'!$H$65+'Assumptions and Catalog'!$E$65+'Assumptions and Catalog'!$F$65,"Out of range")))))))))*(1+'Assumptions and Catalog'!$C$8)^(A168-1),0)</f>
        <v>5017.8536827757125</v>
      </c>
      <c r="R168" s="5">
        <f>IF(AND('Assumptions and Catalog'!$C$19&gt;0,A168&gt;='Assumptions and Catalog'!$C$19),A168-'Assumptions and Catalog'!$C$19,A168-1)</f>
        <v>0</v>
      </c>
      <c r="S168" s="5">
        <f t="shared" si="13"/>
        <v>0</v>
      </c>
      <c r="T168" s="5"/>
      <c r="U168" s="5"/>
    </row>
    <row r="169" spans="1:21" ht="23.1" customHeight="1" outlineLevel="1" x14ac:dyDescent="0.2">
      <c r="A169" s="5">
        <v>1</v>
      </c>
      <c r="B169" s="5">
        <v>9</v>
      </c>
      <c r="C169" s="5">
        <f>DAY(DATE('Assumptions and Catalog'!$C$24+A169-1,B169+1,0))</f>
        <v>30</v>
      </c>
      <c r="D169" s="5">
        <f>IF(ISNUMBER(Inputs!$L$5),Inputs!$L$5*Inputs!$L$6,0)</f>
        <v>40.35</v>
      </c>
      <c r="E169" s="5">
        <f>IF(ISNUMBER(Inputs!$L$5),Inputs!$L$5-D169,0)</f>
        <v>40.35</v>
      </c>
      <c r="F169" s="5">
        <f>C$51*'Assumptions and Catalog'!$C$31*C169*(1-'Assumptions and Catalog'!$C$10)^(A169-1)</f>
        <v>1000.9800000000002</v>
      </c>
      <c r="G169" s="5">
        <f t="shared" si="8"/>
        <v>1000.9800000000002</v>
      </c>
      <c r="H169" s="5">
        <f>I169/('Assumptions and Catalog'!$C$11*'Assumptions and Catalog'!$C$12)</f>
        <v>0</v>
      </c>
      <c r="I169" s="5">
        <f>0</f>
        <v>0</v>
      </c>
      <c r="J169" s="5">
        <f t="shared" si="9"/>
        <v>0</v>
      </c>
      <c r="K169" s="5">
        <f t="shared" si="10"/>
        <v>0</v>
      </c>
      <c r="L169" s="5">
        <f t="shared" si="11"/>
        <v>1420.0199999999998</v>
      </c>
      <c r="M169" s="5">
        <f>IF(ISNUMBER(Inputs!$L$5),(IF(Inputs!$L$9="Actual flat rate",((D169+E169)*C169)*Inputs!$L$10,IF(Inputs!$C$9="Residential",IF(((D169+E169)*C169)&lt;='Assumptions and Catalog'!$C$50,((D169+E169)*C169)*'Assumptions and Catalog'!$H$50+'Assumptions and Catalog'!$E$50+'Assumptions and Catalog'!$F$50,IF(((D169+E169)*C169)&lt;='Assumptions and Catalog'!$C$51,((D169+E169)*C169)*'Assumptions and Catalog'!$H$51+'Assumptions and Catalog'!$E$51+'Assumptions and Catalog'!$F$51,IF(((D169+E169)*C169)&lt;='Assumptions and Catalog'!$C$52,((D169+E169)*C169)*'Assumptions and Catalog'!$H$52+'Assumptions and Catalog'!$E$52+'Assumptions and Catalog'!$F$52,IF(((D169+E169)*C169)&lt;='Assumptions and Catalog'!$C$53,((D169+E169)*C169)*'Assumptions and Catalog'!$H$53+'Assumptions and Catalog'!$E$53+'Assumptions and Catalog'!$F$53,IF(((D169+E169)*C169)&lt;='Assumptions and Catalog'!$C$54,((D169+E169)*C169)*'Assumptions and Catalog'!$H$54+'Assumptions and Catalog'!$E$54+'Assumptions and Catalog'!$F$54,IF(((D169+E169)*C169)&lt;='Assumptions and Catalog'!$C$55,((D169+E169)*C169)*'Assumptions and Catalog'!$H$55+'Assumptions and Catalog'!$E$55+'Assumptions and Catalog'!$F$55,IF(((D169+E169)*C169)&lt;='Assumptions and Catalog'!$C$56,((D169+E169)*C169)*'Assumptions and Catalog'!$H$56+'Assumptions and Catalog'!$E$56+'Assumptions and Catalog'!$F$56,IF(((D169+E169)*C169)&lt;='Assumptions and Catalog'!$C$57,((D169+E169)*C169)*'Assumptions and Catalog'!$H$57+'Assumptions and Catalog'!$E$57+'Assumptions and Catalog'!$F$57,"Out of range")))))))),IF(((D169+E169)*C169)&lt;='Assumptions and Catalog'!$C$60,((D169+E169)*C169)*'Assumptions and Catalog'!$H$60+'Assumptions and Catalog'!$E$60+'Assumptions and Catalog'!$F$60,IF(((D169+E169)*C169)&lt;='Assumptions and Catalog'!$C$61,((D169+E169)*C169)*'Assumptions and Catalog'!$H$61+'Assumptions and Catalog'!$E$61+'Assumptions and Catalog'!$F$61,IF(((D169+E169)*C169)&lt;='Assumptions and Catalog'!$C$62,((D169+E169)*C169)*'Assumptions and Catalog'!$H$62+'Assumptions and Catalog'!$E$62+'Assumptions and Catalog'!$F$62,IF(((D169+E169)*C169)&lt;='Assumptions and Catalog'!$C$63,((D169+E169)*C169)*'Assumptions and Catalog'!$H$63+'Assumptions and Catalog'!$E$63+'Assumptions and Catalog'!$F$63,IF(((D169+E169)*C169)&lt;='Assumptions and Catalog'!$C$64,((D169+E169)*C169)*'Assumptions and Catalog'!$H$64+'Assumptions and Catalog'!$E$64+'Assumptions and Catalog'!$F$64,IF(((D169+E169)*C169)&lt;='Assumptions and Catalog'!$C$65,((D169+E169)*C169)*'Assumptions and Catalog'!$H$65+'Assumptions and Catalog'!$E$65+'Assumptions and Catalog'!$F$65,"Out of range")))))))))*(1+'Assumptions and Catalog'!$C$8)^(A169-1),0)</f>
        <v>8279</v>
      </c>
      <c r="N169" s="5">
        <f>IF(ISNUMBER(Inputs!$L$5),(IF(Inputs!$L$9="Actual flat rate",L169*Inputs!$L$10,IF(Inputs!$C$9="Residential",IF(L169&lt;='Assumptions and Catalog'!$C$50,L169*'Assumptions and Catalog'!$H$50+'Assumptions and Catalog'!$E$50+'Assumptions and Catalog'!$F$50,IF(L169&lt;='Assumptions and Catalog'!$C$51,L169*'Assumptions and Catalog'!$H$51+'Assumptions and Catalog'!$E$51+'Assumptions and Catalog'!$F$51,IF(L169&lt;='Assumptions and Catalog'!$C$52,L169*'Assumptions and Catalog'!$H$52+'Assumptions and Catalog'!$E$52+'Assumptions and Catalog'!$F$52,IF(L169&lt;='Assumptions and Catalog'!$C$53,L169*'Assumptions and Catalog'!$H$53+'Assumptions and Catalog'!$E$53+'Assumptions and Catalog'!$F$53,IF(L169&lt;='Assumptions and Catalog'!$C$54,L169*'Assumptions and Catalog'!$H$54+'Assumptions and Catalog'!$E$54+'Assumptions and Catalog'!$F$54,IF(L169&lt;='Assumptions and Catalog'!$C$55,L169*'Assumptions and Catalog'!$H$55+'Assumptions and Catalog'!$E$55+'Assumptions and Catalog'!$F$55,IF(L169&lt;='Assumptions and Catalog'!$C$56,L169*'Assumptions and Catalog'!$H$56+'Assumptions and Catalog'!$E$56+'Assumptions and Catalog'!$F$56,IF(L169&lt;='Assumptions and Catalog'!$C$57,L169*'Assumptions and Catalog'!$H$57+'Assumptions and Catalog'!$E$57+'Assumptions and Catalog'!$F$57,"Out of range")))))))),IF(L169&lt;='Assumptions and Catalog'!$C$60,L169*'Assumptions and Catalog'!$H$60+'Assumptions and Catalog'!$E$60+'Assumptions and Catalog'!$F$60,IF(L169&lt;='Assumptions and Catalog'!$C$61,L169*'Assumptions and Catalog'!$H$61+'Assumptions and Catalog'!$E$61+'Assumptions and Catalog'!$F$61,IF(L169&lt;='Assumptions and Catalog'!$C$62,L169*'Assumptions and Catalog'!$H$62+'Assumptions and Catalog'!$E$62+'Assumptions and Catalog'!$F$62,IF(L169&lt;='Assumptions and Catalog'!$C$63,L169*'Assumptions and Catalog'!$H$63+'Assumptions and Catalog'!$E$63+'Assumptions and Catalog'!$F$63,IF(L169&lt;='Assumptions and Catalog'!$C$64,L169*'Assumptions and Catalog'!$H$64+'Assumptions and Catalog'!$E$64+'Assumptions and Catalog'!$F$64,IF(L169&lt;='Assumptions and Catalog'!$C$65,L169*'Assumptions and Catalog'!$H$65+'Assumptions and Catalog'!$E$65+'Assumptions and Catalog'!$F$65,"Out of range")))))))))*(1+'Assumptions and Catalog'!$C$8)^(A169-1),0)</f>
        <v>4855.9874349442371</v>
      </c>
      <c r="O169" s="5">
        <f t="shared" si="12"/>
        <v>3423.0125650557629</v>
      </c>
      <c r="P169" s="5">
        <f>C$55*(1-J$14)*(1-'Assumptions and Catalog'!$C$23)^R169</f>
        <v>0</v>
      </c>
      <c r="Q169" s="5">
        <f>IF(ISNUMBER(Inputs!$L$5),(IF(Inputs!$L$9="Actual flat rate",((D169+E169)*C169-G169)*Inputs!$L$10,IF(Inputs!$C$9="Residential",IF(((D169+E169)*C169-G169)&lt;='Assumptions and Catalog'!$C$50,((D169+E169)*C169-G169)*'Assumptions and Catalog'!$H$50+'Assumptions and Catalog'!$E$50+'Assumptions and Catalog'!$F$50,IF(((D169+E169)*C169-G169)&lt;='Assumptions and Catalog'!$C$51,((D169+E169)*C169-G169)*'Assumptions and Catalog'!$H$51+'Assumptions and Catalog'!$E$51+'Assumptions and Catalog'!$F$51,IF(((D169+E169)*C169-G169)&lt;='Assumptions and Catalog'!$C$52,((D169+E169)*C169-G169)*'Assumptions and Catalog'!$H$52+'Assumptions and Catalog'!$E$52+'Assumptions and Catalog'!$F$52,IF(((D169+E169)*C169-G169)&lt;='Assumptions and Catalog'!$C$53,((D169+E169)*C169-G169)*'Assumptions and Catalog'!$H$53+'Assumptions and Catalog'!$E$53+'Assumptions and Catalog'!$F$53,IF(((D169+E169)*C169-G169)&lt;='Assumptions and Catalog'!$C$54,((D169+E169)*C169-G169)*'Assumptions and Catalog'!$H$54+'Assumptions and Catalog'!$E$54+'Assumptions and Catalog'!$F$54,IF(((D169+E169)*C169-G169)&lt;='Assumptions and Catalog'!$C$55,((D169+E169)*C169-G169)*'Assumptions and Catalog'!$H$55+'Assumptions and Catalog'!$E$55+'Assumptions and Catalog'!$F$55,IF(((D169+E169)*C169-G169)&lt;='Assumptions and Catalog'!$C$56,((D169+E169)*C169-G169)*'Assumptions and Catalog'!$H$56+'Assumptions and Catalog'!$E$56+'Assumptions and Catalog'!$F$56,IF(((D169+E169)*C169-G169)&lt;='Assumptions and Catalog'!$C$57,((D169+E169)*C169-G169)*'Assumptions and Catalog'!$H$57+'Assumptions and Catalog'!$E$57+'Assumptions and Catalog'!$F$57,"Out of range")))))))),IF(((D169+E169)*C169-G169)&lt;='Assumptions and Catalog'!$C$60,((D169+E169)*C169-G169)*'Assumptions and Catalog'!$H$60+'Assumptions and Catalog'!$E$60+'Assumptions and Catalog'!$F$60,IF(((D169+E169)*C169-G169)&lt;='Assumptions and Catalog'!$C$61,((D169+E169)*C169-G169)*'Assumptions and Catalog'!$H$61+'Assumptions and Catalog'!$E$61+'Assumptions and Catalog'!$F$61,IF(((D169+E169)*C169-G169)&lt;='Assumptions and Catalog'!$C$62,((D169+E169)*C169-G169)*'Assumptions and Catalog'!$H$62+'Assumptions and Catalog'!$E$62+'Assumptions and Catalog'!$F$62,IF(((D169+E169)*C169-G169)&lt;='Assumptions and Catalog'!$C$63,((D169+E169)*C169-G169)*'Assumptions and Catalog'!$H$63+'Assumptions and Catalog'!$E$63+'Assumptions and Catalog'!$F$63,IF(((D169+E169)*C169-G169)&lt;='Assumptions and Catalog'!$C$64,((D169+E169)*C169-G169)*'Assumptions and Catalog'!$H$64+'Assumptions and Catalog'!$E$64+'Assumptions and Catalog'!$F$64,IF(((D169+E169)*C169-G169)&lt;='Assumptions and Catalog'!$C$65,((D169+E169)*C169-G169)*'Assumptions and Catalog'!$H$65+'Assumptions and Catalog'!$E$65+'Assumptions and Catalog'!$F$65,"Out of range")))))))))*(1+'Assumptions and Catalog'!$C$8)^(A169-1),0)</f>
        <v>4855.9874349442371</v>
      </c>
      <c r="R169" s="5">
        <f>IF(AND('Assumptions and Catalog'!$C$19&gt;0,A169&gt;='Assumptions and Catalog'!$C$19),A169-'Assumptions and Catalog'!$C$19,A169-1)</f>
        <v>0</v>
      </c>
      <c r="S169" s="5">
        <f t="shared" si="13"/>
        <v>0</v>
      </c>
      <c r="T169" s="5"/>
      <c r="U169" s="5"/>
    </row>
    <row r="170" spans="1:21" ht="23.1" customHeight="1" outlineLevel="1" x14ac:dyDescent="0.2">
      <c r="A170" s="5">
        <v>1</v>
      </c>
      <c r="B170" s="5">
        <v>10</v>
      </c>
      <c r="C170" s="5">
        <f>DAY(DATE('Assumptions and Catalog'!$C$24+A170-1,B170+1,0))</f>
        <v>31</v>
      </c>
      <c r="D170" s="5">
        <f>IF(ISNUMBER(Inputs!$L$5),Inputs!$L$5*Inputs!$L$6,0)</f>
        <v>40.35</v>
      </c>
      <c r="E170" s="5">
        <f>IF(ISNUMBER(Inputs!$L$5),Inputs!$L$5-D170,0)</f>
        <v>40.35</v>
      </c>
      <c r="F170" s="5">
        <f>C$51*'Assumptions and Catalog'!$C$31*C170*(1-'Assumptions and Catalog'!$C$10)^(A170-1)</f>
        <v>1034.3460000000002</v>
      </c>
      <c r="G170" s="5">
        <f t="shared" si="8"/>
        <v>1034.3460000000002</v>
      </c>
      <c r="H170" s="5">
        <f>I170/('Assumptions and Catalog'!$C$11*'Assumptions and Catalog'!$C$12)</f>
        <v>0</v>
      </c>
      <c r="I170" s="5">
        <f>0</f>
        <v>0</v>
      </c>
      <c r="J170" s="5">
        <f t="shared" si="9"/>
        <v>0</v>
      </c>
      <c r="K170" s="5">
        <f t="shared" si="10"/>
        <v>0</v>
      </c>
      <c r="L170" s="5">
        <f t="shared" si="11"/>
        <v>1467.354</v>
      </c>
      <c r="M170" s="5">
        <f>IF(ISNUMBER(Inputs!$L$5),(IF(Inputs!$L$9="Actual flat rate",((D170+E170)*C170)*Inputs!$L$10,IF(Inputs!$C$9="Residential",IF(((D170+E170)*C170)&lt;='Assumptions and Catalog'!$C$50,((D170+E170)*C170)*'Assumptions and Catalog'!$H$50+'Assumptions and Catalog'!$E$50+'Assumptions and Catalog'!$F$50,IF(((D170+E170)*C170)&lt;='Assumptions and Catalog'!$C$51,((D170+E170)*C170)*'Assumptions and Catalog'!$H$51+'Assumptions and Catalog'!$E$51+'Assumptions and Catalog'!$F$51,IF(((D170+E170)*C170)&lt;='Assumptions and Catalog'!$C$52,((D170+E170)*C170)*'Assumptions and Catalog'!$H$52+'Assumptions and Catalog'!$E$52+'Assumptions and Catalog'!$F$52,IF(((D170+E170)*C170)&lt;='Assumptions and Catalog'!$C$53,((D170+E170)*C170)*'Assumptions and Catalog'!$H$53+'Assumptions and Catalog'!$E$53+'Assumptions and Catalog'!$F$53,IF(((D170+E170)*C170)&lt;='Assumptions and Catalog'!$C$54,((D170+E170)*C170)*'Assumptions and Catalog'!$H$54+'Assumptions and Catalog'!$E$54+'Assumptions and Catalog'!$F$54,IF(((D170+E170)*C170)&lt;='Assumptions and Catalog'!$C$55,((D170+E170)*C170)*'Assumptions and Catalog'!$H$55+'Assumptions and Catalog'!$E$55+'Assumptions and Catalog'!$F$55,IF(((D170+E170)*C170)&lt;='Assumptions and Catalog'!$C$56,((D170+E170)*C170)*'Assumptions and Catalog'!$H$56+'Assumptions and Catalog'!$E$56+'Assumptions and Catalog'!$F$56,IF(((D170+E170)*C170)&lt;='Assumptions and Catalog'!$C$57,((D170+E170)*C170)*'Assumptions and Catalog'!$H$57+'Assumptions and Catalog'!$E$57+'Assumptions and Catalog'!$F$57,"Out of range")))))))),IF(((D170+E170)*C170)&lt;='Assumptions and Catalog'!$C$60,((D170+E170)*C170)*'Assumptions and Catalog'!$H$60+'Assumptions and Catalog'!$E$60+'Assumptions and Catalog'!$F$60,IF(((D170+E170)*C170)&lt;='Assumptions and Catalog'!$C$61,((D170+E170)*C170)*'Assumptions and Catalog'!$H$61+'Assumptions and Catalog'!$E$61+'Assumptions and Catalog'!$F$61,IF(((D170+E170)*C170)&lt;='Assumptions and Catalog'!$C$62,((D170+E170)*C170)*'Assumptions and Catalog'!$H$62+'Assumptions and Catalog'!$E$62+'Assumptions and Catalog'!$F$62,IF(((D170+E170)*C170)&lt;='Assumptions and Catalog'!$C$63,((D170+E170)*C170)*'Assumptions and Catalog'!$H$63+'Assumptions and Catalog'!$E$63+'Assumptions and Catalog'!$F$63,IF(((D170+E170)*C170)&lt;='Assumptions and Catalog'!$C$64,((D170+E170)*C170)*'Assumptions and Catalog'!$H$64+'Assumptions and Catalog'!$E$64+'Assumptions and Catalog'!$F$64,IF(((D170+E170)*C170)&lt;='Assumptions and Catalog'!$C$65,((D170+E170)*C170)*'Assumptions and Catalog'!$H$65+'Assumptions and Catalog'!$E$65+'Assumptions and Catalog'!$F$65,"Out of range")))))))))*(1+'Assumptions and Catalog'!$C$8)^(A170-1),0)</f>
        <v>8554.9666666666672</v>
      </c>
      <c r="N170" s="5">
        <f>IF(ISNUMBER(Inputs!$L$5),(IF(Inputs!$L$9="Actual flat rate",L170*Inputs!$L$10,IF(Inputs!$C$9="Residential",IF(L170&lt;='Assumptions and Catalog'!$C$50,L170*'Assumptions and Catalog'!$H$50+'Assumptions and Catalog'!$E$50+'Assumptions and Catalog'!$F$50,IF(L170&lt;='Assumptions and Catalog'!$C$51,L170*'Assumptions and Catalog'!$H$51+'Assumptions and Catalog'!$E$51+'Assumptions and Catalog'!$F$51,IF(L170&lt;='Assumptions and Catalog'!$C$52,L170*'Assumptions and Catalog'!$H$52+'Assumptions and Catalog'!$E$52+'Assumptions and Catalog'!$F$52,IF(L170&lt;='Assumptions and Catalog'!$C$53,L170*'Assumptions and Catalog'!$H$53+'Assumptions and Catalog'!$E$53+'Assumptions and Catalog'!$F$53,IF(L170&lt;='Assumptions and Catalog'!$C$54,L170*'Assumptions and Catalog'!$H$54+'Assumptions and Catalog'!$E$54+'Assumptions and Catalog'!$F$54,IF(L170&lt;='Assumptions and Catalog'!$C$55,L170*'Assumptions and Catalog'!$H$55+'Assumptions and Catalog'!$E$55+'Assumptions and Catalog'!$F$55,IF(L170&lt;='Assumptions and Catalog'!$C$56,L170*'Assumptions and Catalog'!$H$56+'Assumptions and Catalog'!$E$56+'Assumptions and Catalog'!$F$56,IF(L170&lt;='Assumptions and Catalog'!$C$57,L170*'Assumptions and Catalog'!$H$57+'Assumptions and Catalog'!$E$57+'Assumptions and Catalog'!$F$57,"Out of range")))))))),IF(L170&lt;='Assumptions and Catalog'!$C$60,L170*'Assumptions and Catalog'!$H$60+'Assumptions and Catalog'!$E$60+'Assumptions and Catalog'!$F$60,IF(L170&lt;='Assumptions and Catalog'!$C$61,L170*'Assumptions and Catalog'!$H$61+'Assumptions and Catalog'!$E$61+'Assumptions and Catalog'!$F$61,IF(L170&lt;='Assumptions and Catalog'!$C$62,L170*'Assumptions and Catalog'!$H$62+'Assumptions and Catalog'!$E$62+'Assumptions and Catalog'!$F$62,IF(L170&lt;='Assumptions and Catalog'!$C$63,L170*'Assumptions and Catalog'!$H$63+'Assumptions and Catalog'!$E$63+'Assumptions and Catalog'!$F$63,IF(L170&lt;='Assumptions and Catalog'!$C$64,L170*'Assumptions and Catalog'!$H$64+'Assumptions and Catalog'!$E$64+'Assumptions and Catalog'!$F$64,IF(L170&lt;='Assumptions and Catalog'!$C$65,L170*'Assumptions and Catalog'!$H$65+'Assumptions and Catalog'!$E$65+'Assumptions and Catalog'!$F$65,"Out of range")))))))))*(1+'Assumptions and Catalog'!$C$8)^(A170-1),0)</f>
        <v>5017.8536827757125</v>
      </c>
      <c r="O170" s="5">
        <f t="shared" si="12"/>
        <v>3537.1129838909546</v>
      </c>
      <c r="P170" s="5">
        <f>C$55*(1-J$14)*(1-'Assumptions and Catalog'!$C$23)^R170</f>
        <v>0</v>
      </c>
      <c r="Q170" s="5">
        <f>IF(ISNUMBER(Inputs!$L$5),(IF(Inputs!$L$9="Actual flat rate",((D170+E170)*C170-G170)*Inputs!$L$10,IF(Inputs!$C$9="Residential",IF(((D170+E170)*C170-G170)&lt;='Assumptions and Catalog'!$C$50,((D170+E170)*C170-G170)*'Assumptions and Catalog'!$H$50+'Assumptions and Catalog'!$E$50+'Assumptions and Catalog'!$F$50,IF(((D170+E170)*C170-G170)&lt;='Assumptions and Catalog'!$C$51,((D170+E170)*C170-G170)*'Assumptions and Catalog'!$H$51+'Assumptions and Catalog'!$E$51+'Assumptions and Catalog'!$F$51,IF(((D170+E170)*C170-G170)&lt;='Assumptions and Catalog'!$C$52,((D170+E170)*C170-G170)*'Assumptions and Catalog'!$H$52+'Assumptions and Catalog'!$E$52+'Assumptions and Catalog'!$F$52,IF(((D170+E170)*C170-G170)&lt;='Assumptions and Catalog'!$C$53,((D170+E170)*C170-G170)*'Assumptions and Catalog'!$H$53+'Assumptions and Catalog'!$E$53+'Assumptions and Catalog'!$F$53,IF(((D170+E170)*C170-G170)&lt;='Assumptions and Catalog'!$C$54,((D170+E170)*C170-G170)*'Assumptions and Catalog'!$H$54+'Assumptions and Catalog'!$E$54+'Assumptions and Catalog'!$F$54,IF(((D170+E170)*C170-G170)&lt;='Assumptions and Catalog'!$C$55,((D170+E170)*C170-G170)*'Assumptions and Catalog'!$H$55+'Assumptions and Catalog'!$E$55+'Assumptions and Catalog'!$F$55,IF(((D170+E170)*C170-G170)&lt;='Assumptions and Catalog'!$C$56,((D170+E170)*C170-G170)*'Assumptions and Catalog'!$H$56+'Assumptions and Catalog'!$E$56+'Assumptions and Catalog'!$F$56,IF(((D170+E170)*C170-G170)&lt;='Assumptions and Catalog'!$C$57,((D170+E170)*C170-G170)*'Assumptions and Catalog'!$H$57+'Assumptions and Catalog'!$E$57+'Assumptions and Catalog'!$F$57,"Out of range")))))))),IF(((D170+E170)*C170-G170)&lt;='Assumptions and Catalog'!$C$60,((D170+E170)*C170-G170)*'Assumptions and Catalog'!$H$60+'Assumptions and Catalog'!$E$60+'Assumptions and Catalog'!$F$60,IF(((D170+E170)*C170-G170)&lt;='Assumptions and Catalog'!$C$61,((D170+E170)*C170-G170)*'Assumptions and Catalog'!$H$61+'Assumptions and Catalog'!$E$61+'Assumptions and Catalog'!$F$61,IF(((D170+E170)*C170-G170)&lt;='Assumptions and Catalog'!$C$62,((D170+E170)*C170-G170)*'Assumptions and Catalog'!$H$62+'Assumptions and Catalog'!$E$62+'Assumptions and Catalog'!$F$62,IF(((D170+E170)*C170-G170)&lt;='Assumptions and Catalog'!$C$63,((D170+E170)*C170-G170)*'Assumptions and Catalog'!$H$63+'Assumptions and Catalog'!$E$63+'Assumptions and Catalog'!$F$63,IF(((D170+E170)*C170-G170)&lt;='Assumptions and Catalog'!$C$64,((D170+E170)*C170-G170)*'Assumptions and Catalog'!$H$64+'Assumptions and Catalog'!$E$64+'Assumptions and Catalog'!$F$64,IF(((D170+E170)*C170-G170)&lt;='Assumptions and Catalog'!$C$65,((D170+E170)*C170-G170)*'Assumptions and Catalog'!$H$65+'Assumptions and Catalog'!$E$65+'Assumptions and Catalog'!$F$65,"Out of range")))))))))*(1+'Assumptions and Catalog'!$C$8)^(A170-1),0)</f>
        <v>5017.8536827757125</v>
      </c>
      <c r="R170" s="5">
        <f>IF(AND('Assumptions and Catalog'!$C$19&gt;0,A170&gt;='Assumptions and Catalog'!$C$19),A170-'Assumptions and Catalog'!$C$19,A170-1)</f>
        <v>0</v>
      </c>
      <c r="S170" s="5">
        <f t="shared" si="13"/>
        <v>0</v>
      </c>
      <c r="T170" s="5"/>
      <c r="U170" s="5"/>
    </row>
    <row r="171" spans="1:21" ht="23.1" customHeight="1" outlineLevel="1" x14ac:dyDescent="0.2">
      <c r="A171" s="5">
        <v>1</v>
      </c>
      <c r="B171" s="5">
        <v>11</v>
      </c>
      <c r="C171" s="5">
        <f>DAY(DATE('Assumptions and Catalog'!$C$24+A171-1,B171+1,0))</f>
        <v>30</v>
      </c>
      <c r="D171" s="5">
        <f>IF(ISNUMBER(Inputs!$L$5),Inputs!$L$5*Inputs!$L$6,0)</f>
        <v>40.35</v>
      </c>
      <c r="E171" s="5">
        <f>IF(ISNUMBER(Inputs!$L$5),Inputs!$L$5-D171,0)</f>
        <v>40.35</v>
      </c>
      <c r="F171" s="5">
        <f>C$51*'Assumptions and Catalog'!$C$31*C171*(1-'Assumptions and Catalog'!$C$10)^(A171-1)</f>
        <v>1000.9800000000002</v>
      </c>
      <c r="G171" s="5">
        <f t="shared" si="8"/>
        <v>1000.9800000000002</v>
      </c>
      <c r="H171" s="5">
        <f>I171/('Assumptions and Catalog'!$C$11*'Assumptions and Catalog'!$C$12)</f>
        <v>0</v>
      </c>
      <c r="I171" s="5">
        <f>0</f>
        <v>0</v>
      </c>
      <c r="J171" s="5">
        <f t="shared" si="9"/>
        <v>0</v>
      </c>
      <c r="K171" s="5">
        <f t="shared" si="10"/>
        <v>0</v>
      </c>
      <c r="L171" s="5">
        <f t="shared" si="11"/>
        <v>1420.0199999999998</v>
      </c>
      <c r="M171" s="5">
        <f>IF(ISNUMBER(Inputs!$L$5),(IF(Inputs!$L$9="Actual flat rate",((D171+E171)*C171)*Inputs!$L$10,IF(Inputs!$C$9="Residential",IF(((D171+E171)*C171)&lt;='Assumptions and Catalog'!$C$50,((D171+E171)*C171)*'Assumptions and Catalog'!$H$50+'Assumptions and Catalog'!$E$50+'Assumptions and Catalog'!$F$50,IF(((D171+E171)*C171)&lt;='Assumptions and Catalog'!$C$51,((D171+E171)*C171)*'Assumptions and Catalog'!$H$51+'Assumptions and Catalog'!$E$51+'Assumptions and Catalog'!$F$51,IF(((D171+E171)*C171)&lt;='Assumptions and Catalog'!$C$52,((D171+E171)*C171)*'Assumptions and Catalog'!$H$52+'Assumptions and Catalog'!$E$52+'Assumptions and Catalog'!$F$52,IF(((D171+E171)*C171)&lt;='Assumptions and Catalog'!$C$53,((D171+E171)*C171)*'Assumptions and Catalog'!$H$53+'Assumptions and Catalog'!$E$53+'Assumptions and Catalog'!$F$53,IF(((D171+E171)*C171)&lt;='Assumptions and Catalog'!$C$54,((D171+E171)*C171)*'Assumptions and Catalog'!$H$54+'Assumptions and Catalog'!$E$54+'Assumptions and Catalog'!$F$54,IF(((D171+E171)*C171)&lt;='Assumptions and Catalog'!$C$55,((D171+E171)*C171)*'Assumptions and Catalog'!$H$55+'Assumptions and Catalog'!$E$55+'Assumptions and Catalog'!$F$55,IF(((D171+E171)*C171)&lt;='Assumptions and Catalog'!$C$56,((D171+E171)*C171)*'Assumptions and Catalog'!$H$56+'Assumptions and Catalog'!$E$56+'Assumptions and Catalog'!$F$56,IF(((D171+E171)*C171)&lt;='Assumptions and Catalog'!$C$57,((D171+E171)*C171)*'Assumptions and Catalog'!$H$57+'Assumptions and Catalog'!$E$57+'Assumptions and Catalog'!$F$57,"Out of range")))))))),IF(((D171+E171)*C171)&lt;='Assumptions and Catalog'!$C$60,((D171+E171)*C171)*'Assumptions and Catalog'!$H$60+'Assumptions and Catalog'!$E$60+'Assumptions and Catalog'!$F$60,IF(((D171+E171)*C171)&lt;='Assumptions and Catalog'!$C$61,((D171+E171)*C171)*'Assumptions and Catalog'!$H$61+'Assumptions and Catalog'!$E$61+'Assumptions and Catalog'!$F$61,IF(((D171+E171)*C171)&lt;='Assumptions and Catalog'!$C$62,((D171+E171)*C171)*'Assumptions and Catalog'!$H$62+'Assumptions and Catalog'!$E$62+'Assumptions and Catalog'!$F$62,IF(((D171+E171)*C171)&lt;='Assumptions and Catalog'!$C$63,((D171+E171)*C171)*'Assumptions and Catalog'!$H$63+'Assumptions and Catalog'!$E$63+'Assumptions and Catalog'!$F$63,IF(((D171+E171)*C171)&lt;='Assumptions and Catalog'!$C$64,((D171+E171)*C171)*'Assumptions and Catalog'!$H$64+'Assumptions and Catalog'!$E$64+'Assumptions and Catalog'!$F$64,IF(((D171+E171)*C171)&lt;='Assumptions and Catalog'!$C$65,((D171+E171)*C171)*'Assumptions and Catalog'!$H$65+'Assumptions and Catalog'!$E$65+'Assumptions and Catalog'!$F$65,"Out of range")))))))))*(1+'Assumptions and Catalog'!$C$8)^(A171-1),0)</f>
        <v>8279</v>
      </c>
      <c r="N171" s="5">
        <f>IF(ISNUMBER(Inputs!$L$5),(IF(Inputs!$L$9="Actual flat rate",L171*Inputs!$L$10,IF(Inputs!$C$9="Residential",IF(L171&lt;='Assumptions and Catalog'!$C$50,L171*'Assumptions and Catalog'!$H$50+'Assumptions and Catalog'!$E$50+'Assumptions and Catalog'!$F$50,IF(L171&lt;='Assumptions and Catalog'!$C$51,L171*'Assumptions and Catalog'!$H$51+'Assumptions and Catalog'!$E$51+'Assumptions and Catalog'!$F$51,IF(L171&lt;='Assumptions and Catalog'!$C$52,L171*'Assumptions and Catalog'!$H$52+'Assumptions and Catalog'!$E$52+'Assumptions and Catalog'!$F$52,IF(L171&lt;='Assumptions and Catalog'!$C$53,L171*'Assumptions and Catalog'!$H$53+'Assumptions and Catalog'!$E$53+'Assumptions and Catalog'!$F$53,IF(L171&lt;='Assumptions and Catalog'!$C$54,L171*'Assumptions and Catalog'!$H$54+'Assumptions and Catalog'!$E$54+'Assumptions and Catalog'!$F$54,IF(L171&lt;='Assumptions and Catalog'!$C$55,L171*'Assumptions and Catalog'!$H$55+'Assumptions and Catalog'!$E$55+'Assumptions and Catalog'!$F$55,IF(L171&lt;='Assumptions and Catalog'!$C$56,L171*'Assumptions and Catalog'!$H$56+'Assumptions and Catalog'!$E$56+'Assumptions and Catalog'!$F$56,IF(L171&lt;='Assumptions and Catalog'!$C$57,L171*'Assumptions and Catalog'!$H$57+'Assumptions and Catalog'!$E$57+'Assumptions and Catalog'!$F$57,"Out of range")))))))),IF(L171&lt;='Assumptions and Catalog'!$C$60,L171*'Assumptions and Catalog'!$H$60+'Assumptions and Catalog'!$E$60+'Assumptions and Catalog'!$F$60,IF(L171&lt;='Assumptions and Catalog'!$C$61,L171*'Assumptions and Catalog'!$H$61+'Assumptions and Catalog'!$E$61+'Assumptions and Catalog'!$F$61,IF(L171&lt;='Assumptions and Catalog'!$C$62,L171*'Assumptions and Catalog'!$H$62+'Assumptions and Catalog'!$E$62+'Assumptions and Catalog'!$F$62,IF(L171&lt;='Assumptions and Catalog'!$C$63,L171*'Assumptions and Catalog'!$H$63+'Assumptions and Catalog'!$E$63+'Assumptions and Catalog'!$F$63,IF(L171&lt;='Assumptions and Catalog'!$C$64,L171*'Assumptions and Catalog'!$H$64+'Assumptions and Catalog'!$E$64+'Assumptions and Catalog'!$F$64,IF(L171&lt;='Assumptions and Catalog'!$C$65,L171*'Assumptions and Catalog'!$H$65+'Assumptions and Catalog'!$E$65+'Assumptions and Catalog'!$F$65,"Out of range")))))))))*(1+'Assumptions and Catalog'!$C$8)^(A171-1),0)</f>
        <v>4855.9874349442371</v>
      </c>
      <c r="O171" s="5">
        <f t="shared" si="12"/>
        <v>3423.0125650557629</v>
      </c>
      <c r="P171" s="5">
        <f>C$55*(1-J$14)*(1-'Assumptions and Catalog'!$C$23)^R171</f>
        <v>0</v>
      </c>
      <c r="Q171" s="5">
        <f>IF(ISNUMBER(Inputs!$L$5),(IF(Inputs!$L$9="Actual flat rate",((D171+E171)*C171-G171)*Inputs!$L$10,IF(Inputs!$C$9="Residential",IF(((D171+E171)*C171-G171)&lt;='Assumptions and Catalog'!$C$50,((D171+E171)*C171-G171)*'Assumptions and Catalog'!$H$50+'Assumptions and Catalog'!$E$50+'Assumptions and Catalog'!$F$50,IF(((D171+E171)*C171-G171)&lt;='Assumptions and Catalog'!$C$51,((D171+E171)*C171-G171)*'Assumptions and Catalog'!$H$51+'Assumptions and Catalog'!$E$51+'Assumptions and Catalog'!$F$51,IF(((D171+E171)*C171-G171)&lt;='Assumptions and Catalog'!$C$52,((D171+E171)*C171-G171)*'Assumptions and Catalog'!$H$52+'Assumptions and Catalog'!$E$52+'Assumptions and Catalog'!$F$52,IF(((D171+E171)*C171-G171)&lt;='Assumptions and Catalog'!$C$53,((D171+E171)*C171-G171)*'Assumptions and Catalog'!$H$53+'Assumptions and Catalog'!$E$53+'Assumptions and Catalog'!$F$53,IF(((D171+E171)*C171-G171)&lt;='Assumptions and Catalog'!$C$54,((D171+E171)*C171-G171)*'Assumptions and Catalog'!$H$54+'Assumptions and Catalog'!$E$54+'Assumptions and Catalog'!$F$54,IF(((D171+E171)*C171-G171)&lt;='Assumptions and Catalog'!$C$55,((D171+E171)*C171-G171)*'Assumptions and Catalog'!$H$55+'Assumptions and Catalog'!$E$55+'Assumptions and Catalog'!$F$55,IF(((D171+E171)*C171-G171)&lt;='Assumptions and Catalog'!$C$56,((D171+E171)*C171-G171)*'Assumptions and Catalog'!$H$56+'Assumptions and Catalog'!$E$56+'Assumptions and Catalog'!$F$56,IF(((D171+E171)*C171-G171)&lt;='Assumptions and Catalog'!$C$57,((D171+E171)*C171-G171)*'Assumptions and Catalog'!$H$57+'Assumptions and Catalog'!$E$57+'Assumptions and Catalog'!$F$57,"Out of range")))))))),IF(((D171+E171)*C171-G171)&lt;='Assumptions and Catalog'!$C$60,((D171+E171)*C171-G171)*'Assumptions and Catalog'!$H$60+'Assumptions and Catalog'!$E$60+'Assumptions and Catalog'!$F$60,IF(((D171+E171)*C171-G171)&lt;='Assumptions and Catalog'!$C$61,((D171+E171)*C171-G171)*'Assumptions and Catalog'!$H$61+'Assumptions and Catalog'!$E$61+'Assumptions and Catalog'!$F$61,IF(((D171+E171)*C171-G171)&lt;='Assumptions and Catalog'!$C$62,((D171+E171)*C171-G171)*'Assumptions and Catalog'!$H$62+'Assumptions and Catalog'!$E$62+'Assumptions and Catalog'!$F$62,IF(((D171+E171)*C171-G171)&lt;='Assumptions and Catalog'!$C$63,((D171+E171)*C171-G171)*'Assumptions and Catalog'!$H$63+'Assumptions and Catalog'!$E$63+'Assumptions and Catalog'!$F$63,IF(((D171+E171)*C171-G171)&lt;='Assumptions and Catalog'!$C$64,((D171+E171)*C171-G171)*'Assumptions and Catalog'!$H$64+'Assumptions and Catalog'!$E$64+'Assumptions and Catalog'!$F$64,IF(((D171+E171)*C171-G171)&lt;='Assumptions and Catalog'!$C$65,((D171+E171)*C171-G171)*'Assumptions and Catalog'!$H$65+'Assumptions and Catalog'!$E$65+'Assumptions and Catalog'!$F$65,"Out of range")))))))))*(1+'Assumptions and Catalog'!$C$8)^(A171-1),0)</f>
        <v>4855.9874349442371</v>
      </c>
      <c r="R171" s="5">
        <f>IF(AND('Assumptions and Catalog'!$C$19&gt;0,A171&gt;='Assumptions and Catalog'!$C$19),A171-'Assumptions and Catalog'!$C$19,A171-1)</f>
        <v>0</v>
      </c>
      <c r="S171" s="5">
        <f t="shared" si="13"/>
        <v>0</v>
      </c>
      <c r="T171" s="5"/>
      <c r="U171" s="5"/>
    </row>
    <row r="172" spans="1:21" ht="23.1" customHeight="1" outlineLevel="1" x14ac:dyDescent="0.2">
      <c r="A172" s="5">
        <v>1</v>
      </c>
      <c r="B172" s="5">
        <v>12</v>
      </c>
      <c r="C172" s="5">
        <f>DAY(DATE('Assumptions and Catalog'!$C$24+A172-1,B172+1,0))</f>
        <v>31</v>
      </c>
      <c r="D172" s="5">
        <f>IF(ISNUMBER(Inputs!$L$5),Inputs!$L$5*Inputs!$L$6,0)</f>
        <v>40.35</v>
      </c>
      <c r="E172" s="5">
        <f>IF(ISNUMBER(Inputs!$L$5),Inputs!$L$5-D172,0)</f>
        <v>40.35</v>
      </c>
      <c r="F172" s="5">
        <f>C$51*'Assumptions and Catalog'!$C$31*C172*(1-'Assumptions and Catalog'!$C$10)^(A172-1)</f>
        <v>1034.3460000000002</v>
      </c>
      <c r="G172" s="5">
        <f t="shared" si="8"/>
        <v>1034.3460000000002</v>
      </c>
      <c r="H172" s="5">
        <f>I172/('Assumptions and Catalog'!$C$11*'Assumptions and Catalog'!$C$12)</f>
        <v>0</v>
      </c>
      <c r="I172" s="5">
        <f>0</f>
        <v>0</v>
      </c>
      <c r="J172" s="5">
        <f t="shared" si="9"/>
        <v>0</v>
      </c>
      <c r="K172" s="5">
        <f t="shared" si="10"/>
        <v>0</v>
      </c>
      <c r="L172" s="5">
        <f t="shared" si="11"/>
        <v>1467.354</v>
      </c>
      <c r="M172" s="5">
        <f>IF(ISNUMBER(Inputs!$L$5),(IF(Inputs!$L$9="Actual flat rate",((D172+E172)*C172)*Inputs!$L$10,IF(Inputs!$C$9="Residential",IF(((D172+E172)*C172)&lt;='Assumptions and Catalog'!$C$50,((D172+E172)*C172)*'Assumptions and Catalog'!$H$50+'Assumptions and Catalog'!$E$50+'Assumptions and Catalog'!$F$50,IF(((D172+E172)*C172)&lt;='Assumptions and Catalog'!$C$51,((D172+E172)*C172)*'Assumptions and Catalog'!$H$51+'Assumptions and Catalog'!$E$51+'Assumptions and Catalog'!$F$51,IF(((D172+E172)*C172)&lt;='Assumptions and Catalog'!$C$52,((D172+E172)*C172)*'Assumptions and Catalog'!$H$52+'Assumptions and Catalog'!$E$52+'Assumptions and Catalog'!$F$52,IF(((D172+E172)*C172)&lt;='Assumptions and Catalog'!$C$53,((D172+E172)*C172)*'Assumptions and Catalog'!$H$53+'Assumptions and Catalog'!$E$53+'Assumptions and Catalog'!$F$53,IF(((D172+E172)*C172)&lt;='Assumptions and Catalog'!$C$54,((D172+E172)*C172)*'Assumptions and Catalog'!$H$54+'Assumptions and Catalog'!$E$54+'Assumptions and Catalog'!$F$54,IF(((D172+E172)*C172)&lt;='Assumptions and Catalog'!$C$55,((D172+E172)*C172)*'Assumptions and Catalog'!$H$55+'Assumptions and Catalog'!$E$55+'Assumptions and Catalog'!$F$55,IF(((D172+E172)*C172)&lt;='Assumptions and Catalog'!$C$56,((D172+E172)*C172)*'Assumptions and Catalog'!$H$56+'Assumptions and Catalog'!$E$56+'Assumptions and Catalog'!$F$56,IF(((D172+E172)*C172)&lt;='Assumptions and Catalog'!$C$57,((D172+E172)*C172)*'Assumptions and Catalog'!$H$57+'Assumptions and Catalog'!$E$57+'Assumptions and Catalog'!$F$57,"Out of range")))))))),IF(((D172+E172)*C172)&lt;='Assumptions and Catalog'!$C$60,((D172+E172)*C172)*'Assumptions and Catalog'!$H$60+'Assumptions and Catalog'!$E$60+'Assumptions and Catalog'!$F$60,IF(((D172+E172)*C172)&lt;='Assumptions and Catalog'!$C$61,((D172+E172)*C172)*'Assumptions and Catalog'!$H$61+'Assumptions and Catalog'!$E$61+'Assumptions and Catalog'!$F$61,IF(((D172+E172)*C172)&lt;='Assumptions and Catalog'!$C$62,((D172+E172)*C172)*'Assumptions and Catalog'!$H$62+'Assumptions and Catalog'!$E$62+'Assumptions and Catalog'!$F$62,IF(((D172+E172)*C172)&lt;='Assumptions and Catalog'!$C$63,((D172+E172)*C172)*'Assumptions and Catalog'!$H$63+'Assumptions and Catalog'!$E$63+'Assumptions and Catalog'!$F$63,IF(((D172+E172)*C172)&lt;='Assumptions and Catalog'!$C$64,((D172+E172)*C172)*'Assumptions and Catalog'!$H$64+'Assumptions and Catalog'!$E$64+'Assumptions and Catalog'!$F$64,IF(((D172+E172)*C172)&lt;='Assumptions and Catalog'!$C$65,((D172+E172)*C172)*'Assumptions and Catalog'!$H$65+'Assumptions and Catalog'!$E$65+'Assumptions and Catalog'!$F$65,"Out of range")))))))))*(1+'Assumptions and Catalog'!$C$8)^(A172-1),0)</f>
        <v>8554.9666666666672</v>
      </c>
      <c r="N172" s="5">
        <f>IF(ISNUMBER(Inputs!$L$5),(IF(Inputs!$L$9="Actual flat rate",L172*Inputs!$L$10,IF(Inputs!$C$9="Residential",IF(L172&lt;='Assumptions and Catalog'!$C$50,L172*'Assumptions and Catalog'!$H$50+'Assumptions and Catalog'!$E$50+'Assumptions and Catalog'!$F$50,IF(L172&lt;='Assumptions and Catalog'!$C$51,L172*'Assumptions and Catalog'!$H$51+'Assumptions and Catalog'!$E$51+'Assumptions and Catalog'!$F$51,IF(L172&lt;='Assumptions and Catalog'!$C$52,L172*'Assumptions and Catalog'!$H$52+'Assumptions and Catalog'!$E$52+'Assumptions and Catalog'!$F$52,IF(L172&lt;='Assumptions and Catalog'!$C$53,L172*'Assumptions and Catalog'!$H$53+'Assumptions and Catalog'!$E$53+'Assumptions and Catalog'!$F$53,IF(L172&lt;='Assumptions and Catalog'!$C$54,L172*'Assumptions and Catalog'!$H$54+'Assumptions and Catalog'!$E$54+'Assumptions and Catalog'!$F$54,IF(L172&lt;='Assumptions and Catalog'!$C$55,L172*'Assumptions and Catalog'!$H$55+'Assumptions and Catalog'!$E$55+'Assumptions and Catalog'!$F$55,IF(L172&lt;='Assumptions and Catalog'!$C$56,L172*'Assumptions and Catalog'!$H$56+'Assumptions and Catalog'!$E$56+'Assumptions and Catalog'!$F$56,IF(L172&lt;='Assumptions and Catalog'!$C$57,L172*'Assumptions and Catalog'!$H$57+'Assumptions and Catalog'!$E$57+'Assumptions and Catalog'!$F$57,"Out of range")))))))),IF(L172&lt;='Assumptions and Catalog'!$C$60,L172*'Assumptions and Catalog'!$H$60+'Assumptions and Catalog'!$E$60+'Assumptions and Catalog'!$F$60,IF(L172&lt;='Assumptions and Catalog'!$C$61,L172*'Assumptions and Catalog'!$H$61+'Assumptions and Catalog'!$E$61+'Assumptions and Catalog'!$F$61,IF(L172&lt;='Assumptions and Catalog'!$C$62,L172*'Assumptions and Catalog'!$H$62+'Assumptions and Catalog'!$E$62+'Assumptions and Catalog'!$F$62,IF(L172&lt;='Assumptions and Catalog'!$C$63,L172*'Assumptions and Catalog'!$H$63+'Assumptions and Catalog'!$E$63+'Assumptions and Catalog'!$F$63,IF(L172&lt;='Assumptions and Catalog'!$C$64,L172*'Assumptions and Catalog'!$H$64+'Assumptions and Catalog'!$E$64+'Assumptions and Catalog'!$F$64,IF(L172&lt;='Assumptions and Catalog'!$C$65,L172*'Assumptions and Catalog'!$H$65+'Assumptions and Catalog'!$E$65+'Assumptions and Catalog'!$F$65,"Out of range")))))))))*(1+'Assumptions and Catalog'!$C$8)^(A172-1),0)</f>
        <v>5017.8536827757125</v>
      </c>
      <c r="O172" s="5">
        <f t="shared" si="12"/>
        <v>3537.1129838909546</v>
      </c>
      <c r="P172" s="5">
        <f>C$55*(1-J$14)*(1-'Assumptions and Catalog'!$C$23)^R172</f>
        <v>0</v>
      </c>
      <c r="Q172" s="5">
        <f>IF(ISNUMBER(Inputs!$L$5),(IF(Inputs!$L$9="Actual flat rate",((D172+E172)*C172-G172)*Inputs!$L$10,IF(Inputs!$C$9="Residential",IF(((D172+E172)*C172-G172)&lt;='Assumptions and Catalog'!$C$50,((D172+E172)*C172-G172)*'Assumptions and Catalog'!$H$50+'Assumptions and Catalog'!$E$50+'Assumptions and Catalog'!$F$50,IF(((D172+E172)*C172-G172)&lt;='Assumptions and Catalog'!$C$51,((D172+E172)*C172-G172)*'Assumptions and Catalog'!$H$51+'Assumptions and Catalog'!$E$51+'Assumptions and Catalog'!$F$51,IF(((D172+E172)*C172-G172)&lt;='Assumptions and Catalog'!$C$52,((D172+E172)*C172-G172)*'Assumptions and Catalog'!$H$52+'Assumptions and Catalog'!$E$52+'Assumptions and Catalog'!$F$52,IF(((D172+E172)*C172-G172)&lt;='Assumptions and Catalog'!$C$53,((D172+E172)*C172-G172)*'Assumptions and Catalog'!$H$53+'Assumptions and Catalog'!$E$53+'Assumptions and Catalog'!$F$53,IF(((D172+E172)*C172-G172)&lt;='Assumptions and Catalog'!$C$54,((D172+E172)*C172-G172)*'Assumptions and Catalog'!$H$54+'Assumptions and Catalog'!$E$54+'Assumptions and Catalog'!$F$54,IF(((D172+E172)*C172-G172)&lt;='Assumptions and Catalog'!$C$55,((D172+E172)*C172-G172)*'Assumptions and Catalog'!$H$55+'Assumptions and Catalog'!$E$55+'Assumptions and Catalog'!$F$55,IF(((D172+E172)*C172-G172)&lt;='Assumptions and Catalog'!$C$56,((D172+E172)*C172-G172)*'Assumptions and Catalog'!$H$56+'Assumptions and Catalog'!$E$56+'Assumptions and Catalog'!$F$56,IF(((D172+E172)*C172-G172)&lt;='Assumptions and Catalog'!$C$57,((D172+E172)*C172-G172)*'Assumptions and Catalog'!$H$57+'Assumptions and Catalog'!$E$57+'Assumptions and Catalog'!$F$57,"Out of range")))))))),IF(((D172+E172)*C172-G172)&lt;='Assumptions and Catalog'!$C$60,((D172+E172)*C172-G172)*'Assumptions and Catalog'!$H$60+'Assumptions and Catalog'!$E$60+'Assumptions and Catalog'!$F$60,IF(((D172+E172)*C172-G172)&lt;='Assumptions and Catalog'!$C$61,((D172+E172)*C172-G172)*'Assumptions and Catalog'!$H$61+'Assumptions and Catalog'!$E$61+'Assumptions and Catalog'!$F$61,IF(((D172+E172)*C172-G172)&lt;='Assumptions and Catalog'!$C$62,((D172+E172)*C172-G172)*'Assumptions and Catalog'!$H$62+'Assumptions and Catalog'!$E$62+'Assumptions and Catalog'!$F$62,IF(((D172+E172)*C172-G172)&lt;='Assumptions and Catalog'!$C$63,((D172+E172)*C172-G172)*'Assumptions and Catalog'!$H$63+'Assumptions and Catalog'!$E$63+'Assumptions and Catalog'!$F$63,IF(((D172+E172)*C172-G172)&lt;='Assumptions and Catalog'!$C$64,((D172+E172)*C172-G172)*'Assumptions and Catalog'!$H$64+'Assumptions and Catalog'!$E$64+'Assumptions and Catalog'!$F$64,IF(((D172+E172)*C172-G172)&lt;='Assumptions and Catalog'!$C$65,((D172+E172)*C172-G172)*'Assumptions and Catalog'!$H$65+'Assumptions and Catalog'!$E$65+'Assumptions and Catalog'!$F$65,"Out of range")))))))))*(1+'Assumptions and Catalog'!$C$8)^(A172-1),0)</f>
        <v>5017.8536827757125</v>
      </c>
      <c r="R172" s="5">
        <f>IF(AND('Assumptions and Catalog'!$C$19&gt;0,A172&gt;='Assumptions and Catalog'!$C$19),A172-'Assumptions and Catalog'!$C$19,A172-1)</f>
        <v>0</v>
      </c>
      <c r="S172" s="5">
        <f t="shared" si="13"/>
        <v>0</v>
      </c>
      <c r="T172" s="5"/>
      <c r="U172" s="5"/>
    </row>
    <row r="173" spans="1:21" ht="23.1" customHeight="1" outlineLevel="1" x14ac:dyDescent="0.2">
      <c r="A173" s="5">
        <v>2</v>
      </c>
      <c r="B173" s="5">
        <v>1</v>
      </c>
      <c r="C173" s="5">
        <f>DAY(DATE('Assumptions and Catalog'!$C$24+A173-1,B173+1,0))</f>
        <v>31</v>
      </c>
      <c r="D173" s="5">
        <f>IF(ISNUMBER(Inputs!$L$5),Inputs!$L$5*Inputs!$L$6,0)</f>
        <v>40.35</v>
      </c>
      <c r="E173" s="5">
        <f>IF(ISNUMBER(Inputs!$L$5),Inputs!$L$5-D173,0)</f>
        <v>40.35</v>
      </c>
      <c r="F173" s="5">
        <f>C$51*'Assumptions and Catalog'!$C$31*C173*(1-'Assumptions and Catalog'!$C$10)^(A173-1)</f>
        <v>1029.1742700000002</v>
      </c>
      <c r="G173" s="5">
        <f t="shared" si="8"/>
        <v>1029.1742700000002</v>
      </c>
      <c r="H173" s="5">
        <f>I173/('Assumptions and Catalog'!$C$11*'Assumptions and Catalog'!$C$12)</f>
        <v>0</v>
      </c>
      <c r="I173" s="5">
        <f>0</f>
        <v>0</v>
      </c>
      <c r="J173" s="5">
        <f t="shared" si="9"/>
        <v>0</v>
      </c>
      <c r="K173" s="5">
        <f t="shared" si="10"/>
        <v>0</v>
      </c>
      <c r="L173" s="5">
        <f t="shared" si="11"/>
        <v>1472.5257300000001</v>
      </c>
      <c r="M173" s="5">
        <f>IF(ISNUMBER(Inputs!$L$5),(IF(Inputs!$L$9="Actual flat rate",((D173+E173)*C173)*Inputs!$L$10,IF(Inputs!$C$9="Residential",IF(((D173+E173)*C173)&lt;='Assumptions and Catalog'!$C$50,((D173+E173)*C173)*'Assumptions and Catalog'!$H$50+'Assumptions and Catalog'!$E$50+'Assumptions and Catalog'!$F$50,IF(((D173+E173)*C173)&lt;='Assumptions and Catalog'!$C$51,((D173+E173)*C173)*'Assumptions and Catalog'!$H$51+'Assumptions and Catalog'!$E$51+'Assumptions and Catalog'!$F$51,IF(((D173+E173)*C173)&lt;='Assumptions and Catalog'!$C$52,((D173+E173)*C173)*'Assumptions and Catalog'!$H$52+'Assumptions and Catalog'!$E$52+'Assumptions and Catalog'!$F$52,IF(((D173+E173)*C173)&lt;='Assumptions and Catalog'!$C$53,((D173+E173)*C173)*'Assumptions and Catalog'!$H$53+'Assumptions and Catalog'!$E$53+'Assumptions and Catalog'!$F$53,IF(((D173+E173)*C173)&lt;='Assumptions and Catalog'!$C$54,((D173+E173)*C173)*'Assumptions and Catalog'!$H$54+'Assumptions and Catalog'!$E$54+'Assumptions and Catalog'!$F$54,IF(((D173+E173)*C173)&lt;='Assumptions and Catalog'!$C$55,((D173+E173)*C173)*'Assumptions and Catalog'!$H$55+'Assumptions and Catalog'!$E$55+'Assumptions and Catalog'!$F$55,IF(((D173+E173)*C173)&lt;='Assumptions and Catalog'!$C$56,((D173+E173)*C173)*'Assumptions and Catalog'!$H$56+'Assumptions and Catalog'!$E$56+'Assumptions and Catalog'!$F$56,IF(((D173+E173)*C173)&lt;='Assumptions and Catalog'!$C$57,((D173+E173)*C173)*'Assumptions and Catalog'!$H$57+'Assumptions and Catalog'!$E$57+'Assumptions and Catalog'!$F$57,"Out of range")))))))),IF(((D173+E173)*C173)&lt;='Assumptions and Catalog'!$C$60,((D173+E173)*C173)*'Assumptions and Catalog'!$H$60+'Assumptions and Catalog'!$E$60+'Assumptions and Catalog'!$F$60,IF(((D173+E173)*C173)&lt;='Assumptions and Catalog'!$C$61,((D173+E173)*C173)*'Assumptions and Catalog'!$H$61+'Assumptions and Catalog'!$E$61+'Assumptions and Catalog'!$F$61,IF(((D173+E173)*C173)&lt;='Assumptions and Catalog'!$C$62,((D173+E173)*C173)*'Assumptions and Catalog'!$H$62+'Assumptions and Catalog'!$E$62+'Assumptions and Catalog'!$F$62,IF(((D173+E173)*C173)&lt;='Assumptions and Catalog'!$C$63,((D173+E173)*C173)*'Assumptions and Catalog'!$H$63+'Assumptions and Catalog'!$E$63+'Assumptions and Catalog'!$F$63,IF(((D173+E173)*C173)&lt;='Assumptions and Catalog'!$C$64,((D173+E173)*C173)*'Assumptions and Catalog'!$H$64+'Assumptions and Catalog'!$E$64+'Assumptions and Catalog'!$F$64,IF(((D173+E173)*C173)&lt;='Assumptions and Catalog'!$C$65,((D173+E173)*C173)*'Assumptions and Catalog'!$H$65+'Assumptions and Catalog'!$E$65+'Assumptions and Catalog'!$F$65,"Out of range")))))))))*(1+'Assumptions and Catalog'!$C$8)^(A173-1),0)</f>
        <v>8554.9666666666672</v>
      </c>
      <c r="N173" s="5">
        <f>IF(ISNUMBER(Inputs!$L$5),(IF(Inputs!$L$9="Actual flat rate",L173*Inputs!$L$10,IF(Inputs!$C$9="Residential",IF(L173&lt;='Assumptions and Catalog'!$C$50,L173*'Assumptions and Catalog'!$H$50+'Assumptions and Catalog'!$E$50+'Assumptions and Catalog'!$F$50,IF(L173&lt;='Assumptions and Catalog'!$C$51,L173*'Assumptions and Catalog'!$H$51+'Assumptions and Catalog'!$E$51+'Assumptions and Catalog'!$F$51,IF(L173&lt;='Assumptions and Catalog'!$C$52,L173*'Assumptions and Catalog'!$H$52+'Assumptions and Catalog'!$E$52+'Assumptions and Catalog'!$F$52,IF(L173&lt;='Assumptions and Catalog'!$C$53,L173*'Assumptions and Catalog'!$H$53+'Assumptions and Catalog'!$E$53+'Assumptions and Catalog'!$F$53,IF(L173&lt;='Assumptions and Catalog'!$C$54,L173*'Assumptions and Catalog'!$H$54+'Assumptions and Catalog'!$E$54+'Assumptions and Catalog'!$F$54,IF(L173&lt;='Assumptions and Catalog'!$C$55,L173*'Assumptions and Catalog'!$H$55+'Assumptions and Catalog'!$E$55+'Assumptions and Catalog'!$F$55,IF(L173&lt;='Assumptions and Catalog'!$C$56,L173*'Assumptions and Catalog'!$H$56+'Assumptions and Catalog'!$E$56+'Assumptions and Catalog'!$F$56,IF(L173&lt;='Assumptions and Catalog'!$C$57,L173*'Assumptions and Catalog'!$H$57+'Assumptions and Catalog'!$E$57+'Assumptions and Catalog'!$F$57,"Out of range")))))))),IF(L173&lt;='Assumptions and Catalog'!$C$60,L173*'Assumptions and Catalog'!$H$60+'Assumptions and Catalog'!$E$60+'Assumptions and Catalog'!$F$60,IF(L173&lt;='Assumptions and Catalog'!$C$61,L173*'Assumptions and Catalog'!$H$61+'Assumptions and Catalog'!$E$61+'Assumptions and Catalog'!$F$61,IF(L173&lt;='Assumptions and Catalog'!$C$62,L173*'Assumptions and Catalog'!$H$62+'Assumptions and Catalog'!$E$62+'Assumptions and Catalog'!$F$62,IF(L173&lt;='Assumptions and Catalog'!$C$63,L173*'Assumptions and Catalog'!$H$63+'Assumptions and Catalog'!$E$63+'Assumptions and Catalog'!$F$63,IF(L173&lt;='Assumptions and Catalog'!$C$64,L173*'Assumptions and Catalog'!$H$64+'Assumptions and Catalog'!$E$64+'Assumptions and Catalog'!$F$64,IF(L173&lt;='Assumptions and Catalog'!$C$65,L173*'Assumptions and Catalog'!$H$65+'Assumptions and Catalog'!$E$65+'Assumptions and Catalog'!$F$65,"Out of range")))))))))*(1+'Assumptions and Catalog'!$C$8)^(A173-1),0)</f>
        <v>5035.5392476951674</v>
      </c>
      <c r="O173" s="5">
        <f t="shared" si="12"/>
        <v>3519.4274189714997</v>
      </c>
      <c r="P173" s="5">
        <f>C$55*(1-J$14)*(1-'Assumptions and Catalog'!$C$23)^R173</f>
        <v>0</v>
      </c>
      <c r="Q173" s="5">
        <f>IF(ISNUMBER(Inputs!$L$5),(IF(Inputs!$L$9="Actual flat rate",((D173+E173)*C173-G173)*Inputs!$L$10,IF(Inputs!$C$9="Residential",IF(((D173+E173)*C173-G173)&lt;='Assumptions and Catalog'!$C$50,((D173+E173)*C173-G173)*'Assumptions and Catalog'!$H$50+'Assumptions and Catalog'!$E$50+'Assumptions and Catalog'!$F$50,IF(((D173+E173)*C173-G173)&lt;='Assumptions and Catalog'!$C$51,((D173+E173)*C173-G173)*'Assumptions and Catalog'!$H$51+'Assumptions and Catalog'!$E$51+'Assumptions and Catalog'!$F$51,IF(((D173+E173)*C173-G173)&lt;='Assumptions and Catalog'!$C$52,((D173+E173)*C173-G173)*'Assumptions and Catalog'!$H$52+'Assumptions and Catalog'!$E$52+'Assumptions and Catalog'!$F$52,IF(((D173+E173)*C173-G173)&lt;='Assumptions and Catalog'!$C$53,((D173+E173)*C173-G173)*'Assumptions and Catalog'!$H$53+'Assumptions and Catalog'!$E$53+'Assumptions and Catalog'!$F$53,IF(((D173+E173)*C173-G173)&lt;='Assumptions and Catalog'!$C$54,((D173+E173)*C173-G173)*'Assumptions and Catalog'!$H$54+'Assumptions and Catalog'!$E$54+'Assumptions and Catalog'!$F$54,IF(((D173+E173)*C173-G173)&lt;='Assumptions and Catalog'!$C$55,((D173+E173)*C173-G173)*'Assumptions and Catalog'!$H$55+'Assumptions and Catalog'!$E$55+'Assumptions and Catalog'!$F$55,IF(((D173+E173)*C173-G173)&lt;='Assumptions and Catalog'!$C$56,((D173+E173)*C173-G173)*'Assumptions and Catalog'!$H$56+'Assumptions and Catalog'!$E$56+'Assumptions and Catalog'!$F$56,IF(((D173+E173)*C173-G173)&lt;='Assumptions and Catalog'!$C$57,((D173+E173)*C173-G173)*'Assumptions and Catalog'!$H$57+'Assumptions and Catalog'!$E$57+'Assumptions and Catalog'!$F$57,"Out of range")))))))),IF(((D173+E173)*C173-G173)&lt;='Assumptions and Catalog'!$C$60,((D173+E173)*C173-G173)*'Assumptions and Catalog'!$H$60+'Assumptions and Catalog'!$E$60+'Assumptions and Catalog'!$F$60,IF(((D173+E173)*C173-G173)&lt;='Assumptions and Catalog'!$C$61,((D173+E173)*C173-G173)*'Assumptions and Catalog'!$H$61+'Assumptions and Catalog'!$E$61+'Assumptions and Catalog'!$F$61,IF(((D173+E173)*C173-G173)&lt;='Assumptions and Catalog'!$C$62,((D173+E173)*C173-G173)*'Assumptions and Catalog'!$H$62+'Assumptions and Catalog'!$E$62+'Assumptions and Catalog'!$F$62,IF(((D173+E173)*C173-G173)&lt;='Assumptions and Catalog'!$C$63,((D173+E173)*C173-G173)*'Assumptions and Catalog'!$H$63+'Assumptions and Catalog'!$E$63+'Assumptions and Catalog'!$F$63,IF(((D173+E173)*C173-G173)&lt;='Assumptions and Catalog'!$C$64,((D173+E173)*C173-G173)*'Assumptions and Catalog'!$H$64+'Assumptions and Catalog'!$E$64+'Assumptions and Catalog'!$F$64,IF(((D173+E173)*C173-G173)&lt;='Assumptions and Catalog'!$C$65,((D173+E173)*C173-G173)*'Assumptions and Catalog'!$H$65+'Assumptions and Catalog'!$E$65+'Assumptions and Catalog'!$F$65,"Out of range")))))))))*(1+'Assumptions and Catalog'!$C$8)^(A173-1),0)</f>
        <v>5035.5392476951674</v>
      </c>
      <c r="R173" s="5">
        <f>IF(AND('Assumptions and Catalog'!$C$19&gt;0,A173&gt;='Assumptions and Catalog'!$C$19),A173-'Assumptions and Catalog'!$C$19,A173-1)</f>
        <v>1</v>
      </c>
      <c r="S173" s="5">
        <f t="shared" si="13"/>
        <v>0</v>
      </c>
      <c r="T173" s="5"/>
      <c r="U173" s="5"/>
    </row>
    <row r="174" spans="1:21" ht="23.1" customHeight="1" outlineLevel="1" x14ac:dyDescent="0.2">
      <c r="A174" s="5">
        <v>2</v>
      </c>
      <c r="B174" s="5">
        <v>2</v>
      </c>
      <c r="C174" s="5">
        <f>DAY(DATE('Assumptions and Catalog'!$C$24+A174-1,B174+1,0))</f>
        <v>29</v>
      </c>
      <c r="D174" s="5">
        <f>IF(ISNUMBER(Inputs!$L$5),Inputs!$L$5*Inputs!$L$6,0)</f>
        <v>40.35</v>
      </c>
      <c r="E174" s="5">
        <f>IF(ISNUMBER(Inputs!$L$5),Inputs!$L$5-D174,0)</f>
        <v>40.35</v>
      </c>
      <c r="F174" s="5">
        <f>C$51*'Assumptions and Catalog'!$C$31*C174*(1-'Assumptions and Catalog'!$C$10)^(A174-1)</f>
        <v>962.77593000000013</v>
      </c>
      <c r="G174" s="5">
        <f t="shared" si="8"/>
        <v>962.77593000000013</v>
      </c>
      <c r="H174" s="5">
        <f>I174/('Assumptions and Catalog'!$C$11*'Assumptions and Catalog'!$C$12)</f>
        <v>0</v>
      </c>
      <c r="I174" s="5">
        <f>0</f>
        <v>0</v>
      </c>
      <c r="J174" s="5">
        <f t="shared" si="9"/>
        <v>0</v>
      </c>
      <c r="K174" s="5">
        <f t="shared" si="10"/>
        <v>0</v>
      </c>
      <c r="L174" s="5">
        <f t="shared" si="11"/>
        <v>1377.5240699999999</v>
      </c>
      <c r="M174" s="5">
        <f>IF(ISNUMBER(Inputs!$L$5),(IF(Inputs!$L$9="Actual flat rate",((D174+E174)*C174)*Inputs!$L$10,IF(Inputs!$C$9="Residential",IF(((D174+E174)*C174)&lt;='Assumptions and Catalog'!$C$50,((D174+E174)*C174)*'Assumptions and Catalog'!$H$50+'Assumptions and Catalog'!$E$50+'Assumptions and Catalog'!$F$50,IF(((D174+E174)*C174)&lt;='Assumptions and Catalog'!$C$51,((D174+E174)*C174)*'Assumptions and Catalog'!$H$51+'Assumptions and Catalog'!$E$51+'Assumptions and Catalog'!$F$51,IF(((D174+E174)*C174)&lt;='Assumptions and Catalog'!$C$52,((D174+E174)*C174)*'Assumptions and Catalog'!$H$52+'Assumptions and Catalog'!$E$52+'Assumptions and Catalog'!$F$52,IF(((D174+E174)*C174)&lt;='Assumptions and Catalog'!$C$53,((D174+E174)*C174)*'Assumptions and Catalog'!$H$53+'Assumptions and Catalog'!$E$53+'Assumptions and Catalog'!$F$53,IF(((D174+E174)*C174)&lt;='Assumptions and Catalog'!$C$54,((D174+E174)*C174)*'Assumptions and Catalog'!$H$54+'Assumptions and Catalog'!$E$54+'Assumptions and Catalog'!$F$54,IF(((D174+E174)*C174)&lt;='Assumptions and Catalog'!$C$55,((D174+E174)*C174)*'Assumptions and Catalog'!$H$55+'Assumptions and Catalog'!$E$55+'Assumptions and Catalog'!$F$55,IF(((D174+E174)*C174)&lt;='Assumptions and Catalog'!$C$56,((D174+E174)*C174)*'Assumptions and Catalog'!$H$56+'Assumptions and Catalog'!$E$56+'Assumptions and Catalog'!$F$56,IF(((D174+E174)*C174)&lt;='Assumptions and Catalog'!$C$57,((D174+E174)*C174)*'Assumptions and Catalog'!$H$57+'Assumptions and Catalog'!$E$57+'Assumptions and Catalog'!$F$57,"Out of range")))))))),IF(((D174+E174)*C174)&lt;='Assumptions and Catalog'!$C$60,((D174+E174)*C174)*'Assumptions and Catalog'!$H$60+'Assumptions and Catalog'!$E$60+'Assumptions and Catalog'!$F$60,IF(((D174+E174)*C174)&lt;='Assumptions and Catalog'!$C$61,((D174+E174)*C174)*'Assumptions and Catalog'!$H$61+'Assumptions and Catalog'!$E$61+'Assumptions and Catalog'!$F$61,IF(((D174+E174)*C174)&lt;='Assumptions and Catalog'!$C$62,((D174+E174)*C174)*'Assumptions and Catalog'!$H$62+'Assumptions and Catalog'!$E$62+'Assumptions and Catalog'!$F$62,IF(((D174+E174)*C174)&lt;='Assumptions and Catalog'!$C$63,((D174+E174)*C174)*'Assumptions and Catalog'!$H$63+'Assumptions and Catalog'!$E$63+'Assumptions and Catalog'!$F$63,IF(((D174+E174)*C174)&lt;='Assumptions and Catalog'!$C$64,((D174+E174)*C174)*'Assumptions and Catalog'!$H$64+'Assumptions and Catalog'!$E$64+'Assumptions and Catalog'!$F$64,IF(((D174+E174)*C174)&lt;='Assumptions and Catalog'!$C$65,((D174+E174)*C174)*'Assumptions and Catalog'!$H$65+'Assumptions and Catalog'!$E$65+'Assumptions and Catalog'!$F$65,"Out of range")))))))))*(1+'Assumptions and Catalog'!$C$8)^(A174-1),0)</f>
        <v>8003.0333333333338</v>
      </c>
      <c r="N174" s="5">
        <f>IF(ISNUMBER(Inputs!$L$5),(IF(Inputs!$L$9="Actual flat rate",L174*Inputs!$L$10,IF(Inputs!$C$9="Residential",IF(L174&lt;='Assumptions and Catalog'!$C$50,L174*'Assumptions and Catalog'!$H$50+'Assumptions and Catalog'!$E$50+'Assumptions and Catalog'!$F$50,IF(L174&lt;='Assumptions and Catalog'!$C$51,L174*'Assumptions and Catalog'!$H$51+'Assumptions and Catalog'!$E$51+'Assumptions and Catalog'!$F$51,IF(L174&lt;='Assumptions and Catalog'!$C$52,L174*'Assumptions and Catalog'!$H$52+'Assumptions and Catalog'!$E$52+'Assumptions and Catalog'!$F$52,IF(L174&lt;='Assumptions and Catalog'!$C$53,L174*'Assumptions and Catalog'!$H$53+'Assumptions and Catalog'!$E$53+'Assumptions and Catalog'!$F$53,IF(L174&lt;='Assumptions and Catalog'!$C$54,L174*'Assumptions and Catalog'!$H$54+'Assumptions and Catalog'!$E$54+'Assumptions and Catalog'!$F$54,IF(L174&lt;='Assumptions and Catalog'!$C$55,L174*'Assumptions and Catalog'!$H$55+'Assumptions and Catalog'!$E$55+'Assumptions and Catalog'!$F$55,IF(L174&lt;='Assumptions and Catalog'!$C$56,L174*'Assumptions and Catalog'!$H$56+'Assumptions and Catalog'!$E$56+'Assumptions and Catalog'!$F$56,IF(L174&lt;='Assumptions and Catalog'!$C$57,L174*'Assumptions and Catalog'!$H$57+'Assumptions and Catalog'!$E$57+'Assumptions and Catalog'!$F$57,"Out of range")))))))),IF(L174&lt;='Assumptions and Catalog'!$C$60,L174*'Assumptions and Catalog'!$H$60+'Assumptions and Catalog'!$E$60+'Assumptions and Catalog'!$F$60,IF(L174&lt;='Assumptions and Catalog'!$C$61,L174*'Assumptions and Catalog'!$H$61+'Assumptions and Catalog'!$E$61+'Assumptions and Catalog'!$F$61,IF(L174&lt;='Assumptions and Catalog'!$C$62,L174*'Assumptions and Catalog'!$H$62+'Assumptions and Catalog'!$E$62+'Assumptions and Catalog'!$F$62,IF(L174&lt;='Assumptions and Catalog'!$C$63,L174*'Assumptions and Catalog'!$H$63+'Assumptions and Catalog'!$E$63+'Assumptions and Catalog'!$F$63,IF(L174&lt;='Assumptions and Catalog'!$C$64,L174*'Assumptions and Catalog'!$H$64+'Assumptions and Catalog'!$E$64+'Assumptions and Catalog'!$F$64,IF(L174&lt;='Assumptions and Catalog'!$C$65,L174*'Assumptions and Catalog'!$H$65+'Assumptions and Catalog'!$E$65+'Assumptions and Catalog'!$F$65,"Out of range")))))))))*(1+'Assumptions and Catalog'!$C$8)^(A174-1),0)</f>
        <v>4710.6657478438656</v>
      </c>
      <c r="O174" s="5">
        <f t="shared" si="12"/>
        <v>3292.3675854894682</v>
      </c>
      <c r="P174" s="5">
        <f>C$55*(1-J$14)*(1-'Assumptions and Catalog'!$C$23)^R174</f>
        <v>0</v>
      </c>
      <c r="Q174" s="5">
        <f>IF(ISNUMBER(Inputs!$L$5),(IF(Inputs!$L$9="Actual flat rate",((D174+E174)*C174-G174)*Inputs!$L$10,IF(Inputs!$C$9="Residential",IF(((D174+E174)*C174-G174)&lt;='Assumptions and Catalog'!$C$50,((D174+E174)*C174-G174)*'Assumptions and Catalog'!$H$50+'Assumptions and Catalog'!$E$50+'Assumptions and Catalog'!$F$50,IF(((D174+E174)*C174-G174)&lt;='Assumptions and Catalog'!$C$51,((D174+E174)*C174-G174)*'Assumptions and Catalog'!$H$51+'Assumptions and Catalog'!$E$51+'Assumptions and Catalog'!$F$51,IF(((D174+E174)*C174-G174)&lt;='Assumptions and Catalog'!$C$52,((D174+E174)*C174-G174)*'Assumptions and Catalog'!$H$52+'Assumptions and Catalog'!$E$52+'Assumptions and Catalog'!$F$52,IF(((D174+E174)*C174-G174)&lt;='Assumptions and Catalog'!$C$53,((D174+E174)*C174-G174)*'Assumptions and Catalog'!$H$53+'Assumptions and Catalog'!$E$53+'Assumptions and Catalog'!$F$53,IF(((D174+E174)*C174-G174)&lt;='Assumptions and Catalog'!$C$54,((D174+E174)*C174-G174)*'Assumptions and Catalog'!$H$54+'Assumptions and Catalog'!$E$54+'Assumptions and Catalog'!$F$54,IF(((D174+E174)*C174-G174)&lt;='Assumptions and Catalog'!$C$55,((D174+E174)*C174-G174)*'Assumptions and Catalog'!$H$55+'Assumptions and Catalog'!$E$55+'Assumptions and Catalog'!$F$55,IF(((D174+E174)*C174-G174)&lt;='Assumptions and Catalog'!$C$56,((D174+E174)*C174-G174)*'Assumptions and Catalog'!$H$56+'Assumptions and Catalog'!$E$56+'Assumptions and Catalog'!$F$56,IF(((D174+E174)*C174-G174)&lt;='Assumptions and Catalog'!$C$57,((D174+E174)*C174-G174)*'Assumptions and Catalog'!$H$57+'Assumptions and Catalog'!$E$57+'Assumptions and Catalog'!$F$57,"Out of range")))))))),IF(((D174+E174)*C174-G174)&lt;='Assumptions and Catalog'!$C$60,((D174+E174)*C174-G174)*'Assumptions and Catalog'!$H$60+'Assumptions and Catalog'!$E$60+'Assumptions and Catalog'!$F$60,IF(((D174+E174)*C174-G174)&lt;='Assumptions and Catalog'!$C$61,((D174+E174)*C174-G174)*'Assumptions and Catalog'!$H$61+'Assumptions and Catalog'!$E$61+'Assumptions and Catalog'!$F$61,IF(((D174+E174)*C174-G174)&lt;='Assumptions and Catalog'!$C$62,((D174+E174)*C174-G174)*'Assumptions and Catalog'!$H$62+'Assumptions and Catalog'!$E$62+'Assumptions and Catalog'!$F$62,IF(((D174+E174)*C174-G174)&lt;='Assumptions and Catalog'!$C$63,((D174+E174)*C174-G174)*'Assumptions and Catalog'!$H$63+'Assumptions and Catalog'!$E$63+'Assumptions and Catalog'!$F$63,IF(((D174+E174)*C174-G174)&lt;='Assumptions and Catalog'!$C$64,((D174+E174)*C174-G174)*'Assumptions and Catalog'!$H$64+'Assumptions and Catalog'!$E$64+'Assumptions and Catalog'!$F$64,IF(((D174+E174)*C174-G174)&lt;='Assumptions and Catalog'!$C$65,((D174+E174)*C174-G174)*'Assumptions and Catalog'!$H$65+'Assumptions and Catalog'!$E$65+'Assumptions and Catalog'!$F$65,"Out of range")))))))))*(1+'Assumptions and Catalog'!$C$8)^(A174-1),0)</f>
        <v>4710.6657478438656</v>
      </c>
      <c r="R174" s="5">
        <f>IF(AND('Assumptions and Catalog'!$C$19&gt;0,A174&gt;='Assumptions and Catalog'!$C$19),A174-'Assumptions and Catalog'!$C$19,A174-1)</f>
        <v>1</v>
      </c>
      <c r="S174" s="5">
        <f t="shared" si="13"/>
        <v>0</v>
      </c>
      <c r="T174" s="5"/>
      <c r="U174" s="5"/>
    </row>
    <row r="175" spans="1:21" ht="23.1" customHeight="1" outlineLevel="1" x14ac:dyDescent="0.2">
      <c r="A175" s="5">
        <v>2</v>
      </c>
      <c r="B175" s="5">
        <v>3</v>
      </c>
      <c r="C175" s="5">
        <f>DAY(DATE('Assumptions and Catalog'!$C$24+A175-1,B175+1,0))</f>
        <v>31</v>
      </c>
      <c r="D175" s="5">
        <f>IF(ISNUMBER(Inputs!$L$5),Inputs!$L$5*Inputs!$L$6,0)</f>
        <v>40.35</v>
      </c>
      <c r="E175" s="5">
        <f>IF(ISNUMBER(Inputs!$L$5),Inputs!$L$5-D175,0)</f>
        <v>40.35</v>
      </c>
      <c r="F175" s="5">
        <f>C$51*'Assumptions and Catalog'!$C$31*C175*(1-'Assumptions and Catalog'!$C$10)^(A175-1)</f>
        <v>1029.1742700000002</v>
      </c>
      <c r="G175" s="5">
        <f t="shared" si="8"/>
        <v>1029.1742700000002</v>
      </c>
      <c r="H175" s="5">
        <f>I175/('Assumptions and Catalog'!$C$11*'Assumptions and Catalog'!$C$12)</f>
        <v>0</v>
      </c>
      <c r="I175" s="5">
        <f>0</f>
        <v>0</v>
      </c>
      <c r="J175" s="5">
        <f t="shared" si="9"/>
        <v>0</v>
      </c>
      <c r="K175" s="5">
        <f t="shared" si="10"/>
        <v>0</v>
      </c>
      <c r="L175" s="5">
        <f t="shared" si="11"/>
        <v>1472.5257300000001</v>
      </c>
      <c r="M175" s="5">
        <f>IF(ISNUMBER(Inputs!$L$5),(IF(Inputs!$L$9="Actual flat rate",((D175+E175)*C175)*Inputs!$L$10,IF(Inputs!$C$9="Residential",IF(((D175+E175)*C175)&lt;='Assumptions and Catalog'!$C$50,((D175+E175)*C175)*'Assumptions and Catalog'!$H$50+'Assumptions and Catalog'!$E$50+'Assumptions and Catalog'!$F$50,IF(((D175+E175)*C175)&lt;='Assumptions and Catalog'!$C$51,((D175+E175)*C175)*'Assumptions and Catalog'!$H$51+'Assumptions and Catalog'!$E$51+'Assumptions and Catalog'!$F$51,IF(((D175+E175)*C175)&lt;='Assumptions and Catalog'!$C$52,((D175+E175)*C175)*'Assumptions and Catalog'!$H$52+'Assumptions and Catalog'!$E$52+'Assumptions and Catalog'!$F$52,IF(((D175+E175)*C175)&lt;='Assumptions and Catalog'!$C$53,((D175+E175)*C175)*'Assumptions and Catalog'!$H$53+'Assumptions and Catalog'!$E$53+'Assumptions and Catalog'!$F$53,IF(((D175+E175)*C175)&lt;='Assumptions and Catalog'!$C$54,((D175+E175)*C175)*'Assumptions and Catalog'!$H$54+'Assumptions and Catalog'!$E$54+'Assumptions and Catalog'!$F$54,IF(((D175+E175)*C175)&lt;='Assumptions and Catalog'!$C$55,((D175+E175)*C175)*'Assumptions and Catalog'!$H$55+'Assumptions and Catalog'!$E$55+'Assumptions and Catalog'!$F$55,IF(((D175+E175)*C175)&lt;='Assumptions and Catalog'!$C$56,((D175+E175)*C175)*'Assumptions and Catalog'!$H$56+'Assumptions and Catalog'!$E$56+'Assumptions and Catalog'!$F$56,IF(((D175+E175)*C175)&lt;='Assumptions and Catalog'!$C$57,((D175+E175)*C175)*'Assumptions and Catalog'!$H$57+'Assumptions and Catalog'!$E$57+'Assumptions and Catalog'!$F$57,"Out of range")))))))),IF(((D175+E175)*C175)&lt;='Assumptions and Catalog'!$C$60,((D175+E175)*C175)*'Assumptions and Catalog'!$H$60+'Assumptions and Catalog'!$E$60+'Assumptions and Catalog'!$F$60,IF(((D175+E175)*C175)&lt;='Assumptions and Catalog'!$C$61,((D175+E175)*C175)*'Assumptions and Catalog'!$H$61+'Assumptions and Catalog'!$E$61+'Assumptions and Catalog'!$F$61,IF(((D175+E175)*C175)&lt;='Assumptions and Catalog'!$C$62,((D175+E175)*C175)*'Assumptions and Catalog'!$H$62+'Assumptions and Catalog'!$E$62+'Assumptions and Catalog'!$F$62,IF(((D175+E175)*C175)&lt;='Assumptions and Catalog'!$C$63,((D175+E175)*C175)*'Assumptions and Catalog'!$H$63+'Assumptions and Catalog'!$E$63+'Assumptions and Catalog'!$F$63,IF(((D175+E175)*C175)&lt;='Assumptions and Catalog'!$C$64,((D175+E175)*C175)*'Assumptions and Catalog'!$H$64+'Assumptions and Catalog'!$E$64+'Assumptions and Catalog'!$F$64,IF(((D175+E175)*C175)&lt;='Assumptions and Catalog'!$C$65,((D175+E175)*C175)*'Assumptions and Catalog'!$H$65+'Assumptions and Catalog'!$E$65+'Assumptions and Catalog'!$F$65,"Out of range")))))))))*(1+'Assumptions and Catalog'!$C$8)^(A175-1),0)</f>
        <v>8554.9666666666672</v>
      </c>
      <c r="N175" s="5">
        <f>IF(ISNUMBER(Inputs!$L$5),(IF(Inputs!$L$9="Actual flat rate",L175*Inputs!$L$10,IF(Inputs!$C$9="Residential",IF(L175&lt;='Assumptions and Catalog'!$C$50,L175*'Assumptions and Catalog'!$H$50+'Assumptions and Catalog'!$E$50+'Assumptions and Catalog'!$F$50,IF(L175&lt;='Assumptions and Catalog'!$C$51,L175*'Assumptions and Catalog'!$H$51+'Assumptions and Catalog'!$E$51+'Assumptions and Catalog'!$F$51,IF(L175&lt;='Assumptions and Catalog'!$C$52,L175*'Assumptions and Catalog'!$H$52+'Assumptions and Catalog'!$E$52+'Assumptions and Catalog'!$F$52,IF(L175&lt;='Assumptions and Catalog'!$C$53,L175*'Assumptions and Catalog'!$H$53+'Assumptions and Catalog'!$E$53+'Assumptions and Catalog'!$F$53,IF(L175&lt;='Assumptions and Catalog'!$C$54,L175*'Assumptions and Catalog'!$H$54+'Assumptions and Catalog'!$E$54+'Assumptions and Catalog'!$F$54,IF(L175&lt;='Assumptions and Catalog'!$C$55,L175*'Assumptions and Catalog'!$H$55+'Assumptions and Catalog'!$E$55+'Assumptions and Catalog'!$F$55,IF(L175&lt;='Assumptions and Catalog'!$C$56,L175*'Assumptions and Catalog'!$H$56+'Assumptions and Catalog'!$E$56+'Assumptions and Catalog'!$F$56,IF(L175&lt;='Assumptions and Catalog'!$C$57,L175*'Assumptions and Catalog'!$H$57+'Assumptions and Catalog'!$E$57+'Assumptions and Catalog'!$F$57,"Out of range")))))))),IF(L175&lt;='Assumptions and Catalog'!$C$60,L175*'Assumptions and Catalog'!$H$60+'Assumptions and Catalog'!$E$60+'Assumptions and Catalog'!$F$60,IF(L175&lt;='Assumptions and Catalog'!$C$61,L175*'Assumptions and Catalog'!$H$61+'Assumptions and Catalog'!$E$61+'Assumptions and Catalog'!$F$61,IF(L175&lt;='Assumptions and Catalog'!$C$62,L175*'Assumptions and Catalog'!$H$62+'Assumptions and Catalog'!$E$62+'Assumptions and Catalog'!$F$62,IF(L175&lt;='Assumptions and Catalog'!$C$63,L175*'Assumptions and Catalog'!$H$63+'Assumptions and Catalog'!$E$63+'Assumptions and Catalog'!$F$63,IF(L175&lt;='Assumptions and Catalog'!$C$64,L175*'Assumptions and Catalog'!$H$64+'Assumptions and Catalog'!$E$64+'Assumptions and Catalog'!$F$64,IF(L175&lt;='Assumptions and Catalog'!$C$65,L175*'Assumptions and Catalog'!$H$65+'Assumptions and Catalog'!$E$65+'Assumptions and Catalog'!$F$65,"Out of range")))))))))*(1+'Assumptions and Catalog'!$C$8)^(A175-1),0)</f>
        <v>5035.5392476951674</v>
      </c>
      <c r="O175" s="5">
        <f t="shared" si="12"/>
        <v>3519.4274189714997</v>
      </c>
      <c r="P175" s="5">
        <f>C$55*(1-J$14)*(1-'Assumptions and Catalog'!$C$23)^R175</f>
        <v>0</v>
      </c>
      <c r="Q175" s="5">
        <f>IF(ISNUMBER(Inputs!$L$5),(IF(Inputs!$L$9="Actual flat rate",((D175+E175)*C175-G175)*Inputs!$L$10,IF(Inputs!$C$9="Residential",IF(((D175+E175)*C175-G175)&lt;='Assumptions and Catalog'!$C$50,((D175+E175)*C175-G175)*'Assumptions and Catalog'!$H$50+'Assumptions and Catalog'!$E$50+'Assumptions and Catalog'!$F$50,IF(((D175+E175)*C175-G175)&lt;='Assumptions and Catalog'!$C$51,((D175+E175)*C175-G175)*'Assumptions and Catalog'!$H$51+'Assumptions and Catalog'!$E$51+'Assumptions and Catalog'!$F$51,IF(((D175+E175)*C175-G175)&lt;='Assumptions and Catalog'!$C$52,((D175+E175)*C175-G175)*'Assumptions and Catalog'!$H$52+'Assumptions and Catalog'!$E$52+'Assumptions and Catalog'!$F$52,IF(((D175+E175)*C175-G175)&lt;='Assumptions and Catalog'!$C$53,((D175+E175)*C175-G175)*'Assumptions and Catalog'!$H$53+'Assumptions and Catalog'!$E$53+'Assumptions and Catalog'!$F$53,IF(((D175+E175)*C175-G175)&lt;='Assumptions and Catalog'!$C$54,((D175+E175)*C175-G175)*'Assumptions and Catalog'!$H$54+'Assumptions and Catalog'!$E$54+'Assumptions and Catalog'!$F$54,IF(((D175+E175)*C175-G175)&lt;='Assumptions and Catalog'!$C$55,((D175+E175)*C175-G175)*'Assumptions and Catalog'!$H$55+'Assumptions and Catalog'!$E$55+'Assumptions and Catalog'!$F$55,IF(((D175+E175)*C175-G175)&lt;='Assumptions and Catalog'!$C$56,((D175+E175)*C175-G175)*'Assumptions and Catalog'!$H$56+'Assumptions and Catalog'!$E$56+'Assumptions and Catalog'!$F$56,IF(((D175+E175)*C175-G175)&lt;='Assumptions and Catalog'!$C$57,((D175+E175)*C175-G175)*'Assumptions and Catalog'!$H$57+'Assumptions and Catalog'!$E$57+'Assumptions and Catalog'!$F$57,"Out of range")))))))),IF(((D175+E175)*C175-G175)&lt;='Assumptions and Catalog'!$C$60,((D175+E175)*C175-G175)*'Assumptions and Catalog'!$H$60+'Assumptions and Catalog'!$E$60+'Assumptions and Catalog'!$F$60,IF(((D175+E175)*C175-G175)&lt;='Assumptions and Catalog'!$C$61,((D175+E175)*C175-G175)*'Assumptions and Catalog'!$H$61+'Assumptions and Catalog'!$E$61+'Assumptions and Catalog'!$F$61,IF(((D175+E175)*C175-G175)&lt;='Assumptions and Catalog'!$C$62,((D175+E175)*C175-G175)*'Assumptions and Catalog'!$H$62+'Assumptions and Catalog'!$E$62+'Assumptions and Catalog'!$F$62,IF(((D175+E175)*C175-G175)&lt;='Assumptions and Catalog'!$C$63,((D175+E175)*C175-G175)*'Assumptions and Catalog'!$H$63+'Assumptions and Catalog'!$E$63+'Assumptions and Catalog'!$F$63,IF(((D175+E175)*C175-G175)&lt;='Assumptions and Catalog'!$C$64,((D175+E175)*C175-G175)*'Assumptions and Catalog'!$H$64+'Assumptions and Catalog'!$E$64+'Assumptions and Catalog'!$F$64,IF(((D175+E175)*C175-G175)&lt;='Assumptions and Catalog'!$C$65,((D175+E175)*C175-G175)*'Assumptions and Catalog'!$H$65+'Assumptions and Catalog'!$E$65+'Assumptions and Catalog'!$F$65,"Out of range")))))))))*(1+'Assumptions and Catalog'!$C$8)^(A175-1),0)</f>
        <v>5035.5392476951674</v>
      </c>
      <c r="R175" s="5">
        <f>IF(AND('Assumptions and Catalog'!$C$19&gt;0,A175&gt;='Assumptions and Catalog'!$C$19),A175-'Assumptions and Catalog'!$C$19,A175-1)</f>
        <v>1</v>
      </c>
      <c r="S175" s="5">
        <f t="shared" si="13"/>
        <v>0</v>
      </c>
      <c r="T175" s="5"/>
      <c r="U175" s="5"/>
    </row>
    <row r="176" spans="1:21" ht="23.1" customHeight="1" outlineLevel="1" x14ac:dyDescent="0.2">
      <c r="A176" s="5">
        <v>2</v>
      </c>
      <c r="B176" s="5">
        <v>4</v>
      </c>
      <c r="C176" s="5">
        <f>DAY(DATE('Assumptions and Catalog'!$C$24+A176-1,B176+1,0))</f>
        <v>30</v>
      </c>
      <c r="D176" s="5">
        <f>IF(ISNUMBER(Inputs!$L$5),Inputs!$L$5*Inputs!$L$6,0)</f>
        <v>40.35</v>
      </c>
      <c r="E176" s="5">
        <f>IF(ISNUMBER(Inputs!$L$5),Inputs!$L$5-D176,0)</f>
        <v>40.35</v>
      </c>
      <c r="F176" s="5">
        <f>C$51*'Assumptions and Catalog'!$C$31*C176*(1-'Assumptions and Catalog'!$C$10)^(A176-1)</f>
        <v>995.97510000000023</v>
      </c>
      <c r="G176" s="5">
        <f t="shared" si="8"/>
        <v>995.97510000000023</v>
      </c>
      <c r="H176" s="5">
        <f>I176/('Assumptions and Catalog'!$C$11*'Assumptions and Catalog'!$C$12)</f>
        <v>0</v>
      </c>
      <c r="I176" s="5">
        <f>0</f>
        <v>0</v>
      </c>
      <c r="J176" s="5">
        <f t="shared" si="9"/>
        <v>0</v>
      </c>
      <c r="K176" s="5">
        <f t="shared" si="10"/>
        <v>0</v>
      </c>
      <c r="L176" s="5">
        <f t="shared" si="11"/>
        <v>1425.0248999999999</v>
      </c>
      <c r="M176" s="5">
        <f>IF(ISNUMBER(Inputs!$L$5),(IF(Inputs!$L$9="Actual flat rate",((D176+E176)*C176)*Inputs!$L$10,IF(Inputs!$C$9="Residential",IF(((D176+E176)*C176)&lt;='Assumptions and Catalog'!$C$50,((D176+E176)*C176)*'Assumptions and Catalog'!$H$50+'Assumptions and Catalog'!$E$50+'Assumptions and Catalog'!$F$50,IF(((D176+E176)*C176)&lt;='Assumptions and Catalog'!$C$51,((D176+E176)*C176)*'Assumptions and Catalog'!$H$51+'Assumptions and Catalog'!$E$51+'Assumptions and Catalog'!$F$51,IF(((D176+E176)*C176)&lt;='Assumptions and Catalog'!$C$52,((D176+E176)*C176)*'Assumptions and Catalog'!$H$52+'Assumptions and Catalog'!$E$52+'Assumptions and Catalog'!$F$52,IF(((D176+E176)*C176)&lt;='Assumptions and Catalog'!$C$53,((D176+E176)*C176)*'Assumptions and Catalog'!$H$53+'Assumptions and Catalog'!$E$53+'Assumptions and Catalog'!$F$53,IF(((D176+E176)*C176)&lt;='Assumptions and Catalog'!$C$54,((D176+E176)*C176)*'Assumptions and Catalog'!$H$54+'Assumptions and Catalog'!$E$54+'Assumptions and Catalog'!$F$54,IF(((D176+E176)*C176)&lt;='Assumptions and Catalog'!$C$55,((D176+E176)*C176)*'Assumptions and Catalog'!$H$55+'Assumptions and Catalog'!$E$55+'Assumptions and Catalog'!$F$55,IF(((D176+E176)*C176)&lt;='Assumptions and Catalog'!$C$56,((D176+E176)*C176)*'Assumptions and Catalog'!$H$56+'Assumptions and Catalog'!$E$56+'Assumptions and Catalog'!$F$56,IF(((D176+E176)*C176)&lt;='Assumptions and Catalog'!$C$57,((D176+E176)*C176)*'Assumptions and Catalog'!$H$57+'Assumptions and Catalog'!$E$57+'Assumptions and Catalog'!$F$57,"Out of range")))))))),IF(((D176+E176)*C176)&lt;='Assumptions and Catalog'!$C$60,((D176+E176)*C176)*'Assumptions and Catalog'!$H$60+'Assumptions and Catalog'!$E$60+'Assumptions and Catalog'!$F$60,IF(((D176+E176)*C176)&lt;='Assumptions and Catalog'!$C$61,((D176+E176)*C176)*'Assumptions and Catalog'!$H$61+'Assumptions and Catalog'!$E$61+'Assumptions and Catalog'!$F$61,IF(((D176+E176)*C176)&lt;='Assumptions and Catalog'!$C$62,((D176+E176)*C176)*'Assumptions and Catalog'!$H$62+'Assumptions and Catalog'!$E$62+'Assumptions and Catalog'!$F$62,IF(((D176+E176)*C176)&lt;='Assumptions and Catalog'!$C$63,((D176+E176)*C176)*'Assumptions and Catalog'!$H$63+'Assumptions and Catalog'!$E$63+'Assumptions and Catalog'!$F$63,IF(((D176+E176)*C176)&lt;='Assumptions and Catalog'!$C$64,((D176+E176)*C176)*'Assumptions and Catalog'!$H$64+'Assumptions and Catalog'!$E$64+'Assumptions and Catalog'!$F$64,IF(((D176+E176)*C176)&lt;='Assumptions and Catalog'!$C$65,((D176+E176)*C176)*'Assumptions and Catalog'!$H$65+'Assumptions and Catalog'!$E$65+'Assumptions and Catalog'!$F$65,"Out of range")))))))))*(1+'Assumptions and Catalog'!$C$8)^(A176-1),0)</f>
        <v>8279</v>
      </c>
      <c r="N176" s="5">
        <f>IF(ISNUMBER(Inputs!$L$5),(IF(Inputs!$L$9="Actual flat rate",L176*Inputs!$L$10,IF(Inputs!$C$9="Residential",IF(L176&lt;='Assumptions and Catalog'!$C$50,L176*'Assumptions and Catalog'!$H$50+'Assumptions and Catalog'!$E$50+'Assumptions and Catalog'!$F$50,IF(L176&lt;='Assumptions and Catalog'!$C$51,L176*'Assumptions and Catalog'!$H$51+'Assumptions and Catalog'!$E$51+'Assumptions and Catalog'!$F$51,IF(L176&lt;='Assumptions and Catalog'!$C$52,L176*'Assumptions and Catalog'!$H$52+'Assumptions and Catalog'!$E$52+'Assumptions and Catalog'!$F$52,IF(L176&lt;='Assumptions and Catalog'!$C$53,L176*'Assumptions and Catalog'!$H$53+'Assumptions and Catalog'!$E$53+'Assumptions and Catalog'!$F$53,IF(L176&lt;='Assumptions and Catalog'!$C$54,L176*'Assumptions and Catalog'!$H$54+'Assumptions and Catalog'!$E$54+'Assumptions and Catalog'!$F$54,IF(L176&lt;='Assumptions and Catalog'!$C$55,L176*'Assumptions and Catalog'!$H$55+'Assumptions and Catalog'!$E$55+'Assumptions and Catalog'!$F$55,IF(L176&lt;='Assumptions and Catalog'!$C$56,L176*'Assumptions and Catalog'!$H$56+'Assumptions and Catalog'!$E$56+'Assumptions and Catalog'!$F$56,IF(L176&lt;='Assumptions and Catalog'!$C$57,L176*'Assumptions and Catalog'!$H$57+'Assumptions and Catalog'!$E$57+'Assumptions and Catalog'!$F$57,"Out of range")))))))),IF(L176&lt;='Assumptions and Catalog'!$C$60,L176*'Assumptions and Catalog'!$H$60+'Assumptions and Catalog'!$E$60+'Assumptions and Catalog'!$F$60,IF(L176&lt;='Assumptions and Catalog'!$C$61,L176*'Assumptions and Catalog'!$H$61+'Assumptions and Catalog'!$E$61+'Assumptions and Catalog'!$F$61,IF(L176&lt;='Assumptions and Catalog'!$C$62,L176*'Assumptions and Catalog'!$H$62+'Assumptions and Catalog'!$E$62+'Assumptions and Catalog'!$F$62,IF(L176&lt;='Assumptions and Catalog'!$C$63,L176*'Assumptions and Catalog'!$H$63+'Assumptions and Catalog'!$E$63+'Assumptions and Catalog'!$F$63,IF(L176&lt;='Assumptions and Catalog'!$C$64,L176*'Assumptions and Catalog'!$H$64+'Assumptions and Catalog'!$E$64+'Assumptions and Catalog'!$F$64,IF(L176&lt;='Assumptions and Catalog'!$C$65,L176*'Assumptions and Catalog'!$H$65+'Assumptions and Catalog'!$E$65+'Assumptions and Catalog'!$F$65,"Out of range")))))))))*(1+'Assumptions and Catalog'!$C$8)^(A176-1),0)</f>
        <v>4873.102497769516</v>
      </c>
      <c r="O176" s="5">
        <f t="shared" si="12"/>
        <v>3405.897502230484</v>
      </c>
      <c r="P176" s="5">
        <f>C$55*(1-J$14)*(1-'Assumptions and Catalog'!$C$23)^R176</f>
        <v>0</v>
      </c>
      <c r="Q176" s="5">
        <f>IF(ISNUMBER(Inputs!$L$5),(IF(Inputs!$L$9="Actual flat rate",((D176+E176)*C176-G176)*Inputs!$L$10,IF(Inputs!$C$9="Residential",IF(((D176+E176)*C176-G176)&lt;='Assumptions and Catalog'!$C$50,((D176+E176)*C176-G176)*'Assumptions and Catalog'!$H$50+'Assumptions and Catalog'!$E$50+'Assumptions and Catalog'!$F$50,IF(((D176+E176)*C176-G176)&lt;='Assumptions and Catalog'!$C$51,((D176+E176)*C176-G176)*'Assumptions and Catalog'!$H$51+'Assumptions and Catalog'!$E$51+'Assumptions and Catalog'!$F$51,IF(((D176+E176)*C176-G176)&lt;='Assumptions and Catalog'!$C$52,((D176+E176)*C176-G176)*'Assumptions and Catalog'!$H$52+'Assumptions and Catalog'!$E$52+'Assumptions and Catalog'!$F$52,IF(((D176+E176)*C176-G176)&lt;='Assumptions and Catalog'!$C$53,((D176+E176)*C176-G176)*'Assumptions and Catalog'!$H$53+'Assumptions and Catalog'!$E$53+'Assumptions and Catalog'!$F$53,IF(((D176+E176)*C176-G176)&lt;='Assumptions and Catalog'!$C$54,((D176+E176)*C176-G176)*'Assumptions and Catalog'!$H$54+'Assumptions and Catalog'!$E$54+'Assumptions and Catalog'!$F$54,IF(((D176+E176)*C176-G176)&lt;='Assumptions and Catalog'!$C$55,((D176+E176)*C176-G176)*'Assumptions and Catalog'!$H$55+'Assumptions and Catalog'!$E$55+'Assumptions and Catalog'!$F$55,IF(((D176+E176)*C176-G176)&lt;='Assumptions and Catalog'!$C$56,((D176+E176)*C176-G176)*'Assumptions and Catalog'!$H$56+'Assumptions and Catalog'!$E$56+'Assumptions and Catalog'!$F$56,IF(((D176+E176)*C176-G176)&lt;='Assumptions and Catalog'!$C$57,((D176+E176)*C176-G176)*'Assumptions and Catalog'!$H$57+'Assumptions and Catalog'!$E$57+'Assumptions and Catalog'!$F$57,"Out of range")))))))),IF(((D176+E176)*C176-G176)&lt;='Assumptions and Catalog'!$C$60,((D176+E176)*C176-G176)*'Assumptions and Catalog'!$H$60+'Assumptions and Catalog'!$E$60+'Assumptions and Catalog'!$F$60,IF(((D176+E176)*C176-G176)&lt;='Assumptions and Catalog'!$C$61,((D176+E176)*C176-G176)*'Assumptions and Catalog'!$H$61+'Assumptions and Catalog'!$E$61+'Assumptions and Catalog'!$F$61,IF(((D176+E176)*C176-G176)&lt;='Assumptions and Catalog'!$C$62,((D176+E176)*C176-G176)*'Assumptions and Catalog'!$H$62+'Assumptions and Catalog'!$E$62+'Assumptions and Catalog'!$F$62,IF(((D176+E176)*C176-G176)&lt;='Assumptions and Catalog'!$C$63,((D176+E176)*C176-G176)*'Assumptions and Catalog'!$H$63+'Assumptions and Catalog'!$E$63+'Assumptions and Catalog'!$F$63,IF(((D176+E176)*C176-G176)&lt;='Assumptions and Catalog'!$C$64,((D176+E176)*C176-G176)*'Assumptions and Catalog'!$H$64+'Assumptions and Catalog'!$E$64+'Assumptions and Catalog'!$F$64,IF(((D176+E176)*C176-G176)&lt;='Assumptions and Catalog'!$C$65,((D176+E176)*C176-G176)*'Assumptions and Catalog'!$H$65+'Assumptions and Catalog'!$E$65+'Assumptions and Catalog'!$F$65,"Out of range")))))))))*(1+'Assumptions and Catalog'!$C$8)^(A176-1),0)</f>
        <v>4873.102497769516</v>
      </c>
      <c r="R176" s="5">
        <f>IF(AND('Assumptions and Catalog'!$C$19&gt;0,A176&gt;='Assumptions and Catalog'!$C$19),A176-'Assumptions and Catalog'!$C$19,A176-1)</f>
        <v>1</v>
      </c>
      <c r="S176" s="5">
        <f t="shared" si="13"/>
        <v>0</v>
      </c>
      <c r="T176" s="5"/>
      <c r="U176" s="5"/>
    </row>
    <row r="177" spans="1:21" ht="23.1" customHeight="1" outlineLevel="1" x14ac:dyDescent="0.2">
      <c r="A177" s="5">
        <v>2</v>
      </c>
      <c r="B177" s="5">
        <v>5</v>
      </c>
      <c r="C177" s="5">
        <f>DAY(DATE('Assumptions and Catalog'!$C$24+A177-1,B177+1,0))</f>
        <v>31</v>
      </c>
      <c r="D177" s="5">
        <f>IF(ISNUMBER(Inputs!$L$5),Inputs!$L$5*Inputs!$L$6,0)</f>
        <v>40.35</v>
      </c>
      <c r="E177" s="5">
        <f>IF(ISNUMBER(Inputs!$L$5),Inputs!$L$5-D177,0)</f>
        <v>40.35</v>
      </c>
      <c r="F177" s="5">
        <f>C$51*'Assumptions and Catalog'!$C$31*C177*(1-'Assumptions and Catalog'!$C$10)^(A177-1)</f>
        <v>1029.1742700000002</v>
      </c>
      <c r="G177" s="5">
        <f t="shared" si="8"/>
        <v>1029.1742700000002</v>
      </c>
      <c r="H177" s="5">
        <f>I177/('Assumptions and Catalog'!$C$11*'Assumptions and Catalog'!$C$12)</f>
        <v>0</v>
      </c>
      <c r="I177" s="5">
        <f>0</f>
        <v>0</v>
      </c>
      <c r="J177" s="5">
        <f t="shared" si="9"/>
        <v>0</v>
      </c>
      <c r="K177" s="5">
        <f t="shared" si="10"/>
        <v>0</v>
      </c>
      <c r="L177" s="5">
        <f t="shared" si="11"/>
        <v>1472.5257300000001</v>
      </c>
      <c r="M177" s="5">
        <f>IF(ISNUMBER(Inputs!$L$5),(IF(Inputs!$L$9="Actual flat rate",((D177+E177)*C177)*Inputs!$L$10,IF(Inputs!$C$9="Residential",IF(((D177+E177)*C177)&lt;='Assumptions and Catalog'!$C$50,((D177+E177)*C177)*'Assumptions and Catalog'!$H$50+'Assumptions and Catalog'!$E$50+'Assumptions and Catalog'!$F$50,IF(((D177+E177)*C177)&lt;='Assumptions and Catalog'!$C$51,((D177+E177)*C177)*'Assumptions and Catalog'!$H$51+'Assumptions and Catalog'!$E$51+'Assumptions and Catalog'!$F$51,IF(((D177+E177)*C177)&lt;='Assumptions and Catalog'!$C$52,((D177+E177)*C177)*'Assumptions and Catalog'!$H$52+'Assumptions and Catalog'!$E$52+'Assumptions and Catalog'!$F$52,IF(((D177+E177)*C177)&lt;='Assumptions and Catalog'!$C$53,((D177+E177)*C177)*'Assumptions and Catalog'!$H$53+'Assumptions and Catalog'!$E$53+'Assumptions and Catalog'!$F$53,IF(((D177+E177)*C177)&lt;='Assumptions and Catalog'!$C$54,((D177+E177)*C177)*'Assumptions and Catalog'!$H$54+'Assumptions and Catalog'!$E$54+'Assumptions and Catalog'!$F$54,IF(((D177+E177)*C177)&lt;='Assumptions and Catalog'!$C$55,((D177+E177)*C177)*'Assumptions and Catalog'!$H$55+'Assumptions and Catalog'!$E$55+'Assumptions and Catalog'!$F$55,IF(((D177+E177)*C177)&lt;='Assumptions and Catalog'!$C$56,((D177+E177)*C177)*'Assumptions and Catalog'!$H$56+'Assumptions and Catalog'!$E$56+'Assumptions and Catalog'!$F$56,IF(((D177+E177)*C177)&lt;='Assumptions and Catalog'!$C$57,((D177+E177)*C177)*'Assumptions and Catalog'!$H$57+'Assumptions and Catalog'!$E$57+'Assumptions and Catalog'!$F$57,"Out of range")))))))),IF(((D177+E177)*C177)&lt;='Assumptions and Catalog'!$C$60,((D177+E177)*C177)*'Assumptions and Catalog'!$H$60+'Assumptions and Catalog'!$E$60+'Assumptions and Catalog'!$F$60,IF(((D177+E177)*C177)&lt;='Assumptions and Catalog'!$C$61,((D177+E177)*C177)*'Assumptions and Catalog'!$H$61+'Assumptions and Catalog'!$E$61+'Assumptions and Catalog'!$F$61,IF(((D177+E177)*C177)&lt;='Assumptions and Catalog'!$C$62,((D177+E177)*C177)*'Assumptions and Catalog'!$H$62+'Assumptions and Catalog'!$E$62+'Assumptions and Catalog'!$F$62,IF(((D177+E177)*C177)&lt;='Assumptions and Catalog'!$C$63,((D177+E177)*C177)*'Assumptions and Catalog'!$H$63+'Assumptions and Catalog'!$E$63+'Assumptions and Catalog'!$F$63,IF(((D177+E177)*C177)&lt;='Assumptions and Catalog'!$C$64,((D177+E177)*C177)*'Assumptions and Catalog'!$H$64+'Assumptions and Catalog'!$E$64+'Assumptions and Catalog'!$F$64,IF(((D177+E177)*C177)&lt;='Assumptions and Catalog'!$C$65,((D177+E177)*C177)*'Assumptions and Catalog'!$H$65+'Assumptions and Catalog'!$E$65+'Assumptions and Catalog'!$F$65,"Out of range")))))))))*(1+'Assumptions and Catalog'!$C$8)^(A177-1),0)</f>
        <v>8554.9666666666672</v>
      </c>
      <c r="N177" s="5">
        <f>IF(ISNUMBER(Inputs!$L$5),(IF(Inputs!$L$9="Actual flat rate",L177*Inputs!$L$10,IF(Inputs!$C$9="Residential",IF(L177&lt;='Assumptions and Catalog'!$C$50,L177*'Assumptions and Catalog'!$H$50+'Assumptions and Catalog'!$E$50+'Assumptions and Catalog'!$F$50,IF(L177&lt;='Assumptions and Catalog'!$C$51,L177*'Assumptions and Catalog'!$H$51+'Assumptions and Catalog'!$E$51+'Assumptions and Catalog'!$F$51,IF(L177&lt;='Assumptions and Catalog'!$C$52,L177*'Assumptions and Catalog'!$H$52+'Assumptions and Catalog'!$E$52+'Assumptions and Catalog'!$F$52,IF(L177&lt;='Assumptions and Catalog'!$C$53,L177*'Assumptions and Catalog'!$H$53+'Assumptions and Catalog'!$E$53+'Assumptions and Catalog'!$F$53,IF(L177&lt;='Assumptions and Catalog'!$C$54,L177*'Assumptions and Catalog'!$H$54+'Assumptions and Catalog'!$E$54+'Assumptions and Catalog'!$F$54,IF(L177&lt;='Assumptions and Catalog'!$C$55,L177*'Assumptions and Catalog'!$H$55+'Assumptions and Catalog'!$E$55+'Assumptions and Catalog'!$F$55,IF(L177&lt;='Assumptions and Catalog'!$C$56,L177*'Assumptions and Catalog'!$H$56+'Assumptions and Catalog'!$E$56+'Assumptions and Catalog'!$F$56,IF(L177&lt;='Assumptions and Catalog'!$C$57,L177*'Assumptions and Catalog'!$H$57+'Assumptions and Catalog'!$E$57+'Assumptions and Catalog'!$F$57,"Out of range")))))))),IF(L177&lt;='Assumptions and Catalog'!$C$60,L177*'Assumptions and Catalog'!$H$60+'Assumptions and Catalog'!$E$60+'Assumptions and Catalog'!$F$60,IF(L177&lt;='Assumptions and Catalog'!$C$61,L177*'Assumptions and Catalog'!$H$61+'Assumptions and Catalog'!$E$61+'Assumptions and Catalog'!$F$61,IF(L177&lt;='Assumptions and Catalog'!$C$62,L177*'Assumptions and Catalog'!$H$62+'Assumptions and Catalog'!$E$62+'Assumptions and Catalog'!$F$62,IF(L177&lt;='Assumptions and Catalog'!$C$63,L177*'Assumptions and Catalog'!$H$63+'Assumptions and Catalog'!$E$63+'Assumptions and Catalog'!$F$63,IF(L177&lt;='Assumptions and Catalog'!$C$64,L177*'Assumptions and Catalog'!$H$64+'Assumptions and Catalog'!$E$64+'Assumptions and Catalog'!$F$64,IF(L177&lt;='Assumptions and Catalog'!$C$65,L177*'Assumptions and Catalog'!$H$65+'Assumptions and Catalog'!$E$65+'Assumptions and Catalog'!$F$65,"Out of range")))))))))*(1+'Assumptions and Catalog'!$C$8)^(A177-1),0)</f>
        <v>5035.5392476951674</v>
      </c>
      <c r="O177" s="5">
        <f t="shared" si="12"/>
        <v>3519.4274189714997</v>
      </c>
      <c r="P177" s="5">
        <f>C$55*(1-J$14)*(1-'Assumptions and Catalog'!$C$23)^R177</f>
        <v>0</v>
      </c>
      <c r="Q177" s="5">
        <f>IF(ISNUMBER(Inputs!$L$5),(IF(Inputs!$L$9="Actual flat rate",((D177+E177)*C177-G177)*Inputs!$L$10,IF(Inputs!$C$9="Residential",IF(((D177+E177)*C177-G177)&lt;='Assumptions and Catalog'!$C$50,((D177+E177)*C177-G177)*'Assumptions and Catalog'!$H$50+'Assumptions and Catalog'!$E$50+'Assumptions and Catalog'!$F$50,IF(((D177+E177)*C177-G177)&lt;='Assumptions and Catalog'!$C$51,((D177+E177)*C177-G177)*'Assumptions and Catalog'!$H$51+'Assumptions and Catalog'!$E$51+'Assumptions and Catalog'!$F$51,IF(((D177+E177)*C177-G177)&lt;='Assumptions and Catalog'!$C$52,((D177+E177)*C177-G177)*'Assumptions and Catalog'!$H$52+'Assumptions and Catalog'!$E$52+'Assumptions and Catalog'!$F$52,IF(((D177+E177)*C177-G177)&lt;='Assumptions and Catalog'!$C$53,((D177+E177)*C177-G177)*'Assumptions and Catalog'!$H$53+'Assumptions and Catalog'!$E$53+'Assumptions and Catalog'!$F$53,IF(((D177+E177)*C177-G177)&lt;='Assumptions and Catalog'!$C$54,((D177+E177)*C177-G177)*'Assumptions and Catalog'!$H$54+'Assumptions and Catalog'!$E$54+'Assumptions and Catalog'!$F$54,IF(((D177+E177)*C177-G177)&lt;='Assumptions and Catalog'!$C$55,((D177+E177)*C177-G177)*'Assumptions and Catalog'!$H$55+'Assumptions and Catalog'!$E$55+'Assumptions and Catalog'!$F$55,IF(((D177+E177)*C177-G177)&lt;='Assumptions and Catalog'!$C$56,((D177+E177)*C177-G177)*'Assumptions and Catalog'!$H$56+'Assumptions and Catalog'!$E$56+'Assumptions and Catalog'!$F$56,IF(((D177+E177)*C177-G177)&lt;='Assumptions and Catalog'!$C$57,((D177+E177)*C177-G177)*'Assumptions and Catalog'!$H$57+'Assumptions and Catalog'!$E$57+'Assumptions and Catalog'!$F$57,"Out of range")))))))),IF(((D177+E177)*C177-G177)&lt;='Assumptions and Catalog'!$C$60,((D177+E177)*C177-G177)*'Assumptions and Catalog'!$H$60+'Assumptions and Catalog'!$E$60+'Assumptions and Catalog'!$F$60,IF(((D177+E177)*C177-G177)&lt;='Assumptions and Catalog'!$C$61,((D177+E177)*C177-G177)*'Assumptions and Catalog'!$H$61+'Assumptions and Catalog'!$E$61+'Assumptions and Catalog'!$F$61,IF(((D177+E177)*C177-G177)&lt;='Assumptions and Catalog'!$C$62,((D177+E177)*C177-G177)*'Assumptions and Catalog'!$H$62+'Assumptions and Catalog'!$E$62+'Assumptions and Catalog'!$F$62,IF(((D177+E177)*C177-G177)&lt;='Assumptions and Catalog'!$C$63,((D177+E177)*C177-G177)*'Assumptions and Catalog'!$H$63+'Assumptions and Catalog'!$E$63+'Assumptions and Catalog'!$F$63,IF(((D177+E177)*C177-G177)&lt;='Assumptions and Catalog'!$C$64,((D177+E177)*C177-G177)*'Assumptions and Catalog'!$H$64+'Assumptions and Catalog'!$E$64+'Assumptions and Catalog'!$F$64,IF(((D177+E177)*C177-G177)&lt;='Assumptions and Catalog'!$C$65,((D177+E177)*C177-G177)*'Assumptions and Catalog'!$H$65+'Assumptions and Catalog'!$E$65+'Assumptions and Catalog'!$F$65,"Out of range")))))))))*(1+'Assumptions and Catalog'!$C$8)^(A177-1),0)</f>
        <v>5035.5392476951674</v>
      </c>
      <c r="R177" s="5">
        <f>IF(AND('Assumptions and Catalog'!$C$19&gt;0,A177&gt;='Assumptions and Catalog'!$C$19),A177-'Assumptions and Catalog'!$C$19,A177-1)</f>
        <v>1</v>
      </c>
      <c r="S177" s="5">
        <f t="shared" si="13"/>
        <v>0</v>
      </c>
      <c r="T177" s="5"/>
      <c r="U177" s="5"/>
    </row>
    <row r="178" spans="1:21" ht="23.1" customHeight="1" outlineLevel="1" x14ac:dyDescent="0.2">
      <c r="A178" s="5">
        <v>2</v>
      </c>
      <c r="B178" s="5">
        <v>6</v>
      </c>
      <c r="C178" s="5">
        <f>DAY(DATE('Assumptions and Catalog'!$C$24+A178-1,B178+1,0))</f>
        <v>30</v>
      </c>
      <c r="D178" s="5">
        <f>IF(ISNUMBER(Inputs!$L$5),Inputs!$L$5*Inputs!$L$6,0)</f>
        <v>40.35</v>
      </c>
      <c r="E178" s="5">
        <f>IF(ISNUMBER(Inputs!$L$5),Inputs!$L$5-D178,0)</f>
        <v>40.35</v>
      </c>
      <c r="F178" s="5">
        <f>C$51*'Assumptions and Catalog'!$C$31*C178*(1-'Assumptions and Catalog'!$C$10)^(A178-1)</f>
        <v>995.97510000000023</v>
      </c>
      <c r="G178" s="5">
        <f t="shared" si="8"/>
        <v>995.97510000000023</v>
      </c>
      <c r="H178" s="5">
        <f>I178/('Assumptions and Catalog'!$C$11*'Assumptions and Catalog'!$C$12)</f>
        <v>0</v>
      </c>
      <c r="I178" s="5">
        <f>0</f>
        <v>0</v>
      </c>
      <c r="J178" s="5">
        <f t="shared" si="9"/>
        <v>0</v>
      </c>
      <c r="K178" s="5">
        <f t="shared" si="10"/>
        <v>0</v>
      </c>
      <c r="L178" s="5">
        <f t="shared" si="11"/>
        <v>1425.0248999999999</v>
      </c>
      <c r="M178" s="5">
        <f>IF(ISNUMBER(Inputs!$L$5),(IF(Inputs!$L$9="Actual flat rate",((D178+E178)*C178)*Inputs!$L$10,IF(Inputs!$C$9="Residential",IF(((D178+E178)*C178)&lt;='Assumptions and Catalog'!$C$50,((D178+E178)*C178)*'Assumptions and Catalog'!$H$50+'Assumptions and Catalog'!$E$50+'Assumptions and Catalog'!$F$50,IF(((D178+E178)*C178)&lt;='Assumptions and Catalog'!$C$51,((D178+E178)*C178)*'Assumptions and Catalog'!$H$51+'Assumptions and Catalog'!$E$51+'Assumptions and Catalog'!$F$51,IF(((D178+E178)*C178)&lt;='Assumptions and Catalog'!$C$52,((D178+E178)*C178)*'Assumptions and Catalog'!$H$52+'Assumptions and Catalog'!$E$52+'Assumptions and Catalog'!$F$52,IF(((D178+E178)*C178)&lt;='Assumptions and Catalog'!$C$53,((D178+E178)*C178)*'Assumptions and Catalog'!$H$53+'Assumptions and Catalog'!$E$53+'Assumptions and Catalog'!$F$53,IF(((D178+E178)*C178)&lt;='Assumptions and Catalog'!$C$54,((D178+E178)*C178)*'Assumptions and Catalog'!$H$54+'Assumptions and Catalog'!$E$54+'Assumptions and Catalog'!$F$54,IF(((D178+E178)*C178)&lt;='Assumptions and Catalog'!$C$55,((D178+E178)*C178)*'Assumptions and Catalog'!$H$55+'Assumptions and Catalog'!$E$55+'Assumptions and Catalog'!$F$55,IF(((D178+E178)*C178)&lt;='Assumptions and Catalog'!$C$56,((D178+E178)*C178)*'Assumptions and Catalog'!$H$56+'Assumptions and Catalog'!$E$56+'Assumptions and Catalog'!$F$56,IF(((D178+E178)*C178)&lt;='Assumptions and Catalog'!$C$57,((D178+E178)*C178)*'Assumptions and Catalog'!$H$57+'Assumptions and Catalog'!$E$57+'Assumptions and Catalog'!$F$57,"Out of range")))))))),IF(((D178+E178)*C178)&lt;='Assumptions and Catalog'!$C$60,((D178+E178)*C178)*'Assumptions and Catalog'!$H$60+'Assumptions and Catalog'!$E$60+'Assumptions and Catalog'!$F$60,IF(((D178+E178)*C178)&lt;='Assumptions and Catalog'!$C$61,((D178+E178)*C178)*'Assumptions and Catalog'!$H$61+'Assumptions and Catalog'!$E$61+'Assumptions and Catalog'!$F$61,IF(((D178+E178)*C178)&lt;='Assumptions and Catalog'!$C$62,((D178+E178)*C178)*'Assumptions and Catalog'!$H$62+'Assumptions and Catalog'!$E$62+'Assumptions and Catalog'!$F$62,IF(((D178+E178)*C178)&lt;='Assumptions and Catalog'!$C$63,((D178+E178)*C178)*'Assumptions and Catalog'!$H$63+'Assumptions and Catalog'!$E$63+'Assumptions and Catalog'!$F$63,IF(((D178+E178)*C178)&lt;='Assumptions and Catalog'!$C$64,((D178+E178)*C178)*'Assumptions and Catalog'!$H$64+'Assumptions and Catalog'!$E$64+'Assumptions and Catalog'!$F$64,IF(((D178+E178)*C178)&lt;='Assumptions and Catalog'!$C$65,((D178+E178)*C178)*'Assumptions and Catalog'!$H$65+'Assumptions and Catalog'!$E$65+'Assumptions and Catalog'!$F$65,"Out of range")))))))))*(1+'Assumptions and Catalog'!$C$8)^(A178-1),0)</f>
        <v>8279</v>
      </c>
      <c r="N178" s="5">
        <f>IF(ISNUMBER(Inputs!$L$5),(IF(Inputs!$L$9="Actual flat rate",L178*Inputs!$L$10,IF(Inputs!$C$9="Residential",IF(L178&lt;='Assumptions and Catalog'!$C$50,L178*'Assumptions and Catalog'!$H$50+'Assumptions and Catalog'!$E$50+'Assumptions and Catalog'!$F$50,IF(L178&lt;='Assumptions and Catalog'!$C$51,L178*'Assumptions and Catalog'!$H$51+'Assumptions and Catalog'!$E$51+'Assumptions and Catalog'!$F$51,IF(L178&lt;='Assumptions and Catalog'!$C$52,L178*'Assumptions and Catalog'!$H$52+'Assumptions and Catalog'!$E$52+'Assumptions and Catalog'!$F$52,IF(L178&lt;='Assumptions and Catalog'!$C$53,L178*'Assumptions and Catalog'!$H$53+'Assumptions and Catalog'!$E$53+'Assumptions and Catalog'!$F$53,IF(L178&lt;='Assumptions and Catalog'!$C$54,L178*'Assumptions and Catalog'!$H$54+'Assumptions and Catalog'!$E$54+'Assumptions and Catalog'!$F$54,IF(L178&lt;='Assumptions and Catalog'!$C$55,L178*'Assumptions and Catalog'!$H$55+'Assumptions and Catalog'!$E$55+'Assumptions and Catalog'!$F$55,IF(L178&lt;='Assumptions and Catalog'!$C$56,L178*'Assumptions and Catalog'!$H$56+'Assumptions and Catalog'!$E$56+'Assumptions and Catalog'!$F$56,IF(L178&lt;='Assumptions and Catalog'!$C$57,L178*'Assumptions and Catalog'!$H$57+'Assumptions and Catalog'!$E$57+'Assumptions and Catalog'!$F$57,"Out of range")))))))),IF(L178&lt;='Assumptions and Catalog'!$C$60,L178*'Assumptions and Catalog'!$H$60+'Assumptions and Catalog'!$E$60+'Assumptions and Catalog'!$F$60,IF(L178&lt;='Assumptions and Catalog'!$C$61,L178*'Assumptions and Catalog'!$H$61+'Assumptions and Catalog'!$E$61+'Assumptions and Catalog'!$F$61,IF(L178&lt;='Assumptions and Catalog'!$C$62,L178*'Assumptions and Catalog'!$H$62+'Assumptions and Catalog'!$E$62+'Assumptions and Catalog'!$F$62,IF(L178&lt;='Assumptions and Catalog'!$C$63,L178*'Assumptions and Catalog'!$H$63+'Assumptions and Catalog'!$E$63+'Assumptions and Catalog'!$F$63,IF(L178&lt;='Assumptions and Catalog'!$C$64,L178*'Assumptions and Catalog'!$H$64+'Assumptions and Catalog'!$E$64+'Assumptions and Catalog'!$F$64,IF(L178&lt;='Assumptions and Catalog'!$C$65,L178*'Assumptions and Catalog'!$H$65+'Assumptions and Catalog'!$E$65+'Assumptions and Catalog'!$F$65,"Out of range")))))))))*(1+'Assumptions and Catalog'!$C$8)^(A178-1),0)</f>
        <v>4873.102497769516</v>
      </c>
      <c r="O178" s="5">
        <f t="shared" si="12"/>
        <v>3405.897502230484</v>
      </c>
      <c r="P178" s="5">
        <f>C$55*(1-J$14)*(1-'Assumptions and Catalog'!$C$23)^R178</f>
        <v>0</v>
      </c>
      <c r="Q178" s="5">
        <f>IF(ISNUMBER(Inputs!$L$5),(IF(Inputs!$L$9="Actual flat rate",((D178+E178)*C178-G178)*Inputs!$L$10,IF(Inputs!$C$9="Residential",IF(((D178+E178)*C178-G178)&lt;='Assumptions and Catalog'!$C$50,((D178+E178)*C178-G178)*'Assumptions and Catalog'!$H$50+'Assumptions and Catalog'!$E$50+'Assumptions and Catalog'!$F$50,IF(((D178+E178)*C178-G178)&lt;='Assumptions and Catalog'!$C$51,((D178+E178)*C178-G178)*'Assumptions and Catalog'!$H$51+'Assumptions and Catalog'!$E$51+'Assumptions and Catalog'!$F$51,IF(((D178+E178)*C178-G178)&lt;='Assumptions and Catalog'!$C$52,((D178+E178)*C178-G178)*'Assumptions and Catalog'!$H$52+'Assumptions and Catalog'!$E$52+'Assumptions and Catalog'!$F$52,IF(((D178+E178)*C178-G178)&lt;='Assumptions and Catalog'!$C$53,((D178+E178)*C178-G178)*'Assumptions and Catalog'!$H$53+'Assumptions and Catalog'!$E$53+'Assumptions and Catalog'!$F$53,IF(((D178+E178)*C178-G178)&lt;='Assumptions and Catalog'!$C$54,((D178+E178)*C178-G178)*'Assumptions and Catalog'!$H$54+'Assumptions and Catalog'!$E$54+'Assumptions and Catalog'!$F$54,IF(((D178+E178)*C178-G178)&lt;='Assumptions and Catalog'!$C$55,((D178+E178)*C178-G178)*'Assumptions and Catalog'!$H$55+'Assumptions and Catalog'!$E$55+'Assumptions and Catalog'!$F$55,IF(((D178+E178)*C178-G178)&lt;='Assumptions and Catalog'!$C$56,((D178+E178)*C178-G178)*'Assumptions and Catalog'!$H$56+'Assumptions and Catalog'!$E$56+'Assumptions and Catalog'!$F$56,IF(((D178+E178)*C178-G178)&lt;='Assumptions and Catalog'!$C$57,((D178+E178)*C178-G178)*'Assumptions and Catalog'!$H$57+'Assumptions and Catalog'!$E$57+'Assumptions and Catalog'!$F$57,"Out of range")))))))),IF(((D178+E178)*C178-G178)&lt;='Assumptions and Catalog'!$C$60,((D178+E178)*C178-G178)*'Assumptions and Catalog'!$H$60+'Assumptions and Catalog'!$E$60+'Assumptions and Catalog'!$F$60,IF(((D178+E178)*C178-G178)&lt;='Assumptions and Catalog'!$C$61,((D178+E178)*C178-G178)*'Assumptions and Catalog'!$H$61+'Assumptions and Catalog'!$E$61+'Assumptions and Catalog'!$F$61,IF(((D178+E178)*C178-G178)&lt;='Assumptions and Catalog'!$C$62,((D178+E178)*C178-G178)*'Assumptions and Catalog'!$H$62+'Assumptions and Catalog'!$E$62+'Assumptions and Catalog'!$F$62,IF(((D178+E178)*C178-G178)&lt;='Assumptions and Catalog'!$C$63,((D178+E178)*C178-G178)*'Assumptions and Catalog'!$H$63+'Assumptions and Catalog'!$E$63+'Assumptions and Catalog'!$F$63,IF(((D178+E178)*C178-G178)&lt;='Assumptions and Catalog'!$C$64,((D178+E178)*C178-G178)*'Assumptions and Catalog'!$H$64+'Assumptions and Catalog'!$E$64+'Assumptions and Catalog'!$F$64,IF(((D178+E178)*C178-G178)&lt;='Assumptions and Catalog'!$C$65,((D178+E178)*C178-G178)*'Assumptions and Catalog'!$H$65+'Assumptions and Catalog'!$E$65+'Assumptions and Catalog'!$F$65,"Out of range")))))))))*(1+'Assumptions and Catalog'!$C$8)^(A178-1),0)</f>
        <v>4873.102497769516</v>
      </c>
      <c r="R178" s="5">
        <f>IF(AND('Assumptions and Catalog'!$C$19&gt;0,A178&gt;='Assumptions and Catalog'!$C$19),A178-'Assumptions and Catalog'!$C$19,A178-1)</f>
        <v>1</v>
      </c>
      <c r="S178" s="5">
        <f t="shared" si="13"/>
        <v>0</v>
      </c>
      <c r="T178" s="5"/>
      <c r="U178" s="5"/>
    </row>
    <row r="179" spans="1:21" ht="23.1" customHeight="1" outlineLevel="1" x14ac:dyDescent="0.2">
      <c r="A179" s="5">
        <v>2</v>
      </c>
      <c r="B179" s="5">
        <v>7</v>
      </c>
      <c r="C179" s="5">
        <f>DAY(DATE('Assumptions and Catalog'!$C$24+A179-1,B179+1,0))</f>
        <v>31</v>
      </c>
      <c r="D179" s="5">
        <f>IF(ISNUMBER(Inputs!$L$5),Inputs!$L$5*Inputs!$L$6,0)</f>
        <v>40.35</v>
      </c>
      <c r="E179" s="5">
        <f>IF(ISNUMBER(Inputs!$L$5),Inputs!$L$5-D179,0)</f>
        <v>40.35</v>
      </c>
      <c r="F179" s="5">
        <f>C$51*'Assumptions and Catalog'!$C$31*C179*(1-'Assumptions and Catalog'!$C$10)^(A179-1)</f>
        <v>1029.1742700000002</v>
      </c>
      <c r="G179" s="5">
        <f t="shared" si="8"/>
        <v>1029.1742700000002</v>
      </c>
      <c r="H179" s="5">
        <f>I179/('Assumptions and Catalog'!$C$11*'Assumptions and Catalog'!$C$12)</f>
        <v>0</v>
      </c>
      <c r="I179" s="5">
        <f>0</f>
        <v>0</v>
      </c>
      <c r="J179" s="5">
        <f t="shared" si="9"/>
        <v>0</v>
      </c>
      <c r="K179" s="5">
        <f t="shared" si="10"/>
        <v>0</v>
      </c>
      <c r="L179" s="5">
        <f t="shared" si="11"/>
        <v>1472.5257300000001</v>
      </c>
      <c r="M179" s="5">
        <f>IF(ISNUMBER(Inputs!$L$5),(IF(Inputs!$L$9="Actual flat rate",((D179+E179)*C179)*Inputs!$L$10,IF(Inputs!$C$9="Residential",IF(((D179+E179)*C179)&lt;='Assumptions and Catalog'!$C$50,((D179+E179)*C179)*'Assumptions and Catalog'!$H$50+'Assumptions and Catalog'!$E$50+'Assumptions and Catalog'!$F$50,IF(((D179+E179)*C179)&lt;='Assumptions and Catalog'!$C$51,((D179+E179)*C179)*'Assumptions and Catalog'!$H$51+'Assumptions and Catalog'!$E$51+'Assumptions and Catalog'!$F$51,IF(((D179+E179)*C179)&lt;='Assumptions and Catalog'!$C$52,((D179+E179)*C179)*'Assumptions and Catalog'!$H$52+'Assumptions and Catalog'!$E$52+'Assumptions and Catalog'!$F$52,IF(((D179+E179)*C179)&lt;='Assumptions and Catalog'!$C$53,((D179+E179)*C179)*'Assumptions and Catalog'!$H$53+'Assumptions and Catalog'!$E$53+'Assumptions and Catalog'!$F$53,IF(((D179+E179)*C179)&lt;='Assumptions and Catalog'!$C$54,((D179+E179)*C179)*'Assumptions and Catalog'!$H$54+'Assumptions and Catalog'!$E$54+'Assumptions and Catalog'!$F$54,IF(((D179+E179)*C179)&lt;='Assumptions and Catalog'!$C$55,((D179+E179)*C179)*'Assumptions and Catalog'!$H$55+'Assumptions and Catalog'!$E$55+'Assumptions and Catalog'!$F$55,IF(((D179+E179)*C179)&lt;='Assumptions and Catalog'!$C$56,((D179+E179)*C179)*'Assumptions and Catalog'!$H$56+'Assumptions and Catalog'!$E$56+'Assumptions and Catalog'!$F$56,IF(((D179+E179)*C179)&lt;='Assumptions and Catalog'!$C$57,((D179+E179)*C179)*'Assumptions and Catalog'!$H$57+'Assumptions and Catalog'!$E$57+'Assumptions and Catalog'!$F$57,"Out of range")))))))),IF(((D179+E179)*C179)&lt;='Assumptions and Catalog'!$C$60,((D179+E179)*C179)*'Assumptions and Catalog'!$H$60+'Assumptions and Catalog'!$E$60+'Assumptions and Catalog'!$F$60,IF(((D179+E179)*C179)&lt;='Assumptions and Catalog'!$C$61,((D179+E179)*C179)*'Assumptions and Catalog'!$H$61+'Assumptions and Catalog'!$E$61+'Assumptions and Catalog'!$F$61,IF(((D179+E179)*C179)&lt;='Assumptions and Catalog'!$C$62,((D179+E179)*C179)*'Assumptions and Catalog'!$H$62+'Assumptions and Catalog'!$E$62+'Assumptions and Catalog'!$F$62,IF(((D179+E179)*C179)&lt;='Assumptions and Catalog'!$C$63,((D179+E179)*C179)*'Assumptions and Catalog'!$H$63+'Assumptions and Catalog'!$E$63+'Assumptions and Catalog'!$F$63,IF(((D179+E179)*C179)&lt;='Assumptions and Catalog'!$C$64,((D179+E179)*C179)*'Assumptions and Catalog'!$H$64+'Assumptions and Catalog'!$E$64+'Assumptions and Catalog'!$F$64,IF(((D179+E179)*C179)&lt;='Assumptions and Catalog'!$C$65,((D179+E179)*C179)*'Assumptions and Catalog'!$H$65+'Assumptions and Catalog'!$E$65+'Assumptions and Catalog'!$F$65,"Out of range")))))))))*(1+'Assumptions and Catalog'!$C$8)^(A179-1),0)</f>
        <v>8554.9666666666672</v>
      </c>
      <c r="N179" s="5">
        <f>IF(ISNUMBER(Inputs!$L$5),(IF(Inputs!$L$9="Actual flat rate",L179*Inputs!$L$10,IF(Inputs!$C$9="Residential",IF(L179&lt;='Assumptions and Catalog'!$C$50,L179*'Assumptions and Catalog'!$H$50+'Assumptions and Catalog'!$E$50+'Assumptions and Catalog'!$F$50,IF(L179&lt;='Assumptions and Catalog'!$C$51,L179*'Assumptions and Catalog'!$H$51+'Assumptions and Catalog'!$E$51+'Assumptions and Catalog'!$F$51,IF(L179&lt;='Assumptions and Catalog'!$C$52,L179*'Assumptions and Catalog'!$H$52+'Assumptions and Catalog'!$E$52+'Assumptions and Catalog'!$F$52,IF(L179&lt;='Assumptions and Catalog'!$C$53,L179*'Assumptions and Catalog'!$H$53+'Assumptions and Catalog'!$E$53+'Assumptions and Catalog'!$F$53,IF(L179&lt;='Assumptions and Catalog'!$C$54,L179*'Assumptions and Catalog'!$H$54+'Assumptions and Catalog'!$E$54+'Assumptions and Catalog'!$F$54,IF(L179&lt;='Assumptions and Catalog'!$C$55,L179*'Assumptions and Catalog'!$H$55+'Assumptions and Catalog'!$E$55+'Assumptions and Catalog'!$F$55,IF(L179&lt;='Assumptions and Catalog'!$C$56,L179*'Assumptions and Catalog'!$H$56+'Assumptions and Catalog'!$E$56+'Assumptions and Catalog'!$F$56,IF(L179&lt;='Assumptions and Catalog'!$C$57,L179*'Assumptions and Catalog'!$H$57+'Assumptions and Catalog'!$E$57+'Assumptions and Catalog'!$F$57,"Out of range")))))))),IF(L179&lt;='Assumptions and Catalog'!$C$60,L179*'Assumptions and Catalog'!$H$60+'Assumptions and Catalog'!$E$60+'Assumptions and Catalog'!$F$60,IF(L179&lt;='Assumptions and Catalog'!$C$61,L179*'Assumptions and Catalog'!$H$61+'Assumptions and Catalog'!$E$61+'Assumptions and Catalog'!$F$61,IF(L179&lt;='Assumptions and Catalog'!$C$62,L179*'Assumptions and Catalog'!$H$62+'Assumptions and Catalog'!$E$62+'Assumptions and Catalog'!$F$62,IF(L179&lt;='Assumptions and Catalog'!$C$63,L179*'Assumptions and Catalog'!$H$63+'Assumptions and Catalog'!$E$63+'Assumptions and Catalog'!$F$63,IF(L179&lt;='Assumptions and Catalog'!$C$64,L179*'Assumptions and Catalog'!$H$64+'Assumptions and Catalog'!$E$64+'Assumptions and Catalog'!$F$64,IF(L179&lt;='Assumptions and Catalog'!$C$65,L179*'Assumptions and Catalog'!$H$65+'Assumptions and Catalog'!$E$65+'Assumptions and Catalog'!$F$65,"Out of range")))))))))*(1+'Assumptions and Catalog'!$C$8)^(A179-1),0)</f>
        <v>5035.5392476951674</v>
      </c>
      <c r="O179" s="5">
        <f t="shared" si="12"/>
        <v>3519.4274189714997</v>
      </c>
      <c r="P179" s="5">
        <f>C$55*(1-J$14)*(1-'Assumptions and Catalog'!$C$23)^R179</f>
        <v>0</v>
      </c>
      <c r="Q179" s="5">
        <f>IF(ISNUMBER(Inputs!$L$5),(IF(Inputs!$L$9="Actual flat rate",((D179+E179)*C179-G179)*Inputs!$L$10,IF(Inputs!$C$9="Residential",IF(((D179+E179)*C179-G179)&lt;='Assumptions and Catalog'!$C$50,((D179+E179)*C179-G179)*'Assumptions and Catalog'!$H$50+'Assumptions and Catalog'!$E$50+'Assumptions and Catalog'!$F$50,IF(((D179+E179)*C179-G179)&lt;='Assumptions and Catalog'!$C$51,((D179+E179)*C179-G179)*'Assumptions and Catalog'!$H$51+'Assumptions and Catalog'!$E$51+'Assumptions and Catalog'!$F$51,IF(((D179+E179)*C179-G179)&lt;='Assumptions and Catalog'!$C$52,((D179+E179)*C179-G179)*'Assumptions and Catalog'!$H$52+'Assumptions and Catalog'!$E$52+'Assumptions and Catalog'!$F$52,IF(((D179+E179)*C179-G179)&lt;='Assumptions and Catalog'!$C$53,((D179+E179)*C179-G179)*'Assumptions and Catalog'!$H$53+'Assumptions and Catalog'!$E$53+'Assumptions and Catalog'!$F$53,IF(((D179+E179)*C179-G179)&lt;='Assumptions and Catalog'!$C$54,((D179+E179)*C179-G179)*'Assumptions and Catalog'!$H$54+'Assumptions and Catalog'!$E$54+'Assumptions and Catalog'!$F$54,IF(((D179+E179)*C179-G179)&lt;='Assumptions and Catalog'!$C$55,((D179+E179)*C179-G179)*'Assumptions and Catalog'!$H$55+'Assumptions and Catalog'!$E$55+'Assumptions and Catalog'!$F$55,IF(((D179+E179)*C179-G179)&lt;='Assumptions and Catalog'!$C$56,((D179+E179)*C179-G179)*'Assumptions and Catalog'!$H$56+'Assumptions and Catalog'!$E$56+'Assumptions and Catalog'!$F$56,IF(((D179+E179)*C179-G179)&lt;='Assumptions and Catalog'!$C$57,((D179+E179)*C179-G179)*'Assumptions and Catalog'!$H$57+'Assumptions and Catalog'!$E$57+'Assumptions and Catalog'!$F$57,"Out of range")))))))),IF(((D179+E179)*C179-G179)&lt;='Assumptions and Catalog'!$C$60,((D179+E179)*C179-G179)*'Assumptions and Catalog'!$H$60+'Assumptions and Catalog'!$E$60+'Assumptions and Catalog'!$F$60,IF(((D179+E179)*C179-G179)&lt;='Assumptions and Catalog'!$C$61,((D179+E179)*C179-G179)*'Assumptions and Catalog'!$H$61+'Assumptions and Catalog'!$E$61+'Assumptions and Catalog'!$F$61,IF(((D179+E179)*C179-G179)&lt;='Assumptions and Catalog'!$C$62,((D179+E179)*C179-G179)*'Assumptions and Catalog'!$H$62+'Assumptions and Catalog'!$E$62+'Assumptions and Catalog'!$F$62,IF(((D179+E179)*C179-G179)&lt;='Assumptions and Catalog'!$C$63,((D179+E179)*C179-G179)*'Assumptions and Catalog'!$H$63+'Assumptions and Catalog'!$E$63+'Assumptions and Catalog'!$F$63,IF(((D179+E179)*C179-G179)&lt;='Assumptions and Catalog'!$C$64,((D179+E179)*C179-G179)*'Assumptions and Catalog'!$H$64+'Assumptions and Catalog'!$E$64+'Assumptions and Catalog'!$F$64,IF(((D179+E179)*C179-G179)&lt;='Assumptions and Catalog'!$C$65,((D179+E179)*C179-G179)*'Assumptions and Catalog'!$H$65+'Assumptions and Catalog'!$E$65+'Assumptions and Catalog'!$F$65,"Out of range")))))))))*(1+'Assumptions and Catalog'!$C$8)^(A179-1),0)</f>
        <v>5035.5392476951674</v>
      </c>
      <c r="R179" s="5">
        <f>IF(AND('Assumptions and Catalog'!$C$19&gt;0,A179&gt;='Assumptions and Catalog'!$C$19),A179-'Assumptions and Catalog'!$C$19,A179-1)</f>
        <v>1</v>
      </c>
      <c r="S179" s="5">
        <f t="shared" si="13"/>
        <v>0</v>
      </c>
      <c r="T179" s="5"/>
      <c r="U179" s="5"/>
    </row>
    <row r="180" spans="1:21" ht="23.1" customHeight="1" outlineLevel="1" x14ac:dyDescent="0.2">
      <c r="A180" s="5">
        <v>2</v>
      </c>
      <c r="B180" s="5">
        <v>8</v>
      </c>
      <c r="C180" s="5">
        <f>DAY(DATE('Assumptions and Catalog'!$C$24+A180-1,B180+1,0))</f>
        <v>31</v>
      </c>
      <c r="D180" s="5">
        <f>IF(ISNUMBER(Inputs!$L$5),Inputs!$L$5*Inputs!$L$6,0)</f>
        <v>40.35</v>
      </c>
      <c r="E180" s="5">
        <f>IF(ISNUMBER(Inputs!$L$5),Inputs!$L$5-D180,0)</f>
        <v>40.35</v>
      </c>
      <c r="F180" s="5">
        <f>C$51*'Assumptions and Catalog'!$C$31*C180*(1-'Assumptions and Catalog'!$C$10)^(A180-1)</f>
        <v>1029.1742700000002</v>
      </c>
      <c r="G180" s="5">
        <f t="shared" si="8"/>
        <v>1029.1742700000002</v>
      </c>
      <c r="H180" s="5">
        <f>I180/('Assumptions and Catalog'!$C$11*'Assumptions and Catalog'!$C$12)</f>
        <v>0</v>
      </c>
      <c r="I180" s="5">
        <f>0</f>
        <v>0</v>
      </c>
      <c r="J180" s="5">
        <f t="shared" si="9"/>
        <v>0</v>
      </c>
      <c r="K180" s="5">
        <f t="shared" si="10"/>
        <v>0</v>
      </c>
      <c r="L180" s="5">
        <f t="shared" si="11"/>
        <v>1472.5257300000001</v>
      </c>
      <c r="M180" s="5">
        <f>IF(ISNUMBER(Inputs!$L$5),(IF(Inputs!$L$9="Actual flat rate",((D180+E180)*C180)*Inputs!$L$10,IF(Inputs!$C$9="Residential",IF(((D180+E180)*C180)&lt;='Assumptions and Catalog'!$C$50,((D180+E180)*C180)*'Assumptions and Catalog'!$H$50+'Assumptions and Catalog'!$E$50+'Assumptions and Catalog'!$F$50,IF(((D180+E180)*C180)&lt;='Assumptions and Catalog'!$C$51,((D180+E180)*C180)*'Assumptions and Catalog'!$H$51+'Assumptions and Catalog'!$E$51+'Assumptions and Catalog'!$F$51,IF(((D180+E180)*C180)&lt;='Assumptions and Catalog'!$C$52,((D180+E180)*C180)*'Assumptions and Catalog'!$H$52+'Assumptions and Catalog'!$E$52+'Assumptions and Catalog'!$F$52,IF(((D180+E180)*C180)&lt;='Assumptions and Catalog'!$C$53,((D180+E180)*C180)*'Assumptions and Catalog'!$H$53+'Assumptions and Catalog'!$E$53+'Assumptions and Catalog'!$F$53,IF(((D180+E180)*C180)&lt;='Assumptions and Catalog'!$C$54,((D180+E180)*C180)*'Assumptions and Catalog'!$H$54+'Assumptions and Catalog'!$E$54+'Assumptions and Catalog'!$F$54,IF(((D180+E180)*C180)&lt;='Assumptions and Catalog'!$C$55,((D180+E180)*C180)*'Assumptions and Catalog'!$H$55+'Assumptions and Catalog'!$E$55+'Assumptions and Catalog'!$F$55,IF(((D180+E180)*C180)&lt;='Assumptions and Catalog'!$C$56,((D180+E180)*C180)*'Assumptions and Catalog'!$H$56+'Assumptions and Catalog'!$E$56+'Assumptions and Catalog'!$F$56,IF(((D180+E180)*C180)&lt;='Assumptions and Catalog'!$C$57,((D180+E180)*C180)*'Assumptions and Catalog'!$H$57+'Assumptions and Catalog'!$E$57+'Assumptions and Catalog'!$F$57,"Out of range")))))))),IF(((D180+E180)*C180)&lt;='Assumptions and Catalog'!$C$60,((D180+E180)*C180)*'Assumptions and Catalog'!$H$60+'Assumptions and Catalog'!$E$60+'Assumptions and Catalog'!$F$60,IF(((D180+E180)*C180)&lt;='Assumptions and Catalog'!$C$61,((D180+E180)*C180)*'Assumptions and Catalog'!$H$61+'Assumptions and Catalog'!$E$61+'Assumptions and Catalog'!$F$61,IF(((D180+E180)*C180)&lt;='Assumptions and Catalog'!$C$62,((D180+E180)*C180)*'Assumptions and Catalog'!$H$62+'Assumptions and Catalog'!$E$62+'Assumptions and Catalog'!$F$62,IF(((D180+E180)*C180)&lt;='Assumptions and Catalog'!$C$63,((D180+E180)*C180)*'Assumptions and Catalog'!$H$63+'Assumptions and Catalog'!$E$63+'Assumptions and Catalog'!$F$63,IF(((D180+E180)*C180)&lt;='Assumptions and Catalog'!$C$64,((D180+E180)*C180)*'Assumptions and Catalog'!$H$64+'Assumptions and Catalog'!$E$64+'Assumptions and Catalog'!$F$64,IF(((D180+E180)*C180)&lt;='Assumptions and Catalog'!$C$65,((D180+E180)*C180)*'Assumptions and Catalog'!$H$65+'Assumptions and Catalog'!$E$65+'Assumptions and Catalog'!$F$65,"Out of range")))))))))*(1+'Assumptions and Catalog'!$C$8)^(A180-1),0)</f>
        <v>8554.9666666666672</v>
      </c>
      <c r="N180" s="5">
        <f>IF(ISNUMBER(Inputs!$L$5),(IF(Inputs!$L$9="Actual flat rate",L180*Inputs!$L$10,IF(Inputs!$C$9="Residential",IF(L180&lt;='Assumptions and Catalog'!$C$50,L180*'Assumptions and Catalog'!$H$50+'Assumptions and Catalog'!$E$50+'Assumptions and Catalog'!$F$50,IF(L180&lt;='Assumptions and Catalog'!$C$51,L180*'Assumptions and Catalog'!$H$51+'Assumptions and Catalog'!$E$51+'Assumptions and Catalog'!$F$51,IF(L180&lt;='Assumptions and Catalog'!$C$52,L180*'Assumptions and Catalog'!$H$52+'Assumptions and Catalog'!$E$52+'Assumptions and Catalog'!$F$52,IF(L180&lt;='Assumptions and Catalog'!$C$53,L180*'Assumptions and Catalog'!$H$53+'Assumptions and Catalog'!$E$53+'Assumptions and Catalog'!$F$53,IF(L180&lt;='Assumptions and Catalog'!$C$54,L180*'Assumptions and Catalog'!$H$54+'Assumptions and Catalog'!$E$54+'Assumptions and Catalog'!$F$54,IF(L180&lt;='Assumptions and Catalog'!$C$55,L180*'Assumptions and Catalog'!$H$55+'Assumptions and Catalog'!$E$55+'Assumptions and Catalog'!$F$55,IF(L180&lt;='Assumptions and Catalog'!$C$56,L180*'Assumptions and Catalog'!$H$56+'Assumptions and Catalog'!$E$56+'Assumptions and Catalog'!$F$56,IF(L180&lt;='Assumptions and Catalog'!$C$57,L180*'Assumptions and Catalog'!$H$57+'Assumptions and Catalog'!$E$57+'Assumptions and Catalog'!$F$57,"Out of range")))))))),IF(L180&lt;='Assumptions and Catalog'!$C$60,L180*'Assumptions and Catalog'!$H$60+'Assumptions and Catalog'!$E$60+'Assumptions and Catalog'!$F$60,IF(L180&lt;='Assumptions and Catalog'!$C$61,L180*'Assumptions and Catalog'!$H$61+'Assumptions and Catalog'!$E$61+'Assumptions and Catalog'!$F$61,IF(L180&lt;='Assumptions and Catalog'!$C$62,L180*'Assumptions and Catalog'!$H$62+'Assumptions and Catalog'!$E$62+'Assumptions and Catalog'!$F$62,IF(L180&lt;='Assumptions and Catalog'!$C$63,L180*'Assumptions and Catalog'!$H$63+'Assumptions and Catalog'!$E$63+'Assumptions and Catalog'!$F$63,IF(L180&lt;='Assumptions and Catalog'!$C$64,L180*'Assumptions and Catalog'!$H$64+'Assumptions and Catalog'!$E$64+'Assumptions and Catalog'!$F$64,IF(L180&lt;='Assumptions and Catalog'!$C$65,L180*'Assumptions and Catalog'!$H$65+'Assumptions and Catalog'!$E$65+'Assumptions and Catalog'!$F$65,"Out of range")))))))))*(1+'Assumptions and Catalog'!$C$8)^(A180-1),0)</f>
        <v>5035.5392476951674</v>
      </c>
      <c r="O180" s="5">
        <f t="shared" si="12"/>
        <v>3519.4274189714997</v>
      </c>
      <c r="P180" s="5">
        <f>C$55*(1-J$14)*(1-'Assumptions and Catalog'!$C$23)^R180</f>
        <v>0</v>
      </c>
      <c r="Q180" s="5">
        <f>IF(ISNUMBER(Inputs!$L$5),(IF(Inputs!$L$9="Actual flat rate",((D180+E180)*C180-G180)*Inputs!$L$10,IF(Inputs!$C$9="Residential",IF(((D180+E180)*C180-G180)&lt;='Assumptions and Catalog'!$C$50,((D180+E180)*C180-G180)*'Assumptions and Catalog'!$H$50+'Assumptions and Catalog'!$E$50+'Assumptions and Catalog'!$F$50,IF(((D180+E180)*C180-G180)&lt;='Assumptions and Catalog'!$C$51,((D180+E180)*C180-G180)*'Assumptions and Catalog'!$H$51+'Assumptions and Catalog'!$E$51+'Assumptions and Catalog'!$F$51,IF(((D180+E180)*C180-G180)&lt;='Assumptions and Catalog'!$C$52,((D180+E180)*C180-G180)*'Assumptions and Catalog'!$H$52+'Assumptions and Catalog'!$E$52+'Assumptions and Catalog'!$F$52,IF(((D180+E180)*C180-G180)&lt;='Assumptions and Catalog'!$C$53,((D180+E180)*C180-G180)*'Assumptions and Catalog'!$H$53+'Assumptions and Catalog'!$E$53+'Assumptions and Catalog'!$F$53,IF(((D180+E180)*C180-G180)&lt;='Assumptions and Catalog'!$C$54,((D180+E180)*C180-G180)*'Assumptions and Catalog'!$H$54+'Assumptions and Catalog'!$E$54+'Assumptions and Catalog'!$F$54,IF(((D180+E180)*C180-G180)&lt;='Assumptions and Catalog'!$C$55,((D180+E180)*C180-G180)*'Assumptions and Catalog'!$H$55+'Assumptions and Catalog'!$E$55+'Assumptions and Catalog'!$F$55,IF(((D180+E180)*C180-G180)&lt;='Assumptions and Catalog'!$C$56,((D180+E180)*C180-G180)*'Assumptions and Catalog'!$H$56+'Assumptions and Catalog'!$E$56+'Assumptions and Catalog'!$F$56,IF(((D180+E180)*C180-G180)&lt;='Assumptions and Catalog'!$C$57,((D180+E180)*C180-G180)*'Assumptions and Catalog'!$H$57+'Assumptions and Catalog'!$E$57+'Assumptions and Catalog'!$F$57,"Out of range")))))))),IF(((D180+E180)*C180-G180)&lt;='Assumptions and Catalog'!$C$60,((D180+E180)*C180-G180)*'Assumptions and Catalog'!$H$60+'Assumptions and Catalog'!$E$60+'Assumptions and Catalog'!$F$60,IF(((D180+E180)*C180-G180)&lt;='Assumptions and Catalog'!$C$61,((D180+E180)*C180-G180)*'Assumptions and Catalog'!$H$61+'Assumptions and Catalog'!$E$61+'Assumptions and Catalog'!$F$61,IF(((D180+E180)*C180-G180)&lt;='Assumptions and Catalog'!$C$62,((D180+E180)*C180-G180)*'Assumptions and Catalog'!$H$62+'Assumptions and Catalog'!$E$62+'Assumptions and Catalog'!$F$62,IF(((D180+E180)*C180-G180)&lt;='Assumptions and Catalog'!$C$63,((D180+E180)*C180-G180)*'Assumptions and Catalog'!$H$63+'Assumptions and Catalog'!$E$63+'Assumptions and Catalog'!$F$63,IF(((D180+E180)*C180-G180)&lt;='Assumptions and Catalog'!$C$64,((D180+E180)*C180-G180)*'Assumptions and Catalog'!$H$64+'Assumptions and Catalog'!$E$64+'Assumptions and Catalog'!$F$64,IF(((D180+E180)*C180-G180)&lt;='Assumptions and Catalog'!$C$65,((D180+E180)*C180-G180)*'Assumptions and Catalog'!$H$65+'Assumptions and Catalog'!$E$65+'Assumptions and Catalog'!$F$65,"Out of range")))))))))*(1+'Assumptions and Catalog'!$C$8)^(A180-1),0)</f>
        <v>5035.5392476951674</v>
      </c>
      <c r="R180" s="5">
        <f>IF(AND('Assumptions and Catalog'!$C$19&gt;0,A180&gt;='Assumptions and Catalog'!$C$19),A180-'Assumptions and Catalog'!$C$19,A180-1)</f>
        <v>1</v>
      </c>
      <c r="S180" s="5">
        <f t="shared" si="13"/>
        <v>0</v>
      </c>
      <c r="T180" s="5"/>
      <c r="U180" s="5"/>
    </row>
    <row r="181" spans="1:21" ht="23.1" customHeight="1" outlineLevel="1" x14ac:dyDescent="0.2">
      <c r="A181" s="5">
        <v>2</v>
      </c>
      <c r="B181" s="5">
        <v>9</v>
      </c>
      <c r="C181" s="5">
        <f>DAY(DATE('Assumptions and Catalog'!$C$24+A181-1,B181+1,0))</f>
        <v>30</v>
      </c>
      <c r="D181" s="5">
        <f>IF(ISNUMBER(Inputs!$L$5),Inputs!$L$5*Inputs!$L$6,0)</f>
        <v>40.35</v>
      </c>
      <c r="E181" s="5">
        <f>IF(ISNUMBER(Inputs!$L$5),Inputs!$L$5-D181,0)</f>
        <v>40.35</v>
      </c>
      <c r="F181" s="5">
        <f>C$51*'Assumptions and Catalog'!$C$31*C181*(1-'Assumptions and Catalog'!$C$10)^(A181-1)</f>
        <v>995.97510000000023</v>
      </c>
      <c r="G181" s="5">
        <f t="shared" si="8"/>
        <v>995.97510000000023</v>
      </c>
      <c r="H181" s="5">
        <f>I181/('Assumptions and Catalog'!$C$11*'Assumptions and Catalog'!$C$12)</f>
        <v>0</v>
      </c>
      <c r="I181" s="5">
        <f>0</f>
        <v>0</v>
      </c>
      <c r="J181" s="5">
        <f t="shared" si="9"/>
        <v>0</v>
      </c>
      <c r="K181" s="5">
        <f t="shared" si="10"/>
        <v>0</v>
      </c>
      <c r="L181" s="5">
        <f t="shared" si="11"/>
        <v>1425.0248999999999</v>
      </c>
      <c r="M181" s="5">
        <f>IF(ISNUMBER(Inputs!$L$5),(IF(Inputs!$L$9="Actual flat rate",((D181+E181)*C181)*Inputs!$L$10,IF(Inputs!$C$9="Residential",IF(((D181+E181)*C181)&lt;='Assumptions and Catalog'!$C$50,((D181+E181)*C181)*'Assumptions and Catalog'!$H$50+'Assumptions and Catalog'!$E$50+'Assumptions and Catalog'!$F$50,IF(((D181+E181)*C181)&lt;='Assumptions and Catalog'!$C$51,((D181+E181)*C181)*'Assumptions and Catalog'!$H$51+'Assumptions and Catalog'!$E$51+'Assumptions and Catalog'!$F$51,IF(((D181+E181)*C181)&lt;='Assumptions and Catalog'!$C$52,((D181+E181)*C181)*'Assumptions and Catalog'!$H$52+'Assumptions and Catalog'!$E$52+'Assumptions and Catalog'!$F$52,IF(((D181+E181)*C181)&lt;='Assumptions and Catalog'!$C$53,((D181+E181)*C181)*'Assumptions and Catalog'!$H$53+'Assumptions and Catalog'!$E$53+'Assumptions and Catalog'!$F$53,IF(((D181+E181)*C181)&lt;='Assumptions and Catalog'!$C$54,((D181+E181)*C181)*'Assumptions and Catalog'!$H$54+'Assumptions and Catalog'!$E$54+'Assumptions and Catalog'!$F$54,IF(((D181+E181)*C181)&lt;='Assumptions and Catalog'!$C$55,((D181+E181)*C181)*'Assumptions and Catalog'!$H$55+'Assumptions and Catalog'!$E$55+'Assumptions and Catalog'!$F$55,IF(((D181+E181)*C181)&lt;='Assumptions and Catalog'!$C$56,((D181+E181)*C181)*'Assumptions and Catalog'!$H$56+'Assumptions and Catalog'!$E$56+'Assumptions and Catalog'!$F$56,IF(((D181+E181)*C181)&lt;='Assumptions and Catalog'!$C$57,((D181+E181)*C181)*'Assumptions and Catalog'!$H$57+'Assumptions and Catalog'!$E$57+'Assumptions and Catalog'!$F$57,"Out of range")))))))),IF(((D181+E181)*C181)&lt;='Assumptions and Catalog'!$C$60,((D181+E181)*C181)*'Assumptions and Catalog'!$H$60+'Assumptions and Catalog'!$E$60+'Assumptions and Catalog'!$F$60,IF(((D181+E181)*C181)&lt;='Assumptions and Catalog'!$C$61,((D181+E181)*C181)*'Assumptions and Catalog'!$H$61+'Assumptions and Catalog'!$E$61+'Assumptions and Catalog'!$F$61,IF(((D181+E181)*C181)&lt;='Assumptions and Catalog'!$C$62,((D181+E181)*C181)*'Assumptions and Catalog'!$H$62+'Assumptions and Catalog'!$E$62+'Assumptions and Catalog'!$F$62,IF(((D181+E181)*C181)&lt;='Assumptions and Catalog'!$C$63,((D181+E181)*C181)*'Assumptions and Catalog'!$H$63+'Assumptions and Catalog'!$E$63+'Assumptions and Catalog'!$F$63,IF(((D181+E181)*C181)&lt;='Assumptions and Catalog'!$C$64,((D181+E181)*C181)*'Assumptions and Catalog'!$H$64+'Assumptions and Catalog'!$E$64+'Assumptions and Catalog'!$F$64,IF(((D181+E181)*C181)&lt;='Assumptions and Catalog'!$C$65,((D181+E181)*C181)*'Assumptions and Catalog'!$H$65+'Assumptions and Catalog'!$E$65+'Assumptions and Catalog'!$F$65,"Out of range")))))))))*(1+'Assumptions and Catalog'!$C$8)^(A181-1),0)</f>
        <v>8279</v>
      </c>
      <c r="N181" s="5">
        <f>IF(ISNUMBER(Inputs!$L$5),(IF(Inputs!$L$9="Actual flat rate",L181*Inputs!$L$10,IF(Inputs!$C$9="Residential",IF(L181&lt;='Assumptions and Catalog'!$C$50,L181*'Assumptions and Catalog'!$H$50+'Assumptions and Catalog'!$E$50+'Assumptions and Catalog'!$F$50,IF(L181&lt;='Assumptions and Catalog'!$C$51,L181*'Assumptions and Catalog'!$H$51+'Assumptions and Catalog'!$E$51+'Assumptions and Catalog'!$F$51,IF(L181&lt;='Assumptions and Catalog'!$C$52,L181*'Assumptions and Catalog'!$H$52+'Assumptions and Catalog'!$E$52+'Assumptions and Catalog'!$F$52,IF(L181&lt;='Assumptions and Catalog'!$C$53,L181*'Assumptions and Catalog'!$H$53+'Assumptions and Catalog'!$E$53+'Assumptions and Catalog'!$F$53,IF(L181&lt;='Assumptions and Catalog'!$C$54,L181*'Assumptions and Catalog'!$H$54+'Assumptions and Catalog'!$E$54+'Assumptions and Catalog'!$F$54,IF(L181&lt;='Assumptions and Catalog'!$C$55,L181*'Assumptions and Catalog'!$H$55+'Assumptions and Catalog'!$E$55+'Assumptions and Catalog'!$F$55,IF(L181&lt;='Assumptions and Catalog'!$C$56,L181*'Assumptions and Catalog'!$H$56+'Assumptions and Catalog'!$E$56+'Assumptions and Catalog'!$F$56,IF(L181&lt;='Assumptions and Catalog'!$C$57,L181*'Assumptions and Catalog'!$H$57+'Assumptions and Catalog'!$E$57+'Assumptions and Catalog'!$F$57,"Out of range")))))))),IF(L181&lt;='Assumptions and Catalog'!$C$60,L181*'Assumptions and Catalog'!$H$60+'Assumptions and Catalog'!$E$60+'Assumptions and Catalog'!$F$60,IF(L181&lt;='Assumptions and Catalog'!$C$61,L181*'Assumptions and Catalog'!$H$61+'Assumptions and Catalog'!$E$61+'Assumptions and Catalog'!$F$61,IF(L181&lt;='Assumptions and Catalog'!$C$62,L181*'Assumptions and Catalog'!$H$62+'Assumptions and Catalog'!$E$62+'Assumptions and Catalog'!$F$62,IF(L181&lt;='Assumptions and Catalog'!$C$63,L181*'Assumptions and Catalog'!$H$63+'Assumptions and Catalog'!$E$63+'Assumptions and Catalog'!$F$63,IF(L181&lt;='Assumptions and Catalog'!$C$64,L181*'Assumptions and Catalog'!$H$64+'Assumptions and Catalog'!$E$64+'Assumptions and Catalog'!$F$64,IF(L181&lt;='Assumptions and Catalog'!$C$65,L181*'Assumptions and Catalog'!$H$65+'Assumptions and Catalog'!$E$65+'Assumptions and Catalog'!$F$65,"Out of range")))))))))*(1+'Assumptions and Catalog'!$C$8)^(A181-1),0)</f>
        <v>4873.102497769516</v>
      </c>
      <c r="O181" s="5">
        <f t="shared" si="12"/>
        <v>3405.897502230484</v>
      </c>
      <c r="P181" s="5">
        <f>C$55*(1-J$14)*(1-'Assumptions and Catalog'!$C$23)^R181</f>
        <v>0</v>
      </c>
      <c r="Q181" s="5">
        <f>IF(ISNUMBER(Inputs!$L$5),(IF(Inputs!$L$9="Actual flat rate",((D181+E181)*C181-G181)*Inputs!$L$10,IF(Inputs!$C$9="Residential",IF(((D181+E181)*C181-G181)&lt;='Assumptions and Catalog'!$C$50,((D181+E181)*C181-G181)*'Assumptions and Catalog'!$H$50+'Assumptions and Catalog'!$E$50+'Assumptions and Catalog'!$F$50,IF(((D181+E181)*C181-G181)&lt;='Assumptions and Catalog'!$C$51,((D181+E181)*C181-G181)*'Assumptions and Catalog'!$H$51+'Assumptions and Catalog'!$E$51+'Assumptions and Catalog'!$F$51,IF(((D181+E181)*C181-G181)&lt;='Assumptions and Catalog'!$C$52,((D181+E181)*C181-G181)*'Assumptions and Catalog'!$H$52+'Assumptions and Catalog'!$E$52+'Assumptions and Catalog'!$F$52,IF(((D181+E181)*C181-G181)&lt;='Assumptions and Catalog'!$C$53,((D181+E181)*C181-G181)*'Assumptions and Catalog'!$H$53+'Assumptions and Catalog'!$E$53+'Assumptions and Catalog'!$F$53,IF(((D181+E181)*C181-G181)&lt;='Assumptions and Catalog'!$C$54,((D181+E181)*C181-G181)*'Assumptions and Catalog'!$H$54+'Assumptions and Catalog'!$E$54+'Assumptions and Catalog'!$F$54,IF(((D181+E181)*C181-G181)&lt;='Assumptions and Catalog'!$C$55,((D181+E181)*C181-G181)*'Assumptions and Catalog'!$H$55+'Assumptions and Catalog'!$E$55+'Assumptions and Catalog'!$F$55,IF(((D181+E181)*C181-G181)&lt;='Assumptions and Catalog'!$C$56,((D181+E181)*C181-G181)*'Assumptions and Catalog'!$H$56+'Assumptions and Catalog'!$E$56+'Assumptions and Catalog'!$F$56,IF(((D181+E181)*C181-G181)&lt;='Assumptions and Catalog'!$C$57,((D181+E181)*C181-G181)*'Assumptions and Catalog'!$H$57+'Assumptions and Catalog'!$E$57+'Assumptions and Catalog'!$F$57,"Out of range")))))))),IF(((D181+E181)*C181-G181)&lt;='Assumptions and Catalog'!$C$60,((D181+E181)*C181-G181)*'Assumptions and Catalog'!$H$60+'Assumptions and Catalog'!$E$60+'Assumptions and Catalog'!$F$60,IF(((D181+E181)*C181-G181)&lt;='Assumptions and Catalog'!$C$61,((D181+E181)*C181-G181)*'Assumptions and Catalog'!$H$61+'Assumptions and Catalog'!$E$61+'Assumptions and Catalog'!$F$61,IF(((D181+E181)*C181-G181)&lt;='Assumptions and Catalog'!$C$62,((D181+E181)*C181-G181)*'Assumptions and Catalog'!$H$62+'Assumptions and Catalog'!$E$62+'Assumptions and Catalog'!$F$62,IF(((D181+E181)*C181-G181)&lt;='Assumptions and Catalog'!$C$63,((D181+E181)*C181-G181)*'Assumptions and Catalog'!$H$63+'Assumptions and Catalog'!$E$63+'Assumptions and Catalog'!$F$63,IF(((D181+E181)*C181-G181)&lt;='Assumptions and Catalog'!$C$64,((D181+E181)*C181-G181)*'Assumptions and Catalog'!$H$64+'Assumptions and Catalog'!$E$64+'Assumptions and Catalog'!$F$64,IF(((D181+E181)*C181-G181)&lt;='Assumptions and Catalog'!$C$65,((D181+E181)*C181-G181)*'Assumptions and Catalog'!$H$65+'Assumptions and Catalog'!$E$65+'Assumptions and Catalog'!$F$65,"Out of range")))))))))*(1+'Assumptions and Catalog'!$C$8)^(A181-1),0)</f>
        <v>4873.102497769516</v>
      </c>
      <c r="R181" s="5">
        <f>IF(AND('Assumptions and Catalog'!$C$19&gt;0,A181&gt;='Assumptions and Catalog'!$C$19),A181-'Assumptions and Catalog'!$C$19,A181-1)</f>
        <v>1</v>
      </c>
      <c r="S181" s="5">
        <f t="shared" si="13"/>
        <v>0</v>
      </c>
      <c r="T181" s="5"/>
      <c r="U181" s="5"/>
    </row>
    <row r="182" spans="1:21" ht="23.1" customHeight="1" outlineLevel="1" x14ac:dyDescent="0.2">
      <c r="A182" s="5">
        <v>2</v>
      </c>
      <c r="B182" s="5">
        <v>10</v>
      </c>
      <c r="C182" s="5">
        <f>DAY(DATE('Assumptions and Catalog'!$C$24+A182-1,B182+1,0))</f>
        <v>31</v>
      </c>
      <c r="D182" s="5">
        <f>IF(ISNUMBER(Inputs!$L$5),Inputs!$L$5*Inputs!$L$6,0)</f>
        <v>40.35</v>
      </c>
      <c r="E182" s="5">
        <f>IF(ISNUMBER(Inputs!$L$5),Inputs!$L$5-D182,0)</f>
        <v>40.35</v>
      </c>
      <c r="F182" s="5">
        <f>C$51*'Assumptions and Catalog'!$C$31*C182*(1-'Assumptions and Catalog'!$C$10)^(A182-1)</f>
        <v>1029.1742700000002</v>
      </c>
      <c r="G182" s="5">
        <f t="shared" si="8"/>
        <v>1029.1742700000002</v>
      </c>
      <c r="H182" s="5">
        <f>I182/('Assumptions and Catalog'!$C$11*'Assumptions and Catalog'!$C$12)</f>
        <v>0</v>
      </c>
      <c r="I182" s="5">
        <f>0</f>
        <v>0</v>
      </c>
      <c r="J182" s="5">
        <f t="shared" si="9"/>
        <v>0</v>
      </c>
      <c r="K182" s="5">
        <f t="shared" si="10"/>
        <v>0</v>
      </c>
      <c r="L182" s="5">
        <f t="shared" si="11"/>
        <v>1472.5257300000001</v>
      </c>
      <c r="M182" s="5">
        <f>IF(ISNUMBER(Inputs!$L$5),(IF(Inputs!$L$9="Actual flat rate",((D182+E182)*C182)*Inputs!$L$10,IF(Inputs!$C$9="Residential",IF(((D182+E182)*C182)&lt;='Assumptions and Catalog'!$C$50,((D182+E182)*C182)*'Assumptions and Catalog'!$H$50+'Assumptions and Catalog'!$E$50+'Assumptions and Catalog'!$F$50,IF(((D182+E182)*C182)&lt;='Assumptions and Catalog'!$C$51,((D182+E182)*C182)*'Assumptions and Catalog'!$H$51+'Assumptions and Catalog'!$E$51+'Assumptions and Catalog'!$F$51,IF(((D182+E182)*C182)&lt;='Assumptions and Catalog'!$C$52,((D182+E182)*C182)*'Assumptions and Catalog'!$H$52+'Assumptions and Catalog'!$E$52+'Assumptions and Catalog'!$F$52,IF(((D182+E182)*C182)&lt;='Assumptions and Catalog'!$C$53,((D182+E182)*C182)*'Assumptions and Catalog'!$H$53+'Assumptions and Catalog'!$E$53+'Assumptions and Catalog'!$F$53,IF(((D182+E182)*C182)&lt;='Assumptions and Catalog'!$C$54,((D182+E182)*C182)*'Assumptions and Catalog'!$H$54+'Assumptions and Catalog'!$E$54+'Assumptions and Catalog'!$F$54,IF(((D182+E182)*C182)&lt;='Assumptions and Catalog'!$C$55,((D182+E182)*C182)*'Assumptions and Catalog'!$H$55+'Assumptions and Catalog'!$E$55+'Assumptions and Catalog'!$F$55,IF(((D182+E182)*C182)&lt;='Assumptions and Catalog'!$C$56,((D182+E182)*C182)*'Assumptions and Catalog'!$H$56+'Assumptions and Catalog'!$E$56+'Assumptions and Catalog'!$F$56,IF(((D182+E182)*C182)&lt;='Assumptions and Catalog'!$C$57,((D182+E182)*C182)*'Assumptions and Catalog'!$H$57+'Assumptions and Catalog'!$E$57+'Assumptions and Catalog'!$F$57,"Out of range")))))))),IF(((D182+E182)*C182)&lt;='Assumptions and Catalog'!$C$60,((D182+E182)*C182)*'Assumptions and Catalog'!$H$60+'Assumptions and Catalog'!$E$60+'Assumptions and Catalog'!$F$60,IF(((D182+E182)*C182)&lt;='Assumptions and Catalog'!$C$61,((D182+E182)*C182)*'Assumptions and Catalog'!$H$61+'Assumptions and Catalog'!$E$61+'Assumptions and Catalog'!$F$61,IF(((D182+E182)*C182)&lt;='Assumptions and Catalog'!$C$62,((D182+E182)*C182)*'Assumptions and Catalog'!$H$62+'Assumptions and Catalog'!$E$62+'Assumptions and Catalog'!$F$62,IF(((D182+E182)*C182)&lt;='Assumptions and Catalog'!$C$63,((D182+E182)*C182)*'Assumptions and Catalog'!$H$63+'Assumptions and Catalog'!$E$63+'Assumptions and Catalog'!$F$63,IF(((D182+E182)*C182)&lt;='Assumptions and Catalog'!$C$64,((D182+E182)*C182)*'Assumptions and Catalog'!$H$64+'Assumptions and Catalog'!$E$64+'Assumptions and Catalog'!$F$64,IF(((D182+E182)*C182)&lt;='Assumptions and Catalog'!$C$65,((D182+E182)*C182)*'Assumptions and Catalog'!$H$65+'Assumptions and Catalog'!$E$65+'Assumptions and Catalog'!$F$65,"Out of range")))))))))*(1+'Assumptions and Catalog'!$C$8)^(A182-1),0)</f>
        <v>8554.9666666666672</v>
      </c>
      <c r="N182" s="5">
        <f>IF(ISNUMBER(Inputs!$L$5),(IF(Inputs!$L$9="Actual flat rate",L182*Inputs!$L$10,IF(Inputs!$C$9="Residential",IF(L182&lt;='Assumptions and Catalog'!$C$50,L182*'Assumptions and Catalog'!$H$50+'Assumptions and Catalog'!$E$50+'Assumptions and Catalog'!$F$50,IF(L182&lt;='Assumptions and Catalog'!$C$51,L182*'Assumptions and Catalog'!$H$51+'Assumptions and Catalog'!$E$51+'Assumptions and Catalog'!$F$51,IF(L182&lt;='Assumptions and Catalog'!$C$52,L182*'Assumptions and Catalog'!$H$52+'Assumptions and Catalog'!$E$52+'Assumptions and Catalog'!$F$52,IF(L182&lt;='Assumptions and Catalog'!$C$53,L182*'Assumptions and Catalog'!$H$53+'Assumptions and Catalog'!$E$53+'Assumptions and Catalog'!$F$53,IF(L182&lt;='Assumptions and Catalog'!$C$54,L182*'Assumptions and Catalog'!$H$54+'Assumptions and Catalog'!$E$54+'Assumptions and Catalog'!$F$54,IF(L182&lt;='Assumptions and Catalog'!$C$55,L182*'Assumptions and Catalog'!$H$55+'Assumptions and Catalog'!$E$55+'Assumptions and Catalog'!$F$55,IF(L182&lt;='Assumptions and Catalog'!$C$56,L182*'Assumptions and Catalog'!$H$56+'Assumptions and Catalog'!$E$56+'Assumptions and Catalog'!$F$56,IF(L182&lt;='Assumptions and Catalog'!$C$57,L182*'Assumptions and Catalog'!$H$57+'Assumptions and Catalog'!$E$57+'Assumptions and Catalog'!$F$57,"Out of range")))))))),IF(L182&lt;='Assumptions and Catalog'!$C$60,L182*'Assumptions and Catalog'!$H$60+'Assumptions and Catalog'!$E$60+'Assumptions and Catalog'!$F$60,IF(L182&lt;='Assumptions and Catalog'!$C$61,L182*'Assumptions and Catalog'!$H$61+'Assumptions and Catalog'!$E$61+'Assumptions and Catalog'!$F$61,IF(L182&lt;='Assumptions and Catalog'!$C$62,L182*'Assumptions and Catalog'!$H$62+'Assumptions and Catalog'!$E$62+'Assumptions and Catalog'!$F$62,IF(L182&lt;='Assumptions and Catalog'!$C$63,L182*'Assumptions and Catalog'!$H$63+'Assumptions and Catalog'!$E$63+'Assumptions and Catalog'!$F$63,IF(L182&lt;='Assumptions and Catalog'!$C$64,L182*'Assumptions and Catalog'!$H$64+'Assumptions and Catalog'!$E$64+'Assumptions and Catalog'!$F$64,IF(L182&lt;='Assumptions and Catalog'!$C$65,L182*'Assumptions and Catalog'!$H$65+'Assumptions and Catalog'!$E$65+'Assumptions and Catalog'!$F$65,"Out of range")))))))))*(1+'Assumptions and Catalog'!$C$8)^(A182-1),0)</f>
        <v>5035.5392476951674</v>
      </c>
      <c r="O182" s="5">
        <f t="shared" si="12"/>
        <v>3519.4274189714997</v>
      </c>
      <c r="P182" s="5">
        <f>C$55*(1-J$14)*(1-'Assumptions and Catalog'!$C$23)^R182</f>
        <v>0</v>
      </c>
      <c r="Q182" s="5">
        <f>IF(ISNUMBER(Inputs!$L$5),(IF(Inputs!$L$9="Actual flat rate",((D182+E182)*C182-G182)*Inputs!$L$10,IF(Inputs!$C$9="Residential",IF(((D182+E182)*C182-G182)&lt;='Assumptions and Catalog'!$C$50,((D182+E182)*C182-G182)*'Assumptions and Catalog'!$H$50+'Assumptions and Catalog'!$E$50+'Assumptions and Catalog'!$F$50,IF(((D182+E182)*C182-G182)&lt;='Assumptions and Catalog'!$C$51,((D182+E182)*C182-G182)*'Assumptions and Catalog'!$H$51+'Assumptions and Catalog'!$E$51+'Assumptions and Catalog'!$F$51,IF(((D182+E182)*C182-G182)&lt;='Assumptions and Catalog'!$C$52,((D182+E182)*C182-G182)*'Assumptions and Catalog'!$H$52+'Assumptions and Catalog'!$E$52+'Assumptions and Catalog'!$F$52,IF(((D182+E182)*C182-G182)&lt;='Assumptions and Catalog'!$C$53,((D182+E182)*C182-G182)*'Assumptions and Catalog'!$H$53+'Assumptions and Catalog'!$E$53+'Assumptions and Catalog'!$F$53,IF(((D182+E182)*C182-G182)&lt;='Assumptions and Catalog'!$C$54,((D182+E182)*C182-G182)*'Assumptions and Catalog'!$H$54+'Assumptions and Catalog'!$E$54+'Assumptions and Catalog'!$F$54,IF(((D182+E182)*C182-G182)&lt;='Assumptions and Catalog'!$C$55,((D182+E182)*C182-G182)*'Assumptions and Catalog'!$H$55+'Assumptions and Catalog'!$E$55+'Assumptions and Catalog'!$F$55,IF(((D182+E182)*C182-G182)&lt;='Assumptions and Catalog'!$C$56,((D182+E182)*C182-G182)*'Assumptions and Catalog'!$H$56+'Assumptions and Catalog'!$E$56+'Assumptions and Catalog'!$F$56,IF(((D182+E182)*C182-G182)&lt;='Assumptions and Catalog'!$C$57,((D182+E182)*C182-G182)*'Assumptions and Catalog'!$H$57+'Assumptions and Catalog'!$E$57+'Assumptions and Catalog'!$F$57,"Out of range")))))))),IF(((D182+E182)*C182-G182)&lt;='Assumptions and Catalog'!$C$60,((D182+E182)*C182-G182)*'Assumptions and Catalog'!$H$60+'Assumptions and Catalog'!$E$60+'Assumptions and Catalog'!$F$60,IF(((D182+E182)*C182-G182)&lt;='Assumptions and Catalog'!$C$61,((D182+E182)*C182-G182)*'Assumptions and Catalog'!$H$61+'Assumptions and Catalog'!$E$61+'Assumptions and Catalog'!$F$61,IF(((D182+E182)*C182-G182)&lt;='Assumptions and Catalog'!$C$62,((D182+E182)*C182-G182)*'Assumptions and Catalog'!$H$62+'Assumptions and Catalog'!$E$62+'Assumptions and Catalog'!$F$62,IF(((D182+E182)*C182-G182)&lt;='Assumptions and Catalog'!$C$63,((D182+E182)*C182-G182)*'Assumptions and Catalog'!$H$63+'Assumptions and Catalog'!$E$63+'Assumptions and Catalog'!$F$63,IF(((D182+E182)*C182-G182)&lt;='Assumptions and Catalog'!$C$64,((D182+E182)*C182-G182)*'Assumptions and Catalog'!$H$64+'Assumptions and Catalog'!$E$64+'Assumptions and Catalog'!$F$64,IF(((D182+E182)*C182-G182)&lt;='Assumptions and Catalog'!$C$65,((D182+E182)*C182-G182)*'Assumptions and Catalog'!$H$65+'Assumptions and Catalog'!$E$65+'Assumptions and Catalog'!$F$65,"Out of range")))))))))*(1+'Assumptions and Catalog'!$C$8)^(A182-1),0)</f>
        <v>5035.5392476951674</v>
      </c>
      <c r="R182" s="5">
        <f>IF(AND('Assumptions and Catalog'!$C$19&gt;0,A182&gt;='Assumptions and Catalog'!$C$19),A182-'Assumptions and Catalog'!$C$19,A182-1)</f>
        <v>1</v>
      </c>
      <c r="S182" s="5">
        <f t="shared" si="13"/>
        <v>0</v>
      </c>
      <c r="T182" s="5"/>
      <c r="U182" s="5"/>
    </row>
    <row r="183" spans="1:21" ht="23.1" customHeight="1" outlineLevel="1" x14ac:dyDescent="0.2">
      <c r="A183" s="5">
        <v>2</v>
      </c>
      <c r="B183" s="5">
        <v>11</v>
      </c>
      <c r="C183" s="5">
        <f>DAY(DATE('Assumptions and Catalog'!$C$24+A183-1,B183+1,0))</f>
        <v>30</v>
      </c>
      <c r="D183" s="5">
        <f>IF(ISNUMBER(Inputs!$L$5),Inputs!$L$5*Inputs!$L$6,0)</f>
        <v>40.35</v>
      </c>
      <c r="E183" s="5">
        <f>IF(ISNUMBER(Inputs!$L$5),Inputs!$L$5-D183,0)</f>
        <v>40.35</v>
      </c>
      <c r="F183" s="5">
        <f>C$51*'Assumptions and Catalog'!$C$31*C183*(1-'Assumptions and Catalog'!$C$10)^(A183-1)</f>
        <v>995.97510000000023</v>
      </c>
      <c r="G183" s="5">
        <f t="shared" si="8"/>
        <v>995.97510000000023</v>
      </c>
      <c r="H183" s="5">
        <f>I183/('Assumptions and Catalog'!$C$11*'Assumptions and Catalog'!$C$12)</f>
        <v>0</v>
      </c>
      <c r="I183" s="5">
        <f>0</f>
        <v>0</v>
      </c>
      <c r="J183" s="5">
        <f t="shared" si="9"/>
        <v>0</v>
      </c>
      <c r="K183" s="5">
        <f t="shared" si="10"/>
        <v>0</v>
      </c>
      <c r="L183" s="5">
        <f t="shared" si="11"/>
        <v>1425.0248999999999</v>
      </c>
      <c r="M183" s="5">
        <f>IF(ISNUMBER(Inputs!$L$5),(IF(Inputs!$L$9="Actual flat rate",((D183+E183)*C183)*Inputs!$L$10,IF(Inputs!$C$9="Residential",IF(((D183+E183)*C183)&lt;='Assumptions and Catalog'!$C$50,((D183+E183)*C183)*'Assumptions and Catalog'!$H$50+'Assumptions and Catalog'!$E$50+'Assumptions and Catalog'!$F$50,IF(((D183+E183)*C183)&lt;='Assumptions and Catalog'!$C$51,((D183+E183)*C183)*'Assumptions and Catalog'!$H$51+'Assumptions and Catalog'!$E$51+'Assumptions and Catalog'!$F$51,IF(((D183+E183)*C183)&lt;='Assumptions and Catalog'!$C$52,((D183+E183)*C183)*'Assumptions and Catalog'!$H$52+'Assumptions and Catalog'!$E$52+'Assumptions and Catalog'!$F$52,IF(((D183+E183)*C183)&lt;='Assumptions and Catalog'!$C$53,((D183+E183)*C183)*'Assumptions and Catalog'!$H$53+'Assumptions and Catalog'!$E$53+'Assumptions and Catalog'!$F$53,IF(((D183+E183)*C183)&lt;='Assumptions and Catalog'!$C$54,((D183+E183)*C183)*'Assumptions and Catalog'!$H$54+'Assumptions and Catalog'!$E$54+'Assumptions and Catalog'!$F$54,IF(((D183+E183)*C183)&lt;='Assumptions and Catalog'!$C$55,((D183+E183)*C183)*'Assumptions and Catalog'!$H$55+'Assumptions and Catalog'!$E$55+'Assumptions and Catalog'!$F$55,IF(((D183+E183)*C183)&lt;='Assumptions and Catalog'!$C$56,((D183+E183)*C183)*'Assumptions and Catalog'!$H$56+'Assumptions and Catalog'!$E$56+'Assumptions and Catalog'!$F$56,IF(((D183+E183)*C183)&lt;='Assumptions and Catalog'!$C$57,((D183+E183)*C183)*'Assumptions and Catalog'!$H$57+'Assumptions and Catalog'!$E$57+'Assumptions and Catalog'!$F$57,"Out of range")))))))),IF(((D183+E183)*C183)&lt;='Assumptions and Catalog'!$C$60,((D183+E183)*C183)*'Assumptions and Catalog'!$H$60+'Assumptions and Catalog'!$E$60+'Assumptions and Catalog'!$F$60,IF(((D183+E183)*C183)&lt;='Assumptions and Catalog'!$C$61,((D183+E183)*C183)*'Assumptions and Catalog'!$H$61+'Assumptions and Catalog'!$E$61+'Assumptions and Catalog'!$F$61,IF(((D183+E183)*C183)&lt;='Assumptions and Catalog'!$C$62,((D183+E183)*C183)*'Assumptions and Catalog'!$H$62+'Assumptions and Catalog'!$E$62+'Assumptions and Catalog'!$F$62,IF(((D183+E183)*C183)&lt;='Assumptions and Catalog'!$C$63,((D183+E183)*C183)*'Assumptions and Catalog'!$H$63+'Assumptions and Catalog'!$E$63+'Assumptions and Catalog'!$F$63,IF(((D183+E183)*C183)&lt;='Assumptions and Catalog'!$C$64,((D183+E183)*C183)*'Assumptions and Catalog'!$H$64+'Assumptions and Catalog'!$E$64+'Assumptions and Catalog'!$F$64,IF(((D183+E183)*C183)&lt;='Assumptions and Catalog'!$C$65,((D183+E183)*C183)*'Assumptions and Catalog'!$H$65+'Assumptions and Catalog'!$E$65+'Assumptions and Catalog'!$F$65,"Out of range")))))))))*(1+'Assumptions and Catalog'!$C$8)^(A183-1),0)</f>
        <v>8279</v>
      </c>
      <c r="N183" s="5">
        <f>IF(ISNUMBER(Inputs!$L$5),(IF(Inputs!$L$9="Actual flat rate",L183*Inputs!$L$10,IF(Inputs!$C$9="Residential",IF(L183&lt;='Assumptions and Catalog'!$C$50,L183*'Assumptions and Catalog'!$H$50+'Assumptions and Catalog'!$E$50+'Assumptions and Catalog'!$F$50,IF(L183&lt;='Assumptions and Catalog'!$C$51,L183*'Assumptions and Catalog'!$H$51+'Assumptions and Catalog'!$E$51+'Assumptions and Catalog'!$F$51,IF(L183&lt;='Assumptions and Catalog'!$C$52,L183*'Assumptions and Catalog'!$H$52+'Assumptions and Catalog'!$E$52+'Assumptions and Catalog'!$F$52,IF(L183&lt;='Assumptions and Catalog'!$C$53,L183*'Assumptions and Catalog'!$H$53+'Assumptions and Catalog'!$E$53+'Assumptions and Catalog'!$F$53,IF(L183&lt;='Assumptions and Catalog'!$C$54,L183*'Assumptions and Catalog'!$H$54+'Assumptions and Catalog'!$E$54+'Assumptions and Catalog'!$F$54,IF(L183&lt;='Assumptions and Catalog'!$C$55,L183*'Assumptions and Catalog'!$H$55+'Assumptions and Catalog'!$E$55+'Assumptions and Catalog'!$F$55,IF(L183&lt;='Assumptions and Catalog'!$C$56,L183*'Assumptions and Catalog'!$H$56+'Assumptions and Catalog'!$E$56+'Assumptions and Catalog'!$F$56,IF(L183&lt;='Assumptions and Catalog'!$C$57,L183*'Assumptions and Catalog'!$H$57+'Assumptions and Catalog'!$E$57+'Assumptions and Catalog'!$F$57,"Out of range")))))))),IF(L183&lt;='Assumptions and Catalog'!$C$60,L183*'Assumptions and Catalog'!$H$60+'Assumptions and Catalog'!$E$60+'Assumptions and Catalog'!$F$60,IF(L183&lt;='Assumptions and Catalog'!$C$61,L183*'Assumptions and Catalog'!$H$61+'Assumptions and Catalog'!$E$61+'Assumptions and Catalog'!$F$61,IF(L183&lt;='Assumptions and Catalog'!$C$62,L183*'Assumptions and Catalog'!$H$62+'Assumptions and Catalog'!$E$62+'Assumptions and Catalog'!$F$62,IF(L183&lt;='Assumptions and Catalog'!$C$63,L183*'Assumptions and Catalog'!$H$63+'Assumptions and Catalog'!$E$63+'Assumptions and Catalog'!$F$63,IF(L183&lt;='Assumptions and Catalog'!$C$64,L183*'Assumptions and Catalog'!$H$64+'Assumptions and Catalog'!$E$64+'Assumptions and Catalog'!$F$64,IF(L183&lt;='Assumptions and Catalog'!$C$65,L183*'Assumptions and Catalog'!$H$65+'Assumptions and Catalog'!$E$65+'Assumptions and Catalog'!$F$65,"Out of range")))))))))*(1+'Assumptions and Catalog'!$C$8)^(A183-1),0)</f>
        <v>4873.102497769516</v>
      </c>
      <c r="O183" s="5">
        <f t="shared" si="12"/>
        <v>3405.897502230484</v>
      </c>
      <c r="P183" s="5">
        <f>C$55*(1-J$14)*(1-'Assumptions and Catalog'!$C$23)^R183</f>
        <v>0</v>
      </c>
      <c r="Q183" s="5">
        <f>IF(ISNUMBER(Inputs!$L$5),(IF(Inputs!$L$9="Actual flat rate",((D183+E183)*C183-G183)*Inputs!$L$10,IF(Inputs!$C$9="Residential",IF(((D183+E183)*C183-G183)&lt;='Assumptions and Catalog'!$C$50,((D183+E183)*C183-G183)*'Assumptions and Catalog'!$H$50+'Assumptions and Catalog'!$E$50+'Assumptions and Catalog'!$F$50,IF(((D183+E183)*C183-G183)&lt;='Assumptions and Catalog'!$C$51,((D183+E183)*C183-G183)*'Assumptions and Catalog'!$H$51+'Assumptions and Catalog'!$E$51+'Assumptions and Catalog'!$F$51,IF(((D183+E183)*C183-G183)&lt;='Assumptions and Catalog'!$C$52,((D183+E183)*C183-G183)*'Assumptions and Catalog'!$H$52+'Assumptions and Catalog'!$E$52+'Assumptions and Catalog'!$F$52,IF(((D183+E183)*C183-G183)&lt;='Assumptions and Catalog'!$C$53,((D183+E183)*C183-G183)*'Assumptions and Catalog'!$H$53+'Assumptions and Catalog'!$E$53+'Assumptions and Catalog'!$F$53,IF(((D183+E183)*C183-G183)&lt;='Assumptions and Catalog'!$C$54,((D183+E183)*C183-G183)*'Assumptions and Catalog'!$H$54+'Assumptions and Catalog'!$E$54+'Assumptions and Catalog'!$F$54,IF(((D183+E183)*C183-G183)&lt;='Assumptions and Catalog'!$C$55,((D183+E183)*C183-G183)*'Assumptions and Catalog'!$H$55+'Assumptions and Catalog'!$E$55+'Assumptions and Catalog'!$F$55,IF(((D183+E183)*C183-G183)&lt;='Assumptions and Catalog'!$C$56,((D183+E183)*C183-G183)*'Assumptions and Catalog'!$H$56+'Assumptions and Catalog'!$E$56+'Assumptions and Catalog'!$F$56,IF(((D183+E183)*C183-G183)&lt;='Assumptions and Catalog'!$C$57,((D183+E183)*C183-G183)*'Assumptions and Catalog'!$H$57+'Assumptions and Catalog'!$E$57+'Assumptions and Catalog'!$F$57,"Out of range")))))))),IF(((D183+E183)*C183-G183)&lt;='Assumptions and Catalog'!$C$60,((D183+E183)*C183-G183)*'Assumptions and Catalog'!$H$60+'Assumptions and Catalog'!$E$60+'Assumptions and Catalog'!$F$60,IF(((D183+E183)*C183-G183)&lt;='Assumptions and Catalog'!$C$61,((D183+E183)*C183-G183)*'Assumptions and Catalog'!$H$61+'Assumptions and Catalog'!$E$61+'Assumptions and Catalog'!$F$61,IF(((D183+E183)*C183-G183)&lt;='Assumptions and Catalog'!$C$62,((D183+E183)*C183-G183)*'Assumptions and Catalog'!$H$62+'Assumptions and Catalog'!$E$62+'Assumptions and Catalog'!$F$62,IF(((D183+E183)*C183-G183)&lt;='Assumptions and Catalog'!$C$63,((D183+E183)*C183-G183)*'Assumptions and Catalog'!$H$63+'Assumptions and Catalog'!$E$63+'Assumptions and Catalog'!$F$63,IF(((D183+E183)*C183-G183)&lt;='Assumptions and Catalog'!$C$64,((D183+E183)*C183-G183)*'Assumptions and Catalog'!$H$64+'Assumptions and Catalog'!$E$64+'Assumptions and Catalog'!$F$64,IF(((D183+E183)*C183-G183)&lt;='Assumptions and Catalog'!$C$65,((D183+E183)*C183-G183)*'Assumptions and Catalog'!$H$65+'Assumptions and Catalog'!$E$65+'Assumptions and Catalog'!$F$65,"Out of range")))))))))*(1+'Assumptions and Catalog'!$C$8)^(A183-1),0)</f>
        <v>4873.102497769516</v>
      </c>
      <c r="R183" s="5">
        <f>IF(AND('Assumptions and Catalog'!$C$19&gt;0,A183&gt;='Assumptions and Catalog'!$C$19),A183-'Assumptions and Catalog'!$C$19,A183-1)</f>
        <v>1</v>
      </c>
      <c r="S183" s="5">
        <f t="shared" si="13"/>
        <v>0</v>
      </c>
      <c r="T183" s="5"/>
      <c r="U183" s="5"/>
    </row>
    <row r="184" spans="1:21" ht="23.1" customHeight="1" outlineLevel="1" x14ac:dyDescent="0.2">
      <c r="A184" s="5">
        <v>2</v>
      </c>
      <c r="B184" s="5">
        <v>12</v>
      </c>
      <c r="C184" s="5">
        <f>DAY(DATE('Assumptions and Catalog'!$C$24+A184-1,B184+1,0))</f>
        <v>31</v>
      </c>
      <c r="D184" s="5">
        <f>IF(ISNUMBER(Inputs!$L$5),Inputs!$L$5*Inputs!$L$6,0)</f>
        <v>40.35</v>
      </c>
      <c r="E184" s="5">
        <f>IF(ISNUMBER(Inputs!$L$5),Inputs!$L$5-D184,0)</f>
        <v>40.35</v>
      </c>
      <c r="F184" s="5">
        <f>C$51*'Assumptions and Catalog'!$C$31*C184*(1-'Assumptions and Catalog'!$C$10)^(A184-1)</f>
        <v>1029.1742700000002</v>
      </c>
      <c r="G184" s="5">
        <f t="shared" si="8"/>
        <v>1029.1742700000002</v>
      </c>
      <c r="H184" s="5">
        <f>I184/('Assumptions and Catalog'!$C$11*'Assumptions and Catalog'!$C$12)</f>
        <v>0</v>
      </c>
      <c r="I184" s="5">
        <f>0</f>
        <v>0</v>
      </c>
      <c r="J184" s="5">
        <f t="shared" si="9"/>
        <v>0</v>
      </c>
      <c r="K184" s="5">
        <f t="shared" si="10"/>
        <v>0</v>
      </c>
      <c r="L184" s="5">
        <f t="shared" si="11"/>
        <v>1472.5257300000001</v>
      </c>
      <c r="M184" s="5">
        <f>IF(ISNUMBER(Inputs!$L$5),(IF(Inputs!$L$9="Actual flat rate",((D184+E184)*C184)*Inputs!$L$10,IF(Inputs!$C$9="Residential",IF(((D184+E184)*C184)&lt;='Assumptions and Catalog'!$C$50,((D184+E184)*C184)*'Assumptions and Catalog'!$H$50+'Assumptions and Catalog'!$E$50+'Assumptions and Catalog'!$F$50,IF(((D184+E184)*C184)&lt;='Assumptions and Catalog'!$C$51,((D184+E184)*C184)*'Assumptions and Catalog'!$H$51+'Assumptions and Catalog'!$E$51+'Assumptions and Catalog'!$F$51,IF(((D184+E184)*C184)&lt;='Assumptions and Catalog'!$C$52,((D184+E184)*C184)*'Assumptions and Catalog'!$H$52+'Assumptions and Catalog'!$E$52+'Assumptions and Catalog'!$F$52,IF(((D184+E184)*C184)&lt;='Assumptions and Catalog'!$C$53,((D184+E184)*C184)*'Assumptions and Catalog'!$H$53+'Assumptions and Catalog'!$E$53+'Assumptions and Catalog'!$F$53,IF(((D184+E184)*C184)&lt;='Assumptions and Catalog'!$C$54,((D184+E184)*C184)*'Assumptions and Catalog'!$H$54+'Assumptions and Catalog'!$E$54+'Assumptions and Catalog'!$F$54,IF(((D184+E184)*C184)&lt;='Assumptions and Catalog'!$C$55,((D184+E184)*C184)*'Assumptions and Catalog'!$H$55+'Assumptions and Catalog'!$E$55+'Assumptions and Catalog'!$F$55,IF(((D184+E184)*C184)&lt;='Assumptions and Catalog'!$C$56,((D184+E184)*C184)*'Assumptions and Catalog'!$H$56+'Assumptions and Catalog'!$E$56+'Assumptions and Catalog'!$F$56,IF(((D184+E184)*C184)&lt;='Assumptions and Catalog'!$C$57,((D184+E184)*C184)*'Assumptions and Catalog'!$H$57+'Assumptions and Catalog'!$E$57+'Assumptions and Catalog'!$F$57,"Out of range")))))))),IF(((D184+E184)*C184)&lt;='Assumptions and Catalog'!$C$60,((D184+E184)*C184)*'Assumptions and Catalog'!$H$60+'Assumptions and Catalog'!$E$60+'Assumptions and Catalog'!$F$60,IF(((D184+E184)*C184)&lt;='Assumptions and Catalog'!$C$61,((D184+E184)*C184)*'Assumptions and Catalog'!$H$61+'Assumptions and Catalog'!$E$61+'Assumptions and Catalog'!$F$61,IF(((D184+E184)*C184)&lt;='Assumptions and Catalog'!$C$62,((D184+E184)*C184)*'Assumptions and Catalog'!$H$62+'Assumptions and Catalog'!$E$62+'Assumptions and Catalog'!$F$62,IF(((D184+E184)*C184)&lt;='Assumptions and Catalog'!$C$63,((D184+E184)*C184)*'Assumptions and Catalog'!$H$63+'Assumptions and Catalog'!$E$63+'Assumptions and Catalog'!$F$63,IF(((D184+E184)*C184)&lt;='Assumptions and Catalog'!$C$64,((D184+E184)*C184)*'Assumptions and Catalog'!$H$64+'Assumptions and Catalog'!$E$64+'Assumptions and Catalog'!$F$64,IF(((D184+E184)*C184)&lt;='Assumptions and Catalog'!$C$65,((D184+E184)*C184)*'Assumptions and Catalog'!$H$65+'Assumptions and Catalog'!$E$65+'Assumptions and Catalog'!$F$65,"Out of range")))))))))*(1+'Assumptions and Catalog'!$C$8)^(A184-1),0)</f>
        <v>8554.9666666666672</v>
      </c>
      <c r="N184" s="5">
        <f>IF(ISNUMBER(Inputs!$L$5),(IF(Inputs!$L$9="Actual flat rate",L184*Inputs!$L$10,IF(Inputs!$C$9="Residential",IF(L184&lt;='Assumptions and Catalog'!$C$50,L184*'Assumptions and Catalog'!$H$50+'Assumptions and Catalog'!$E$50+'Assumptions and Catalog'!$F$50,IF(L184&lt;='Assumptions and Catalog'!$C$51,L184*'Assumptions and Catalog'!$H$51+'Assumptions and Catalog'!$E$51+'Assumptions and Catalog'!$F$51,IF(L184&lt;='Assumptions and Catalog'!$C$52,L184*'Assumptions and Catalog'!$H$52+'Assumptions and Catalog'!$E$52+'Assumptions and Catalog'!$F$52,IF(L184&lt;='Assumptions and Catalog'!$C$53,L184*'Assumptions and Catalog'!$H$53+'Assumptions and Catalog'!$E$53+'Assumptions and Catalog'!$F$53,IF(L184&lt;='Assumptions and Catalog'!$C$54,L184*'Assumptions and Catalog'!$H$54+'Assumptions and Catalog'!$E$54+'Assumptions and Catalog'!$F$54,IF(L184&lt;='Assumptions and Catalog'!$C$55,L184*'Assumptions and Catalog'!$H$55+'Assumptions and Catalog'!$E$55+'Assumptions and Catalog'!$F$55,IF(L184&lt;='Assumptions and Catalog'!$C$56,L184*'Assumptions and Catalog'!$H$56+'Assumptions and Catalog'!$E$56+'Assumptions and Catalog'!$F$56,IF(L184&lt;='Assumptions and Catalog'!$C$57,L184*'Assumptions and Catalog'!$H$57+'Assumptions and Catalog'!$E$57+'Assumptions and Catalog'!$F$57,"Out of range")))))))),IF(L184&lt;='Assumptions and Catalog'!$C$60,L184*'Assumptions and Catalog'!$H$60+'Assumptions and Catalog'!$E$60+'Assumptions and Catalog'!$F$60,IF(L184&lt;='Assumptions and Catalog'!$C$61,L184*'Assumptions and Catalog'!$H$61+'Assumptions and Catalog'!$E$61+'Assumptions and Catalog'!$F$61,IF(L184&lt;='Assumptions and Catalog'!$C$62,L184*'Assumptions and Catalog'!$H$62+'Assumptions and Catalog'!$E$62+'Assumptions and Catalog'!$F$62,IF(L184&lt;='Assumptions and Catalog'!$C$63,L184*'Assumptions and Catalog'!$H$63+'Assumptions and Catalog'!$E$63+'Assumptions and Catalog'!$F$63,IF(L184&lt;='Assumptions and Catalog'!$C$64,L184*'Assumptions and Catalog'!$H$64+'Assumptions and Catalog'!$E$64+'Assumptions and Catalog'!$F$64,IF(L184&lt;='Assumptions and Catalog'!$C$65,L184*'Assumptions and Catalog'!$H$65+'Assumptions and Catalog'!$E$65+'Assumptions and Catalog'!$F$65,"Out of range")))))))))*(1+'Assumptions and Catalog'!$C$8)^(A184-1),0)</f>
        <v>5035.5392476951674</v>
      </c>
      <c r="O184" s="5">
        <f t="shared" si="12"/>
        <v>3519.4274189714997</v>
      </c>
      <c r="P184" s="5">
        <f>C$55*(1-J$14)*(1-'Assumptions and Catalog'!$C$23)^R184</f>
        <v>0</v>
      </c>
      <c r="Q184" s="5">
        <f>IF(ISNUMBER(Inputs!$L$5),(IF(Inputs!$L$9="Actual flat rate",((D184+E184)*C184-G184)*Inputs!$L$10,IF(Inputs!$C$9="Residential",IF(((D184+E184)*C184-G184)&lt;='Assumptions and Catalog'!$C$50,((D184+E184)*C184-G184)*'Assumptions and Catalog'!$H$50+'Assumptions and Catalog'!$E$50+'Assumptions and Catalog'!$F$50,IF(((D184+E184)*C184-G184)&lt;='Assumptions and Catalog'!$C$51,((D184+E184)*C184-G184)*'Assumptions and Catalog'!$H$51+'Assumptions and Catalog'!$E$51+'Assumptions and Catalog'!$F$51,IF(((D184+E184)*C184-G184)&lt;='Assumptions and Catalog'!$C$52,((D184+E184)*C184-G184)*'Assumptions and Catalog'!$H$52+'Assumptions and Catalog'!$E$52+'Assumptions and Catalog'!$F$52,IF(((D184+E184)*C184-G184)&lt;='Assumptions and Catalog'!$C$53,((D184+E184)*C184-G184)*'Assumptions and Catalog'!$H$53+'Assumptions and Catalog'!$E$53+'Assumptions and Catalog'!$F$53,IF(((D184+E184)*C184-G184)&lt;='Assumptions and Catalog'!$C$54,((D184+E184)*C184-G184)*'Assumptions and Catalog'!$H$54+'Assumptions and Catalog'!$E$54+'Assumptions and Catalog'!$F$54,IF(((D184+E184)*C184-G184)&lt;='Assumptions and Catalog'!$C$55,((D184+E184)*C184-G184)*'Assumptions and Catalog'!$H$55+'Assumptions and Catalog'!$E$55+'Assumptions and Catalog'!$F$55,IF(((D184+E184)*C184-G184)&lt;='Assumptions and Catalog'!$C$56,((D184+E184)*C184-G184)*'Assumptions and Catalog'!$H$56+'Assumptions and Catalog'!$E$56+'Assumptions and Catalog'!$F$56,IF(((D184+E184)*C184-G184)&lt;='Assumptions and Catalog'!$C$57,((D184+E184)*C184-G184)*'Assumptions and Catalog'!$H$57+'Assumptions and Catalog'!$E$57+'Assumptions and Catalog'!$F$57,"Out of range")))))))),IF(((D184+E184)*C184-G184)&lt;='Assumptions and Catalog'!$C$60,((D184+E184)*C184-G184)*'Assumptions and Catalog'!$H$60+'Assumptions and Catalog'!$E$60+'Assumptions and Catalog'!$F$60,IF(((D184+E184)*C184-G184)&lt;='Assumptions and Catalog'!$C$61,((D184+E184)*C184-G184)*'Assumptions and Catalog'!$H$61+'Assumptions and Catalog'!$E$61+'Assumptions and Catalog'!$F$61,IF(((D184+E184)*C184-G184)&lt;='Assumptions and Catalog'!$C$62,((D184+E184)*C184-G184)*'Assumptions and Catalog'!$H$62+'Assumptions and Catalog'!$E$62+'Assumptions and Catalog'!$F$62,IF(((D184+E184)*C184-G184)&lt;='Assumptions and Catalog'!$C$63,((D184+E184)*C184-G184)*'Assumptions and Catalog'!$H$63+'Assumptions and Catalog'!$E$63+'Assumptions and Catalog'!$F$63,IF(((D184+E184)*C184-G184)&lt;='Assumptions and Catalog'!$C$64,((D184+E184)*C184-G184)*'Assumptions and Catalog'!$H$64+'Assumptions and Catalog'!$E$64+'Assumptions and Catalog'!$F$64,IF(((D184+E184)*C184-G184)&lt;='Assumptions and Catalog'!$C$65,((D184+E184)*C184-G184)*'Assumptions and Catalog'!$H$65+'Assumptions and Catalog'!$E$65+'Assumptions and Catalog'!$F$65,"Out of range")))))))))*(1+'Assumptions and Catalog'!$C$8)^(A184-1),0)</f>
        <v>5035.5392476951674</v>
      </c>
      <c r="R184" s="5">
        <f>IF(AND('Assumptions and Catalog'!$C$19&gt;0,A184&gt;='Assumptions and Catalog'!$C$19),A184-'Assumptions and Catalog'!$C$19,A184-1)</f>
        <v>1</v>
      </c>
      <c r="S184" s="5">
        <f t="shared" si="13"/>
        <v>0</v>
      </c>
      <c r="T184" s="5"/>
      <c r="U184" s="5"/>
    </row>
    <row r="185" spans="1:21" ht="23.1" customHeight="1" outlineLevel="1" x14ac:dyDescent="0.2">
      <c r="A185" s="5">
        <v>3</v>
      </c>
      <c r="B185" s="5">
        <v>1</v>
      </c>
      <c r="C185" s="5">
        <f>DAY(DATE('Assumptions and Catalog'!$C$24+A185-1,B185+1,0))</f>
        <v>31</v>
      </c>
      <c r="D185" s="5">
        <f>IF(ISNUMBER(Inputs!$L$5),Inputs!$L$5*Inputs!$L$6,0)</f>
        <v>40.35</v>
      </c>
      <c r="E185" s="5">
        <f>IF(ISNUMBER(Inputs!$L$5),Inputs!$L$5-D185,0)</f>
        <v>40.35</v>
      </c>
      <c r="F185" s="5">
        <f>C$51*'Assumptions and Catalog'!$C$31*C185*(1-'Assumptions and Catalog'!$C$10)^(A185-1)</f>
        <v>1024.0283986500003</v>
      </c>
      <c r="G185" s="5">
        <f t="shared" si="8"/>
        <v>1024.0283986500003</v>
      </c>
      <c r="H185" s="5">
        <f>I185/('Assumptions and Catalog'!$C$11*'Assumptions and Catalog'!$C$12)</f>
        <v>0</v>
      </c>
      <c r="I185" s="5">
        <f>0</f>
        <v>0</v>
      </c>
      <c r="J185" s="5">
        <f t="shared" si="9"/>
        <v>0</v>
      </c>
      <c r="K185" s="5">
        <f t="shared" si="10"/>
        <v>0</v>
      </c>
      <c r="L185" s="5">
        <f t="shared" si="11"/>
        <v>1477.6716013499999</v>
      </c>
      <c r="M185" s="5">
        <f>IF(ISNUMBER(Inputs!$L$5),(IF(Inputs!$L$9="Actual flat rate",((D185+E185)*C185)*Inputs!$L$10,IF(Inputs!$C$9="Residential",IF(((D185+E185)*C185)&lt;='Assumptions and Catalog'!$C$50,((D185+E185)*C185)*'Assumptions and Catalog'!$H$50+'Assumptions and Catalog'!$E$50+'Assumptions and Catalog'!$F$50,IF(((D185+E185)*C185)&lt;='Assumptions and Catalog'!$C$51,((D185+E185)*C185)*'Assumptions and Catalog'!$H$51+'Assumptions and Catalog'!$E$51+'Assumptions and Catalog'!$F$51,IF(((D185+E185)*C185)&lt;='Assumptions and Catalog'!$C$52,((D185+E185)*C185)*'Assumptions and Catalog'!$H$52+'Assumptions and Catalog'!$E$52+'Assumptions and Catalog'!$F$52,IF(((D185+E185)*C185)&lt;='Assumptions and Catalog'!$C$53,((D185+E185)*C185)*'Assumptions and Catalog'!$H$53+'Assumptions and Catalog'!$E$53+'Assumptions and Catalog'!$F$53,IF(((D185+E185)*C185)&lt;='Assumptions and Catalog'!$C$54,((D185+E185)*C185)*'Assumptions and Catalog'!$H$54+'Assumptions and Catalog'!$E$54+'Assumptions and Catalog'!$F$54,IF(((D185+E185)*C185)&lt;='Assumptions and Catalog'!$C$55,((D185+E185)*C185)*'Assumptions and Catalog'!$H$55+'Assumptions and Catalog'!$E$55+'Assumptions and Catalog'!$F$55,IF(((D185+E185)*C185)&lt;='Assumptions and Catalog'!$C$56,((D185+E185)*C185)*'Assumptions and Catalog'!$H$56+'Assumptions and Catalog'!$E$56+'Assumptions and Catalog'!$F$56,IF(((D185+E185)*C185)&lt;='Assumptions and Catalog'!$C$57,((D185+E185)*C185)*'Assumptions and Catalog'!$H$57+'Assumptions and Catalog'!$E$57+'Assumptions and Catalog'!$F$57,"Out of range")))))))),IF(((D185+E185)*C185)&lt;='Assumptions and Catalog'!$C$60,((D185+E185)*C185)*'Assumptions and Catalog'!$H$60+'Assumptions and Catalog'!$E$60+'Assumptions and Catalog'!$F$60,IF(((D185+E185)*C185)&lt;='Assumptions and Catalog'!$C$61,((D185+E185)*C185)*'Assumptions and Catalog'!$H$61+'Assumptions and Catalog'!$E$61+'Assumptions and Catalog'!$F$61,IF(((D185+E185)*C185)&lt;='Assumptions and Catalog'!$C$62,((D185+E185)*C185)*'Assumptions and Catalog'!$H$62+'Assumptions and Catalog'!$E$62+'Assumptions and Catalog'!$F$62,IF(((D185+E185)*C185)&lt;='Assumptions and Catalog'!$C$63,((D185+E185)*C185)*'Assumptions and Catalog'!$H$63+'Assumptions and Catalog'!$E$63+'Assumptions and Catalog'!$F$63,IF(((D185+E185)*C185)&lt;='Assumptions and Catalog'!$C$64,((D185+E185)*C185)*'Assumptions and Catalog'!$H$64+'Assumptions and Catalog'!$E$64+'Assumptions and Catalog'!$F$64,IF(((D185+E185)*C185)&lt;='Assumptions and Catalog'!$C$65,((D185+E185)*C185)*'Assumptions and Catalog'!$H$65+'Assumptions and Catalog'!$E$65+'Assumptions and Catalog'!$F$65,"Out of range")))))))))*(1+'Assumptions and Catalog'!$C$8)^(A185-1),0)</f>
        <v>8554.9666666666672</v>
      </c>
      <c r="N185" s="5">
        <f>IF(ISNUMBER(Inputs!$L$5),(IF(Inputs!$L$9="Actual flat rate",L185*Inputs!$L$10,IF(Inputs!$C$9="Residential",IF(L185&lt;='Assumptions and Catalog'!$C$50,L185*'Assumptions and Catalog'!$H$50+'Assumptions and Catalog'!$E$50+'Assumptions and Catalog'!$F$50,IF(L185&lt;='Assumptions and Catalog'!$C$51,L185*'Assumptions and Catalog'!$H$51+'Assumptions and Catalog'!$E$51+'Assumptions and Catalog'!$F$51,IF(L185&lt;='Assumptions and Catalog'!$C$52,L185*'Assumptions and Catalog'!$H$52+'Assumptions and Catalog'!$E$52+'Assumptions and Catalog'!$F$52,IF(L185&lt;='Assumptions and Catalog'!$C$53,L185*'Assumptions and Catalog'!$H$53+'Assumptions and Catalog'!$E$53+'Assumptions and Catalog'!$F$53,IF(L185&lt;='Assumptions and Catalog'!$C$54,L185*'Assumptions and Catalog'!$H$54+'Assumptions and Catalog'!$E$54+'Assumptions and Catalog'!$F$54,IF(L185&lt;='Assumptions and Catalog'!$C$55,L185*'Assumptions and Catalog'!$H$55+'Assumptions and Catalog'!$E$55+'Assumptions and Catalog'!$F$55,IF(L185&lt;='Assumptions and Catalog'!$C$56,L185*'Assumptions and Catalog'!$H$56+'Assumptions and Catalog'!$E$56+'Assumptions and Catalog'!$F$56,IF(L185&lt;='Assumptions and Catalog'!$C$57,L185*'Assumptions and Catalog'!$H$57+'Assumptions and Catalog'!$E$57+'Assumptions and Catalog'!$F$57,"Out of range")))))))),IF(L185&lt;='Assumptions and Catalog'!$C$60,L185*'Assumptions and Catalog'!$H$60+'Assumptions and Catalog'!$E$60+'Assumptions and Catalog'!$F$60,IF(L185&lt;='Assumptions and Catalog'!$C$61,L185*'Assumptions and Catalog'!$H$61+'Assumptions and Catalog'!$E$61+'Assumptions and Catalog'!$F$61,IF(L185&lt;='Assumptions and Catalog'!$C$62,L185*'Assumptions and Catalog'!$H$62+'Assumptions and Catalog'!$E$62+'Assumptions and Catalog'!$F$62,IF(L185&lt;='Assumptions and Catalog'!$C$63,L185*'Assumptions and Catalog'!$H$63+'Assumptions and Catalog'!$E$63+'Assumptions and Catalog'!$F$63,IF(L185&lt;='Assumptions and Catalog'!$C$64,L185*'Assumptions and Catalog'!$H$64+'Assumptions and Catalog'!$E$64+'Assumptions and Catalog'!$F$64,IF(L185&lt;='Assumptions and Catalog'!$C$65,L185*'Assumptions and Catalog'!$H$65+'Assumptions and Catalog'!$E$65+'Assumptions and Catalog'!$F$65,"Out of range")))))))))*(1+'Assumptions and Catalog'!$C$8)^(A185-1),0)</f>
        <v>5053.1363847900247</v>
      </c>
      <c r="O185" s="5">
        <f t="shared" si="12"/>
        <v>3501.8302818766424</v>
      </c>
      <c r="P185" s="5">
        <f>C$55*(1-J$14)*(1-'Assumptions and Catalog'!$C$23)^R185</f>
        <v>0</v>
      </c>
      <c r="Q185" s="5">
        <f>IF(ISNUMBER(Inputs!$L$5),(IF(Inputs!$L$9="Actual flat rate",((D185+E185)*C185-G185)*Inputs!$L$10,IF(Inputs!$C$9="Residential",IF(((D185+E185)*C185-G185)&lt;='Assumptions and Catalog'!$C$50,((D185+E185)*C185-G185)*'Assumptions and Catalog'!$H$50+'Assumptions and Catalog'!$E$50+'Assumptions and Catalog'!$F$50,IF(((D185+E185)*C185-G185)&lt;='Assumptions and Catalog'!$C$51,((D185+E185)*C185-G185)*'Assumptions and Catalog'!$H$51+'Assumptions and Catalog'!$E$51+'Assumptions and Catalog'!$F$51,IF(((D185+E185)*C185-G185)&lt;='Assumptions and Catalog'!$C$52,((D185+E185)*C185-G185)*'Assumptions and Catalog'!$H$52+'Assumptions and Catalog'!$E$52+'Assumptions and Catalog'!$F$52,IF(((D185+E185)*C185-G185)&lt;='Assumptions and Catalog'!$C$53,((D185+E185)*C185-G185)*'Assumptions and Catalog'!$H$53+'Assumptions and Catalog'!$E$53+'Assumptions and Catalog'!$F$53,IF(((D185+E185)*C185-G185)&lt;='Assumptions and Catalog'!$C$54,((D185+E185)*C185-G185)*'Assumptions and Catalog'!$H$54+'Assumptions and Catalog'!$E$54+'Assumptions and Catalog'!$F$54,IF(((D185+E185)*C185-G185)&lt;='Assumptions and Catalog'!$C$55,((D185+E185)*C185-G185)*'Assumptions and Catalog'!$H$55+'Assumptions and Catalog'!$E$55+'Assumptions and Catalog'!$F$55,IF(((D185+E185)*C185-G185)&lt;='Assumptions and Catalog'!$C$56,((D185+E185)*C185-G185)*'Assumptions and Catalog'!$H$56+'Assumptions and Catalog'!$E$56+'Assumptions and Catalog'!$F$56,IF(((D185+E185)*C185-G185)&lt;='Assumptions and Catalog'!$C$57,((D185+E185)*C185-G185)*'Assumptions and Catalog'!$H$57+'Assumptions and Catalog'!$E$57+'Assumptions and Catalog'!$F$57,"Out of range")))))))),IF(((D185+E185)*C185-G185)&lt;='Assumptions and Catalog'!$C$60,((D185+E185)*C185-G185)*'Assumptions and Catalog'!$H$60+'Assumptions and Catalog'!$E$60+'Assumptions and Catalog'!$F$60,IF(((D185+E185)*C185-G185)&lt;='Assumptions and Catalog'!$C$61,((D185+E185)*C185-G185)*'Assumptions and Catalog'!$H$61+'Assumptions and Catalog'!$E$61+'Assumptions and Catalog'!$F$61,IF(((D185+E185)*C185-G185)&lt;='Assumptions and Catalog'!$C$62,((D185+E185)*C185-G185)*'Assumptions and Catalog'!$H$62+'Assumptions and Catalog'!$E$62+'Assumptions and Catalog'!$F$62,IF(((D185+E185)*C185-G185)&lt;='Assumptions and Catalog'!$C$63,((D185+E185)*C185-G185)*'Assumptions and Catalog'!$H$63+'Assumptions and Catalog'!$E$63+'Assumptions and Catalog'!$F$63,IF(((D185+E185)*C185-G185)&lt;='Assumptions and Catalog'!$C$64,((D185+E185)*C185-G185)*'Assumptions and Catalog'!$H$64+'Assumptions and Catalog'!$E$64+'Assumptions and Catalog'!$F$64,IF(((D185+E185)*C185-G185)&lt;='Assumptions and Catalog'!$C$65,((D185+E185)*C185-G185)*'Assumptions and Catalog'!$H$65+'Assumptions and Catalog'!$E$65+'Assumptions and Catalog'!$F$65,"Out of range")))))))))*(1+'Assumptions and Catalog'!$C$8)^(A185-1),0)</f>
        <v>5053.1363847900247</v>
      </c>
      <c r="R185" s="5">
        <f>IF(AND('Assumptions and Catalog'!$C$19&gt;0,A185&gt;='Assumptions and Catalog'!$C$19),A185-'Assumptions and Catalog'!$C$19,A185-1)</f>
        <v>2</v>
      </c>
      <c r="S185" s="5">
        <f t="shared" si="13"/>
        <v>0</v>
      </c>
      <c r="T185" s="5"/>
      <c r="U185" s="5"/>
    </row>
    <row r="186" spans="1:21" ht="23.1" customHeight="1" outlineLevel="1" x14ac:dyDescent="0.2">
      <c r="A186" s="5">
        <v>3</v>
      </c>
      <c r="B186" s="5">
        <v>2</v>
      </c>
      <c r="C186" s="5">
        <f>DAY(DATE('Assumptions and Catalog'!$C$24+A186-1,B186+1,0))</f>
        <v>28</v>
      </c>
      <c r="D186" s="5">
        <f>IF(ISNUMBER(Inputs!$L$5),Inputs!$L$5*Inputs!$L$6,0)</f>
        <v>40.35</v>
      </c>
      <c r="E186" s="5">
        <f>IF(ISNUMBER(Inputs!$L$5),Inputs!$L$5-D186,0)</f>
        <v>40.35</v>
      </c>
      <c r="F186" s="5">
        <f>C$51*'Assumptions and Catalog'!$C$31*C186*(1-'Assumptions and Catalog'!$C$10)^(A186-1)</f>
        <v>924.92887620000022</v>
      </c>
      <c r="G186" s="5">
        <f t="shared" si="8"/>
        <v>924.92887620000022</v>
      </c>
      <c r="H186" s="5">
        <f>I186/('Assumptions and Catalog'!$C$11*'Assumptions and Catalog'!$C$12)</f>
        <v>0</v>
      </c>
      <c r="I186" s="5">
        <f>0</f>
        <v>0</v>
      </c>
      <c r="J186" s="5">
        <f t="shared" si="9"/>
        <v>0</v>
      </c>
      <c r="K186" s="5">
        <f t="shared" si="10"/>
        <v>0</v>
      </c>
      <c r="L186" s="5">
        <f t="shared" si="11"/>
        <v>1334.6711237999998</v>
      </c>
      <c r="M186" s="5">
        <f>IF(ISNUMBER(Inputs!$L$5),(IF(Inputs!$L$9="Actual flat rate",((D186+E186)*C186)*Inputs!$L$10,IF(Inputs!$C$9="Residential",IF(((D186+E186)*C186)&lt;='Assumptions and Catalog'!$C$50,((D186+E186)*C186)*'Assumptions and Catalog'!$H$50+'Assumptions and Catalog'!$E$50+'Assumptions and Catalog'!$F$50,IF(((D186+E186)*C186)&lt;='Assumptions and Catalog'!$C$51,((D186+E186)*C186)*'Assumptions and Catalog'!$H$51+'Assumptions and Catalog'!$E$51+'Assumptions and Catalog'!$F$51,IF(((D186+E186)*C186)&lt;='Assumptions and Catalog'!$C$52,((D186+E186)*C186)*'Assumptions and Catalog'!$H$52+'Assumptions and Catalog'!$E$52+'Assumptions and Catalog'!$F$52,IF(((D186+E186)*C186)&lt;='Assumptions and Catalog'!$C$53,((D186+E186)*C186)*'Assumptions and Catalog'!$H$53+'Assumptions and Catalog'!$E$53+'Assumptions and Catalog'!$F$53,IF(((D186+E186)*C186)&lt;='Assumptions and Catalog'!$C$54,((D186+E186)*C186)*'Assumptions and Catalog'!$H$54+'Assumptions and Catalog'!$E$54+'Assumptions and Catalog'!$F$54,IF(((D186+E186)*C186)&lt;='Assumptions and Catalog'!$C$55,((D186+E186)*C186)*'Assumptions and Catalog'!$H$55+'Assumptions and Catalog'!$E$55+'Assumptions and Catalog'!$F$55,IF(((D186+E186)*C186)&lt;='Assumptions and Catalog'!$C$56,((D186+E186)*C186)*'Assumptions and Catalog'!$H$56+'Assumptions and Catalog'!$E$56+'Assumptions and Catalog'!$F$56,IF(((D186+E186)*C186)&lt;='Assumptions and Catalog'!$C$57,((D186+E186)*C186)*'Assumptions and Catalog'!$H$57+'Assumptions and Catalog'!$E$57+'Assumptions and Catalog'!$F$57,"Out of range")))))))),IF(((D186+E186)*C186)&lt;='Assumptions and Catalog'!$C$60,((D186+E186)*C186)*'Assumptions and Catalog'!$H$60+'Assumptions and Catalog'!$E$60+'Assumptions and Catalog'!$F$60,IF(((D186+E186)*C186)&lt;='Assumptions and Catalog'!$C$61,((D186+E186)*C186)*'Assumptions and Catalog'!$H$61+'Assumptions and Catalog'!$E$61+'Assumptions and Catalog'!$F$61,IF(((D186+E186)*C186)&lt;='Assumptions and Catalog'!$C$62,((D186+E186)*C186)*'Assumptions and Catalog'!$H$62+'Assumptions and Catalog'!$E$62+'Assumptions and Catalog'!$F$62,IF(((D186+E186)*C186)&lt;='Assumptions and Catalog'!$C$63,((D186+E186)*C186)*'Assumptions and Catalog'!$H$63+'Assumptions and Catalog'!$E$63+'Assumptions and Catalog'!$F$63,IF(((D186+E186)*C186)&lt;='Assumptions and Catalog'!$C$64,((D186+E186)*C186)*'Assumptions and Catalog'!$H$64+'Assumptions and Catalog'!$E$64+'Assumptions and Catalog'!$F$64,IF(((D186+E186)*C186)&lt;='Assumptions and Catalog'!$C$65,((D186+E186)*C186)*'Assumptions and Catalog'!$H$65+'Assumptions and Catalog'!$E$65+'Assumptions and Catalog'!$F$65,"Out of range")))))))))*(1+'Assumptions and Catalog'!$C$8)^(A186-1),0)</f>
        <v>7727.0666666666657</v>
      </c>
      <c r="N186" s="5">
        <f>IF(ISNUMBER(Inputs!$L$5),(IF(Inputs!$L$9="Actual flat rate",L186*Inputs!$L$10,IF(Inputs!$C$9="Residential",IF(L186&lt;='Assumptions and Catalog'!$C$50,L186*'Assumptions and Catalog'!$H$50+'Assumptions and Catalog'!$E$50+'Assumptions and Catalog'!$F$50,IF(L186&lt;='Assumptions and Catalog'!$C$51,L186*'Assumptions and Catalog'!$H$51+'Assumptions and Catalog'!$E$51+'Assumptions and Catalog'!$F$51,IF(L186&lt;='Assumptions and Catalog'!$C$52,L186*'Assumptions and Catalog'!$H$52+'Assumptions and Catalog'!$E$52+'Assumptions and Catalog'!$F$52,IF(L186&lt;='Assumptions and Catalog'!$C$53,L186*'Assumptions and Catalog'!$H$53+'Assumptions and Catalog'!$E$53+'Assumptions and Catalog'!$F$53,IF(L186&lt;='Assumptions and Catalog'!$C$54,L186*'Assumptions and Catalog'!$H$54+'Assumptions and Catalog'!$E$54+'Assumptions and Catalog'!$F$54,IF(L186&lt;='Assumptions and Catalog'!$C$55,L186*'Assumptions and Catalog'!$H$55+'Assumptions and Catalog'!$E$55+'Assumptions and Catalog'!$F$55,IF(L186&lt;='Assumptions and Catalog'!$C$56,L186*'Assumptions and Catalog'!$H$56+'Assumptions and Catalog'!$E$56+'Assumptions and Catalog'!$F$56,IF(L186&lt;='Assumptions and Catalog'!$C$57,L186*'Assumptions and Catalog'!$H$57+'Assumptions and Catalog'!$E$57+'Assumptions and Catalog'!$F$57,"Out of range")))))))),IF(L186&lt;='Assumptions and Catalog'!$C$60,L186*'Assumptions and Catalog'!$H$60+'Assumptions and Catalog'!$E$60+'Assumptions and Catalog'!$F$60,IF(L186&lt;='Assumptions and Catalog'!$C$61,L186*'Assumptions and Catalog'!$H$61+'Assumptions and Catalog'!$E$61+'Assumptions and Catalog'!$F$61,IF(L186&lt;='Assumptions and Catalog'!$C$62,L186*'Assumptions and Catalog'!$H$62+'Assumptions and Catalog'!$E$62+'Assumptions and Catalog'!$F$62,IF(L186&lt;='Assumptions and Catalog'!$C$63,L186*'Assumptions and Catalog'!$H$63+'Assumptions and Catalog'!$E$63+'Assumptions and Catalog'!$F$63,IF(L186&lt;='Assumptions and Catalog'!$C$64,L186*'Assumptions and Catalog'!$H$64+'Assumptions and Catalog'!$E$64+'Assumptions and Catalog'!$F$64,IF(L186&lt;='Assumptions and Catalog'!$C$65,L186*'Assumptions and Catalog'!$H$65+'Assumptions and Catalog'!$E$65+'Assumptions and Catalog'!$F$65,"Out of range")))))))))*(1+'Assumptions and Catalog'!$C$8)^(A186-1),0)</f>
        <v>4564.123186261957</v>
      </c>
      <c r="O186" s="5">
        <f t="shared" si="12"/>
        <v>3162.9434804047087</v>
      </c>
      <c r="P186" s="5">
        <f>C$55*(1-J$14)*(1-'Assumptions and Catalog'!$C$23)^R186</f>
        <v>0</v>
      </c>
      <c r="Q186" s="5">
        <f>IF(ISNUMBER(Inputs!$L$5),(IF(Inputs!$L$9="Actual flat rate",((D186+E186)*C186-G186)*Inputs!$L$10,IF(Inputs!$C$9="Residential",IF(((D186+E186)*C186-G186)&lt;='Assumptions and Catalog'!$C$50,((D186+E186)*C186-G186)*'Assumptions and Catalog'!$H$50+'Assumptions and Catalog'!$E$50+'Assumptions and Catalog'!$F$50,IF(((D186+E186)*C186-G186)&lt;='Assumptions and Catalog'!$C$51,((D186+E186)*C186-G186)*'Assumptions and Catalog'!$H$51+'Assumptions and Catalog'!$E$51+'Assumptions and Catalog'!$F$51,IF(((D186+E186)*C186-G186)&lt;='Assumptions and Catalog'!$C$52,((D186+E186)*C186-G186)*'Assumptions and Catalog'!$H$52+'Assumptions and Catalog'!$E$52+'Assumptions and Catalog'!$F$52,IF(((D186+E186)*C186-G186)&lt;='Assumptions and Catalog'!$C$53,((D186+E186)*C186-G186)*'Assumptions and Catalog'!$H$53+'Assumptions and Catalog'!$E$53+'Assumptions and Catalog'!$F$53,IF(((D186+E186)*C186-G186)&lt;='Assumptions and Catalog'!$C$54,((D186+E186)*C186-G186)*'Assumptions and Catalog'!$H$54+'Assumptions and Catalog'!$E$54+'Assumptions and Catalog'!$F$54,IF(((D186+E186)*C186-G186)&lt;='Assumptions and Catalog'!$C$55,((D186+E186)*C186-G186)*'Assumptions and Catalog'!$H$55+'Assumptions and Catalog'!$E$55+'Assumptions and Catalog'!$F$55,IF(((D186+E186)*C186-G186)&lt;='Assumptions and Catalog'!$C$56,((D186+E186)*C186-G186)*'Assumptions and Catalog'!$H$56+'Assumptions and Catalog'!$E$56+'Assumptions and Catalog'!$F$56,IF(((D186+E186)*C186-G186)&lt;='Assumptions and Catalog'!$C$57,((D186+E186)*C186-G186)*'Assumptions and Catalog'!$H$57+'Assumptions and Catalog'!$E$57+'Assumptions and Catalog'!$F$57,"Out of range")))))))),IF(((D186+E186)*C186-G186)&lt;='Assumptions and Catalog'!$C$60,((D186+E186)*C186-G186)*'Assumptions and Catalog'!$H$60+'Assumptions and Catalog'!$E$60+'Assumptions and Catalog'!$F$60,IF(((D186+E186)*C186-G186)&lt;='Assumptions and Catalog'!$C$61,((D186+E186)*C186-G186)*'Assumptions and Catalog'!$H$61+'Assumptions and Catalog'!$E$61+'Assumptions and Catalog'!$F$61,IF(((D186+E186)*C186-G186)&lt;='Assumptions and Catalog'!$C$62,((D186+E186)*C186-G186)*'Assumptions and Catalog'!$H$62+'Assumptions and Catalog'!$E$62+'Assumptions and Catalog'!$F$62,IF(((D186+E186)*C186-G186)&lt;='Assumptions and Catalog'!$C$63,((D186+E186)*C186-G186)*'Assumptions and Catalog'!$H$63+'Assumptions and Catalog'!$E$63+'Assumptions and Catalog'!$F$63,IF(((D186+E186)*C186-G186)&lt;='Assumptions and Catalog'!$C$64,((D186+E186)*C186-G186)*'Assumptions and Catalog'!$H$64+'Assumptions and Catalog'!$E$64+'Assumptions and Catalog'!$F$64,IF(((D186+E186)*C186-G186)&lt;='Assumptions and Catalog'!$C$65,((D186+E186)*C186-G186)*'Assumptions and Catalog'!$H$65+'Assumptions and Catalog'!$E$65+'Assumptions and Catalog'!$F$65,"Out of range")))))))))*(1+'Assumptions and Catalog'!$C$8)^(A186-1),0)</f>
        <v>4564.123186261957</v>
      </c>
      <c r="R186" s="5">
        <f>IF(AND('Assumptions and Catalog'!$C$19&gt;0,A186&gt;='Assumptions and Catalog'!$C$19),A186-'Assumptions and Catalog'!$C$19,A186-1)</f>
        <v>2</v>
      </c>
      <c r="S186" s="5">
        <f t="shared" si="13"/>
        <v>0</v>
      </c>
      <c r="T186" s="5"/>
      <c r="U186" s="5"/>
    </row>
    <row r="187" spans="1:21" ht="23.1" customHeight="1" outlineLevel="1" x14ac:dyDescent="0.2">
      <c r="A187" s="5">
        <v>3</v>
      </c>
      <c r="B187" s="5">
        <v>3</v>
      </c>
      <c r="C187" s="5">
        <f>DAY(DATE('Assumptions and Catalog'!$C$24+A187-1,B187+1,0))</f>
        <v>31</v>
      </c>
      <c r="D187" s="5">
        <f>IF(ISNUMBER(Inputs!$L$5),Inputs!$L$5*Inputs!$L$6,0)</f>
        <v>40.35</v>
      </c>
      <c r="E187" s="5">
        <f>IF(ISNUMBER(Inputs!$L$5),Inputs!$L$5-D187,0)</f>
        <v>40.35</v>
      </c>
      <c r="F187" s="5">
        <f>C$51*'Assumptions and Catalog'!$C$31*C187*(1-'Assumptions and Catalog'!$C$10)^(A187-1)</f>
        <v>1024.0283986500003</v>
      </c>
      <c r="G187" s="5">
        <f t="shared" si="8"/>
        <v>1024.0283986500003</v>
      </c>
      <c r="H187" s="5">
        <f>I187/('Assumptions and Catalog'!$C$11*'Assumptions and Catalog'!$C$12)</f>
        <v>0</v>
      </c>
      <c r="I187" s="5">
        <f>0</f>
        <v>0</v>
      </c>
      <c r="J187" s="5">
        <f t="shared" si="9"/>
        <v>0</v>
      </c>
      <c r="K187" s="5">
        <f t="shared" si="10"/>
        <v>0</v>
      </c>
      <c r="L187" s="5">
        <f t="shared" si="11"/>
        <v>1477.6716013499999</v>
      </c>
      <c r="M187" s="5">
        <f>IF(ISNUMBER(Inputs!$L$5),(IF(Inputs!$L$9="Actual flat rate",((D187+E187)*C187)*Inputs!$L$10,IF(Inputs!$C$9="Residential",IF(((D187+E187)*C187)&lt;='Assumptions and Catalog'!$C$50,((D187+E187)*C187)*'Assumptions and Catalog'!$H$50+'Assumptions and Catalog'!$E$50+'Assumptions and Catalog'!$F$50,IF(((D187+E187)*C187)&lt;='Assumptions and Catalog'!$C$51,((D187+E187)*C187)*'Assumptions and Catalog'!$H$51+'Assumptions and Catalog'!$E$51+'Assumptions and Catalog'!$F$51,IF(((D187+E187)*C187)&lt;='Assumptions and Catalog'!$C$52,((D187+E187)*C187)*'Assumptions and Catalog'!$H$52+'Assumptions and Catalog'!$E$52+'Assumptions and Catalog'!$F$52,IF(((D187+E187)*C187)&lt;='Assumptions and Catalog'!$C$53,((D187+E187)*C187)*'Assumptions and Catalog'!$H$53+'Assumptions and Catalog'!$E$53+'Assumptions and Catalog'!$F$53,IF(((D187+E187)*C187)&lt;='Assumptions and Catalog'!$C$54,((D187+E187)*C187)*'Assumptions and Catalog'!$H$54+'Assumptions and Catalog'!$E$54+'Assumptions and Catalog'!$F$54,IF(((D187+E187)*C187)&lt;='Assumptions and Catalog'!$C$55,((D187+E187)*C187)*'Assumptions and Catalog'!$H$55+'Assumptions and Catalog'!$E$55+'Assumptions and Catalog'!$F$55,IF(((D187+E187)*C187)&lt;='Assumptions and Catalog'!$C$56,((D187+E187)*C187)*'Assumptions and Catalog'!$H$56+'Assumptions and Catalog'!$E$56+'Assumptions and Catalog'!$F$56,IF(((D187+E187)*C187)&lt;='Assumptions and Catalog'!$C$57,((D187+E187)*C187)*'Assumptions and Catalog'!$H$57+'Assumptions and Catalog'!$E$57+'Assumptions and Catalog'!$F$57,"Out of range")))))))),IF(((D187+E187)*C187)&lt;='Assumptions and Catalog'!$C$60,((D187+E187)*C187)*'Assumptions and Catalog'!$H$60+'Assumptions and Catalog'!$E$60+'Assumptions and Catalog'!$F$60,IF(((D187+E187)*C187)&lt;='Assumptions and Catalog'!$C$61,((D187+E187)*C187)*'Assumptions and Catalog'!$H$61+'Assumptions and Catalog'!$E$61+'Assumptions and Catalog'!$F$61,IF(((D187+E187)*C187)&lt;='Assumptions and Catalog'!$C$62,((D187+E187)*C187)*'Assumptions and Catalog'!$H$62+'Assumptions and Catalog'!$E$62+'Assumptions and Catalog'!$F$62,IF(((D187+E187)*C187)&lt;='Assumptions and Catalog'!$C$63,((D187+E187)*C187)*'Assumptions and Catalog'!$H$63+'Assumptions and Catalog'!$E$63+'Assumptions and Catalog'!$F$63,IF(((D187+E187)*C187)&lt;='Assumptions and Catalog'!$C$64,((D187+E187)*C187)*'Assumptions and Catalog'!$H$64+'Assumptions and Catalog'!$E$64+'Assumptions and Catalog'!$F$64,IF(((D187+E187)*C187)&lt;='Assumptions and Catalog'!$C$65,((D187+E187)*C187)*'Assumptions and Catalog'!$H$65+'Assumptions and Catalog'!$E$65+'Assumptions and Catalog'!$F$65,"Out of range")))))))))*(1+'Assumptions and Catalog'!$C$8)^(A187-1),0)</f>
        <v>8554.9666666666672</v>
      </c>
      <c r="N187" s="5">
        <f>IF(ISNUMBER(Inputs!$L$5),(IF(Inputs!$L$9="Actual flat rate",L187*Inputs!$L$10,IF(Inputs!$C$9="Residential",IF(L187&lt;='Assumptions and Catalog'!$C$50,L187*'Assumptions and Catalog'!$H$50+'Assumptions and Catalog'!$E$50+'Assumptions and Catalog'!$F$50,IF(L187&lt;='Assumptions and Catalog'!$C$51,L187*'Assumptions and Catalog'!$H$51+'Assumptions and Catalog'!$E$51+'Assumptions and Catalog'!$F$51,IF(L187&lt;='Assumptions and Catalog'!$C$52,L187*'Assumptions and Catalog'!$H$52+'Assumptions and Catalog'!$E$52+'Assumptions and Catalog'!$F$52,IF(L187&lt;='Assumptions and Catalog'!$C$53,L187*'Assumptions and Catalog'!$H$53+'Assumptions and Catalog'!$E$53+'Assumptions and Catalog'!$F$53,IF(L187&lt;='Assumptions and Catalog'!$C$54,L187*'Assumptions and Catalog'!$H$54+'Assumptions and Catalog'!$E$54+'Assumptions and Catalog'!$F$54,IF(L187&lt;='Assumptions and Catalog'!$C$55,L187*'Assumptions and Catalog'!$H$55+'Assumptions and Catalog'!$E$55+'Assumptions and Catalog'!$F$55,IF(L187&lt;='Assumptions and Catalog'!$C$56,L187*'Assumptions and Catalog'!$H$56+'Assumptions and Catalog'!$E$56+'Assumptions and Catalog'!$F$56,IF(L187&lt;='Assumptions and Catalog'!$C$57,L187*'Assumptions and Catalog'!$H$57+'Assumptions and Catalog'!$E$57+'Assumptions and Catalog'!$F$57,"Out of range")))))))),IF(L187&lt;='Assumptions and Catalog'!$C$60,L187*'Assumptions and Catalog'!$H$60+'Assumptions and Catalog'!$E$60+'Assumptions and Catalog'!$F$60,IF(L187&lt;='Assumptions and Catalog'!$C$61,L187*'Assumptions and Catalog'!$H$61+'Assumptions and Catalog'!$E$61+'Assumptions and Catalog'!$F$61,IF(L187&lt;='Assumptions and Catalog'!$C$62,L187*'Assumptions and Catalog'!$H$62+'Assumptions and Catalog'!$E$62+'Assumptions and Catalog'!$F$62,IF(L187&lt;='Assumptions and Catalog'!$C$63,L187*'Assumptions and Catalog'!$H$63+'Assumptions and Catalog'!$E$63+'Assumptions and Catalog'!$F$63,IF(L187&lt;='Assumptions and Catalog'!$C$64,L187*'Assumptions and Catalog'!$H$64+'Assumptions and Catalog'!$E$64+'Assumptions and Catalog'!$F$64,IF(L187&lt;='Assumptions and Catalog'!$C$65,L187*'Assumptions and Catalog'!$H$65+'Assumptions and Catalog'!$E$65+'Assumptions and Catalog'!$F$65,"Out of range")))))))))*(1+'Assumptions and Catalog'!$C$8)^(A187-1),0)</f>
        <v>5053.1363847900247</v>
      </c>
      <c r="O187" s="5">
        <f t="shared" si="12"/>
        <v>3501.8302818766424</v>
      </c>
      <c r="P187" s="5">
        <f>C$55*(1-J$14)*(1-'Assumptions and Catalog'!$C$23)^R187</f>
        <v>0</v>
      </c>
      <c r="Q187" s="5">
        <f>IF(ISNUMBER(Inputs!$L$5),(IF(Inputs!$L$9="Actual flat rate",((D187+E187)*C187-G187)*Inputs!$L$10,IF(Inputs!$C$9="Residential",IF(((D187+E187)*C187-G187)&lt;='Assumptions and Catalog'!$C$50,((D187+E187)*C187-G187)*'Assumptions and Catalog'!$H$50+'Assumptions and Catalog'!$E$50+'Assumptions and Catalog'!$F$50,IF(((D187+E187)*C187-G187)&lt;='Assumptions and Catalog'!$C$51,((D187+E187)*C187-G187)*'Assumptions and Catalog'!$H$51+'Assumptions and Catalog'!$E$51+'Assumptions and Catalog'!$F$51,IF(((D187+E187)*C187-G187)&lt;='Assumptions and Catalog'!$C$52,((D187+E187)*C187-G187)*'Assumptions and Catalog'!$H$52+'Assumptions and Catalog'!$E$52+'Assumptions and Catalog'!$F$52,IF(((D187+E187)*C187-G187)&lt;='Assumptions and Catalog'!$C$53,((D187+E187)*C187-G187)*'Assumptions and Catalog'!$H$53+'Assumptions and Catalog'!$E$53+'Assumptions and Catalog'!$F$53,IF(((D187+E187)*C187-G187)&lt;='Assumptions and Catalog'!$C$54,((D187+E187)*C187-G187)*'Assumptions and Catalog'!$H$54+'Assumptions and Catalog'!$E$54+'Assumptions and Catalog'!$F$54,IF(((D187+E187)*C187-G187)&lt;='Assumptions and Catalog'!$C$55,((D187+E187)*C187-G187)*'Assumptions and Catalog'!$H$55+'Assumptions and Catalog'!$E$55+'Assumptions and Catalog'!$F$55,IF(((D187+E187)*C187-G187)&lt;='Assumptions and Catalog'!$C$56,((D187+E187)*C187-G187)*'Assumptions and Catalog'!$H$56+'Assumptions and Catalog'!$E$56+'Assumptions and Catalog'!$F$56,IF(((D187+E187)*C187-G187)&lt;='Assumptions and Catalog'!$C$57,((D187+E187)*C187-G187)*'Assumptions and Catalog'!$H$57+'Assumptions and Catalog'!$E$57+'Assumptions and Catalog'!$F$57,"Out of range")))))))),IF(((D187+E187)*C187-G187)&lt;='Assumptions and Catalog'!$C$60,((D187+E187)*C187-G187)*'Assumptions and Catalog'!$H$60+'Assumptions and Catalog'!$E$60+'Assumptions and Catalog'!$F$60,IF(((D187+E187)*C187-G187)&lt;='Assumptions and Catalog'!$C$61,((D187+E187)*C187-G187)*'Assumptions and Catalog'!$H$61+'Assumptions and Catalog'!$E$61+'Assumptions and Catalog'!$F$61,IF(((D187+E187)*C187-G187)&lt;='Assumptions and Catalog'!$C$62,((D187+E187)*C187-G187)*'Assumptions and Catalog'!$H$62+'Assumptions and Catalog'!$E$62+'Assumptions and Catalog'!$F$62,IF(((D187+E187)*C187-G187)&lt;='Assumptions and Catalog'!$C$63,((D187+E187)*C187-G187)*'Assumptions and Catalog'!$H$63+'Assumptions and Catalog'!$E$63+'Assumptions and Catalog'!$F$63,IF(((D187+E187)*C187-G187)&lt;='Assumptions and Catalog'!$C$64,((D187+E187)*C187-G187)*'Assumptions and Catalog'!$H$64+'Assumptions and Catalog'!$E$64+'Assumptions and Catalog'!$F$64,IF(((D187+E187)*C187-G187)&lt;='Assumptions and Catalog'!$C$65,((D187+E187)*C187-G187)*'Assumptions and Catalog'!$H$65+'Assumptions and Catalog'!$E$65+'Assumptions and Catalog'!$F$65,"Out of range")))))))))*(1+'Assumptions and Catalog'!$C$8)^(A187-1),0)</f>
        <v>5053.1363847900247</v>
      </c>
      <c r="R187" s="5">
        <f>IF(AND('Assumptions and Catalog'!$C$19&gt;0,A187&gt;='Assumptions and Catalog'!$C$19),A187-'Assumptions and Catalog'!$C$19,A187-1)</f>
        <v>2</v>
      </c>
      <c r="S187" s="5">
        <f t="shared" si="13"/>
        <v>0</v>
      </c>
      <c r="T187" s="5"/>
      <c r="U187" s="5"/>
    </row>
    <row r="188" spans="1:21" ht="23.1" customHeight="1" outlineLevel="1" x14ac:dyDescent="0.2">
      <c r="A188" s="5">
        <v>3</v>
      </c>
      <c r="B188" s="5">
        <v>4</v>
      </c>
      <c r="C188" s="5">
        <f>DAY(DATE('Assumptions and Catalog'!$C$24+A188-1,B188+1,0))</f>
        <v>30</v>
      </c>
      <c r="D188" s="5">
        <f>IF(ISNUMBER(Inputs!$L$5),Inputs!$L$5*Inputs!$L$6,0)</f>
        <v>40.35</v>
      </c>
      <c r="E188" s="5">
        <f>IF(ISNUMBER(Inputs!$L$5),Inputs!$L$5-D188,0)</f>
        <v>40.35</v>
      </c>
      <c r="F188" s="5">
        <f>C$51*'Assumptions and Catalog'!$C$31*C188*(1-'Assumptions and Catalog'!$C$10)^(A188-1)</f>
        <v>990.99522450000029</v>
      </c>
      <c r="G188" s="5">
        <f t="shared" si="8"/>
        <v>990.99522450000029</v>
      </c>
      <c r="H188" s="5">
        <f>I188/('Assumptions and Catalog'!$C$11*'Assumptions and Catalog'!$C$12)</f>
        <v>0</v>
      </c>
      <c r="I188" s="5">
        <f>0</f>
        <v>0</v>
      </c>
      <c r="J188" s="5">
        <f t="shared" si="9"/>
        <v>0</v>
      </c>
      <c r="K188" s="5">
        <f t="shared" si="10"/>
        <v>0</v>
      </c>
      <c r="L188" s="5">
        <f t="shared" si="11"/>
        <v>1430.0047754999996</v>
      </c>
      <c r="M188" s="5">
        <f>IF(ISNUMBER(Inputs!$L$5),(IF(Inputs!$L$9="Actual flat rate",((D188+E188)*C188)*Inputs!$L$10,IF(Inputs!$C$9="Residential",IF(((D188+E188)*C188)&lt;='Assumptions and Catalog'!$C$50,((D188+E188)*C188)*'Assumptions and Catalog'!$H$50+'Assumptions and Catalog'!$E$50+'Assumptions and Catalog'!$F$50,IF(((D188+E188)*C188)&lt;='Assumptions and Catalog'!$C$51,((D188+E188)*C188)*'Assumptions and Catalog'!$H$51+'Assumptions and Catalog'!$E$51+'Assumptions and Catalog'!$F$51,IF(((D188+E188)*C188)&lt;='Assumptions and Catalog'!$C$52,((D188+E188)*C188)*'Assumptions and Catalog'!$H$52+'Assumptions and Catalog'!$E$52+'Assumptions and Catalog'!$F$52,IF(((D188+E188)*C188)&lt;='Assumptions and Catalog'!$C$53,((D188+E188)*C188)*'Assumptions and Catalog'!$H$53+'Assumptions and Catalog'!$E$53+'Assumptions and Catalog'!$F$53,IF(((D188+E188)*C188)&lt;='Assumptions and Catalog'!$C$54,((D188+E188)*C188)*'Assumptions and Catalog'!$H$54+'Assumptions and Catalog'!$E$54+'Assumptions and Catalog'!$F$54,IF(((D188+E188)*C188)&lt;='Assumptions and Catalog'!$C$55,((D188+E188)*C188)*'Assumptions and Catalog'!$H$55+'Assumptions and Catalog'!$E$55+'Assumptions and Catalog'!$F$55,IF(((D188+E188)*C188)&lt;='Assumptions and Catalog'!$C$56,((D188+E188)*C188)*'Assumptions and Catalog'!$H$56+'Assumptions and Catalog'!$E$56+'Assumptions and Catalog'!$F$56,IF(((D188+E188)*C188)&lt;='Assumptions and Catalog'!$C$57,((D188+E188)*C188)*'Assumptions and Catalog'!$H$57+'Assumptions and Catalog'!$E$57+'Assumptions and Catalog'!$F$57,"Out of range")))))))),IF(((D188+E188)*C188)&lt;='Assumptions and Catalog'!$C$60,((D188+E188)*C188)*'Assumptions and Catalog'!$H$60+'Assumptions and Catalog'!$E$60+'Assumptions and Catalog'!$F$60,IF(((D188+E188)*C188)&lt;='Assumptions and Catalog'!$C$61,((D188+E188)*C188)*'Assumptions and Catalog'!$H$61+'Assumptions and Catalog'!$E$61+'Assumptions and Catalog'!$F$61,IF(((D188+E188)*C188)&lt;='Assumptions and Catalog'!$C$62,((D188+E188)*C188)*'Assumptions and Catalog'!$H$62+'Assumptions and Catalog'!$E$62+'Assumptions and Catalog'!$F$62,IF(((D188+E188)*C188)&lt;='Assumptions and Catalog'!$C$63,((D188+E188)*C188)*'Assumptions and Catalog'!$H$63+'Assumptions and Catalog'!$E$63+'Assumptions and Catalog'!$F$63,IF(((D188+E188)*C188)&lt;='Assumptions and Catalog'!$C$64,((D188+E188)*C188)*'Assumptions and Catalog'!$H$64+'Assumptions and Catalog'!$E$64+'Assumptions and Catalog'!$F$64,IF(((D188+E188)*C188)&lt;='Assumptions and Catalog'!$C$65,((D188+E188)*C188)*'Assumptions and Catalog'!$H$65+'Assumptions and Catalog'!$E$65+'Assumptions and Catalog'!$F$65,"Out of range")))))))))*(1+'Assumptions and Catalog'!$C$8)^(A188-1),0)</f>
        <v>8279</v>
      </c>
      <c r="N188" s="5">
        <f>IF(ISNUMBER(Inputs!$L$5),(IF(Inputs!$L$9="Actual flat rate",L188*Inputs!$L$10,IF(Inputs!$C$9="Residential",IF(L188&lt;='Assumptions and Catalog'!$C$50,L188*'Assumptions and Catalog'!$H$50+'Assumptions and Catalog'!$E$50+'Assumptions and Catalog'!$F$50,IF(L188&lt;='Assumptions and Catalog'!$C$51,L188*'Assumptions and Catalog'!$H$51+'Assumptions and Catalog'!$E$51+'Assumptions and Catalog'!$F$51,IF(L188&lt;='Assumptions and Catalog'!$C$52,L188*'Assumptions and Catalog'!$H$52+'Assumptions and Catalog'!$E$52+'Assumptions and Catalog'!$F$52,IF(L188&lt;='Assumptions and Catalog'!$C$53,L188*'Assumptions and Catalog'!$H$53+'Assumptions and Catalog'!$E$53+'Assumptions and Catalog'!$F$53,IF(L188&lt;='Assumptions and Catalog'!$C$54,L188*'Assumptions and Catalog'!$H$54+'Assumptions and Catalog'!$E$54+'Assumptions and Catalog'!$F$54,IF(L188&lt;='Assumptions and Catalog'!$C$55,L188*'Assumptions and Catalog'!$H$55+'Assumptions and Catalog'!$E$55+'Assumptions and Catalog'!$F$55,IF(L188&lt;='Assumptions and Catalog'!$C$56,L188*'Assumptions and Catalog'!$H$56+'Assumptions and Catalog'!$E$56+'Assumptions and Catalog'!$F$56,IF(L188&lt;='Assumptions and Catalog'!$C$57,L188*'Assumptions and Catalog'!$H$57+'Assumptions and Catalog'!$E$57+'Assumptions and Catalog'!$F$57,"Out of range")))))))),IF(L188&lt;='Assumptions and Catalog'!$C$60,L188*'Assumptions and Catalog'!$H$60+'Assumptions and Catalog'!$E$60+'Assumptions and Catalog'!$F$60,IF(L188&lt;='Assumptions and Catalog'!$C$61,L188*'Assumptions and Catalog'!$H$61+'Assumptions and Catalog'!$E$61+'Assumptions and Catalog'!$F$61,IF(L188&lt;='Assumptions and Catalog'!$C$62,L188*'Assumptions and Catalog'!$H$62+'Assumptions and Catalog'!$E$62+'Assumptions and Catalog'!$F$62,IF(L188&lt;='Assumptions and Catalog'!$C$63,L188*'Assumptions and Catalog'!$H$63+'Assumptions and Catalog'!$E$63+'Assumptions and Catalog'!$F$63,IF(L188&lt;='Assumptions and Catalog'!$C$64,L188*'Assumptions and Catalog'!$H$64+'Assumptions and Catalog'!$E$64+'Assumptions and Catalog'!$F$64,IF(L188&lt;='Assumptions and Catalog'!$C$65,L188*'Assumptions and Catalog'!$H$65+'Assumptions and Catalog'!$E$65+'Assumptions and Catalog'!$F$65,"Out of range")))))))))*(1+'Assumptions and Catalog'!$C$8)^(A188-1),0)</f>
        <v>4890.1319852806673</v>
      </c>
      <c r="O188" s="5">
        <f t="shared" si="12"/>
        <v>3388.8680147193327</v>
      </c>
      <c r="P188" s="5">
        <f>C$55*(1-J$14)*(1-'Assumptions and Catalog'!$C$23)^R188</f>
        <v>0</v>
      </c>
      <c r="Q188" s="5">
        <f>IF(ISNUMBER(Inputs!$L$5),(IF(Inputs!$L$9="Actual flat rate",((D188+E188)*C188-G188)*Inputs!$L$10,IF(Inputs!$C$9="Residential",IF(((D188+E188)*C188-G188)&lt;='Assumptions and Catalog'!$C$50,((D188+E188)*C188-G188)*'Assumptions and Catalog'!$H$50+'Assumptions and Catalog'!$E$50+'Assumptions and Catalog'!$F$50,IF(((D188+E188)*C188-G188)&lt;='Assumptions and Catalog'!$C$51,((D188+E188)*C188-G188)*'Assumptions and Catalog'!$H$51+'Assumptions and Catalog'!$E$51+'Assumptions and Catalog'!$F$51,IF(((D188+E188)*C188-G188)&lt;='Assumptions and Catalog'!$C$52,((D188+E188)*C188-G188)*'Assumptions and Catalog'!$H$52+'Assumptions and Catalog'!$E$52+'Assumptions and Catalog'!$F$52,IF(((D188+E188)*C188-G188)&lt;='Assumptions and Catalog'!$C$53,((D188+E188)*C188-G188)*'Assumptions and Catalog'!$H$53+'Assumptions and Catalog'!$E$53+'Assumptions and Catalog'!$F$53,IF(((D188+E188)*C188-G188)&lt;='Assumptions and Catalog'!$C$54,((D188+E188)*C188-G188)*'Assumptions and Catalog'!$H$54+'Assumptions and Catalog'!$E$54+'Assumptions and Catalog'!$F$54,IF(((D188+E188)*C188-G188)&lt;='Assumptions and Catalog'!$C$55,((D188+E188)*C188-G188)*'Assumptions and Catalog'!$H$55+'Assumptions and Catalog'!$E$55+'Assumptions and Catalog'!$F$55,IF(((D188+E188)*C188-G188)&lt;='Assumptions and Catalog'!$C$56,((D188+E188)*C188-G188)*'Assumptions and Catalog'!$H$56+'Assumptions and Catalog'!$E$56+'Assumptions and Catalog'!$F$56,IF(((D188+E188)*C188-G188)&lt;='Assumptions and Catalog'!$C$57,((D188+E188)*C188-G188)*'Assumptions and Catalog'!$H$57+'Assumptions and Catalog'!$E$57+'Assumptions and Catalog'!$F$57,"Out of range")))))))),IF(((D188+E188)*C188-G188)&lt;='Assumptions and Catalog'!$C$60,((D188+E188)*C188-G188)*'Assumptions and Catalog'!$H$60+'Assumptions and Catalog'!$E$60+'Assumptions and Catalog'!$F$60,IF(((D188+E188)*C188-G188)&lt;='Assumptions and Catalog'!$C$61,((D188+E188)*C188-G188)*'Assumptions and Catalog'!$H$61+'Assumptions and Catalog'!$E$61+'Assumptions and Catalog'!$F$61,IF(((D188+E188)*C188-G188)&lt;='Assumptions and Catalog'!$C$62,((D188+E188)*C188-G188)*'Assumptions and Catalog'!$H$62+'Assumptions and Catalog'!$E$62+'Assumptions and Catalog'!$F$62,IF(((D188+E188)*C188-G188)&lt;='Assumptions and Catalog'!$C$63,((D188+E188)*C188-G188)*'Assumptions and Catalog'!$H$63+'Assumptions and Catalog'!$E$63+'Assumptions and Catalog'!$F$63,IF(((D188+E188)*C188-G188)&lt;='Assumptions and Catalog'!$C$64,((D188+E188)*C188-G188)*'Assumptions and Catalog'!$H$64+'Assumptions and Catalog'!$E$64+'Assumptions and Catalog'!$F$64,IF(((D188+E188)*C188-G188)&lt;='Assumptions and Catalog'!$C$65,((D188+E188)*C188-G188)*'Assumptions and Catalog'!$H$65+'Assumptions and Catalog'!$E$65+'Assumptions and Catalog'!$F$65,"Out of range")))))))))*(1+'Assumptions and Catalog'!$C$8)^(A188-1),0)</f>
        <v>4890.1319852806673</v>
      </c>
      <c r="R188" s="5">
        <f>IF(AND('Assumptions and Catalog'!$C$19&gt;0,A188&gt;='Assumptions and Catalog'!$C$19),A188-'Assumptions and Catalog'!$C$19,A188-1)</f>
        <v>2</v>
      </c>
      <c r="S188" s="5">
        <f t="shared" si="13"/>
        <v>0</v>
      </c>
      <c r="T188" s="5"/>
      <c r="U188" s="5"/>
    </row>
    <row r="189" spans="1:21" ht="23.1" customHeight="1" outlineLevel="1" x14ac:dyDescent="0.2">
      <c r="A189" s="5">
        <v>3</v>
      </c>
      <c r="B189" s="5">
        <v>5</v>
      </c>
      <c r="C189" s="5">
        <f>DAY(DATE('Assumptions and Catalog'!$C$24+A189-1,B189+1,0))</f>
        <v>31</v>
      </c>
      <c r="D189" s="5">
        <f>IF(ISNUMBER(Inputs!$L$5),Inputs!$L$5*Inputs!$L$6,0)</f>
        <v>40.35</v>
      </c>
      <c r="E189" s="5">
        <f>IF(ISNUMBER(Inputs!$L$5),Inputs!$L$5-D189,0)</f>
        <v>40.35</v>
      </c>
      <c r="F189" s="5">
        <f>C$51*'Assumptions and Catalog'!$C$31*C189*(1-'Assumptions and Catalog'!$C$10)^(A189-1)</f>
        <v>1024.0283986500003</v>
      </c>
      <c r="G189" s="5">
        <f t="shared" si="8"/>
        <v>1024.0283986500003</v>
      </c>
      <c r="H189" s="5">
        <f>I189/('Assumptions and Catalog'!$C$11*'Assumptions and Catalog'!$C$12)</f>
        <v>0</v>
      </c>
      <c r="I189" s="5">
        <f>0</f>
        <v>0</v>
      </c>
      <c r="J189" s="5">
        <f t="shared" si="9"/>
        <v>0</v>
      </c>
      <c r="K189" s="5">
        <f t="shared" si="10"/>
        <v>0</v>
      </c>
      <c r="L189" s="5">
        <f t="shared" si="11"/>
        <v>1477.6716013499999</v>
      </c>
      <c r="M189" s="5">
        <f>IF(ISNUMBER(Inputs!$L$5),(IF(Inputs!$L$9="Actual flat rate",((D189+E189)*C189)*Inputs!$L$10,IF(Inputs!$C$9="Residential",IF(((D189+E189)*C189)&lt;='Assumptions and Catalog'!$C$50,((D189+E189)*C189)*'Assumptions and Catalog'!$H$50+'Assumptions and Catalog'!$E$50+'Assumptions and Catalog'!$F$50,IF(((D189+E189)*C189)&lt;='Assumptions and Catalog'!$C$51,((D189+E189)*C189)*'Assumptions and Catalog'!$H$51+'Assumptions and Catalog'!$E$51+'Assumptions and Catalog'!$F$51,IF(((D189+E189)*C189)&lt;='Assumptions and Catalog'!$C$52,((D189+E189)*C189)*'Assumptions and Catalog'!$H$52+'Assumptions and Catalog'!$E$52+'Assumptions and Catalog'!$F$52,IF(((D189+E189)*C189)&lt;='Assumptions and Catalog'!$C$53,((D189+E189)*C189)*'Assumptions and Catalog'!$H$53+'Assumptions and Catalog'!$E$53+'Assumptions and Catalog'!$F$53,IF(((D189+E189)*C189)&lt;='Assumptions and Catalog'!$C$54,((D189+E189)*C189)*'Assumptions and Catalog'!$H$54+'Assumptions and Catalog'!$E$54+'Assumptions and Catalog'!$F$54,IF(((D189+E189)*C189)&lt;='Assumptions and Catalog'!$C$55,((D189+E189)*C189)*'Assumptions and Catalog'!$H$55+'Assumptions and Catalog'!$E$55+'Assumptions and Catalog'!$F$55,IF(((D189+E189)*C189)&lt;='Assumptions and Catalog'!$C$56,((D189+E189)*C189)*'Assumptions and Catalog'!$H$56+'Assumptions and Catalog'!$E$56+'Assumptions and Catalog'!$F$56,IF(((D189+E189)*C189)&lt;='Assumptions and Catalog'!$C$57,((D189+E189)*C189)*'Assumptions and Catalog'!$H$57+'Assumptions and Catalog'!$E$57+'Assumptions and Catalog'!$F$57,"Out of range")))))))),IF(((D189+E189)*C189)&lt;='Assumptions and Catalog'!$C$60,((D189+E189)*C189)*'Assumptions and Catalog'!$H$60+'Assumptions and Catalog'!$E$60+'Assumptions and Catalog'!$F$60,IF(((D189+E189)*C189)&lt;='Assumptions and Catalog'!$C$61,((D189+E189)*C189)*'Assumptions and Catalog'!$H$61+'Assumptions and Catalog'!$E$61+'Assumptions and Catalog'!$F$61,IF(((D189+E189)*C189)&lt;='Assumptions and Catalog'!$C$62,((D189+E189)*C189)*'Assumptions and Catalog'!$H$62+'Assumptions and Catalog'!$E$62+'Assumptions and Catalog'!$F$62,IF(((D189+E189)*C189)&lt;='Assumptions and Catalog'!$C$63,((D189+E189)*C189)*'Assumptions and Catalog'!$H$63+'Assumptions and Catalog'!$E$63+'Assumptions and Catalog'!$F$63,IF(((D189+E189)*C189)&lt;='Assumptions and Catalog'!$C$64,((D189+E189)*C189)*'Assumptions and Catalog'!$H$64+'Assumptions and Catalog'!$E$64+'Assumptions and Catalog'!$F$64,IF(((D189+E189)*C189)&lt;='Assumptions and Catalog'!$C$65,((D189+E189)*C189)*'Assumptions and Catalog'!$H$65+'Assumptions and Catalog'!$E$65+'Assumptions and Catalog'!$F$65,"Out of range")))))))))*(1+'Assumptions and Catalog'!$C$8)^(A189-1),0)</f>
        <v>8554.9666666666672</v>
      </c>
      <c r="N189" s="5">
        <f>IF(ISNUMBER(Inputs!$L$5),(IF(Inputs!$L$9="Actual flat rate",L189*Inputs!$L$10,IF(Inputs!$C$9="Residential",IF(L189&lt;='Assumptions and Catalog'!$C$50,L189*'Assumptions and Catalog'!$H$50+'Assumptions and Catalog'!$E$50+'Assumptions and Catalog'!$F$50,IF(L189&lt;='Assumptions and Catalog'!$C$51,L189*'Assumptions and Catalog'!$H$51+'Assumptions and Catalog'!$E$51+'Assumptions and Catalog'!$F$51,IF(L189&lt;='Assumptions and Catalog'!$C$52,L189*'Assumptions and Catalog'!$H$52+'Assumptions and Catalog'!$E$52+'Assumptions and Catalog'!$F$52,IF(L189&lt;='Assumptions and Catalog'!$C$53,L189*'Assumptions and Catalog'!$H$53+'Assumptions and Catalog'!$E$53+'Assumptions and Catalog'!$F$53,IF(L189&lt;='Assumptions and Catalog'!$C$54,L189*'Assumptions and Catalog'!$H$54+'Assumptions and Catalog'!$E$54+'Assumptions and Catalog'!$F$54,IF(L189&lt;='Assumptions and Catalog'!$C$55,L189*'Assumptions and Catalog'!$H$55+'Assumptions and Catalog'!$E$55+'Assumptions and Catalog'!$F$55,IF(L189&lt;='Assumptions and Catalog'!$C$56,L189*'Assumptions and Catalog'!$H$56+'Assumptions and Catalog'!$E$56+'Assumptions and Catalog'!$F$56,IF(L189&lt;='Assumptions and Catalog'!$C$57,L189*'Assumptions and Catalog'!$H$57+'Assumptions and Catalog'!$E$57+'Assumptions and Catalog'!$F$57,"Out of range")))))))),IF(L189&lt;='Assumptions and Catalog'!$C$60,L189*'Assumptions and Catalog'!$H$60+'Assumptions and Catalog'!$E$60+'Assumptions and Catalog'!$F$60,IF(L189&lt;='Assumptions and Catalog'!$C$61,L189*'Assumptions and Catalog'!$H$61+'Assumptions and Catalog'!$E$61+'Assumptions and Catalog'!$F$61,IF(L189&lt;='Assumptions and Catalog'!$C$62,L189*'Assumptions and Catalog'!$H$62+'Assumptions and Catalog'!$E$62+'Assumptions and Catalog'!$F$62,IF(L189&lt;='Assumptions and Catalog'!$C$63,L189*'Assumptions and Catalog'!$H$63+'Assumptions and Catalog'!$E$63+'Assumptions and Catalog'!$F$63,IF(L189&lt;='Assumptions and Catalog'!$C$64,L189*'Assumptions and Catalog'!$H$64+'Assumptions and Catalog'!$E$64+'Assumptions and Catalog'!$F$64,IF(L189&lt;='Assumptions and Catalog'!$C$65,L189*'Assumptions and Catalog'!$H$65+'Assumptions and Catalog'!$E$65+'Assumptions and Catalog'!$F$65,"Out of range")))))))))*(1+'Assumptions and Catalog'!$C$8)^(A189-1),0)</f>
        <v>5053.1363847900247</v>
      </c>
      <c r="O189" s="5">
        <f t="shared" si="12"/>
        <v>3501.8302818766424</v>
      </c>
      <c r="P189" s="5">
        <f>C$55*(1-J$14)*(1-'Assumptions and Catalog'!$C$23)^R189</f>
        <v>0</v>
      </c>
      <c r="Q189" s="5">
        <f>IF(ISNUMBER(Inputs!$L$5),(IF(Inputs!$L$9="Actual flat rate",((D189+E189)*C189-G189)*Inputs!$L$10,IF(Inputs!$C$9="Residential",IF(((D189+E189)*C189-G189)&lt;='Assumptions and Catalog'!$C$50,((D189+E189)*C189-G189)*'Assumptions and Catalog'!$H$50+'Assumptions and Catalog'!$E$50+'Assumptions and Catalog'!$F$50,IF(((D189+E189)*C189-G189)&lt;='Assumptions and Catalog'!$C$51,((D189+E189)*C189-G189)*'Assumptions and Catalog'!$H$51+'Assumptions and Catalog'!$E$51+'Assumptions and Catalog'!$F$51,IF(((D189+E189)*C189-G189)&lt;='Assumptions and Catalog'!$C$52,((D189+E189)*C189-G189)*'Assumptions and Catalog'!$H$52+'Assumptions and Catalog'!$E$52+'Assumptions and Catalog'!$F$52,IF(((D189+E189)*C189-G189)&lt;='Assumptions and Catalog'!$C$53,((D189+E189)*C189-G189)*'Assumptions and Catalog'!$H$53+'Assumptions and Catalog'!$E$53+'Assumptions and Catalog'!$F$53,IF(((D189+E189)*C189-G189)&lt;='Assumptions and Catalog'!$C$54,((D189+E189)*C189-G189)*'Assumptions and Catalog'!$H$54+'Assumptions and Catalog'!$E$54+'Assumptions and Catalog'!$F$54,IF(((D189+E189)*C189-G189)&lt;='Assumptions and Catalog'!$C$55,((D189+E189)*C189-G189)*'Assumptions and Catalog'!$H$55+'Assumptions and Catalog'!$E$55+'Assumptions and Catalog'!$F$55,IF(((D189+E189)*C189-G189)&lt;='Assumptions and Catalog'!$C$56,((D189+E189)*C189-G189)*'Assumptions and Catalog'!$H$56+'Assumptions and Catalog'!$E$56+'Assumptions and Catalog'!$F$56,IF(((D189+E189)*C189-G189)&lt;='Assumptions and Catalog'!$C$57,((D189+E189)*C189-G189)*'Assumptions and Catalog'!$H$57+'Assumptions and Catalog'!$E$57+'Assumptions and Catalog'!$F$57,"Out of range")))))))),IF(((D189+E189)*C189-G189)&lt;='Assumptions and Catalog'!$C$60,((D189+E189)*C189-G189)*'Assumptions and Catalog'!$H$60+'Assumptions and Catalog'!$E$60+'Assumptions and Catalog'!$F$60,IF(((D189+E189)*C189-G189)&lt;='Assumptions and Catalog'!$C$61,((D189+E189)*C189-G189)*'Assumptions and Catalog'!$H$61+'Assumptions and Catalog'!$E$61+'Assumptions and Catalog'!$F$61,IF(((D189+E189)*C189-G189)&lt;='Assumptions and Catalog'!$C$62,((D189+E189)*C189-G189)*'Assumptions and Catalog'!$H$62+'Assumptions and Catalog'!$E$62+'Assumptions and Catalog'!$F$62,IF(((D189+E189)*C189-G189)&lt;='Assumptions and Catalog'!$C$63,((D189+E189)*C189-G189)*'Assumptions and Catalog'!$H$63+'Assumptions and Catalog'!$E$63+'Assumptions and Catalog'!$F$63,IF(((D189+E189)*C189-G189)&lt;='Assumptions and Catalog'!$C$64,((D189+E189)*C189-G189)*'Assumptions and Catalog'!$H$64+'Assumptions and Catalog'!$E$64+'Assumptions and Catalog'!$F$64,IF(((D189+E189)*C189-G189)&lt;='Assumptions and Catalog'!$C$65,((D189+E189)*C189-G189)*'Assumptions and Catalog'!$H$65+'Assumptions and Catalog'!$E$65+'Assumptions and Catalog'!$F$65,"Out of range")))))))))*(1+'Assumptions and Catalog'!$C$8)^(A189-1),0)</f>
        <v>5053.1363847900247</v>
      </c>
      <c r="R189" s="5">
        <f>IF(AND('Assumptions and Catalog'!$C$19&gt;0,A189&gt;='Assumptions and Catalog'!$C$19),A189-'Assumptions and Catalog'!$C$19,A189-1)</f>
        <v>2</v>
      </c>
      <c r="S189" s="5">
        <f t="shared" si="13"/>
        <v>0</v>
      </c>
      <c r="T189" s="5"/>
      <c r="U189" s="5"/>
    </row>
    <row r="190" spans="1:21" ht="23.1" customHeight="1" outlineLevel="1" x14ac:dyDescent="0.2">
      <c r="A190" s="5">
        <v>3</v>
      </c>
      <c r="B190" s="5">
        <v>6</v>
      </c>
      <c r="C190" s="5">
        <f>DAY(DATE('Assumptions and Catalog'!$C$24+A190-1,B190+1,0))</f>
        <v>30</v>
      </c>
      <c r="D190" s="5">
        <f>IF(ISNUMBER(Inputs!$L$5),Inputs!$L$5*Inputs!$L$6,0)</f>
        <v>40.35</v>
      </c>
      <c r="E190" s="5">
        <f>IF(ISNUMBER(Inputs!$L$5),Inputs!$L$5-D190,0)</f>
        <v>40.35</v>
      </c>
      <c r="F190" s="5">
        <f>C$51*'Assumptions and Catalog'!$C$31*C190*(1-'Assumptions and Catalog'!$C$10)^(A190-1)</f>
        <v>990.99522450000029</v>
      </c>
      <c r="G190" s="5">
        <f t="shared" si="8"/>
        <v>990.99522450000029</v>
      </c>
      <c r="H190" s="5">
        <f>I190/('Assumptions and Catalog'!$C$11*'Assumptions and Catalog'!$C$12)</f>
        <v>0</v>
      </c>
      <c r="I190" s="5">
        <f>0</f>
        <v>0</v>
      </c>
      <c r="J190" s="5">
        <f t="shared" si="9"/>
        <v>0</v>
      </c>
      <c r="K190" s="5">
        <f t="shared" si="10"/>
        <v>0</v>
      </c>
      <c r="L190" s="5">
        <f t="shared" si="11"/>
        <v>1430.0047754999996</v>
      </c>
      <c r="M190" s="5">
        <f>IF(ISNUMBER(Inputs!$L$5),(IF(Inputs!$L$9="Actual flat rate",((D190+E190)*C190)*Inputs!$L$10,IF(Inputs!$C$9="Residential",IF(((D190+E190)*C190)&lt;='Assumptions and Catalog'!$C$50,((D190+E190)*C190)*'Assumptions and Catalog'!$H$50+'Assumptions and Catalog'!$E$50+'Assumptions and Catalog'!$F$50,IF(((D190+E190)*C190)&lt;='Assumptions and Catalog'!$C$51,((D190+E190)*C190)*'Assumptions and Catalog'!$H$51+'Assumptions and Catalog'!$E$51+'Assumptions and Catalog'!$F$51,IF(((D190+E190)*C190)&lt;='Assumptions and Catalog'!$C$52,((D190+E190)*C190)*'Assumptions and Catalog'!$H$52+'Assumptions and Catalog'!$E$52+'Assumptions and Catalog'!$F$52,IF(((D190+E190)*C190)&lt;='Assumptions and Catalog'!$C$53,((D190+E190)*C190)*'Assumptions and Catalog'!$H$53+'Assumptions and Catalog'!$E$53+'Assumptions and Catalog'!$F$53,IF(((D190+E190)*C190)&lt;='Assumptions and Catalog'!$C$54,((D190+E190)*C190)*'Assumptions and Catalog'!$H$54+'Assumptions and Catalog'!$E$54+'Assumptions and Catalog'!$F$54,IF(((D190+E190)*C190)&lt;='Assumptions and Catalog'!$C$55,((D190+E190)*C190)*'Assumptions and Catalog'!$H$55+'Assumptions and Catalog'!$E$55+'Assumptions and Catalog'!$F$55,IF(((D190+E190)*C190)&lt;='Assumptions and Catalog'!$C$56,((D190+E190)*C190)*'Assumptions and Catalog'!$H$56+'Assumptions and Catalog'!$E$56+'Assumptions and Catalog'!$F$56,IF(((D190+E190)*C190)&lt;='Assumptions and Catalog'!$C$57,((D190+E190)*C190)*'Assumptions and Catalog'!$H$57+'Assumptions and Catalog'!$E$57+'Assumptions and Catalog'!$F$57,"Out of range")))))))),IF(((D190+E190)*C190)&lt;='Assumptions and Catalog'!$C$60,((D190+E190)*C190)*'Assumptions and Catalog'!$H$60+'Assumptions and Catalog'!$E$60+'Assumptions and Catalog'!$F$60,IF(((D190+E190)*C190)&lt;='Assumptions and Catalog'!$C$61,((D190+E190)*C190)*'Assumptions and Catalog'!$H$61+'Assumptions and Catalog'!$E$61+'Assumptions and Catalog'!$F$61,IF(((D190+E190)*C190)&lt;='Assumptions and Catalog'!$C$62,((D190+E190)*C190)*'Assumptions and Catalog'!$H$62+'Assumptions and Catalog'!$E$62+'Assumptions and Catalog'!$F$62,IF(((D190+E190)*C190)&lt;='Assumptions and Catalog'!$C$63,((D190+E190)*C190)*'Assumptions and Catalog'!$H$63+'Assumptions and Catalog'!$E$63+'Assumptions and Catalog'!$F$63,IF(((D190+E190)*C190)&lt;='Assumptions and Catalog'!$C$64,((D190+E190)*C190)*'Assumptions and Catalog'!$H$64+'Assumptions and Catalog'!$E$64+'Assumptions and Catalog'!$F$64,IF(((D190+E190)*C190)&lt;='Assumptions and Catalog'!$C$65,((D190+E190)*C190)*'Assumptions and Catalog'!$H$65+'Assumptions and Catalog'!$E$65+'Assumptions and Catalog'!$F$65,"Out of range")))))))))*(1+'Assumptions and Catalog'!$C$8)^(A190-1),0)</f>
        <v>8279</v>
      </c>
      <c r="N190" s="5">
        <f>IF(ISNUMBER(Inputs!$L$5),(IF(Inputs!$L$9="Actual flat rate",L190*Inputs!$L$10,IF(Inputs!$C$9="Residential",IF(L190&lt;='Assumptions and Catalog'!$C$50,L190*'Assumptions and Catalog'!$H$50+'Assumptions and Catalog'!$E$50+'Assumptions and Catalog'!$F$50,IF(L190&lt;='Assumptions and Catalog'!$C$51,L190*'Assumptions and Catalog'!$H$51+'Assumptions and Catalog'!$E$51+'Assumptions and Catalog'!$F$51,IF(L190&lt;='Assumptions and Catalog'!$C$52,L190*'Assumptions and Catalog'!$H$52+'Assumptions and Catalog'!$E$52+'Assumptions and Catalog'!$F$52,IF(L190&lt;='Assumptions and Catalog'!$C$53,L190*'Assumptions and Catalog'!$H$53+'Assumptions and Catalog'!$E$53+'Assumptions and Catalog'!$F$53,IF(L190&lt;='Assumptions and Catalog'!$C$54,L190*'Assumptions and Catalog'!$H$54+'Assumptions and Catalog'!$E$54+'Assumptions and Catalog'!$F$54,IF(L190&lt;='Assumptions and Catalog'!$C$55,L190*'Assumptions and Catalog'!$H$55+'Assumptions and Catalog'!$E$55+'Assumptions and Catalog'!$F$55,IF(L190&lt;='Assumptions and Catalog'!$C$56,L190*'Assumptions and Catalog'!$H$56+'Assumptions and Catalog'!$E$56+'Assumptions and Catalog'!$F$56,IF(L190&lt;='Assumptions and Catalog'!$C$57,L190*'Assumptions and Catalog'!$H$57+'Assumptions and Catalog'!$E$57+'Assumptions and Catalog'!$F$57,"Out of range")))))))),IF(L190&lt;='Assumptions and Catalog'!$C$60,L190*'Assumptions and Catalog'!$H$60+'Assumptions and Catalog'!$E$60+'Assumptions and Catalog'!$F$60,IF(L190&lt;='Assumptions and Catalog'!$C$61,L190*'Assumptions and Catalog'!$H$61+'Assumptions and Catalog'!$E$61+'Assumptions and Catalog'!$F$61,IF(L190&lt;='Assumptions and Catalog'!$C$62,L190*'Assumptions and Catalog'!$H$62+'Assumptions and Catalog'!$E$62+'Assumptions and Catalog'!$F$62,IF(L190&lt;='Assumptions and Catalog'!$C$63,L190*'Assumptions and Catalog'!$H$63+'Assumptions and Catalog'!$E$63+'Assumptions and Catalog'!$F$63,IF(L190&lt;='Assumptions and Catalog'!$C$64,L190*'Assumptions and Catalog'!$H$64+'Assumptions and Catalog'!$E$64+'Assumptions and Catalog'!$F$64,IF(L190&lt;='Assumptions and Catalog'!$C$65,L190*'Assumptions and Catalog'!$H$65+'Assumptions and Catalog'!$E$65+'Assumptions and Catalog'!$F$65,"Out of range")))))))))*(1+'Assumptions and Catalog'!$C$8)^(A190-1),0)</f>
        <v>4890.1319852806673</v>
      </c>
      <c r="O190" s="5">
        <f t="shared" si="12"/>
        <v>3388.8680147193327</v>
      </c>
      <c r="P190" s="5">
        <f>C$55*(1-J$14)*(1-'Assumptions and Catalog'!$C$23)^R190</f>
        <v>0</v>
      </c>
      <c r="Q190" s="5">
        <f>IF(ISNUMBER(Inputs!$L$5),(IF(Inputs!$L$9="Actual flat rate",((D190+E190)*C190-G190)*Inputs!$L$10,IF(Inputs!$C$9="Residential",IF(((D190+E190)*C190-G190)&lt;='Assumptions and Catalog'!$C$50,((D190+E190)*C190-G190)*'Assumptions and Catalog'!$H$50+'Assumptions and Catalog'!$E$50+'Assumptions and Catalog'!$F$50,IF(((D190+E190)*C190-G190)&lt;='Assumptions and Catalog'!$C$51,((D190+E190)*C190-G190)*'Assumptions and Catalog'!$H$51+'Assumptions and Catalog'!$E$51+'Assumptions and Catalog'!$F$51,IF(((D190+E190)*C190-G190)&lt;='Assumptions and Catalog'!$C$52,((D190+E190)*C190-G190)*'Assumptions and Catalog'!$H$52+'Assumptions and Catalog'!$E$52+'Assumptions and Catalog'!$F$52,IF(((D190+E190)*C190-G190)&lt;='Assumptions and Catalog'!$C$53,((D190+E190)*C190-G190)*'Assumptions and Catalog'!$H$53+'Assumptions and Catalog'!$E$53+'Assumptions and Catalog'!$F$53,IF(((D190+E190)*C190-G190)&lt;='Assumptions and Catalog'!$C$54,((D190+E190)*C190-G190)*'Assumptions and Catalog'!$H$54+'Assumptions and Catalog'!$E$54+'Assumptions and Catalog'!$F$54,IF(((D190+E190)*C190-G190)&lt;='Assumptions and Catalog'!$C$55,((D190+E190)*C190-G190)*'Assumptions and Catalog'!$H$55+'Assumptions and Catalog'!$E$55+'Assumptions and Catalog'!$F$55,IF(((D190+E190)*C190-G190)&lt;='Assumptions and Catalog'!$C$56,((D190+E190)*C190-G190)*'Assumptions and Catalog'!$H$56+'Assumptions and Catalog'!$E$56+'Assumptions and Catalog'!$F$56,IF(((D190+E190)*C190-G190)&lt;='Assumptions and Catalog'!$C$57,((D190+E190)*C190-G190)*'Assumptions and Catalog'!$H$57+'Assumptions and Catalog'!$E$57+'Assumptions and Catalog'!$F$57,"Out of range")))))))),IF(((D190+E190)*C190-G190)&lt;='Assumptions and Catalog'!$C$60,((D190+E190)*C190-G190)*'Assumptions and Catalog'!$H$60+'Assumptions and Catalog'!$E$60+'Assumptions and Catalog'!$F$60,IF(((D190+E190)*C190-G190)&lt;='Assumptions and Catalog'!$C$61,((D190+E190)*C190-G190)*'Assumptions and Catalog'!$H$61+'Assumptions and Catalog'!$E$61+'Assumptions and Catalog'!$F$61,IF(((D190+E190)*C190-G190)&lt;='Assumptions and Catalog'!$C$62,((D190+E190)*C190-G190)*'Assumptions and Catalog'!$H$62+'Assumptions and Catalog'!$E$62+'Assumptions and Catalog'!$F$62,IF(((D190+E190)*C190-G190)&lt;='Assumptions and Catalog'!$C$63,((D190+E190)*C190-G190)*'Assumptions and Catalog'!$H$63+'Assumptions and Catalog'!$E$63+'Assumptions and Catalog'!$F$63,IF(((D190+E190)*C190-G190)&lt;='Assumptions and Catalog'!$C$64,((D190+E190)*C190-G190)*'Assumptions and Catalog'!$H$64+'Assumptions and Catalog'!$E$64+'Assumptions and Catalog'!$F$64,IF(((D190+E190)*C190-G190)&lt;='Assumptions and Catalog'!$C$65,((D190+E190)*C190-G190)*'Assumptions and Catalog'!$H$65+'Assumptions and Catalog'!$E$65+'Assumptions and Catalog'!$F$65,"Out of range")))))))))*(1+'Assumptions and Catalog'!$C$8)^(A190-1),0)</f>
        <v>4890.1319852806673</v>
      </c>
      <c r="R190" s="5">
        <f>IF(AND('Assumptions and Catalog'!$C$19&gt;0,A190&gt;='Assumptions and Catalog'!$C$19),A190-'Assumptions and Catalog'!$C$19,A190-1)</f>
        <v>2</v>
      </c>
      <c r="S190" s="5">
        <f t="shared" si="13"/>
        <v>0</v>
      </c>
      <c r="T190" s="5"/>
      <c r="U190" s="5"/>
    </row>
    <row r="191" spans="1:21" ht="23.1" customHeight="1" outlineLevel="1" x14ac:dyDescent="0.2">
      <c r="A191" s="5">
        <v>3</v>
      </c>
      <c r="B191" s="5">
        <v>7</v>
      </c>
      <c r="C191" s="5">
        <f>DAY(DATE('Assumptions and Catalog'!$C$24+A191-1,B191+1,0))</f>
        <v>31</v>
      </c>
      <c r="D191" s="5">
        <f>IF(ISNUMBER(Inputs!$L$5),Inputs!$L$5*Inputs!$L$6,0)</f>
        <v>40.35</v>
      </c>
      <c r="E191" s="5">
        <f>IF(ISNUMBER(Inputs!$L$5),Inputs!$L$5-D191,0)</f>
        <v>40.35</v>
      </c>
      <c r="F191" s="5">
        <f>C$51*'Assumptions and Catalog'!$C$31*C191*(1-'Assumptions and Catalog'!$C$10)^(A191-1)</f>
        <v>1024.0283986500003</v>
      </c>
      <c r="G191" s="5">
        <f t="shared" si="8"/>
        <v>1024.0283986500003</v>
      </c>
      <c r="H191" s="5">
        <f>I191/('Assumptions and Catalog'!$C$11*'Assumptions and Catalog'!$C$12)</f>
        <v>0</v>
      </c>
      <c r="I191" s="5">
        <f>0</f>
        <v>0</v>
      </c>
      <c r="J191" s="5">
        <f t="shared" si="9"/>
        <v>0</v>
      </c>
      <c r="K191" s="5">
        <f t="shared" si="10"/>
        <v>0</v>
      </c>
      <c r="L191" s="5">
        <f t="shared" si="11"/>
        <v>1477.6716013499999</v>
      </c>
      <c r="M191" s="5">
        <f>IF(ISNUMBER(Inputs!$L$5),(IF(Inputs!$L$9="Actual flat rate",((D191+E191)*C191)*Inputs!$L$10,IF(Inputs!$C$9="Residential",IF(((D191+E191)*C191)&lt;='Assumptions and Catalog'!$C$50,((D191+E191)*C191)*'Assumptions and Catalog'!$H$50+'Assumptions and Catalog'!$E$50+'Assumptions and Catalog'!$F$50,IF(((D191+E191)*C191)&lt;='Assumptions and Catalog'!$C$51,((D191+E191)*C191)*'Assumptions and Catalog'!$H$51+'Assumptions and Catalog'!$E$51+'Assumptions and Catalog'!$F$51,IF(((D191+E191)*C191)&lt;='Assumptions and Catalog'!$C$52,((D191+E191)*C191)*'Assumptions and Catalog'!$H$52+'Assumptions and Catalog'!$E$52+'Assumptions and Catalog'!$F$52,IF(((D191+E191)*C191)&lt;='Assumptions and Catalog'!$C$53,((D191+E191)*C191)*'Assumptions and Catalog'!$H$53+'Assumptions and Catalog'!$E$53+'Assumptions and Catalog'!$F$53,IF(((D191+E191)*C191)&lt;='Assumptions and Catalog'!$C$54,((D191+E191)*C191)*'Assumptions and Catalog'!$H$54+'Assumptions and Catalog'!$E$54+'Assumptions and Catalog'!$F$54,IF(((D191+E191)*C191)&lt;='Assumptions and Catalog'!$C$55,((D191+E191)*C191)*'Assumptions and Catalog'!$H$55+'Assumptions and Catalog'!$E$55+'Assumptions and Catalog'!$F$55,IF(((D191+E191)*C191)&lt;='Assumptions and Catalog'!$C$56,((D191+E191)*C191)*'Assumptions and Catalog'!$H$56+'Assumptions and Catalog'!$E$56+'Assumptions and Catalog'!$F$56,IF(((D191+E191)*C191)&lt;='Assumptions and Catalog'!$C$57,((D191+E191)*C191)*'Assumptions and Catalog'!$H$57+'Assumptions and Catalog'!$E$57+'Assumptions and Catalog'!$F$57,"Out of range")))))))),IF(((D191+E191)*C191)&lt;='Assumptions and Catalog'!$C$60,((D191+E191)*C191)*'Assumptions and Catalog'!$H$60+'Assumptions and Catalog'!$E$60+'Assumptions and Catalog'!$F$60,IF(((D191+E191)*C191)&lt;='Assumptions and Catalog'!$C$61,((D191+E191)*C191)*'Assumptions and Catalog'!$H$61+'Assumptions and Catalog'!$E$61+'Assumptions and Catalog'!$F$61,IF(((D191+E191)*C191)&lt;='Assumptions and Catalog'!$C$62,((D191+E191)*C191)*'Assumptions and Catalog'!$H$62+'Assumptions and Catalog'!$E$62+'Assumptions and Catalog'!$F$62,IF(((D191+E191)*C191)&lt;='Assumptions and Catalog'!$C$63,((D191+E191)*C191)*'Assumptions and Catalog'!$H$63+'Assumptions and Catalog'!$E$63+'Assumptions and Catalog'!$F$63,IF(((D191+E191)*C191)&lt;='Assumptions and Catalog'!$C$64,((D191+E191)*C191)*'Assumptions and Catalog'!$H$64+'Assumptions and Catalog'!$E$64+'Assumptions and Catalog'!$F$64,IF(((D191+E191)*C191)&lt;='Assumptions and Catalog'!$C$65,((D191+E191)*C191)*'Assumptions and Catalog'!$H$65+'Assumptions and Catalog'!$E$65+'Assumptions and Catalog'!$F$65,"Out of range")))))))))*(1+'Assumptions and Catalog'!$C$8)^(A191-1),0)</f>
        <v>8554.9666666666672</v>
      </c>
      <c r="N191" s="5">
        <f>IF(ISNUMBER(Inputs!$L$5),(IF(Inputs!$L$9="Actual flat rate",L191*Inputs!$L$10,IF(Inputs!$C$9="Residential",IF(L191&lt;='Assumptions and Catalog'!$C$50,L191*'Assumptions and Catalog'!$H$50+'Assumptions and Catalog'!$E$50+'Assumptions and Catalog'!$F$50,IF(L191&lt;='Assumptions and Catalog'!$C$51,L191*'Assumptions and Catalog'!$H$51+'Assumptions and Catalog'!$E$51+'Assumptions and Catalog'!$F$51,IF(L191&lt;='Assumptions and Catalog'!$C$52,L191*'Assumptions and Catalog'!$H$52+'Assumptions and Catalog'!$E$52+'Assumptions and Catalog'!$F$52,IF(L191&lt;='Assumptions and Catalog'!$C$53,L191*'Assumptions and Catalog'!$H$53+'Assumptions and Catalog'!$E$53+'Assumptions and Catalog'!$F$53,IF(L191&lt;='Assumptions and Catalog'!$C$54,L191*'Assumptions and Catalog'!$H$54+'Assumptions and Catalog'!$E$54+'Assumptions and Catalog'!$F$54,IF(L191&lt;='Assumptions and Catalog'!$C$55,L191*'Assumptions and Catalog'!$H$55+'Assumptions and Catalog'!$E$55+'Assumptions and Catalog'!$F$55,IF(L191&lt;='Assumptions and Catalog'!$C$56,L191*'Assumptions and Catalog'!$H$56+'Assumptions and Catalog'!$E$56+'Assumptions and Catalog'!$F$56,IF(L191&lt;='Assumptions and Catalog'!$C$57,L191*'Assumptions and Catalog'!$H$57+'Assumptions and Catalog'!$E$57+'Assumptions and Catalog'!$F$57,"Out of range")))))))),IF(L191&lt;='Assumptions and Catalog'!$C$60,L191*'Assumptions and Catalog'!$H$60+'Assumptions and Catalog'!$E$60+'Assumptions and Catalog'!$F$60,IF(L191&lt;='Assumptions and Catalog'!$C$61,L191*'Assumptions and Catalog'!$H$61+'Assumptions and Catalog'!$E$61+'Assumptions and Catalog'!$F$61,IF(L191&lt;='Assumptions and Catalog'!$C$62,L191*'Assumptions and Catalog'!$H$62+'Assumptions and Catalog'!$E$62+'Assumptions and Catalog'!$F$62,IF(L191&lt;='Assumptions and Catalog'!$C$63,L191*'Assumptions and Catalog'!$H$63+'Assumptions and Catalog'!$E$63+'Assumptions and Catalog'!$F$63,IF(L191&lt;='Assumptions and Catalog'!$C$64,L191*'Assumptions and Catalog'!$H$64+'Assumptions and Catalog'!$E$64+'Assumptions and Catalog'!$F$64,IF(L191&lt;='Assumptions and Catalog'!$C$65,L191*'Assumptions and Catalog'!$H$65+'Assumptions and Catalog'!$E$65+'Assumptions and Catalog'!$F$65,"Out of range")))))))))*(1+'Assumptions and Catalog'!$C$8)^(A191-1),0)</f>
        <v>5053.1363847900247</v>
      </c>
      <c r="O191" s="5">
        <f t="shared" si="12"/>
        <v>3501.8302818766424</v>
      </c>
      <c r="P191" s="5">
        <f>C$55*(1-J$14)*(1-'Assumptions and Catalog'!$C$23)^R191</f>
        <v>0</v>
      </c>
      <c r="Q191" s="5">
        <f>IF(ISNUMBER(Inputs!$L$5),(IF(Inputs!$L$9="Actual flat rate",((D191+E191)*C191-G191)*Inputs!$L$10,IF(Inputs!$C$9="Residential",IF(((D191+E191)*C191-G191)&lt;='Assumptions and Catalog'!$C$50,((D191+E191)*C191-G191)*'Assumptions and Catalog'!$H$50+'Assumptions and Catalog'!$E$50+'Assumptions and Catalog'!$F$50,IF(((D191+E191)*C191-G191)&lt;='Assumptions and Catalog'!$C$51,((D191+E191)*C191-G191)*'Assumptions and Catalog'!$H$51+'Assumptions and Catalog'!$E$51+'Assumptions and Catalog'!$F$51,IF(((D191+E191)*C191-G191)&lt;='Assumptions and Catalog'!$C$52,((D191+E191)*C191-G191)*'Assumptions and Catalog'!$H$52+'Assumptions and Catalog'!$E$52+'Assumptions and Catalog'!$F$52,IF(((D191+E191)*C191-G191)&lt;='Assumptions and Catalog'!$C$53,((D191+E191)*C191-G191)*'Assumptions and Catalog'!$H$53+'Assumptions and Catalog'!$E$53+'Assumptions and Catalog'!$F$53,IF(((D191+E191)*C191-G191)&lt;='Assumptions and Catalog'!$C$54,((D191+E191)*C191-G191)*'Assumptions and Catalog'!$H$54+'Assumptions and Catalog'!$E$54+'Assumptions and Catalog'!$F$54,IF(((D191+E191)*C191-G191)&lt;='Assumptions and Catalog'!$C$55,((D191+E191)*C191-G191)*'Assumptions and Catalog'!$H$55+'Assumptions and Catalog'!$E$55+'Assumptions and Catalog'!$F$55,IF(((D191+E191)*C191-G191)&lt;='Assumptions and Catalog'!$C$56,((D191+E191)*C191-G191)*'Assumptions and Catalog'!$H$56+'Assumptions and Catalog'!$E$56+'Assumptions and Catalog'!$F$56,IF(((D191+E191)*C191-G191)&lt;='Assumptions and Catalog'!$C$57,((D191+E191)*C191-G191)*'Assumptions and Catalog'!$H$57+'Assumptions and Catalog'!$E$57+'Assumptions and Catalog'!$F$57,"Out of range")))))))),IF(((D191+E191)*C191-G191)&lt;='Assumptions and Catalog'!$C$60,((D191+E191)*C191-G191)*'Assumptions and Catalog'!$H$60+'Assumptions and Catalog'!$E$60+'Assumptions and Catalog'!$F$60,IF(((D191+E191)*C191-G191)&lt;='Assumptions and Catalog'!$C$61,((D191+E191)*C191-G191)*'Assumptions and Catalog'!$H$61+'Assumptions and Catalog'!$E$61+'Assumptions and Catalog'!$F$61,IF(((D191+E191)*C191-G191)&lt;='Assumptions and Catalog'!$C$62,((D191+E191)*C191-G191)*'Assumptions and Catalog'!$H$62+'Assumptions and Catalog'!$E$62+'Assumptions and Catalog'!$F$62,IF(((D191+E191)*C191-G191)&lt;='Assumptions and Catalog'!$C$63,((D191+E191)*C191-G191)*'Assumptions and Catalog'!$H$63+'Assumptions and Catalog'!$E$63+'Assumptions and Catalog'!$F$63,IF(((D191+E191)*C191-G191)&lt;='Assumptions and Catalog'!$C$64,((D191+E191)*C191-G191)*'Assumptions and Catalog'!$H$64+'Assumptions and Catalog'!$E$64+'Assumptions and Catalog'!$F$64,IF(((D191+E191)*C191-G191)&lt;='Assumptions and Catalog'!$C$65,((D191+E191)*C191-G191)*'Assumptions and Catalog'!$H$65+'Assumptions and Catalog'!$E$65+'Assumptions and Catalog'!$F$65,"Out of range")))))))))*(1+'Assumptions and Catalog'!$C$8)^(A191-1),0)</f>
        <v>5053.1363847900247</v>
      </c>
      <c r="R191" s="5">
        <f>IF(AND('Assumptions and Catalog'!$C$19&gt;0,A191&gt;='Assumptions and Catalog'!$C$19),A191-'Assumptions and Catalog'!$C$19,A191-1)</f>
        <v>2</v>
      </c>
      <c r="S191" s="5">
        <f t="shared" si="13"/>
        <v>0</v>
      </c>
      <c r="T191" s="5"/>
      <c r="U191" s="5"/>
    </row>
    <row r="192" spans="1:21" ht="23.1" customHeight="1" outlineLevel="1" x14ac:dyDescent="0.2">
      <c r="A192" s="5">
        <v>3</v>
      </c>
      <c r="B192" s="5">
        <v>8</v>
      </c>
      <c r="C192" s="5">
        <f>DAY(DATE('Assumptions and Catalog'!$C$24+A192-1,B192+1,0))</f>
        <v>31</v>
      </c>
      <c r="D192" s="5">
        <f>IF(ISNUMBER(Inputs!$L$5),Inputs!$L$5*Inputs!$L$6,0)</f>
        <v>40.35</v>
      </c>
      <c r="E192" s="5">
        <f>IF(ISNUMBER(Inputs!$L$5),Inputs!$L$5-D192,0)</f>
        <v>40.35</v>
      </c>
      <c r="F192" s="5">
        <f>C$51*'Assumptions and Catalog'!$C$31*C192*(1-'Assumptions and Catalog'!$C$10)^(A192-1)</f>
        <v>1024.0283986500003</v>
      </c>
      <c r="G192" s="5">
        <f t="shared" si="8"/>
        <v>1024.0283986500003</v>
      </c>
      <c r="H192" s="5">
        <f>I192/('Assumptions and Catalog'!$C$11*'Assumptions and Catalog'!$C$12)</f>
        <v>0</v>
      </c>
      <c r="I192" s="5">
        <f>0</f>
        <v>0</v>
      </c>
      <c r="J192" s="5">
        <f t="shared" si="9"/>
        <v>0</v>
      </c>
      <c r="K192" s="5">
        <f t="shared" si="10"/>
        <v>0</v>
      </c>
      <c r="L192" s="5">
        <f t="shared" si="11"/>
        <v>1477.6716013499999</v>
      </c>
      <c r="M192" s="5">
        <f>IF(ISNUMBER(Inputs!$L$5),(IF(Inputs!$L$9="Actual flat rate",((D192+E192)*C192)*Inputs!$L$10,IF(Inputs!$C$9="Residential",IF(((D192+E192)*C192)&lt;='Assumptions and Catalog'!$C$50,((D192+E192)*C192)*'Assumptions and Catalog'!$H$50+'Assumptions and Catalog'!$E$50+'Assumptions and Catalog'!$F$50,IF(((D192+E192)*C192)&lt;='Assumptions and Catalog'!$C$51,((D192+E192)*C192)*'Assumptions and Catalog'!$H$51+'Assumptions and Catalog'!$E$51+'Assumptions and Catalog'!$F$51,IF(((D192+E192)*C192)&lt;='Assumptions and Catalog'!$C$52,((D192+E192)*C192)*'Assumptions and Catalog'!$H$52+'Assumptions and Catalog'!$E$52+'Assumptions and Catalog'!$F$52,IF(((D192+E192)*C192)&lt;='Assumptions and Catalog'!$C$53,((D192+E192)*C192)*'Assumptions and Catalog'!$H$53+'Assumptions and Catalog'!$E$53+'Assumptions and Catalog'!$F$53,IF(((D192+E192)*C192)&lt;='Assumptions and Catalog'!$C$54,((D192+E192)*C192)*'Assumptions and Catalog'!$H$54+'Assumptions and Catalog'!$E$54+'Assumptions and Catalog'!$F$54,IF(((D192+E192)*C192)&lt;='Assumptions and Catalog'!$C$55,((D192+E192)*C192)*'Assumptions and Catalog'!$H$55+'Assumptions and Catalog'!$E$55+'Assumptions and Catalog'!$F$55,IF(((D192+E192)*C192)&lt;='Assumptions and Catalog'!$C$56,((D192+E192)*C192)*'Assumptions and Catalog'!$H$56+'Assumptions and Catalog'!$E$56+'Assumptions and Catalog'!$F$56,IF(((D192+E192)*C192)&lt;='Assumptions and Catalog'!$C$57,((D192+E192)*C192)*'Assumptions and Catalog'!$H$57+'Assumptions and Catalog'!$E$57+'Assumptions and Catalog'!$F$57,"Out of range")))))))),IF(((D192+E192)*C192)&lt;='Assumptions and Catalog'!$C$60,((D192+E192)*C192)*'Assumptions and Catalog'!$H$60+'Assumptions and Catalog'!$E$60+'Assumptions and Catalog'!$F$60,IF(((D192+E192)*C192)&lt;='Assumptions and Catalog'!$C$61,((D192+E192)*C192)*'Assumptions and Catalog'!$H$61+'Assumptions and Catalog'!$E$61+'Assumptions and Catalog'!$F$61,IF(((D192+E192)*C192)&lt;='Assumptions and Catalog'!$C$62,((D192+E192)*C192)*'Assumptions and Catalog'!$H$62+'Assumptions and Catalog'!$E$62+'Assumptions and Catalog'!$F$62,IF(((D192+E192)*C192)&lt;='Assumptions and Catalog'!$C$63,((D192+E192)*C192)*'Assumptions and Catalog'!$H$63+'Assumptions and Catalog'!$E$63+'Assumptions and Catalog'!$F$63,IF(((D192+E192)*C192)&lt;='Assumptions and Catalog'!$C$64,((D192+E192)*C192)*'Assumptions and Catalog'!$H$64+'Assumptions and Catalog'!$E$64+'Assumptions and Catalog'!$F$64,IF(((D192+E192)*C192)&lt;='Assumptions and Catalog'!$C$65,((D192+E192)*C192)*'Assumptions and Catalog'!$H$65+'Assumptions and Catalog'!$E$65+'Assumptions and Catalog'!$F$65,"Out of range")))))))))*(1+'Assumptions and Catalog'!$C$8)^(A192-1),0)</f>
        <v>8554.9666666666672</v>
      </c>
      <c r="N192" s="5">
        <f>IF(ISNUMBER(Inputs!$L$5),(IF(Inputs!$L$9="Actual flat rate",L192*Inputs!$L$10,IF(Inputs!$C$9="Residential",IF(L192&lt;='Assumptions and Catalog'!$C$50,L192*'Assumptions and Catalog'!$H$50+'Assumptions and Catalog'!$E$50+'Assumptions and Catalog'!$F$50,IF(L192&lt;='Assumptions and Catalog'!$C$51,L192*'Assumptions and Catalog'!$H$51+'Assumptions and Catalog'!$E$51+'Assumptions and Catalog'!$F$51,IF(L192&lt;='Assumptions and Catalog'!$C$52,L192*'Assumptions and Catalog'!$H$52+'Assumptions and Catalog'!$E$52+'Assumptions and Catalog'!$F$52,IF(L192&lt;='Assumptions and Catalog'!$C$53,L192*'Assumptions and Catalog'!$H$53+'Assumptions and Catalog'!$E$53+'Assumptions and Catalog'!$F$53,IF(L192&lt;='Assumptions and Catalog'!$C$54,L192*'Assumptions and Catalog'!$H$54+'Assumptions and Catalog'!$E$54+'Assumptions and Catalog'!$F$54,IF(L192&lt;='Assumptions and Catalog'!$C$55,L192*'Assumptions and Catalog'!$H$55+'Assumptions and Catalog'!$E$55+'Assumptions and Catalog'!$F$55,IF(L192&lt;='Assumptions and Catalog'!$C$56,L192*'Assumptions and Catalog'!$H$56+'Assumptions and Catalog'!$E$56+'Assumptions and Catalog'!$F$56,IF(L192&lt;='Assumptions and Catalog'!$C$57,L192*'Assumptions and Catalog'!$H$57+'Assumptions and Catalog'!$E$57+'Assumptions and Catalog'!$F$57,"Out of range")))))))),IF(L192&lt;='Assumptions and Catalog'!$C$60,L192*'Assumptions and Catalog'!$H$60+'Assumptions and Catalog'!$E$60+'Assumptions and Catalog'!$F$60,IF(L192&lt;='Assumptions and Catalog'!$C$61,L192*'Assumptions and Catalog'!$H$61+'Assumptions and Catalog'!$E$61+'Assumptions and Catalog'!$F$61,IF(L192&lt;='Assumptions and Catalog'!$C$62,L192*'Assumptions and Catalog'!$H$62+'Assumptions and Catalog'!$E$62+'Assumptions and Catalog'!$F$62,IF(L192&lt;='Assumptions and Catalog'!$C$63,L192*'Assumptions and Catalog'!$H$63+'Assumptions and Catalog'!$E$63+'Assumptions and Catalog'!$F$63,IF(L192&lt;='Assumptions and Catalog'!$C$64,L192*'Assumptions and Catalog'!$H$64+'Assumptions and Catalog'!$E$64+'Assumptions and Catalog'!$F$64,IF(L192&lt;='Assumptions and Catalog'!$C$65,L192*'Assumptions and Catalog'!$H$65+'Assumptions and Catalog'!$E$65+'Assumptions and Catalog'!$F$65,"Out of range")))))))))*(1+'Assumptions and Catalog'!$C$8)^(A192-1),0)</f>
        <v>5053.1363847900247</v>
      </c>
      <c r="O192" s="5">
        <f t="shared" si="12"/>
        <v>3501.8302818766424</v>
      </c>
      <c r="P192" s="5">
        <f>C$55*(1-J$14)*(1-'Assumptions and Catalog'!$C$23)^R192</f>
        <v>0</v>
      </c>
      <c r="Q192" s="5">
        <f>IF(ISNUMBER(Inputs!$L$5),(IF(Inputs!$L$9="Actual flat rate",((D192+E192)*C192-G192)*Inputs!$L$10,IF(Inputs!$C$9="Residential",IF(((D192+E192)*C192-G192)&lt;='Assumptions and Catalog'!$C$50,((D192+E192)*C192-G192)*'Assumptions and Catalog'!$H$50+'Assumptions and Catalog'!$E$50+'Assumptions and Catalog'!$F$50,IF(((D192+E192)*C192-G192)&lt;='Assumptions and Catalog'!$C$51,((D192+E192)*C192-G192)*'Assumptions and Catalog'!$H$51+'Assumptions and Catalog'!$E$51+'Assumptions and Catalog'!$F$51,IF(((D192+E192)*C192-G192)&lt;='Assumptions and Catalog'!$C$52,((D192+E192)*C192-G192)*'Assumptions and Catalog'!$H$52+'Assumptions and Catalog'!$E$52+'Assumptions and Catalog'!$F$52,IF(((D192+E192)*C192-G192)&lt;='Assumptions and Catalog'!$C$53,((D192+E192)*C192-G192)*'Assumptions and Catalog'!$H$53+'Assumptions and Catalog'!$E$53+'Assumptions and Catalog'!$F$53,IF(((D192+E192)*C192-G192)&lt;='Assumptions and Catalog'!$C$54,((D192+E192)*C192-G192)*'Assumptions and Catalog'!$H$54+'Assumptions and Catalog'!$E$54+'Assumptions and Catalog'!$F$54,IF(((D192+E192)*C192-G192)&lt;='Assumptions and Catalog'!$C$55,((D192+E192)*C192-G192)*'Assumptions and Catalog'!$H$55+'Assumptions and Catalog'!$E$55+'Assumptions and Catalog'!$F$55,IF(((D192+E192)*C192-G192)&lt;='Assumptions and Catalog'!$C$56,((D192+E192)*C192-G192)*'Assumptions and Catalog'!$H$56+'Assumptions and Catalog'!$E$56+'Assumptions and Catalog'!$F$56,IF(((D192+E192)*C192-G192)&lt;='Assumptions and Catalog'!$C$57,((D192+E192)*C192-G192)*'Assumptions and Catalog'!$H$57+'Assumptions and Catalog'!$E$57+'Assumptions and Catalog'!$F$57,"Out of range")))))))),IF(((D192+E192)*C192-G192)&lt;='Assumptions and Catalog'!$C$60,((D192+E192)*C192-G192)*'Assumptions and Catalog'!$H$60+'Assumptions and Catalog'!$E$60+'Assumptions and Catalog'!$F$60,IF(((D192+E192)*C192-G192)&lt;='Assumptions and Catalog'!$C$61,((D192+E192)*C192-G192)*'Assumptions and Catalog'!$H$61+'Assumptions and Catalog'!$E$61+'Assumptions and Catalog'!$F$61,IF(((D192+E192)*C192-G192)&lt;='Assumptions and Catalog'!$C$62,((D192+E192)*C192-G192)*'Assumptions and Catalog'!$H$62+'Assumptions and Catalog'!$E$62+'Assumptions and Catalog'!$F$62,IF(((D192+E192)*C192-G192)&lt;='Assumptions and Catalog'!$C$63,((D192+E192)*C192-G192)*'Assumptions and Catalog'!$H$63+'Assumptions and Catalog'!$E$63+'Assumptions and Catalog'!$F$63,IF(((D192+E192)*C192-G192)&lt;='Assumptions and Catalog'!$C$64,((D192+E192)*C192-G192)*'Assumptions and Catalog'!$H$64+'Assumptions and Catalog'!$E$64+'Assumptions and Catalog'!$F$64,IF(((D192+E192)*C192-G192)&lt;='Assumptions and Catalog'!$C$65,((D192+E192)*C192-G192)*'Assumptions and Catalog'!$H$65+'Assumptions and Catalog'!$E$65+'Assumptions and Catalog'!$F$65,"Out of range")))))))))*(1+'Assumptions and Catalog'!$C$8)^(A192-1),0)</f>
        <v>5053.1363847900247</v>
      </c>
      <c r="R192" s="5">
        <f>IF(AND('Assumptions and Catalog'!$C$19&gt;0,A192&gt;='Assumptions and Catalog'!$C$19),A192-'Assumptions and Catalog'!$C$19,A192-1)</f>
        <v>2</v>
      </c>
      <c r="S192" s="5">
        <f t="shared" si="13"/>
        <v>0</v>
      </c>
      <c r="T192" s="5"/>
      <c r="U192" s="5"/>
    </row>
    <row r="193" spans="1:21" ht="23.1" customHeight="1" outlineLevel="1" x14ac:dyDescent="0.2">
      <c r="A193" s="5">
        <v>3</v>
      </c>
      <c r="B193" s="5">
        <v>9</v>
      </c>
      <c r="C193" s="5">
        <f>DAY(DATE('Assumptions and Catalog'!$C$24+A193-1,B193+1,0))</f>
        <v>30</v>
      </c>
      <c r="D193" s="5">
        <f>IF(ISNUMBER(Inputs!$L$5),Inputs!$L$5*Inputs!$L$6,0)</f>
        <v>40.35</v>
      </c>
      <c r="E193" s="5">
        <f>IF(ISNUMBER(Inputs!$L$5),Inputs!$L$5-D193,0)</f>
        <v>40.35</v>
      </c>
      <c r="F193" s="5">
        <f>C$51*'Assumptions and Catalog'!$C$31*C193*(1-'Assumptions and Catalog'!$C$10)^(A193-1)</f>
        <v>990.99522450000029</v>
      </c>
      <c r="G193" s="5">
        <f t="shared" si="8"/>
        <v>990.99522450000029</v>
      </c>
      <c r="H193" s="5">
        <f>I193/('Assumptions and Catalog'!$C$11*'Assumptions and Catalog'!$C$12)</f>
        <v>0</v>
      </c>
      <c r="I193" s="5">
        <f>0</f>
        <v>0</v>
      </c>
      <c r="J193" s="5">
        <f t="shared" si="9"/>
        <v>0</v>
      </c>
      <c r="K193" s="5">
        <f t="shared" si="10"/>
        <v>0</v>
      </c>
      <c r="L193" s="5">
        <f t="shared" si="11"/>
        <v>1430.0047754999996</v>
      </c>
      <c r="M193" s="5">
        <f>IF(ISNUMBER(Inputs!$L$5),(IF(Inputs!$L$9="Actual flat rate",((D193+E193)*C193)*Inputs!$L$10,IF(Inputs!$C$9="Residential",IF(((D193+E193)*C193)&lt;='Assumptions and Catalog'!$C$50,((D193+E193)*C193)*'Assumptions and Catalog'!$H$50+'Assumptions and Catalog'!$E$50+'Assumptions and Catalog'!$F$50,IF(((D193+E193)*C193)&lt;='Assumptions and Catalog'!$C$51,((D193+E193)*C193)*'Assumptions and Catalog'!$H$51+'Assumptions and Catalog'!$E$51+'Assumptions and Catalog'!$F$51,IF(((D193+E193)*C193)&lt;='Assumptions and Catalog'!$C$52,((D193+E193)*C193)*'Assumptions and Catalog'!$H$52+'Assumptions and Catalog'!$E$52+'Assumptions and Catalog'!$F$52,IF(((D193+E193)*C193)&lt;='Assumptions and Catalog'!$C$53,((D193+E193)*C193)*'Assumptions and Catalog'!$H$53+'Assumptions and Catalog'!$E$53+'Assumptions and Catalog'!$F$53,IF(((D193+E193)*C193)&lt;='Assumptions and Catalog'!$C$54,((D193+E193)*C193)*'Assumptions and Catalog'!$H$54+'Assumptions and Catalog'!$E$54+'Assumptions and Catalog'!$F$54,IF(((D193+E193)*C193)&lt;='Assumptions and Catalog'!$C$55,((D193+E193)*C193)*'Assumptions and Catalog'!$H$55+'Assumptions and Catalog'!$E$55+'Assumptions and Catalog'!$F$55,IF(((D193+E193)*C193)&lt;='Assumptions and Catalog'!$C$56,((D193+E193)*C193)*'Assumptions and Catalog'!$H$56+'Assumptions and Catalog'!$E$56+'Assumptions and Catalog'!$F$56,IF(((D193+E193)*C193)&lt;='Assumptions and Catalog'!$C$57,((D193+E193)*C193)*'Assumptions and Catalog'!$H$57+'Assumptions and Catalog'!$E$57+'Assumptions and Catalog'!$F$57,"Out of range")))))))),IF(((D193+E193)*C193)&lt;='Assumptions and Catalog'!$C$60,((D193+E193)*C193)*'Assumptions and Catalog'!$H$60+'Assumptions and Catalog'!$E$60+'Assumptions and Catalog'!$F$60,IF(((D193+E193)*C193)&lt;='Assumptions and Catalog'!$C$61,((D193+E193)*C193)*'Assumptions and Catalog'!$H$61+'Assumptions and Catalog'!$E$61+'Assumptions and Catalog'!$F$61,IF(((D193+E193)*C193)&lt;='Assumptions and Catalog'!$C$62,((D193+E193)*C193)*'Assumptions and Catalog'!$H$62+'Assumptions and Catalog'!$E$62+'Assumptions and Catalog'!$F$62,IF(((D193+E193)*C193)&lt;='Assumptions and Catalog'!$C$63,((D193+E193)*C193)*'Assumptions and Catalog'!$H$63+'Assumptions and Catalog'!$E$63+'Assumptions and Catalog'!$F$63,IF(((D193+E193)*C193)&lt;='Assumptions and Catalog'!$C$64,((D193+E193)*C193)*'Assumptions and Catalog'!$H$64+'Assumptions and Catalog'!$E$64+'Assumptions and Catalog'!$F$64,IF(((D193+E193)*C193)&lt;='Assumptions and Catalog'!$C$65,((D193+E193)*C193)*'Assumptions and Catalog'!$H$65+'Assumptions and Catalog'!$E$65+'Assumptions and Catalog'!$F$65,"Out of range")))))))))*(1+'Assumptions and Catalog'!$C$8)^(A193-1),0)</f>
        <v>8279</v>
      </c>
      <c r="N193" s="5">
        <f>IF(ISNUMBER(Inputs!$L$5),(IF(Inputs!$L$9="Actual flat rate",L193*Inputs!$L$10,IF(Inputs!$C$9="Residential",IF(L193&lt;='Assumptions and Catalog'!$C$50,L193*'Assumptions and Catalog'!$H$50+'Assumptions and Catalog'!$E$50+'Assumptions and Catalog'!$F$50,IF(L193&lt;='Assumptions and Catalog'!$C$51,L193*'Assumptions and Catalog'!$H$51+'Assumptions and Catalog'!$E$51+'Assumptions and Catalog'!$F$51,IF(L193&lt;='Assumptions and Catalog'!$C$52,L193*'Assumptions and Catalog'!$H$52+'Assumptions and Catalog'!$E$52+'Assumptions and Catalog'!$F$52,IF(L193&lt;='Assumptions and Catalog'!$C$53,L193*'Assumptions and Catalog'!$H$53+'Assumptions and Catalog'!$E$53+'Assumptions and Catalog'!$F$53,IF(L193&lt;='Assumptions and Catalog'!$C$54,L193*'Assumptions and Catalog'!$H$54+'Assumptions and Catalog'!$E$54+'Assumptions and Catalog'!$F$54,IF(L193&lt;='Assumptions and Catalog'!$C$55,L193*'Assumptions and Catalog'!$H$55+'Assumptions and Catalog'!$E$55+'Assumptions and Catalog'!$F$55,IF(L193&lt;='Assumptions and Catalog'!$C$56,L193*'Assumptions and Catalog'!$H$56+'Assumptions and Catalog'!$E$56+'Assumptions and Catalog'!$F$56,IF(L193&lt;='Assumptions and Catalog'!$C$57,L193*'Assumptions and Catalog'!$H$57+'Assumptions and Catalog'!$E$57+'Assumptions and Catalog'!$F$57,"Out of range")))))))),IF(L193&lt;='Assumptions and Catalog'!$C$60,L193*'Assumptions and Catalog'!$H$60+'Assumptions and Catalog'!$E$60+'Assumptions and Catalog'!$F$60,IF(L193&lt;='Assumptions and Catalog'!$C$61,L193*'Assumptions and Catalog'!$H$61+'Assumptions and Catalog'!$E$61+'Assumptions and Catalog'!$F$61,IF(L193&lt;='Assumptions and Catalog'!$C$62,L193*'Assumptions and Catalog'!$H$62+'Assumptions and Catalog'!$E$62+'Assumptions and Catalog'!$F$62,IF(L193&lt;='Assumptions and Catalog'!$C$63,L193*'Assumptions and Catalog'!$H$63+'Assumptions and Catalog'!$E$63+'Assumptions and Catalog'!$F$63,IF(L193&lt;='Assumptions and Catalog'!$C$64,L193*'Assumptions and Catalog'!$H$64+'Assumptions and Catalog'!$E$64+'Assumptions and Catalog'!$F$64,IF(L193&lt;='Assumptions and Catalog'!$C$65,L193*'Assumptions and Catalog'!$H$65+'Assumptions and Catalog'!$E$65+'Assumptions and Catalog'!$F$65,"Out of range")))))))))*(1+'Assumptions and Catalog'!$C$8)^(A193-1),0)</f>
        <v>4890.1319852806673</v>
      </c>
      <c r="O193" s="5">
        <f t="shared" si="12"/>
        <v>3388.8680147193327</v>
      </c>
      <c r="P193" s="5">
        <f>C$55*(1-J$14)*(1-'Assumptions and Catalog'!$C$23)^R193</f>
        <v>0</v>
      </c>
      <c r="Q193" s="5">
        <f>IF(ISNUMBER(Inputs!$L$5),(IF(Inputs!$L$9="Actual flat rate",((D193+E193)*C193-G193)*Inputs!$L$10,IF(Inputs!$C$9="Residential",IF(((D193+E193)*C193-G193)&lt;='Assumptions and Catalog'!$C$50,((D193+E193)*C193-G193)*'Assumptions and Catalog'!$H$50+'Assumptions and Catalog'!$E$50+'Assumptions and Catalog'!$F$50,IF(((D193+E193)*C193-G193)&lt;='Assumptions and Catalog'!$C$51,((D193+E193)*C193-G193)*'Assumptions and Catalog'!$H$51+'Assumptions and Catalog'!$E$51+'Assumptions and Catalog'!$F$51,IF(((D193+E193)*C193-G193)&lt;='Assumptions and Catalog'!$C$52,((D193+E193)*C193-G193)*'Assumptions and Catalog'!$H$52+'Assumptions and Catalog'!$E$52+'Assumptions and Catalog'!$F$52,IF(((D193+E193)*C193-G193)&lt;='Assumptions and Catalog'!$C$53,((D193+E193)*C193-G193)*'Assumptions and Catalog'!$H$53+'Assumptions and Catalog'!$E$53+'Assumptions and Catalog'!$F$53,IF(((D193+E193)*C193-G193)&lt;='Assumptions and Catalog'!$C$54,((D193+E193)*C193-G193)*'Assumptions and Catalog'!$H$54+'Assumptions and Catalog'!$E$54+'Assumptions and Catalog'!$F$54,IF(((D193+E193)*C193-G193)&lt;='Assumptions and Catalog'!$C$55,((D193+E193)*C193-G193)*'Assumptions and Catalog'!$H$55+'Assumptions and Catalog'!$E$55+'Assumptions and Catalog'!$F$55,IF(((D193+E193)*C193-G193)&lt;='Assumptions and Catalog'!$C$56,((D193+E193)*C193-G193)*'Assumptions and Catalog'!$H$56+'Assumptions and Catalog'!$E$56+'Assumptions and Catalog'!$F$56,IF(((D193+E193)*C193-G193)&lt;='Assumptions and Catalog'!$C$57,((D193+E193)*C193-G193)*'Assumptions and Catalog'!$H$57+'Assumptions and Catalog'!$E$57+'Assumptions and Catalog'!$F$57,"Out of range")))))))),IF(((D193+E193)*C193-G193)&lt;='Assumptions and Catalog'!$C$60,((D193+E193)*C193-G193)*'Assumptions and Catalog'!$H$60+'Assumptions and Catalog'!$E$60+'Assumptions and Catalog'!$F$60,IF(((D193+E193)*C193-G193)&lt;='Assumptions and Catalog'!$C$61,((D193+E193)*C193-G193)*'Assumptions and Catalog'!$H$61+'Assumptions and Catalog'!$E$61+'Assumptions and Catalog'!$F$61,IF(((D193+E193)*C193-G193)&lt;='Assumptions and Catalog'!$C$62,((D193+E193)*C193-G193)*'Assumptions and Catalog'!$H$62+'Assumptions and Catalog'!$E$62+'Assumptions and Catalog'!$F$62,IF(((D193+E193)*C193-G193)&lt;='Assumptions and Catalog'!$C$63,((D193+E193)*C193-G193)*'Assumptions and Catalog'!$H$63+'Assumptions and Catalog'!$E$63+'Assumptions and Catalog'!$F$63,IF(((D193+E193)*C193-G193)&lt;='Assumptions and Catalog'!$C$64,((D193+E193)*C193-G193)*'Assumptions and Catalog'!$H$64+'Assumptions and Catalog'!$E$64+'Assumptions and Catalog'!$F$64,IF(((D193+E193)*C193-G193)&lt;='Assumptions and Catalog'!$C$65,((D193+E193)*C193-G193)*'Assumptions and Catalog'!$H$65+'Assumptions and Catalog'!$E$65+'Assumptions and Catalog'!$F$65,"Out of range")))))))))*(1+'Assumptions and Catalog'!$C$8)^(A193-1),0)</f>
        <v>4890.1319852806673</v>
      </c>
      <c r="R193" s="5">
        <f>IF(AND('Assumptions and Catalog'!$C$19&gt;0,A193&gt;='Assumptions and Catalog'!$C$19),A193-'Assumptions and Catalog'!$C$19,A193-1)</f>
        <v>2</v>
      </c>
      <c r="S193" s="5">
        <f t="shared" si="13"/>
        <v>0</v>
      </c>
      <c r="T193" s="5"/>
      <c r="U193" s="5"/>
    </row>
    <row r="194" spans="1:21" ht="23.1" customHeight="1" outlineLevel="1" x14ac:dyDescent="0.2">
      <c r="A194" s="5">
        <v>3</v>
      </c>
      <c r="B194" s="5">
        <v>10</v>
      </c>
      <c r="C194" s="5">
        <f>DAY(DATE('Assumptions and Catalog'!$C$24+A194-1,B194+1,0))</f>
        <v>31</v>
      </c>
      <c r="D194" s="5">
        <f>IF(ISNUMBER(Inputs!$L$5),Inputs!$L$5*Inputs!$L$6,0)</f>
        <v>40.35</v>
      </c>
      <c r="E194" s="5">
        <f>IF(ISNUMBER(Inputs!$L$5),Inputs!$L$5-D194,0)</f>
        <v>40.35</v>
      </c>
      <c r="F194" s="5">
        <f>C$51*'Assumptions and Catalog'!$C$31*C194*(1-'Assumptions and Catalog'!$C$10)^(A194-1)</f>
        <v>1024.0283986500003</v>
      </c>
      <c r="G194" s="5">
        <f t="shared" si="8"/>
        <v>1024.0283986500003</v>
      </c>
      <c r="H194" s="5">
        <f>I194/('Assumptions and Catalog'!$C$11*'Assumptions and Catalog'!$C$12)</f>
        <v>0</v>
      </c>
      <c r="I194" s="5">
        <f>0</f>
        <v>0</v>
      </c>
      <c r="J194" s="5">
        <f t="shared" si="9"/>
        <v>0</v>
      </c>
      <c r="K194" s="5">
        <f t="shared" si="10"/>
        <v>0</v>
      </c>
      <c r="L194" s="5">
        <f t="shared" si="11"/>
        <v>1477.6716013499999</v>
      </c>
      <c r="M194" s="5">
        <f>IF(ISNUMBER(Inputs!$L$5),(IF(Inputs!$L$9="Actual flat rate",((D194+E194)*C194)*Inputs!$L$10,IF(Inputs!$C$9="Residential",IF(((D194+E194)*C194)&lt;='Assumptions and Catalog'!$C$50,((D194+E194)*C194)*'Assumptions and Catalog'!$H$50+'Assumptions and Catalog'!$E$50+'Assumptions and Catalog'!$F$50,IF(((D194+E194)*C194)&lt;='Assumptions and Catalog'!$C$51,((D194+E194)*C194)*'Assumptions and Catalog'!$H$51+'Assumptions and Catalog'!$E$51+'Assumptions and Catalog'!$F$51,IF(((D194+E194)*C194)&lt;='Assumptions and Catalog'!$C$52,((D194+E194)*C194)*'Assumptions and Catalog'!$H$52+'Assumptions and Catalog'!$E$52+'Assumptions and Catalog'!$F$52,IF(((D194+E194)*C194)&lt;='Assumptions and Catalog'!$C$53,((D194+E194)*C194)*'Assumptions and Catalog'!$H$53+'Assumptions and Catalog'!$E$53+'Assumptions and Catalog'!$F$53,IF(((D194+E194)*C194)&lt;='Assumptions and Catalog'!$C$54,((D194+E194)*C194)*'Assumptions and Catalog'!$H$54+'Assumptions and Catalog'!$E$54+'Assumptions and Catalog'!$F$54,IF(((D194+E194)*C194)&lt;='Assumptions and Catalog'!$C$55,((D194+E194)*C194)*'Assumptions and Catalog'!$H$55+'Assumptions and Catalog'!$E$55+'Assumptions and Catalog'!$F$55,IF(((D194+E194)*C194)&lt;='Assumptions and Catalog'!$C$56,((D194+E194)*C194)*'Assumptions and Catalog'!$H$56+'Assumptions and Catalog'!$E$56+'Assumptions and Catalog'!$F$56,IF(((D194+E194)*C194)&lt;='Assumptions and Catalog'!$C$57,((D194+E194)*C194)*'Assumptions and Catalog'!$H$57+'Assumptions and Catalog'!$E$57+'Assumptions and Catalog'!$F$57,"Out of range")))))))),IF(((D194+E194)*C194)&lt;='Assumptions and Catalog'!$C$60,((D194+E194)*C194)*'Assumptions and Catalog'!$H$60+'Assumptions and Catalog'!$E$60+'Assumptions and Catalog'!$F$60,IF(((D194+E194)*C194)&lt;='Assumptions and Catalog'!$C$61,((D194+E194)*C194)*'Assumptions and Catalog'!$H$61+'Assumptions and Catalog'!$E$61+'Assumptions and Catalog'!$F$61,IF(((D194+E194)*C194)&lt;='Assumptions and Catalog'!$C$62,((D194+E194)*C194)*'Assumptions and Catalog'!$H$62+'Assumptions and Catalog'!$E$62+'Assumptions and Catalog'!$F$62,IF(((D194+E194)*C194)&lt;='Assumptions and Catalog'!$C$63,((D194+E194)*C194)*'Assumptions and Catalog'!$H$63+'Assumptions and Catalog'!$E$63+'Assumptions and Catalog'!$F$63,IF(((D194+E194)*C194)&lt;='Assumptions and Catalog'!$C$64,((D194+E194)*C194)*'Assumptions and Catalog'!$H$64+'Assumptions and Catalog'!$E$64+'Assumptions and Catalog'!$F$64,IF(((D194+E194)*C194)&lt;='Assumptions and Catalog'!$C$65,((D194+E194)*C194)*'Assumptions and Catalog'!$H$65+'Assumptions and Catalog'!$E$65+'Assumptions and Catalog'!$F$65,"Out of range")))))))))*(1+'Assumptions and Catalog'!$C$8)^(A194-1),0)</f>
        <v>8554.9666666666672</v>
      </c>
      <c r="N194" s="5">
        <f>IF(ISNUMBER(Inputs!$L$5),(IF(Inputs!$L$9="Actual flat rate",L194*Inputs!$L$10,IF(Inputs!$C$9="Residential",IF(L194&lt;='Assumptions and Catalog'!$C$50,L194*'Assumptions and Catalog'!$H$50+'Assumptions and Catalog'!$E$50+'Assumptions and Catalog'!$F$50,IF(L194&lt;='Assumptions and Catalog'!$C$51,L194*'Assumptions and Catalog'!$H$51+'Assumptions and Catalog'!$E$51+'Assumptions and Catalog'!$F$51,IF(L194&lt;='Assumptions and Catalog'!$C$52,L194*'Assumptions and Catalog'!$H$52+'Assumptions and Catalog'!$E$52+'Assumptions and Catalog'!$F$52,IF(L194&lt;='Assumptions and Catalog'!$C$53,L194*'Assumptions and Catalog'!$H$53+'Assumptions and Catalog'!$E$53+'Assumptions and Catalog'!$F$53,IF(L194&lt;='Assumptions and Catalog'!$C$54,L194*'Assumptions and Catalog'!$H$54+'Assumptions and Catalog'!$E$54+'Assumptions and Catalog'!$F$54,IF(L194&lt;='Assumptions and Catalog'!$C$55,L194*'Assumptions and Catalog'!$H$55+'Assumptions and Catalog'!$E$55+'Assumptions and Catalog'!$F$55,IF(L194&lt;='Assumptions and Catalog'!$C$56,L194*'Assumptions and Catalog'!$H$56+'Assumptions and Catalog'!$E$56+'Assumptions and Catalog'!$F$56,IF(L194&lt;='Assumptions and Catalog'!$C$57,L194*'Assumptions and Catalog'!$H$57+'Assumptions and Catalog'!$E$57+'Assumptions and Catalog'!$F$57,"Out of range")))))))),IF(L194&lt;='Assumptions and Catalog'!$C$60,L194*'Assumptions and Catalog'!$H$60+'Assumptions and Catalog'!$E$60+'Assumptions and Catalog'!$F$60,IF(L194&lt;='Assumptions and Catalog'!$C$61,L194*'Assumptions and Catalog'!$H$61+'Assumptions and Catalog'!$E$61+'Assumptions and Catalog'!$F$61,IF(L194&lt;='Assumptions and Catalog'!$C$62,L194*'Assumptions and Catalog'!$H$62+'Assumptions and Catalog'!$E$62+'Assumptions and Catalog'!$F$62,IF(L194&lt;='Assumptions and Catalog'!$C$63,L194*'Assumptions and Catalog'!$H$63+'Assumptions and Catalog'!$E$63+'Assumptions and Catalog'!$F$63,IF(L194&lt;='Assumptions and Catalog'!$C$64,L194*'Assumptions and Catalog'!$H$64+'Assumptions and Catalog'!$E$64+'Assumptions and Catalog'!$F$64,IF(L194&lt;='Assumptions and Catalog'!$C$65,L194*'Assumptions and Catalog'!$H$65+'Assumptions and Catalog'!$E$65+'Assumptions and Catalog'!$F$65,"Out of range")))))))))*(1+'Assumptions and Catalog'!$C$8)^(A194-1),0)</f>
        <v>5053.1363847900247</v>
      </c>
      <c r="O194" s="5">
        <f t="shared" si="12"/>
        <v>3501.8302818766424</v>
      </c>
      <c r="P194" s="5">
        <f>C$55*(1-J$14)*(1-'Assumptions and Catalog'!$C$23)^R194</f>
        <v>0</v>
      </c>
      <c r="Q194" s="5">
        <f>IF(ISNUMBER(Inputs!$L$5),(IF(Inputs!$L$9="Actual flat rate",((D194+E194)*C194-G194)*Inputs!$L$10,IF(Inputs!$C$9="Residential",IF(((D194+E194)*C194-G194)&lt;='Assumptions and Catalog'!$C$50,((D194+E194)*C194-G194)*'Assumptions and Catalog'!$H$50+'Assumptions and Catalog'!$E$50+'Assumptions and Catalog'!$F$50,IF(((D194+E194)*C194-G194)&lt;='Assumptions and Catalog'!$C$51,((D194+E194)*C194-G194)*'Assumptions and Catalog'!$H$51+'Assumptions and Catalog'!$E$51+'Assumptions and Catalog'!$F$51,IF(((D194+E194)*C194-G194)&lt;='Assumptions and Catalog'!$C$52,((D194+E194)*C194-G194)*'Assumptions and Catalog'!$H$52+'Assumptions and Catalog'!$E$52+'Assumptions and Catalog'!$F$52,IF(((D194+E194)*C194-G194)&lt;='Assumptions and Catalog'!$C$53,((D194+E194)*C194-G194)*'Assumptions and Catalog'!$H$53+'Assumptions and Catalog'!$E$53+'Assumptions and Catalog'!$F$53,IF(((D194+E194)*C194-G194)&lt;='Assumptions and Catalog'!$C$54,((D194+E194)*C194-G194)*'Assumptions and Catalog'!$H$54+'Assumptions and Catalog'!$E$54+'Assumptions and Catalog'!$F$54,IF(((D194+E194)*C194-G194)&lt;='Assumptions and Catalog'!$C$55,((D194+E194)*C194-G194)*'Assumptions and Catalog'!$H$55+'Assumptions and Catalog'!$E$55+'Assumptions and Catalog'!$F$55,IF(((D194+E194)*C194-G194)&lt;='Assumptions and Catalog'!$C$56,((D194+E194)*C194-G194)*'Assumptions and Catalog'!$H$56+'Assumptions and Catalog'!$E$56+'Assumptions and Catalog'!$F$56,IF(((D194+E194)*C194-G194)&lt;='Assumptions and Catalog'!$C$57,((D194+E194)*C194-G194)*'Assumptions and Catalog'!$H$57+'Assumptions and Catalog'!$E$57+'Assumptions and Catalog'!$F$57,"Out of range")))))))),IF(((D194+E194)*C194-G194)&lt;='Assumptions and Catalog'!$C$60,((D194+E194)*C194-G194)*'Assumptions and Catalog'!$H$60+'Assumptions and Catalog'!$E$60+'Assumptions and Catalog'!$F$60,IF(((D194+E194)*C194-G194)&lt;='Assumptions and Catalog'!$C$61,((D194+E194)*C194-G194)*'Assumptions and Catalog'!$H$61+'Assumptions and Catalog'!$E$61+'Assumptions and Catalog'!$F$61,IF(((D194+E194)*C194-G194)&lt;='Assumptions and Catalog'!$C$62,((D194+E194)*C194-G194)*'Assumptions and Catalog'!$H$62+'Assumptions and Catalog'!$E$62+'Assumptions and Catalog'!$F$62,IF(((D194+E194)*C194-G194)&lt;='Assumptions and Catalog'!$C$63,((D194+E194)*C194-G194)*'Assumptions and Catalog'!$H$63+'Assumptions and Catalog'!$E$63+'Assumptions and Catalog'!$F$63,IF(((D194+E194)*C194-G194)&lt;='Assumptions and Catalog'!$C$64,((D194+E194)*C194-G194)*'Assumptions and Catalog'!$H$64+'Assumptions and Catalog'!$E$64+'Assumptions and Catalog'!$F$64,IF(((D194+E194)*C194-G194)&lt;='Assumptions and Catalog'!$C$65,((D194+E194)*C194-G194)*'Assumptions and Catalog'!$H$65+'Assumptions and Catalog'!$E$65+'Assumptions and Catalog'!$F$65,"Out of range")))))))))*(1+'Assumptions and Catalog'!$C$8)^(A194-1),0)</f>
        <v>5053.1363847900247</v>
      </c>
      <c r="R194" s="5">
        <f>IF(AND('Assumptions and Catalog'!$C$19&gt;0,A194&gt;='Assumptions and Catalog'!$C$19),A194-'Assumptions and Catalog'!$C$19,A194-1)</f>
        <v>2</v>
      </c>
      <c r="S194" s="5">
        <f t="shared" si="13"/>
        <v>0</v>
      </c>
      <c r="T194" s="5"/>
      <c r="U194" s="5"/>
    </row>
    <row r="195" spans="1:21" ht="23.1" customHeight="1" outlineLevel="1" x14ac:dyDescent="0.2">
      <c r="A195" s="5">
        <v>3</v>
      </c>
      <c r="B195" s="5">
        <v>11</v>
      </c>
      <c r="C195" s="5">
        <f>DAY(DATE('Assumptions and Catalog'!$C$24+A195-1,B195+1,0))</f>
        <v>30</v>
      </c>
      <c r="D195" s="5">
        <f>IF(ISNUMBER(Inputs!$L$5),Inputs!$L$5*Inputs!$L$6,0)</f>
        <v>40.35</v>
      </c>
      <c r="E195" s="5">
        <f>IF(ISNUMBER(Inputs!$L$5),Inputs!$L$5-D195,0)</f>
        <v>40.35</v>
      </c>
      <c r="F195" s="5">
        <f>C$51*'Assumptions and Catalog'!$C$31*C195*(1-'Assumptions and Catalog'!$C$10)^(A195-1)</f>
        <v>990.99522450000029</v>
      </c>
      <c r="G195" s="5">
        <f t="shared" si="8"/>
        <v>990.99522450000029</v>
      </c>
      <c r="H195" s="5">
        <f>I195/('Assumptions and Catalog'!$C$11*'Assumptions and Catalog'!$C$12)</f>
        <v>0</v>
      </c>
      <c r="I195" s="5">
        <f>0</f>
        <v>0</v>
      </c>
      <c r="J195" s="5">
        <f t="shared" si="9"/>
        <v>0</v>
      </c>
      <c r="K195" s="5">
        <f t="shared" si="10"/>
        <v>0</v>
      </c>
      <c r="L195" s="5">
        <f t="shared" si="11"/>
        <v>1430.0047754999996</v>
      </c>
      <c r="M195" s="5">
        <f>IF(ISNUMBER(Inputs!$L$5),(IF(Inputs!$L$9="Actual flat rate",((D195+E195)*C195)*Inputs!$L$10,IF(Inputs!$C$9="Residential",IF(((D195+E195)*C195)&lt;='Assumptions and Catalog'!$C$50,((D195+E195)*C195)*'Assumptions and Catalog'!$H$50+'Assumptions and Catalog'!$E$50+'Assumptions and Catalog'!$F$50,IF(((D195+E195)*C195)&lt;='Assumptions and Catalog'!$C$51,((D195+E195)*C195)*'Assumptions and Catalog'!$H$51+'Assumptions and Catalog'!$E$51+'Assumptions and Catalog'!$F$51,IF(((D195+E195)*C195)&lt;='Assumptions and Catalog'!$C$52,((D195+E195)*C195)*'Assumptions and Catalog'!$H$52+'Assumptions and Catalog'!$E$52+'Assumptions and Catalog'!$F$52,IF(((D195+E195)*C195)&lt;='Assumptions and Catalog'!$C$53,((D195+E195)*C195)*'Assumptions and Catalog'!$H$53+'Assumptions and Catalog'!$E$53+'Assumptions and Catalog'!$F$53,IF(((D195+E195)*C195)&lt;='Assumptions and Catalog'!$C$54,((D195+E195)*C195)*'Assumptions and Catalog'!$H$54+'Assumptions and Catalog'!$E$54+'Assumptions and Catalog'!$F$54,IF(((D195+E195)*C195)&lt;='Assumptions and Catalog'!$C$55,((D195+E195)*C195)*'Assumptions and Catalog'!$H$55+'Assumptions and Catalog'!$E$55+'Assumptions and Catalog'!$F$55,IF(((D195+E195)*C195)&lt;='Assumptions and Catalog'!$C$56,((D195+E195)*C195)*'Assumptions and Catalog'!$H$56+'Assumptions and Catalog'!$E$56+'Assumptions and Catalog'!$F$56,IF(((D195+E195)*C195)&lt;='Assumptions and Catalog'!$C$57,((D195+E195)*C195)*'Assumptions and Catalog'!$H$57+'Assumptions and Catalog'!$E$57+'Assumptions and Catalog'!$F$57,"Out of range")))))))),IF(((D195+E195)*C195)&lt;='Assumptions and Catalog'!$C$60,((D195+E195)*C195)*'Assumptions and Catalog'!$H$60+'Assumptions and Catalog'!$E$60+'Assumptions and Catalog'!$F$60,IF(((D195+E195)*C195)&lt;='Assumptions and Catalog'!$C$61,((D195+E195)*C195)*'Assumptions and Catalog'!$H$61+'Assumptions and Catalog'!$E$61+'Assumptions and Catalog'!$F$61,IF(((D195+E195)*C195)&lt;='Assumptions and Catalog'!$C$62,((D195+E195)*C195)*'Assumptions and Catalog'!$H$62+'Assumptions and Catalog'!$E$62+'Assumptions and Catalog'!$F$62,IF(((D195+E195)*C195)&lt;='Assumptions and Catalog'!$C$63,((D195+E195)*C195)*'Assumptions and Catalog'!$H$63+'Assumptions and Catalog'!$E$63+'Assumptions and Catalog'!$F$63,IF(((D195+E195)*C195)&lt;='Assumptions and Catalog'!$C$64,((D195+E195)*C195)*'Assumptions and Catalog'!$H$64+'Assumptions and Catalog'!$E$64+'Assumptions and Catalog'!$F$64,IF(((D195+E195)*C195)&lt;='Assumptions and Catalog'!$C$65,((D195+E195)*C195)*'Assumptions and Catalog'!$H$65+'Assumptions and Catalog'!$E$65+'Assumptions and Catalog'!$F$65,"Out of range")))))))))*(1+'Assumptions and Catalog'!$C$8)^(A195-1),0)</f>
        <v>8279</v>
      </c>
      <c r="N195" s="5">
        <f>IF(ISNUMBER(Inputs!$L$5),(IF(Inputs!$L$9="Actual flat rate",L195*Inputs!$L$10,IF(Inputs!$C$9="Residential",IF(L195&lt;='Assumptions and Catalog'!$C$50,L195*'Assumptions and Catalog'!$H$50+'Assumptions and Catalog'!$E$50+'Assumptions and Catalog'!$F$50,IF(L195&lt;='Assumptions and Catalog'!$C$51,L195*'Assumptions and Catalog'!$H$51+'Assumptions and Catalog'!$E$51+'Assumptions and Catalog'!$F$51,IF(L195&lt;='Assumptions and Catalog'!$C$52,L195*'Assumptions and Catalog'!$H$52+'Assumptions and Catalog'!$E$52+'Assumptions and Catalog'!$F$52,IF(L195&lt;='Assumptions and Catalog'!$C$53,L195*'Assumptions and Catalog'!$H$53+'Assumptions and Catalog'!$E$53+'Assumptions and Catalog'!$F$53,IF(L195&lt;='Assumptions and Catalog'!$C$54,L195*'Assumptions and Catalog'!$H$54+'Assumptions and Catalog'!$E$54+'Assumptions and Catalog'!$F$54,IF(L195&lt;='Assumptions and Catalog'!$C$55,L195*'Assumptions and Catalog'!$H$55+'Assumptions and Catalog'!$E$55+'Assumptions and Catalog'!$F$55,IF(L195&lt;='Assumptions and Catalog'!$C$56,L195*'Assumptions and Catalog'!$H$56+'Assumptions and Catalog'!$E$56+'Assumptions and Catalog'!$F$56,IF(L195&lt;='Assumptions and Catalog'!$C$57,L195*'Assumptions and Catalog'!$H$57+'Assumptions and Catalog'!$E$57+'Assumptions and Catalog'!$F$57,"Out of range")))))))),IF(L195&lt;='Assumptions and Catalog'!$C$60,L195*'Assumptions and Catalog'!$H$60+'Assumptions and Catalog'!$E$60+'Assumptions and Catalog'!$F$60,IF(L195&lt;='Assumptions and Catalog'!$C$61,L195*'Assumptions and Catalog'!$H$61+'Assumptions and Catalog'!$E$61+'Assumptions and Catalog'!$F$61,IF(L195&lt;='Assumptions and Catalog'!$C$62,L195*'Assumptions and Catalog'!$H$62+'Assumptions and Catalog'!$E$62+'Assumptions and Catalog'!$F$62,IF(L195&lt;='Assumptions and Catalog'!$C$63,L195*'Assumptions and Catalog'!$H$63+'Assumptions and Catalog'!$E$63+'Assumptions and Catalog'!$F$63,IF(L195&lt;='Assumptions and Catalog'!$C$64,L195*'Assumptions and Catalog'!$H$64+'Assumptions and Catalog'!$E$64+'Assumptions and Catalog'!$F$64,IF(L195&lt;='Assumptions and Catalog'!$C$65,L195*'Assumptions and Catalog'!$H$65+'Assumptions and Catalog'!$E$65+'Assumptions and Catalog'!$F$65,"Out of range")))))))))*(1+'Assumptions and Catalog'!$C$8)^(A195-1),0)</f>
        <v>4890.1319852806673</v>
      </c>
      <c r="O195" s="5">
        <f t="shared" si="12"/>
        <v>3388.8680147193327</v>
      </c>
      <c r="P195" s="5">
        <f>C$55*(1-J$14)*(1-'Assumptions and Catalog'!$C$23)^R195</f>
        <v>0</v>
      </c>
      <c r="Q195" s="5">
        <f>IF(ISNUMBER(Inputs!$L$5),(IF(Inputs!$L$9="Actual flat rate",((D195+E195)*C195-G195)*Inputs!$L$10,IF(Inputs!$C$9="Residential",IF(((D195+E195)*C195-G195)&lt;='Assumptions and Catalog'!$C$50,((D195+E195)*C195-G195)*'Assumptions and Catalog'!$H$50+'Assumptions and Catalog'!$E$50+'Assumptions and Catalog'!$F$50,IF(((D195+E195)*C195-G195)&lt;='Assumptions and Catalog'!$C$51,((D195+E195)*C195-G195)*'Assumptions and Catalog'!$H$51+'Assumptions and Catalog'!$E$51+'Assumptions and Catalog'!$F$51,IF(((D195+E195)*C195-G195)&lt;='Assumptions and Catalog'!$C$52,((D195+E195)*C195-G195)*'Assumptions and Catalog'!$H$52+'Assumptions and Catalog'!$E$52+'Assumptions and Catalog'!$F$52,IF(((D195+E195)*C195-G195)&lt;='Assumptions and Catalog'!$C$53,((D195+E195)*C195-G195)*'Assumptions and Catalog'!$H$53+'Assumptions and Catalog'!$E$53+'Assumptions and Catalog'!$F$53,IF(((D195+E195)*C195-G195)&lt;='Assumptions and Catalog'!$C$54,((D195+E195)*C195-G195)*'Assumptions and Catalog'!$H$54+'Assumptions and Catalog'!$E$54+'Assumptions and Catalog'!$F$54,IF(((D195+E195)*C195-G195)&lt;='Assumptions and Catalog'!$C$55,((D195+E195)*C195-G195)*'Assumptions and Catalog'!$H$55+'Assumptions and Catalog'!$E$55+'Assumptions and Catalog'!$F$55,IF(((D195+E195)*C195-G195)&lt;='Assumptions and Catalog'!$C$56,((D195+E195)*C195-G195)*'Assumptions and Catalog'!$H$56+'Assumptions and Catalog'!$E$56+'Assumptions and Catalog'!$F$56,IF(((D195+E195)*C195-G195)&lt;='Assumptions and Catalog'!$C$57,((D195+E195)*C195-G195)*'Assumptions and Catalog'!$H$57+'Assumptions and Catalog'!$E$57+'Assumptions and Catalog'!$F$57,"Out of range")))))))),IF(((D195+E195)*C195-G195)&lt;='Assumptions and Catalog'!$C$60,((D195+E195)*C195-G195)*'Assumptions and Catalog'!$H$60+'Assumptions and Catalog'!$E$60+'Assumptions and Catalog'!$F$60,IF(((D195+E195)*C195-G195)&lt;='Assumptions and Catalog'!$C$61,((D195+E195)*C195-G195)*'Assumptions and Catalog'!$H$61+'Assumptions and Catalog'!$E$61+'Assumptions and Catalog'!$F$61,IF(((D195+E195)*C195-G195)&lt;='Assumptions and Catalog'!$C$62,((D195+E195)*C195-G195)*'Assumptions and Catalog'!$H$62+'Assumptions and Catalog'!$E$62+'Assumptions and Catalog'!$F$62,IF(((D195+E195)*C195-G195)&lt;='Assumptions and Catalog'!$C$63,((D195+E195)*C195-G195)*'Assumptions and Catalog'!$H$63+'Assumptions and Catalog'!$E$63+'Assumptions and Catalog'!$F$63,IF(((D195+E195)*C195-G195)&lt;='Assumptions and Catalog'!$C$64,((D195+E195)*C195-G195)*'Assumptions and Catalog'!$H$64+'Assumptions and Catalog'!$E$64+'Assumptions and Catalog'!$F$64,IF(((D195+E195)*C195-G195)&lt;='Assumptions and Catalog'!$C$65,((D195+E195)*C195-G195)*'Assumptions and Catalog'!$H$65+'Assumptions and Catalog'!$E$65+'Assumptions and Catalog'!$F$65,"Out of range")))))))))*(1+'Assumptions and Catalog'!$C$8)^(A195-1),0)</f>
        <v>4890.1319852806673</v>
      </c>
      <c r="R195" s="5">
        <f>IF(AND('Assumptions and Catalog'!$C$19&gt;0,A195&gt;='Assumptions and Catalog'!$C$19),A195-'Assumptions and Catalog'!$C$19,A195-1)</f>
        <v>2</v>
      </c>
      <c r="S195" s="5">
        <f t="shared" si="13"/>
        <v>0</v>
      </c>
      <c r="T195" s="5"/>
      <c r="U195" s="5"/>
    </row>
    <row r="196" spans="1:21" ht="23.1" customHeight="1" outlineLevel="1" x14ac:dyDescent="0.2">
      <c r="A196" s="5">
        <v>3</v>
      </c>
      <c r="B196" s="5">
        <v>12</v>
      </c>
      <c r="C196" s="5">
        <f>DAY(DATE('Assumptions and Catalog'!$C$24+A196-1,B196+1,0))</f>
        <v>31</v>
      </c>
      <c r="D196" s="5">
        <f>IF(ISNUMBER(Inputs!$L$5),Inputs!$L$5*Inputs!$L$6,0)</f>
        <v>40.35</v>
      </c>
      <c r="E196" s="5">
        <f>IF(ISNUMBER(Inputs!$L$5),Inputs!$L$5-D196,0)</f>
        <v>40.35</v>
      </c>
      <c r="F196" s="5">
        <f>C$51*'Assumptions and Catalog'!$C$31*C196*(1-'Assumptions and Catalog'!$C$10)^(A196-1)</f>
        <v>1024.0283986500003</v>
      </c>
      <c r="G196" s="5">
        <f t="shared" si="8"/>
        <v>1024.0283986500003</v>
      </c>
      <c r="H196" s="5">
        <f>I196/('Assumptions and Catalog'!$C$11*'Assumptions and Catalog'!$C$12)</f>
        <v>0</v>
      </c>
      <c r="I196" s="5">
        <f>0</f>
        <v>0</v>
      </c>
      <c r="J196" s="5">
        <f t="shared" si="9"/>
        <v>0</v>
      </c>
      <c r="K196" s="5">
        <f t="shared" si="10"/>
        <v>0</v>
      </c>
      <c r="L196" s="5">
        <f t="shared" si="11"/>
        <v>1477.6716013499999</v>
      </c>
      <c r="M196" s="5">
        <f>IF(ISNUMBER(Inputs!$L$5),(IF(Inputs!$L$9="Actual flat rate",((D196+E196)*C196)*Inputs!$L$10,IF(Inputs!$C$9="Residential",IF(((D196+E196)*C196)&lt;='Assumptions and Catalog'!$C$50,((D196+E196)*C196)*'Assumptions and Catalog'!$H$50+'Assumptions and Catalog'!$E$50+'Assumptions and Catalog'!$F$50,IF(((D196+E196)*C196)&lt;='Assumptions and Catalog'!$C$51,((D196+E196)*C196)*'Assumptions and Catalog'!$H$51+'Assumptions and Catalog'!$E$51+'Assumptions and Catalog'!$F$51,IF(((D196+E196)*C196)&lt;='Assumptions and Catalog'!$C$52,((D196+E196)*C196)*'Assumptions and Catalog'!$H$52+'Assumptions and Catalog'!$E$52+'Assumptions and Catalog'!$F$52,IF(((D196+E196)*C196)&lt;='Assumptions and Catalog'!$C$53,((D196+E196)*C196)*'Assumptions and Catalog'!$H$53+'Assumptions and Catalog'!$E$53+'Assumptions and Catalog'!$F$53,IF(((D196+E196)*C196)&lt;='Assumptions and Catalog'!$C$54,((D196+E196)*C196)*'Assumptions and Catalog'!$H$54+'Assumptions and Catalog'!$E$54+'Assumptions and Catalog'!$F$54,IF(((D196+E196)*C196)&lt;='Assumptions and Catalog'!$C$55,((D196+E196)*C196)*'Assumptions and Catalog'!$H$55+'Assumptions and Catalog'!$E$55+'Assumptions and Catalog'!$F$55,IF(((D196+E196)*C196)&lt;='Assumptions and Catalog'!$C$56,((D196+E196)*C196)*'Assumptions and Catalog'!$H$56+'Assumptions and Catalog'!$E$56+'Assumptions and Catalog'!$F$56,IF(((D196+E196)*C196)&lt;='Assumptions and Catalog'!$C$57,((D196+E196)*C196)*'Assumptions and Catalog'!$H$57+'Assumptions and Catalog'!$E$57+'Assumptions and Catalog'!$F$57,"Out of range")))))))),IF(((D196+E196)*C196)&lt;='Assumptions and Catalog'!$C$60,((D196+E196)*C196)*'Assumptions and Catalog'!$H$60+'Assumptions and Catalog'!$E$60+'Assumptions and Catalog'!$F$60,IF(((D196+E196)*C196)&lt;='Assumptions and Catalog'!$C$61,((D196+E196)*C196)*'Assumptions and Catalog'!$H$61+'Assumptions and Catalog'!$E$61+'Assumptions and Catalog'!$F$61,IF(((D196+E196)*C196)&lt;='Assumptions and Catalog'!$C$62,((D196+E196)*C196)*'Assumptions and Catalog'!$H$62+'Assumptions and Catalog'!$E$62+'Assumptions and Catalog'!$F$62,IF(((D196+E196)*C196)&lt;='Assumptions and Catalog'!$C$63,((D196+E196)*C196)*'Assumptions and Catalog'!$H$63+'Assumptions and Catalog'!$E$63+'Assumptions and Catalog'!$F$63,IF(((D196+E196)*C196)&lt;='Assumptions and Catalog'!$C$64,((D196+E196)*C196)*'Assumptions and Catalog'!$H$64+'Assumptions and Catalog'!$E$64+'Assumptions and Catalog'!$F$64,IF(((D196+E196)*C196)&lt;='Assumptions and Catalog'!$C$65,((D196+E196)*C196)*'Assumptions and Catalog'!$H$65+'Assumptions and Catalog'!$E$65+'Assumptions and Catalog'!$F$65,"Out of range")))))))))*(1+'Assumptions and Catalog'!$C$8)^(A196-1),0)</f>
        <v>8554.9666666666672</v>
      </c>
      <c r="N196" s="5">
        <f>IF(ISNUMBER(Inputs!$L$5),(IF(Inputs!$L$9="Actual flat rate",L196*Inputs!$L$10,IF(Inputs!$C$9="Residential",IF(L196&lt;='Assumptions and Catalog'!$C$50,L196*'Assumptions and Catalog'!$H$50+'Assumptions and Catalog'!$E$50+'Assumptions and Catalog'!$F$50,IF(L196&lt;='Assumptions and Catalog'!$C$51,L196*'Assumptions and Catalog'!$H$51+'Assumptions and Catalog'!$E$51+'Assumptions and Catalog'!$F$51,IF(L196&lt;='Assumptions and Catalog'!$C$52,L196*'Assumptions and Catalog'!$H$52+'Assumptions and Catalog'!$E$52+'Assumptions and Catalog'!$F$52,IF(L196&lt;='Assumptions and Catalog'!$C$53,L196*'Assumptions and Catalog'!$H$53+'Assumptions and Catalog'!$E$53+'Assumptions and Catalog'!$F$53,IF(L196&lt;='Assumptions and Catalog'!$C$54,L196*'Assumptions and Catalog'!$H$54+'Assumptions and Catalog'!$E$54+'Assumptions and Catalog'!$F$54,IF(L196&lt;='Assumptions and Catalog'!$C$55,L196*'Assumptions and Catalog'!$H$55+'Assumptions and Catalog'!$E$55+'Assumptions and Catalog'!$F$55,IF(L196&lt;='Assumptions and Catalog'!$C$56,L196*'Assumptions and Catalog'!$H$56+'Assumptions and Catalog'!$E$56+'Assumptions and Catalog'!$F$56,IF(L196&lt;='Assumptions and Catalog'!$C$57,L196*'Assumptions and Catalog'!$H$57+'Assumptions and Catalog'!$E$57+'Assumptions and Catalog'!$F$57,"Out of range")))))))),IF(L196&lt;='Assumptions and Catalog'!$C$60,L196*'Assumptions and Catalog'!$H$60+'Assumptions and Catalog'!$E$60+'Assumptions and Catalog'!$F$60,IF(L196&lt;='Assumptions and Catalog'!$C$61,L196*'Assumptions and Catalog'!$H$61+'Assumptions and Catalog'!$E$61+'Assumptions and Catalog'!$F$61,IF(L196&lt;='Assumptions and Catalog'!$C$62,L196*'Assumptions and Catalog'!$H$62+'Assumptions and Catalog'!$E$62+'Assumptions and Catalog'!$F$62,IF(L196&lt;='Assumptions and Catalog'!$C$63,L196*'Assumptions and Catalog'!$H$63+'Assumptions and Catalog'!$E$63+'Assumptions and Catalog'!$F$63,IF(L196&lt;='Assumptions and Catalog'!$C$64,L196*'Assumptions and Catalog'!$H$64+'Assumptions and Catalog'!$E$64+'Assumptions and Catalog'!$F$64,IF(L196&lt;='Assumptions and Catalog'!$C$65,L196*'Assumptions and Catalog'!$H$65+'Assumptions and Catalog'!$E$65+'Assumptions and Catalog'!$F$65,"Out of range")))))))))*(1+'Assumptions and Catalog'!$C$8)^(A196-1),0)</f>
        <v>5053.1363847900247</v>
      </c>
      <c r="O196" s="5">
        <f t="shared" si="12"/>
        <v>3501.8302818766424</v>
      </c>
      <c r="P196" s="5">
        <f>C$55*(1-J$14)*(1-'Assumptions and Catalog'!$C$23)^R196</f>
        <v>0</v>
      </c>
      <c r="Q196" s="5">
        <f>IF(ISNUMBER(Inputs!$L$5),(IF(Inputs!$L$9="Actual flat rate",((D196+E196)*C196-G196)*Inputs!$L$10,IF(Inputs!$C$9="Residential",IF(((D196+E196)*C196-G196)&lt;='Assumptions and Catalog'!$C$50,((D196+E196)*C196-G196)*'Assumptions and Catalog'!$H$50+'Assumptions and Catalog'!$E$50+'Assumptions and Catalog'!$F$50,IF(((D196+E196)*C196-G196)&lt;='Assumptions and Catalog'!$C$51,((D196+E196)*C196-G196)*'Assumptions and Catalog'!$H$51+'Assumptions and Catalog'!$E$51+'Assumptions and Catalog'!$F$51,IF(((D196+E196)*C196-G196)&lt;='Assumptions and Catalog'!$C$52,((D196+E196)*C196-G196)*'Assumptions and Catalog'!$H$52+'Assumptions and Catalog'!$E$52+'Assumptions and Catalog'!$F$52,IF(((D196+E196)*C196-G196)&lt;='Assumptions and Catalog'!$C$53,((D196+E196)*C196-G196)*'Assumptions and Catalog'!$H$53+'Assumptions and Catalog'!$E$53+'Assumptions and Catalog'!$F$53,IF(((D196+E196)*C196-G196)&lt;='Assumptions and Catalog'!$C$54,((D196+E196)*C196-G196)*'Assumptions and Catalog'!$H$54+'Assumptions and Catalog'!$E$54+'Assumptions and Catalog'!$F$54,IF(((D196+E196)*C196-G196)&lt;='Assumptions and Catalog'!$C$55,((D196+E196)*C196-G196)*'Assumptions and Catalog'!$H$55+'Assumptions and Catalog'!$E$55+'Assumptions and Catalog'!$F$55,IF(((D196+E196)*C196-G196)&lt;='Assumptions and Catalog'!$C$56,((D196+E196)*C196-G196)*'Assumptions and Catalog'!$H$56+'Assumptions and Catalog'!$E$56+'Assumptions and Catalog'!$F$56,IF(((D196+E196)*C196-G196)&lt;='Assumptions and Catalog'!$C$57,((D196+E196)*C196-G196)*'Assumptions and Catalog'!$H$57+'Assumptions and Catalog'!$E$57+'Assumptions and Catalog'!$F$57,"Out of range")))))))),IF(((D196+E196)*C196-G196)&lt;='Assumptions and Catalog'!$C$60,((D196+E196)*C196-G196)*'Assumptions and Catalog'!$H$60+'Assumptions and Catalog'!$E$60+'Assumptions and Catalog'!$F$60,IF(((D196+E196)*C196-G196)&lt;='Assumptions and Catalog'!$C$61,((D196+E196)*C196-G196)*'Assumptions and Catalog'!$H$61+'Assumptions and Catalog'!$E$61+'Assumptions and Catalog'!$F$61,IF(((D196+E196)*C196-G196)&lt;='Assumptions and Catalog'!$C$62,((D196+E196)*C196-G196)*'Assumptions and Catalog'!$H$62+'Assumptions and Catalog'!$E$62+'Assumptions and Catalog'!$F$62,IF(((D196+E196)*C196-G196)&lt;='Assumptions and Catalog'!$C$63,((D196+E196)*C196-G196)*'Assumptions and Catalog'!$H$63+'Assumptions and Catalog'!$E$63+'Assumptions and Catalog'!$F$63,IF(((D196+E196)*C196-G196)&lt;='Assumptions and Catalog'!$C$64,((D196+E196)*C196-G196)*'Assumptions and Catalog'!$H$64+'Assumptions and Catalog'!$E$64+'Assumptions and Catalog'!$F$64,IF(((D196+E196)*C196-G196)&lt;='Assumptions and Catalog'!$C$65,((D196+E196)*C196-G196)*'Assumptions and Catalog'!$H$65+'Assumptions and Catalog'!$E$65+'Assumptions and Catalog'!$F$65,"Out of range")))))))))*(1+'Assumptions and Catalog'!$C$8)^(A196-1),0)</f>
        <v>5053.1363847900247</v>
      </c>
      <c r="R196" s="5">
        <f>IF(AND('Assumptions and Catalog'!$C$19&gt;0,A196&gt;='Assumptions and Catalog'!$C$19),A196-'Assumptions and Catalog'!$C$19,A196-1)</f>
        <v>2</v>
      </c>
      <c r="S196" s="5">
        <f t="shared" si="13"/>
        <v>0</v>
      </c>
      <c r="T196" s="5"/>
      <c r="U196" s="5"/>
    </row>
    <row r="197" spans="1:21" ht="23.1" customHeight="1" outlineLevel="1" x14ac:dyDescent="0.2">
      <c r="A197" s="5">
        <v>4</v>
      </c>
      <c r="B197" s="5">
        <v>1</v>
      </c>
      <c r="C197" s="5">
        <f>DAY(DATE('Assumptions and Catalog'!$C$24+A197-1,B197+1,0))</f>
        <v>31</v>
      </c>
      <c r="D197" s="5">
        <f>IF(ISNUMBER(Inputs!$L$5),Inputs!$L$5*Inputs!$L$6,0)</f>
        <v>40.35</v>
      </c>
      <c r="E197" s="5">
        <f>IF(ISNUMBER(Inputs!$L$5),Inputs!$L$5-D197,0)</f>
        <v>40.35</v>
      </c>
      <c r="F197" s="5">
        <f>C$51*'Assumptions and Catalog'!$C$31*C197*(1-'Assumptions and Catalog'!$C$10)^(A197-1)</f>
        <v>1018.9082566567503</v>
      </c>
      <c r="G197" s="5">
        <f t="shared" si="8"/>
        <v>1018.9082566567503</v>
      </c>
      <c r="H197" s="5">
        <f>I197/('Assumptions and Catalog'!$C$11*'Assumptions and Catalog'!$C$12)</f>
        <v>0</v>
      </c>
      <c r="I197" s="5">
        <f>0</f>
        <v>0</v>
      </c>
      <c r="J197" s="5">
        <f t="shared" si="9"/>
        <v>0</v>
      </c>
      <c r="K197" s="5">
        <f t="shared" si="10"/>
        <v>0</v>
      </c>
      <c r="L197" s="5">
        <f t="shared" si="11"/>
        <v>1482.7917433432499</v>
      </c>
      <c r="M197" s="5">
        <f>IF(ISNUMBER(Inputs!$L$5),(IF(Inputs!$L$9="Actual flat rate",((D197+E197)*C197)*Inputs!$L$10,IF(Inputs!$C$9="Residential",IF(((D197+E197)*C197)&lt;='Assumptions and Catalog'!$C$50,((D197+E197)*C197)*'Assumptions and Catalog'!$H$50+'Assumptions and Catalog'!$E$50+'Assumptions and Catalog'!$F$50,IF(((D197+E197)*C197)&lt;='Assumptions and Catalog'!$C$51,((D197+E197)*C197)*'Assumptions and Catalog'!$H$51+'Assumptions and Catalog'!$E$51+'Assumptions and Catalog'!$F$51,IF(((D197+E197)*C197)&lt;='Assumptions and Catalog'!$C$52,((D197+E197)*C197)*'Assumptions and Catalog'!$H$52+'Assumptions and Catalog'!$E$52+'Assumptions and Catalog'!$F$52,IF(((D197+E197)*C197)&lt;='Assumptions and Catalog'!$C$53,((D197+E197)*C197)*'Assumptions and Catalog'!$H$53+'Assumptions and Catalog'!$E$53+'Assumptions and Catalog'!$F$53,IF(((D197+E197)*C197)&lt;='Assumptions and Catalog'!$C$54,((D197+E197)*C197)*'Assumptions and Catalog'!$H$54+'Assumptions and Catalog'!$E$54+'Assumptions and Catalog'!$F$54,IF(((D197+E197)*C197)&lt;='Assumptions and Catalog'!$C$55,((D197+E197)*C197)*'Assumptions and Catalog'!$H$55+'Assumptions and Catalog'!$E$55+'Assumptions and Catalog'!$F$55,IF(((D197+E197)*C197)&lt;='Assumptions and Catalog'!$C$56,((D197+E197)*C197)*'Assumptions and Catalog'!$H$56+'Assumptions and Catalog'!$E$56+'Assumptions and Catalog'!$F$56,IF(((D197+E197)*C197)&lt;='Assumptions and Catalog'!$C$57,((D197+E197)*C197)*'Assumptions and Catalog'!$H$57+'Assumptions and Catalog'!$E$57+'Assumptions and Catalog'!$F$57,"Out of range")))))))),IF(((D197+E197)*C197)&lt;='Assumptions and Catalog'!$C$60,((D197+E197)*C197)*'Assumptions and Catalog'!$H$60+'Assumptions and Catalog'!$E$60+'Assumptions and Catalog'!$F$60,IF(((D197+E197)*C197)&lt;='Assumptions and Catalog'!$C$61,((D197+E197)*C197)*'Assumptions and Catalog'!$H$61+'Assumptions and Catalog'!$E$61+'Assumptions and Catalog'!$F$61,IF(((D197+E197)*C197)&lt;='Assumptions and Catalog'!$C$62,((D197+E197)*C197)*'Assumptions and Catalog'!$H$62+'Assumptions and Catalog'!$E$62+'Assumptions and Catalog'!$F$62,IF(((D197+E197)*C197)&lt;='Assumptions and Catalog'!$C$63,((D197+E197)*C197)*'Assumptions and Catalog'!$H$63+'Assumptions and Catalog'!$E$63+'Assumptions and Catalog'!$F$63,IF(((D197+E197)*C197)&lt;='Assumptions and Catalog'!$C$64,((D197+E197)*C197)*'Assumptions and Catalog'!$H$64+'Assumptions and Catalog'!$E$64+'Assumptions and Catalog'!$F$64,IF(((D197+E197)*C197)&lt;='Assumptions and Catalog'!$C$65,((D197+E197)*C197)*'Assumptions and Catalog'!$H$65+'Assumptions and Catalog'!$E$65+'Assumptions and Catalog'!$F$65,"Out of range")))))))))*(1+'Assumptions and Catalog'!$C$8)^(A197-1),0)</f>
        <v>8554.9666666666672</v>
      </c>
      <c r="N197" s="5">
        <f>IF(ISNUMBER(Inputs!$L$5),(IF(Inputs!$L$9="Actual flat rate",L197*Inputs!$L$10,IF(Inputs!$C$9="Residential",IF(L197&lt;='Assumptions and Catalog'!$C$50,L197*'Assumptions and Catalog'!$H$50+'Assumptions and Catalog'!$E$50+'Assumptions and Catalog'!$F$50,IF(L197&lt;='Assumptions and Catalog'!$C$51,L197*'Assumptions and Catalog'!$H$51+'Assumptions and Catalog'!$E$51+'Assumptions and Catalog'!$F$51,IF(L197&lt;='Assumptions and Catalog'!$C$52,L197*'Assumptions and Catalog'!$H$52+'Assumptions and Catalog'!$E$52+'Assumptions and Catalog'!$F$52,IF(L197&lt;='Assumptions and Catalog'!$C$53,L197*'Assumptions and Catalog'!$H$53+'Assumptions and Catalog'!$E$53+'Assumptions and Catalog'!$F$53,IF(L197&lt;='Assumptions and Catalog'!$C$54,L197*'Assumptions and Catalog'!$H$54+'Assumptions and Catalog'!$E$54+'Assumptions and Catalog'!$F$54,IF(L197&lt;='Assumptions and Catalog'!$C$55,L197*'Assumptions and Catalog'!$H$55+'Assumptions and Catalog'!$E$55+'Assumptions and Catalog'!$F$55,IF(L197&lt;='Assumptions and Catalog'!$C$56,L197*'Assumptions and Catalog'!$H$56+'Assumptions and Catalog'!$E$56+'Assumptions and Catalog'!$F$56,IF(L197&lt;='Assumptions and Catalog'!$C$57,L197*'Assumptions and Catalog'!$H$57+'Assumptions and Catalog'!$E$57+'Assumptions and Catalog'!$F$57,"Out of range")))))))),IF(L197&lt;='Assumptions and Catalog'!$C$60,L197*'Assumptions and Catalog'!$H$60+'Assumptions and Catalog'!$E$60+'Assumptions and Catalog'!$F$60,IF(L197&lt;='Assumptions and Catalog'!$C$61,L197*'Assumptions and Catalog'!$H$61+'Assumptions and Catalog'!$E$61+'Assumptions and Catalog'!$F$61,IF(L197&lt;='Assumptions and Catalog'!$C$62,L197*'Assumptions and Catalog'!$H$62+'Assumptions and Catalog'!$E$62+'Assumptions and Catalog'!$F$62,IF(L197&lt;='Assumptions and Catalog'!$C$63,L197*'Assumptions and Catalog'!$H$63+'Assumptions and Catalog'!$E$63+'Assumptions and Catalog'!$F$63,IF(L197&lt;='Assumptions and Catalog'!$C$64,L197*'Assumptions and Catalog'!$H$64+'Assumptions and Catalog'!$E$64+'Assumptions and Catalog'!$F$64,IF(L197&lt;='Assumptions and Catalog'!$C$65,L197*'Assumptions and Catalog'!$H$65+'Assumptions and Catalog'!$E$65+'Assumptions and Catalog'!$F$65,"Out of range")))))))))*(1+'Assumptions and Catalog'!$C$8)^(A197-1),0)</f>
        <v>5070.6455361994076</v>
      </c>
      <c r="O197" s="5">
        <f t="shared" si="12"/>
        <v>3484.3211304672595</v>
      </c>
      <c r="P197" s="5">
        <f>C$55*(1-J$14)*(1-'Assumptions and Catalog'!$C$23)^R197</f>
        <v>0</v>
      </c>
      <c r="Q197" s="5">
        <f>IF(ISNUMBER(Inputs!$L$5),(IF(Inputs!$L$9="Actual flat rate",((D197+E197)*C197-G197)*Inputs!$L$10,IF(Inputs!$C$9="Residential",IF(((D197+E197)*C197-G197)&lt;='Assumptions and Catalog'!$C$50,((D197+E197)*C197-G197)*'Assumptions and Catalog'!$H$50+'Assumptions and Catalog'!$E$50+'Assumptions and Catalog'!$F$50,IF(((D197+E197)*C197-G197)&lt;='Assumptions and Catalog'!$C$51,((D197+E197)*C197-G197)*'Assumptions and Catalog'!$H$51+'Assumptions and Catalog'!$E$51+'Assumptions and Catalog'!$F$51,IF(((D197+E197)*C197-G197)&lt;='Assumptions and Catalog'!$C$52,((D197+E197)*C197-G197)*'Assumptions and Catalog'!$H$52+'Assumptions and Catalog'!$E$52+'Assumptions and Catalog'!$F$52,IF(((D197+E197)*C197-G197)&lt;='Assumptions and Catalog'!$C$53,((D197+E197)*C197-G197)*'Assumptions and Catalog'!$H$53+'Assumptions and Catalog'!$E$53+'Assumptions and Catalog'!$F$53,IF(((D197+E197)*C197-G197)&lt;='Assumptions and Catalog'!$C$54,((D197+E197)*C197-G197)*'Assumptions and Catalog'!$H$54+'Assumptions and Catalog'!$E$54+'Assumptions and Catalog'!$F$54,IF(((D197+E197)*C197-G197)&lt;='Assumptions and Catalog'!$C$55,((D197+E197)*C197-G197)*'Assumptions and Catalog'!$H$55+'Assumptions and Catalog'!$E$55+'Assumptions and Catalog'!$F$55,IF(((D197+E197)*C197-G197)&lt;='Assumptions and Catalog'!$C$56,((D197+E197)*C197-G197)*'Assumptions and Catalog'!$H$56+'Assumptions and Catalog'!$E$56+'Assumptions and Catalog'!$F$56,IF(((D197+E197)*C197-G197)&lt;='Assumptions and Catalog'!$C$57,((D197+E197)*C197-G197)*'Assumptions and Catalog'!$H$57+'Assumptions and Catalog'!$E$57+'Assumptions and Catalog'!$F$57,"Out of range")))))))),IF(((D197+E197)*C197-G197)&lt;='Assumptions and Catalog'!$C$60,((D197+E197)*C197-G197)*'Assumptions and Catalog'!$H$60+'Assumptions and Catalog'!$E$60+'Assumptions and Catalog'!$F$60,IF(((D197+E197)*C197-G197)&lt;='Assumptions and Catalog'!$C$61,((D197+E197)*C197-G197)*'Assumptions and Catalog'!$H$61+'Assumptions and Catalog'!$E$61+'Assumptions and Catalog'!$F$61,IF(((D197+E197)*C197-G197)&lt;='Assumptions and Catalog'!$C$62,((D197+E197)*C197-G197)*'Assumptions and Catalog'!$H$62+'Assumptions and Catalog'!$E$62+'Assumptions and Catalog'!$F$62,IF(((D197+E197)*C197-G197)&lt;='Assumptions and Catalog'!$C$63,((D197+E197)*C197-G197)*'Assumptions and Catalog'!$H$63+'Assumptions and Catalog'!$E$63+'Assumptions and Catalog'!$F$63,IF(((D197+E197)*C197-G197)&lt;='Assumptions and Catalog'!$C$64,((D197+E197)*C197-G197)*'Assumptions and Catalog'!$H$64+'Assumptions and Catalog'!$E$64+'Assumptions and Catalog'!$F$64,IF(((D197+E197)*C197-G197)&lt;='Assumptions and Catalog'!$C$65,((D197+E197)*C197-G197)*'Assumptions and Catalog'!$H$65+'Assumptions and Catalog'!$E$65+'Assumptions and Catalog'!$F$65,"Out of range")))))))))*(1+'Assumptions and Catalog'!$C$8)^(A197-1),0)</f>
        <v>5070.6455361994076</v>
      </c>
      <c r="R197" s="5">
        <f>IF(AND('Assumptions and Catalog'!$C$19&gt;0,A197&gt;='Assumptions and Catalog'!$C$19),A197-'Assumptions and Catalog'!$C$19,A197-1)</f>
        <v>3</v>
      </c>
      <c r="S197" s="5">
        <f t="shared" si="13"/>
        <v>0</v>
      </c>
      <c r="T197" s="5"/>
      <c r="U197" s="5"/>
    </row>
    <row r="198" spans="1:21" ht="23.1" customHeight="1" outlineLevel="1" x14ac:dyDescent="0.2">
      <c r="A198" s="5">
        <v>4</v>
      </c>
      <c r="B198" s="5">
        <v>2</v>
      </c>
      <c r="C198" s="5">
        <f>DAY(DATE('Assumptions and Catalog'!$C$24+A198-1,B198+1,0))</f>
        <v>28</v>
      </c>
      <c r="D198" s="5">
        <f>IF(ISNUMBER(Inputs!$L$5),Inputs!$L$5*Inputs!$L$6,0)</f>
        <v>40.35</v>
      </c>
      <c r="E198" s="5">
        <f>IF(ISNUMBER(Inputs!$L$5),Inputs!$L$5-D198,0)</f>
        <v>40.35</v>
      </c>
      <c r="F198" s="5">
        <f>C$51*'Assumptions and Catalog'!$C$31*C198*(1-'Assumptions and Catalog'!$C$10)^(A198-1)</f>
        <v>920.30423181900017</v>
      </c>
      <c r="G198" s="5">
        <f t="shared" si="8"/>
        <v>920.30423181900017</v>
      </c>
      <c r="H198" s="5">
        <f>I198/('Assumptions and Catalog'!$C$11*'Assumptions and Catalog'!$C$12)</f>
        <v>0</v>
      </c>
      <c r="I198" s="5">
        <f>0</f>
        <v>0</v>
      </c>
      <c r="J198" s="5">
        <f t="shared" si="9"/>
        <v>0</v>
      </c>
      <c r="K198" s="5">
        <f t="shared" si="10"/>
        <v>0</v>
      </c>
      <c r="L198" s="5">
        <f t="shared" si="11"/>
        <v>1339.2957681809999</v>
      </c>
      <c r="M198" s="5">
        <f>IF(ISNUMBER(Inputs!$L$5),(IF(Inputs!$L$9="Actual flat rate",((D198+E198)*C198)*Inputs!$L$10,IF(Inputs!$C$9="Residential",IF(((D198+E198)*C198)&lt;='Assumptions and Catalog'!$C$50,((D198+E198)*C198)*'Assumptions and Catalog'!$H$50+'Assumptions and Catalog'!$E$50+'Assumptions and Catalog'!$F$50,IF(((D198+E198)*C198)&lt;='Assumptions and Catalog'!$C$51,((D198+E198)*C198)*'Assumptions and Catalog'!$H$51+'Assumptions and Catalog'!$E$51+'Assumptions and Catalog'!$F$51,IF(((D198+E198)*C198)&lt;='Assumptions and Catalog'!$C$52,((D198+E198)*C198)*'Assumptions and Catalog'!$H$52+'Assumptions and Catalog'!$E$52+'Assumptions and Catalog'!$F$52,IF(((D198+E198)*C198)&lt;='Assumptions and Catalog'!$C$53,((D198+E198)*C198)*'Assumptions and Catalog'!$H$53+'Assumptions and Catalog'!$E$53+'Assumptions and Catalog'!$F$53,IF(((D198+E198)*C198)&lt;='Assumptions and Catalog'!$C$54,((D198+E198)*C198)*'Assumptions and Catalog'!$H$54+'Assumptions and Catalog'!$E$54+'Assumptions and Catalog'!$F$54,IF(((D198+E198)*C198)&lt;='Assumptions and Catalog'!$C$55,((D198+E198)*C198)*'Assumptions and Catalog'!$H$55+'Assumptions and Catalog'!$E$55+'Assumptions and Catalog'!$F$55,IF(((D198+E198)*C198)&lt;='Assumptions and Catalog'!$C$56,((D198+E198)*C198)*'Assumptions and Catalog'!$H$56+'Assumptions and Catalog'!$E$56+'Assumptions and Catalog'!$F$56,IF(((D198+E198)*C198)&lt;='Assumptions and Catalog'!$C$57,((D198+E198)*C198)*'Assumptions and Catalog'!$H$57+'Assumptions and Catalog'!$E$57+'Assumptions and Catalog'!$F$57,"Out of range")))))))),IF(((D198+E198)*C198)&lt;='Assumptions and Catalog'!$C$60,((D198+E198)*C198)*'Assumptions and Catalog'!$H$60+'Assumptions and Catalog'!$E$60+'Assumptions and Catalog'!$F$60,IF(((D198+E198)*C198)&lt;='Assumptions and Catalog'!$C$61,((D198+E198)*C198)*'Assumptions and Catalog'!$H$61+'Assumptions and Catalog'!$E$61+'Assumptions and Catalog'!$F$61,IF(((D198+E198)*C198)&lt;='Assumptions and Catalog'!$C$62,((D198+E198)*C198)*'Assumptions and Catalog'!$H$62+'Assumptions and Catalog'!$E$62+'Assumptions and Catalog'!$F$62,IF(((D198+E198)*C198)&lt;='Assumptions and Catalog'!$C$63,((D198+E198)*C198)*'Assumptions and Catalog'!$H$63+'Assumptions and Catalog'!$E$63+'Assumptions and Catalog'!$F$63,IF(((D198+E198)*C198)&lt;='Assumptions and Catalog'!$C$64,((D198+E198)*C198)*'Assumptions and Catalog'!$H$64+'Assumptions and Catalog'!$E$64+'Assumptions and Catalog'!$F$64,IF(((D198+E198)*C198)&lt;='Assumptions and Catalog'!$C$65,((D198+E198)*C198)*'Assumptions and Catalog'!$H$65+'Assumptions and Catalog'!$E$65+'Assumptions and Catalog'!$F$65,"Out of range")))))))))*(1+'Assumptions and Catalog'!$C$8)^(A198-1),0)</f>
        <v>7727.0666666666657</v>
      </c>
      <c r="N198" s="5">
        <f>IF(ISNUMBER(Inputs!$L$5),(IF(Inputs!$L$9="Actual flat rate",L198*Inputs!$L$10,IF(Inputs!$C$9="Residential",IF(L198&lt;='Assumptions and Catalog'!$C$50,L198*'Assumptions and Catalog'!$H$50+'Assumptions and Catalog'!$E$50+'Assumptions and Catalog'!$F$50,IF(L198&lt;='Assumptions and Catalog'!$C$51,L198*'Assumptions and Catalog'!$H$51+'Assumptions and Catalog'!$E$51+'Assumptions and Catalog'!$F$51,IF(L198&lt;='Assumptions and Catalog'!$C$52,L198*'Assumptions and Catalog'!$H$52+'Assumptions and Catalog'!$E$52+'Assumptions and Catalog'!$F$52,IF(L198&lt;='Assumptions and Catalog'!$C$53,L198*'Assumptions and Catalog'!$H$53+'Assumptions and Catalog'!$E$53+'Assumptions and Catalog'!$F$53,IF(L198&lt;='Assumptions and Catalog'!$C$54,L198*'Assumptions and Catalog'!$H$54+'Assumptions and Catalog'!$E$54+'Assumptions and Catalog'!$F$54,IF(L198&lt;='Assumptions and Catalog'!$C$55,L198*'Assumptions and Catalog'!$H$55+'Assumptions and Catalog'!$E$55+'Assumptions and Catalog'!$F$55,IF(L198&lt;='Assumptions and Catalog'!$C$56,L198*'Assumptions and Catalog'!$H$56+'Assumptions and Catalog'!$E$56+'Assumptions and Catalog'!$F$56,IF(L198&lt;='Assumptions and Catalog'!$C$57,L198*'Assumptions and Catalog'!$H$57+'Assumptions and Catalog'!$E$57+'Assumptions and Catalog'!$F$57,"Out of range")))))))),IF(L198&lt;='Assumptions and Catalog'!$C$60,L198*'Assumptions and Catalog'!$H$60+'Assumptions and Catalog'!$E$60+'Assumptions and Catalog'!$F$60,IF(L198&lt;='Assumptions and Catalog'!$C$61,L198*'Assumptions and Catalog'!$H$61+'Assumptions and Catalog'!$E$61+'Assumptions and Catalog'!$F$61,IF(L198&lt;='Assumptions and Catalog'!$C$62,L198*'Assumptions and Catalog'!$H$62+'Assumptions and Catalog'!$E$62+'Assumptions and Catalog'!$F$62,IF(L198&lt;='Assumptions and Catalog'!$C$63,L198*'Assumptions and Catalog'!$H$63+'Assumptions and Catalog'!$E$63+'Assumptions and Catalog'!$F$63,IF(L198&lt;='Assumptions and Catalog'!$C$64,L198*'Assumptions and Catalog'!$H$64+'Assumptions and Catalog'!$E$64+'Assumptions and Catalog'!$F$64,IF(L198&lt;='Assumptions and Catalog'!$C$65,L198*'Assumptions and Catalog'!$H$65+'Assumptions and Catalog'!$E$65+'Assumptions and Catalog'!$F$65,"Out of range")))))))))*(1+'Assumptions and Catalog'!$C$8)^(A198-1),0)</f>
        <v>4579.9379036639803</v>
      </c>
      <c r="O198" s="5">
        <f t="shared" si="12"/>
        <v>3147.1287630026854</v>
      </c>
      <c r="P198" s="5">
        <f>C$55*(1-J$14)*(1-'Assumptions and Catalog'!$C$23)^R198</f>
        <v>0</v>
      </c>
      <c r="Q198" s="5">
        <f>IF(ISNUMBER(Inputs!$L$5),(IF(Inputs!$L$9="Actual flat rate",((D198+E198)*C198-G198)*Inputs!$L$10,IF(Inputs!$C$9="Residential",IF(((D198+E198)*C198-G198)&lt;='Assumptions and Catalog'!$C$50,((D198+E198)*C198-G198)*'Assumptions and Catalog'!$H$50+'Assumptions and Catalog'!$E$50+'Assumptions and Catalog'!$F$50,IF(((D198+E198)*C198-G198)&lt;='Assumptions and Catalog'!$C$51,((D198+E198)*C198-G198)*'Assumptions and Catalog'!$H$51+'Assumptions and Catalog'!$E$51+'Assumptions and Catalog'!$F$51,IF(((D198+E198)*C198-G198)&lt;='Assumptions and Catalog'!$C$52,((D198+E198)*C198-G198)*'Assumptions and Catalog'!$H$52+'Assumptions and Catalog'!$E$52+'Assumptions and Catalog'!$F$52,IF(((D198+E198)*C198-G198)&lt;='Assumptions and Catalog'!$C$53,((D198+E198)*C198-G198)*'Assumptions and Catalog'!$H$53+'Assumptions and Catalog'!$E$53+'Assumptions and Catalog'!$F$53,IF(((D198+E198)*C198-G198)&lt;='Assumptions and Catalog'!$C$54,((D198+E198)*C198-G198)*'Assumptions and Catalog'!$H$54+'Assumptions and Catalog'!$E$54+'Assumptions and Catalog'!$F$54,IF(((D198+E198)*C198-G198)&lt;='Assumptions and Catalog'!$C$55,((D198+E198)*C198-G198)*'Assumptions and Catalog'!$H$55+'Assumptions and Catalog'!$E$55+'Assumptions and Catalog'!$F$55,IF(((D198+E198)*C198-G198)&lt;='Assumptions and Catalog'!$C$56,((D198+E198)*C198-G198)*'Assumptions and Catalog'!$H$56+'Assumptions and Catalog'!$E$56+'Assumptions and Catalog'!$F$56,IF(((D198+E198)*C198-G198)&lt;='Assumptions and Catalog'!$C$57,((D198+E198)*C198-G198)*'Assumptions and Catalog'!$H$57+'Assumptions and Catalog'!$E$57+'Assumptions and Catalog'!$F$57,"Out of range")))))))),IF(((D198+E198)*C198-G198)&lt;='Assumptions and Catalog'!$C$60,((D198+E198)*C198-G198)*'Assumptions and Catalog'!$H$60+'Assumptions and Catalog'!$E$60+'Assumptions and Catalog'!$F$60,IF(((D198+E198)*C198-G198)&lt;='Assumptions and Catalog'!$C$61,((D198+E198)*C198-G198)*'Assumptions and Catalog'!$H$61+'Assumptions and Catalog'!$E$61+'Assumptions and Catalog'!$F$61,IF(((D198+E198)*C198-G198)&lt;='Assumptions and Catalog'!$C$62,((D198+E198)*C198-G198)*'Assumptions and Catalog'!$H$62+'Assumptions and Catalog'!$E$62+'Assumptions and Catalog'!$F$62,IF(((D198+E198)*C198-G198)&lt;='Assumptions and Catalog'!$C$63,((D198+E198)*C198-G198)*'Assumptions and Catalog'!$H$63+'Assumptions and Catalog'!$E$63+'Assumptions and Catalog'!$F$63,IF(((D198+E198)*C198-G198)&lt;='Assumptions and Catalog'!$C$64,((D198+E198)*C198-G198)*'Assumptions and Catalog'!$H$64+'Assumptions and Catalog'!$E$64+'Assumptions and Catalog'!$F$64,IF(((D198+E198)*C198-G198)&lt;='Assumptions and Catalog'!$C$65,((D198+E198)*C198-G198)*'Assumptions and Catalog'!$H$65+'Assumptions and Catalog'!$E$65+'Assumptions and Catalog'!$F$65,"Out of range")))))))))*(1+'Assumptions and Catalog'!$C$8)^(A198-1),0)</f>
        <v>4579.9379036639803</v>
      </c>
      <c r="R198" s="5">
        <f>IF(AND('Assumptions and Catalog'!$C$19&gt;0,A198&gt;='Assumptions and Catalog'!$C$19),A198-'Assumptions and Catalog'!$C$19,A198-1)</f>
        <v>3</v>
      </c>
      <c r="S198" s="5">
        <f t="shared" si="13"/>
        <v>0</v>
      </c>
      <c r="T198" s="5"/>
      <c r="U198" s="5"/>
    </row>
    <row r="199" spans="1:21" ht="23.1" customHeight="1" outlineLevel="1" x14ac:dyDescent="0.2">
      <c r="A199" s="5">
        <v>4</v>
      </c>
      <c r="B199" s="5">
        <v>3</v>
      </c>
      <c r="C199" s="5">
        <f>DAY(DATE('Assumptions and Catalog'!$C$24+A199-1,B199+1,0))</f>
        <v>31</v>
      </c>
      <c r="D199" s="5">
        <f>IF(ISNUMBER(Inputs!$L$5),Inputs!$L$5*Inputs!$L$6,0)</f>
        <v>40.35</v>
      </c>
      <c r="E199" s="5">
        <f>IF(ISNUMBER(Inputs!$L$5),Inputs!$L$5-D199,0)</f>
        <v>40.35</v>
      </c>
      <c r="F199" s="5">
        <f>C$51*'Assumptions and Catalog'!$C$31*C199*(1-'Assumptions and Catalog'!$C$10)^(A199-1)</f>
        <v>1018.9082566567503</v>
      </c>
      <c r="G199" s="5">
        <f t="shared" si="8"/>
        <v>1018.9082566567503</v>
      </c>
      <c r="H199" s="5">
        <f>I199/('Assumptions and Catalog'!$C$11*'Assumptions and Catalog'!$C$12)</f>
        <v>0</v>
      </c>
      <c r="I199" s="5">
        <f>0</f>
        <v>0</v>
      </c>
      <c r="J199" s="5">
        <f t="shared" si="9"/>
        <v>0</v>
      </c>
      <c r="K199" s="5">
        <f t="shared" si="10"/>
        <v>0</v>
      </c>
      <c r="L199" s="5">
        <f t="shared" si="11"/>
        <v>1482.7917433432499</v>
      </c>
      <c r="M199" s="5">
        <f>IF(ISNUMBER(Inputs!$L$5),(IF(Inputs!$L$9="Actual flat rate",((D199+E199)*C199)*Inputs!$L$10,IF(Inputs!$C$9="Residential",IF(((D199+E199)*C199)&lt;='Assumptions and Catalog'!$C$50,((D199+E199)*C199)*'Assumptions and Catalog'!$H$50+'Assumptions and Catalog'!$E$50+'Assumptions and Catalog'!$F$50,IF(((D199+E199)*C199)&lt;='Assumptions and Catalog'!$C$51,((D199+E199)*C199)*'Assumptions and Catalog'!$H$51+'Assumptions and Catalog'!$E$51+'Assumptions and Catalog'!$F$51,IF(((D199+E199)*C199)&lt;='Assumptions and Catalog'!$C$52,((D199+E199)*C199)*'Assumptions and Catalog'!$H$52+'Assumptions and Catalog'!$E$52+'Assumptions and Catalog'!$F$52,IF(((D199+E199)*C199)&lt;='Assumptions and Catalog'!$C$53,((D199+E199)*C199)*'Assumptions and Catalog'!$H$53+'Assumptions and Catalog'!$E$53+'Assumptions and Catalog'!$F$53,IF(((D199+E199)*C199)&lt;='Assumptions and Catalog'!$C$54,((D199+E199)*C199)*'Assumptions and Catalog'!$H$54+'Assumptions and Catalog'!$E$54+'Assumptions and Catalog'!$F$54,IF(((D199+E199)*C199)&lt;='Assumptions and Catalog'!$C$55,((D199+E199)*C199)*'Assumptions and Catalog'!$H$55+'Assumptions and Catalog'!$E$55+'Assumptions and Catalog'!$F$55,IF(((D199+E199)*C199)&lt;='Assumptions and Catalog'!$C$56,((D199+E199)*C199)*'Assumptions and Catalog'!$H$56+'Assumptions and Catalog'!$E$56+'Assumptions and Catalog'!$F$56,IF(((D199+E199)*C199)&lt;='Assumptions and Catalog'!$C$57,((D199+E199)*C199)*'Assumptions and Catalog'!$H$57+'Assumptions and Catalog'!$E$57+'Assumptions and Catalog'!$F$57,"Out of range")))))))),IF(((D199+E199)*C199)&lt;='Assumptions and Catalog'!$C$60,((D199+E199)*C199)*'Assumptions and Catalog'!$H$60+'Assumptions and Catalog'!$E$60+'Assumptions and Catalog'!$F$60,IF(((D199+E199)*C199)&lt;='Assumptions and Catalog'!$C$61,((D199+E199)*C199)*'Assumptions and Catalog'!$H$61+'Assumptions and Catalog'!$E$61+'Assumptions and Catalog'!$F$61,IF(((D199+E199)*C199)&lt;='Assumptions and Catalog'!$C$62,((D199+E199)*C199)*'Assumptions and Catalog'!$H$62+'Assumptions and Catalog'!$E$62+'Assumptions and Catalog'!$F$62,IF(((D199+E199)*C199)&lt;='Assumptions and Catalog'!$C$63,((D199+E199)*C199)*'Assumptions and Catalog'!$H$63+'Assumptions and Catalog'!$E$63+'Assumptions and Catalog'!$F$63,IF(((D199+E199)*C199)&lt;='Assumptions and Catalog'!$C$64,((D199+E199)*C199)*'Assumptions and Catalog'!$H$64+'Assumptions and Catalog'!$E$64+'Assumptions and Catalog'!$F$64,IF(((D199+E199)*C199)&lt;='Assumptions and Catalog'!$C$65,((D199+E199)*C199)*'Assumptions and Catalog'!$H$65+'Assumptions and Catalog'!$E$65+'Assumptions and Catalog'!$F$65,"Out of range")))))))))*(1+'Assumptions and Catalog'!$C$8)^(A199-1),0)</f>
        <v>8554.9666666666672</v>
      </c>
      <c r="N199" s="5">
        <f>IF(ISNUMBER(Inputs!$L$5),(IF(Inputs!$L$9="Actual flat rate",L199*Inputs!$L$10,IF(Inputs!$C$9="Residential",IF(L199&lt;='Assumptions and Catalog'!$C$50,L199*'Assumptions and Catalog'!$H$50+'Assumptions and Catalog'!$E$50+'Assumptions and Catalog'!$F$50,IF(L199&lt;='Assumptions and Catalog'!$C$51,L199*'Assumptions and Catalog'!$H$51+'Assumptions and Catalog'!$E$51+'Assumptions and Catalog'!$F$51,IF(L199&lt;='Assumptions and Catalog'!$C$52,L199*'Assumptions and Catalog'!$H$52+'Assumptions and Catalog'!$E$52+'Assumptions and Catalog'!$F$52,IF(L199&lt;='Assumptions and Catalog'!$C$53,L199*'Assumptions and Catalog'!$H$53+'Assumptions and Catalog'!$E$53+'Assumptions and Catalog'!$F$53,IF(L199&lt;='Assumptions and Catalog'!$C$54,L199*'Assumptions and Catalog'!$H$54+'Assumptions and Catalog'!$E$54+'Assumptions and Catalog'!$F$54,IF(L199&lt;='Assumptions and Catalog'!$C$55,L199*'Assumptions and Catalog'!$H$55+'Assumptions and Catalog'!$E$55+'Assumptions and Catalog'!$F$55,IF(L199&lt;='Assumptions and Catalog'!$C$56,L199*'Assumptions and Catalog'!$H$56+'Assumptions and Catalog'!$E$56+'Assumptions and Catalog'!$F$56,IF(L199&lt;='Assumptions and Catalog'!$C$57,L199*'Assumptions and Catalog'!$H$57+'Assumptions and Catalog'!$E$57+'Assumptions and Catalog'!$F$57,"Out of range")))))))),IF(L199&lt;='Assumptions and Catalog'!$C$60,L199*'Assumptions and Catalog'!$H$60+'Assumptions and Catalog'!$E$60+'Assumptions and Catalog'!$F$60,IF(L199&lt;='Assumptions and Catalog'!$C$61,L199*'Assumptions and Catalog'!$H$61+'Assumptions and Catalog'!$E$61+'Assumptions and Catalog'!$F$61,IF(L199&lt;='Assumptions and Catalog'!$C$62,L199*'Assumptions and Catalog'!$H$62+'Assumptions and Catalog'!$E$62+'Assumptions and Catalog'!$F$62,IF(L199&lt;='Assumptions and Catalog'!$C$63,L199*'Assumptions and Catalog'!$H$63+'Assumptions and Catalog'!$E$63+'Assumptions and Catalog'!$F$63,IF(L199&lt;='Assumptions and Catalog'!$C$64,L199*'Assumptions and Catalog'!$H$64+'Assumptions and Catalog'!$E$64+'Assumptions and Catalog'!$F$64,IF(L199&lt;='Assumptions and Catalog'!$C$65,L199*'Assumptions and Catalog'!$H$65+'Assumptions and Catalog'!$E$65+'Assumptions and Catalog'!$F$65,"Out of range")))))))))*(1+'Assumptions and Catalog'!$C$8)^(A199-1),0)</f>
        <v>5070.6455361994076</v>
      </c>
      <c r="O199" s="5">
        <f t="shared" si="12"/>
        <v>3484.3211304672595</v>
      </c>
      <c r="P199" s="5">
        <f>C$55*(1-J$14)*(1-'Assumptions and Catalog'!$C$23)^R199</f>
        <v>0</v>
      </c>
      <c r="Q199" s="5">
        <f>IF(ISNUMBER(Inputs!$L$5),(IF(Inputs!$L$9="Actual flat rate",((D199+E199)*C199-G199)*Inputs!$L$10,IF(Inputs!$C$9="Residential",IF(((D199+E199)*C199-G199)&lt;='Assumptions and Catalog'!$C$50,((D199+E199)*C199-G199)*'Assumptions and Catalog'!$H$50+'Assumptions and Catalog'!$E$50+'Assumptions and Catalog'!$F$50,IF(((D199+E199)*C199-G199)&lt;='Assumptions and Catalog'!$C$51,((D199+E199)*C199-G199)*'Assumptions and Catalog'!$H$51+'Assumptions and Catalog'!$E$51+'Assumptions and Catalog'!$F$51,IF(((D199+E199)*C199-G199)&lt;='Assumptions and Catalog'!$C$52,((D199+E199)*C199-G199)*'Assumptions and Catalog'!$H$52+'Assumptions and Catalog'!$E$52+'Assumptions and Catalog'!$F$52,IF(((D199+E199)*C199-G199)&lt;='Assumptions and Catalog'!$C$53,((D199+E199)*C199-G199)*'Assumptions and Catalog'!$H$53+'Assumptions and Catalog'!$E$53+'Assumptions and Catalog'!$F$53,IF(((D199+E199)*C199-G199)&lt;='Assumptions and Catalog'!$C$54,((D199+E199)*C199-G199)*'Assumptions and Catalog'!$H$54+'Assumptions and Catalog'!$E$54+'Assumptions and Catalog'!$F$54,IF(((D199+E199)*C199-G199)&lt;='Assumptions and Catalog'!$C$55,((D199+E199)*C199-G199)*'Assumptions and Catalog'!$H$55+'Assumptions and Catalog'!$E$55+'Assumptions and Catalog'!$F$55,IF(((D199+E199)*C199-G199)&lt;='Assumptions and Catalog'!$C$56,((D199+E199)*C199-G199)*'Assumptions and Catalog'!$H$56+'Assumptions and Catalog'!$E$56+'Assumptions and Catalog'!$F$56,IF(((D199+E199)*C199-G199)&lt;='Assumptions and Catalog'!$C$57,((D199+E199)*C199-G199)*'Assumptions and Catalog'!$H$57+'Assumptions and Catalog'!$E$57+'Assumptions and Catalog'!$F$57,"Out of range")))))))),IF(((D199+E199)*C199-G199)&lt;='Assumptions and Catalog'!$C$60,((D199+E199)*C199-G199)*'Assumptions and Catalog'!$H$60+'Assumptions and Catalog'!$E$60+'Assumptions and Catalog'!$F$60,IF(((D199+E199)*C199-G199)&lt;='Assumptions and Catalog'!$C$61,((D199+E199)*C199-G199)*'Assumptions and Catalog'!$H$61+'Assumptions and Catalog'!$E$61+'Assumptions and Catalog'!$F$61,IF(((D199+E199)*C199-G199)&lt;='Assumptions and Catalog'!$C$62,((D199+E199)*C199-G199)*'Assumptions and Catalog'!$H$62+'Assumptions and Catalog'!$E$62+'Assumptions and Catalog'!$F$62,IF(((D199+E199)*C199-G199)&lt;='Assumptions and Catalog'!$C$63,((D199+E199)*C199-G199)*'Assumptions and Catalog'!$H$63+'Assumptions and Catalog'!$E$63+'Assumptions and Catalog'!$F$63,IF(((D199+E199)*C199-G199)&lt;='Assumptions and Catalog'!$C$64,((D199+E199)*C199-G199)*'Assumptions and Catalog'!$H$64+'Assumptions and Catalog'!$E$64+'Assumptions and Catalog'!$F$64,IF(((D199+E199)*C199-G199)&lt;='Assumptions and Catalog'!$C$65,((D199+E199)*C199-G199)*'Assumptions and Catalog'!$H$65+'Assumptions and Catalog'!$E$65+'Assumptions and Catalog'!$F$65,"Out of range")))))))))*(1+'Assumptions and Catalog'!$C$8)^(A199-1),0)</f>
        <v>5070.6455361994076</v>
      </c>
      <c r="R199" s="5">
        <f>IF(AND('Assumptions and Catalog'!$C$19&gt;0,A199&gt;='Assumptions and Catalog'!$C$19),A199-'Assumptions and Catalog'!$C$19,A199-1)</f>
        <v>3</v>
      </c>
      <c r="S199" s="5">
        <f t="shared" si="13"/>
        <v>0</v>
      </c>
      <c r="T199" s="5"/>
      <c r="U199" s="5"/>
    </row>
    <row r="200" spans="1:21" ht="23.1" customHeight="1" outlineLevel="1" x14ac:dyDescent="0.2">
      <c r="A200" s="5">
        <v>4</v>
      </c>
      <c r="B200" s="5">
        <v>4</v>
      </c>
      <c r="C200" s="5">
        <f>DAY(DATE('Assumptions and Catalog'!$C$24+A200-1,B200+1,0))</f>
        <v>30</v>
      </c>
      <c r="D200" s="5">
        <f>IF(ISNUMBER(Inputs!$L$5),Inputs!$L$5*Inputs!$L$6,0)</f>
        <v>40.35</v>
      </c>
      <c r="E200" s="5">
        <f>IF(ISNUMBER(Inputs!$L$5),Inputs!$L$5-D200,0)</f>
        <v>40.35</v>
      </c>
      <c r="F200" s="5">
        <f>C$51*'Assumptions and Catalog'!$C$31*C200*(1-'Assumptions and Catalog'!$C$10)^(A200-1)</f>
        <v>986.04024837750023</v>
      </c>
      <c r="G200" s="5">
        <f t="shared" si="8"/>
        <v>986.04024837750023</v>
      </c>
      <c r="H200" s="5">
        <f>I200/('Assumptions and Catalog'!$C$11*'Assumptions and Catalog'!$C$12)</f>
        <v>0</v>
      </c>
      <c r="I200" s="5">
        <f>0</f>
        <v>0</v>
      </c>
      <c r="J200" s="5">
        <f t="shared" si="9"/>
        <v>0</v>
      </c>
      <c r="K200" s="5">
        <f t="shared" si="10"/>
        <v>0</v>
      </c>
      <c r="L200" s="5">
        <f t="shared" si="11"/>
        <v>1434.9597516224999</v>
      </c>
      <c r="M200" s="5">
        <f>IF(ISNUMBER(Inputs!$L$5),(IF(Inputs!$L$9="Actual flat rate",((D200+E200)*C200)*Inputs!$L$10,IF(Inputs!$C$9="Residential",IF(((D200+E200)*C200)&lt;='Assumptions and Catalog'!$C$50,((D200+E200)*C200)*'Assumptions and Catalog'!$H$50+'Assumptions and Catalog'!$E$50+'Assumptions and Catalog'!$F$50,IF(((D200+E200)*C200)&lt;='Assumptions and Catalog'!$C$51,((D200+E200)*C200)*'Assumptions and Catalog'!$H$51+'Assumptions and Catalog'!$E$51+'Assumptions and Catalog'!$F$51,IF(((D200+E200)*C200)&lt;='Assumptions and Catalog'!$C$52,((D200+E200)*C200)*'Assumptions and Catalog'!$H$52+'Assumptions and Catalog'!$E$52+'Assumptions and Catalog'!$F$52,IF(((D200+E200)*C200)&lt;='Assumptions and Catalog'!$C$53,((D200+E200)*C200)*'Assumptions and Catalog'!$H$53+'Assumptions and Catalog'!$E$53+'Assumptions and Catalog'!$F$53,IF(((D200+E200)*C200)&lt;='Assumptions and Catalog'!$C$54,((D200+E200)*C200)*'Assumptions and Catalog'!$H$54+'Assumptions and Catalog'!$E$54+'Assumptions and Catalog'!$F$54,IF(((D200+E200)*C200)&lt;='Assumptions and Catalog'!$C$55,((D200+E200)*C200)*'Assumptions and Catalog'!$H$55+'Assumptions and Catalog'!$E$55+'Assumptions and Catalog'!$F$55,IF(((D200+E200)*C200)&lt;='Assumptions and Catalog'!$C$56,((D200+E200)*C200)*'Assumptions and Catalog'!$H$56+'Assumptions and Catalog'!$E$56+'Assumptions and Catalog'!$F$56,IF(((D200+E200)*C200)&lt;='Assumptions and Catalog'!$C$57,((D200+E200)*C200)*'Assumptions and Catalog'!$H$57+'Assumptions and Catalog'!$E$57+'Assumptions and Catalog'!$F$57,"Out of range")))))))),IF(((D200+E200)*C200)&lt;='Assumptions and Catalog'!$C$60,((D200+E200)*C200)*'Assumptions and Catalog'!$H$60+'Assumptions and Catalog'!$E$60+'Assumptions and Catalog'!$F$60,IF(((D200+E200)*C200)&lt;='Assumptions and Catalog'!$C$61,((D200+E200)*C200)*'Assumptions and Catalog'!$H$61+'Assumptions and Catalog'!$E$61+'Assumptions and Catalog'!$F$61,IF(((D200+E200)*C200)&lt;='Assumptions and Catalog'!$C$62,((D200+E200)*C200)*'Assumptions and Catalog'!$H$62+'Assumptions and Catalog'!$E$62+'Assumptions and Catalog'!$F$62,IF(((D200+E200)*C200)&lt;='Assumptions and Catalog'!$C$63,((D200+E200)*C200)*'Assumptions and Catalog'!$H$63+'Assumptions and Catalog'!$E$63+'Assumptions and Catalog'!$F$63,IF(((D200+E200)*C200)&lt;='Assumptions and Catalog'!$C$64,((D200+E200)*C200)*'Assumptions and Catalog'!$H$64+'Assumptions and Catalog'!$E$64+'Assumptions and Catalog'!$F$64,IF(((D200+E200)*C200)&lt;='Assumptions and Catalog'!$C$65,((D200+E200)*C200)*'Assumptions and Catalog'!$H$65+'Assumptions and Catalog'!$E$65+'Assumptions and Catalog'!$F$65,"Out of range")))))))))*(1+'Assumptions and Catalog'!$C$8)^(A200-1),0)</f>
        <v>8279</v>
      </c>
      <c r="N200" s="5">
        <f>IF(ISNUMBER(Inputs!$L$5),(IF(Inputs!$L$9="Actual flat rate",L200*Inputs!$L$10,IF(Inputs!$C$9="Residential",IF(L200&lt;='Assumptions and Catalog'!$C$50,L200*'Assumptions and Catalog'!$H$50+'Assumptions and Catalog'!$E$50+'Assumptions and Catalog'!$F$50,IF(L200&lt;='Assumptions and Catalog'!$C$51,L200*'Assumptions and Catalog'!$H$51+'Assumptions and Catalog'!$E$51+'Assumptions and Catalog'!$F$51,IF(L200&lt;='Assumptions and Catalog'!$C$52,L200*'Assumptions and Catalog'!$H$52+'Assumptions and Catalog'!$E$52+'Assumptions and Catalog'!$F$52,IF(L200&lt;='Assumptions and Catalog'!$C$53,L200*'Assumptions and Catalog'!$H$53+'Assumptions and Catalog'!$E$53+'Assumptions and Catalog'!$F$53,IF(L200&lt;='Assumptions and Catalog'!$C$54,L200*'Assumptions and Catalog'!$H$54+'Assumptions and Catalog'!$E$54+'Assumptions and Catalog'!$F$54,IF(L200&lt;='Assumptions and Catalog'!$C$55,L200*'Assumptions and Catalog'!$H$55+'Assumptions and Catalog'!$E$55+'Assumptions and Catalog'!$F$55,IF(L200&lt;='Assumptions and Catalog'!$C$56,L200*'Assumptions and Catalog'!$H$56+'Assumptions and Catalog'!$E$56+'Assumptions and Catalog'!$F$56,IF(L200&lt;='Assumptions and Catalog'!$C$57,L200*'Assumptions and Catalog'!$H$57+'Assumptions and Catalog'!$E$57+'Assumptions and Catalog'!$F$57,"Out of range")))))))),IF(L200&lt;='Assumptions and Catalog'!$C$60,L200*'Assumptions and Catalog'!$H$60+'Assumptions and Catalog'!$E$60+'Assumptions and Catalog'!$F$60,IF(L200&lt;='Assumptions and Catalog'!$C$61,L200*'Assumptions and Catalog'!$H$61+'Assumptions and Catalog'!$E$61+'Assumptions and Catalog'!$F$61,IF(L200&lt;='Assumptions and Catalog'!$C$62,L200*'Assumptions and Catalog'!$H$62+'Assumptions and Catalog'!$E$62+'Assumptions and Catalog'!$F$62,IF(L200&lt;='Assumptions and Catalog'!$C$63,L200*'Assumptions and Catalog'!$H$63+'Assumptions and Catalog'!$E$63+'Assumptions and Catalog'!$F$63,IF(L200&lt;='Assumptions and Catalog'!$C$64,L200*'Assumptions and Catalog'!$H$64+'Assumptions and Catalog'!$E$64+'Assumptions and Catalog'!$F$64,IF(L200&lt;='Assumptions and Catalog'!$C$65,L200*'Assumptions and Catalog'!$H$65+'Assumptions and Catalog'!$E$65+'Assumptions and Catalog'!$F$65,"Out of range")))))))))*(1+'Assumptions and Catalog'!$C$8)^(A200-1),0)</f>
        <v>4907.0763253542655</v>
      </c>
      <c r="O200" s="5">
        <f t="shared" si="12"/>
        <v>3371.9236746457345</v>
      </c>
      <c r="P200" s="5">
        <f>C$55*(1-J$14)*(1-'Assumptions and Catalog'!$C$23)^R200</f>
        <v>0</v>
      </c>
      <c r="Q200" s="5">
        <f>IF(ISNUMBER(Inputs!$L$5),(IF(Inputs!$L$9="Actual flat rate",((D200+E200)*C200-G200)*Inputs!$L$10,IF(Inputs!$C$9="Residential",IF(((D200+E200)*C200-G200)&lt;='Assumptions and Catalog'!$C$50,((D200+E200)*C200-G200)*'Assumptions and Catalog'!$H$50+'Assumptions and Catalog'!$E$50+'Assumptions and Catalog'!$F$50,IF(((D200+E200)*C200-G200)&lt;='Assumptions and Catalog'!$C$51,((D200+E200)*C200-G200)*'Assumptions and Catalog'!$H$51+'Assumptions and Catalog'!$E$51+'Assumptions and Catalog'!$F$51,IF(((D200+E200)*C200-G200)&lt;='Assumptions and Catalog'!$C$52,((D200+E200)*C200-G200)*'Assumptions and Catalog'!$H$52+'Assumptions and Catalog'!$E$52+'Assumptions and Catalog'!$F$52,IF(((D200+E200)*C200-G200)&lt;='Assumptions and Catalog'!$C$53,((D200+E200)*C200-G200)*'Assumptions and Catalog'!$H$53+'Assumptions and Catalog'!$E$53+'Assumptions and Catalog'!$F$53,IF(((D200+E200)*C200-G200)&lt;='Assumptions and Catalog'!$C$54,((D200+E200)*C200-G200)*'Assumptions and Catalog'!$H$54+'Assumptions and Catalog'!$E$54+'Assumptions and Catalog'!$F$54,IF(((D200+E200)*C200-G200)&lt;='Assumptions and Catalog'!$C$55,((D200+E200)*C200-G200)*'Assumptions and Catalog'!$H$55+'Assumptions and Catalog'!$E$55+'Assumptions and Catalog'!$F$55,IF(((D200+E200)*C200-G200)&lt;='Assumptions and Catalog'!$C$56,((D200+E200)*C200-G200)*'Assumptions and Catalog'!$H$56+'Assumptions and Catalog'!$E$56+'Assumptions and Catalog'!$F$56,IF(((D200+E200)*C200-G200)&lt;='Assumptions and Catalog'!$C$57,((D200+E200)*C200-G200)*'Assumptions and Catalog'!$H$57+'Assumptions and Catalog'!$E$57+'Assumptions and Catalog'!$F$57,"Out of range")))))))),IF(((D200+E200)*C200-G200)&lt;='Assumptions and Catalog'!$C$60,((D200+E200)*C200-G200)*'Assumptions and Catalog'!$H$60+'Assumptions and Catalog'!$E$60+'Assumptions and Catalog'!$F$60,IF(((D200+E200)*C200-G200)&lt;='Assumptions and Catalog'!$C$61,((D200+E200)*C200-G200)*'Assumptions and Catalog'!$H$61+'Assumptions and Catalog'!$E$61+'Assumptions and Catalog'!$F$61,IF(((D200+E200)*C200-G200)&lt;='Assumptions and Catalog'!$C$62,((D200+E200)*C200-G200)*'Assumptions and Catalog'!$H$62+'Assumptions and Catalog'!$E$62+'Assumptions and Catalog'!$F$62,IF(((D200+E200)*C200-G200)&lt;='Assumptions and Catalog'!$C$63,((D200+E200)*C200-G200)*'Assumptions and Catalog'!$H$63+'Assumptions and Catalog'!$E$63+'Assumptions and Catalog'!$F$63,IF(((D200+E200)*C200-G200)&lt;='Assumptions and Catalog'!$C$64,((D200+E200)*C200-G200)*'Assumptions and Catalog'!$H$64+'Assumptions and Catalog'!$E$64+'Assumptions and Catalog'!$F$64,IF(((D200+E200)*C200-G200)&lt;='Assumptions and Catalog'!$C$65,((D200+E200)*C200-G200)*'Assumptions and Catalog'!$H$65+'Assumptions and Catalog'!$E$65+'Assumptions and Catalog'!$F$65,"Out of range")))))))))*(1+'Assumptions and Catalog'!$C$8)^(A200-1),0)</f>
        <v>4907.0763253542655</v>
      </c>
      <c r="R200" s="5">
        <f>IF(AND('Assumptions and Catalog'!$C$19&gt;0,A200&gt;='Assumptions and Catalog'!$C$19),A200-'Assumptions and Catalog'!$C$19,A200-1)</f>
        <v>3</v>
      </c>
      <c r="S200" s="5">
        <f t="shared" si="13"/>
        <v>0</v>
      </c>
      <c r="T200" s="5"/>
      <c r="U200" s="5"/>
    </row>
    <row r="201" spans="1:21" ht="23.1" customHeight="1" outlineLevel="1" x14ac:dyDescent="0.2">
      <c r="A201" s="5">
        <v>4</v>
      </c>
      <c r="B201" s="5">
        <v>5</v>
      </c>
      <c r="C201" s="5">
        <f>DAY(DATE('Assumptions and Catalog'!$C$24+A201-1,B201+1,0))</f>
        <v>31</v>
      </c>
      <c r="D201" s="5">
        <f>IF(ISNUMBER(Inputs!$L$5),Inputs!$L$5*Inputs!$L$6,0)</f>
        <v>40.35</v>
      </c>
      <c r="E201" s="5">
        <f>IF(ISNUMBER(Inputs!$L$5),Inputs!$L$5-D201,0)</f>
        <v>40.35</v>
      </c>
      <c r="F201" s="5">
        <f>C$51*'Assumptions and Catalog'!$C$31*C201*(1-'Assumptions and Catalog'!$C$10)^(A201-1)</f>
        <v>1018.9082566567503</v>
      </c>
      <c r="G201" s="5">
        <f t="shared" si="8"/>
        <v>1018.9082566567503</v>
      </c>
      <c r="H201" s="5">
        <f>I201/('Assumptions and Catalog'!$C$11*'Assumptions and Catalog'!$C$12)</f>
        <v>0</v>
      </c>
      <c r="I201" s="5">
        <f>0</f>
        <v>0</v>
      </c>
      <c r="J201" s="5">
        <f t="shared" si="9"/>
        <v>0</v>
      </c>
      <c r="K201" s="5">
        <f t="shared" si="10"/>
        <v>0</v>
      </c>
      <c r="L201" s="5">
        <f t="shared" si="11"/>
        <v>1482.7917433432499</v>
      </c>
      <c r="M201" s="5">
        <f>IF(ISNUMBER(Inputs!$L$5),(IF(Inputs!$L$9="Actual flat rate",((D201+E201)*C201)*Inputs!$L$10,IF(Inputs!$C$9="Residential",IF(((D201+E201)*C201)&lt;='Assumptions and Catalog'!$C$50,((D201+E201)*C201)*'Assumptions and Catalog'!$H$50+'Assumptions and Catalog'!$E$50+'Assumptions and Catalog'!$F$50,IF(((D201+E201)*C201)&lt;='Assumptions and Catalog'!$C$51,((D201+E201)*C201)*'Assumptions and Catalog'!$H$51+'Assumptions and Catalog'!$E$51+'Assumptions and Catalog'!$F$51,IF(((D201+E201)*C201)&lt;='Assumptions and Catalog'!$C$52,((D201+E201)*C201)*'Assumptions and Catalog'!$H$52+'Assumptions and Catalog'!$E$52+'Assumptions and Catalog'!$F$52,IF(((D201+E201)*C201)&lt;='Assumptions and Catalog'!$C$53,((D201+E201)*C201)*'Assumptions and Catalog'!$H$53+'Assumptions and Catalog'!$E$53+'Assumptions and Catalog'!$F$53,IF(((D201+E201)*C201)&lt;='Assumptions and Catalog'!$C$54,((D201+E201)*C201)*'Assumptions and Catalog'!$H$54+'Assumptions and Catalog'!$E$54+'Assumptions and Catalog'!$F$54,IF(((D201+E201)*C201)&lt;='Assumptions and Catalog'!$C$55,((D201+E201)*C201)*'Assumptions and Catalog'!$H$55+'Assumptions and Catalog'!$E$55+'Assumptions and Catalog'!$F$55,IF(((D201+E201)*C201)&lt;='Assumptions and Catalog'!$C$56,((D201+E201)*C201)*'Assumptions and Catalog'!$H$56+'Assumptions and Catalog'!$E$56+'Assumptions and Catalog'!$F$56,IF(((D201+E201)*C201)&lt;='Assumptions and Catalog'!$C$57,((D201+E201)*C201)*'Assumptions and Catalog'!$H$57+'Assumptions and Catalog'!$E$57+'Assumptions and Catalog'!$F$57,"Out of range")))))))),IF(((D201+E201)*C201)&lt;='Assumptions and Catalog'!$C$60,((D201+E201)*C201)*'Assumptions and Catalog'!$H$60+'Assumptions and Catalog'!$E$60+'Assumptions and Catalog'!$F$60,IF(((D201+E201)*C201)&lt;='Assumptions and Catalog'!$C$61,((D201+E201)*C201)*'Assumptions and Catalog'!$H$61+'Assumptions and Catalog'!$E$61+'Assumptions and Catalog'!$F$61,IF(((D201+E201)*C201)&lt;='Assumptions and Catalog'!$C$62,((D201+E201)*C201)*'Assumptions and Catalog'!$H$62+'Assumptions and Catalog'!$E$62+'Assumptions and Catalog'!$F$62,IF(((D201+E201)*C201)&lt;='Assumptions and Catalog'!$C$63,((D201+E201)*C201)*'Assumptions and Catalog'!$H$63+'Assumptions and Catalog'!$E$63+'Assumptions and Catalog'!$F$63,IF(((D201+E201)*C201)&lt;='Assumptions and Catalog'!$C$64,((D201+E201)*C201)*'Assumptions and Catalog'!$H$64+'Assumptions and Catalog'!$E$64+'Assumptions and Catalog'!$F$64,IF(((D201+E201)*C201)&lt;='Assumptions and Catalog'!$C$65,((D201+E201)*C201)*'Assumptions and Catalog'!$H$65+'Assumptions and Catalog'!$E$65+'Assumptions and Catalog'!$F$65,"Out of range")))))))))*(1+'Assumptions and Catalog'!$C$8)^(A201-1),0)</f>
        <v>8554.9666666666672</v>
      </c>
      <c r="N201" s="5">
        <f>IF(ISNUMBER(Inputs!$L$5),(IF(Inputs!$L$9="Actual flat rate",L201*Inputs!$L$10,IF(Inputs!$C$9="Residential",IF(L201&lt;='Assumptions and Catalog'!$C$50,L201*'Assumptions and Catalog'!$H$50+'Assumptions and Catalog'!$E$50+'Assumptions and Catalog'!$F$50,IF(L201&lt;='Assumptions and Catalog'!$C$51,L201*'Assumptions and Catalog'!$H$51+'Assumptions and Catalog'!$E$51+'Assumptions and Catalog'!$F$51,IF(L201&lt;='Assumptions and Catalog'!$C$52,L201*'Assumptions and Catalog'!$H$52+'Assumptions and Catalog'!$E$52+'Assumptions and Catalog'!$F$52,IF(L201&lt;='Assumptions and Catalog'!$C$53,L201*'Assumptions and Catalog'!$H$53+'Assumptions and Catalog'!$E$53+'Assumptions and Catalog'!$F$53,IF(L201&lt;='Assumptions and Catalog'!$C$54,L201*'Assumptions and Catalog'!$H$54+'Assumptions and Catalog'!$E$54+'Assumptions and Catalog'!$F$54,IF(L201&lt;='Assumptions and Catalog'!$C$55,L201*'Assumptions and Catalog'!$H$55+'Assumptions and Catalog'!$E$55+'Assumptions and Catalog'!$F$55,IF(L201&lt;='Assumptions and Catalog'!$C$56,L201*'Assumptions and Catalog'!$H$56+'Assumptions and Catalog'!$E$56+'Assumptions and Catalog'!$F$56,IF(L201&lt;='Assumptions and Catalog'!$C$57,L201*'Assumptions and Catalog'!$H$57+'Assumptions and Catalog'!$E$57+'Assumptions and Catalog'!$F$57,"Out of range")))))))),IF(L201&lt;='Assumptions and Catalog'!$C$60,L201*'Assumptions and Catalog'!$H$60+'Assumptions and Catalog'!$E$60+'Assumptions and Catalog'!$F$60,IF(L201&lt;='Assumptions and Catalog'!$C$61,L201*'Assumptions and Catalog'!$H$61+'Assumptions and Catalog'!$E$61+'Assumptions and Catalog'!$F$61,IF(L201&lt;='Assumptions and Catalog'!$C$62,L201*'Assumptions and Catalog'!$H$62+'Assumptions and Catalog'!$E$62+'Assumptions and Catalog'!$F$62,IF(L201&lt;='Assumptions and Catalog'!$C$63,L201*'Assumptions and Catalog'!$H$63+'Assumptions and Catalog'!$E$63+'Assumptions and Catalog'!$F$63,IF(L201&lt;='Assumptions and Catalog'!$C$64,L201*'Assumptions and Catalog'!$H$64+'Assumptions and Catalog'!$E$64+'Assumptions and Catalog'!$F$64,IF(L201&lt;='Assumptions and Catalog'!$C$65,L201*'Assumptions and Catalog'!$H$65+'Assumptions and Catalog'!$E$65+'Assumptions and Catalog'!$F$65,"Out of range")))))))))*(1+'Assumptions and Catalog'!$C$8)^(A201-1),0)</f>
        <v>5070.6455361994076</v>
      </c>
      <c r="O201" s="5">
        <f t="shared" si="12"/>
        <v>3484.3211304672595</v>
      </c>
      <c r="P201" s="5">
        <f>C$55*(1-J$14)*(1-'Assumptions and Catalog'!$C$23)^R201</f>
        <v>0</v>
      </c>
      <c r="Q201" s="5">
        <f>IF(ISNUMBER(Inputs!$L$5),(IF(Inputs!$L$9="Actual flat rate",((D201+E201)*C201-G201)*Inputs!$L$10,IF(Inputs!$C$9="Residential",IF(((D201+E201)*C201-G201)&lt;='Assumptions and Catalog'!$C$50,((D201+E201)*C201-G201)*'Assumptions and Catalog'!$H$50+'Assumptions and Catalog'!$E$50+'Assumptions and Catalog'!$F$50,IF(((D201+E201)*C201-G201)&lt;='Assumptions and Catalog'!$C$51,((D201+E201)*C201-G201)*'Assumptions and Catalog'!$H$51+'Assumptions and Catalog'!$E$51+'Assumptions and Catalog'!$F$51,IF(((D201+E201)*C201-G201)&lt;='Assumptions and Catalog'!$C$52,((D201+E201)*C201-G201)*'Assumptions and Catalog'!$H$52+'Assumptions and Catalog'!$E$52+'Assumptions and Catalog'!$F$52,IF(((D201+E201)*C201-G201)&lt;='Assumptions and Catalog'!$C$53,((D201+E201)*C201-G201)*'Assumptions and Catalog'!$H$53+'Assumptions and Catalog'!$E$53+'Assumptions and Catalog'!$F$53,IF(((D201+E201)*C201-G201)&lt;='Assumptions and Catalog'!$C$54,((D201+E201)*C201-G201)*'Assumptions and Catalog'!$H$54+'Assumptions and Catalog'!$E$54+'Assumptions and Catalog'!$F$54,IF(((D201+E201)*C201-G201)&lt;='Assumptions and Catalog'!$C$55,((D201+E201)*C201-G201)*'Assumptions and Catalog'!$H$55+'Assumptions and Catalog'!$E$55+'Assumptions and Catalog'!$F$55,IF(((D201+E201)*C201-G201)&lt;='Assumptions and Catalog'!$C$56,((D201+E201)*C201-G201)*'Assumptions and Catalog'!$H$56+'Assumptions and Catalog'!$E$56+'Assumptions and Catalog'!$F$56,IF(((D201+E201)*C201-G201)&lt;='Assumptions and Catalog'!$C$57,((D201+E201)*C201-G201)*'Assumptions and Catalog'!$H$57+'Assumptions and Catalog'!$E$57+'Assumptions and Catalog'!$F$57,"Out of range")))))))),IF(((D201+E201)*C201-G201)&lt;='Assumptions and Catalog'!$C$60,((D201+E201)*C201-G201)*'Assumptions and Catalog'!$H$60+'Assumptions and Catalog'!$E$60+'Assumptions and Catalog'!$F$60,IF(((D201+E201)*C201-G201)&lt;='Assumptions and Catalog'!$C$61,((D201+E201)*C201-G201)*'Assumptions and Catalog'!$H$61+'Assumptions and Catalog'!$E$61+'Assumptions and Catalog'!$F$61,IF(((D201+E201)*C201-G201)&lt;='Assumptions and Catalog'!$C$62,((D201+E201)*C201-G201)*'Assumptions and Catalog'!$H$62+'Assumptions and Catalog'!$E$62+'Assumptions and Catalog'!$F$62,IF(((D201+E201)*C201-G201)&lt;='Assumptions and Catalog'!$C$63,((D201+E201)*C201-G201)*'Assumptions and Catalog'!$H$63+'Assumptions and Catalog'!$E$63+'Assumptions and Catalog'!$F$63,IF(((D201+E201)*C201-G201)&lt;='Assumptions and Catalog'!$C$64,((D201+E201)*C201-G201)*'Assumptions and Catalog'!$H$64+'Assumptions and Catalog'!$E$64+'Assumptions and Catalog'!$F$64,IF(((D201+E201)*C201-G201)&lt;='Assumptions and Catalog'!$C$65,((D201+E201)*C201-G201)*'Assumptions and Catalog'!$H$65+'Assumptions and Catalog'!$E$65+'Assumptions and Catalog'!$F$65,"Out of range")))))))))*(1+'Assumptions and Catalog'!$C$8)^(A201-1),0)</f>
        <v>5070.6455361994076</v>
      </c>
      <c r="R201" s="5">
        <f>IF(AND('Assumptions and Catalog'!$C$19&gt;0,A201&gt;='Assumptions and Catalog'!$C$19),A201-'Assumptions and Catalog'!$C$19,A201-1)</f>
        <v>3</v>
      </c>
      <c r="S201" s="5">
        <f t="shared" si="13"/>
        <v>0</v>
      </c>
      <c r="T201" s="5"/>
      <c r="U201" s="5"/>
    </row>
    <row r="202" spans="1:21" ht="23.1" customHeight="1" outlineLevel="1" x14ac:dyDescent="0.2">
      <c r="A202" s="5">
        <v>4</v>
      </c>
      <c r="B202" s="5">
        <v>6</v>
      </c>
      <c r="C202" s="5">
        <f>DAY(DATE('Assumptions and Catalog'!$C$24+A202-1,B202+1,0))</f>
        <v>30</v>
      </c>
      <c r="D202" s="5">
        <f>IF(ISNUMBER(Inputs!$L$5),Inputs!$L$5*Inputs!$L$6,0)</f>
        <v>40.35</v>
      </c>
      <c r="E202" s="5">
        <f>IF(ISNUMBER(Inputs!$L$5),Inputs!$L$5-D202,0)</f>
        <v>40.35</v>
      </c>
      <c r="F202" s="5">
        <f>C$51*'Assumptions and Catalog'!$C$31*C202*(1-'Assumptions and Catalog'!$C$10)^(A202-1)</f>
        <v>986.04024837750023</v>
      </c>
      <c r="G202" s="5">
        <f t="shared" si="8"/>
        <v>986.04024837750023</v>
      </c>
      <c r="H202" s="5">
        <f>I202/('Assumptions and Catalog'!$C$11*'Assumptions and Catalog'!$C$12)</f>
        <v>0</v>
      </c>
      <c r="I202" s="5">
        <f>0</f>
        <v>0</v>
      </c>
      <c r="J202" s="5">
        <f t="shared" si="9"/>
        <v>0</v>
      </c>
      <c r="K202" s="5">
        <f t="shared" si="10"/>
        <v>0</v>
      </c>
      <c r="L202" s="5">
        <f t="shared" si="11"/>
        <v>1434.9597516224999</v>
      </c>
      <c r="M202" s="5">
        <f>IF(ISNUMBER(Inputs!$L$5),(IF(Inputs!$L$9="Actual flat rate",((D202+E202)*C202)*Inputs!$L$10,IF(Inputs!$C$9="Residential",IF(((D202+E202)*C202)&lt;='Assumptions and Catalog'!$C$50,((D202+E202)*C202)*'Assumptions and Catalog'!$H$50+'Assumptions and Catalog'!$E$50+'Assumptions and Catalog'!$F$50,IF(((D202+E202)*C202)&lt;='Assumptions and Catalog'!$C$51,((D202+E202)*C202)*'Assumptions and Catalog'!$H$51+'Assumptions and Catalog'!$E$51+'Assumptions and Catalog'!$F$51,IF(((D202+E202)*C202)&lt;='Assumptions and Catalog'!$C$52,((D202+E202)*C202)*'Assumptions and Catalog'!$H$52+'Assumptions and Catalog'!$E$52+'Assumptions and Catalog'!$F$52,IF(((D202+E202)*C202)&lt;='Assumptions and Catalog'!$C$53,((D202+E202)*C202)*'Assumptions and Catalog'!$H$53+'Assumptions and Catalog'!$E$53+'Assumptions and Catalog'!$F$53,IF(((D202+E202)*C202)&lt;='Assumptions and Catalog'!$C$54,((D202+E202)*C202)*'Assumptions and Catalog'!$H$54+'Assumptions and Catalog'!$E$54+'Assumptions and Catalog'!$F$54,IF(((D202+E202)*C202)&lt;='Assumptions and Catalog'!$C$55,((D202+E202)*C202)*'Assumptions and Catalog'!$H$55+'Assumptions and Catalog'!$E$55+'Assumptions and Catalog'!$F$55,IF(((D202+E202)*C202)&lt;='Assumptions and Catalog'!$C$56,((D202+E202)*C202)*'Assumptions and Catalog'!$H$56+'Assumptions and Catalog'!$E$56+'Assumptions and Catalog'!$F$56,IF(((D202+E202)*C202)&lt;='Assumptions and Catalog'!$C$57,((D202+E202)*C202)*'Assumptions and Catalog'!$H$57+'Assumptions and Catalog'!$E$57+'Assumptions and Catalog'!$F$57,"Out of range")))))))),IF(((D202+E202)*C202)&lt;='Assumptions and Catalog'!$C$60,((D202+E202)*C202)*'Assumptions and Catalog'!$H$60+'Assumptions and Catalog'!$E$60+'Assumptions and Catalog'!$F$60,IF(((D202+E202)*C202)&lt;='Assumptions and Catalog'!$C$61,((D202+E202)*C202)*'Assumptions and Catalog'!$H$61+'Assumptions and Catalog'!$E$61+'Assumptions and Catalog'!$F$61,IF(((D202+E202)*C202)&lt;='Assumptions and Catalog'!$C$62,((D202+E202)*C202)*'Assumptions and Catalog'!$H$62+'Assumptions and Catalog'!$E$62+'Assumptions and Catalog'!$F$62,IF(((D202+E202)*C202)&lt;='Assumptions and Catalog'!$C$63,((D202+E202)*C202)*'Assumptions and Catalog'!$H$63+'Assumptions and Catalog'!$E$63+'Assumptions and Catalog'!$F$63,IF(((D202+E202)*C202)&lt;='Assumptions and Catalog'!$C$64,((D202+E202)*C202)*'Assumptions and Catalog'!$H$64+'Assumptions and Catalog'!$E$64+'Assumptions and Catalog'!$F$64,IF(((D202+E202)*C202)&lt;='Assumptions and Catalog'!$C$65,((D202+E202)*C202)*'Assumptions and Catalog'!$H$65+'Assumptions and Catalog'!$E$65+'Assumptions and Catalog'!$F$65,"Out of range")))))))))*(1+'Assumptions and Catalog'!$C$8)^(A202-1),0)</f>
        <v>8279</v>
      </c>
      <c r="N202" s="5">
        <f>IF(ISNUMBER(Inputs!$L$5),(IF(Inputs!$L$9="Actual flat rate",L202*Inputs!$L$10,IF(Inputs!$C$9="Residential",IF(L202&lt;='Assumptions and Catalog'!$C$50,L202*'Assumptions and Catalog'!$H$50+'Assumptions and Catalog'!$E$50+'Assumptions and Catalog'!$F$50,IF(L202&lt;='Assumptions and Catalog'!$C$51,L202*'Assumptions and Catalog'!$H$51+'Assumptions and Catalog'!$E$51+'Assumptions and Catalog'!$F$51,IF(L202&lt;='Assumptions and Catalog'!$C$52,L202*'Assumptions and Catalog'!$H$52+'Assumptions and Catalog'!$E$52+'Assumptions and Catalog'!$F$52,IF(L202&lt;='Assumptions and Catalog'!$C$53,L202*'Assumptions and Catalog'!$H$53+'Assumptions and Catalog'!$E$53+'Assumptions and Catalog'!$F$53,IF(L202&lt;='Assumptions and Catalog'!$C$54,L202*'Assumptions and Catalog'!$H$54+'Assumptions and Catalog'!$E$54+'Assumptions and Catalog'!$F$54,IF(L202&lt;='Assumptions and Catalog'!$C$55,L202*'Assumptions and Catalog'!$H$55+'Assumptions and Catalog'!$E$55+'Assumptions and Catalog'!$F$55,IF(L202&lt;='Assumptions and Catalog'!$C$56,L202*'Assumptions and Catalog'!$H$56+'Assumptions and Catalog'!$E$56+'Assumptions and Catalog'!$F$56,IF(L202&lt;='Assumptions and Catalog'!$C$57,L202*'Assumptions and Catalog'!$H$57+'Assumptions and Catalog'!$E$57+'Assumptions and Catalog'!$F$57,"Out of range")))))))),IF(L202&lt;='Assumptions and Catalog'!$C$60,L202*'Assumptions and Catalog'!$H$60+'Assumptions and Catalog'!$E$60+'Assumptions and Catalog'!$F$60,IF(L202&lt;='Assumptions and Catalog'!$C$61,L202*'Assumptions and Catalog'!$H$61+'Assumptions and Catalog'!$E$61+'Assumptions and Catalog'!$F$61,IF(L202&lt;='Assumptions and Catalog'!$C$62,L202*'Assumptions and Catalog'!$H$62+'Assumptions and Catalog'!$E$62+'Assumptions and Catalog'!$F$62,IF(L202&lt;='Assumptions and Catalog'!$C$63,L202*'Assumptions and Catalog'!$H$63+'Assumptions and Catalog'!$E$63+'Assumptions and Catalog'!$F$63,IF(L202&lt;='Assumptions and Catalog'!$C$64,L202*'Assumptions and Catalog'!$H$64+'Assumptions and Catalog'!$E$64+'Assumptions and Catalog'!$F$64,IF(L202&lt;='Assumptions and Catalog'!$C$65,L202*'Assumptions and Catalog'!$H$65+'Assumptions and Catalog'!$E$65+'Assumptions and Catalog'!$F$65,"Out of range")))))))))*(1+'Assumptions and Catalog'!$C$8)^(A202-1),0)</f>
        <v>4907.0763253542655</v>
      </c>
      <c r="O202" s="5">
        <f t="shared" si="12"/>
        <v>3371.9236746457345</v>
      </c>
      <c r="P202" s="5">
        <f>C$55*(1-J$14)*(1-'Assumptions and Catalog'!$C$23)^R202</f>
        <v>0</v>
      </c>
      <c r="Q202" s="5">
        <f>IF(ISNUMBER(Inputs!$L$5),(IF(Inputs!$L$9="Actual flat rate",((D202+E202)*C202-G202)*Inputs!$L$10,IF(Inputs!$C$9="Residential",IF(((D202+E202)*C202-G202)&lt;='Assumptions and Catalog'!$C$50,((D202+E202)*C202-G202)*'Assumptions and Catalog'!$H$50+'Assumptions and Catalog'!$E$50+'Assumptions and Catalog'!$F$50,IF(((D202+E202)*C202-G202)&lt;='Assumptions and Catalog'!$C$51,((D202+E202)*C202-G202)*'Assumptions and Catalog'!$H$51+'Assumptions and Catalog'!$E$51+'Assumptions and Catalog'!$F$51,IF(((D202+E202)*C202-G202)&lt;='Assumptions and Catalog'!$C$52,((D202+E202)*C202-G202)*'Assumptions and Catalog'!$H$52+'Assumptions and Catalog'!$E$52+'Assumptions and Catalog'!$F$52,IF(((D202+E202)*C202-G202)&lt;='Assumptions and Catalog'!$C$53,((D202+E202)*C202-G202)*'Assumptions and Catalog'!$H$53+'Assumptions and Catalog'!$E$53+'Assumptions and Catalog'!$F$53,IF(((D202+E202)*C202-G202)&lt;='Assumptions and Catalog'!$C$54,((D202+E202)*C202-G202)*'Assumptions and Catalog'!$H$54+'Assumptions and Catalog'!$E$54+'Assumptions and Catalog'!$F$54,IF(((D202+E202)*C202-G202)&lt;='Assumptions and Catalog'!$C$55,((D202+E202)*C202-G202)*'Assumptions and Catalog'!$H$55+'Assumptions and Catalog'!$E$55+'Assumptions and Catalog'!$F$55,IF(((D202+E202)*C202-G202)&lt;='Assumptions and Catalog'!$C$56,((D202+E202)*C202-G202)*'Assumptions and Catalog'!$H$56+'Assumptions and Catalog'!$E$56+'Assumptions and Catalog'!$F$56,IF(((D202+E202)*C202-G202)&lt;='Assumptions and Catalog'!$C$57,((D202+E202)*C202-G202)*'Assumptions and Catalog'!$H$57+'Assumptions and Catalog'!$E$57+'Assumptions and Catalog'!$F$57,"Out of range")))))))),IF(((D202+E202)*C202-G202)&lt;='Assumptions and Catalog'!$C$60,((D202+E202)*C202-G202)*'Assumptions and Catalog'!$H$60+'Assumptions and Catalog'!$E$60+'Assumptions and Catalog'!$F$60,IF(((D202+E202)*C202-G202)&lt;='Assumptions and Catalog'!$C$61,((D202+E202)*C202-G202)*'Assumptions and Catalog'!$H$61+'Assumptions and Catalog'!$E$61+'Assumptions and Catalog'!$F$61,IF(((D202+E202)*C202-G202)&lt;='Assumptions and Catalog'!$C$62,((D202+E202)*C202-G202)*'Assumptions and Catalog'!$H$62+'Assumptions and Catalog'!$E$62+'Assumptions and Catalog'!$F$62,IF(((D202+E202)*C202-G202)&lt;='Assumptions and Catalog'!$C$63,((D202+E202)*C202-G202)*'Assumptions and Catalog'!$H$63+'Assumptions and Catalog'!$E$63+'Assumptions and Catalog'!$F$63,IF(((D202+E202)*C202-G202)&lt;='Assumptions and Catalog'!$C$64,((D202+E202)*C202-G202)*'Assumptions and Catalog'!$H$64+'Assumptions and Catalog'!$E$64+'Assumptions and Catalog'!$F$64,IF(((D202+E202)*C202-G202)&lt;='Assumptions and Catalog'!$C$65,((D202+E202)*C202-G202)*'Assumptions and Catalog'!$H$65+'Assumptions and Catalog'!$E$65+'Assumptions and Catalog'!$F$65,"Out of range")))))))))*(1+'Assumptions and Catalog'!$C$8)^(A202-1),0)</f>
        <v>4907.0763253542655</v>
      </c>
      <c r="R202" s="5">
        <f>IF(AND('Assumptions and Catalog'!$C$19&gt;0,A202&gt;='Assumptions and Catalog'!$C$19),A202-'Assumptions and Catalog'!$C$19,A202-1)</f>
        <v>3</v>
      </c>
      <c r="S202" s="5">
        <f t="shared" si="13"/>
        <v>0</v>
      </c>
      <c r="T202" s="5"/>
      <c r="U202" s="5"/>
    </row>
    <row r="203" spans="1:21" ht="23.1" customHeight="1" outlineLevel="1" x14ac:dyDescent="0.2">
      <c r="A203" s="5">
        <v>4</v>
      </c>
      <c r="B203" s="5">
        <v>7</v>
      </c>
      <c r="C203" s="5">
        <f>DAY(DATE('Assumptions and Catalog'!$C$24+A203-1,B203+1,0))</f>
        <v>31</v>
      </c>
      <c r="D203" s="5">
        <f>IF(ISNUMBER(Inputs!$L$5),Inputs!$L$5*Inputs!$L$6,0)</f>
        <v>40.35</v>
      </c>
      <c r="E203" s="5">
        <f>IF(ISNUMBER(Inputs!$L$5),Inputs!$L$5-D203,0)</f>
        <v>40.35</v>
      </c>
      <c r="F203" s="5">
        <f>C$51*'Assumptions and Catalog'!$C$31*C203*(1-'Assumptions and Catalog'!$C$10)^(A203-1)</f>
        <v>1018.9082566567503</v>
      </c>
      <c r="G203" s="5">
        <f t="shared" si="8"/>
        <v>1018.9082566567503</v>
      </c>
      <c r="H203" s="5">
        <f>I203/('Assumptions and Catalog'!$C$11*'Assumptions and Catalog'!$C$12)</f>
        <v>0</v>
      </c>
      <c r="I203" s="5">
        <f>0</f>
        <v>0</v>
      </c>
      <c r="J203" s="5">
        <f t="shared" si="9"/>
        <v>0</v>
      </c>
      <c r="K203" s="5">
        <f t="shared" si="10"/>
        <v>0</v>
      </c>
      <c r="L203" s="5">
        <f t="shared" si="11"/>
        <v>1482.7917433432499</v>
      </c>
      <c r="M203" s="5">
        <f>IF(ISNUMBER(Inputs!$L$5),(IF(Inputs!$L$9="Actual flat rate",((D203+E203)*C203)*Inputs!$L$10,IF(Inputs!$C$9="Residential",IF(((D203+E203)*C203)&lt;='Assumptions and Catalog'!$C$50,((D203+E203)*C203)*'Assumptions and Catalog'!$H$50+'Assumptions and Catalog'!$E$50+'Assumptions and Catalog'!$F$50,IF(((D203+E203)*C203)&lt;='Assumptions and Catalog'!$C$51,((D203+E203)*C203)*'Assumptions and Catalog'!$H$51+'Assumptions and Catalog'!$E$51+'Assumptions and Catalog'!$F$51,IF(((D203+E203)*C203)&lt;='Assumptions and Catalog'!$C$52,((D203+E203)*C203)*'Assumptions and Catalog'!$H$52+'Assumptions and Catalog'!$E$52+'Assumptions and Catalog'!$F$52,IF(((D203+E203)*C203)&lt;='Assumptions and Catalog'!$C$53,((D203+E203)*C203)*'Assumptions and Catalog'!$H$53+'Assumptions and Catalog'!$E$53+'Assumptions and Catalog'!$F$53,IF(((D203+E203)*C203)&lt;='Assumptions and Catalog'!$C$54,((D203+E203)*C203)*'Assumptions and Catalog'!$H$54+'Assumptions and Catalog'!$E$54+'Assumptions and Catalog'!$F$54,IF(((D203+E203)*C203)&lt;='Assumptions and Catalog'!$C$55,((D203+E203)*C203)*'Assumptions and Catalog'!$H$55+'Assumptions and Catalog'!$E$55+'Assumptions and Catalog'!$F$55,IF(((D203+E203)*C203)&lt;='Assumptions and Catalog'!$C$56,((D203+E203)*C203)*'Assumptions and Catalog'!$H$56+'Assumptions and Catalog'!$E$56+'Assumptions and Catalog'!$F$56,IF(((D203+E203)*C203)&lt;='Assumptions and Catalog'!$C$57,((D203+E203)*C203)*'Assumptions and Catalog'!$H$57+'Assumptions and Catalog'!$E$57+'Assumptions and Catalog'!$F$57,"Out of range")))))))),IF(((D203+E203)*C203)&lt;='Assumptions and Catalog'!$C$60,((D203+E203)*C203)*'Assumptions and Catalog'!$H$60+'Assumptions and Catalog'!$E$60+'Assumptions and Catalog'!$F$60,IF(((D203+E203)*C203)&lt;='Assumptions and Catalog'!$C$61,((D203+E203)*C203)*'Assumptions and Catalog'!$H$61+'Assumptions and Catalog'!$E$61+'Assumptions and Catalog'!$F$61,IF(((D203+E203)*C203)&lt;='Assumptions and Catalog'!$C$62,((D203+E203)*C203)*'Assumptions and Catalog'!$H$62+'Assumptions and Catalog'!$E$62+'Assumptions and Catalog'!$F$62,IF(((D203+E203)*C203)&lt;='Assumptions and Catalog'!$C$63,((D203+E203)*C203)*'Assumptions and Catalog'!$H$63+'Assumptions and Catalog'!$E$63+'Assumptions and Catalog'!$F$63,IF(((D203+E203)*C203)&lt;='Assumptions and Catalog'!$C$64,((D203+E203)*C203)*'Assumptions and Catalog'!$H$64+'Assumptions and Catalog'!$E$64+'Assumptions and Catalog'!$F$64,IF(((D203+E203)*C203)&lt;='Assumptions and Catalog'!$C$65,((D203+E203)*C203)*'Assumptions and Catalog'!$H$65+'Assumptions and Catalog'!$E$65+'Assumptions and Catalog'!$F$65,"Out of range")))))))))*(1+'Assumptions and Catalog'!$C$8)^(A203-1),0)</f>
        <v>8554.9666666666672</v>
      </c>
      <c r="N203" s="5">
        <f>IF(ISNUMBER(Inputs!$L$5),(IF(Inputs!$L$9="Actual flat rate",L203*Inputs!$L$10,IF(Inputs!$C$9="Residential",IF(L203&lt;='Assumptions and Catalog'!$C$50,L203*'Assumptions and Catalog'!$H$50+'Assumptions and Catalog'!$E$50+'Assumptions and Catalog'!$F$50,IF(L203&lt;='Assumptions and Catalog'!$C$51,L203*'Assumptions and Catalog'!$H$51+'Assumptions and Catalog'!$E$51+'Assumptions and Catalog'!$F$51,IF(L203&lt;='Assumptions and Catalog'!$C$52,L203*'Assumptions and Catalog'!$H$52+'Assumptions and Catalog'!$E$52+'Assumptions and Catalog'!$F$52,IF(L203&lt;='Assumptions and Catalog'!$C$53,L203*'Assumptions and Catalog'!$H$53+'Assumptions and Catalog'!$E$53+'Assumptions and Catalog'!$F$53,IF(L203&lt;='Assumptions and Catalog'!$C$54,L203*'Assumptions and Catalog'!$H$54+'Assumptions and Catalog'!$E$54+'Assumptions and Catalog'!$F$54,IF(L203&lt;='Assumptions and Catalog'!$C$55,L203*'Assumptions and Catalog'!$H$55+'Assumptions and Catalog'!$E$55+'Assumptions and Catalog'!$F$55,IF(L203&lt;='Assumptions and Catalog'!$C$56,L203*'Assumptions and Catalog'!$H$56+'Assumptions and Catalog'!$E$56+'Assumptions and Catalog'!$F$56,IF(L203&lt;='Assumptions and Catalog'!$C$57,L203*'Assumptions and Catalog'!$H$57+'Assumptions and Catalog'!$E$57+'Assumptions and Catalog'!$F$57,"Out of range")))))))),IF(L203&lt;='Assumptions and Catalog'!$C$60,L203*'Assumptions and Catalog'!$H$60+'Assumptions and Catalog'!$E$60+'Assumptions and Catalog'!$F$60,IF(L203&lt;='Assumptions and Catalog'!$C$61,L203*'Assumptions and Catalog'!$H$61+'Assumptions and Catalog'!$E$61+'Assumptions and Catalog'!$F$61,IF(L203&lt;='Assumptions and Catalog'!$C$62,L203*'Assumptions and Catalog'!$H$62+'Assumptions and Catalog'!$E$62+'Assumptions and Catalog'!$F$62,IF(L203&lt;='Assumptions and Catalog'!$C$63,L203*'Assumptions and Catalog'!$H$63+'Assumptions and Catalog'!$E$63+'Assumptions and Catalog'!$F$63,IF(L203&lt;='Assumptions and Catalog'!$C$64,L203*'Assumptions and Catalog'!$H$64+'Assumptions and Catalog'!$E$64+'Assumptions and Catalog'!$F$64,IF(L203&lt;='Assumptions and Catalog'!$C$65,L203*'Assumptions and Catalog'!$H$65+'Assumptions and Catalog'!$E$65+'Assumptions and Catalog'!$F$65,"Out of range")))))))))*(1+'Assumptions and Catalog'!$C$8)^(A203-1),0)</f>
        <v>5070.6455361994076</v>
      </c>
      <c r="O203" s="5">
        <f t="shared" si="12"/>
        <v>3484.3211304672595</v>
      </c>
      <c r="P203" s="5">
        <f>C$55*(1-J$14)*(1-'Assumptions and Catalog'!$C$23)^R203</f>
        <v>0</v>
      </c>
      <c r="Q203" s="5">
        <f>IF(ISNUMBER(Inputs!$L$5),(IF(Inputs!$L$9="Actual flat rate",((D203+E203)*C203-G203)*Inputs!$L$10,IF(Inputs!$C$9="Residential",IF(((D203+E203)*C203-G203)&lt;='Assumptions and Catalog'!$C$50,((D203+E203)*C203-G203)*'Assumptions and Catalog'!$H$50+'Assumptions and Catalog'!$E$50+'Assumptions and Catalog'!$F$50,IF(((D203+E203)*C203-G203)&lt;='Assumptions and Catalog'!$C$51,((D203+E203)*C203-G203)*'Assumptions and Catalog'!$H$51+'Assumptions and Catalog'!$E$51+'Assumptions and Catalog'!$F$51,IF(((D203+E203)*C203-G203)&lt;='Assumptions and Catalog'!$C$52,((D203+E203)*C203-G203)*'Assumptions and Catalog'!$H$52+'Assumptions and Catalog'!$E$52+'Assumptions and Catalog'!$F$52,IF(((D203+E203)*C203-G203)&lt;='Assumptions and Catalog'!$C$53,((D203+E203)*C203-G203)*'Assumptions and Catalog'!$H$53+'Assumptions and Catalog'!$E$53+'Assumptions and Catalog'!$F$53,IF(((D203+E203)*C203-G203)&lt;='Assumptions and Catalog'!$C$54,((D203+E203)*C203-G203)*'Assumptions and Catalog'!$H$54+'Assumptions and Catalog'!$E$54+'Assumptions and Catalog'!$F$54,IF(((D203+E203)*C203-G203)&lt;='Assumptions and Catalog'!$C$55,((D203+E203)*C203-G203)*'Assumptions and Catalog'!$H$55+'Assumptions and Catalog'!$E$55+'Assumptions and Catalog'!$F$55,IF(((D203+E203)*C203-G203)&lt;='Assumptions and Catalog'!$C$56,((D203+E203)*C203-G203)*'Assumptions and Catalog'!$H$56+'Assumptions and Catalog'!$E$56+'Assumptions and Catalog'!$F$56,IF(((D203+E203)*C203-G203)&lt;='Assumptions and Catalog'!$C$57,((D203+E203)*C203-G203)*'Assumptions and Catalog'!$H$57+'Assumptions and Catalog'!$E$57+'Assumptions and Catalog'!$F$57,"Out of range")))))))),IF(((D203+E203)*C203-G203)&lt;='Assumptions and Catalog'!$C$60,((D203+E203)*C203-G203)*'Assumptions and Catalog'!$H$60+'Assumptions and Catalog'!$E$60+'Assumptions and Catalog'!$F$60,IF(((D203+E203)*C203-G203)&lt;='Assumptions and Catalog'!$C$61,((D203+E203)*C203-G203)*'Assumptions and Catalog'!$H$61+'Assumptions and Catalog'!$E$61+'Assumptions and Catalog'!$F$61,IF(((D203+E203)*C203-G203)&lt;='Assumptions and Catalog'!$C$62,((D203+E203)*C203-G203)*'Assumptions and Catalog'!$H$62+'Assumptions and Catalog'!$E$62+'Assumptions and Catalog'!$F$62,IF(((D203+E203)*C203-G203)&lt;='Assumptions and Catalog'!$C$63,((D203+E203)*C203-G203)*'Assumptions and Catalog'!$H$63+'Assumptions and Catalog'!$E$63+'Assumptions and Catalog'!$F$63,IF(((D203+E203)*C203-G203)&lt;='Assumptions and Catalog'!$C$64,((D203+E203)*C203-G203)*'Assumptions and Catalog'!$H$64+'Assumptions and Catalog'!$E$64+'Assumptions and Catalog'!$F$64,IF(((D203+E203)*C203-G203)&lt;='Assumptions and Catalog'!$C$65,((D203+E203)*C203-G203)*'Assumptions and Catalog'!$H$65+'Assumptions and Catalog'!$E$65+'Assumptions and Catalog'!$F$65,"Out of range")))))))))*(1+'Assumptions and Catalog'!$C$8)^(A203-1),0)</f>
        <v>5070.6455361994076</v>
      </c>
      <c r="R203" s="5">
        <f>IF(AND('Assumptions and Catalog'!$C$19&gt;0,A203&gt;='Assumptions and Catalog'!$C$19),A203-'Assumptions and Catalog'!$C$19,A203-1)</f>
        <v>3</v>
      </c>
      <c r="S203" s="5">
        <f t="shared" si="13"/>
        <v>0</v>
      </c>
      <c r="T203" s="5"/>
      <c r="U203" s="5"/>
    </row>
    <row r="204" spans="1:21" ht="23.1" customHeight="1" outlineLevel="1" x14ac:dyDescent="0.2">
      <c r="A204" s="5">
        <v>4</v>
      </c>
      <c r="B204" s="5">
        <v>8</v>
      </c>
      <c r="C204" s="5">
        <f>DAY(DATE('Assumptions and Catalog'!$C$24+A204-1,B204+1,0))</f>
        <v>31</v>
      </c>
      <c r="D204" s="5">
        <f>IF(ISNUMBER(Inputs!$L$5),Inputs!$L$5*Inputs!$L$6,0)</f>
        <v>40.35</v>
      </c>
      <c r="E204" s="5">
        <f>IF(ISNUMBER(Inputs!$L$5),Inputs!$L$5-D204,0)</f>
        <v>40.35</v>
      </c>
      <c r="F204" s="5">
        <f>C$51*'Assumptions and Catalog'!$C$31*C204*(1-'Assumptions and Catalog'!$C$10)^(A204-1)</f>
        <v>1018.9082566567503</v>
      </c>
      <c r="G204" s="5">
        <f t="shared" si="8"/>
        <v>1018.9082566567503</v>
      </c>
      <c r="H204" s="5">
        <f>I204/('Assumptions and Catalog'!$C$11*'Assumptions and Catalog'!$C$12)</f>
        <v>0</v>
      </c>
      <c r="I204" s="5">
        <f>0</f>
        <v>0</v>
      </c>
      <c r="J204" s="5">
        <f t="shared" si="9"/>
        <v>0</v>
      </c>
      <c r="K204" s="5">
        <f t="shared" si="10"/>
        <v>0</v>
      </c>
      <c r="L204" s="5">
        <f t="shared" si="11"/>
        <v>1482.7917433432499</v>
      </c>
      <c r="M204" s="5">
        <f>IF(ISNUMBER(Inputs!$L$5),(IF(Inputs!$L$9="Actual flat rate",((D204+E204)*C204)*Inputs!$L$10,IF(Inputs!$C$9="Residential",IF(((D204+E204)*C204)&lt;='Assumptions and Catalog'!$C$50,((D204+E204)*C204)*'Assumptions and Catalog'!$H$50+'Assumptions and Catalog'!$E$50+'Assumptions and Catalog'!$F$50,IF(((D204+E204)*C204)&lt;='Assumptions and Catalog'!$C$51,((D204+E204)*C204)*'Assumptions and Catalog'!$H$51+'Assumptions and Catalog'!$E$51+'Assumptions and Catalog'!$F$51,IF(((D204+E204)*C204)&lt;='Assumptions and Catalog'!$C$52,((D204+E204)*C204)*'Assumptions and Catalog'!$H$52+'Assumptions and Catalog'!$E$52+'Assumptions and Catalog'!$F$52,IF(((D204+E204)*C204)&lt;='Assumptions and Catalog'!$C$53,((D204+E204)*C204)*'Assumptions and Catalog'!$H$53+'Assumptions and Catalog'!$E$53+'Assumptions and Catalog'!$F$53,IF(((D204+E204)*C204)&lt;='Assumptions and Catalog'!$C$54,((D204+E204)*C204)*'Assumptions and Catalog'!$H$54+'Assumptions and Catalog'!$E$54+'Assumptions and Catalog'!$F$54,IF(((D204+E204)*C204)&lt;='Assumptions and Catalog'!$C$55,((D204+E204)*C204)*'Assumptions and Catalog'!$H$55+'Assumptions and Catalog'!$E$55+'Assumptions and Catalog'!$F$55,IF(((D204+E204)*C204)&lt;='Assumptions and Catalog'!$C$56,((D204+E204)*C204)*'Assumptions and Catalog'!$H$56+'Assumptions and Catalog'!$E$56+'Assumptions and Catalog'!$F$56,IF(((D204+E204)*C204)&lt;='Assumptions and Catalog'!$C$57,((D204+E204)*C204)*'Assumptions and Catalog'!$H$57+'Assumptions and Catalog'!$E$57+'Assumptions and Catalog'!$F$57,"Out of range")))))))),IF(((D204+E204)*C204)&lt;='Assumptions and Catalog'!$C$60,((D204+E204)*C204)*'Assumptions and Catalog'!$H$60+'Assumptions and Catalog'!$E$60+'Assumptions and Catalog'!$F$60,IF(((D204+E204)*C204)&lt;='Assumptions and Catalog'!$C$61,((D204+E204)*C204)*'Assumptions and Catalog'!$H$61+'Assumptions and Catalog'!$E$61+'Assumptions and Catalog'!$F$61,IF(((D204+E204)*C204)&lt;='Assumptions and Catalog'!$C$62,((D204+E204)*C204)*'Assumptions and Catalog'!$H$62+'Assumptions and Catalog'!$E$62+'Assumptions and Catalog'!$F$62,IF(((D204+E204)*C204)&lt;='Assumptions and Catalog'!$C$63,((D204+E204)*C204)*'Assumptions and Catalog'!$H$63+'Assumptions and Catalog'!$E$63+'Assumptions and Catalog'!$F$63,IF(((D204+E204)*C204)&lt;='Assumptions and Catalog'!$C$64,((D204+E204)*C204)*'Assumptions and Catalog'!$H$64+'Assumptions and Catalog'!$E$64+'Assumptions and Catalog'!$F$64,IF(((D204+E204)*C204)&lt;='Assumptions and Catalog'!$C$65,((D204+E204)*C204)*'Assumptions and Catalog'!$H$65+'Assumptions and Catalog'!$E$65+'Assumptions and Catalog'!$F$65,"Out of range")))))))))*(1+'Assumptions and Catalog'!$C$8)^(A204-1),0)</f>
        <v>8554.9666666666672</v>
      </c>
      <c r="N204" s="5">
        <f>IF(ISNUMBER(Inputs!$L$5),(IF(Inputs!$L$9="Actual flat rate",L204*Inputs!$L$10,IF(Inputs!$C$9="Residential",IF(L204&lt;='Assumptions and Catalog'!$C$50,L204*'Assumptions and Catalog'!$H$50+'Assumptions and Catalog'!$E$50+'Assumptions and Catalog'!$F$50,IF(L204&lt;='Assumptions and Catalog'!$C$51,L204*'Assumptions and Catalog'!$H$51+'Assumptions and Catalog'!$E$51+'Assumptions and Catalog'!$F$51,IF(L204&lt;='Assumptions and Catalog'!$C$52,L204*'Assumptions and Catalog'!$H$52+'Assumptions and Catalog'!$E$52+'Assumptions and Catalog'!$F$52,IF(L204&lt;='Assumptions and Catalog'!$C$53,L204*'Assumptions and Catalog'!$H$53+'Assumptions and Catalog'!$E$53+'Assumptions and Catalog'!$F$53,IF(L204&lt;='Assumptions and Catalog'!$C$54,L204*'Assumptions and Catalog'!$H$54+'Assumptions and Catalog'!$E$54+'Assumptions and Catalog'!$F$54,IF(L204&lt;='Assumptions and Catalog'!$C$55,L204*'Assumptions and Catalog'!$H$55+'Assumptions and Catalog'!$E$55+'Assumptions and Catalog'!$F$55,IF(L204&lt;='Assumptions and Catalog'!$C$56,L204*'Assumptions and Catalog'!$H$56+'Assumptions and Catalog'!$E$56+'Assumptions and Catalog'!$F$56,IF(L204&lt;='Assumptions and Catalog'!$C$57,L204*'Assumptions and Catalog'!$H$57+'Assumptions and Catalog'!$E$57+'Assumptions and Catalog'!$F$57,"Out of range")))))))),IF(L204&lt;='Assumptions and Catalog'!$C$60,L204*'Assumptions and Catalog'!$H$60+'Assumptions and Catalog'!$E$60+'Assumptions and Catalog'!$F$60,IF(L204&lt;='Assumptions and Catalog'!$C$61,L204*'Assumptions and Catalog'!$H$61+'Assumptions and Catalog'!$E$61+'Assumptions and Catalog'!$F$61,IF(L204&lt;='Assumptions and Catalog'!$C$62,L204*'Assumptions and Catalog'!$H$62+'Assumptions and Catalog'!$E$62+'Assumptions and Catalog'!$F$62,IF(L204&lt;='Assumptions and Catalog'!$C$63,L204*'Assumptions and Catalog'!$H$63+'Assumptions and Catalog'!$E$63+'Assumptions and Catalog'!$F$63,IF(L204&lt;='Assumptions and Catalog'!$C$64,L204*'Assumptions and Catalog'!$H$64+'Assumptions and Catalog'!$E$64+'Assumptions and Catalog'!$F$64,IF(L204&lt;='Assumptions and Catalog'!$C$65,L204*'Assumptions and Catalog'!$H$65+'Assumptions and Catalog'!$E$65+'Assumptions and Catalog'!$F$65,"Out of range")))))))))*(1+'Assumptions and Catalog'!$C$8)^(A204-1),0)</f>
        <v>5070.6455361994076</v>
      </c>
      <c r="O204" s="5">
        <f t="shared" si="12"/>
        <v>3484.3211304672595</v>
      </c>
      <c r="P204" s="5">
        <f>C$55*(1-J$14)*(1-'Assumptions and Catalog'!$C$23)^R204</f>
        <v>0</v>
      </c>
      <c r="Q204" s="5">
        <f>IF(ISNUMBER(Inputs!$L$5),(IF(Inputs!$L$9="Actual flat rate",((D204+E204)*C204-G204)*Inputs!$L$10,IF(Inputs!$C$9="Residential",IF(((D204+E204)*C204-G204)&lt;='Assumptions and Catalog'!$C$50,((D204+E204)*C204-G204)*'Assumptions and Catalog'!$H$50+'Assumptions and Catalog'!$E$50+'Assumptions and Catalog'!$F$50,IF(((D204+E204)*C204-G204)&lt;='Assumptions and Catalog'!$C$51,((D204+E204)*C204-G204)*'Assumptions and Catalog'!$H$51+'Assumptions and Catalog'!$E$51+'Assumptions and Catalog'!$F$51,IF(((D204+E204)*C204-G204)&lt;='Assumptions and Catalog'!$C$52,((D204+E204)*C204-G204)*'Assumptions and Catalog'!$H$52+'Assumptions and Catalog'!$E$52+'Assumptions and Catalog'!$F$52,IF(((D204+E204)*C204-G204)&lt;='Assumptions and Catalog'!$C$53,((D204+E204)*C204-G204)*'Assumptions and Catalog'!$H$53+'Assumptions and Catalog'!$E$53+'Assumptions and Catalog'!$F$53,IF(((D204+E204)*C204-G204)&lt;='Assumptions and Catalog'!$C$54,((D204+E204)*C204-G204)*'Assumptions and Catalog'!$H$54+'Assumptions and Catalog'!$E$54+'Assumptions and Catalog'!$F$54,IF(((D204+E204)*C204-G204)&lt;='Assumptions and Catalog'!$C$55,((D204+E204)*C204-G204)*'Assumptions and Catalog'!$H$55+'Assumptions and Catalog'!$E$55+'Assumptions and Catalog'!$F$55,IF(((D204+E204)*C204-G204)&lt;='Assumptions and Catalog'!$C$56,((D204+E204)*C204-G204)*'Assumptions and Catalog'!$H$56+'Assumptions and Catalog'!$E$56+'Assumptions and Catalog'!$F$56,IF(((D204+E204)*C204-G204)&lt;='Assumptions and Catalog'!$C$57,((D204+E204)*C204-G204)*'Assumptions and Catalog'!$H$57+'Assumptions and Catalog'!$E$57+'Assumptions and Catalog'!$F$57,"Out of range")))))))),IF(((D204+E204)*C204-G204)&lt;='Assumptions and Catalog'!$C$60,((D204+E204)*C204-G204)*'Assumptions and Catalog'!$H$60+'Assumptions and Catalog'!$E$60+'Assumptions and Catalog'!$F$60,IF(((D204+E204)*C204-G204)&lt;='Assumptions and Catalog'!$C$61,((D204+E204)*C204-G204)*'Assumptions and Catalog'!$H$61+'Assumptions and Catalog'!$E$61+'Assumptions and Catalog'!$F$61,IF(((D204+E204)*C204-G204)&lt;='Assumptions and Catalog'!$C$62,((D204+E204)*C204-G204)*'Assumptions and Catalog'!$H$62+'Assumptions and Catalog'!$E$62+'Assumptions and Catalog'!$F$62,IF(((D204+E204)*C204-G204)&lt;='Assumptions and Catalog'!$C$63,((D204+E204)*C204-G204)*'Assumptions and Catalog'!$H$63+'Assumptions and Catalog'!$E$63+'Assumptions and Catalog'!$F$63,IF(((D204+E204)*C204-G204)&lt;='Assumptions and Catalog'!$C$64,((D204+E204)*C204-G204)*'Assumptions and Catalog'!$H$64+'Assumptions and Catalog'!$E$64+'Assumptions and Catalog'!$F$64,IF(((D204+E204)*C204-G204)&lt;='Assumptions and Catalog'!$C$65,((D204+E204)*C204-G204)*'Assumptions and Catalog'!$H$65+'Assumptions and Catalog'!$E$65+'Assumptions and Catalog'!$F$65,"Out of range")))))))))*(1+'Assumptions and Catalog'!$C$8)^(A204-1),0)</f>
        <v>5070.6455361994076</v>
      </c>
      <c r="R204" s="5">
        <f>IF(AND('Assumptions and Catalog'!$C$19&gt;0,A204&gt;='Assumptions and Catalog'!$C$19),A204-'Assumptions and Catalog'!$C$19,A204-1)</f>
        <v>3</v>
      </c>
      <c r="S204" s="5">
        <f t="shared" si="13"/>
        <v>0</v>
      </c>
      <c r="T204" s="5"/>
      <c r="U204" s="5"/>
    </row>
    <row r="205" spans="1:21" ht="23.1" customHeight="1" outlineLevel="1" x14ac:dyDescent="0.2">
      <c r="A205" s="5">
        <v>4</v>
      </c>
      <c r="B205" s="5">
        <v>9</v>
      </c>
      <c r="C205" s="5">
        <f>DAY(DATE('Assumptions and Catalog'!$C$24+A205-1,B205+1,0))</f>
        <v>30</v>
      </c>
      <c r="D205" s="5">
        <f>IF(ISNUMBER(Inputs!$L$5),Inputs!$L$5*Inputs!$L$6,0)</f>
        <v>40.35</v>
      </c>
      <c r="E205" s="5">
        <f>IF(ISNUMBER(Inputs!$L$5),Inputs!$L$5-D205,0)</f>
        <v>40.35</v>
      </c>
      <c r="F205" s="5">
        <f>C$51*'Assumptions and Catalog'!$C$31*C205*(1-'Assumptions and Catalog'!$C$10)^(A205-1)</f>
        <v>986.04024837750023</v>
      </c>
      <c r="G205" s="5">
        <f t="shared" si="8"/>
        <v>986.04024837750023</v>
      </c>
      <c r="H205" s="5">
        <f>I205/('Assumptions and Catalog'!$C$11*'Assumptions and Catalog'!$C$12)</f>
        <v>0</v>
      </c>
      <c r="I205" s="5">
        <f>0</f>
        <v>0</v>
      </c>
      <c r="J205" s="5">
        <f t="shared" si="9"/>
        <v>0</v>
      </c>
      <c r="K205" s="5">
        <f t="shared" si="10"/>
        <v>0</v>
      </c>
      <c r="L205" s="5">
        <f t="shared" si="11"/>
        <v>1434.9597516224999</v>
      </c>
      <c r="M205" s="5">
        <f>IF(ISNUMBER(Inputs!$L$5),(IF(Inputs!$L$9="Actual flat rate",((D205+E205)*C205)*Inputs!$L$10,IF(Inputs!$C$9="Residential",IF(((D205+E205)*C205)&lt;='Assumptions and Catalog'!$C$50,((D205+E205)*C205)*'Assumptions and Catalog'!$H$50+'Assumptions and Catalog'!$E$50+'Assumptions and Catalog'!$F$50,IF(((D205+E205)*C205)&lt;='Assumptions and Catalog'!$C$51,((D205+E205)*C205)*'Assumptions and Catalog'!$H$51+'Assumptions and Catalog'!$E$51+'Assumptions and Catalog'!$F$51,IF(((D205+E205)*C205)&lt;='Assumptions and Catalog'!$C$52,((D205+E205)*C205)*'Assumptions and Catalog'!$H$52+'Assumptions and Catalog'!$E$52+'Assumptions and Catalog'!$F$52,IF(((D205+E205)*C205)&lt;='Assumptions and Catalog'!$C$53,((D205+E205)*C205)*'Assumptions and Catalog'!$H$53+'Assumptions and Catalog'!$E$53+'Assumptions and Catalog'!$F$53,IF(((D205+E205)*C205)&lt;='Assumptions and Catalog'!$C$54,((D205+E205)*C205)*'Assumptions and Catalog'!$H$54+'Assumptions and Catalog'!$E$54+'Assumptions and Catalog'!$F$54,IF(((D205+E205)*C205)&lt;='Assumptions and Catalog'!$C$55,((D205+E205)*C205)*'Assumptions and Catalog'!$H$55+'Assumptions and Catalog'!$E$55+'Assumptions and Catalog'!$F$55,IF(((D205+E205)*C205)&lt;='Assumptions and Catalog'!$C$56,((D205+E205)*C205)*'Assumptions and Catalog'!$H$56+'Assumptions and Catalog'!$E$56+'Assumptions and Catalog'!$F$56,IF(((D205+E205)*C205)&lt;='Assumptions and Catalog'!$C$57,((D205+E205)*C205)*'Assumptions and Catalog'!$H$57+'Assumptions and Catalog'!$E$57+'Assumptions and Catalog'!$F$57,"Out of range")))))))),IF(((D205+E205)*C205)&lt;='Assumptions and Catalog'!$C$60,((D205+E205)*C205)*'Assumptions and Catalog'!$H$60+'Assumptions and Catalog'!$E$60+'Assumptions and Catalog'!$F$60,IF(((D205+E205)*C205)&lt;='Assumptions and Catalog'!$C$61,((D205+E205)*C205)*'Assumptions and Catalog'!$H$61+'Assumptions and Catalog'!$E$61+'Assumptions and Catalog'!$F$61,IF(((D205+E205)*C205)&lt;='Assumptions and Catalog'!$C$62,((D205+E205)*C205)*'Assumptions and Catalog'!$H$62+'Assumptions and Catalog'!$E$62+'Assumptions and Catalog'!$F$62,IF(((D205+E205)*C205)&lt;='Assumptions and Catalog'!$C$63,((D205+E205)*C205)*'Assumptions and Catalog'!$H$63+'Assumptions and Catalog'!$E$63+'Assumptions and Catalog'!$F$63,IF(((D205+E205)*C205)&lt;='Assumptions and Catalog'!$C$64,((D205+E205)*C205)*'Assumptions and Catalog'!$H$64+'Assumptions and Catalog'!$E$64+'Assumptions and Catalog'!$F$64,IF(((D205+E205)*C205)&lt;='Assumptions and Catalog'!$C$65,((D205+E205)*C205)*'Assumptions and Catalog'!$H$65+'Assumptions and Catalog'!$E$65+'Assumptions and Catalog'!$F$65,"Out of range")))))))))*(1+'Assumptions and Catalog'!$C$8)^(A205-1),0)</f>
        <v>8279</v>
      </c>
      <c r="N205" s="5">
        <f>IF(ISNUMBER(Inputs!$L$5),(IF(Inputs!$L$9="Actual flat rate",L205*Inputs!$L$10,IF(Inputs!$C$9="Residential",IF(L205&lt;='Assumptions and Catalog'!$C$50,L205*'Assumptions and Catalog'!$H$50+'Assumptions and Catalog'!$E$50+'Assumptions and Catalog'!$F$50,IF(L205&lt;='Assumptions and Catalog'!$C$51,L205*'Assumptions and Catalog'!$H$51+'Assumptions and Catalog'!$E$51+'Assumptions and Catalog'!$F$51,IF(L205&lt;='Assumptions and Catalog'!$C$52,L205*'Assumptions and Catalog'!$H$52+'Assumptions and Catalog'!$E$52+'Assumptions and Catalog'!$F$52,IF(L205&lt;='Assumptions and Catalog'!$C$53,L205*'Assumptions and Catalog'!$H$53+'Assumptions and Catalog'!$E$53+'Assumptions and Catalog'!$F$53,IF(L205&lt;='Assumptions and Catalog'!$C$54,L205*'Assumptions and Catalog'!$H$54+'Assumptions and Catalog'!$E$54+'Assumptions and Catalog'!$F$54,IF(L205&lt;='Assumptions and Catalog'!$C$55,L205*'Assumptions and Catalog'!$H$55+'Assumptions and Catalog'!$E$55+'Assumptions and Catalog'!$F$55,IF(L205&lt;='Assumptions and Catalog'!$C$56,L205*'Assumptions and Catalog'!$H$56+'Assumptions and Catalog'!$E$56+'Assumptions and Catalog'!$F$56,IF(L205&lt;='Assumptions and Catalog'!$C$57,L205*'Assumptions and Catalog'!$H$57+'Assumptions and Catalog'!$E$57+'Assumptions and Catalog'!$F$57,"Out of range")))))))),IF(L205&lt;='Assumptions and Catalog'!$C$60,L205*'Assumptions and Catalog'!$H$60+'Assumptions and Catalog'!$E$60+'Assumptions and Catalog'!$F$60,IF(L205&lt;='Assumptions and Catalog'!$C$61,L205*'Assumptions and Catalog'!$H$61+'Assumptions and Catalog'!$E$61+'Assumptions and Catalog'!$F$61,IF(L205&lt;='Assumptions and Catalog'!$C$62,L205*'Assumptions and Catalog'!$H$62+'Assumptions and Catalog'!$E$62+'Assumptions and Catalog'!$F$62,IF(L205&lt;='Assumptions and Catalog'!$C$63,L205*'Assumptions and Catalog'!$H$63+'Assumptions and Catalog'!$E$63+'Assumptions and Catalog'!$F$63,IF(L205&lt;='Assumptions and Catalog'!$C$64,L205*'Assumptions and Catalog'!$H$64+'Assumptions and Catalog'!$E$64+'Assumptions and Catalog'!$F$64,IF(L205&lt;='Assumptions and Catalog'!$C$65,L205*'Assumptions and Catalog'!$H$65+'Assumptions and Catalog'!$E$65+'Assumptions and Catalog'!$F$65,"Out of range")))))))))*(1+'Assumptions and Catalog'!$C$8)^(A205-1),0)</f>
        <v>4907.0763253542655</v>
      </c>
      <c r="O205" s="5">
        <f t="shared" si="12"/>
        <v>3371.9236746457345</v>
      </c>
      <c r="P205" s="5">
        <f>C$55*(1-J$14)*(1-'Assumptions and Catalog'!$C$23)^R205</f>
        <v>0</v>
      </c>
      <c r="Q205" s="5">
        <f>IF(ISNUMBER(Inputs!$L$5),(IF(Inputs!$L$9="Actual flat rate",((D205+E205)*C205-G205)*Inputs!$L$10,IF(Inputs!$C$9="Residential",IF(((D205+E205)*C205-G205)&lt;='Assumptions and Catalog'!$C$50,((D205+E205)*C205-G205)*'Assumptions and Catalog'!$H$50+'Assumptions and Catalog'!$E$50+'Assumptions and Catalog'!$F$50,IF(((D205+E205)*C205-G205)&lt;='Assumptions and Catalog'!$C$51,((D205+E205)*C205-G205)*'Assumptions and Catalog'!$H$51+'Assumptions and Catalog'!$E$51+'Assumptions and Catalog'!$F$51,IF(((D205+E205)*C205-G205)&lt;='Assumptions and Catalog'!$C$52,((D205+E205)*C205-G205)*'Assumptions and Catalog'!$H$52+'Assumptions and Catalog'!$E$52+'Assumptions and Catalog'!$F$52,IF(((D205+E205)*C205-G205)&lt;='Assumptions and Catalog'!$C$53,((D205+E205)*C205-G205)*'Assumptions and Catalog'!$H$53+'Assumptions and Catalog'!$E$53+'Assumptions and Catalog'!$F$53,IF(((D205+E205)*C205-G205)&lt;='Assumptions and Catalog'!$C$54,((D205+E205)*C205-G205)*'Assumptions and Catalog'!$H$54+'Assumptions and Catalog'!$E$54+'Assumptions and Catalog'!$F$54,IF(((D205+E205)*C205-G205)&lt;='Assumptions and Catalog'!$C$55,((D205+E205)*C205-G205)*'Assumptions and Catalog'!$H$55+'Assumptions and Catalog'!$E$55+'Assumptions and Catalog'!$F$55,IF(((D205+E205)*C205-G205)&lt;='Assumptions and Catalog'!$C$56,((D205+E205)*C205-G205)*'Assumptions and Catalog'!$H$56+'Assumptions and Catalog'!$E$56+'Assumptions and Catalog'!$F$56,IF(((D205+E205)*C205-G205)&lt;='Assumptions and Catalog'!$C$57,((D205+E205)*C205-G205)*'Assumptions and Catalog'!$H$57+'Assumptions and Catalog'!$E$57+'Assumptions and Catalog'!$F$57,"Out of range")))))))),IF(((D205+E205)*C205-G205)&lt;='Assumptions and Catalog'!$C$60,((D205+E205)*C205-G205)*'Assumptions and Catalog'!$H$60+'Assumptions and Catalog'!$E$60+'Assumptions and Catalog'!$F$60,IF(((D205+E205)*C205-G205)&lt;='Assumptions and Catalog'!$C$61,((D205+E205)*C205-G205)*'Assumptions and Catalog'!$H$61+'Assumptions and Catalog'!$E$61+'Assumptions and Catalog'!$F$61,IF(((D205+E205)*C205-G205)&lt;='Assumptions and Catalog'!$C$62,((D205+E205)*C205-G205)*'Assumptions and Catalog'!$H$62+'Assumptions and Catalog'!$E$62+'Assumptions and Catalog'!$F$62,IF(((D205+E205)*C205-G205)&lt;='Assumptions and Catalog'!$C$63,((D205+E205)*C205-G205)*'Assumptions and Catalog'!$H$63+'Assumptions and Catalog'!$E$63+'Assumptions and Catalog'!$F$63,IF(((D205+E205)*C205-G205)&lt;='Assumptions and Catalog'!$C$64,((D205+E205)*C205-G205)*'Assumptions and Catalog'!$H$64+'Assumptions and Catalog'!$E$64+'Assumptions and Catalog'!$F$64,IF(((D205+E205)*C205-G205)&lt;='Assumptions and Catalog'!$C$65,((D205+E205)*C205-G205)*'Assumptions and Catalog'!$H$65+'Assumptions and Catalog'!$E$65+'Assumptions and Catalog'!$F$65,"Out of range")))))))))*(1+'Assumptions and Catalog'!$C$8)^(A205-1),0)</f>
        <v>4907.0763253542655</v>
      </c>
      <c r="R205" s="5">
        <f>IF(AND('Assumptions and Catalog'!$C$19&gt;0,A205&gt;='Assumptions and Catalog'!$C$19),A205-'Assumptions and Catalog'!$C$19,A205-1)</f>
        <v>3</v>
      </c>
      <c r="S205" s="5">
        <f t="shared" si="13"/>
        <v>0</v>
      </c>
      <c r="T205" s="5"/>
      <c r="U205" s="5"/>
    </row>
    <row r="206" spans="1:21" ht="23.1" customHeight="1" outlineLevel="1" x14ac:dyDescent="0.2">
      <c r="A206" s="5">
        <v>4</v>
      </c>
      <c r="B206" s="5">
        <v>10</v>
      </c>
      <c r="C206" s="5">
        <f>DAY(DATE('Assumptions and Catalog'!$C$24+A206-1,B206+1,0))</f>
        <v>31</v>
      </c>
      <c r="D206" s="5">
        <f>IF(ISNUMBER(Inputs!$L$5),Inputs!$L$5*Inputs!$L$6,0)</f>
        <v>40.35</v>
      </c>
      <c r="E206" s="5">
        <f>IF(ISNUMBER(Inputs!$L$5),Inputs!$L$5-D206,0)</f>
        <v>40.35</v>
      </c>
      <c r="F206" s="5">
        <f>C$51*'Assumptions and Catalog'!$C$31*C206*(1-'Assumptions and Catalog'!$C$10)^(A206-1)</f>
        <v>1018.9082566567503</v>
      </c>
      <c r="G206" s="5">
        <f t="shared" si="8"/>
        <v>1018.9082566567503</v>
      </c>
      <c r="H206" s="5">
        <f>I206/('Assumptions and Catalog'!$C$11*'Assumptions and Catalog'!$C$12)</f>
        <v>0</v>
      </c>
      <c r="I206" s="5">
        <f>0</f>
        <v>0</v>
      </c>
      <c r="J206" s="5">
        <f t="shared" si="9"/>
        <v>0</v>
      </c>
      <c r="K206" s="5">
        <f t="shared" si="10"/>
        <v>0</v>
      </c>
      <c r="L206" s="5">
        <f t="shared" si="11"/>
        <v>1482.7917433432499</v>
      </c>
      <c r="M206" s="5">
        <f>IF(ISNUMBER(Inputs!$L$5),(IF(Inputs!$L$9="Actual flat rate",((D206+E206)*C206)*Inputs!$L$10,IF(Inputs!$C$9="Residential",IF(((D206+E206)*C206)&lt;='Assumptions and Catalog'!$C$50,((D206+E206)*C206)*'Assumptions and Catalog'!$H$50+'Assumptions and Catalog'!$E$50+'Assumptions and Catalog'!$F$50,IF(((D206+E206)*C206)&lt;='Assumptions and Catalog'!$C$51,((D206+E206)*C206)*'Assumptions and Catalog'!$H$51+'Assumptions and Catalog'!$E$51+'Assumptions and Catalog'!$F$51,IF(((D206+E206)*C206)&lt;='Assumptions and Catalog'!$C$52,((D206+E206)*C206)*'Assumptions and Catalog'!$H$52+'Assumptions and Catalog'!$E$52+'Assumptions and Catalog'!$F$52,IF(((D206+E206)*C206)&lt;='Assumptions and Catalog'!$C$53,((D206+E206)*C206)*'Assumptions and Catalog'!$H$53+'Assumptions and Catalog'!$E$53+'Assumptions and Catalog'!$F$53,IF(((D206+E206)*C206)&lt;='Assumptions and Catalog'!$C$54,((D206+E206)*C206)*'Assumptions and Catalog'!$H$54+'Assumptions and Catalog'!$E$54+'Assumptions and Catalog'!$F$54,IF(((D206+E206)*C206)&lt;='Assumptions and Catalog'!$C$55,((D206+E206)*C206)*'Assumptions and Catalog'!$H$55+'Assumptions and Catalog'!$E$55+'Assumptions and Catalog'!$F$55,IF(((D206+E206)*C206)&lt;='Assumptions and Catalog'!$C$56,((D206+E206)*C206)*'Assumptions and Catalog'!$H$56+'Assumptions and Catalog'!$E$56+'Assumptions and Catalog'!$F$56,IF(((D206+E206)*C206)&lt;='Assumptions and Catalog'!$C$57,((D206+E206)*C206)*'Assumptions and Catalog'!$H$57+'Assumptions and Catalog'!$E$57+'Assumptions and Catalog'!$F$57,"Out of range")))))))),IF(((D206+E206)*C206)&lt;='Assumptions and Catalog'!$C$60,((D206+E206)*C206)*'Assumptions and Catalog'!$H$60+'Assumptions and Catalog'!$E$60+'Assumptions and Catalog'!$F$60,IF(((D206+E206)*C206)&lt;='Assumptions and Catalog'!$C$61,((D206+E206)*C206)*'Assumptions and Catalog'!$H$61+'Assumptions and Catalog'!$E$61+'Assumptions and Catalog'!$F$61,IF(((D206+E206)*C206)&lt;='Assumptions and Catalog'!$C$62,((D206+E206)*C206)*'Assumptions and Catalog'!$H$62+'Assumptions and Catalog'!$E$62+'Assumptions and Catalog'!$F$62,IF(((D206+E206)*C206)&lt;='Assumptions and Catalog'!$C$63,((D206+E206)*C206)*'Assumptions and Catalog'!$H$63+'Assumptions and Catalog'!$E$63+'Assumptions and Catalog'!$F$63,IF(((D206+E206)*C206)&lt;='Assumptions and Catalog'!$C$64,((D206+E206)*C206)*'Assumptions and Catalog'!$H$64+'Assumptions and Catalog'!$E$64+'Assumptions and Catalog'!$F$64,IF(((D206+E206)*C206)&lt;='Assumptions and Catalog'!$C$65,((D206+E206)*C206)*'Assumptions and Catalog'!$H$65+'Assumptions and Catalog'!$E$65+'Assumptions and Catalog'!$F$65,"Out of range")))))))))*(1+'Assumptions and Catalog'!$C$8)^(A206-1),0)</f>
        <v>8554.9666666666672</v>
      </c>
      <c r="N206" s="5">
        <f>IF(ISNUMBER(Inputs!$L$5),(IF(Inputs!$L$9="Actual flat rate",L206*Inputs!$L$10,IF(Inputs!$C$9="Residential",IF(L206&lt;='Assumptions and Catalog'!$C$50,L206*'Assumptions and Catalog'!$H$50+'Assumptions and Catalog'!$E$50+'Assumptions and Catalog'!$F$50,IF(L206&lt;='Assumptions and Catalog'!$C$51,L206*'Assumptions and Catalog'!$H$51+'Assumptions and Catalog'!$E$51+'Assumptions and Catalog'!$F$51,IF(L206&lt;='Assumptions and Catalog'!$C$52,L206*'Assumptions and Catalog'!$H$52+'Assumptions and Catalog'!$E$52+'Assumptions and Catalog'!$F$52,IF(L206&lt;='Assumptions and Catalog'!$C$53,L206*'Assumptions and Catalog'!$H$53+'Assumptions and Catalog'!$E$53+'Assumptions and Catalog'!$F$53,IF(L206&lt;='Assumptions and Catalog'!$C$54,L206*'Assumptions and Catalog'!$H$54+'Assumptions and Catalog'!$E$54+'Assumptions and Catalog'!$F$54,IF(L206&lt;='Assumptions and Catalog'!$C$55,L206*'Assumptions and Catalog'!$H$55+'Assumptions and Catalog'!$E$55+'Assumptions and Catalog'!$F$55,IF(L206&lt;='Assumptions and Catalog'!$C$56,L206*'Assumptions and Catalog'!$H$56+'Assumptions and Catalog'!$E$56+'Assumptions and Catalog'!$F$56,IF(L206&lt;='Assumptions and Catalog'!$C$57,L206*'Assumptions and Catalog'!$H$57+'Assumptions and Catalog'!$E$57+'Assumptions and Catalog'!$F$57,"Out of range")))))))),IF(L206&lt;='Assumptions and Catalog'!$C$60,L206*'Assumptions and Catalog'!$H$60+'Assumptions and Catalog'!$E$60+'Assumptions and Catalog'!$F$60,IF(L206&lt;='Assumptions and Catalog'!$C$61,L206*'Assumptions and Catalog'!$H$61+'Assumptions and Catalog'!$E$61+'Assumptions and Catalog'!$F$61,IF(L206&lt;='Assumptions and Catalog'!$C$62,L206*'Assumptions and Catalog'!$H$62+'Assumptions and Catalog'!$E$62+'Assumptions and Catalog'!$F$62,IF(L206&lt;='Assumptions and Catalog'!$C$63,L206*'Assumptions and Catalog'!$H$63+'Assumptions and Catalog'!$E$63+'Assumptions and Catalog'!$F$63,IF(L206&lt;='Assumptions and Catalog'!$C$64,L206*'Assumptions and Catalog'!$H$64+'Assumptions and Catalog'!$E$64+'Assumptions and Catalog'!$F$64,IF(L206&lt;='Assumptions and Catalog'!$C$65,L206*'Assumptions and Catalog'!$H$65+'Assumptions and Catalog'!$E$65+'Assumptions and Catalog'!$F$65,"Out of range")))))))))*(1+'Assumptions and Catalog'!$C$8)^(A206-1),0)</f>
        <v>5070.6455361994076</v>
      </c>
      <c r="O206" s="5">
        <f t="shared" si="12"/>
        <v>3484.3211304672595</v>
      </c>
      <c r="P206" s="5">
        <f>C$55*(1-J$14)*(1-'Assumptions and Catalog'!$C$23)^R206</f>
        <v>0</v>
      </c>
      <c r="Q206" s="5">
        <f>IF(ISNUMBER(Inputs!$L$5),(IF(Inputs!$L$9="Actual flat rate",((D206+E206)*C206-G206)*Inputs!$L$10,IF(Inputs!$C$9="Residential",IF(((D206+E206)*C206-G206)&lt;='Assumptions and Catalog'!$C$50,((D206+E206)*C206-G206)*'Assumptions and Catalog'!$H$50+'Assumptions and Catalog'!$E$50+'Assumptions and Catalog'!$F$50,IF(((D206+E206)*C206-G206)&lt;='Assumptions and Catalog'!$C$51,((D206+E206)*C206-G206)*'Assumptions and Catalog'!$H$51+'Assumptions and Catalog'!$E$51+'Assumptions and Catalog'!$F$51,IF(((D206+E206)*C206-G206)&lt;='Assumptions and Catalog'!$C$52,((D206+E206)*C206-G206)*'Assumptions and Catalog'!$H$52+'Assumptions and Catalog'!$E$52+'Assumptions and Catalog'!$F$52,IF(((D206+E206)*C206-G206)&lt;='Assumptions and Catalog'!$C$53,((D206+E206)*C206-G206)*'Assumptions and Catalog'!$H$53+'Assumptions and Catalog'!$E$53+'Assumptions and Catalog'!$F$53,IF(((D206+E206)*C206-G206)&lt;='Assumptions and Catalog'!$C$54,((D206+E206)*C206-G206)*'Assumptions and Catalog'!$H$54+'Assumptions and Catalog'!$E$54+'Assumptions and Catalog'!$F$54,IF(((D206+E206)*C206-G206)&lt;='Assumptions and Catalog'!$C$55,((D206+E206)*C206-G206)*'Assumptions and Catalog'!$H$55+'Assumptions and Catalog'!$E$55+'Assumptions and Catalog'!$F$55,IF(((D206+E206)*C206-G206)&lt;='Assumptions and Catalog'!$C$56,((D206+E206)*C206-G206)*'Assumptions and Catalog'!$H$56+'Assumptions and Catalog'!$E$56+'Assumptions and Catalog'!$F$56,IF(((D206+E206)*C206-G206)&lt;='Assumptions and Catalog'!$C$57,((D206+E206)*C206-G206)*'Assumptions and Catalog'!$H$57+'Assumptions and Catalog'!$E$57+'Assumptions and Catalog'!$F$57,"Out of range")))))))),IF(((D206+E206)*C206-G206)&lt;='Assumptions and Catalog'!$C$60,((D206+E206)*C206-G206)*'Assumptions and Catalog'!$H$60+'Assumptions and Catalog'!$E$60+'Assumptions and Catalog'!$F$60,IF(((D206+E206)*C206-G206)&lt;='Assumptions and Catalog'!$C$61,((D206+E206)*C206-G206)*'Assumptions and Catalog'!$H$61+'Assumptions and Catalog'!$E$61+'Assumptions and Catalog'!$F$61,IF(((D206+E206)*C206-G206)&lt;='Assumptions and Catalog'!$C$62,((D206+E206)*C206-G206)*'Assumptions and Catalog'!$H$62+'Assumptions and Catalog'!$E$62+'Assumptions and Catalog'!$F$62,IF(((D206+E206)*C206-G206)&lt;='Assumptions and Catalog'!$C$63,((D206+E206)*C206-G206)*'Assumptions and Catalog'!$H$63+'Assumptions and Catalog'!$E$63+'Assumptions and Catalog'!$F$63,IF(((D206+E206)*C206-G206)&lt;='Assumptions and Catalog'!$C$64,((D206+E206)*C206-G206)*'Assumptions and Catalog'!$H$64+'Assumptions and Catalog'!$E$64+'Assumptions and Catalog'!$F$64,IF(((D206+E206)*C206-G206)&lt;='Assumptions and Catalog'!$C$65,((D206+E206)*C206-G206)*'Assumptions and Catalog'!$H$65+'Assumptions and Catalog'!$E$65+'Assumptions and Catalog'!$F$65,"Out of range")))))))))*(1+'Assumptions and Catalog'!$C$8)^(A206-1),0)</f>
        <v>5070.6455361994076</v>
      </c>
      <c r="R206" s="5">
        <f>IF(AND('Assumptions and Catalog'!$C$19&gt;0,A206&gt;='Assumptions and Catalog'!$C$19),A206-'Assumptions and Catalog'!$C$19,A206-1)</f>
        <v>3</v>
      </c>
      <c r="S206" s="5">
        <f t="shared" si="13"/>
        <v>0</v>
      </c>
      <c r="T206" s="5"/>
      <c r="U206" s="5"/>
    </row>
    <row r="207" spans="1:21" ht="23.1" customHeight="1" outlineLevel="1" x14ac:dyDescent="0.2">
      <c r="A207" s="5">
        <v>4</v>
      </c>
      <c r="B207" s="5">
        <v>11</v>
      </c>
      <c r="C207" s="5">
        <f>DAY(DATE('Assumptions and Catalog'!$C$24+A207-1,B207+1,0))</f>
        <v>30</v>
      </c>
      <c r="D207" s="5">
        <f>IF(ISNUMBER(Inputs!$L$5),Inputs!$L$5*Inputs!$L$6,0)</f>
        <v>40.35</v>
      </c>
      <c r="E207" s="5">
        <f>IF(ISNUMBER(Inputs!$L$5),Inputs!$L$5-D207,0)</f>
        <v>40.35</v>
      </c>
      <c r="F207" s="5">
        <f>C$51*'Assumptions and Catalog'!$C$31*C207*(1-'Assumptions and Catalog'!$C$10)^(A207-1)</f>
        <v>986.04024837750023</v>
      </c>
      <c r="G207" s="5">
        <f t="shared" si="8"/>
        <v>986.04024837750023</v>
      </c>
      <c r="H207" s="5">
        <f>I207/('Assumptions and Catalog'!$C$11*'Assumptions and Catalog'!$C$12)</f>
        <v>0</v>
      </c>
      <c r="I207" s="5">
        <f>0</f>
        <v>0</v>
      </c>
      <c r="J207" s="5">
        <f t="shared" si="9"/>
        <v>0</v>
      </c>
      <c r="K207" s="5">
        <f t="shared" si="10"/>
        <v>0</v>
      </c>
      <c r="L207" s="5">
        <f t="shared" si="11"/>
        <v>1434.9597516224999</v>
      </c>
      <c r="M207" s="5">
        <f>IF(ISNUMBER(Inputs!$L$5),(IF(Inputs!$L$9="Actual flat rate",((D207+E207)*C207)*Inputs!$L$10,IF(Inputs!$C$9="Residential",IF(((D207+E207)*C207)&lt;='Assumptions and Catalog'!$C$50,((D207+E207)*C207)*'Assumptions and Catalog'!$H$50+'Assumptions and Catalog'!$E$50+'Assumptions and Catalog'!$F$50,IF(((D207+E207)*C207)&lt;='Assumptions and Catalog'!$C$51,((D207+E207)*C207)*'Assumptions and Catalog'!$H$51+'Assumptions and Catalog'!$E$51+'Assumptions and Catalog'!$F$51,IF(((D207+E207)*C207)&lt;='Assumptions and Catalog'!$C$52,((D207+E207)*C207)*'Assumptions and Catalog'!$H$52+'Assumptions and Catalog'!$E$52+'Assumptions and Catalog'!$F$52,IF(((D207+E207)*C207)&lt;='Assumptions and Catalog'!$C$53,((D207+E207)*C207)*'Assumptions and Catalog'!$H$53+'Assumptions and Catalog'!$E$53+'Assumptions and Catalog'!$F$53,IF(((D207+E207)*C207)&lt;='Assumptions and Catalog'!$C$54,((D207+E207)*C207)*'Assumptions and Catalog'!$H$54+'Assumptions and Catalog'!$E$54+'Assumptions and Catalog'!$F$54,IF(((D207+E207)*C207)&lt;='Assumptions and Catalog'!$C$55,((D207+E207)*C207)*'Assumptions and Catalog'!$H$55+'Assumptions and Catalog'!$E$55+'Assumptions and Catalog'!$F$55,IF(((D207+E207)*C207)&lt;='Assumptions and Catalog'!$C$56,((D207+E207)*C207)*'Assumptions and Catalog'!$H$56+'Assumptions and Catalog'!$E$56+'Assumptions and Catalog'!$F$56,IF(((D207+E207)*C207)&lt;='Assumptions and Catalog'!$C$57,((D207+E207)*C207)*'Assumptions and Catalog'!$H$57+'Assumptions and Catalog'!$E$57+'Assumptions and Catalog'!$F$57,"Out of range")))))))),IF(((D207+E207)*C207)&lt;='Assumptions and Catalog'!$C$60,((D207+E207)*C207)*'Assumptions and Catalog'!$H$60+'Assumptions and Catalog'!$E$60+'Assumptions and Catalog'!$F$60,IF(((D207+E207)*C207)&lt;='Assumptions and Catalog'!$C$61,((D207+E207)*C207)*'Assumptions and Catalog'!$H$61+'Assumptions and Catalog'!$E$61+'Assumptions and Catalog'!$F$61,IF(((D207+E207)*C207)&lt;='Assumptions and Catalog'!$C$62,((D207+E207)*C207)*'Assumptions and Catalog'!$H$62+'Assumptions and Catalog'!$E$62+'Assumptions and Catalog'!$F$62,IF(((D207+E207)*C207)&lt;='Assumptions and Catalog'!$C$63,((D207+E207)*C207)*'Assumptions and Catalog'!$H$63+'Assumptions and Catalog'!$E$63+'Assumptions and Catalog'!$F$63,IF(((D207+E207)*C207)&lt;='Assumptions and Catalog'!$C$64,((D207+E207)*C207)*'Assumptions and Catalog'!$H$64+'Assumptions and Catalog'!$E$64+'Assumptions and Catalog'!$F$64,IF(((D207+E207)*C207)&lt;='Assumptions and Catalog'!$C$65,((D207+E207)*C207)*'Assumptions and Catalog'!$H$65+'Assumptions and Catalog'!$E$65+'Assumptions and Catalog'!$F$65,"Out of range")))))))))*(1+'Assumptions and Catalog'!$C$8)^(A207-1),0)</f>
        <v>8279</v>
      </c>
      <c r="N207" s="5">
        <f>IF(ISNUMBER(Inputs!$L$5),(IF(Inputs!$L$9="Actual flat rate",L207*Inputs!$L$10,IF(Inputs!$C$9="Residential",IF(L207&lt;='Assumptions and Catalog'!$C$50,L207*'Assumptions and Catalog'!$H$50+'Assumptions and Catalog'!$E$50+'Assumptions and Catalog'!$F$50,IF(L207&lt;='Assumptions and Catalog'!$C$51,L207*'Assumptions and Catalog'!$H$51+'Assumptions and Catalog'!$E$51+'Assumptions and Catalog'!$F$51,IF(L207&lt;='Assumptions and Catalog'!$C$52,L207*'Assumptions and Catalog'!$H$52+'Assumptions and Catalog'!$E$52+'Assumptions and Catalog'!$F$52,IF(L207&lt;='Assumptions and Catalog'!$C$53,L207*'Assumptions and Catalog'!$H$53+'Assumptions and Catalog'!$E$53+'Assumptions and Catalog'!$F$53,IF(L207&lt;='Assumptions and Catalog'!$C$54,L207*'Assumptions and Catalog'!$H$54+'Assumptions and Catalog'!$E$54+'Assumptions and Catalog'!$F$54,IF(L207&lt;='Assumptions and Catalog'!$C$55,L207*'Assumptions and Catalog'!$H$55+'Assumptions and Catalog'!$E$55+'Assumptions and Catalog'!$F$55,IF(L207&lt;='Assumptions and Catalog'!$C$56,L207*'Assumptions and Catalog'!$H$56+'Assumptions and Catalog'!$E$56+'Assumptions and Catalog'!$F$56,IF(L207&lt;='Assumptions and Catalog'!$C$57,L207*'Assumptions and Catalog'!$H$57+'Assumptions and Catalog'!$E$57+'Assumptions and Catalog'!$F$57,"Out of range")))))))),IF(L207&lt;='Assumptions and Catalog'!$C$60,L207*'Assumptions and Catalog'!$H$60+'Assumptions and Catalog'!$E$60+'Assumptions and Catalog'!$F$60,IF(L207&lt;='Assumptions and Catalog'!$C$61,L207*'Assumptions and Catalog'!$H$61+'Assumptions and Catalog'!$E$61+'Assumptions and Catalog'!$F$61,IF(L207&lt;='Assumptions and Catalog'!$C$62,L207*'Assumptions and Catalog'!$H$62+'Assumptions and Catalog'!$E$62+'Assumptions and Catalog'!$F$62,IF(L207&lt;='Assumptions and Catalog'!$C$63,L207*'Assumptions and Catalog'!$H$63+'Assumptions and Catalog'!$E$63+'Assumptions and Catalog'!$F$63,IF(L207&lt;='Assumptions and Catalog'!$C$64,L207*'Assumptions and Catalog'!$H$64+'Assumptions and Catalog'!$E$64+'Assumptions and Catalog'!$F$64,IF(L207&lt;='Assumptions and Catalog'!$C$65,L207*'Assumptions and Catalog'!$H$65+'Assumptions and Catalog'!$E$65+'Assumptions and Catalog'!$F$65,"Out of range")))))))))*(1+'Assumptions and Catalog'!$C$8)^(A207-1),0)</f>
        <v>4907.0763253542655</v>
      </c>
      <c r="O207" s="5">
        <f t="shared" si="12"/>
        <v>3371.9236746457345</v>
      </c>
      <c r="P207" s="5">
        <f>C$55*(1-J$14)*(1-'Assumptions and Catalog'!$C$23)^R207</f>
        <v>0</v>
      </c>
      <c r="Q207" s="5">
        <f>IF(ISNUMBER(Inputs!$L$5),(IF(Inputs!$L$9="Actual flat rate",((D207+E207)*C207-G207)*Inputs!$L$10,IF(Inputs!$C$9="Residential",IF(((D207+E207)*C207-G207)&lt;='Assumptions and Catalog'!$C$50,((D207+E207)*C207-G207)*'Assumptions and Catalog'!$H$50+'Assumptions and Catalog'!$E$50+'Assumptions and Catalog'!$F$50,IF(((D207+E207)*C207-G207)&lt;='Assumptions and Catalog'!$C$51,((D207+E207)*C207-G207)*'Assumptions and Catalog'!$H$51+'Assumptions and Catalog'!$E$51+'Assumptions and Catalog'!$F$51,IF(((D207+E207)*C207-G207)&lt;='Assumptions and Catalog'!$C$52,((D207+E207)*C207-G207)*'Assumptions and Catalog'!$H$52+'Assumptions and Catalog'!$E$52+'Assumptions and Catalog'!$F$52,IF(((D207+E207)*C207-G207)&lt;='Assumptions and Catalog'!$C$53,((D207+E207)*C207-G207)*'Assumptions and Catalog'!$H$53+'Assumptions and Catalog'!$E$53+'Assumptions and Catalog'!$F$53,IF(((D207+E207)*C207-G207)&lt;='Assumptions and Catalog'!$C$54,((D207+E207)*C207-G207)*'Assumptions and Catalog'!$H$54+'Assumptions and Catalog'!$E$54+'Assumptions and Catalog'!$F$54,IF(((D207+E207)*C207-G207)&lt;='Assumptions and Catalog'!$C$55,((D207+E207)*C207-G207)*'Assumptions and Catalog'!$H$55+'Assumptions and Catalog'!$E$55+'Assumptions and Catalog'!$F$55,IF(((D207+E207)*C207-G207)&lt;='Assumptions and Catalog'!$C$56,((D207+E207)*C207-G207)*'Assumptions and Catalog'!$H$56+'Assumptions and Catalog'!$E$56+'Assumptions and Catalog'!$F$56,IF(((D207+E207)*C207-G207)&lt;='Assumptions and Catalog'!$C$57,((D207+E207)*C207-G207)*'Assumptions and Catalog'!$H$57+'Assumptions and Catalog'!$E$57+'Assumptions and Catalog'!$F$57,"Out of range")))))))),IF(((D207+E207)*C207-G207)&lt;='Assumptions and Catalog'!$C$60,((D207+E207)*C207-G207)*'Assumptions and Catalog'!$H$60+'Assumptions and Catalog'!$E$60+'Assumptions and Catalog'!$F$60,IF(((D207+E207)*C207-G207)&lt;='Assumptions and Catalog'!$C$61,((D207+E207)*C207-G207)*'Assumptions and Catalog'!$H$61+'Assumptions and Catalog'!$E$61+'Assumptions and Catalog'!$F$61,IF(((D207+E207)*C207-G207)&lt;='Assumptions and Catalog'!$C$62,((D207+E207)*C207-G207)*'Assumptions and Catalog'!$H$62+'Assumptions and Catalog'!$E$62+'Assumptions and Catalog'!$F$62,IF(((D207+E207)*C207-G207)&lt;='Assumptions and Catalog'!$C$63,((D207+E207)*C207-G207)*'Assumptions and Catalog'!$H$63+'Assumptions and Catalog'!$E$63+'Assumptions and Catalog'!$F$63,IF(((D207+E207)*C207-G207)&lt;='Assumptions and Catalog'!$C$64,((D207+E207)*C207-G207)*'Assumptions and Catalog'!$H$64+'Assumptions and Catalog'!$E$64+'Assumptions and Catalog'!$F$64,IF(((D207+E207)*C207-G207)&lt;='Assumptions and Catalog'!$C$65,((D207+E207)*C207-G207)*'Assumptions and Catalog'!$H$65+'Assumptions and Catalog'!$E$65+'Assumptions and Catalog'!$F$65,"Out of range")))))))))*(1+'Assumptions and Catalog'!$C$8)^(A207-1),0)</f>
        <v>4907.0763253542655</v>
      </c>
      <c r="R207" s="5">
        <f>IF(AND('Assumptions and Catalog'!$C$19&gt;0,A207&gt;='Assumptions and Catalog'!$C$19),A207-'Assumptions and Catalog'!$C$19,A207-1)</f>
        <v>3</v>
      </c>
      <c r="S207" s="5">
        <f t="shared" si="13"/>
        <v>0</v>
      </c>
      <c r="T207" s="5"/>
      <c r="U207" s="5"/>
    </row>
    <row r="208" spans="1:21" ht="23.1" customHeight="1" outlineLevel="1" x14ac:dyDescent="0.2">
      <c r="A208" s="5">
        <v>4</v>
      </c>
      <c r="B208" s="5">
        <v>12</v>
      </c>
      <c r="C208" s="5">
        <f>DAY(DATE('Assumptions and Catalog'!$C$24+A208-1,B208+1,0))</f>
        <v>31</v>
      </c>
      <c r="D208" s="5">
        <f>IF(ISNUMBER(Inputs!$L$5),Inputs!$L$5*Inputs!$L$6,0)</f>
        <v>40.35</v>
      </c>
      <c r="E208" s="5">
        <f>IF(ISNUMBER(Inputs!$L$5),Inputs!$L$5-D208,0)</f>
        <v>40.35</v>
      </c>
      <c r="F208" s="5">
        <f>C$51*'Assumptions and Catalog'!$C$31*C208*(1-'Assumptions and Catalog'!$C$10)^(A208-1)</f>
        <v>1018.9082566567503</v>
      </c>
      <c r="G208" s="5">
        <f t="shared" si="8"/>
        <v>1018.9082566567503</v>
      </c>
      <c r="H208" s="5">
        <f>I208/('Assumptions and Catalog'!$C$11*'Assumptions and Catalog'!$C$12)</f>
        <v>0</v>
      </c>
      <c r="I208" s="5">
        <f>0</f>
        <v>0</v>
      </c>
      <c r="J208" s="5">
        <f t="shared" si="9"/>
        <v>0</v>
      </c>
      <c r="K208" s="5">
        <f t="shared" si="10"/>
        <v>0</v>
      </c>
      <c r="L208" s="5">
        <f t="shared" si="11"/>
        <v>1482.7917433432499</v>
      </c>
      <c r="M208" s="5">
        <f>IF(ISNUMBER(Inputs!$L$5),(IF(Inputs!$L$9="Actual flat rate",((D208+E208)*C208)*Inputs!$L$10,IF(Inputs!$C$9="Residential",IF(((D208+E208)*C208)&lt;='Assumptions and Catalog'!$C$50,((D208+E208)*C208)*'Assumptions and Catalog'!$H$50+'Assumptions and Catalog'!$E$50+'Assumptions and Catalog'!$F$50,IF(((D208+E208)*C208)&lt;='Assumptions and Catalog'!$C$51,((D208+E208)*C208)*'Assumptions and Catalog'!$H$51+'Assumptions and Catalog'!$E$51+'Assumptions and Catalog'!$F$51,IF(((D208+E208)*C208)&lt;='Assumptions and Catalog'!$C$52,((D208+E208)*C208)*'Assumptions and Catalog'!$H$52+'Assumptions and Catalog'!$E$52+'Assumptions and Catalog'!$F$52,IF(((D208+E208)*C208)&lt;='Assumptions and Catalog'!$C$53,((D208+E208)*C208)*'Assumptions and Catalog'!$H$53+'Assumptions and Catalog'!$E$53+'Assumptions and Catalog'!$F$53,IF(((D208+E208)*C208)&lt;='Assumptions and Catalog'!$C$54,((D208+E208)*C208)*'Assumptions and Catalog'!$H$54+'Assumptions and Catalog'!$E$54+'Assumptions and Catalog'!$F$54,IF(((D208+E208)*C208)&lt;='Assumptions and Catalog'!$C$55,((D208+E208)*C208)*'Assumptions and Catalog'!$H$55+'Assumptions and Catalog'!$E$55+'Assumptions and Catalog'!$F$55,IF(((D208+E208)*C208)&lt;='Assumptions and Catalog'!$C$56,((D208+E208)*C208)*'Assumptions and Catalog'!$H$56+'Assumptions and Catalog'!$E$56+'Assumptions and Catalog'!$F$56,IF(((D208+E208)*C208)&lt;='Assumptions and Catalog'!$C$57,((D208+E208)*C208)*'Assumptions and Catalog'!$H$57+'Assumptions and Catalog'!$E$57+'Assumptions and Catalog'!$F$57,"Out of range")))))))),IF(((D208+E208)*C208)&lt;='Assumptions and Catalog'!$C$60,((D208+E208)*C208)*'Assumptions and Catalog'!$H$60+'Assumptions and Catalog'!$E$60+'Assumptions and Catalog'!$F$60,IF(((D208+E208)*C208)&lt;='Assumptions and Catalog'!$C$61,((D208+E208)*C208)*'Assumptions and Catalog'!$H$61+'Assumptions and Catalog'!$E$61+'Assumptions and Catalog'!$F$61,IF(((D208+E208)*C208)&lt;='Assumptions and Catalog'!$C$62,((D208+E208)*C208)*'Assumptions and Catalog'!$H$62+'Assumptions and Catalog'!$E$62+'Assumptions and Catalog'!$F$62,IF(((D208+E208)*C208)&lt;='Assumptions and Catalog'!$C$63,((D208+E208)*C208)*'Assumptions and Catalog'!$H$63+'Assumptions and Catalog'!$E$63+'Assumptions and Catalog'!$F$63,IF(((D208+E208)*C208)&lt;='Assumptions and Catalog'!$C$64,((D208+E208)*C208)*'Assumptions and Catalog'!$H$64+'Assumptions and Catalog'!$E$64+'Assumptions and Catalog'!$F$64,IF(((D208+E208)*C208)&lt;='Assumptions and Catalog'!$C$65,((D208+E208)*C208)*'Assumptions and Catalog'!$H$65+'Assumptions and Catalog'!$E$65+'Assumptions and Catalog'!$F$65,"Out of range")))))))))*(1+'Assumptions and Catalog'!$C$8)^(A208-1),0)</f>
        <v>8554.9666666666672</v>
      </c>
      <c r="N208" s="5">
        <f>IF(ISNUMBER(Inputs!$L$5),(IF(Inputs!$L$9="Actual flat rate",L208*Inputs!$L$10,IF(Inputs!$C$9="Residential",IF(L208&lt;='Assumptions and Catalog'!$C$50,L208*'Assumptions and Catalog'!$H$50+'Assumptions and Catalog'!$E$50+'Assumptions and Catalog'!$F$50,IF(L208&lt;='Assumptions and Catalog'!$C$51,L208*'Assumptions and Catalog'!$H$51+'Assumptions and Catalog'!$E$51+'Assumptions and Catalog'!$F$51,IF(L208&lt;='Assumptions and Catalog'!$C$52,L208*'Assumptions and Catalog'!$H$52+'Assumptions and Catalog'!$E$52+'Assumptions and Catalog'!$F$52,IF(L208&lt;='Assumptions and Catalog'!$C$53,L208*'Assumptions and Catalog'!$H$53+'Assumptions and Catalog'!$E$53+'Assumptions and Catalog'!$F$53,IF(L208&lt;='Assumptions and Catalog'!$C$54,L208*'Assumptions and Catalog'!$H$54+'Assumptions and Catalog'!$E$54+'Assumptions and Catalog'!$F$54,IF(L208&lt;='Assumptions and Catalog'!$C$55,L208*'Assumptions and Catalog'!$H$55+'Assumptions and Catalog'!$E$55+'Assumptions and Catalog'!$F$55,IF(L208&lt;='Assumptions and Catalog'!$C$56,L208*'Assumptions and Catalog'!$H$56+'Assumptions and Catalog'!$E$56+'Assumptions and Catalog'!$F$56,IF(L208&lt;='Assumptions and Catalog'!$C$57,L208*'Assumptions and Catalog'!$H$57+'Assumptions and Catalog'!$E$57+'Assumptions and Catalog'!$F$57,"Out of range")))))))),IF(L208&lt;='Assumptions and Catalog'!$C$60,L208*'Assumptions and Catalog'!$H$60+'Assumptions and Catalog'!$E$60+'Assumptions and Catalog'!$F$60,IF(L208&lt;='Assumptions and Catalog'!$C$61,L208*'Assumptions and Catalog'!$H$61+'Assumptions and Catalog'!$E$61+'Assumptions and Catalog'!$F$61,IF(L208&lt;='Assumptions and Catalog'!$C$62,L208*'Assumptions and Catalog'!$H$62+'Assumptions and Catalog'!$E$62+'Assumptions and Catalog'!$F$62,IF(L208&lt;='Assumptions and Catalog'!$C$63,L208*'Assumptions and Catalog'!$H$63+'Assumptions and Catalog'!$E$63+'Assumptions and Catalog'!$F$63,IF(L208&lt;='Assumptions and Catalog'!$C$64,L208*'Assumptions and Catalog'!$H$64+'Assumptions and Catalog'!$E$64+'Assumptions and Catalog'!$F$64,IF(L208&lt;='Assumptions and Catalog'!$C$65,L208*'Assumptions and Catalog'!$H$65+'Assumptions and Catalog'!$E$65+'Assumptions and Catalog'!$F$65,"Out of range")))))))))*(1+'Assumptions and Catalog'!$C$8)^(A208-1),0)</f>
        <v>5070.6455361994076</v>
      </c>
      <c r="O208" s="5">
        <f t="shared" si="12"/>
        <v>3484.3211304672595</v>
      </c>
      <c r="P208" s="5">
        <f>C$55*(1-J$14)*(1-'Assumptions and Catalog'!$C$23)^R208</f>
        <v>0</v>
      </c>
      <c r="Q208" s="5">
        <f>IF(ISNUMBER(Inputs!$L$5),(IF(Inputs!$L$9="Actual flat rate",((D208+E208)*C208-G208)*Inputs!$L$10,IF(Inputs!$C$9="Residential",IF(((D208+E208)*C208-G208)&lt;='Assumptions and Catalog'!$C$50,((D208+E208)*C208-G208)*'Assumptions and Catalog'!$H$50+'Assumptions and Catalog'!$E$50+'Assumptions and Catalog'!$F$50,IF(((D208+E208)*C208-G208)&lt;='Assumptions and Catalog'!$C$51,((D208+E208)*C208-G208)*'Assumptions and Catalog'!$H$51+'Assumptions and Catalog'!$E$51+'Assumptions and Catalog'!$F$51,IF(((D208+E208)*C208-G208)&lt;='Assumptions and Catalog'!$C$52,((D208+E208)*C208-G208)*'Assumptions and Catalog'!$H$52+'Assumptions and Catalog'!$E$52+'Assumptions and Catalog'!$F$52,IF(((D208+E208)*C208-G208)&lt;='Assumptions and Catalog'!$C$53,((D208+E208)*C208-G208)*'Assumptions and Catalog'!$H$53+'Assumptions and Catalog'!$E$53+'Assumptions and Catalog'!$F$53,IF(((D208+E208)*C208-G208)&lt;='Assumptions and Catalog'!$C$54,((D208+E208)*C208-G208)*'Assumptions and Catalog'!$H$54+'Assumptions and Catalog'!$E$54+'Assumptions and Catalog'!$F$54,IF(((D208+E208)*C208-G208)&lt;='Assumptions and Catalog'!$C$55,((D208+E208)*C208-G208)*'Assumptions and Catalog'!$H$55+'Assumptions and Catalog'!$E$55+'Assumptions and Catalog'!$F$55,IF(((D208+E208)*C208-G208)&lt;='Assumptions and Catalog'!$C$56,((D208+E208)*C208-G208)*'Assumptions and Catalog'!$H$56+'Assumptions and Catalog'!$E$56+'Assumptions and Catalog'!$F$56,IF(((D208+E208)*C208-G208)&lt;='Assumptions and Catalog'!$C$57,((D208+E208)*C208-G208)*'Assumptions and Catalog'!$H$57+'Assumptions and Catalog'!$E$57+'Assumptions and Catalog'!$F$57,"Out of range")))))))),IF(((D208+E208)*C208-G208)&lt;='Assumptions and Catalog'!$C$60,((D208+E208)*C208-G208)*'Assumptions and Catalog'!$H$60+'Assumptions and Catalog'!$E$60+'Assumptions and Catalog'!$F$60,IF(((D208+E208)*C208-G208)&lt;='Assumptions and Catalog'!$C$61,((D208+E208)*C208-G208)*'Assumptions and Catalog'!$H$61+'Assumptions and Catalog'!$E$61+'Assumptions and Catalog'!$F$61,IF(((D208+E208)*C208-G208)&lt;='Assumptions and Catalog'!$C$62,((D208+E208)*C208-G208)*'Assumptions and Catalog'!$H$62+'Assumptions and Catalog'!$E$62+'Assumptions and Catalog'!$F$62,IF(((D208+E208)*C208-G208)&lt;='Assumptions and Catalog'!$C$63,((D208+E208)*C208-G208)*'Assumptions and Catalog'!$H$63+'Assumptions and Catalog'!$E$63+'Assumptions and Catalog'!$F$63,IF(((D208+E208)*C208-G208)&lt;='Assumptions and Catalog'!$C$64,((D208+E208)*C208-G208)*'Assumptions and Catalog'!$H$64+'Assumptions and Catalog'!$E$64+'Assumptions and Catalog'!$F$64,IF(((D208+E208)*C208-G208)&lt;='Assumptions and Catalog'!$C$65,((D208+E208)*C208-G208)*'Assumptions and Catalog'!$H$65+'Assumptions and Catalog'!$E$65+'Assumptions and Catalog'!$F$65,"Out of range")))))))))*(1+'Assumptions and Catalog'!$C$8)^(A208-1),0)</f>
        <v>5070.6455361994076</v>
      </c>
      <c r="R208" s="5">
        <f>IF(AND('Assumptions and Catalog'!$C$19&gt;0,A208&gt;='Assumptions and Catalog'!$C$19),A208-'Assumptions and Catalog'!$C$19,A208-1)</f>
        <v>3</v>
      </c>
      <c r="S208" s="5">
        <f t="shared" si="13"/>
        <v>0</v>
      </c>
      <c r="T208" s="5"/>
      <c r="U208" s="5"/>
    </row>
    <row r="209" spans="1:21" ht="23.1" customHeight="1" outlineLevel="1" x14ac:dyDescent="0.2">
      <c r="A209" s="5">
        <v>5</v>
      </c>
      <c r="B209" s="5">
        <v>1</v>
      </c>
      <c r="C209" s="5">
        <f>DAY(DATE('Assumptions and Catalog'!$C$24+A209-1,B209+1,0))</f>
        <v>31</v>
      </c>
      <c r="D209" s="5">
        <f>IF(ISNUMBER(Inputs!$L$5),Inputs!$L$5*Inputs!$L$6,0)</f>
        <v>40.35</v>
      </c>
      <c r="E209" s="5">
        <f>IF(ISNUMBER(Inputs!$L$5),Inputs!$L$5-D209,0)</f>
        <v>40.35</v>
      </c>
      <c r="F209" s="5">
        <f>C$51*'Assumptions and Catalog'!$C$31*C209*(1-'Assumptions and Catalog'!$C$10)^(A209-1)</f>
        <v>1013.8137153734665</v>
      </c>
      <c r="G209" s="5">
        <f t="shared" si="8"/>
        <v>1013.8137153734665</v>
      </c>
      <c r="H209" s="5">
        <f>I209/('Assumptions and Catalog'!$C$11*'Assumptions and Catalog'!$C$12)</f>
        <v>0</v>
      </c>
      <c r="I209" s="5">
        <f>0</f>
        <v>0</v>
      </c>
      <c r="J209" s="5">
        <f t="shared" si="9"/>
        <v>0</v>
      </c>
      <c r="K209" s="5">
        <f t="shared" si="10"/>
        <v>0</v>
      </c>
      <c r="L209" s="5">
        <f t="shared" si="11"/>
        <v>1487.8862846265338</v>
      </c>
      <c r="M209" s="5">
        <f>IF(ISNUMBER(Inputs!$L$5),(IF(Inputs!$L$9="Actual flat rate",((D209+E209)*C209)*Inputs!$L$10,IF(Inputs!$C$9="Residential",IF(((D209+E209)*C209)&lt;='Assumptions and Catalog'!$C$50,((D209+E209)*C209)*'Assumptions and Catalog'!$H$50+'Assumptions and Catalog'!$E$50+'Assumptions and Catalog'!$F$50,IF(((D209+E209)*C209)&lt;='Assumptions and Catalog'!$C$51,((D209+E209)*C209)*'Assumptions and Catalog'!$H$51+'Assumptions and Catalog'!$E$51+'Assumptions and Catalog'!$F$51,IF(((D209+E209)*C209)&lt;='Assumptions and Catalog'!$C$52,((D209+E209)*C209)*'Assumptions and Catalog'!$H$52+'Assumptions and Catalog'!$E$52+'Assumptions and Catalog'!$F$52,IF(((D209+E209)*C209)&lt;='Assumptions and Catalog'!$C$53,((D209+E209)*C209)*'Assumptions and Catalog'!$H$53+'Assumptions and Catalog'!$E$53+'Assumptions and Catalog'!$F$53,IF(((D209+E209)*C209)&lt;='Assumptions and Catalog'!$C$54,((D209+E209)*C209)*'Assumptions and Catalog'!$H$54+'Assumptions and Catalog'!$E$54+'Assumptions and Catalog'!$F$54,IF(((D209+E209)*C209)&lt;='Assumptions and Catalog'!$C$55,((D209+E209)*C209)*'Assumptions and Catalog'!$H$55+'Assumptions and Catalog'!$E$55+'Assumptions and Catalog'!$F$55,IF(((D209+E209)*C209)&lt;='Assumptions and Catalog'!$C$56,((D209+E209)*C209)*'Assumptions and Catalog'!$H$56+'Assumptions and Catalog'!$E$56+'Assumptions and Catalog'!$F$56,IF(((D209+E209)*C209)&lt;='Assumptions and Catalog'!$C$57,((D209+E209)*C209)*'Assumptions and Catalog'!$H$57+'Assumptions and Catalog'!$E$57+'Assumptions and Catalog'!$F$57,"Out of range")))))))),IF(((D209+E209)*C209)&lt;='Assumptions and Catalog'!$C$60,((D209+E209)*C209)*'Assumptions and Catalog'!$H$60+'Assumptions and Catalog'!$E$60+'Assumptions and Catalog'!$F$60,IF(((D209+E209)*C209)&lt;='Assumptions and Catalog'!$C$61,((D209+E209)*C209)*'Assumptions and Catalog'!$H$61+'Assumptions and Catalog'!$E$61+'Assumptions and Catalog'!$F$61,IF(((D209+E209)*C209)&lt;='Assumptions and Catalog'!$C$62,((D209+E209)*C209)*'Assumptions and Catalog'!$H$62+'Assumptions and Catalog'!$E$62+'Assumptions and Catalog'!$F$62,IF(((D209+E209)*C209)&lt;='Assumptions and Catalog'!$C$63,((D209+E209)*C209)*'Assumptions and Catalog'!$H$63+'Assumptions and Catalog'!$E$63+'Assumptions and Catalog'!$F$63,IF(((D209+E209)*C209)&lt;='Assumptions and Catalog'!$C$64,((D209+E209)*C209)*'Assumptions and Catalog'!$H$64+'Assumptions and Catalog'!$E$64+'Assumptions and Catalog'!$F$64,IF(((D209+E209)*C209)&lt;='Assumptions and Catalog'!$C$65,((D209+E209)*C209)*'Assumptions and Catalog'!$H$65+'Assumptions and Catalog'!$E$65+'Assumptions and Catalog'!$F$65,"Out of range")))))))))*(1+'Assumptions and Catalog'!$C$8)^(A209-1),0)</f>
        <v>8554.9666666666672</v>
      </c>
      <c r="N209" s="5">
        <f>IF(ISNUMBER(Inputs!$L$5),(IF(Inputs!$L$9="Actual flat rate",L209*Inputs!$L$10,IF(Inputs!$C$9="Residential",IF(L209&lt;='Assumptions and Catalog'!$C$50,L209*'Assumptions and Catalog'!$H$50+'Assumptions and Catalog'!$E$50+'Assumptions and Catalog'!$F$50,IF(L209&lt;='Assumptions and Catalog'!$C$51,L209*'Assumptions and Catalog'!$H$51+'Assumptions and Catalog'!$E$51+'Assumptions and Catalog'!$F$51,IF(L209&lt;='Assumptions and Catalog'!$C$52,L209*'Assumptions and Catalog'!$H$52+'Assumptions and Catalog'!$E$52+'Assumptions and Catalog'!$F$52,IF(L209&lt;='Assumptions and Catalog'!$C$53,L209*'Assumptions and Catalog'!$H$53+'Assumptions and Catalog'!$E$53+'Assumptions and Catalog'!$F$53,IF(L209&lt;='Assumptions and Catalog'!$C$54,L209*'Assumptions and Catalog'!$H$54+'Assumptions and Catalog'!$E$54+'Assumptions and Catalog'!$F$54,IF(L209&lt;='Assumptions and Catalog'!$C$55,L209*'Assumptions and Catalog'!$H$55+'Assumptions and Catalog'!$E$55+'Assumptions and Catalog'!$F$55,IF(L209&lt;='Assumptions and Catalog'!$C$56,L209*'Assumptions and Catalog'!$H$56+'Assumptions and Catalog'!$E$56+'Assumptions and Catalog'!$F$56,IF(L209&lt;='Assumptions and Catalog'!$C$57,L209*'Assumptions and Catalog'!$H$57+'Assumptions and Catalog'!$E$57+'Assumptions and Catalog'!$F$57,"Out of range")))))))),IF(L209&lt;='Assumptions and Catalog'!$C$60,L209*'Assumptions and Catalog'!$H$60+'Assumptions and Catalog'!$E$60+'Assumptions and Catalog'!$F$60,IF(L209&lt;='Assumptions and Catalog'!$C$61,L209*'Assumptions and Catalog'!$H$61+'Assumptions and Catalog'!$E$61+'Assumptions and Catalog'!$F$61,IF(L209&lt;='Assumptions and Catalog'!$C$62,L209*'Assumptions and Catalog'!$H$62+'Assumptions and Catalog'!$E$62+'Assumptions and Catalog'!$F$62,IF(L209&lt;='Assumptions and Catalog'!$C$63,L209*'Assumptions and Catalog'!$H$63+'Assumptions and Catalog'!$E$63+'Assumptions and Catalog'!$F$63,IF(L209&lt;='Assumptions and Catalog'!$C$64,L209*'Assumptions and Catalog'!$H$64+'Assumptions and Catalog'!$E$64+'Assumptions and Catalog'!$F$64,IF(L209&lt;='Assumptions and Catalog'!$C$65,L209*'Assumptions and Catalog'!$H$65+'Assumptions and Catalog'!$E$65+'Assumptions and Catalog'!$F$65,"Out of range")))))))))*(1+'Assumptions and Catalog'!$C$8)^(A209-1),0)</f>
        <v>5088.0671418517441</v>
      </c>
      <c r="O209" s="5">
        <f t="shared" si="12"/>
        <v>3466.8995248149231</v>
      </c>
      <c r="P209" s="5">
        <f>C$55*(1-J$14)*(1-'Assumptions and Catalog'!$C$23)^R209</f>
        <v>0</v>
      </c>
      <c r="Q209" s="5">
        <f>IF(ISNUMBER(Inputs!$L$5),(IF(Inputs!$L$9="Actual flat rate",((D209+E209)*C209-G209)*Inputs!$L$10,IF(Inputs!$C$9="Residential",IF(((D209+E209)*C209-G209)&lt;='Assumptions and Catalog'!$C$50,((D209+E209)*C209-G209)*'Assumptions and Catalog'!$H$50+'Assumptions and Catalog'!$E$50+'Assumptions and Catalog'!$F$50,IF(((D209+E209)*C209-G209)&lt;='Assumptions and Catalog'!$C$51,((D209+E209)*C209-G209)*'Assumptions and Catalog'!$H$51+'Assumptions and Catalog'!$E$51+'Assumptions and Catalog'!$F$51,IF(((D209+E209)*C209-G209)&lt;='Assumptions and Catalog'!$C$52,((D209+E209)*C209-G209)*'Assumptions and Catalog'!$H$52+'Assumptions and Catalog'!$E$52+'Assumptions and Catalog'!$F$52,IF(((D209+E209)*C209-G209)&lt;='Assumptions and Catalog'!$C$53,((D209+E209)*C209-G209)*'Assumptions and Catalog'!$H$53+'Assumptions and Catalog'!$E$53+'Assumptions and Catalog'!$F$53,IF(((D209+E209)*C209-G209)&lt;='Assumptions and Catalog'!$C$54,((D209+E209)*C209-G209)*'Assumptions and Catalog'!$H$54+'Assumptions and Catalog'!$E$54+'Assumptions and Catalog'!$F$54,IF(((D209+E209)*C209-G209)&lt;='Assumptions and Catalog'!$C$55,((D209+E209)*C209-G209)*'Assumptions and Catalog'!$H$55+'Assumptions and Catalog'!$E$55+'Assumptions and Catalog'!$F$55,IF(((D209+E209)*C209-G209)&lt;='Assumptions and Catalog'!$C$56,((D209+E209)*C209-G209)*'Assumptions and Catalog'!$H$56+'Assumptions and Catalog'!$E$56+'Assumptions and Catalog'!$F$56,IF(((D209+E209)*C209-G209)&lt;='Assumptions and Catalog'!$C$57,((D209+E209)*C209-G209)*'Assumptions and Catalog'!$H$57+'Assumptions and Catalog'!$E$57+'Assumptions and Catalog'!$F$57,"Out of range")))))))),IF(((D209+E209)*C209-G209)&lt;='Assumptions and Catalog'!$C$60,((D209+E209)*C209-G209)*'Assumptions and Catalog'!$H$60+'Assumptions and Catalog'!$E$60+'Assumptions and Catalog'!$F$60,IF(((D209+E209)*C209-G209)&lt;='Assumptions and Catalog'!$C$61,((D209+E209)*C209-G209)*'Assumptions and Catalog'!$H$61+'Assumptions and Catalog'!$E$61+'Assumptions and Catalog'!$F$61,IF(((D209+E209)*C209-G209)&lt;='Assumptions and Catalog'!$C$62,((D209+E209)*C209-G209)*'Assumptions and Catalog'!$H$62+'Assumptions and Catalog'!$E$62+'Assumptions and Catalog'!$F$62,IF(((D209+E209)*C209-G209)&lt;='Assumptions and Catalog'!$C$63,((D209+E209)*C209-G209)*'Assumptions and Catalog'!$H$63+'Assumptions and Catalog'!$E$63+'Assumptions and Catalog'!$F$63,IF(((D209+E209)*C209-G209)&lt;='Assumptions and Catalog'!$C$64,((D209+E209)*C209-G209)*'Assumptions and Catalog'!$H$64+'Assumptions and Catalog'!$E$64+'Assumptions and Catalog'!$F$64,IF(((D209+E209)*C209-G209)&lt;='Assumptions and Catalog'!$C$65,((D209+E209)*C209-G209)*'Assumptions and Catalog'!$H$65+'Assumptions and Catalog'!$E$65+'Assumptions and Catalog'!$F$65,"Out of range")))))))))*(1+'Assumptions and Catalog'!$C$8)^(A209-1),0)</f>
        <v>5088.0671418517441</v>
      </c>
      <c r="R209" s="5">
        <f>IF(AND('Assumptions and Catalog'!$C$19&gt;0,A209&gt;='Assumptions and Catalog'!$C$19),A209-'Assumptions and Catalog'!$C$19,A209-1)</f>
        <v>4</v>
      </c>
      <c r="S209" s="5">
        <f t="shared" si="13"/>
        <v>0</v>
      </c>
      <c r="T209" s="5"/>
      <c r="U209" s="5"/>
    </row>
    <row r="210" spans="1:21" ht="23.1" customHeight="1" outlineLevel="1" x14ac:dyDescent="0.2">
      <c r="A210" s="5">
        <v>5</v>
      </c>
      <c r="B210" s="5">
        <v>2</v>
      </c>
      <c r="C210" s="5">
        <f>DAY(DATE('Assumptions and Catalog'!$C$24+A210-1,B210+1,0))</f>
        <v>28</v>
      </c>
      <c r="D210" s="5">
        <f>IF(ISNUMBER(Inputs!$L$5),Inputs!$L$5*Inputs!$L$6,0)</f>
        <v>40.35</v>
      </c>
      <c r="E210" s="5">
        <f>IF(ISNUMBER(Inputs!$L$5),Inputs!$L$5-D210,0)</f>
        <v>40.35</v>
      </c>
      <c r="F210" s="5">
        <f>C$51*'Assumptions and Catalog'!$C$31*C210*(1-'Assumptions and Catalog'!$C$10)^(A210-1)</f>
        <v>915.70271065990516</v>
      </c>
      <c r="G210" s="5">
        <f t="shared" si="8"/>
        <v>915.70271065990516</v>
      </c>
      <c r="H210" s="5">
        <f>I210/('Assumptions and Catalog'!$C$11*'Assumptions and Catalog'!$C$12)</f>
        <v>0</v>
      </c>
      <c r="I210" s="5">
        <f>0</f>
        <v>0</v>
      </c>
      <c r="J210" s="5">
        <f t="shared" si="9"/>
        <v>0</v>
      </c>
      <c r="K210" s="5">
        <f t="shared" si="10"/>
        <v>0</v>
      </c>
      <c r="L210" s="5">
        <f t="shared" si="11"/>
        <v>1343.8972893400946</v>
      </c>
      <c r="M210" s="5">
        <f>IF(ISNUMBER(Inputs!$L$5),(IF(Inputs!$L$9="Actual flat rate",((D210+E210)*C210)*Inputs!$L$10,IF(Inputs!$C$9="Residential",IF(((D210+E210)*C210)&lt;='Assumptions and Catalog'!$C$50,((D210+E210)*C210)*'Assumptions and Catalog'!$H$50+'Assumptions and Catalog'!$E$50+'Assumptions and Catalog'!$F$50,IF(((D210+E210)*C210)&lt;='Assumptions and Catalog'!$C$51,((D210+E210)*C210)*'Assumptions and Catalog'!$H$51+'Assumptions and Catalog'!$E$51+'Assumptions and Catalog'!$F$51,IF(((D210+E210)*C210)&lt;='Assumptions and Catalog'!$C$52,((D210+E210)*C210)*'Assumptions and Catalog'!$H$52+'Assumptions and Catalog'!$E$52+'Assumptions and Catalog'!$F$52,IF(((D210+E210)*C210)&lt;='Assumptions and Catalog'!$C$53,((D210+E210)*C210)*'Assumptions and Catalog'!$H$53+'Assumptions and Catalog'!$E$53+'Assumptions and Catalog'!$F$53,IF(((D210+E210)*C210)&lt;='Assumptions and Catalog'!$C$54,((D210+E210)*C210)*'Assumptions and Catalog'!$H$54+'Assumptions and Catalog'!$E$54+'Assumptions and Catalog'!$F$54,IF(((D210+E210)*C210)&lt;='Assumptions and Catalog'!$C$55,((D210+E210)*C210)*'Assumptions and Catalog'!$H$55+'Assumptions and Catalog'!$E$55+'Assumptions and Catalog'!$F$55,IF(((D210+E210)*C210)&lt;='Assumptions and Catalog'!$C$56,((D210+E210)*C210)*'Assumptions and Catalog'!$H$56+'Assumptions and Catalog'!$E$56+'Assumptions and Catalog'!$F$56,IF(((D210+E210)*C210)&lt;='Assumptions and Catalog'!$C$57,((D210+E210)*C210)*'Assumptions and Catalog'!$H$57+'Assumptions and Catalog'!$E$57+'Assumptions and Catalog'!$F$57,"Out of range")))))))),IF(((D210+E210)*C210)&lt;='Assumptions and Catalog'!$C$60,((D210+E210)*C210)*'Assumptions and Catalog'!$H$60+'Assumptions and Catalog'!$E$60+'Assumptions and Catalog'!$F$60,IF(((D210+E210)*C210)&lt;='Assumptions and Catalog'!$C$61,((D210+E210)*C210)*'Assumptions and Catalog'!$H$61+'Assumptions and Catalog'!$E$61+'Assumptions and Catalog'!$F$61,IF(((D210+E210)*C210)&lt;='Assumptions and Catalog'!$C$62,((D210+E210)*C210)*'Assumptions and Catalog'!$H$62+'Assumptions and Catalog'!$E$62+'Assumptions and Catalog'!$F$62,IF(((D210+E210)*C210)&lt;='Assumptions and Catalog'!$C$63,((D210+E210)*C210)*'Assumptions and Catalog'!$H$63+'Assumptions and Catalog'!$E$63+'Assumptions and Catalog'!$F$63,IF(((D210+E210)*C210)&lt;='Assumptions and Catalog'!$C$64,((D210+E210)*C210)*'Assumptions and Catalog'!$H$64+'Assumptions and Catalog'!$E$64+'Assumptions and Catalog'!$F$64,IF(((D210+E210)*C210)&lt;='Assumptions and Catalog'!$C$65,((D210+E210)*C210)*'Assumptions and Catalog'!$H$65+'Assumptions and Catalog'!$E$65+'Assumptions and Catalog'!$F$65,"Out of range")))))))))*(1+'Assumptions and Catalog'!$C$8)^(A210-1),0)</f>
        <v>7727.0666666666657</v>
      </c>
      <c r="N210" s="5">
        <f>IF(ISNUMBER(Inputs!$L$5),(IF(Inputs!$L$9="Actual flat rate",L210*Inputs!$L$10,IF(Inputs!$C$9="Residential",IF(L210&lt;='Assumptions and Catalog'!$C$50,L210*'Assumptions and Catalog'!$H$50+'Assumptions and Catalog'!$E$50+'Assumptions and Catalog'!$F$50,IF(L210&lt;='Assumptions and Catalog'!$C$51,L210*'Assumptions and Catalog'!$H$51+'Assumptions and Catalog'!$E$51+'Assumptions and Catalog'!$F$51,IF(L210&lt;='Assumptions and Catalog'!$C$52,L210*'Assumptions and Catalog'!$H$52+'Assumptions and Catalog'!$E$52+'Assumptions and Catalog'!$F$52,IF(L210&lt;='Assumptions and Catalog'!$C$53,L210*'Assumptions and Catalog'!$H$53+'Assumptions and Catalog'!$E$53+'Assumptions and Catalog'!$F$53,IF(L210&lt;='Assumptions and Catalog'!$C$54,L210*'Assumptions and Catalog'!$H$54+'Assumptions and Catalog'!$E$54+'Assumptions and Catalog'!$F$54,IF(L210&lt;='Assumptions and Catalog'!$C$55,L210*'Assumptions and Catalog'!$H$55+'Assumptions and Catalog'!$E$55+'Assumptions and Catalog'!$F$55,IF(L210&lt;='Assumptions and Catalog'!$C$56,L210*'Assumptions and Catalog'!$H$56+'Assumptions and Catalog'!$E$56+'Assumptions and Catalog'!$F$56,IF(L210&lt;='Assumptions and Catalog'!$C$57,L210*'Assumptions and Catalog'!$H$57+'Assumptions and Catalog'!$E$57+'Assumptions and Catalog'!$F$57,"Out of range")))))))),IF(L210&lt;='Assumptions and Catalog'!$C$60,L210*'Assumptions and Catalog'!$H$60+'Assumptions and Catalog'!$E$60+'Assumptions and Catalog'!$F$60,IF(L210&lt;='Assumptions and Catalog'!$C$61,L210*'Assumptions and Catalog'!$H$61+'Assumptions and Catalog'!$E$61+'Assumptions and Catalog'!$F$61,IF(L210&lt;='Assumptions and Catalog'!$C$62,L210*'Assumptions and Catalog'!$H$62+'Assumptions and Catalog'!$E$62+'Assumptions and Catalog'!$F$62,IF(L210&lt;='Assumptions and Catalog'!$C$63,L210*'Assumptions and Catalog'!$H$63+'Assumptions and Catalog'!$E$63+'Assumptions and Catalog'!$F$63,IF(L210&lt;='Assumptions and Catalog'!$C$64,L210*'Assumptions and Catalog'!$H$64+'Assumptions and Catalog'!$E$64+'Assumptions and Catalog'!$F$64,IF(L210&lt;='Assumptions and Catalog'!$C$65,L210*'Assumptions and Catalog'!$H$65+'Assumptions and Catalog'!$E$65+'Assumptions and Catalog'!$F$65,"Out of range")))))))))*(1+'Assumptions and Catalog'!$C$8)^(A210-1),0)</f>
        <v>4595.673547478993</v>
      </c>
      <c r="O210" s="5">
        <f t="shared" si="12"/>
        <v>3131.3931191876727</v>
      </c>
      <c r="P210" s="5">
        <f>C$55*(1-J$14)*(1-'Assumptions and Catalog'!$C$23)^R210</f>
        <v>0</v>
      </c>
      <c r="Q210" s="5">
        <f>IF(ISNUMBER(Inputs!$L$5),(IF(Inputs!$L$9="Actual flat rate",((D210+E210)*C210-G210)*Inputs!$L$10,IF(Inputs!$C$9="Residential",IF(((D210+E210)*C210-G210)&lt;='Assumptions and Catalog'!$C$50,((D210+E210)*C210-G210)*'Assumptions and Catalog'!$H$50+'Assumptions and Catalog'!$E$50+'Assumptions and Catalog'!$F$50,IF(((D210+E210)*C210-G210)&lt;='Assumptions and Catalog'!$C$51,((D210+E210)*C210-G210)*'Assumptions and Catalog'!$H$51+'Assumptions and Catalog'!$E$51+'Assumptions and Catalog'!$F$51,IF(((D210+E210)*C210-G210)&lt;='Assumptions and Catalog'!$C$52,((D210+E210)*C210-G210)*'Assumptions and Catalog'!$H$52+'Assumptions and Catalog'!$E$52+'Assumptions and Catalog'!$F$52,IF(((D210+E210)*C210-G210)&lt;='Assumptions and Catalog'!$C$53,((D210+E210)*C210-G210)*'Assumptions and Catalog'!$H$53+'Assumptions and Catalog'!$E$53+'Assumptions and Catalog'!$F$53,IF(((D210+E210)*C210-G210)&lt;='Assumptions and Catalog'!$C$54,((D210+E210)*C210-G210)*'Assumptions and Catalog'!$H$54+'Assumptions and Catalog'!$E$54+'Assumptions and Catalog'!$F$54,IF(((D210+E210)*C210-G210)&lt;='Assumptions and Catalog'!$C$55,((D210+E210)*C210-G210)*'Assumptions and Catalog'!$H$55+'Assumptions and Catalog'!$E$55+'Assumptions and Catalog'!$F$55,IF(((D210+E210)*C210-G210)&lt;='Assumptions and Catalog'!$C$56,((D210+E210)*C210-G210)*'Assumptions and Catalog'!$H$56+'Assumptions and Catalog'!$E$56+'Assumptions and Catalog'!$F$56,IF(((D210+E210)*C210-G210)&lt;='Assumptions and Catalog'!$C$57,((D210+E210)*C210-G210)*'Assumptions and Catalog'!$H$57+'Assumptions and Catalog'!$E$57+'Assumptions and Catalog'!$F$57,"Out of range")))))))),IF(((D210+E210)*C210-G210)&lt;='Assumptions and Catalog'!$C$60,((D210+E210)*C210-G210)*'Assumptions and Catalog'!$H$60+'Assumptions and Catalog'!$E$60+'Assumptions and Catalog'!$F$60,IF(((D210+E210)*C210-G210)&lt;='Assumptions and Catalog'!$C$61,((D210+E210)*C210-G210)*'Assumptions and Catalog'!$H$61+'Assumptions and Catalog'!$E$61+'Assumptions and Catalog'!$F$61,IF(((D210+E210)*C210-G210)&lt;='Assumptions and Catalog'!$C$62,((D210+E210)*C210-G210)*'Assumptions and Catalog'!$H$62+'Assumptions and Catalog'!$E$62+'Assumptions and Catalog'!$F$62,IF(((D210+E210)*C210-G210)&lt;='Assumptions and Catalog'!$C$63,((D210+E210)*C210-G210)*'Assumptions and Catalog'!$H$63+'Assumptions and Catalog'!$E$63+'Assumptions and Catalog'!$F$63,IF(((D210+E210)*C210-G210)&lt;='Assumptions and Catalog'!$C$64,((D210+E210)*C210-G210)*'Assumptions and Catalog'!$H$64+'Assumptions and Catalog'!$E$64+'Assumptions and Catalog'!$F$64,IF(((D210+E210)*C210-G210)&lt;='Assumptions and Catalog'!$C$65,((D210+E210)*C210-G210)*'Assumptions and Catalog'!$H$65+'Assumptions and Catalog'!$E$65+'Assumptions and Catalog'!$F$65,"Out of range")))))))))*(1+'Assumptions and Catalog'!$C$8)^(A210-1),0)</f>
        <v>4595.673547478993</v>
      </c>
      <c r="R210" s="5">
        <f>IF(AND('Assumptions and Catalog'!$C$19&gt;0,A210&gt;='Assumptions and Catalog'!$C$19),A210-'Assumptions and Catalog'!$C$19,A210-1)</f>
        <v>4</v>
      </c>
      <c r="S210" s="5">
        <f t="shared" si="13"/>
        <v>0</v>
      </c>
      <c r="T210" s="5"/>
      <c r="U210" s="5"/>
    </row>
    <row r="211" spans="1:21" ht="23.1" customHeight="1" outlineLevel="1" x14ac:dyDescent="0.2">
      <c r="A211" s="5">
        <v>5</v>
      </c>
      <c r="B211" s="5">
        <v>3</v>
      </c>
      <c r="C211" s="5">
        <f>DAY(DATE('Assumptions and Catalog'!$C$24+A211-1,B211+1,0))</f>
        <v>31</v>
      </c>
      <c r="D211" s="5">
        <f>IF(ISNUMBER(Inputs!$L$5),Inputs!$L$5*Inputs!$L$6,0)</f>
        <v>40.35</v>
      </c>
      <c r="E211" s="5">
        <f>IF(ISNUMBER(Inputs!$L$5),Inputs!$L$5-D211,0)</f>
        <v>40.35</v>
      </c>
      <c r="F211" s="5">
        <f>C$51*'Assumptions and Catalog'!$C$31*C211*(1-'Assumptions and Catalog'!$C$10)^(A211-1)</f>
        <v>1013.8137153734665</v>
      </c>
      <c r="G211" s="5">
        <f t="shared" si="8"/>
        <v>1013.8137153734665</v>
      </c>
      <c r="H211" s="5">
        <f>I211/('Assumptions and Catalog'!$C$11*'Assumptions and Catalog'!$C$12)</f>
        <v>0</v>
      </c>
      <c r="I211" s="5">
        <f>0</f>
        <v>0</v>
      </c>
      <c r="J211" s="5">
        <f t="shared" si="9"/>
        <v>0</v>
      </c>
      <c r="K211" s="5">
        <f t="shared" si="10"/>
        <v>0</v>
      </c>
      <c r="L211" s="5">
        <f t="shared" si="11"/>
        <v>1487.8862846265338</v>
      </c>
      <c r="M211" s="5">
        <f>IF(ISNUMBER(Inputs!$L$5),(IF(Inputs!$L$9="Actual flat rate",((D211+E211)*C211)*Inputs!$L$10,IF(Inputs!$C$9="Residential",IF(((D211+E211)*C211)&lt;='Assumptions and Catalog'!$C$50,((D211+E211)*C211)*'Assumptions and Catalog'!$H$50+'Assumptions and Catalog'!$E$50+'Assumptions and Catalog'!$F$50,IF(((D211+E211)*C211)&lt;='Assumptions and Catalog'!$C$51,((D211+E211)*C211)*'Assumptions and Catalog'!$H$51+'Assumptions and Catalog'!$E$51+'Assumptions and Catalog'!$F$51,IF(((D211+E211)*C211)&lt;='Assumptions and Catalog'!$C$52,((D211+E211)*C211)*'Assumptions and Catalog'!$H$52+'Assumptions and Catalog'!$E$52+'Assumptions and Catalog'!$F$52,IF(((D211+E211)*C211)&lt;='Assumptions and Catalog'!$C$53,((D211+E211)*C211)*'Assumptions and Catalog'!$H$53+'Assumptions and Catalog'!$E$53+'Assumptions and Catalog'!$F$53,IF(((D211+E211)*C211)&lt;='Assumptions and Catalog'!$C$54,((D211+E211)*C211)*'Assumptions and Catalog'!$H$54+'Assumptions and Catalog'!$E$54+'Assumptions and Catalog'!$F$54,IF(((D211+E211)*C211)&lt;='Assumptions and Catalog'!$C$55,((D211+E211)*C211)*'Assumptions and Catalog'!$H$55+'Assumptions and Catalog'!$E$55+'Assumptions and Catalog'!$F$55,IF(((D211+E211)*C211)&lt;='Assumptions and Catalog'!$C$56,((D211+E211)*C211)*'Assumptions and Catalog'!$H$56+'Assumptions and Catalog'!$E$56+'Assumptions and Catalog'!$F$56,IF(((D211+E211)*C211)&lt;='Assumptions and Catalog'!$C$57,((D211+E211)*C211)*'Assumptions and Catalog'!$H$57+'Assumptions and Catalog'!$E$57+'Assumptions and Catalog'!$F$57,"Out of range")))))))),IF(((D211+E211)*C211)&lt;='Assumptions and Catalog'!$C$60,((D211+E211)*C211)*'Assumptions and Catalog'!$H$60+'Assumptions and Catalog'!$E$60+'Assumptions and Catalog'!$F$60,IF(((D211+E211)*C211)&lt;='Assumptions and Catalog'!$C$61,((D211+E211)*C211)*'Assumptions and Catalog'!$H$61+'Assumptions and Catalog'!$E$61+'Assumptions and Catalog'!$F$61,IF(((D211+E211)*C211)&lt;='Assumptions and Catalog'!$C$62,((D211+E211)*C211)*'Assumptions and Catalog'!$H$62+'Assumptions and Catalog'!$E$62+'Assumptions and Catalog'!$F$62,IF(((D211+E211)*C211)&lt;='Assumptions and Catalog'!$C$63,((D211+E211)*C211)*'Assumptions and Catalog'!$H$63+'Assumptions and Catalog'!$E$63+'Assumptions and Catalog'!$F$63,IF(((D211+E211)*C211)&lt;='Assumptions and Catalog'!$C$64,((D211+E211)*C211)*'Assumptions and Catalog'!$H$64+'Assumptions and Catalog'!$E$64+'Assumptions and Catalog'!$F$64,IF(((D211+E211)*C211)&lt;='Assumptions and Catalog'!$C$65,((D211+E211)*C211)*'Assumptions and Catalog'!$H$65+'Assumptions and Catalog'!$E$65+'Assumptions and Catalog'!$F$65,"Out of range")))))))))*(1+'Assumptions and Catalog'!$C$8)^(A211-1),0)</f>
        <v>8554.9666666666672</v>
      </c>
      <c r="N211" s="5">
        <f>IF(ISNUMBER(Inputs!$L$5),(IF(Inputs!$L$9="Actual flat rate",L211*Inputs!$L$10,IF(Inputs!$C$9="Residential",IF(L211&lt;='Assumptions and Catalog'!$C$50,L211*'Assumptions and Catalog'!$H$50+'Assumptions and Catalog'!$E$50+'Assumptions and Catalog'!$F$50,IF(L211&lt;='Assumptions and Catalog'!$C$51,L211*'Assumptions and Catalog'!$H$51+'Assumptions and Catalog'!$E$51+'Assumptions and Catalog'!$F$51,IF(L211&lt;='Assumptions and Catalog'!$C$52,L211*'Assumptions and Catalog'!$H$52+'Assumptions and Catalog'!$E$52+'Assumptions and Catalog'!$F$52,IF(L211&lt;='Assumptions and Catalog'!$C$53,L211*'Assumptions and Catalog'!$H$53+'Assumptions and Catalog'!$E$53+'Assumptions and Catalog'!$F$53,IF(L211&lt;='Assumptions and Catalog'!$C$54,L211*'Assumptions and Catalog'!$H$54+'Assumptions and Catalog'!$E$54+'Assumptions and Catalog'!$F$54,IF(L211&lt;='Assumptions and Catalog'!$C$55,L211*'Assumptions and Catalog'!$H$55+'Assumptions and Catalog'!$E$55+'Assumptions and Catalog'!$F$55,IF(L211&lt;='Assumptions and Catalog'!$C$56,L211*'Assumptions and Catalog'!$H$56+'Assumptions and Catalog'!$E$56+'Assumptions and Catalog'!$F$56,IF(L211&lt;='Assumptions and Catalog'!$C$57,L211*'Assumptions and Catalog'!$H$57+'Assumptions and Catalog'!$E$57+'Assumptions and Catalog'!$F$57,"Out of range")))))))),IF(L211&lt;='Assumptions and Catalog'!$C$60,L211*'Assumptions and Catalog'!$H$60+'Assumptions and Catalog'!$E$60+'Assumptions and Catalog'!$F$60,IF(L211&lt;='Assumptions and Catalog'!$C$61,L211*'Assumptions and Catalog'!$H$61+'Assumptions and Catalog'!$E$61+'Assumptions and Catalog'!$F$61,IF(L211&lt;='Assumptions and Catalog'!$C$62,L211*'Assumptions and Catalog'!$H$62+'Assumptions and Catalog'!$E$62+'Assumptions and Catalog'!$F$62,IF(L211&lt;='Assumptions and Catalog'!$C$63,L211*'Assumptions and Catalog'!$H$63+'Assumptions and Catalog'!$E$63+'Assumptions and Catalog'!$F$63,IF(L211&lt;='Assumptions and Catalog'!$C$64,L211*'Assumptions and Catalog'!$H$64+'Assumptions and Catalog'!$E$64+'Assumptions and Catalog'!$F$64,IF(L211&lt;='Assumptions and Catalog'!$C$65,L211*'Assumptions and Catalog'!$H$65+'Assumptions and Catalog'!$E$65+'Assumptions and Catalog'!$F$65,"Out of range")))))))))*(1+'Assumptions and Catalog'!$C$8)^(A211-1),0)</f>
        <v>5088.0671418517441</v>
      </c>
      <c r="O211" s="5">
        <f t="shared" si="12"/>
        <v>3466.8995248149231</v>
      </c>
      <c r="P211" s="5">
        <f>C$55*(1-J$14)*(1-'Assumptions and Catalog'!$C$23)^R211</f>
        <v>0</v>
      </c>
      <c r="Q211" s="5">
        <f>IF(ISNUMBER(Inputs!$L$5),(IF(Inputs!$L$9="Actual flat rate",((D211+E211)*C211-G211)*Inputs!$L$10,IF(Inputs!$C$9="Residential",IF(((D211+E211)*C211-G211)&lt;='Assumptions and Catalog'!$C$50,((D211+E211)*C211-G211)*'Assumptions and Catalog'!$H$50+'Assumptions and Catalog'!$E$50+'Assumptions and Catalog'!$F$50,IF(((D211+E211)*C211-G211)&lt;='Assumptions and Catalog'!$C$51,((D211+E211)*C211-G211)*'Assumptions and Catalog'!$H$51+'Assumptions and Catalog'!$E$51+'Assumptions and Catalog'!$F$51,IF(((D211+E211)*C211-G211)&lt;='Assumptions and Catalog'!$C$52,((D211+E211)*C211-G211)*'Assumptions and Catalog'!$H$52+'Assumptions and Catalog'!$E$52+'Assumptions and Catalog'!$F$52,IF(((D211+E211)*C211-G211)&lt;='Assumptions and Catalog'!$C$53,((D211+E211)*C211-G211)*'Assumptions and Catalog'!$H$53+'Assumptions and Catalog'!$E$53+'Assumptions and Catalog'!$F$53,IF(((D211+E211)*C211-G211)&lt;='Assumptions and Catalog'!$C$54,((D211+E211)*C211-G211)*'Assumptions and Catalog'!$H$54+'Assumptions and Catalog'!$E$54+'Assumptions and Catalog'!$F$54,IF(((D211+E211)*C211-G211)&lt;='Assumptions and Catalog'!$C$55,((D211+E211)*C211-G211)*'Assumptions and Catalog'!$H$55+'Assumptions and Catalog'!$E$55+'Assumptions and Catalog'!$F$55,IF(((D211+E211)*C211-G211)&lt;='Assumptions and Catalog'!$C$56,((D211+E211)*C211-G211)*'Assumptions and Catalog'!$H$56+'Assumptions and Catalog'!$E$56+'Assumptions and Catalog'!$F$56,IF(((D211+E211)*C211-G211)&lt;='Assumptions and Catalog'!$C$57,((D211+E211)*C211-G211)*'Assumptions and Catalog'!$H$57+'Assumptions and Catalog'!$E$57+'Assumptions and Catalog'!$F$57,"Out of range")))))))),IF(((D211+E211)*C211-G211)&lt;='Assumptions and Catalog'!$C$60,((D211+E211)*C211-G211)*'Assumptions and Catalog'!$H$60+'Assumptions and Catalog'!$E$60+'Assumptions and Catalog'!$F$60,IF(((D211+E211)*C211-G211)&lt;='Assumptions and Catalog'!$C$61,((D211+E211)*C211-G211)*'Assumptions and Catalog'!$H$61+'Assumptions and Catalog'!$E$61+'Assumptions and Catalog'!$F$61,IF(((D211+E211)*C211-G211)&lt;='Assumptions and Catalog'!$C$62,((D211+E211)*C211-G211)*'Assumptions and Catalog'!$H$62+'Assumptions and Catalog'!$E$62+'Assumptions and Catalog'!$F$62,IF(((D211+E211)*C211-G211)&lt;='Assumptions and Catalog'!$C$63,((D211+E211)*C211-G211)*'Assumptions and Catalog'!$H$63+'Assumptions and Catalog'!$E$63+'Assumptions and Catalog'!$F$63,IF(((D211+E211)*C211-G211)&lt;='Assumptions and Catalog'!$C$64,((D211+E211)*C211-G211)*'Assumptions and Catalog'!$H$64+'Assumptions and Catalog'!$E$64+'Assumptions and Catalog'!$F$64,IF(((D211+E211)*C211-G211)&lt;='Assumptions and Catalog'!$C$65,((D211+E211)*C211-G211)*'Assumptions and Catalog'!$H$65+'Assumptions and Catalog'!$E$65+'Assumptions and Catalog'!$F$65,"Out of range")))))))))*(1+'Assumptions and Catalog'!$C$8)^(A211-1),0)</f>
        <v>5088.0671418517441</v>
      </c>
      <c r="R211" s="5">
        <f>IF(AND('Assumptions and Catalog'!$C$19&gt;0,A211&gt;='Assumptions and Catalog'!$C$19),A211-'Assumptions and Catalog'!$C$19,A211-1)</f>
        <v>4</v>
      </c>
      <c r="S211" s="5">
        <f t="shared" si="13"/>
        <v>0</v>
      </c>
      <c r="T211" s="5"/>
      <c r="U211" s="5"/>
    </row>
    <row r="212" spans="1:21" ht="23.1" customHeight="1" outlineLevel="1" x14ac:dyDescent="0.2">
      <c r="A212" s="5">
        <v>5</v>
      </c>
      <c r="B212" s="5">
        <v>4</v>
      </c>
      <c r="C212" s="5">
        <f>DAY(DATE('Assumptions and Catalog'!$C$24+A212-1,B212+1,0))</f>
        <v>30</v>
      </c>
      <c r="D212" s="5">
        <f>IF(ISNUMBER(Inputs!$L$5),Inputs!$L$5*Inputs!$L$6,0)</f>
        <v>40.35</v>
      </c>
      <c r="E212" s="5">
        <f>IF(ISNUMBER(Inputs!$L$5),Inputs!$L$5-D212,0)</f>
        <v>40.35</v>
      </c>
      <c r="F212" s="5">
        <f>C$51*'Assumptions and Catalog'!$C$31*C212*(1-'Assumptions and Catalog'!$C$10)^(A212-1)</f>
        <v>981.11004713561283</v>
      </c>
      <c r="G212" s="5">
        <f t="shared" si="8"/>
        <v>981.11004713561283</v>
      </c>
      <c r="H212" s="5">
        <f>I212/('Assumptions and Catalog'!$C$11*'Assumptions and Catalog'!$C$12)</f>
        <v>0</v>
      </c>
      <c r="I212" s="5">
        <f>0</f>
        <v>0</v>
      </c>
      <c r="J212" s="5">
        <f t="shared" si="9"/>
        <v>0</v>
      </c>
      <c r="K212" s="5">
        <f t="shared" si="10"/>
        <v>0</v>
      </c>
      <c r="L212" s="5">
        <f t="shared" si="11"/>
        <v>1439.8899528643872</v>
      </c>
      <c r="M212" s="5">
        <f>IF(ISNUMBER(Inputs!$L$5),(IF(Inputs!$L$9="Actual flat rate",((D212+E212)*C212)*Inputs!$L$10,IF(Inputs!$C$9="Residential",IF(((D212+E212)*C212)&lt;='Assumptions and Catalog'!$C$50,((D212+E212)*C212)*'Assumptions and Catalog'!$H$50+'Assumptions and Catalog'!$E$50+'Assumptions and Catalog'!$F$50,IF(((D212+E212)*C212)&lt;='Assumptions and Catalog'!$C$51,((D212+E212)*C212)*'Assumptions and Catalog'!$H$51+'Assumptions and Catalog'!$E$51+'Assumptions and Catalog'!$F$51,IF(((D212+E212)*C212)&lt;='Assumptions and Catalog'!$C$52,((D212+E212)*C212)*'Assumptions and Catalog'!$H$52+'Assumptions and Catalog'!$E$52+'Assumptions and Catalog'!$F$52,IF(((D212+E212)*C212)&lt;='Assumptions and Catalog'!$C$53,((D212+E212)*C212)*'Assumptions and Catalog'!$H$53+'Assumptions and Catalog'!$E$53+'Assumptions and Catalog'!$F$53,IF(((D212+E212)*C212)&lt;='Assumptions and Catalog'!$C$54,((D212+E212)*C212)*'Assumptions and Catalog'!$H$54+'Assumptions and Catalog'!$E$54+'Assumptions and Catalog'!$F$54,IF(((D212+E212)*C212)&lt;='Assumptions and Catalog'!$C$55,((D212+E212)*C212)*'Assumptions and Catalog'!$H$55+'Assumptions and Catalog'!$E$55+'Assumptions and Catalog'!$F$55,IF(((D212+E212)*C212)&lt;='Assumptions and Catalog'!$C$56,((D212+E212)*C212)*'Assumptions and Catalog'!$H$56+'Assumptions and Catalog'!$E$56+'Assumptions and Catalog'!$F$56,IF(((D212+E212)*C212)&lt;='Assumptions and Catalog'!$C$57,((D212+E212)*C212)*'Assumptions and Catalog'!$H$57+'Assumptions and Catalog'!$E$57+'Assumptions and Catalog'!$F$57,"Out of range")))))))),IF(((D212+E212)*C212)&lt;='Assumptions and Catalog'!$C$60,((D212+E212)*C212)*'Assumptions and Catalog'!$H$60+'Assumptions and Catalog'!$E$60+'Assumptions and Catalog'!$F$60,IF(((D212+E212)*C212)&lt;='Assumptions and Catalog'!$C$61,((D212+E212)*C212)*'Assumptions and Catalog'!$H$61+'Assumptions and Catalog'!$E$61+'Assumptions and Catalog'!$F$61,IF(((D212+E212)*C212)&lt;='Assumptions and Catalog'!$C$62,((D212+E212)*C212)*'Assumptions and Catalog'!$H$62+'Assumptions and Catalog'!$E$62+'Assumptions and Catalog'!$F$62,IF(((D212+E212)*C212)&lt;='Assumptions and Catalog'!$C$63,((D212+E212)*C212)*'Assumptions and Catalog'!$H$63+'Assumptions and Catalog'!$E$63+'Assumptions and Catalog'!$F$63,IF(((D212+E212)*C212)&lt;='Assumptions and Catalog'!$C$64,((D212+E212)*C212)*'Assumptions and Catalog'!$H$64+'Assumptions and Catalog'!$E$64+'Assumptions and Catalog'!$F$64,IF(((D212+E212)*C212)&lt;='Assumptions and Catalog'!$C$65,((D212+E212)*C212)*'Assumptions and Catalog'!$H$65+'Assumptions and Catalog'!$E$65+'Assumptions and Catalog'!$F$65,"Out of range")))))))))*(1+'Assumptions and Catalog'!$C$8)^(A212-1),0)</f>
        <v>8279</v>
      </c>
      <c r="N212" s="5">
        <f>IF(ISNUMBER(Inputs!$L$5),(IF(Inputs!$L$9="Actual flat rate",L212*Inputs!$L$10,IF(Inputs!$C$9="Residential",IF(L212&lt;='Assumptions and Catalog'!$C$50,L212*'Assumptions and Catalog'!$H$50+'Assumptions and Catalog'!$E$50+'Assumptions and Catalog'!$F$50,IF(L212&lt;='Assumptions and Catalog'!$C$51,L212*'Assumptions and Catalog'!$H$51+'Assumptions and Catalog'!$E$51+'Assumptions and Catalog'!$F$51,IF(L212&lt;='Assumptions and Catalog'!$C$52,L212*'Assumptions and Catalog'!$H$52+'Assumptions and Catalog'!$E$52+'Assumptions and Catalog'!$F$52,IF(L212&lt;='Assumptions and Catalog'!$C$53,L212*'Assumptions and Catalog'!$H$53+'Assumptions and Catalog'!$E$53+'Assumptions and Catalog'!$F$53,IF(L212&lt;='Assumptions and Catalog'!$C$54,L212*'Assumptions and Catalog'!$H$54+'Assumptions and Catalog'!$E$54+'Assumptions and Catalog'!$F$54,IF(L212&lt;='Assumptions and Catalog'!$C$55,L212*'Assumptions and Catalog'!$H$55+'Assumptions and Catalog'!$E$55+'Assumptions and Catalog'!$F$55,IF(L212&lt;='Assumptions and Catalog'!$C$56,L212*'Assumptions and Catalog'!$H$56+'Assumptions and Catalog'!$E$56+'Assumptions and Catalog'!$F$56,IF(L212&lt;='Assumptions and Catalog'!$C$57,L212*'Assumptions and Catalog'!$H$57+'Assumptions and Catalog'!$E$57+'Assumptions and Catalog'!$F$57,"Out of range")))))))),IF(L212&lt;='Assumptions and Catalog'!$C$60,L212*'Assumptions and Catalog'!$H$60+'Assumptions and Catalog'!$E$60+'Assumptions and Catalog'!$F$60,IF(L212&lt;='Assumptions and Catalog'!$C$61,L212*'Assumptions and Catalog'!$H$61+'Assumptions and Catalog'!$E$61+'Assumptions and Catalog'!$F$61,IF(L212&lt;='Assumptions and Catalog'!$C$62,L212*'Assumptions and Catalog'!$H$62+'Assumptions and Catalog'!$E$62+'Assumptions and Catalog'!$F$62,IF(L212&lt;='Assumptions and Catalog'!$C$63,L212*'Assumptions and Catalog'!$H$63+'Assumptions and Catalog'!$E$63+'Assumptions and Catalog'!$F$63,IF(L212&lt;='Assumptions and Catalog'!$C$64,L212*'Assumptions and Catalog'!$H$64+'Assumptions and Catalog'!$E$64+'Assumptions and Catalog'!$F$64,IF(L212&lt;='Assumptions and Catalog'!$C$65,L212*'Assumptions and Catalog'!$H$65+'Assumptions and Catalog'!$E$65+'Assumptions and Catalog'!$F$65,"Out of range")))))))))*(1+'Assumptions and Catalog'!$C$8)^(A212-1),0)</f>
        <v>4923.9359437274934</v>
      </c>
      <c r="O212" s="5">
        <f t="shared" si="12"/>
        <v>3355.0640562725066</v>
      </c>
      <c r="P212" s="5">
        <f>C$55*(1-J$14)*(1-'Assumptions and Catalog'!$C$23)^R212</f>
        <v>0</v>
      </c>
      <c r="Q212" s="5">
        <f>IF(ISNUMBER(Inputs!$L$5),(IF(Inputs!$L$9="Actual flat rate",((D212+E212)*C212-G212)*Inputs!$L$10,IF(Inputs!$C$9="Residential",IF(((D212+E212)*C212-G212)&lt;='Assumptions and Catalog'!$C$50,((D212+E212)*C212-G212)*'Assumptions and Catalog'!$H$50+'Assumptions and Catalog'!$E$50+'Assumptions and Catalog'!$F$50,IF(((D212+E212)*C212-G212)&lt;='Assumptions and Catalog'!$C$51,((D212+E212)*C212-G212)*'Assumptions and Catalog'!$H$51+'Assumptions and Catalog'!$E$51+'Assumptions and Catalog'!$F$51,IF(((D212+E212)*C212-G212)&lt;='Assumptions and Catalog'!$C$52,((D212+E212)*C212-G212)*'Assumptions and Catalog'!$H$52+'Assumptions and Catalog'!$E$52+'Assumptions and Catalog'!$F$52,IF(((D212+E212)*C212-G212)&lt;='Assumptions and Catalog'!$C$53,((D212+E212)*C212-G212)*'Assumptions and Catalog'!$H$53+'Assumptions and Catalog'!$E$53+'Assumptions and Catalog'!$F$53,IF(((D212+E212)*C212-G212)&lt;='Assumptions and Catalog'!$C$54,((D212+E212)*C212-G212)*'Assumptions and Catalog'!$H$54+'Assumptions and Catalog'!$E$54+'Assumptions and Catalog'!$F$54,IF(((D212+E212)*C212-G212)&lt;='Assumptions and Catalog'!$C$55,((D212+E212)*C212-G212)*'Assumptions and Catalog'!$H$55+'Assumptions and Catalog'!$E$55+'Assumptions and Catalog'!$F$55,IF(((D212+E212)*C212-G212)&lt;='Assumptions and Catalog'!$C$56,((D212+E212)*C212-G212)*'Assumptions and Catalog'!$H$56+'Assumptions and Catalog'!$E$56+'Assumptions and Catalog'!$F$56,IF(((D212+E212)*C212-G212)&lt;='Assumptions and Catalog'!$C$57,((D212+E212)*C212-G212)*'Assumptions and Catalog'!$H$57+'Assumptions and Catalog'!$E$57+'Assumptions and Catalog'!$F$57,"Out of range")))))))),IF(((D212+E212)*C212-G212)&lt;='Assumptions and Catalog'!$C$60,((D212+E212)*C212-G212)*'Assumptions and Catalog'!$H$60+'Assumptions and Catalog'!$E$60+'Assumptions and Catalog'!$F$60,IF(((D212+E212)*C212-G212)&lt;='Assumptions and Catalog'!$C$61,((D212+E212)*C212-G212)*'Assumptions and Catalog'!$H$61+'Assumptions and Catalog'!$E$61+'Assumptions and Catalog'!$F$61,IF(((D212+E212)*C212-G212)&lt;='Assumptions and Catalog'!$C$62,((D212+E212)*C212-G212)*'Assumptions and Catalog'!$H$62+'Assumptions and Catalog'!$E$62+'Assumptions and Catalog'!$F$62,IF(((D212+E212)*C212-G212)&lt;='Assumptions and Catalog'!$C$63,((D212+E212)*C212-G212)*'Assumptions and Catalog'!$H$63+'Assumptions and Catalog'!$E$63+'Assumptions and Catalog'!$F$63,IF(((D212+E212)*C212-G212)&lt;='Assumptions and Catalog'!$C$64,((D212+E212)*C212-G212)*'Assumptions and Catalog'!$H$64+'Assumptions and Catalog'!$E$64+'Assumptions and Catalog'!$F$64,IF(((D212+E212)*C212-G212)&lt;='Assumptions and Catalog'!$C$65,((D212+E212)*C212-G212)*'Assumptions and Catalog'!$H$65+'Assumptions and Catalog'!$E$65+'Assumptions and Catalog'!$F$65,"Out of range")))))))))*(1+'Assumptions and Catalog'!$C$8)^(A212-1),0)</f>
        <v>4923.9359437274934</v>
      </c>
      <c r="R212" s="5">
        <f>IF(AND('Assumptions and Catalog'!$C$19&gt;0,A212&gt;='Assumptions and Catalog'!$C$19),A212-'Assumptions and Catalog'!$C$19,A212-1)</f>
        <v>4</v>
      </c>
      <c r="S212" s="5">
        <f t="shared" si="13"/>
        <v>0</v>
      </c>
      <c r="T212" s="5"/>
      <c r="U212" s="5"/>
    </row>
    <row r="213" spans="1:21" ht="23.1" customHeight="1" outlineLevel="1" x14ac:dyDescent="0.2">
      <c r="A213" s="5">
        <v>5</v>
      </c>
      <c r="B213" s="5">
        <v>5</v>
      </c>
      <c r="C213" s="5">
        <f>DAY(DATE('Assumptions and Catalog'!$C$24+A213-1,B213+1,0))</f>
        <v>31</v>
      </c>
      <c r="D213" s="5">
        <f>IF(ISNUMBER(Inputs!$L$5),Inputs!$L$5*Inputs!$L$6,0)</f>
        <v>40.35</v>
      </c>
      <c r="E213" s="5">
        <f>IF(ISNUMBER(Inputs!$L$5),Inputs!$L$5-D213,0)</f>
        <v>40.35</v>
      </c>
      <c r="F213" s="5">
        <f>C$51*'Assumptions and Catalog'!$C$31*C213*(1-'Assumptions and Catalog'!$C$10)^(A213-1)</f>
        <v>1013.8137153734665</v>
      </c>
      <c r="G213" s="5">
        <f t="shared" si="8"/>
        <v>1013.8137153734665</v>
      </c>
      <c r="H213" s="5">
        <f>I213/('Assumptions and Catalog'!$C$11*'Assumptions and Catalog'!$C$12)</f>
        <v>0</v>
      </c>
      <c r="I213" s="5">
        <f>0</f>
        <v>0</v>
      </c>
      <c r="J213" s="5">
        <f t="shared" si="9"/>
        <v>0</v>
      </c>
      <c r="K213" s="5">
        <f t="shared" si="10"/>
        <v>0</v>
      </c>
      <c r="L213" s="5">
        <f t="shared" si="11"/>
        <v>1487.8862846265338</v>
      </c>
      <c r="M213" s="5">
        <f>IF(ISNUMBER(Inputs!$L$5),(IF(Inputs!$L$9="Actual flat rate",((D213+E213)*C213)*Inputs!$L$10,IF(Inputs!$C$9="Residential",IF(((D213+E213)*C213)&lt;='Assumptions and Catalog'!$C$50,((D213+E213)*C213)*'Assumptions and Catalog'!$H$50+'Assumptions and Catalog'!$E$50+'Assumptions and Catalog'!$F$50,IF(((D213+E213)*C213)&lt;='Assumptions and Catalog'!$C$51,((D213+E213)*C213)*'Assumptions and Catalog'!$H$51+'Assumptions and Catalog'!$E$51+'Assumptions and Catalog'!$F$51,IF(((D213+E213)*C213)&lt;='Assumptions and Catalog'!$C$52,((D213+E213)*C213)*'Assumptions and Catalog'!$H$52+'Assumptions and Catalog'!$E$52+'Assumptions and Catalog'!$F$52,IF(((D213+E213)*C213)&lt;='Assumptions and Catalog'!$C$53,((D213+E213)*C213)*'Assumptions and Catalog'!$H$53+'Assumptions and Catalog'!$E$53+'Assumptions and Catalog'!$F$53,IF(((D213+E213)*C213)&lt;='Assumptions and Catalog'!$C$54,((D213+E213)*C213)*'Assumptions and Catalog'!$H$54+'Assumptions and Catalog'!$E$54+'Assumptions and Catalog'!$F$54,IF(((D213+E213)*C213)&lt;='Assumptions and Catalog'!$C$55,((D213+E213)*C213)*'Assumptions and Catalog'!$H$55+'Assumptions and Catalog'!$E$55+'Assumptions and Catalog'!$F$55,IF(((D213+E213)*C213)&lt;='Assumptions and Catalog'!$C$56,((D213+E213)*C213)*'Assumptions and Catalog'!$H$56+'Assumptions and Catalog'!$E$56+'Assumptions and Catalog'!$F$56,IF(((D213+E213)*C213)&lt;='Assumptions and Catalog'!$C$57,((D213+E213)*C213)*'Assumptions and Catalog'!$H$57+'Assumptions and Catalog'!$E$57+'Assumptions and Catalog'!$F$57,"Out of range")))))))),IF(((D213+E213)*C213)&lt;='Assumptions and Catalog'!$C$60,((D213+E213)*C213)*'Assumptions and Catalog'!$H$60+'Assumptions and Catalog'!$E$60+'Assumptions and Catalog'!$F$60,IF(((D213+E213)*C213)&lt;='Assumptions and Catalog'!$C$61,((D213+E213)*C213)*'Assumptions and Catalog'!$H$61+'Assumptions and Catalog'!$E$61+'Assumptions and Catalog'!$F$61,IF(((D213+E213)*C213)&lt;='Assumptions and Catalog'!$C$62,((D213+E213)*C213)*'Assumptions and Catalog'!$H$62+'Assumptions and Catalog'!$E$62+'Assumptions and Catalog'!$F$62,IF(((D213+E213)*C213)&lt;='Assumptions and Catalog'!$C$63,((D213+E213)*C213)*'Assumptions and Catalog'!$H$63+'Assumptions and Catalog'!$E$63+'Assumptions and Catalog'!$F$63,IF(((D213+E213)*C213)&lt;='Assumptions and Catalog'!$C$64,((D213+E213)*C213)*'Assumptions and Catalog'!$H$64+'Assumptions and Catalog'!$E$64+'Assumptions and Catalog'!$F$64,IF(((D213+E213)*C213)&lt;='Assumptions and Catalog'!$C$65,((D213+E213)*C213)*'Assumptions and Catalog'!$H$65+'Assumptions and Catalog'!$E$65+'Assumptions and Catalog'!$F$65,"Out of range")))))))))*(1+'Assumptions and Catalog'!$C$8)^(A213-1),0)</f>
        <v>8554.9666666666672</v>
      </c>
      <c r="N213" s="5">
        <f>IF(ISNUMBER(Inputs!$L$5),(IF(Inputs!$L$9="Actual flat rate",L213*Inputs!$L$10,IF(Inputs!$C$9="Residential",IF(L213&lt;='Assumptions and Catalog'!$C$50,L213*'Assumptions and Catalog'!$H$50+'Assumptions and Catalog'!$E$50+'Assumptions and Catalog'!$F$50,IF(L213&lt;='Assumptions and Catalog'!$C$51,L213*'Assumptions and Catalog'!$H$51+'Assumptions and Catalog'!$E$51+'Assumptions and Catalog'!$F$51,IF(L213&lt;='Assumptions and Catalog'!$C$52,L213*'Assumptions and Catalog'!$H$52+'Assumptions and Catalog'!$E$52+'Assumptions and Catalog'!$F$52,IF(L213&lt;='Assumptions and Catalog'!$C$53,L213*'Assumptions and Catalog'!$H$53+'Assumptions and Catalog'!$E$53+'Assumptions and Catalog'!$F$53,IF(L213&lt;='Assumptions and Catalog'!$C$54,L213*'Assumptions and Catalog'!$H$54+'Assumptions and Catalog'!$E$54+'Assumptions and Catalog'!$F$54,IF(L213&lt;='Assumptions and Catalog'!$C$55,L213*'Assumptions and Catalog'!$H$55+'Assumptions and Catalog'!$E$55+'Assumptions and Catalog'!$F$55,IF(L213&lt;='Assumptions and Catalog'!$C$56,L213*'Assumptions and Catalog'!$H$56+'Assumptions and Catalog'!$E$56+'Assumptions and Catalog'!$F$56,IF(L213&lt;='Assumptions and Catalog'!$C$57,L213*'Assumptions and Catalog'!$H$57+'Assumptions and Catalog'!$E$57+'Assumptions and Catalog'!$F$57,"Out of range")))))))),IF(L213&lt;='Assumptions and Catalog'!$C$60,L213*'Assumptions and Catalog'!$H$60+'Assumptions and Catalog'!$E$60+'Assumptions and Catalog'!$F$60,IF(L213&lt;='Assumptions and Catalog'!$C$61,L213*'Assumptions and Catalog'!$H$61+'Assumptions and Catalog'!$E$61+'Assumptions and Catalog'!$F$61,IF(L213&lt;='Assumptions and Catalog'!$C$62,L213*'Assumptions and Catalog'!$H$62+'Assumptions and Catalog'!$E$62+'Assumptions and Catalog'!$F$62,IF(L213&lt;='Assumptions and Catalog'!$C$63,L213*'Assumptions and Catalog'!$H$63+'Assumptions and Catalog'!$E$63+'Assumptions and Catalog'!$F$63,IF(L213&lt;='Assumptions and Catalog'!$C$64,L213*'Assumptions and Catalog'!$H$64+'Assumptions and Catalog'!$E$64+'Assumptions and Catalog'!$F$64,IF(L213&lt;='Assumptions and Catalog'!$C$65,L213*'Assumptions and Catalog'!$H$65+'Assumptions and Catalog'!$E$65+'Assumptions and Catalog'!$F$65,"Out of range")))))))))*(1+'Assumptions and Catalog'!$C$8)^(A213-1),0)</f>
        <v>5088.0671418517441</v>
      </c>
      <c r="O213" s="5">
        <f t="shared" si="12"/>
        <v>3466.8995248149231</v>
      </c>
      <c r="P213" s="5">
        <f>C$55*(1-J$14)*(1-'Assumptions and Catalog'!$C$23)^R213</f>
        <v>0</v>
      </c>
      <c r="Q213" s="5">
        <f>IF(ISNUMBER(Inputs!$L$5),(IF(Inputs!$L$9="Actual flat rate",((D213+E213)*C213-G213)*Inputs!$L$10,IF(Inputs!$C$9="Residential",IF(((D213+E213)*C213-G213)&lt;='Assumptions and Catalog'!$C$50,((D213+E213)*C213-G213)*'Assumptions and Catalog'!$H$50+'Assumptions and Catalog'!$E$50+'Assumptions and Catalog'!$F$50,IF(((D213+E213)*C213-G213)&lt;='Assumptions and Catalog'!$C$51,((D213+E213)*C213-G213)*'Assumptions and Catalog'!$H$51+'Assumptions and Catalog'!$E$51+'Assumptions and Catalog'!$F$51,IF(((D213+E213)*C213-G213)&lt;='Assumptions and Catalog'!$C$52,((D213+E213)*C213-G213)*'Assumptions and Catalog'!$H$52+'Assumptions and Catalog'!$E$52+'Assumptions and Catalog'!$F$52,IF(((D213+E213)*C213-G213)&lt;='Assumptions and Catalog'!$C$53,((D213+E213)*C213-G213)*'Assumptions and Catalog'!$H$53+'Assumptions and Catalog'!$E$53+'Assumptions and Catalog'!$F$53,IF(((D213+E213)*C213-G213)&lt;='Assumptions and Catalog'!$C$54,((D213+E213)*C213-G213)*'Assumptions and Catalog'!$H$54+'Assumptions and Catalog'!$E$54+'Assumptions and Catalog'!$F$54,IF(((D213+E213)*C213-G213)&lt;='Assumptions and Catalog'!$C$55,((D213+E213)*C213-G213)*'Assumptions and Catalog'!$H$55+'Assumptions and Catalog'!$E$55+'Assumptions and Catalog'!$F$55,IF(((D213+E213)*C213-G213)&lt;='Assumptions and Catalog'!$C$56,((D213+E213)*C213-G213)*'Assumptions and Catalog'!$H$56+'Assumptions and Catalog'!$E$56+'Assumptions and Catalog'!$F$56,IF(((D213+E213)*C213-G213)&lt;='Assumptions and Catalog'!$C$57,((D213+E213)*C213-G213)*'Assumptions and Catalog'!$H$57+'Assumptions and Catalog'!$E$57+'Assumptions and Catalog'!$F$57,"Out of range")))))))),IF(((D213+E213)*C213-G213)&lt;='Assumptions and Catalog'!$C$60,((D213+E213)*C213-G213)*'Assumptions and Catalog'!$H$60+'Assumptions and Catalog'!$E$60+'Assumptions and Catalog'!$F$60,IF(((D213+E213)*C213-G213)&lt;='Assumptions and Catalog'!$C$61,((D213+E213)*C213-G213)*'Assumptions and Catalog'!$H$61+'Assumptions and Catalog'!$E$61+'Assumptions and Catalog'!$F$61,IF(((D213+E213)*C213-G213)&lt;='Assumptions and Catalog'!$C$62,((D213+E213)*C213-G213)*'Assumptions and Catalog'!$H$62+'Assumptions and Catalog'!$E$62+'Assumptions and Catalog'!$F$62,IF(((D213+E213)*C213-G213)&lt;='Assumptions and Catalog'!$C$63,((D213+E213)*C213-G213)*'Assumptions and Catalog'!$H$63+'Assumptions and Catalog'!$E$63+'Assumptions and Catalog'!$F$63,IF(((D213+E213)*C213-G213)&lt;='Assumptions and Catalog'!$C$64,((D213+E213)*C213-G213)*'Assumptions and Catalog'!$H$64+'Assumptions and Catalog'!$E$64+'Assumptions and Catalog'!$F$64,IF(((D213+E213)*C213-G213)&lt;='Assumptions and Catalog'!$C$65,((D213+E213)*C213-G213)*'Assumptions and Catalog'!$H$65+'Assumptions and Catalog'!$E$65+'Assumptions and Catalog'!$F$65,"Out of range")))))))))*(1+'Assumptions and Catalog'!$C$8)^(A213-1),0)</f>
        <v>5088.0671418517441</v>
      </c>
      <c r="R213" s="5">
        <f>IF(AND('Assumptions and Catalog'!$C$19&gt;0,A213&gt;='Assumptions and Catalog'!$C$19),A213-'Assumptions and Catalog'!$C$19,A213-1)</f>
        <v>4</v>
      </c>
      <c r="S213" s="5">
        <f t="shared" si="13"/>
        <v>0</v>
      </c>
      <c r="T213" s="5"/>
      <c r="U213" s="5"/>
    </row>
    <row r="214" spans="1:21" ht="23.1" customHeight="1" outlineLevel="1" x14ac:dyDescent="0.2">
      <c r="A214" s="5">
        <v>5</v>
      </c>
      <c r="B214" s="5">
        <v>6</v>
      </c>
      <c r="C214" s="5">
        <f>DAY(DATE('Assumptions and Catalog'!$C$24+A214-1,B214+1,0))</f>
        <v>30</v>
      </c>
      <c r="D214" s="5">
        <f>IF(ISNUMBER(Inputs!$L$5),Inputs!$L$5*Inputs!$L$6,0)</f>
        <v>40.35</v>
      </c>
      <c r="E214" s="5">
        <f>IF(ISNUMBER(Inputs!$L$5),Inputs!$L$5-D214,0)</f>
        <v>40.35</v>
      </c>
      <c r="F214" s="5">
        <f>C$51*'Assumptions and Catalog'!$C$31*C214*(1-'Assumptions and Catalog'!$C$10)^(A214-1)</f>
        <v>981.11004713561283</v>
      </c>
      <c r="G214" s="5">
        <f t="shared" si="8"/>
        <v>981.11004713561283</v>
      </c>
      <c r="H214" s="5">
        <f>I214/('Assumptions and Catalog'!$C$11*'Assumptions and Catalog'!$C$12)</f>
        <v>0</v>
      </c>
      <c r="I214" s="5">
        <f>0</f>
        <v>0</v>
      </c>
      <c r="J214" s="5">
        <f t="shared" si="9"/>
        <v>0</v>
      </c>
      <c r="K214" s="5">
        <f t="shared" si="10"/>
        <v>0</v>
      </c>
      <c r="L214" s="5">
        <f t="shared" si="11"/>
        <v>1439.8899528643872</v>
      </c>
      <c r="M214" s="5">
        <f>IF(ISNUMBER(Inputs!$L$5),(IF(Inputs!$L$9="Actual flat rate",((D214+E214)*C214)*Inputs!$L$10,IF(Inputs!$C$9="Residential",IF(((D214+E214)*C214)&lt;='Assumptions and Catalog'!$C$50,((D214+E214)*C214)*'Assumptions and Catalog'!$H$50+'Assumptions and Catalog'!$E$50+'Assumptions and Catalog'!$F$50,IF(((D214+E214)*C214)&lt;='Assumptions and Catalog'!$C$51,((D214+E214)*C214)*'Assumptions and Catalog'!$H$51+'Assumptions and Catalog'!$E$51+'Assumptions and Catalog'!$F$51,IF(((D214+E214)*C214)&lt;='Assumptions and Catalog'!$C$52,((D214+E214)*C214)*'Assumptions and Catalog'!$H$52+'Assumptions and Catalog'!$E$52+'Assumptions and Catalog'!$F$52,IF(((D214+E214)*C214)&lt;='Assumptions and Catalog'!$C$53,((D214+E214)*C214)*'Assumptions and Catalog'!$H$53+'Assumptions and Catalog'!$E$53+'Assumptions and Catalog'!$F$53,IF(((D214+E214)*C214)&lt;='Assumptions and Catalog'!$C$54,((D214+E214)*C214)*'Assumptions and Catalog'!$H$54+'Assumptions and Catalog'!$E$54+'Assumptions and Catalog'!$F$54,IF(((D214+E214)*C214)&lt;='Assumptions and Catalog'!$C$55,((D214+E214)*C214)*'Assumptions and Catalog'!$H$55+'Assumptions and Catalog'!$E$55+'Assumptions and Catalog'!$F$55,IF(((D214+E214)*C214)&lt;='Assumptions and Catalog'!$C$56,((D214+E214)*C214)*'Assumptions and Catalog'!$H$56+'Assumptions and Catalog'!$E$56+'Assumptions and Catalog'!$F$56,IF(((D214+E214)*C214)&lt;='Assumptions and Catalog'!$C$57,((D214+E214)*C214)*'Assumptions and Catalog'!$H$57+'Assumptions and Catalog'!$E$57+'Assumptions and Catalog'!$F$57,"Out of range")))))))),IF(((D214+E214)*C214)&lt;='Assumptions and Catalog'!$C$60,((D214+E214)*C214)*'Assumptions and Catalog'!$H$60+'Assumptions and Catalog'!$E$60+'Assumptions and Catalog'!$F$60,IF(((D214+E214)*C214)&lt;='Assumptions and Catalog'!$C$61,((D214+E214)*C214)*'Assumptions and Catalog'!$H$61+'Assumptions and Catalog'!$E$61+'Assumptions and Catalog'!$F$61,IF(((D214+E214)*C214)&lt;='Assumptions and Catalog'!$C$62,((D214+E214)*C214)*'Assumptions and Catalog'!$H$62+'Assumptions and Catalog'!$E$62+'Assumptions and Catalog'!$F$62,IF(((D214+E214)*C214)&lt;='Assumptions and Catalog'!$C$63,((D214+E214)*C214)*'Assumptions and Catalog'!$H$63+'Assumptions and Catalog'!$E$63+'Assumptions and Catalog'!$F$63,IF(((D214+E214)*C214)&lt;='Assumptions and Catalog'!$C$64,((D214+E214)*C214)*'Assumptions and Catalog'!$H$64+'Assumptions and Catalog'!$E$64+'Assumptions and Catalog'!$F$64,IF(((D214+E214)*C214)&lt;='Assumptions and Catalog'!$C$65,((D214+E214)*C214)*'Assumptions and Catalog'!$H$65+'Assumptions and Catalog'!$E$65+'Assumptions and Catalog'!$F$65,"Out of range")))))))))*(1+'Assumptions and Catalog'!$C$8)^(A214-1),0)</f>
        <v>8279</v>
      </c>
      <c r="N214" s="5">
        <f>IF(ISNUMBER(Inputs!$L$5),(IF(Inputs!$L$9="Actual flat rate",L214*Inputs!$L$10,IF(Inputs!$C$9="Residential",IF(L214&lt;='Assumptions and Catalog'!$C$50,L214*'Assumptions and Catalog'!$H$50+'Assumptions and Catalog'!$E$50+'Assumptions and Catalog'!$F$50,IF(L214&lt;='Assumptions and Catalog'!$C$51,L214*'Assumptions and Catalog'!$H$51+'Assumptions and Catalog'!$E$51+'Assumptions and Catalog'!$F$51,IF(L214&lt;='Assumptions and Catalog'!$C$52,L214*'Assumptions and Catalog'!$H$52+'Assumptions and Catalog'!$E$52+'Assumptions and Catalog'!$F$52,IF(L214&lt;='Assumptions and Catalog'!$C$53,L214*'Assumptions and Catalog'!$H$53+'Assumptions and Catalog'!$E$53+'Assumptions and Catalog'!$F$53,IF(L214&lt;='Assumptions and Catalog'!$C$54,L214*'Assumptions and Catalog'!$H$54+'Assumptions and Catalog'!$E$54+'Assumptions and Catalog'!$F$54,IF(L214&lt;='Assumptions and Catalog'!$C$55,L214*'Assumptions and Catalog'!$H$55+'Assumptions and Catalog'!$E$55+'Assumptions and Catalog'!$F$55,IF(L214&lt;='Assumptions and Catalog'!$C$56,L214*'Assumptions and Catalog'!$H$56+'Assumptions and Catalog'!$E$56+'Assumptions and Catalog'!$F$56,IF(L214&lt;='Assumptions and Catalog'!$C$57,L214*'Assumptions and Catalog'!$H$57+'Assumptions and Catalog'!$E$57+'Assumptions and Catalog'!$F$57,"Out of range")))))))),IF(L214&lt;='Assumptions and Catalog'!$C$60,L214*'Assumptions and Catalog'!$H$60+'Assumptions and Catalog'!$E$60+'Assumptions and Catalog'!$F$60,IF(L214&lt;='Assumptions and Catalog'!$C$61,L214*'Assumptions and Catalog'!$H$61+'Assumptions and Catalog'!$E$61+'Assumptions and Catalog'!$F$61,IF(L214&lt;='Assumptions and Catalog'!$C$62,L214*'Assumptions and Catalog'!$H$62+'Assumptions and Catalog'!$E$62+'Assumptions and Catalog'!$F$62,IF(L214&lt;='Assumptions and Catalog'!$C$63,L214*'Assumptions and Catalog'!$H$63+'Assumptions and Catalog'!$E$63+'Assumptions and Catalog'!$F$63,IF(L214&lt;='Assumptions and Catalog'!$C$64,L214*'Assumptions and Catalog'!$H$64+'Assumptions and Catalog'!$E$64+'Assumptions and Catalog'!$F$64,IF(L214&lt;='Assumptions and Catalog'!$C$65,L214*'Assumptions and Catalog'!$H$65+'Assumptions and Catalog'!$E$65+'Assumptions and Catalog'!$F$65,"Out of range")))))))))*(1+'Assumptions and Catalog'!$C$8)^(A214-1),0)</f>
        <v>4923.9359437274934</v>
      </c>
      <c r="O214" s="5">
        <f t="shared" si="12"/>
        <v>3355.0640562725066</v>
      </c>
      <c r="P214" s="5">
        <f>C$55*(1-J$14)*(1-'Assumptions and Catalog'!$C$23)^R214</f>
        <v>0</v>
      </c>
      <c r="Q214" s="5">
        <f>IF(ISNUMBER(Inputs!$L$5),(IF(Inputs!$L$9="Actual flat rate",((D214+E214)*C214-G214)*Inputs!$L$10,IF(Inputs!$C$9="Residential",IF(((D214+E214)*C214-G214)&lt;='Assumptions and Catalog'!$C$50,((D214+E214)*C214-G214)*'Assumptions and Catalog'!$H$50+'Assumptions and Catalog'!$E$50+'Assumptions and Catalog'!$F$50,IF(((D214+E214)*C214-G214)&lt;='Assumptions and Catalog'!$C$51,((D214+E214)*C214-G214)*'Assumptions and Catalog'!$H$51+'Assumptions and Catalog'!$E$51+'Assumptions and Catalog'!$F$51,IF(((D214+E214)*C214-G214)&lt;='Assumptions and Catalog'!$C$52,((D214+E214)*C214-G214)*'Assumptions and Catalog'!$H$52+'Assumptions and Catalog'!$E$52+'Assumptions and Catalog'!$F$52,IF(((D214+E214)*C214-G214)&lt;='Assumptions and Catalog'!$C$53,((D214+E214)*C214-G214)*'Assumptions and Catalog'!$H$53+'Assumptions and Catalog'!$E$53+'Assumptions and Catalog'!$F$53,IF(((D214+E214)*C214-G214)&lt;='Assumptions and Catalog'!$C$54,((D214+E214)*C214-G214)*'Assumptions and Catalog'!$H$54+'Assumptions and Catalog'!$E$54+'Assumptions and Catalog'!$F$54,IF(((D214+E214)*C214-G214)&lt;='Assumptions and Catalog'!$C$55,((D214+E214)*C214-G214)*'Assumptions and Catalog'!$H$55+'Assumptions and Catalog'!$E$55+'Assumptions and Catalog'!$F$55,IF(((D214+E214)*C214-G214)&lt;='Assumptions and Catalog'!$C$56,((D214+E214)*C214-G214)*'Assumptions and Catalog'!$H$56+'Assumptions and Catalog'!$E$56+'Assumptions and Catalog'!$F$56,IF(((D214+E214)*C214-G214)&lt;='Assumptions and Catalog'!$C$57,((D214+E214)*C214-G214)*'Assumptions and Catalog'!$H$57+'Assumptions and Catalog'!$E$57+'Assumptions and Catalog'!$F$57,"Out of range")))))))),IF(((D214+E214)*C214-G214)&lt;='Assumptions and Catalog'!$C$60,((D214+E214)*C214-G214)*'Assumptions and Catalog'!$H$60+'Assumptions and Catalog'!$E$60+'Assumptions and Catalog'!$F$60,IF(((D214+E214)*C214-G214)&lt;='Assumptions and Catalog'!$C$61,((D214+E214)*C214-G214)*'Assumptions and Catalog'!$H$61+'Assumptions and Catalog'!$E$61+'Assumptions and Catalog'!$F$61,IF(((D214+E214)*C214-G214)&lt;='Assumptions and Catalog'!$C$62,((D214+E214)*C214-G214)*'Assumptions and Catalog'!$H$62+'Assumptions and Catalog'!$E$62+'Assumptions and Catalog'!$F$62,IF(((D214+E214)*C214-G214)&lt;='Assumptions and Catalog'!$C$63,((D214+E214)*C214-G214)*'Assumptions and Catalog'!$H$63+'Assumptions and Catalog'!$E$63+'Assumptions and Catalog'!$F$63,IF(((D214+E214)*C214-G214)&lt;='Assumptions and Catalog'!$C$64,((D214+E214)*C214-G214)*'Assumptions and Catalog'!$H$64+'Assumptions and Catalog'!$E$64+'Assumptions and Catalog'!$F$64,IF(((D214+E214)*C214-G214)&lt;='Assumptions and Catalog'!$C$65,((D214+E214)*C214-G214)*'Assumptions and Catalog'!$H$65+'Assumptions and Catalog'!$E$65+'Assumptions and Catalog'!$F$65,"Out of range")))))))))*(1+'Assumptions and Catalog'!$C$8)^(A214-1),0)</f>
        <v>4923.9359437274934</v>
      </c>
      <c r="R214" s="5">
        <f>IF(AND('Assumptions and Catalog'!$C$19&gt;0,A214&gt;='Assumptions and Catalog'!$C$19),A214-'Assumptions and Catalog'!$C$19,A214-1)</f>
        <v>4</v>
      </c>
      <c r="S214" s="5">
        <f t="shared" si="13"/>
        <v>0</v>
      </c>
      <c r="T214" s="5"/>
      <c r="U214" s="5"/>
    </row>
    <row r="215" spans="1:21" ht="23.1" customHeight="1" outlineLevel="1" x14ac:dyDescent="0.2">
      <c r="A215" s="5">
        <v>5</v>
      </c>
      <c r="B215" s="5">
        <v>7</v>
      </c>
      <c r="C215" s="5">
        <f>DAY(DATE('Assumptions and Catalog'!$C$24+A215-1,B215+1,0))</f>
        <v>31</v>
      </c>
      <c r="D215" s="5">
        <f>IF(ISNUMBER(Inputs!$L$5),Inputs!$L$5*Inputs!$L$6,0)</f>
        <v>40.35</v>
      </c>
      <c r="E215" s="5">
        <f>IF(ISNUMBER(Inputs!$L$5),Inputs!$L$5-D215,0)</f>
        <v>40.35</v>
      </c>
      <c r="F215" s="5">
        <f>C$51*'Assumptions and Catalog'!$C$31*C215*(1-'Assumptions and Catalog'!$C$10)^(A215-1)</f>
        <v>1013.8137153734665</v>
      </c>
      <c r="G215" s="5">
        <f t="shared" si="8"/>
        <v>1013.8137153734665</v>
      </c>
      <c r="H215" s="5">
        <f>I215/('Assumptions and Catalog'!$C$11*'Assumptions and Catalog'!$C$12)</f>
        <v>0</v>
      </c>
      <c r="I215" s="5">
        <f>0</f>
        <v>0</v>
      </c>
      <c r="J215" s="5">
        <f t="shared" si="9"/>
        <v>0</v>
      </c>
      <c r="K215" s="5">
        <f t="shared" si="10"/>
        <v>0</v>
      </c>
      <c r="L215" s="5">
        <f t="shared" si="11"/>
        <v>1487.8862846265338</v>
      </c>
      <c r="M215" s="5">
        <f>IF(ISNUMBER(Inputs!$L$5),(IF(Inputs!$L$9="Actual flat rate",((D215+E215)*C215)*Inputs!$L$10,IF(Inputs!$C$9="Residential",IF(((D215+E215)*C215)&lt;='Assumptions and Catalog'!$C$50,((D215+E215)*C215)*'Assumptions and Catalog'!$H$50+'Assumptions and Catalog'!$E$50+'Assumptions and Catalog'!$F$50,IF(((D215+E215)*C215)&lt;='Assumptions and Catalog'!$C$51,((D215+E215)*C215)*'Assumptions and Catalog'!$H$51+'Assumptions and Catalog'!$E$51+'Assumptions and Catalog'!$F$51,IF(((D215+E215)*C215)&lt;='Assumptions and Catalog'!$C$52,((D215+E215)*C215)*'Assumptions and Catalog'!$H$52+'Assumptions and Catalog'!$E$52+'Assumptions and Catalog'!$F$52,IF(((D215+E215)*C215)&lt;='Assumptions and Catalog'!$C$53,((D215+E215)*C215)*'Assumptions and Catalog'!$H$53+'Assumptions and Catalog'!$E$53+'Assumptions and Catalog'!$F$53,IF(((D215+E215)*C215)&lt;='Assumptions and Catalog'!$C$54,((D215+E215)*C215)*'Assumptions and Catalog'!$H$54+'Assumptions and Catalog'!$E$54+'Assumptions and Catalog'!$F$54,IF(((D215+E215)*C215)&lt;='Assumptions and Catalog'!$C$55,((D215+E215)*C215)*'Assumptions and Catalog'!$H$55+'Assumptions and Catalog'!$E$55+'Assumptions and Catalog'!$F$55,IF(((D215+E215)*C215)&lt;='Assumptions and Catalog'!$C$56,((D215+E215)*C215)*'Assumptions and Catalog'!$H$56+'Assumptions and Catalog'!$E$56+'Assumptions and Catalog'!$F$56,IF(((D215+E215)*C215)&lt;='Assumptions and Catalog'!$C$57,((D215+E215)*C215)*'Assumptions and Catalog'!$H$57+'Assumptions and Catalog'!$E$57+'Assumptions and Catalog'!$F$57,"Out of range")))))))),IF(((D215+E215)*C215)&lt;='Assumptions and Catalog'!$C$60,((D215+E215)*C215)*'Assumptions and Catalog'!$H$60+'Assumptions and Catalog'!$E$60+'Assumptions and Catalog'!$F$60,IF(((D215+E215)*C215)&lt;='Assumptions and Catalog'!$C$61,((D215+E215)*C215)*'Assumptions and Catalog'!$H$61+'Assumptions and Catalog'!$E$61+'Assumptions and Catalog'!$F$61,IF(((D215+E215)*C215)&lt;='Assumptions and Catalog'!$C$62,((D215+E215)*C215)*'Assumptions and Catalog'!$H$62+'Assumptions and Catalog'!$E$62+'Assumptions and Catalog'!$F$62,IF(((D215+E215)*C215)&lt;='Assumptions and Catalog'!$C$63,((D215+E215)*C215)*'Assumptions and Catalog'!$H$63+'Assumptions and Catalog'!$E$63+'Assumptions and Catalog'!$F$63,IF(((D215+E215)*C215)&lt;='Assumptions and Catalog'!$C$64,((D215+E215)*C215)*'Assumptions and Catalog'!$H$64+'Assumptions and Catalog'!$E$64+'Assumptions and Catalog'!$F$64,IF(((D215+E215)*C215)&lt;='Assumptions and Catalog'!$C$65,((D215+E215)*C215)*'Assumptions and Catalog'!$H$65+'Assumptions and Catalog'!$E$65+'Assumptions and Catalog'!$F$65,"Out of range")))))))))*(1+'Assumptions and Catalog'!$C$8)^(A215-1),0)</f>
        <v>8554.9666666666672</v>
      </c>
      <c r="N215" s="5">
        <f>IF(ISNUMBER(Inputs!$L$5),(IF(Inputs!$L$9="Actual flat rate",L215*Inputs!$L$10,IF(Inputs!$C$9="Residential",IF(L215&lt;='Assumptions and Catalog'!$C$50,L215*'Assumptions and Catalog'!$H$50+'Assumptions and Catalog'!$E$50+'Assumptions and Catalog'!$F$50,IF(L215&lt;='Assumptions and Catalog'!$C$51,L215*'Assumptions and Catalog'!$H$51+'Assumptions and Catalog'!$E$51+'Assumptions and Catalog'!$F$51,IF(L215&lt;='Assumptions and Catalog'!$C$52,L215*'Assumptions and Catalog'!$H$52+'Assumptions and Catalog'!$E$52+'Assumptions and Catalog'!$F$52,IF(L215&lt;='Assumptions and Catalog'!$C$53,L215*'Assumptions and Catalog'!$H$53+'Assumptions and Catalog'!$E$53+'Assumptions and Catalog'!$F$53,IF(L215&lt;='Assumptions and Catalog'!$C$54,L215*'Assumptions and Catalog'!$H$54+'Assumptions and Catalog'!$E$54+'Assumptions and Catalog'!$F$54,IF(L215&lt;='Assumptions and Catalog'!$C$55,L215*'Assumptions and Catalog'!$H$55+'Assumptions and Catalog'!$E$55+'Assumptions and Catalog'!$F$55,IF(L215&lt;='Assumptions and Catalog'!$C$56,L215*'Assumptions and Catalog'!$H$56+'Assumptions and Catalog'!$E$56+'Assumptions and Catalog'!$F$56,IF(L215&lt;='Assumptions and Catalog'!$C$57,L215*'Assumptions and Catalog'!$H$57+'Assumptions and Catalog'!$E$57+'Assumptions and Catalog'!$F$57,"Out of range")))))))),IF(L215&lt;='Assumptions and Catalog'!$C$60,L215*'Assumptions and Catalog'!$H$60+'Assumptions and Catalog'!$E$60+'Assumptions and Catalog'!$F$60,IF(L215&lt;='Assumptions and Catalog'!$C$61,L215*'Assumptions and Catalog'!$H$61+'Assumptions and Catalog'!$E$61+'Assumptions and Catalog'!$F$61,IF(L215&lt;='Assumptions and Catalog'!$C$62,L215*'Assumptions and Catalog'!$H$62+'Assumptions and Catalog'!$E$62+'Assumptions and Catalog'!$F$62,IF(L215&lt;='Assumptions and Catalog'!$C$63,L215*'Assumptions and Catalog'!$H$63+'Assumptions and Catalog'!$E$63+'Assumptions and Catalog'!$F$63,IF(L215&lt;='Assumptions and Catalog'!$C$64,L215*'Assumptions and Catalog'!$H$64+'Assumptions and Catalog'!$E$64+'Assumptions and Catalog'!$F$64,IF(L215&lt;='Assumptions and Catalog'!$C$65,L215*'Assumptions and Catalog'!$H$65+'Assumptions and Catalog'!$E$65+'Assumptions and Catalog'!$F$65,"Out of range")))))))))*(1+'Assumptions and Catalog'!$C$8)^(A215-1),0)</f>
        <v>5088.0671418517441</v>
      </c>
      <c r="O215" s="5">
        <f t="shared" si="12"/>
        <v>3466.8995248149231</v>
      </c>
      <c r="P215" s="5">
        <f>C$55*(1-J$14)*(1-'Assumptions and Catalog'!$C$23)^R215</f>
        <v>0</v>
      </c>
      <c r="Q215" s="5">
        <f>IF(ISNUMBER(Inputs!$L$5),(IF(Inputs!$L$9="Actual flat rate",((D215+E215)*C215-G215)*Inputs!$L$10,IF(Inputs!$C$9="Residential",IF(((D215+E215)*C215-G215)&lt;='Assumptions and Catalog'!$C$50,((D215+E215)*C215-G215)*'Assumptions and Catalog'!$H$50+'Assumptions and Catalog'!$E$50+'Assumptions and Catalog'!$F$50,IF(((D215+E215)*C215-G215)&lt;='Assumptions and Catalog'!$C$51,((D215+E215)*C215-G215)*'Assumptions and Catalog'!$H$51+'Assumptions and Catalog'!$E$51+'Assumptions and Catalog'!$F$51,IF(((D215+E215)*C215-G215)&lt;='Assumptions and Catalog'!$C$52,((D215+E215)*C215-G215)*'Assumptions and Catalog'!$H$52+'Assumptions and Catalog'!$E$52+'Assumptions and Catalog'!$F$52,IF(((D215+E215)*C215-G215)&lt;='Assumptions and Catalog'!$C$53,((D215+E215)*C215-G215)*'Assumptions and Catalog'!$H$53+'Assumptions and Catalog'!$E$53+'Assumptions and Catalog'!$F$53,IF(((D215+E215)*C215-G215)&lt;='Assumptions and Catalog'!$C$54,((D215+E215)*C215-G215)*'Assumptions and Catalog'!$H$54+'Assumptions and Catalog'!$E$54+'Assumptions and Catalog'!$F$54,IF(((D215+E215)*C215-G215)&lt;='Assumptions and Catalog'!$C$55,((D215+E215)*C215-G215)*'Assumptions and Catalog'!$H$55+'Assumptions and Catalog'!$E$55+'Assumptions and Catalog'!$F$55,IF(((D215+E215)*C215-G215)&lt;='Assumptions and Catalog'!$C$56,((D215+E215)*C215-G215)*'Assumptions and Catalog'!$H$56+'Assumptions and Catalog'!$E$56+'Assumptions and Catalog'!$F$56,IF(((D215+E215)*C215-G215)&lt;='Assumptions and Catalog'!$C$57,((D215+E215)*C215-G215)*'Assumptions and Catalog'!$H$57+'Assumptions and Catalog'!$E$57+'Assumptions and Catalog'!$F$57,"Out of range")))))))),IF(((D215+E215)*C215-G215)&lt;='Assumptions and Catalog'!$C$60,((D215+E215)*C215-G215)*'Assumptions and Catalog'!$H$60+'Assumptions and Catalog'!$E$60+'Assumptions and Catalog'!$F$60,IF(((D215+E215)*C215-G215)&lt;='Assumptions and Catalog'!$C$61,((D215+E215)*C215-G215)*'Assumptions and Catalog'!$H$61+'Assumptions and Catalog'!$E$61+'Assumptions and Catalog'!$F$61,IF(((D215+E215)*C215-G215)&lt;='Assumptions and Catalog'!$C$62,((D215+E215)*C215-G215)*'Assumptions and Catalog'!$H$62+'Assumptions and Catalog'!$E$62+'Assumptions and Catalog'!$F$62,IF(((D215+E215)*C215-G215)&lt;='Assumptions and Catalog'!$C$63,((D215+E215)*C215-G215)*'Assumptions and Catalog'!$H$63+'Assumptions and Catalog'!$E$63+'Assumptions and Catalog'!$F$63,IF(((D215+E215)*C215-G215)&lt;='Assumptions and Catalog'!$C$64,((D215+E215)*C215-G215)*'Assumptions and Catalog'!$H$64+'Assumptions and Catalog'!$E$64+'Assumptions and Catalog'!$F$64,IF(((D215+E215)*C215-G215)&lt;='Assumptions and Catalog'!$C$65,((D215+E215)*C215-G215)*'Assumptions and Catalog'!$H$65+'Assumptions and Catalog'!$E$65+'Assumptions and Catalog'!$F$65,"Out of range")))))))))*(1+'Assumptions and Catalog'!$C$8)^(A215-1),0)</f>
        <v>5088.0671418517441</v>
      </c>
      <c r="R215" s="5">
        <f>IF(AND('Assumptions and Catalog'!$C$19&gt;0,A215&gt;='Assumptions and Catalog'!$C$19),A215-'Assumptions and Catalog'!$C$19,A215-1)</f>
        <v>4</v>
      </c>
      <c r="S215" s="5">
        <f t="shared" si="13"/>
        <v>0</v>
      </c>
      <c r="T215" s="5"/>
      <c r="U215" s="5"/>
    </row>
    <row r="216" spans="1:21" ht="23.1" customHeight="1" outlineLevel="1" x14ac:dyDescent="0.2">
      <c r="A216" s="5">
        <v>5</v>
      </c>
      <c r="B216" s="5">
        <v>8</v>
      </c>
      <c r="C216" s="5">
        <f>DAY(DATE('Assumptions and Catalog'!$C$24+A216-1,B216+1,0))</f>
        <v>31</v>
      </c>
      <c r="D216" s="5">
        <f>IF(ISNUMBER(Inputs!$L$5),Inputs!$L$5*Inputs!$L$6,0)</f>
        <v>40.35</v>
      </c>
      <c r="E216" s="5">
        <f>IF(ISNUMBER(Inputs!$L$5),Inputs!$L$5-D216,0)</f>
        <v>40.35</v>
      </c>
      <c r="F216" s="5">
        <f>C$51*'Assumptions and Catalog'!$C$31*C216*(1-'Assumptions and Catalog'!$C$10)^(A216-1)</f>
        <v>1013.8137153734665</v>
      </c>
      <c r="G216" s="5">
        <f t="shared" si="8"/>
        <v>1013.8137153734665</v>
      </c>
      <c r="H216" s="5">
        <f>I216/('Assumptions and Catalog'!$C$11*'Assumptions and Catalog'!$C$12)</f>
        <v>0</v>
      </c>
      <c r="I216" s="5">
        <f>0</f>
        <v>0</v>
      </c>
      <c r="J216" s="5">
        <f t="shared" si="9"/>
        <v>0</v>
      </c>
      <c r="K216" s="5">
        <f t="shared" si="10"/>
        <v>0</v>
      </c>
      <c r="L216" s="5">
        <f t="shared" si="11"/>
        <v>1487.8862846265338</v>
      </c>
      <c r="M216" s="5">
        <f>IF(ISNUMBER(Inputs!$L$5),(IF(Inputs!$L$9="Actual flat rate",((D216+E216)*C216)*Inputs!$L$10,IF(Inputs!$C$9="Residential",IF(((D216+E216)*C216)&lt;='Assumptions and Catalog'!$C$50,((D216+E216)*C216)*'Assumptions and Catalog'!$H$50+'Assumptions and Catalog'!$E$50+'Assumptions and Catalog'!$F$50,IF(((D216+E216)*C216)&lt;='Assumptions and Catalog'!$C$51,((D216+E216)*C216)*'Assumptions and Catalog'!$H$51+'Assumptions and Catalog'!$E$51+'Assumptions and Catalog'!$F$51,IF(((D216+E216)*C216)&lt;='Assumptions and Catalog'!$C$52,((D216+E216)*C216)*'Assumptions and Catalog'!$H$52+'Assumptions and Catalog'!$E$52+'Assumptions and Catalog'!$F$52,IF(((D216+E216)*C216)&lt;='Assumptions and Catalog'!$C$53,((D216+E216)*C216)*'Assumptions and Catalog'!$H$53+'Assumptions and Catalog'!$E$53+'Assumptions and Catalog'!$F$53,IF(((D216+E216)*C216)&lt;='Assumptions and Catalog'!$C$54,((D216+E216)*C216)*'Assumptions and Catalog'!$H$54+'Assumptions and Catalog'!$E$54+'Assumptions and Catalog'!$F$54,IF(((D216+E216)*C216)&lt;='Assumptions and Catalog'!$C$55,((D216+E216)*C216)*'Assumptions and Catalog'!$H$55+'Assumptions and Catalog'!$E$55+'Assumptions and Catalog'!$F$55,IF(((D216+E216)*C216)&lt;='Assumptions and Catalog'!$C$56,((D216+E216)*C216)*'Assumptions and Catalog'!$H$56+'Assumptions and Catalog'!$E$56+'Assumptions and Catalog'!$F$56,IF(((D216+E216)*C216)&lt;='Assumptions and Catalog'!$C$57,((D216+E216)*C216)*'Assumptions and Catalog'!$H$57+'Assumptions and Catalog'!$E$57+'Assumptions and Catalog'!$F$57,"Out of range")))))))),IF(((D216+E216)*C216)&lt;='Assumptions and Catalog'!$C$60,((D216+E216)*C216)*'Assumptions and Catalog'!$H$60+'Assumptions and Catalog'!$E$60+'Assumptions and Catalog'!$F$60,IF(((D216+E216)*C216)&lt;='Assumptions and Catalog'!$C$61,((D216+E216)*C216)*'Assumptions and Catalog'!$H$61+'Assumptions and Catalog'!$E$61+'Assumptions and Catalog'!$F$61,IF(((D216+E216)*C216)&lt;='Assumptions and Catalog'!$C$62,((D216+E216)*C216)*'Assumptions and Catalog'!$H$62+'Assumptions and Catalog'!$E$62+'Assumptions and Catalog'!$F$62,IF(((D216+E216)*C216)&lt;='Assumptions and Catalog'!$C$63,((D216+E216)*C216)*'Assumptions and Catalog'!$H$63+'Assumptions and Catalog'!$E$63+'Assumptions and Catalog'!$F$63,IF(((D216+E216)*C216)&lt;='Assumptions and Catalog'!$C$64,((D216+E216)*C216)*'Assumptions and Catalog'!$H$64+'Assumptions and Catalog'!$E$64+'Assumptions and Catalog'!$F$64,IF(((D216+E216)*C216)&lt;='Assumptions and Catalog'!$C$65,((D216+E216)*C216)*'Assumptions and Catalog'!$H$65+'Assumptions and Catalog'!$E$65+'Assumptions and Catalog'!$F$65,"Out of range")))))))))*(1+'Assumptions and Catalog'!$C$8)^(A216-1),0)</f>
        <v>8554.9666666666672</v>
      </c>
      <c r="N216" s="5">
        <f>IF(ISNUMBER(Inputs!$L$5),(IF(Inputs!$L$9="Actual flat rate",L216*Inputs!$L$10,IF(Inputs!$C$9="Residential",IF(L216&lt;='Assumptions and Catalog'!$C$50,L216*'Assumptions and Catalog'!$H$50+'Assumptions and Catalog'!$E$50+'Assumptions and Catalog'!$F$50,IF(L216&lt;='Assumptions and Catalog'!$C$51,L216*'Assumptions and Catalog'!$H$51+'Assumptions and Catalog'!$E$51+'Assumptions and Catalog'!$F$51,IF(L216&lt;='Assumptions and Catalog'!$C$52,L216*'Assumptions and Catalog'!$H$52+'Assumptions and Catalog'!$E$52+'Assumptions and Catalog'!$F$52,IF(L216&lt;='Assumptions and Catalog'!$C$53,L216*'Assumptions and Catalog'!$H$53+'Assumptions and Catalog'!$E$53+'Assumptions and Catalog'!$F$53,IF(L216&lt;='Assumptions and Catalog'!$C$54,L216*'Assumptions and Catalog'!$H$54+'Assumptions and Catalog'!$E$54+'Assumptions and Catalog'!$F$54,IF(L216&lt;='Assumptions and Catalog'!$C$55,L216*'Assumptions and Catalog'!$H$55+'Assumptions and Catalog'!$E$55+'Assumptions and Catalog'!$F$55,IF(L216&lt;='Assumptions and Catalog'!$C$56,L216*'Assumptions and Catalog'!$H$56+'Assumptions and Catalog'!$E$56+'Assumptions and Catalog'!$F$56,IF(L216&lt;='Assumptions and Catalog'!$C$57,L216*'Assumptions and Catalog'!$H$57+'Assumptions and Catalog'!$E$57+'Assumptions and Catalog'!$F$57,"Out of range")))))))),IF(L216&lt;='Assumptions and Catalog'!$C$60,L216*'Assumptions and Catalog'!$H$60+'Assumptions and Catalog'!$E$60+'Assumptions and Catalog'!$F$60,IF(L216&lt;='Assumptions and Catalog'!$C$61,L216*'Assumptions and Catalog'!$H$61+'Assumptions and Catalog'!$E$61+'Assumptions and Catalog'!$F$61,IF(L216&lt;='Assumptions and Catalog'!$C$62,L216*'Assumptions and Catalog'!$H$62+'Assumptions and Catalog'!$E$62+'Assumptions and Catalog'!$F$62,IF(L216&lt;='Assumptions and Catalog'!$C$63,L216*'Assumptions and Catalog'!$H$63+'Assumptions and Catalog'!$E$63+'Assumptions and Catalog'!$F$63,IF(L216&lt;='Assumptions and Catalog'!$C$64,L216*'Assumptions and Catalog'!$H$64+'Assumptions and Catalog'!$E$64+'Assumptions and Catalog'!$F$64,IF(L216&lt;='Assumptions and Catalog'!$C$65,L216*'Assumptions and Catalog'!$H$65+'Assumptions and Catalog'!$E$65+'Assumptions and Catalog'!$F$65,"Out of range")))))))))*(1+'Assumptions and Catalog'!$C$8)^(A216-1),0)</f>
        <v>5088.0671418517441</v>
      </c>
      <c r="O216" s="5">
        <f t="shared" si="12"/>
        <v>3466.8995248149231</v>
      </c>
      <c r="P216" s="5">
        <f>C$55*(1-J$14)*(1-'Assumptions and Catalog'!$C$23)^R216</f>
        <v>0</v>
      </c>
      <c r="Q216" s="5">
        <f>IF(ISNUMBER(Inputs!$L$5),(IF(Inputs!$L$9="Actual flat rate",((D216+E216)*C216-G216)*Inputs!$L$10,IF(Inputs!$C$9="Residential",IF(((D216+E216)*C216-G216)&lt;='Assumptions and Catalog'!$C$50,((D216+E216)*C216-G216)*'Assumptions and Catalog'!$H$50+'Assumptions and Catalog'!$E$50+'Assumptions and Catalog'!$F$50,IF(((D216+E216)*C216-G216)&lt;='Assumptions and Catalog'!$C$51,((D216+E216)*C216-G216)*'Assumptions and Catalog'!$H$51+'Assumptions and Catalog'!$E$51+'Assumptions and Catalog'!$F$51,IF(((D216+E216)*C216-G216)&lt;='Assumptions and Catalog'!$C$52,((D216+E216)*C216-G216)*'Assumptions and Catalog'!$H$52+'Assumptions and Catalog'!$E$52+'Assumptions and Catalog'!$F$52,IF(((D216+E216)*C216-G216)&lt;='Assumptions and Catalog'!$C$53,((D216+E216)*C216-G216)*'Assumptions and Catalog'!$H$53+'Assumptions and Catalog'!$E$53+'Assumptions and Catalog'!$F$53,IF(((D216+E216)*C216-G216)&lt;='Assumptions and Catalog'!$C$54,((D216+E216)*C216-G216)*'Assumptions and Catalog'!$H$54+'Assumptions and Catalog'!$E$54+'Assumptions and Catalog'!$F$54,IF(((D216+E216)*C216-G216)&lt;='Assumptions and Catalog'!$C$55,((D216+E216)*C216-G216)*'Assumptions and Catalog'!$H$55+'Assumptions and Catalog'!$E$55+'Assumptions and Catalog'!$F$55,IF(((D216+E216)*C216-G216)&lt;='Assumptions and Catalog'!$C$56,((D216+E216)*C216-G216)*'Assumptions and Catalog'!$H$56+'Assumptions and Catalog'!$E$56+'Assumptions and Catalog'!$F$56,IF(((D216+E216)*C216-G216)&lt;='Assumptions and Catalog'!$C$57,((D216+E216)*C216-G216)*'Assumptions and Catalog'!$H$57+'Assumptions and Catalog'!$E$57+'Assumptions and Catalog'!$F$57,"Out of range")))))))),IF(((D216+E216)*C216-G216)&lt;='Assumptions and Catalog'!$C$60,((D216+E216)*C216-G216)*'Assumptions and Catalog'!$H$60+'Assumptions and Catalog'!$E$60+'Assumptions and Catalog'!$F$60,IF(((D216+E216)*C216-G216)&lt;='Assumptions and Catalog'!$C$61,((D216+E216)*C216-G216)*'Assumptions and Catalog'!$H$61+'Assumptions and Catalog'!$E$61+'Assumptions and Catalog'!$F$61,IF(((D216+E216)*C216-G216)&lt;='Assumptions and Catalog'!$C$62,((D216+E216)*C216-G216)*'Assumptions and Catalog'!$H$62+'Assumptions and Catalog'!$E$62+'Assumptions and Catalog'!$F$62,IF(((D216+E216)*C216-G216)&lt;='Assumptions and Catalog'!$C$63,((D216+E216)*C216-G216)*'Assumptions and Catalog'!$H$63+'Assumptions and Catalog'!$E$63+'Assumptions and Catalog'!$F$63,IF(((D216+E216)*C216-G216)&lt;='Assumptions and Catalog'!$C$64,((D216+E216)*C216-G216)*'Assumptions and Catalog'!$H$64+'Assumptions and Catalog'!$E$64+'Assumptions and Catalog'!$F$64,IF(((D216+E216)*C216-G216)&lt;='Assumptions and Catalog'!$C$65,((D216+E216)*C216-G216)*'Assumptions and Catalog'!$H$65+'Assumptions and Catalog'!$E$65+'Assumptions and Catalog'!$F$65,"Out of range")))))))))*(1+'Assumptions and Catalog'!$C$8)^(A216-1),0)</f>
        <v>5088.0671418517441</v>
      </c>
      <c r="R216" s="5">
        <f>IF(AND('Assumptions and Catalog'!$C$19&gt;0,A216&gt;='Assumptions and Catalog'!$C$19),A216-'Assumptions and Catalog'!$C$19,A216-1)</f>
        <v>4</v>
      </c>
      <c r="S216" s="5">
        <f t="shared" si="13"/>
        <v>0</v>
      </c>
      <c r="T216" s="5"/>
      <c r="U216" s="5"/>
    </row>
    <row r="217" spans="1:21" ht="23.1" customHeight="1" outlineLevel="1" x14ac:dyDescent="0.2">
      <c r="A217" s="5">
        <v>5</v>
      </c>
      <c r="B217" s="5">
        <v>9</v>
      </c>
      <c r="C217" s="5">
        <f>DAY(DATE('Assumptions and Catalog'!$C$24+A217-1,B217+1,0))</f>
        <v>30</v>
      </c>
      <c r="D217" s="5">
        <f>IF(ISNUMBER(Inputs!$L$5),Inputs!$L$5*Inputs!$L$6,0)</f>
        <v>40.35</v>
      </c>
      <c r="E217" s="5">
        <f>IF(ISNUMBER(Inputs!$L$5),Inputs!$L$5-D217,0)</f>
        <v>40.35</v>
      </c>
      <c r="F217" s="5">
        <f>C$51*'Assumptions and Catalog'!$C$31*C217*(1-'Assumptions and Catalog'!$C$10)^(A217-1)</f>
        <v>981.11004713561283</v>
      </c>
      <c r="G217" s="5">
        <f t="shared" si="8"/>
        <v>981.11004713561283</v>
      </c>
      <c r="H217" s="5">
        <f>I217/('Assumptions and Catalog'!$C$11*'Assumptions and Catalog'!$C$12)</f>
        <v>0</v>
      </c>
      <c r="I217" s="5">
        <f>0</f>
        <v>0</v>
      </c>
      <c r="J217" s="5">
        <f t="shared" si="9"/>
        <v>0</v>
      </c>
      <c r="K217" s="5">
        <f t="shared" si="10"/>
        <v>0</v>
      </c>
      <c r="L217" s="5">
        <f t="shared" si="11"/>
        <v>1439.8899528643872</v>
      </c>
      <c r="M217" s="5">
        <f>IF(ISNUMBER(Inputs!$L$5),(IF(Inputs!$L$9="Actual flat rate",((D217+E217)*C217)*Inputs!$L$10,IF(Inputs!$C$9="Residential",IF(((D217+E217)*C217)&lt;='Assumptions and Catalog'!$C$50,((D217+E217)*C217)*'Assumptions and Catalog'!$H$50+'Assumptions and Catalog'!$E$50+'Assumptions and Catalog'!$F$50,IF(((D217+E217)*C217)&lt;='Assumptions and Catalog'!$C$51,((D217+E217)*C217)*'Assumptions and Catalog'!$H$51+'Assumptions and Catalog'!$E$51+'Assumptions and Catalog'!$F$51,IF(((D217+E217)*C217)&lt;='Assumptions and Catalog'!$C$52,((D217+E217)*C217)*'Assumptions and Catalog'!$H$52+'Assumptions and Catalog'!$E$52+'Assumptions and Catalog'!$F$52,IF(((D217+E217)*C217)&lt;='Assumptions and Catalog'!$C$53,((D217+E217)*C217)*'Assumptions and Catalog'!$H$53+'Assumptions and Catalog'!$E$53+'Assumptions and Catalog'!$F$53,IF(((D217+E217)*C217)&lt;='Assumptions and Catalog'!$C$54,((D217+E217)*C217)*'Assumptions and Catalog'!$H$54+'Assumptions and Catalog'!$E$54+'Assumptions and Catalog'!$F$54,IF(((D217+E217)*C217)&lt;='Assumptions and Catalog'!$C$55,((D217+E217)*C217)*'Assumptions and Catalog'!$H$55+'Assumptions and Catalog'!$E$55+'Assumptions and Catalog'!$F$55,IF(((D217+E217)*C217)&lt;='Assumptions and Catalog'!$C$56,((D217+E217)*C217)*'Assumptions and Catalog'!$H$56+'Assumptions and Catalog'!$E$56+'Assumptions and Catalog'!$F$56,IF(((D217+E217)*C217)&lt;='Assumptions and Catalog'!$C$57,((D217+E217)*C217)*'Assumptions and Catalog'!$H$57+'Assumptions and Catalog'!$E$57+'Assumptions and Catalog'!$F$57,"Out of range")))))))),IF(((D217+E217)*C217)&lt;='Assumptions and Catalog'!$C$60,((D217+E217)*C217)*'Assumptions and Catalog'!$H$60+'Assumptions and Catalog'!$E$60+'Assumptions and Catalog'!$F$60,IF(((D217+E217)*C217)&lt;='Assumptions and Catalog'!$C$61,((D217+E217)*C217)*'Assumptions and Catalog'!$H$61+'Assumptions and Catalog'!$E$61+'Assumptions and Catalog'!$F$61,IF(((D217+E217)*C217)&lt;='Assumptions and Catalog'!$C$62,((D217+E217)*C217)*'Assumptions and Catalog'!$H$62+'Assumptions and Catalog'!$E$62+'Assumptions and Catalog'!$F$62,IF(((D217+E217)*C217)&lt;='Assumptions and Catalog'!$C$63,((D217+E217)*C217)*'Assumptions and Catalog'!$H$63+'Assumptions and Catalog'!$E$63+'Assumptions and Catalog'!$F$63,IF(((D217+E217)*C217)&lt;='Assumptions and Catalog'!$C$64,((D217+E217)*C217)*'Assumptions and Catalog'!$H$64+'Assumptions and Catalog'!$E$64+'Assumptions and Catalog'!$F$64,IF(((D217+E217)*C217)&lt;='Assumptions and Catalog'!$C$65,((D217+E217)*C217)*'Assumptions and Catalog'!$H$65+'Assumptions and Catalog'!$E$65+'Assumptions and Catalog'!$F$65,"Out of range")))))))))*(1+'Assumptions and Catalog'!$C$8)^(A217-1),0)</f>
        <v>8279</v>
      </c>
      <c r="N217" s="5">
        <f>IF(ISNUMBER(Inputs!$L$5),(IF(Inputs!$L$9="Actual flat rate",L217*Inputs!$L$10,IF(Inputs!$C$9="Residential",IF(L217&lt;='Assumptions and Catalog'!$C$50,L217*'Assumptions and Catalog'!$H$50+'Assumptions and Catalog'!$E$50+'Assumptions and Catalog'!$F$50,IF(L217&lt;='Assumptions and Catalog'!$C$51,L217*'Assumptions and Catalog'!$H$51+'Assumptions and Catalog'!$E$51+'Assumptions and Catalog'!$F$51,IF(L217&lt;='Assumptions and Catalog'!$C$52,L217*'Assumptions and Catalog'!$H$52+'Assumptions and Catalog'!$E$52+'Assumptions and Catalog'!$F$52,IF(L217&lt;='Assumptions and Catalog'!$C$53,L217*'Assumptions and Catalog'!$H$53+'Assumptions and Catalog'!$E$53+'Assumptions and Catalog'!$F$53,IF(L217&lt;='Assumptions and Catalog'!$C$54,L217*'Assumptions and Catalog'!$H$54+'Assumptions and Catalog'!$E$54+'Assumptions and Catalog'!$F$54,IF(L217&lt;='Assumptions and Catalog'!$C$55,L217*'Assumptions and Catalog'!$H$55+'Assumptions and Catalog'!$E$55+'Assumptions and Catalog'!$F$55,IF(L217&lt;='Assumptions and Catalog'!$C$56,L217*'Assumptions and Catalog'!$H$56+'Assumptions and Catalog'!$E$56+'Assumptions and Catalog'!$F$56,IF(L217&lt;='Assumptions and Catalog'!$C$57,L217*'Assumptions and Catalog'!$H$57+'Assumptions and Catalog'!$E$57+'Assumptions and Catalog'!$F$57,"Out of range")))))))),IF(L217&lt;='Assumptions and Catalog'!$C$60,L217*'Assumptions and Catalog'!$H$60+'Assumptions and Catalog'!$E$60+'Assumptions and Catalog'!$F$60,IF(L217&lt;='Assumptions and Catalog'!$C$61,L217*'Assumptions and Catalog'!$H$61+'Assumptions and Catalog'!$E$61+'Assumptions and Catalog'!$F$61,IF(L217&lt;='Assumptions and Catalog'!$C$62,L217*'Assumptions and Catalog'!$H$62+'Assumptions and Catalog'!$E$62+'Assumptions and Catalog'!$F$62,IF(L217&lt;='Assumptions and Catalog'!$C$63,L217*'Assumptions and Catalog'!$H$63+'Assumptions and Catalog'!$E$63+'Assumptions and Catalog'!$F$63,IF(L217&lt;='Assumptions and Catalog'!$C$64,L217*'Assumptions and Catalog'!$H$64+'Assumptions and Catalog'!$E$64+'Assumptions and Catalog'!$F$64,IF(L217&lt;='Assumptions and Catalog'!$C$65,L217*'Assumptions and Catalog'!$H$65+'Assumptions and Catalog'!$E$65+'Assumptions and Catalog'!$F$65,"Out of range")))))))))*(1+'Assumptions and Catalog'!$C$8)^(A217-1),0)</f>
        <v>4923.9359437274934</v>
      </c>
      <c r="O217" s="5">
        <f t="shared" si="12"/>
        <v>3355.0640562725066</v>
      </c>
      <c r="P217" s="5">
        <f>C$55*(1-J$14)*(1-'Assumptions and Catalog'!$C$23)^R217</f>
        <v>0</v>
      </c>
      <c r="Q217" s="5">
        <f>IF(ISNUMBER(Inputs!$L$5),(IF(Inputs!$L$9="Actual flat rate",((D217+E217)*C217-G217)*Inputs!$L$10,IF(Inputs!$C$9="Residential",IF(((D217+E217)*C217-G217)&lt;='Assumptions and Catalog'!$C$50,((D217+E217)*C217-G217)*'Assumptions and Catalog'!$H$50+'Assumptions and Catalog'!$E$50+'Assumptions and Catalog'!$F$50,IF(((D217+E217)*C217-G217)&lt;='Assumptions and Catalog'!$C$51,((D217+E217)*C217-G217)*'Assumptions and Catalog'!$H$51+'Assumptions and Catalog'!$E$51+'Assumptions and Catalog'!$F$51,IF(((D217+E217)*C217-G217)&lt;='Assumptions and Catalog'!$C$52,((D217+E217)*C217-G217)*'Assumptions and Catalog'!$H$52+'Assumptions and Catalog'!$E$52+'Assumptions and Catalog'!$F$52,IF(((D217+E217)*C217-G217)&lt;='Assumptions and Catalog'!$C$53,((D217+E217)*C217-G217)*'Assumptions and Catalog'!$H$53+'Assumptions and Catalog'!$E$53+'Assumptions and Catalog'!$F$53,IF(((D217+E217)*C217-G217)&lt;='Assumptions and Catalog'!$C$54,((D217+E217)*C217-G217)*'Assumptions and Catalog'!$H$54+'Assumptions and Catalog'!$E$54+'Assumptions and Catalog'!$F$54,IF(((D217+E217)*C217-G217)&lt;='Assumptions and Catalog'!$C$55,((D217+E217)*C217-G217)*'Assumptions and Catalog'!$H$55+'Assumptions and Catalog'!$E$55+'Assumptions and Catalog'!$F$55,IF(((D217+E217)*C217-G217)&lt;='Assumptions and Catalog'!$C$56,((D217+E217)*C217-G217)*'Assumptions and Catalog'!$H$56+'Assumptions and Catalog'!$E$56+'Assumptions and Catalog'!$F$56,IF(((D217+E217)*C217-G217)&lt;='Assumptions and Catalog'!$C$57,((D217+E217)*C217-G217)*'Assumptions and Catalog'!$H$57+'Assumptions and Catalog'!$E$57+'Assumptions and Catalog'!$F$57,"Out of range")))))))),IF(((D217+E217)*C217-G217)&lt;='Assumptions and Catalog'!$C$60,((D217+E217)*C217-G217)*'Assumptions and Catalog'!$H$60+'Assumptions and Catalog'!$E$60+'Assumptions and Catalog'!$F$60,IF(((D217+E217)*C217-G217)&lt;='Assumptions and Catalog'!$C$61,((D217+E217)*C217-G217)*'Assumptions and Catalog'!$H$61+'Assumptions and Catalog'!$E$61+'Assumptions and Catalog'!$F$61,IF(((D217+E217)*C217-G217)&lt;='Assumptions and Catalog'!$C$62,((D217+E217)*C217-G217)*'Assumptions and Catalog'!$H$62+'Assumptions and Catalog'!$E$62+'Assumptions and Catalog'!$F$62,IF(((D217+E217)*C217-G217)&lt;='Assumptions and Catalog'!$C$63,((D217+E217)*C217-G217)*'Assumptions and Catalog'!$H$63+'Assumptions and Catalog'!$E$63+'Assumptions and Catalog'!$F$63,IF(((D217+E217)*C217-G217)&lt;='Assumptions and Catalog'!$C$64,((D217+E217)*C217-G217)*'Assumptions and Catalog'!$H$64+'Assumptions and Catalog'!$E$64+'Assumptions and Catalog'!$F$64,IF(((D217+E217)*C217-G217)&lt;='Assumptions and Catalog'!$C$65,((D217+E217)*C217-G217)*'Assumptions and Catalog'!$H$65+'Assumptions and Catalog'!$E$65+'Assumptions and Catalog'!$F$65,"Out of range")))))))))*(1+'Assumptions and Catalog'!$C$8)^(A217-1),0)</f>
        <v>4923.9359437274934</v>
      </c>
      <c r="R217" s="5">
        <f>IF(AND('Assumptions and Catalog'!$C$19&gt;0,A217&gt;='Assumptions and Catalog'!$C$19),A217-'Assumptions and Catalog'!$C$19,A217-1)</f>
        <v>4</v>
      </c>
      <c r="S217" s="5">
        <f t="shared" si="13"/>
        <v>0</v>
      </c>
      <c r="T217" s="5"/>
      <c r="U217" s="5"/>
    </row>
    <row r="218" spans="1:21" ht="23.1" customHeight="1" outlineLevel="1" x14ac:dyDescent="0.2">
      <c r="A218" s="5">
        <v>5</v>
      </c>
      <c r="B218" s="5">
        <v>10</v>
      </c>
      <c r="C218" s="5">
        <f>DAY(DATE('Assumptions and Catalog'!$C$24+A218-1,B218+1,0))</f>
        <v>31</v>
      </c>
      <c r="D218" s="5">
        <f>IF(ISNUMBER(Inputs!$L$5),Inputs!$L$5*Inputs!$L$6,0)</f>
        <v>40.35</v>
      </c>
      <c r="E218" s="5">
        <f>IF(ISNUMBER(Inputs!$L$5),Inputs!$L$5-D218,0)</f>
        <v>40.35</v>
      </c>
      <c r="F218" s="5">
        <f>C$51*'Assumptions and Catalog'!$C$31*C218*(1-'Assumptions and Catalog'!$C$10)^(A218-1)</f>
        <v>1013.8137153734665</v>
      </c>
      <c r="G218" s="5">
        <f t="shared" si="8"/>
        <v>1013.8137153734665</v>
      </c>
      <c r="H218" s="5">
        <f>I218/('Assumptions and Catalog'!$C$11*'Assumptions and Catalog'!$C$12)</f>
        <v>0</v>
      </c>
      <c r="I218" s="5">
        <f>0</f>
        <v>0</v>
      </c>
      <c r="J218" s="5">
        <f t="shared" si="9"/>
        <v>0</v>
      </c>
      <c r="K218" s="5">
        <f t="shared" si="10"/>
        <v>0</v>
      </c>
      <c r="L218" s="5">
        <f t="shared" si="11"/>
        <v>1487.8862846265338</v>
      </c>
      <c r="M218" s="5">
        <f>IF(ISNUMBER(Inputs!$L$5),(IF(Inputs!$L$9="Actual flat rate",((D218+E218)*C218)*Inputs!$L$10,IF(Inputs!$C$9="Residential",IF(((D218+E218)*C218)&lt;='Assumptions and Catalog'!$C$50,((D218+E218)*C218)*'Assumptions and Catalog'!$H$50+'Assumptions and Catalog'!$E$50+'Assumptions and Catalog'!$F$50,IF(((D218+E218)*C218)&lt;='Assumptions and Catalog'!$C$51,((D218+E218)*C218)*'Assumptions and Catalog'!$H$51+'Assumptions and Catalog'!$E$51+'Assumptions and Catalog'!$F$51,IF(((D218+E218)*C218)&lt;='Assumptions and Catalog'!$C$52,((D218+E218)*C218)*'Assumptions and Catalog'!$H$52+'Assumptions and Catalog'!$E$52+'Assumptions and Catalog'!$F$52,IF(((D218+E218)*C218)&lt;='Assumptions and Catalog'!$C$53,((D218+E218)*C218)*'Assumptions and Catalog'!$H$53+'Assumptions and Catalog'!$E$53+'Assumptions and Catalog'!$F$53,IF(((D218+E218)*C218)&lt;='Assumptions and Catalog'!$C$54,((D218+E218)*C218)*'Assumptions and Catalog'!$H$54+'Assumptions and Catalog'!$E$54+'Assumptions and Catalog'!$F$54,IF(((D218+E218)*C218)&lt;='Assumptions and Catalog'!$C$55,((D218+E218)*C218)*'Assumptions and Catalog'!$H$55+'Assumptions and Catalog'!$E$55+'Assumptions and Catalog'!$F$55,IF(((D218+E218)*C218)&lt;='Assumptions and Catalog'!$C$56,((D218+E218)*C218)*'Assumptions and Catalog'!$H$56+'Assumptions and Catalog'!$E$56+'Assumptions and Catalog'!$F$56,IF(((D218+E218)*C218)&lt;='Assumptions and Catalog'!$C$57,((D218+E218)*C218)*'Assumptions and Catalog'!$H$57+'Assumptions and Catalog'!$E$57+'Assumptions and Catalog'!$F$57,"Out of range")))))))),IF(((D218+E218)*C218)&lt;='Assumptions and Catalog'!$C$60,((D218+E218)*C218)*'Assumptions and Catalog'!$H$60+'Assumptions and Catalog'!$E$60+'Assumptions and Catalog'!$F$60,IF(((D218+E218)*C218)&lt;='Assumptions and Catalog'!$C$61,((D218+E218)*C218)*'Assumptions and Catalog'!$H$61+'Assumptions and Catalog'!$E$61+'Assumptions and Catalog'!$F$61,IF(((D218+E218)*C218)&lt;='Assumptions and Catalog'!$C$62,((D218+E218)*C218)*'Assumptions and Catalog'!$H$62+'Assumptions and Catalog'!$E$62+'Assumptions and Catalog'!$F$62,IF(((D218+E218)*C218)&lt;='Assumptions and Catalog'!$C$63,((D218+E218)*C218)*'Assumptions and Catalog'!$H$63+'Assumptions and Catalog'!$E$63+'Assumptions and Catalog'!$F$63,IF(((D218+E218)*C218)&lt;='Assumptions and Catalog'!$C$64,((D218+E218)*C218)*'Assumptions and Catalog'!$H$64+'Assumptions and Catalog'!$E$64+'Assumptions and Catalog'!$F$64,IF(((D218+E218)*C218)&lt;='Assumptions and Catalog'!$C$65,((D218+E218)*C218)*'Assumptions and Catalog'!$H$65+'Assumptions and Catalog'!$E$65+'Assumptions and Catalog'!$F$65,"Out of range")))))))))*(1+'Assumptions and Catalog'!$C$8)^(A218-1),0)</f>
        <v>8554.9666666666672</v>
      </c>
      <c r="N218" s="5">
        <f>IF(ISNUMBER(Inputs!$L$5),(IF(Inputs!$L$9="Actual flat rate",L218*Inputs!$L$10,IF(Inputs!$C$9="Residential",IF(L218&lt;='Assumptions and Catalog'!$C$50,L218*'Assumptions and Catalog'!$H$50+'Assumptions and Catalog'!$E$50+'Assumptions and Catalog'!$F$50,IF(L218&lt;='Assumptions and Catalog'!$C$51,L218*'Assumptions and Catalog'!$H$51+'Assumptions and Catalog'!$E$51+'Assumptions and Catalog'!$F$51,IF(L218&lt;='Assumptions and Catalog'!$C$52,L218*'Assumptions and Catalog'!$H$52+'Assumptions and Catalog'!$E$52+'Assumptions and Catalog'!$F$52,IF(L218&lt;='Assumptions and Catalog'!$C$53,L218*'Assumptions and Catalog'!$H$53+'Assumptions and Catalog'!$E$53+'Assumptions and Catalog'!$F$53,IF(L218&lt;='Assumptions and Catalog'!$C$54,L218*'Assumptions and Catalog'!$H$54+'Assumptions and Catalog'!$E$54+'Assumptions and Catalog'!$F$54,IF(L218&lt;='Assumptions and Catalog'!$C$55,L218*'Assumptions and Catalog'!$H$55+'Assumptions and Catalog'!$E$55+'Assumptions and Catalog'!$F$55,IF(L218&lt;='Assumptions and Catalog'!$C$56,L218*'Assumptions and Catalog'!$H$56+'Assumptions and Catalog'!$E$56+'Assumptions and Catalog'!$F$56,IF(L218&lt;='Assumptions and Catalog'!$C$57,L218*'Assumptions and Catalog'!$H$57+'Assumptions and Catalog'!$E$57+'Assumptions and Catalog'!$F$57,"Out of range")))))))),IF(L218&lt;='Assumptions and Catalog'!$C$60,L218*'Assumptions and Catalog'!$H$60+'Assumptions and Catalog'!$E$60+'Assumptions and Catalog'!$F$60,IF(L218&lt;='Assumptions and Catalog'!$C$61,L218*'Assumptions and Catalog'!$H$61+'Assumptions and Catalog'!$E$61+'Assumptions and Catalog'!$F$61,IF(L218&lt;='Assumptions and Catalog'!$C$62,L218*'Assumptions and Catalog'!$H$62+'Assumptions and Catalog'!$E$62+'Assumptions and Catalog'!$F$62,IF(L218&lt;='Assumptions and Catalog'!$C$63,L218*'Assumptions and Catalog'!$H$63+'Assumptions and Catalog'!$E$63+'Assumptions and Catalog'!$F$63,IF(L218&lt;='Assumptions and Catalog'!$C$64,L218*'Assumptions and Catalog'!$H$64+'Assumptions and Catalog'!$E$64+'Assumptions and Catalog'!$F$64,IF(L218&lt;='Assumptions and Catalog'!$C$65,L218*'Assumptions and Catalog'!$H$65+'Assumptions and Catalog'!$E$65+'Assumptions and Catalog'!$F$65,"Out of range")))))))))*(1+'Assumptions and Catalog'!$C$8)^(A218-1),0)</f>
        <v>5088.0671418517441</v>
      </c>
      <c r="O218" s="5">
        <f t="shared" si="12"/>
        <v>3466.8995248149231</v>
      </c>
      <c r="P218" s="5">
        <f>C$55*(1-J$14)*(1-'Assumptions and Catalog'!$C$23)^R218</f>
        <v>0</v>
      </c>
      <c r="Q218" s="5">
        <f>IF(ISNUMBER(Inputs!$L$5),(IF(Inputs!$L$9="Actual flat rate",((D218+E218)*C218-G218)*Inputs!$L$10,IF(Inputs!$C$9="Residential",IF(((D218+E218)*C218-G218)&lt;='Assumptions and Catalog'!$C$50,((D218+E218)*C218-G218)*'Assumptions and Catalog'!$H$50+'Assumptions and Catalog'!$E$50+'Assumptions and Catalog'!$F$50,IF(((D218+E218)*C218-G218)&lt;='Assumptions and Catalog'!$C$51,((D218+E218)*C218-G218)*'Assumptions and Catalog'!$H$51+'Assumptions and Catalog'!$E$51+'Assumptions and Catalog'!$F$51,IF(((D218+E218)*C218-G218)&lt;='Assumptions and Catalog'!$C$52,((D218+E218)*C218-G218)*'Assumptions and Catalog'!$H$52+'Assumptions and Catalog'!$E$52+'Assumptions and Catalog'!$F$52,IF(((D218+E218)*C218-G218)&lt;='Assumptions and Catalog'!$C$53,((D218+E218)*C218-G218)*'Assumptions and Catalog'!$H$53+'Assumptions and Catalog'!$E$53+'Assumptions and Catalog'!$F$53,IF(((D218+E218)*C218-G218)&lt;='Assumptions and Catalog'!$C$54,((D218+E218)*C218-G218)*'Assumptions and Catalog'!$H$54+'Assumptions and Catalog'!$E$54+'Assumptions and Catalog'!$F$54,IF(((D218+E218)*C218-G218)&lt;='Assumptions and Catalog'!$C$55,((D218+E218)*C218-G218)*'Assumptions and Catalog'!$H$55+'Assumptions and Catalog'!$E$55+'Assumptions and Catalog'!$F$55,IF(((D218+E218)*C218-G218)&lt;='Assumptions and Catalog'!$C$56,((D218+E218)*C218-G218)*'Assumptions and Catalog'!$H$56+'Assumptions and Catalog'!$E$56+'Assumptions and Catalog'!$F$56,IF(((D218+E218)*C218-G218)&lt;='Assumptions and Catalog'!$C$57,((D218+E218)*C218-G218)*'Assumptions and Catalog'!$H$57+'Assumptions and Catalog'!$E$57+'Assumptions and Catalog'!$F$57,"Out of range")))))))),IF(((D218+E218)*C218-G218)&lt;='Assumptions and Catalog'!$C$60,((D218+E218)*C218-G218)*'Assumptions and Catalog'!$H$60+'Assumptions and Catalog'!$E$60+'Assumptions and Catalog'!$F$60,IF(((D218+E218)*C218-G218)&lt;='Assumptions and Catalog'!$C$61,((D218+E218)*C218-G218)*'Assumptions and Catalog'!$H$61+'Assumptions and Catalog'!$E$61+'Assumptions and Catalog'!$F$61,IF(((D218+E218)*C218-G218)&lt;='Assumptions and Catalog'!$C$62,((D218+E218)*C218-G218)*'Assumptions and Catalog'!$H$62+'Assumptions and Catalog'!$E$62+'Assumptions and Catalog'!$F$62,IF(((D218+E218)*C218-G218)&lt;='Assumptions and Catalog'!$C$63,((D218+E218)*C218-G218)*'Assumptions and Catalog'!$H$63+'Assumptions and Catalog'!$E$63+'Assumptions and Catalog'!$F$63,IF(((D218+E218)*C218-G218)&lt;='Assumptions and Catalog'!$C$64,((D218+E218)*C218-G218)*'Assumptions and Catalog'!$H$64+'Assumptions and Catalog'!$E$64+'Assumptions and Catalog'!$F$64,IF(((D218+E218)*C218-G218)&lt;='Assumptions and Catalog'!$C$65,((D218+E218)*C218-G218)*'Assumptions and Catalog'!$H$65+'Assumptions and Catalog'!$E$65+'Assumptions and Catalog'!$F$65,"Out of range")))))))))*(1+'Assumptions and Catalog'!$C$8)^(A218-1),0)</f>
        <v>5088.0671418517441</v>
      </c>
      <c r="R218" s="5">
        <f>IF(AND('Assumptions and Catalog'!$C$19&gt;0,A218&gt;='Assumptions and Catalog'!$C$19),A218-'Assumptions and Catalog'!$C$19,A218-1)</f>
        <v>4</v>
      </c>
      <c r="S218" s="5">
        <f t="shared" si="13"/>
        <v>0</v>
      </c>
      <c r="T218" s="5"/>
      <c r="U218" s="5"/>
    </row>
    <row r="219" spans="1:21" ht="23.1" customHeight="1" outlineLevel="1" x14ac:dyDescent="0.2">
      <c r="A219" s="5">
        <v>5</v>
      </c>
      <c r="B219" s="5">
        <v>11</v>
      </c>
      <c r="C219" s="5">
        <f>DAY(DATE('Assumptions and Catalog'!$C$24+A219-1,B219+1,0))</f>
        <v>30</v>
      </c>
      <c r="D219" s="5">
        <f>IF(ISNUMBER(Inputs!$L$5),Inputs!$L$5*Inputs!$L$6,0)</f>
        <v>40.35</v>
      </c>
      <c r="E219" s="5">
        <f>IF(ISNUMBER(Inputs!$L$5),Inputs!$L$5-D219,0)</f>
        <v>40.35</v>
      </c>
      <c r="F219" s="5">
        <f>C$51*'Assumptions and Catalog'!$C$31*C219*(1-'Assumptions and Catalog'!$C$10)^(A219-1)</f>
        <v>981.11004713561283</v>
      </c>
      <c r="G219" s="5">
        <f t="shared" si="8"/>
        <v>981.11004713561283</v>
      </c>
      <c r="H219" s="5">
        <f>I219/('Assumptions and Catalog'!$C$11*'Assumptions and Catalog'!$C$12)</f>
        <v>0</v>
      </c>
      <c r="I219" s="5">
        <f>0</f>
        <v>0</v>
      </c>
      <c r="J219" s="5">
        <f t="shared" si="9"/>
        <v>0</v>
      </c>
      <c r="K219" s="5">
        <f t="shared" si="10"/>
        <v>0</v>
      </c>
      <c r="L219" s="5">
        <f t="shared" si="11"/>
        <v>1439.8899528643872</v>
      </c>
      <c r="M219" s="5">
        <f>IF(ISNUMBER(Inputs!$L$5),(IF(Inputs!$L$9="Actual flat rate",((D219+E219)*C219)*Inputs!$L$10,IF(Inputs!$C$9="Residential",IF(((D219+E219)*C219)&lt;='Assumptions and Catalog'!$C$50,((D219+E219)*C219)*'Assumptions and Catalog'!$H$50+'Assumptions and Catalog'!$E$50+'Assumptions and Catalog'!$F$50,IF(((D219+E219)*C219)&lt;='Assumptions and Catalog'!$C$51,((D219+E219)*C219)*'Assumptions and Catalog'!$H$51+'Assumptions and Catalog'!$E$51+'Assumptions and Catalog'!$F$51,IF(((D219+E219)*C219)&lt;='Assumptions and Catalog'!$C$52,((D219+E219)*C219)*'Assumptions and Catalog'!$H$52+'Assumptions and Catalog'!$E$52+'Assumptions and Catalog'!$F$52,IF(((D219+E219)*C219)&lt;='Assumptions and Catalog'!$C$53,((D219+E219)*C219)*'Assumptions and Catalog'!$H$53+'Assumptions and Catalog'!$E$53+'Assumptions and Catalog'!$F$53,IF(((D219+E219)*C219)&lt;='Assumptions and Catalog'!$C$54,((D219+E219)*C219)*'Assumptions and Catalog'!$H$54+'Assumptions and Catalog'!$E$54+'Assumptions and Catalog'!$F$54,IF(((D219+E219)*C219)&lt;='Assumptions and Catalog'!$C$55,((D219+E219)*C219)*'Assumptions and Catalog'!$H$55+'Assumptions and Catalog'!$E$55+'Assumptions and Catalog'!$F$55,IF(((D219+E219)*C219)&lt;='Assumptions and Catalog'!$C$56,((D219+E219)*C219)*'Assumptions and Catalog'!$H$56+'Assumptions and Catalog'!$E$56+'Assumptions and Catalog'!$F$56,IF(((D219+E219)*C219)&lt;='Assumptions and Catalog'!$C$57,((D219+E219)*C219)*'Assumptions and Catalog'!$H$57+'Assumptions and Catalog'!$E$57+'Assumptions and Catalog'!$F$57,"Out of range")))))))),IF(((D219+E219)*C219)&lt;='Assumptions and Catalog'!$C$60,((D219+E219)*C219)*'Assumptions and Catalog'!$H$60+'Assumptions and Catalog'!$E$60+'Assumptions and Catalog'!$F$60,IF(((D219+E219)*C219)&lt;='Assumptions and Catalog'!$C$61,((D219+E219)*C219)*'Assumptions and Catalog'!$H$61+'Assumptions and Catalog'!$E$61+'Assumptions and Catalog'!$F$61,IF(((D219+E219)*C219)&lt;='Assumptions and Catalog'!$C$62,((D219+E219)*C219)*'Assumptions and Catalog'!$H$62+'Assumptions and Catalog'!$E$62+'Assumptions and Catalog'!$F$62,IF(((D219+E219)*C219)&lt;='Assumptions and Catalog'!$C$63,((D219+E219)*C219)*'Assumptions and Catalog'!$H$63+'Assumptions and Catalog'!$E$63+'Assumptions and Catalog'!$F$63,IF(((D219+E219)*C219)&lt;='Assumptions and Catalog'!$C$64,((D219+E219)*C219)*'Assumptions and Catalog'!$H$64+'Assumptions and Catalog'!$E$64+'Assumptions and Catalog'!$F$64,IF(((D219+E219)*C219)&lt;='Assumptions and Catalog'!$C$65,((D219+E219)*C219)*'Assumptions and Catalog'!$H$65+'Assumptions and Catalog'!$E$65+'Assumptions and Catalog'!$F$65,"Out of range")))))))))*(1+'Assumptions and Catalog'!$C$8)^(A219-1),0)</f>
        <v>8279</v>
      </c>
      <c r="N219" s="5">
        <f>IF(ISNUMBER(Inputs!$L$5),(IF(Inputs!$L$9="Actual flat rate",L219*Inputs!$L$10,IF(Inputs!$C$9="Residential",IF(L219&lt;='Assumptions and Catalog'!$C$50,L219*'Assumptions and Catalog'!$H$50+'Assumptions and Catalog'!$E$50+'Assumptions and Catalog'!$F$50,IF(L219&lt;='Assumptions and Catalog'!$C$51,L219*'Assumptions and Catalog'!$H$51+'Assumptions and Catalog'!$E$51+'Assumptions and Catalog'!$F$51,IF(L219&lt;='Assumptions and Catalog'!$C$52,L219*'Assumptions and Catalog'!$H$52+'Assumptions and Catalog'!$E$52+'Assumptions and Catalog'!$F$52,IF(L219&lt;='Assumptions and Catalog'!$C$53,L219*'Assumptions and Catalog'!$H$53+'Assumptions and Catalog'!$E$53+'Assumptions and Catalog'!$F$53,IF(L219&lt;='Assumptions and Catalog'!$C$54,L219*'Assumptions and Catalog'!$H$54+'Assumptions and Catalog'!$E$54+'Assumptions and Catalog'!$F$54,IF(L219&lt;='Assumptions and Catalog'!$C$55,L219*'Assumptions and Catalog'!$H$55+'Assumptions and Catalog'!$E$55+'Assumptions and Catalog'!$F$55,IF(L219&lt;='Assumptions and Catalog'!$C$56,L219*'Assumptions and Catalog'!$H$56+'Assumptions and Catalog'!$E$56+'Assumptions and Catalog'!$F$56,IF(L219&lt;='Assumptions and Catalog'!$C$57,L219*'Assumptions and Catalog'!$H$57+'Assumptions and Catalog'!$E$57+'Assumptions and Catalog'!$F$57,"Out of range")))))))),IF(L219&lt;='Assumptions and Catalog'!$C$60,L219*'Assumptions and Catalog'!$H$60+'Assumptions and Catalog'!$E$60+'Assumptions and Catalog'!$F$60,IF(L219&lt;='Assumptions and Catalog'!$C$61,L219*'Assumptions and Catalog'!$H$61+'Assumptions and Catalog'!$E$61+'Assumptions and Catalog'!$F$61,IF(L219&lt;='Assumptions and Catalog'!$C$62,L219*'Assumptions and Catalog'!$H$62+'Assumptions and Catalog'!$E$62+'Assumptions and Catalog'!$F$62,IF(L219&lt;='Assumptions and Catalog'!$C$63,L219*'Assumptions and Catalog'!$H$63+'Assumptions and Catalog'!$E$63+'Assumptions and Catalog'!$F$63,IF(L219&lt;='Assumptions and Catalog'!$C$64,L219*'Assumptions and Catalog'!$H$64+'Assumptions and Catalog'!$E$64+'Assumptions and Catalog'!$F$64,IF(L219&lt;='Assumptions and Catalog'!$C$65,L219*'Assumptions and Catalog'!$H$65+'Assumptions and Catalog'!$E$65+'Assumptions and Catalog'!$F$65,"Out of range")))))))))*(1+'Assumptions and Catalog'!$C$8)^(A219-1),0)</f>
        <v>4923.9359437274934</v>
      </c>
      <c r="O219" s="5">
        <f t="shared" si="12"/>
        <v>3355.0640562725066</v>
      </c>
      <c r="P219" s="5">
        <f>C$55*(1-J$14)*(1-'Assumptions and Catalog'!$C$23)^R219</f>
        <v>0</v>
      </c>
      <c r="Q219" s="5">
        <f>IF(ISNUMBER(Inputs!$L$5),(IF(Inputs!$L$9="Actual flat rate",((D219+E219)*C219-G219)*Inputs!$L$10,IF(Inputs!$C$9="Residential",IF(((D219+E219)*C219-G219)&lt;='Assumptions and Catalog'!$C$50,((D219+E219)*C219-G219)*'Assumptions and Catalog'!$H$50+'Assumptions and Catalog'!$E$50+'Assumptions and Catalog'!$F$50,IF(((D219+E219)*C219-G219)&lt;='Assumptions and Catalog'!$C$51,((D219+E219)*C219-G219)*'Assumptions and Catalog'!$H$51+'Assumptions and Catalog'!$E$51+'Assumptions and Catalog'!$F$51,IF(((D219+E219)*C219-G219)&lt;='Assumptions and Catalog'!$C$52,((D219+E219)*C219-G219)*'Assumptions and Catalog'!$H$52+'Assumptions and Catalog'!$E$52+'Assumptions and Catalog'!$F$52,IF(((D219+E219)*C219-G219)&lt;='Assumptions and Catalog'!$C$53,((D219+E219)*C219-G219)*'Assumptions and Catalog'!$H$53+'Assumptions and Catalog'!$E$53+'Assumptions and Catalog'!$F$53,IF(((D219+E219)*C219-G219)&lt;='Assumptions and Catalog'!$C$54,((D219+E219)*C219-G219)*'Assumptions and Catalog'!$H$54+'Assumptions and Catalog'!$E$54+'Assumptions and Catalog'!$F$54,IF(((D219+E219)*C219-G219)&lt;='Assumptions and Catalog'!$C$55,((D219+E219)*C219-G219)*'Assumptions and Catalog'!$H$55+'Assumptions and Catalog'!$E$55+'Assumptions and Catalog'!$F$55,IF(((D219+E219)*C219-G219)&lt;='Assumptions and Catalog'!$C$56,((D219+E219)*C219-G219)*'Assumptions and Catalog'!$H$56+'Assumptions and Catalog'!$E$56+'Assumptions and Catalog'!$F$56,IF(((D219+E219)*C219-G219)&lt;='Assumptions and Catalog'!$C$57,((D219+E219)*C219-G219)*'Assumptions and Catalog'!$H$57+'Assumptions and Catalog'!$E$57+'Assumptions and Catalog'!$F$57,"Out of range")))))))),IF(((D219+E219)*C219-G219)&lt;='Assumptions and Catalog'!$C$60,((D219+E219)*C219-G219)*'Assumptions and Catalog'!$H$60+'Assumptions and Catalog'!$E$60+'Assumptions and Catalog'!$F$60,IF(((D219+E219)*C219-G219)&lt;='Assumptions and Catalog'!$C$61,((D219+E219)*C219-G219)*'Assumptions and Catalog'!$H$61+'Assumptions and Catalog'!$E$61+'Assumptions and Catalog'!$F$61,IF(((D219+E219)*C219-G219)&lt;='Assumptions and Catalog'!$C$62,((D219+E219)*C219-G219)*'Assumptions and Catalog'!$H$62+'Assumptions and Catalog'!$E$62+'Assumptions and Catalog'!$F$62,IF(((D219+E219)*C219-G219)&lt;='Assumptions and Catalog'!$C$63,((D219+E219)*C219-G219)*'Assumptions and Catalog'!$H$63+'Assumptions and Catalog'!$E$63+'Assumptions and Catalog'!$F$63,IF(((D219+E219)*C219-G219)&lt;='Assumptions and Catalog'!$C$64,((D219+E219)*C219-G219)*'Assumptions and Catalog'!$H$64+'Assumptions and Catalog'!$E$64+'Assumptions and Catalog'!$F$64,IF(((D219+E219)*C219-G219)&lt;='Assumptions and Catalog'!$C$65,((D219+E219)*C219-G219)*'Assumptions and Catalog'!$H$65+'Assumptions and Catalog'!$E$65+'Assumptions and Catalog'!$F$65,"Out of range")))))))))*(1+'Assumptions and Catalog'!$C$8)^(A219-1),0)</f>
        <v>4923.9359437274934</v>
      </c>
      <c r="R219" s="5">
        <f>IF(AND('Assumptions and Catalog'!$C$19&gt;0,A219&gt;='Assumptions and Catalog'!$C$19),A219-'Assumptions and Catalog'!$C$19,A219-1)</f>
        <v>4</v>
      </c>
      <c r="S219" s="5">
        <f t="shared" si="13"/>
        <v>0</v>
      </c>
      <c r="T219" s="5"/>
      <c r="U219" s="5"/>
    </row>
    <row r="220" spans="1:21" ht="23.1" customHeight="1" outlineLevel="1" x14ac:dyDescent="0.2">
      <c r="A220" s="5">
        <v>5</v>
      </c>
      <c r="B220" s="5">
        <v>12</v>
      </c>
      <c r="C220" s="5">
        <f>DAY(DATE('Assumptions and Catalog'!$C$24+A220-1,B220+1,0))</f>
        <v>31</v>
      </c>
      <c r="D220" s="5">
        <f>IF(ISNUMBER(Inputs!$L$5),Inputs!$L$5*Inputs!$L$6,0)</f>
        <v>40.35</v>
      </c>
      <c r="E220" s="5">
        <f>IF(ISNUMBER(Inputs!$L$5),Inputs!$L$5-D220,0)</f>
        <v>40.35</v>
      </c>
      <c r="F220" s="5">
        <f>C$51*'Assumptions and Catalog'!$C$31*C220*(1-'Assumptions and Catalog'!$C$10)^(A220-1)</f>
        <v>1013.8137153734665</v>
      </c>
      <c r="G220" s="5">
        <f t="shared" si="8"/>
        <v>1013.8137153734665</v>
      </c>
      <c r="H220" s="5">
        <f>I220/('Assumptions and Catalog'!$C$11*'Assumptions and Catalog'!$C$12)</f>
        <v>0</v>
      </c>
      <c r="I220" s="5">
        <f>0</f>
        <v>0</v>
      </c>
      <c r="J220" s="5">
        <f t="shared" si="9"/>
        <v>0</v>
      </c>
      <c r="K220" s="5">
        <f t="shared" si="10"/>
        <v>0</v>
      </c>
      <c r="L220" s="5">
        <f t="shared" si="11"/>
        <v>1487.8862846265338</v>
      </c>
      <c r="M220" s="5">
        <f>IF(ISNUMBER(Inputs!$L$5),(IF(Inputs!$L$9="Actual flat rate",((D220+E220)*C220)*Inputs!$L$10,IF(Inputs!$C$9="Residential",IF(((D220+E220)*C220)&lt;='Assumptions and Catalog'!$C$50,((D220+E220)*C220)*'Assumptions and Catalog'!$H$50+'Assumptions and Catalog'!$E$50+'Assumptions and Catalog'!$F$50,IF(((D220+E220)*C220)&lt;='Assumptions and Catalog'!$C$51,((D220+E220)*C220)*'Assumptions and Catalog'!$H$51+'Assumptions and Catalog'!$E$51+'Assumptions and Catalog'!$F$51,IF(((D220+E220)*C220)&lt;='Assumptions and Catalog'!$C$52,((D220+E220)*C220)*'Assumptions and Catalog'!$H$52+'Assumptions and Catalog'!$E$52+'Assumptions and Catalog'!$F$52,IF(((D220+E220)*C220)&lt;='Assumptions and Catalog'!$C$53,((D220+E220)*C220)*'Assumptions and Catalog'!$H$53+'Assumptions and Catalog'!$E$53+'Assumptions and Catalog'!$F$53,IF(((D220+E220)*C220)&lt;='Assumptions and Catalog'!$C$54,((D220+E220)*C220)*'Assumptions and Catalog'!$H$54+'Assumptions and Catalog'!$E$54+'Assumptions and Catalog'!$F$54,IF(((D220+E220)*C220)&lt;='Assumptions and Catalog'!$C$55,((D220+E220)*C220)*'Assumptions and Catalog'!$H$55+'Assumptions and Catalog'!$E$55+'Assumptions and Catalog'!$F$55,IF(((D220+E220)*C220)&lt;='Assumptions and Catalog'!$C$56,((D220+E220)*C220)*'Assumptions and Catalog'!$H$56+'Assumptions and Catalog'!$E$56+'Assumptions and Catalog'!$F$56,IF(((D220+E220)*C220)&lt;='Assumptions and Catalog'!$C$57,((D220+E220)*C220)*'Assumptions and Catalog'!$H$57+'Assumptions and Catalog'!$E$57+'Assumptions and Catalog'!$F$57,"Out of range")))))))),IF(((D220+E220)*C220)&lt;='Assumptions and Catalog'!$C$60,((D220+E220)*C220)*'Assumptions and Catalog'!$H$60+'Assumptions and Catalog'!$E$60+'Assumptions and Catalog'!$F$60,IF(((D220+E220)*C220)&lt;='Assumptions and Catalog'!$C$61,((D220+E220)*C220)*'Assumptions and Catalog'!$H$61+'Assumptions and Catalog'!$E$61+'Assumptions and Catalog'!$F$61,IF(((D220+E220)*C220)&lt;='Assumptions and Catalog'!$C$62,((D220+E220)*C220)*'Assumptions and Catalog'!$H$62+'Assumptions and Catalog'!$E$62+'Assumptions and Catalog'!$F$62,IF(((D220+E220)*C220)&lt;='Assumptions and Catalog'!$C$63,((D220+E220)*C220)*'Assumptions and Catalog'!$H$63+'Assumptions and Catalog'!$E$63+'Assumptions and Catalog'!$F$63,IF(((D220+E220)*C220)&lt;='Assumptions and Catalog'!$C$64,((D220+E220)*C220)*'Assumptions and Catalog'!$H$64+'Assumptions and Catalog'!$E$64+'Assumptions and Catalog'!$F$64,IF(((D220+E220)*C220)&lt;='Assumptions and Catalog'!$C$65,((D220+E220)*C220)*'Assumptions and Catalog'!$H$65+'Assumptions and Catalog'!$E$65+'Assumptions and Catalog'!$F$65,"Out of range")))))))))*(1+'Assumptions and Catalog'!$C$8)^(A220-1),0)</f>
        <v>8554.9666666666672</v>
      </c>
      <c r="N220" s="5">
        <f>IF(ISNUMBER(Inputs!$L$5),(IF(Inputs!$L$9="Actual flat rate",L220*Inputs!$L$10,IF(Inputs!$C$9="Residential",IF(L220&lt;='Assumptions and Catalog'!$C$50,L220*'Assumptions and Catalog'!$H$50+'Assumptions and Catalog'!$E$50+'Assumptions and Catalog'!$F$50,IF(L220&lt;='Assumptions and Catalog'!$C$51,L220*'Assumptions and Catalog'!$H$51+'Assumptions and Catalog'!$E$51+'Assumptions and Catalog'!$F$51,IF(L220&lt;='Assumptions and Catalog'!$C$52,L220*'Assumptions and Catalog'!$H$52+'Assumptions and Catalog'!$E$52+'Assumptions and Catalog'!$F$52,IF(L220&lt;='Assumptions and Catalog'!$C$53,L220*'Assumptions and Catalog'!$H$53+'Assumptions and Catalog'!$E$53+'Assumptions and Catalog'!$F$53,IF(L220&lt;='Assumptions and Catalog'!$C$54,L220*'Assumptions and Catalog'!$H$54+'Assumptions and Catalog'!$E$54+'Assumptions and Catalog'!$F$54,IF(L220&lt;='Assumptions and Catalog'!$C$55,L220*'Assumptions and Catalog'!$H$55+'Assumptions and Catalog'!$E$55+'Assumptions and Catalog'!$F$55,IF(L220&lt;='Assumptions and Catalog'!$C$56,L220*'Assumptions and Catalog'!$H$56+'Assumptions and Catalog'!$E$56+'Assumptions and Catalog'!$F$56,IF(L220&lt;='Assumptions and Catalog'!$C$57,L220*'Assumptions and Catalog'!$H$57+'Assumptions and Catalog'!$E$57+'Assumptions and Catalog'!$F$57,"Out of range")))))))),IF(L220&lt;='Assumptions and Catalog'!$C$60,L220*'Assumptions and Catalog'!$H$60+'Assumptions and Catalog'!$E$60+'Assumptions and Catalog'!$F$60,IF(L220&lt;='Assumptions and Catalog'!$C$61,L220*'Assumptions and Catalog'!$H$61+'Assumptions and Catalog'!$E$61+'Assumptions and Catalog'!$F$61,IF(L220&lt;='Assumptions and Catalog'!$C$62,L220*'Assumptions and Catalog'!$H$62+'Assumptions and Catalog'!$E$62+'Assumptions and Catalog'!$F$62,IF(L220&lt;='Assumptions and Catalog'!$C$63,L220*'Assumptions and Catalog'!$H$63+'Assumptions and Catalog'!$E$63+'Assumptions and Catalog'!$F$63,IF(L220&lt;='Assumptions and Catalog'!$C$64,L220*'Assumptions and Catalog'!$H$64+'Assumptions and Catalog'!$E$64+'Assumptions and Catalog'!$F$64,IF(L220&lt;='Assumptions and Catalog'!$C$65,L220*'Assumptions and Catalog'!$H$65+'Assumptions and Catalog'!$E$65+'Assumptions and Catalog'!$F$65,"Out of range")))))))))*(1+'Assumptions and Catalog'!$C$8)^(A220-1),0)</f>
        <v>5088.0671418517441</v>
      </c>
      <c r="O220" s="5">
        <f t="shared" si="12"/>
        <v>3466.8995248149231</v>
      </c>
      <c r="P220" s="5">
        <f>C$55*(1-J$14)*(1-'Assumptions and Catalog'!$C$23)^R220</f>
        <v>0</v>
      </c>
      <c r="Q220" s="5">
        <f>IF(ISNUMBER(Inputs!$L$5),(IF(Inputs!$L$9="Actual flat rate",((D220+E220)*C220-G220)*Inputs!$L$10,IF(Inputs!$C$9="Residential",IF(((D220+E220)*C220-G220)&lt;='Assumptions and Catalog'!$C$50,((D220+E220)*C220-G220)*'Assumptions and Catalog'!$H$50+'Assumptions and Catalog'!$E$50+'Assumptions and Catalog'!$F$50,IF(((D220+E220)*C220-G220)&lt;='Assumptions and Catalog'!$C$51,((D220+E220)*C220-G220)*'Assumptions and Catalog'!$H$51+'Assumptions and Catalog'!$E$51+'Assumptions and Catalog'!$F$51,IF(((D220+E220)*C220-G220)&lt;='Assumptions and Catalog'!$C$52,((D220+E220)*C220-G220)*'Assumptions and Catalog'!$H$52+'Assumptions and Catalog'!$E$52+'Assumptions and Catalog'!$F$52,IF(((D220+E220)*C220-G220)&lt;='Assumptions and Catalog'!$C$53,((D220+E220)*C220-G220)*'Assumptions and Catalog'!$H$53+'Assumptions and Catalog'!$E$53+'Assumptions and Catalog'!$F$53,IF(((D220+E220)*C220-G220)&lt;='Assumptions and Catalog'!$C$54,((D220+E220)*C220-G220)*'Assumptions and Catalog'!$H$54+'Assumptions and Catalog'!$E$54+'Assumptions and Catalog'!$F$54,IF(((D220+E220)*C220-G220)&lt;='Assumptions and Catalog'!$C$55,((D220+E220)*C220-G220)*'Assumptions and Catalog'!$H$55+'Assumptions and Catalog'!$E$55+'Assumptions and Catalog'!$F$55,IF(((D220+E220)*C220-G220)&lt;='Assumptions and Catalog'!$C$56,((D220+E220)*C220-G220)*'Assumptions and Catalog'!$H$56+'Assumptions and Catalog'!$E$56+'Assumptions and Catalog'!$F$56,IF(((D220+E220)*C220-G220)&lt;='Assumptions and Catalog'!$C$57,((D220+E220)*C220-G220)*'Assumptions and Catalog'!$H$57+'Assumptions and Catalog'!$E$57+'Assumptions and Catalog'!$F$57,"Out of range")))))))),IF(((D220+E220)*C220-G220)&lt;='Assumptions and Catalog'!$C$60,((D220+E220)*C220-G220)*'Assumptions and Catalog'!$H$60+'Assumptions and Catalog'!$E$60+'Assumptions and Catalog'!$F$60,IF(((D220+E220)*C220-G220)&lt;='Assumptions and Catalog'!$C$61,((D220+E220)*C220-G220)*'Assumptions and Catalog'!$H$61+'Assumptions and Catalog'!$E$61+'Assumptions and Catalog'!$F$61,IF(((D220+E220)*C220-G220)&lt;='Assumptions and Catalog'!$C$62,((D220+E220)*C220-G220)*'Assumptions and Catalog'!$H$62+'Assumptions and Catalog'!$E$62+'Assumptions and Catalog'!$F$62,IF(((D220+E220)*C220-G220)&lt;='Assumptions and Catalog'!$C$63,((D220+E220)*C220-G220)*'Assumptions and Catalog'!$H$63+'Assumptions and Catalog'!$E$63+'Assumptions and Catalog'!$F$63,IF(((D220+E220)*C220-G220)&lt;='Assumptions and Catalog'!$C$64,((D220+E220)*C220-G220)*'Assumptions and Catalog'!$H$64+'Assumptions and Catalog'!$E$64+'Assumptions and Catalog'!$F$64,IF(((D220+E220)*C220-G220)&lt;='Assumptions and Catalog'!$C$65,((D220+E220)*C220-G220)*'Assumptions and Catalog'!$H$65+'Assumptions and Catalog'!$E$65+'Assumptions and Catalog'!$F$65,"Out of range")))))))))*(1+'Assumptions and Catalog'!$C$8)^(A220-1),0)</f>
        <v>5088.0671418517441</v>
      </c>
      <c r="R220" s="5">
        <f>IF(AND('Assumptions and Catalog'!$C$19&gt;0,A220&gt;='Assumptions and Catalog'!$C$19),A220-'Assumptions and Catalog'!$C$19,A220-1)</f>
        <v>4</v>
      </c>
      <c r="S220" s="5">
        <f t="shared" si="13"/>
        <v>0</v>
      </c>
      <c r="T220" s="5"/>
      <c r="U220" s="5"/>
    </row>
    <row r="221" spans="1:21" ht="23.1" customHeight="1" outlineLevel="1" x14ac:dyDescent="0.2">
      <c r="A221" s="5">
        <v>6</v>
      </c>
      <c r="B221" s="5">
        <v>1</v>
      </c>
      <c r="C221" s="5">
        <f>DAY(DATE('Assumptions and Catalog'!$C$24+A221-1,B221+1,0))</f>
        <v>31</v>
      </c>
      <c r="D221" s="5">
        <f>IF(ISNUMBER(Inputs!$L$5),Inputs!$L$5*Inputs!$L$6,0)</f>
        <v>40.35</v>
      </c>
      <c r="E221" s="5">
        <f>IF(ISNUMBER(Inputs!$L$5),Inputs!$L$5-D221,0)</f>
        <v>40.35</v>
      </c>
      <c r="F221" s="5">
        <f>C$51*'Assumptions and Catalog'!$C$31*C221*(1-'Assumptions and Catalog'!$C$10)^(A221-1)</f>
        <v>1008.7446467965992</v>
      </c>
      <c r="G221" s="5">
        <f t="shared" si="8"/>
        <v>1008.7446467965992</v>
      </c>
      <c r="H221" s="5">
        <f>I221/('Assumptions and Catalog'!$C$11*'Assumptions and Catalog'!$C$12)</f>
        <v>0</v>
      </c>
      <c r="I221" s="5">
        <f>0</f>
        <v>0</v>
      </c>
      <c r="J221" s="5">
        <f t="shared" si="9"/>
        <v>0</v>
      </c>
      <c r="K221" s="5">
        <f t="shared" si="10"/>
        <v>0</v>
      </c>
      <c r="L221" s="5">
        <f t="shared" si="11"/>
        <v>1492.955353203401</v>
      </c>
      <c r="M221" s="5">
        <f>IF(ISNUMBER(Inputs!$L$5),(IF(Inputs!$L$9="Actual flat rate",((D221+E221)*C221)*Inputs!$L$10,IF(Inputs!$C$9="Residential",IF(((D221+E221)*C221)&lt;='Assumptions and Catalog'!$C$50,((D221+E221)*C221)*'Assumptions and Catalog'!$H$50+'Assumptions and Catalog'!$E$50+'Assumptions and Catalog'!$F$50,IF(((D221+E221)*C221)&lt;='Assumptions and Catalog'!$C$51,((D221+E221)*C221)*'Assumptions and Catalog'!$H$51+'Assumptions and Catalog'!$E$51+'Assumptions and Catalog'!$F$51,IF(((D221+E221)*C221)&lt;='Assumptions and Catalog'!$C$52,((D221+E221)*C221)*'Assumptions and Catalog'!$H$52+'Assumptions and Catalog'!$E$52+'Assumptions and Catalog'!$F$52,IF(((D221+E221)*C221)&lt;='Assumptions and Catalog'!$C$53,((D221+E221)*C221)*'Assumptions and Catalog'!$H$53+'Assumptions and Catalog'!$E$53+'Assumptions and Catalog'!$F$53,IF(((D221+E221)*C221)&lt;='Assumptions and Catalog'!$C$54,((D221+E221)*C221)*'Assumptions and Catalog'!$H$54+'Assumptions and Catalog'!$E$54+'Assumptions and Catalog'!$F$54,IF(((D221+E221)*C221)&lt;='Assumptions and Catalog'!$C$55,((D221+E221)*C221)*'Assumptions and Catalog'!$H$55+'Assumptions and Catalog'!$E$55+'Assumptions and Catalog'!$F$55,IF(((D221+E221)*C221)&lt;='Assumptions and Catalog'!$C$56,((D221+E221)*C221)*'Assumptions and Catalog'!$H$56+'Assumptions and Catalog'!$E$56+'Assumptions and Catalog'!$F$56,IF(((D221+E221)*C221)&lt;='Assumptions and Catalog'!$C$57,((D221+E221)*C221)*'Assumptions and Catalog'!$H$57+'Assumptions and Catalog'!$E$57+'Assumptions and Catalog'!$F$57,"Out of range")))))))),IF(((D221+E221)*C221)&lt;='Assumptions and Catalog'!$C$60,((D221+E221)*C221)*'Assumptions and Catalog'!$H$60+'Assumptions and Catalog'!$E$60+'Assumptions and Catalog'!$F$60,IF(((D221+E221)*C221)&lt;='Assumptions and Catalog'!$C$61,((D221+E221)*C221)*'Assumptions and Catalog'!$H$61+'Assumptions and Catalog'!$E$61+'Assumptions and Catalog'!$F$61,IF(((D221+E221)*C221)&lt;='Assumptions and Catalog'!$C$62,((D221+E221)*C221)*'Assumptions and Catalog'!$H$62+'Assumptions and Catalog'!$E$62+'Assumptions and Catalog'!$F$62,IF(((D221+E221)*C221)&lt;='Assumptions and Catalog'!$C$63,((D221+E221)*C221)*'Assumptions and Catalog'!$H$63+'Assumptions and Catalog'!$E$63+'Assumptions and Catalog'!$F$63,IF(((D221+E221)*C221)&lt;='Assumptions and Catalog'!$C$64,((D221+E221)*C221)*'Assumptions and Catalog'!$H$64+'Assumptions and Catalog'!$E$64+'Assumptions and Catalog'!$F$64,IF(((D221+E221)*C221)&lt;='Assumptions and Catalog'!$C$65,((D221+E221)*C221)*'Assumptions and Catalog'!$H$65+'Assumptions and Catalog'!$E$65+'Assumptions and Catalog'!$F$65,"Out of range")))))))))*(1+'Assumptions and Catalog'!$C$8)^(A221-1),0)</f>
        <v>8554.9666666666672</v>
      </c>
      <c r="N221" s="5">
        <f>IF(ISNUMBER(Inputs!$L$5),(IF(Inputs!$L$9="Actual flat rate",L221*Inputs!$L$10,IF(Inputs!$C$9="Residential",IF(L221&lt;='Assumptions and Catalog'!$C$50,L221*'Assumptions and Catalog'!$H$50+'Assumptions and Catalog'!$E$50+'Assumptions and Catalog'!$F$50,IF(L221&lt;='Assumptions and Catalog'!$C$51,L221*'Assumptions and Catalog'!$H$51+'Assumptions and Catalog'!$E$51+'Assumptions and Catalog'!$F$51,IF(L221&lt;='Assumptions and Catalog'!$C$52,L221*'Assumptions and Catalog'!$H$52+'Assumptions and Catalog'!$E$52+'Assumptions and Catalog'!$F$52,IF(L221&lt;='Assumptions and Catalog'!$C$53,L221*'Assumptions and Catalog'!$H$53+'Assumptions and Catalog'!$E$53+'Assumptions and Catalog'!$F$53,IF(L221&lt;='Assumptions and Catalog'!$C$54,L221*'Assumptions and Catalog'!$H$54+'Assumptions and Catalog'!$E$54+'Assumptions and Catalog'!$F$54,IF(L221&lt;='Assumptions and Catalog'!$C$55,L221*'Assumptions and Catalog'!$H$55+'Assumptions and Catalog'!$E$55+'Assumptions and Catalog'!$F$55,IF(L221&lt;='Assumptions and Catalog'!$C$56,L221*'Assumptions and Catalog'!$H$56+'Assumptions and Catalog'!$E$56+'Assumptions and Catalog'!$F$56,IF(L221&lt;='Assumptions and Catalog'!$C$57,L221*'Assumptions and Catalog'!$H$57+'Assumptions and Catalog'!$E$57+'Assumptions and Catalog'!$F$57,"Out of range")))))))),IF(L221&lt;='Assumptions and Catalog'!$C$60,L221*'Assumptions and Catalog'!$H$60+'Assumptions and Catalog'!$E$60+'Assumptions and Catalog'!$F$60,IF(L221&lt;='Assumptions and Catalog'!$C$61,L221*'Assumptions and Catalog'!$H$61+'Assumptions and Catalog'!$E$61+'Assumptions and Catalog'!$F$61,IF(L221&lt;='Assumptions and Catalog'!$C$62,L221*'Assumptions and Catalog'!$H$62+'Assumptions and Catalog'!$E$62+'Assumptions and Catalog'!$F$62,IF(L221&lt;='Assumptions and Catalog'!$C$63,L221*'Assumptions and Catalog'!$H$63+'Assumptions and Catalog'!$E$63+'Assumptions and Catalog'!$F$63,IF(L221&lt;='Assumptions and Catalog'!$C$64,L221*'Assumptions and Catalog'!$H$64+'Assumptions and Catalog'!$E$64+'Assumptions and Catalog'!$F$64,IF(L221&lt;='Assumptions and Catalog'!$C$65,L221*'Assumptions and Catalog'!$H$65+'Assumptions and Catalog'!$E$65+'Assumptions and Catalog'!$F$65,"Out of range")))))))))*(1+'Assumptions and Catalog'!$C$8)^(A221-1),0)</f>
        <v>5105.4016394758182</v>
      </c>
      <c r="O221" s="5">
        <f t="shared" si="12"/>
        <v>3449.5650271908489</v>
      </c>
      <c r="P221" s="5">
        <f>C$55*(1-J$14)*(1-'Assumptions and Catalog'!$C$23)^R221</f>
        <v>0</v>
      </c>
      <c r="Q221" s="5">
        <f>IF(ISNUMBER(Inputs!$L$5),(IF(Inputs!$L$9="Actual flat rate",((D221+E221)*C221-G221)*Inputs!$L$10,IF(Inputs!$C$9="Residential",IF(((D221+E221)*C221-G221)&lt;='Assumptions and Catalog'!$C$50,((D221+E221)*C221-G221)*'Assumptions and Catalog'!$H$50+'Assumptions and Catalog'!$E$50+'Assumptions and Catalog'!$F$50,IF(((D221+E221)*C221-G221)&lt;='Assumptions and Catalog'!$C$51,((D221+E221)*C221-G221)*'Assumptions and Catalog'!$H$51+'Assumptions and Catalog'!$E$51+'Assumptions and Catalog'!$F$51,IF(((D221+E221)*C221-G221)&lt;='Assumptions and Catalog'!$C$52,((D221+E221)*C221-G221)*'Assumptions and Catalog'!$H$52+'Assumptions and Catalog'!$E$52+'Assumptions and Catalog'!$F$52,IF(((D221+E221)*C221-G221)&lt;='Assumptions and Catalog'!$C$53,((D221+E221)*C221-G221)*'Assumptions and Catalog'!$H$53+'Assumptions and Catalog'!$E$53+'Assumptions and Catalog'!$F$53,IF(((D221+E221)*C221-G221)&lt;='Assumptions and Catalog'!$C$54,((D221+E221)*C221-G221)*'Assumptions and Catalog'!$H$54+'Assumptions and Catalog'!$E$54+'Assumptions and Catalog'!$F$54,IF(((D221+E221)*C221-G221)&lt;='Assumptions and Catalog'!$C$55,((D221+E221)*C221-G221)*'Assumptions and Catalog'!$H$55+'Assumptions and Catalog'!$E$55+'Assumptions and Catalog'!$F$55,IF(((D221+E221)*C221-G221)&lt;='Assumptions and Catalog'!$C$56,((D221+E221)*C221-G221)*'Assumptions and Catalog'!$H$56+'Assumptions and Catalog'!$E$56+'Assumptions and Catalog'!$F$56,IF(((D221+E221)*C221-G221)&lt;='Assumptions and Catalog'!$C$57,((D221+E221)*C221-G221)*'Assumptions and Catalog'!$H$57+'Assumptions and Catalog'!$E$57+'Assumptions and Catalog'!$F$57,"Out of range")))))))),IF(((D221+E221)*C221-G221)&lt;='Assumptions and Catalog'!$C$60,((D221+E221)*C221-G221)*'Assumptions and Catalog'!$H$60+'Assumptions and Catalog'!$E$60+'Assumptions and Catalog'!$F$60,IF(((D221+E221)*C221-G221)&lt;='Assumptions and Catalog'!$C$61,((D221+E221)*C221-G221)*'Assumptions and Catalog'!$H$61+'Assumptions and Catalog'!$E$61+'Assumptions and Catalog'!$F$61,IF(((D221+E221)*C221-G221)&lt;='Assumptions and Catalog'!$C$62,((D221+E221)*C221-G221)*'Assumptions and Catalog'!$H$62+'Assumptions and Catalog'!$E$62+'Assumptions and Catalog'!$F$62,IF(((D221+E221)*C221-G221)&lt;='Assumptions and Catalog'!$C$63,((D221+E221)*C221-G221)*'Assumptions and Catalog'!$H$63+'Assumptions and Catalog'!$E$63+'Assumptions and Catalog'!$F$63,IF(((D221+E221)*C221-G221)&lt;='Assumptions and Catalog'!$C$64,((D221+E221)*C221-G221)*'Assumptions and Catalog'!$H$64+'Assumptions and Catalog'!$E$64+'Assumptions and Catalog'!$F$64,IF(((D221+E221)*C221-G221)&lt;='Assumptions and Catalog'!$C$65,((D221+E221)*C221-G221)*'Assumptions and Catalog'!$H$65+'Assumptions and Catalog'!$E$65+'Assumptions and Catalog'!$F$65,"Out of range")))))))))*(1+'Assumptions and Catalog'!$C$8)^(A221-1),0)</f>
        <v>5105.4016394758182</v>
      </c>
      <c r="R221" s="5">
        <f>IF(AND('Assumptions and Catalog'!$C$19&gt;0,A221&gt;='Assumptions and Catalog'!$C$19),A221-'Assumptions and Catalog'!$C$19,A221-1)</f>
        <v>5</v>
      </c>
      <c r="S221" s="5">
        <f t="shared" si="13"/>
        <v>0</v>
      </c>
      <c r="T221" s="5"/>
      <c r="U221" s="5"/>
    </row>
    <row r="222" spans="1:21" ht="23.1" customHeight="1" outlineLevel="1" x14ac:dyDescent="0.2">
      <c r="A222" s="5">
        <v>6</v>
      </c>
      <c r="B222" s="5">
        <v>2</v>
      </c>
      <c r="C222" s="5">
        <f>DAY(DATE('Assumptions and Catalog'!$C$24+A222-1,B222+1,0))</f>
        <v>29</v>
      </c>
      <c r="D222" s="5">
        <f>IF(ISNUMBER(Inputs!$L$5),Inputs!$L$5*Inputs!$L$6,0)</f>
        <v>40.35</v>
      </c>
      <c r="E222" s="5">
        <f>IF(ISNUMBER(Inputs!$L$5),Inputs!$L$5-D222,0)</f>
        <v>40.35</v>
      </c>
      <c r="F222" s="5">
        <f>C$51*'Assumptions and Catalog'!$C$31*C222*(1-'Assumptions and Catalog'!$C$10)^(A222-1)</f>
        <v>943.66434700327022</v>
      </c>
      <c r="G222" s="5">
        <f t="shared" si="8"/>
        <v>943.66434700327022</v>
      </c>
      <c r="H222" s="5">
        <f>I222/('Assumptions and Catalog'!$C$11*'Assumptions and Catalog'!$C$12)</f>
        <v>0</v>
      </c>
      <c r="I222" s="5">
        <f>0</f>
        <v>0</v>
      </c>
      <c r="J222" s="5">
        <f t="shared" si="9"/>
        <v>0</v>
      </c>
      <c r="K222" s="5">
        <f t="shared" si="10"/>
        <v>0</v>
      </c>
      <c r="L222" s="5">
        <f t="shared" si="11"/>
        <v>1396.63565299673</v>
      </c>
      <c r="M222" s="5">
        <f>IF(ISNUMBER(Inputs!$L$5),(IF(Inputs!$L$9="Actual flat rate",((D222+E222)*C222)*Inputs!$L$10,IF(Inputs!$C$9="Residential",IF(((D222+E222)*C222)&lt;='Assumptions and Catalog'!$C$50,((D222+E222)*C222)*'Assumptions and Catalog'!$H$50+'Assumptions and Catalog'!$E$50+'Assumptions and Catalog'!$F$50,IF(((D222+E222)*C222)&lt;='Assumptions and Catalog'!$C$51,((D222+E222)*C222)*'Assumptions and Catalog'!$H$51+'Assumptions and Catalog'!$E$51+'Assumptions and Catalog'!$F$51,IF(((D222+E222)*C222)&lt;='Assumptions and Catalog'!$C$52,((D222+E222)*C222)*'Assumptions and Catalog'!$H$52+'Assumptions and Catalog'!$E$52+'Assumptions and Catalog'!$F$52,IF(((D222+E222)*C222)&lt;='Assumptions and Catalog'!$C$53,((D222+E222)*C222)*'Assumptions and Catalog'!$H$53+'Assumptions and Catalog'!$E$53+'Assumptions and Catalog'!$F$53,IF(((D222+E222)*C222)&lt;='Assumptions and Catalog'!$C$54,((D222+E222)*C222)*'Assumptions and Catalog'!$H$54+'Assumptions and Catalog'!$E$54+'Assumptions and Catalog'!$F$54,IF(((D222+E222)*C222)&lt;='Assumptions and Catalog'!$C$55,((D222+E222)*C222)*'Assumptions and Catalog'!$H$55+'Assumptions and Catalog'!$E$55+'Assumptions and Catalog'!$F$55,IF(((D222+E222)*C222)&lt;='Assumptions and Catalog'!$C$56,((D222+E222)*C222)*'Assumptions and Catalog'!$H$56+'Assumptions and Catalog'!$E$56+'Assumptions and Catalog'!$F$56,IF(((D222+E222)*C222)&lt;='Assumptions and Catalog'!$C$57,((D222+E222)*C222)*'Assumptions and Catalog'!$H$57+'Assumptions and Catalog'!$E$57+'Assumptions and Catalog'!$F$57,"Out of range")))))))),IF(((D222+E222)*C222)&lt;='Assumptions and Catalog'!$C$60,((D222+E222)*C222)*'Assumptions and Catalog'!$H$60+'Assumptions and Catalog'!$E$60+'Assumptions and Catalog'!$F$60,IF(((D222+E222)*C222)&lt;='Assumptions and Catalog'!$C$61,((D222+E222)*C222)*'Assumptions and Catalog'!$H$61+'Assumptions and Catalog'!$E$61+'Assumptions and Catalog'!$F$61,IF(((D222+E222)*C222)&lt;='Assumptions and Catalog'!$C$62,((D222+E222)*C222)*'Assumptions and Catalog'!$H$62+'Assumptions and Catalog'!$E$62+'Assumptions and Catalog'!$F$62,IF(((D222+E222)*C222)&lt;='Assumptions and Catalog'!$C$63,((D222+E222)*C222)*'Assumptions and Catalog'!$H$63+'Assumptions and Catalog'!$E$63+'Assumptions and Catalog'!$F$63,IF(((D222+E222)*C222)&lt;='Assumptions and Catalog'!$C$64,((D222+E222)*C222)*'Assumptions and Catalog'!$H$64+'Assumptions and Catalog'!$E$64+'Assumptions and Catalog'!$F$64,IF(((D222+E222)*C222)&lt;='Assumptions and Catalog'!$C$65,((D222+E222)*C222)*'Assumptions and Catalog'!$H$65+'Assumptions and Catalog'!$E$65+'Assumptions and Catalog'!$F$65,"Out of range")))))))))*(1+'Assumptions and Catalog'!$C$8)^(A222-1),0)</f>
        <v>8003.0333333333338</v>
      </c>
      <c r="N222" s="5">
        <f>IF(ISNUMBER(Inputs!$L$5),(IF(Inputs!$L$9="Actual flat rate",L222*Inputs!$L$10,IF(Inputs!$C$9="Residential",IF(L222&lt;='Assumptions and Catalog'!$C$50,L222*'Assumptions and Catalog'!$H$50+'Assumptions and Catalog'!$E$50+'Assumptions and Catalog'!$F$50,IF(L222&lt;='Assumptions and Catalog'!$C$51,L222*'Assumptions and Catalog'!$H$51+'Assumptions and Catalog'!$E$51+'Assumptions and Catalog'!$F$51,IF(L222&lt;='Assumptions and Catalog'!$C$52,L222*'Assumptions and Catalog'!$H$52+'Assumptions and Catalog'!$E$52+'Assumptions and Catalog'!$F$52,IF(L222&lt;='Assumptions and Catalog'!$C$53,L222*'Assumptions and Catalog'!$H$53+'Assumptions and Catalog'!$E$53+'Assumptions and Catalog'!$F$53,IF(L222&lt;='Assumptions and Catalog'!$C$54,L222*'Assumptions and Catalog'!$H$54+'Assumptions and Catalog'!$E$54+'Assumptions and Catalog'!$F$54,IF(L222&lt;='Assumptions and Catalog'!$C$55,L222*'Assumptions and Catalog'!$H$55+'Assumptions and Catalog'!$E$55+'Assumptions and Catalog'!$F$55,IF(L222&lt;='Assumptions and Catalog'!$C$56,L222*'Assumptions and Catalog'!$H$56+'Assumptions and Catalog'!$E$56+'Assumptions and Catalog'!$F$56,IF(L222&lt;='Assumptions and Catalog'!$C$57,L222*'Assumptions and Catalog'!$H$57+'Assumptions and Catalog'!$E$57+'Assumptions and Catalog'!$F$57,"Out of range")))))))),IF(L222&lt;='Assumptions and Catalog'!$C$60,L222*'Assumptions and Catalog'!$H$60+'Assumptions and Catalog'!$E$60+'Assumptions and Catalog'!$F$60,IF(L222&lt;='Assumptions and Catalog'!$C$61,L222*'Assumptions and Catalog'!$H$61+'Assumptions and Catalog'!$E$61+'Assumptions and Catalog'!$F$61,IF(L222&lt;='Assumptions and Catalog'!$C$62,L222*'Assumptions and Catalog'!$H$62+'Assumptions and Catalog'!$E$62+'Assumptions and Catalog'!$F$62,IF(L222&lt;='Assumptions and Catalog'!$C$63,L222*'Assumptions and Catalog'!$H$63+'Assumptions and Catalog'!$E$63+'Assumptions and Catalog'!$F$63,IF(L222&lt;='Assumptions and Catalog'!$C$64,L222*'Assumptions and Catalog'!$H$64+'Assumptions and Catalog'!$E$64+'Assumptions and Catalog'!$F$64,IF(L222&lt;='Assumptions and Catalog'!$C$65,L222*'Assumptions and Catalog'!$H$65+'Assumptions and Catalog'!$E$65+'Assumptions and Catalog'!$F$65,"Out of range")))))))))*(1+'Assumptions and Catalog'!$C$8)^(A222-1),0)</f>
        <v>4776.0208885418942</v>
      </c>
      <c r="O222" s="5">
        <f t="shared" si="12"/>
        <v>3227.0124447914395</v>
      </c>
      <c r="P222" s="5">
        <f>C$55*(1-J$14)*(1-'Assumptions and Catalog'!$C$23)^R222</f>
        <v>0</v>
      </c>
      <c r="Q222" s="5">
        <f>IF(ISNUMBER(Inputs!$L$5),(IF(Inputs!$L$9="Actual flat rate",((D222+E222)*C222-G222)*Inputs!$L$10,IF(Inputs!$C$9="Residential",IF(((D222+E222)*C222-G222)&lt;='Assumptions and Catalog'!$C$50,((D222+E222)*C222-G222)*'Assumptions and Catalog'!$H$50+'Assumptions and Catalog'!$E$50+'Assumptions and Catalog'!$F$50,IF(((D222+E222)*C222-G222)&lt;='Assumptions and Catalog'!$C$51,((D222+E222)*C222-G222)*'Assumptions and Catalog'!$H$51+'Assumptions and Catalog'!$E$51+'Assumptions and Catalog'!$F$51,IF(((D222+E222)*C222-G222)&lt;='Assumptions and Catalog'!$C$52,((D222+E222)*C222-G222)*'Assumptions and Catalog'!$H$52+'Assumptions and Catalog'!$E$52+'Assumptions and Catalog'!$F$52,IF(((D222+E222)*C222-G222)&lt;='Assumptions and Catalog'!$C$53,((D222+E222)*C222-G222)*'Assumptions and Catalog'!$H$53+'Assumptions and Catalog'!$E$53+'Assumptions and Catalog'!$F$53,IF(((D222+E222)*C222-G222)&lt;='Assumptions and Catalog'!$C$54,((D222+E222)*C222-G222)*'Assumptions and Catalog'!$H$54+'Assumptions and Catalog'!$E$54+'Assumptions and Catalog'!$F$54,IF(((D222+E222)*C222-G222)&lt;='Assumptions and Catalog'!$C$55,((D222+E222)*C222-G222)*'Assumptions and Catalog'!$H$55+'Assumptions and Catalog'!$E$55+'Assumptions and Catalog'!$F$55,IF(((D222+E222)*C222-G222)&lt;='Assumptions and Catalog'!$C$56,((D222+E222)*C222-G222)*'Assumptions and Catalog'!$H$56+'Assumptions and Catalog'!$E$56+'Assumptions and Catalog'!$F$56,IF(((D222+E222)*C222-G222)&lt;='Assumptions and Catalog'!$C$57,((D222+E222)*C222-G222)*'Assumptions and Catalog'!$H$57+'Assumptions and Catalog'!$E$57+'Assumptions and Catalog'!$F$57,"Out of range")))))))),IF(((D222+E222)*C222-G222)&lt;='Assumptions and Catalog'!$C$60,((D222+E222)*C222-G222)*'Assumptions and Catalog'!$H$60+'Assumptions and Catalog'!$E$60+'Assumptions and Catalog'!$F$60,IF(((D222+E222)*C222-G222)&lt;='Assumptions and Catalog'!$C$61,((D222+E222)*C222-G222)*'Assumptions and Catalog'!$H$61+'Assumptions and Catalog'!$E$61+'Assumptions and Catalog'!$F$61,IF(((D222+E222)*C222-G222)&lt;='Assumptions and Catalog'!$C$62,((D222+E222)*C222-G222)*'Assumptions and Catalog'!$H$62+'Assumptions and Catalog'!$E$62+'Assumptions and Catalog'!$F$62,IF(((D222+E222)*C222-G222)&lt;='Assumptions and Catalog'!$C$63,((D222+E222)*C222-G222)*'Assumptions and Catalog'!$H$63+'Assumptions and Catalog'!$E$63+'Assumptions and Catalog'!$F$63,IF(((D222+E222)*C222-G222)&lt;='Assumptions and Catalog'!$C$64,((D222+E222)*C222-G222)*'Assumptions and Catalog'!$H$64+'Assumptions and Catalog'!$E$64+'Assumptions and Catalog'!$F$64,IF(((D222+E222)*C222-G222)&lt;='Assumptions and Catalog'!$C$65,((D222+E222)*C222-G222)*'Assumptions and Catalog'!$H$65+'Assumptions and Catalog'!$E$65+'Assumptions and Catalog'!$F$65,"Out of range")))))))))*(1+'Assumptions and Catalog'!$C$8)^(A222-1),0)</f>
        <v>4776.0208885418942</v>
      </c>
      <c r="R222" s="5">
        <f>IF(AND('Assumptions and Catalog'!$C$19&gt;0,A222&gt;='Assumptions and Catalog'!$C$19),A222-'Assumptions and Catalog'!$C$19,A222-1)</f>
        <v>5</v>
      </c>
      <c r="S222" s="5">
        <f t="shared" si="13"/>
        <v>0</v>
      </c>
      <c r="T222" s="5"/>
      <c r="U222" s="5"/>
    </row>
    <row r="223" spans="1:21" ht="23.1" customHeight="1" outlineLevel="1" x14ac:dyDescent="0.2">
      <c r="A223" s="5">
        <v>6</v>
      </c>
      <c r="B223" s="5">
        <v>3</v>
      </c>
      <c r="C223" s="5">
        <f>DAY(DATE('Assumptions and Catalog'!$C$24+A223-1,B223+1,0))</f>
        <v>31</v>
      </c>
      <c r="D223" s="5">
        <f>IF(ISNUMBER(Inputs!$L$5),Inputs!$L$5*Inputs!$L$6,0)</f>
        <v>40.35</v>
      </c>
      <c r="E223" s="5">
        <f>IF(ISNUMBER(Inputs!$L$5),Inputs!$L$5-D223,0)</f>
        <v>40.35</v>
      </c>
      <c r="F223" s="5">
        <f>C$51*'Assumptions and Catalog'!$C$31*C223*(1-'Assumptions and Catalog'!$C$10)^(A223-1)</f>
        <v>1008.7446467965992</v>
      </c>
      <c r="G223" s="5">
        <f t="shared" si="8"/>
        <v>1008.7446467965992</v>
      </c>
      <c r="H223" s="5">
        <f>I223/('Assumptions and Catalog'!$C$11*'Assumptions and Catalog'!$C$12)</f>
        <v>0</v>
      </c>
      <c r="I223" s="5">
        <f>0</f>
        <v>0</v>
      </c>
      <c r="J223" s="5">
        <f t="shared" si="9"/>
        <v>0</v>
      </c>
      <c r="K223" s="5">
        <f t="shared" si="10"/>
        <v>0</v>
      </c>
      <c r="L223" s="5">
        <f t="shared" si="11"/>
        <v>1492.955353203401</v>
      </c>
      <c r="M223" s="5">
        <f>IF(ISNUMBER(Inputs!$L$5),(IF(Inputs!$L$9="Actual flat rate",((D223+E223)*C223)*Inputs!$L$10,IF(Inputs!$C$9="Residential",IF(((D223+E223)*C223)&lt;='Assumptions and Catalog'!$C$50,((D223+E223)*C223)*'Assumptions and Catalog'!$H$50+'Assumptions and Catalog'!$E$50+'Assumptions and Catalog'!$F$50,IF(((D223+E223)*C223)&lt;='Assumptions and Catalog'!$C$51,((D223+E223)*C223)*'Assumptions and Catalog'!$H$51+'Assumptions and Catalog'!$E$51+'Assumptions and Catalog'!$F$51,IF(((D223+E223)*C223)&lt;='Assumptions and Catalog'!$C$52,((D223+E223)*C223)*'Assumptions and Catalog'!$H$52+'Assumptions and Catalog'!$E$52+'Assumptions and Catalog'!$F$52,IF(((D223+E223)*C223)&lt;='Assumptions and Catalog'!$C$53,((D223+E223)*C223)*'Assumptions and Catalog'!$H$53+'Assumptions and Catalog'!$E$53+'Assumptions and Catalog'!$F$53,IF(((D223+E223)*C223)&lt;='Assumptions and Catalog'!$C$54,((D223+E223)*C223)*'Assumptions and Catalog'!$H$54+'Assumptions and Catalog'!$E$54+'Assumptions and Catalog'!$F$54,IF(((D223+E223)*C223)&lt;='Assumptions and Catalog'!$C$55,((D223+E223)*C223)*'Assumptions and Catalog'!$H$55+'Assumptions and Catalog'!$E$55+'Assumptions and Catalog'!$F$55,IF(((D223+E223)*C223)&lt;='Assumptions and Catalog'!$C$56,((D223+E223)*C223)*'Assumptions and Catalog'!$H$56+'Assumptions and Catalog'!$E$56+'Assumptions and Catalog'!$F$56,IF(((D223+E223)*C223)&lt;='Assumptions and Catalog'!$C$57,((D223+E223)*C223)*'Assumptions and Catalog'!$H$57+'Assumptions and Catalog'!$E$57+'Assumptions and Catalog'!$F$57,"Out of range")))))))),IF(((D223+E223)*C223)&lt;='Assumptions and Catalog'!$C$60,((D223+E223)*C223)*'Assumptions and Catalog'!$H$60+'Assumptions and Catalog'!$E$60+'Assumptions and Catalog'!$F$60,IF(((D223+E223)*C223)&lt;='Assumptions and Catalog'!$C$61,((D223+E223)*C223)*'Assumptions and Catalog'!$H$61+'Assumptions and Catalog'!$E$61+'Assumptions and Catalog'!$F$61,IF(((D223+E223)*C223)&lt;='Assumptions and Catalog'!$C$62,((D223+E223)*C223)*'Assumptions and Catalog'!$H$62+'Assumptions and Catalog'!$E$62+'Assumptions and Catalog'!$F$62,IF(((D223+E223)*C223)&lt;='Assumptions and Catalog'!$C$63,((D223+E223)*C223)*'Assumptions and Catalog'!$H$63+'Assumptions and Catalog'!$E$63+'Assumptions and Catalog'!$F$63,IF(((D223+E223)*C223)&lt;='Assumptions and Catalog'!$C$64,((D223+E223)*C223)*'Assumptions and Catalog'!$H$64+'Assumptions and Catalog'!$E$64+'Assumptions and Catalog'!$F$64,IF(((D223+E223)*C223)&lt;='Assumptions and Catalog'!$C$65,((D223+E223)*C223)*'Assumptions and Catalog'!$H$65+'Assumptions and Catalog'!$E$65+'Assumptions and Catalog'!$F$65,"Out of range")))))))))*(1+'Assumptions and Catalog'!$C$8)^(A223-1),0)</f>
        <v>8554.9666666666672</v>
      </c>
      <c r="N223" s="5">
        <f>IF(ISNUMBER(Inputs!$L$5),(IF(Inputs!$L$9="Actual flat rate",L223*Inputs!$L$10,IF(Inputs!$C$9="Residential",IF(L223&lt;='Assumptions and Catalog'!$C$50,L223*'Assumptions and Catalog'!$H$50+'Assumptions and Catalog'!$E$50+'Assumptions and Catalog'!$F$50,IF(L223&lt;='Assumptions and Catalog'!$C$51,L223*'Assumptions and Catalog'!$H$51+'Assumptions and Catalog'!$E$51+'Assumptions and Catalog'!$F$51,IF(L223&lt;='Assumptions and Catalog'!$C$52,L223*'Assumptions and Catalog'!$H$52+'Assumptions and Catalog'!$E$52+'Assumptions and Catalog'!$F$52,IF(L223&lt;='Assumptions and Catalog'!$C$53,L223*'Assumptions and Catalog'!$H$53+'Assumptions and Catalog'!$E$53+'Assumptions and Catalog'!$F$53,IF(L223&lt;='Assumptions and Catalog'!$C$54,L223*'Assumptions and Catalog'!$H$54+'Assumptions and Catalog'!$E$54+'Assumptions and Catalog'!$F$54,IF(L223&lt;='Assumptions and Catalog'!$C$55,L223*'Assumptions and Catalog'!$H$55+'Assumptions and Catalog'!$E$55+'Assumptions and Catalog'!$F$55,IF(L223&lt;='Assumptions and Catalog'!$C$56,L223*'Assumptions and Catalog'!$H$56+'Assumptions and Catalog'!$E$56+'Assumptions and Catalog'!$F$56,IF(L223&lt;='Assumptions and Catalog'!$C$57,L223*'Assumptions and Catalog'!$H$57+'Assumptions and Catalog'!$E$57+'Assumptions and Catalog'!$F$57,"Out of range")))))))),IF(L223&lt;='Assumptions and Catalog'!$C$60,L223*'Assumptions and Catalog'!$H$60+'Assumptions and Catalog'!$E$60+'Assumptions and Catalog'!$F$60,IF(L223&lt;='Assumptions and Catalog'!$C$61,L223*'Assumptions and Catalog'!$H$61+'Assumptions and Catalog'!$E$61+'Assumptions and Catalog'!$F$61,IF(L223&lt;='Assumptions and Catalog'!$C$62,L223*'Assumptions and Catalog'!$H$62+'Assumptions and Catalog'!$E$62+'Assumptions and Catalog'!$F$62,IF(L223&lt;='Assumptions and Catalog'!$C$63,L223*'Assumptions and Catalog'!$H$63+'Assumptions and Catalog'!$E$63+'Assumptions and Catalog'!$F$63,IF(L223&lt;='Assumptions and Catalog'!$C$64,L223*'Assumptions and Catalog'!$H$64+'Assumptions and Catalog'!$E$64+'Assumptions and Catalog'!$F$64,IF(L223&lt;='Assumptions and Catalog'!$C$65,L223*'Assumptions and Catalog'!$H$65+'Assumptions and Catalog'!$E$65+'Assumptions and Catalog'!$F$65,"Out of range")))))))))*(1+'Assumptions and Catalog'!$C$8)^(A223-1),0)</f>
        <v>5105.4016394758182</v>
      </c>
      <c r="O223" s="5">
        <f t="shared" si="12"/>
        <v>3449.5650271908489</v>
      </c>
      <c r="P223" s="5">
        <f>C$55*(1-J$14)*(1-'Assumptions and Catalog'!$C$23)^R223</f>
        <v>0</v>
      </c>
      <c r="Q223" s="5">
        <f>IF(ISNUMBER(Inputs!$L$5),(IF(Inputs!$L$9="Actual flat rate",((D223+E223)*C223-G223)*Inputs!$L$10,IF(Inputs!$C$9="Residential",IF(((D223+E223)*C223-G223)&lt;='Assumptions and Catalog'!$C$50,((D223+E223)*C223-G223)*'Assumptions and Catalog'!$H$50+'Assumptions and Catalog'!$E$50+'Assumptions and Catalog'!$F$50,IF(((D223+E223)*C223-G223)&lt;='Assumptions and Catalog'!$C$51,((D223+E223)*C223-G223)*'Assumptions and Catalog'!$H$51+'Assumptions and Catalog'!$E$51+'Assumptions and Catalog'!$F$51,IF(((D223+E223)*C223-G223)&lt;='Assumptions and Catalog'!$C$52,((D223+E223)*C223-G223)*'Assumptions and Catalog'!$H$52+'Assumptions and Catalog'!$E$52+'Assumptions and Catalog'!$F$52,IF(((D223+E223)*C223-G223)&lt;='Assumptions and Catalog'!$C$53,((D223+E223)*C223-G223)*'Assumptions and Catalog'!$H$53+'Assumptions and Catalog'!$E$53+'Assumptions and Catalog'!$F$53,IF(((D223+E223)*C223-G223)&lt;='Assumptions and Catalog'!$C$54,((D223+E223)*C223-G223)*'Assumptions and Catalog'!$H$54+'Assumptions and Catalog'!$E$54+'Assumptions and Catalog'!$F$54,IF(((D223+E223)*C223-G223)&lt;='Assumptions and Catalog'!$C$55,((D223+E223)*C223-G223)*'Assumptions and Catalog'!$H$55+'Assumptions and Catalog'!$E$55+'Assumptions and Catalog'!$F$55,IF(((D223+E223)*C223-G223)&lt;='Assumptions and Catalog'!$C$56,((D223+E223)*C223-G223)*'Assumptions and Catalog'!$H$56+'Assumptions and Catalog'!$E$56+'Assumptions and Catalog'!$F$56,IF(((D223+E223)*C223-G223)&lt;='Assumptions and Catalog'!$C$57,((D223+E223)*C223-G223)*'Assumptions and Catalog'!$H$57+'Assumptions and Catalog'!$E$57+'Assumptions and Catalog'!$F$57,"Out of range")))))))),IF(((D223+E223)*C223-G223)&lt;='Assumptions and Catalog'!$C$60,((D223+E223)*C223-G223)*'Assumptions and Catalog'!$H$60+'Assumptions and Catalog'!$E$60+'Assumptions and Catalog'!$F$60,IF(((D223+E223)*C223-G223)&lt;='Assumptions and Catalog'!$C$61,((D223+E223)*C223-G223)*'Assumptions and Catalog'!$H$61+'Assumptions and Catalog'!$E$61+'Assumptions and Catalog'!$F$61,IF(((D223+E223)*C223-G223)&lt;='Assumptions and Catalog'!$C$62,((D223+E223)*C223-G223)*'Assumptions and Catalog'!$H$62+'Assumptions and Catalog'!$E$62+'Assumptions and Catalog'!$F$62,IF(((D223+E223)*C223-G223)&lt;='Assumptions and Catalog'!$C$63,((D223+E223)*C223-G223)*'Assumptions and Catalog'!$H$63+'Assumptions and Catalog'!$E$63+'Assumptions and Catalog'!$F$63,IF(((D223+E223)*C223-G223)&lt;='Assumptions and Catalog'!$C$64,((D223+E223)*C223-G223)*'Assumptions and Catalog'!$H$64+'Assumptions and Catalog'!$E$64+'Assumptions and Catalog'!$F$64,IF(((D223+E223)*C223-G223)&lt;='Assumptions and Catalog'!$C$65,((D223+E223)*C223-G223)*'Assumptions and Catalog'!$H$65+'Assumptions and Catalog'!$E$65+'Assumptions and Catalog'!$F$65,"Out of range")))))))))*(1+'Assumptions and Catalog'!$C$8)^(A223-1),0)</f>
        <v>5105.4016394758182</v>
      </c>
      <c r="R223" s="5">
        <f>IF(AND('Assumptions and Catalog'!$C$19&gt;0,A223&gt;='Assumptions and Catalog'!$C$19),A223-'Assumptions and Catalog'!$C$19,A223-1)</f>
        <v>5</v>
      </c>
      <c r="S223" s="5">
        <f t="shared" si="13"/>
        <v>0</v>
      </c>
      <c r="T223" s="5"/>
      <c r="U223" s="5"/>
    </row>
    <row r="224" spans="1:21" ht="23.1" customHeight="1" outlineLevel="1" x14ac:dyDescent="0.2">
      <c r="A224" s="5">
        <v>6</v>
      </c>
      <c r="B224" s="5">
        <v>4</v>
      </c>
      <c r="C224" s="5">
        <f>DAY(DATE('Assumptions and Catalog'!$C$24+A224-1,B224+1,0))</f>
        <v>30</v>
      </c>
      <c r="D224" s="5">
        <f>IF(ISNUMBER(Inputs!$L$5),Inputs!$L$5*Inputs!$L$6,0)</f>
        <v>40.35</v>
      </c>
      <c r="E224" s="5">
        <f>IF(ISNUMBER(Inputs!$L$5),Inputs!$L$5-D224,0)</f>
        <v>40.35</v>
      </c>
      <c r="F224" s="5">
        <f>C$51*'Assumptions and Catalog'!$C$31*C224*(1-'Assumptions and Catalog'!$C$10)^(A224-1)</f>
        <v>976.20449689993472</v>
      </c>
      <c r="G224" s="5">
        <f t="shared" si="8"/>
        <v>976.20449689993472</v>
      </c>
      <c r="H224" s="5">
        <f>I224/('Assumptions and Catalog'!$C$11*'Assumptions and Catalog'!$C$12)</f>
        <v>0</v>
      </c>
      <c r="I224" s="5">
        <f>0</f>
        <v>0</v>
      </c>
      <c r="J224" s="5">
        <f t="shared" si="9"/>
        <v>0</v>
      </c>
      <c r="K224" s="5">
        <f t="shared" si="10"/>
        <v>0</v>
      </c>
      <c r="L224" s="5">
        <f t="shared" si="11"/>
        <v>1444.7955031000652</v>
      </c>
      <c r="M224" s="5">
        <f>IF(ISNUMBER(Inputs!$L$5),(IF(Inputs!$L$9="Actual flat rate",((D224+E224)*C224)*Inputs!$L$10,IF(Inputs!$C$9="Residential",IF(((D224+E224)*C224)&lt;='Assumptions and Catalog'!$C$50,((D224+E224)*C224)*'Assumptions and Catalog'!$H$50+'Assumptions and Catalog'!$E$50+'Assumptions and Catalog'!$F$50,IF(((D224+E224)*C224)&lt;='Assumptions and Catalog'!$C$51,((D224+E224)*C224)*'Assumptions and Catalog'!$H$51+'Assumptions and Catalog'!$E$51+'Assumptions and Catalog'!$F$51,IF(((D224+E224)*C224)&lt;='Assumptions and Catalog'!$C$52,((D224+E224)*C224)*'Assumptions and Catalog'!$H$52+'Assumptions and Catalog'!$E$52+'Assumptions and Catalog'!$F$52,IF(((D224+E224)*C224)&lt;='Assumptions and Catalog'!$C$53,((D224+E224)*C224)*'Assumptions and Catalog'!$H$53+'Assumptions and Catalog'!$E$53+'Assumptions and Catalog'!$F$53,IF(((D224+E224)*C224)&lt;='Assumptions and Catalog'!$C$54,((D224+E224)*C224)*'Assumptions and Catalog'!$H$54+'Assumptions and Catalog'!$E$54+'Assumptions and Catalog'!$F$54,IF(((D224+E224)*C224)&lt;='Assumptions and Catalog'!$C$55,((D224+E224)*C224)*'Assumptions and Catalog'!$H$55+'Assumptions and Catalog'!$E$55+'Assumptions and Catalog'!$F$55,IF(((D224+E224)*C224)&lt;='Assumptions and Catalog'!$C$56,((D224+E224)*C224)*'Assumptions and Catalog'!$H$56+'Assumptions and Catalog'!$E$56+'Assumptions and Catalog'!$F$56,IF(((D224+E224)*C224)&lt;='Assumptions and Catalog'!$C$57,((D224+E224)*C224)*'Assumptions and Catalog'!$H$57+'Assumptions and Catalog'!$E$57+'Assumptions and Catalog'!$F$57,"Out of range")))))))),IF(((D224+E224)*C224)&lt;='Assumptions and Catalog'!$C$60,((D224+E224)*C224)*'Assumptions and Catalog'!$H$60+'Assumptions and Catalog'!$E$60+'Assumptions and Catalog'!$F$60,IF(((D224+E224)*C224)&lt;='Assumptions and Catalog'!$C$61,((D224+E224)*C224)*'Assumptions and Catalog'!$H$61+'Assumptions and Catalog'!$E$61+'Assumptions and Catalog'!$F$61,IF(((D224+E224)*C224)&lt;='Assumptions and Catalog'!$C$62,((D224+E224)*C224)*'Assumptions and Catalog'!$H$62+'Assumptions and Catalog'!$E$62+'Assumptions and Catalog'!$F$62,IF(((D224+E224)*C224)&lt;='Assumptions and Catalog'!$C$63,((D224+E224)*C224)*'Assumptions and Catalog'!$H$63+'Assumptions and Catalog'!$E$63+'Assumptions and Catalog'!$F$63,IF(((D224+E224)*C224)&lt;='Assumptions and Catalog'!$C$64,((D224+E224)*C224)*'Assumptions and Catalog'!$H$64+'Assumptions and Catalog'!$E$64+'Assumptions and Catalog'!$F$64,IF(((D224+E224)*C224)&lt;='Assumptions and Catalog'!$C$65,((D224+E224)*C224)*'Assumptions and Catalog'!$H$65+'Assumptions and Catalog'!$E$65+'Assumptions and Catalog'!$F$65,"Out of range")))))))))*(1+'Assumptions and Catalog'!$C$8)^(A224-1),0)</f>
        <v>8279</v>
      </c>
      <c r="N224" s="5">
        <f>IF(ISNUMBER(Inputs!$L$5),(IF(Inputs!$L$9="Actual flat rate",L224*Inputs!$L$10,IF(Inputs!$C$9="Residential",IF(L224&lt;='Assumptions and Catalog'!$C$50,L224*'Assumptions and Catalog'!$H$50+'Assumptions and Catalog'!$E$50+'Assumptions and Catalog'!$F$50,IF(L224&lt;='Assumptions and Catalog'!$C$51,L224*'Assumptions and Catalog'!$H$51+'Assumptions and Catalog'!$E$51+'Assumptions and Catalog'!$F$51,IF(L224&lt;='Assumptions and Catalog'!$C$52,L224*'Assumptions and Catalog'!$H$52+'Assumptions and Catalog'!$E$52+'Assumptions and Catalog'!$F$52,IF(L224&lt;='Assumptions and Catalog'!$C$53,L224*'Assumptions and Catalog'!$H$53+'Assumptions and Catalog'!$E$53+'Assumptions and Catalog'!$F$53,IF(L224&lt;='Assumptions and Catalog'!$C$54,L224*'Assumptions and Catalog'!$H$54+'Assumptions and Catalog'!$E$54+'Assumptions and Catalog'!$F$54,IF(L224&lt;='Assumptions and Catalog'!$C$55,L224*'Assumptions and Catalog'!$H$55+'Assumptions and Catalog'!$E$55+'Assumptions and Catalog'!$F$55,IF(L224&lt;='Assumptions and Catalog'!$C$56,L224*'Assumptions and Catalog'!$H$56+'Assumptions and Catalog'!$E$56+'Assumptions and Catalog'!$F$56,IF(L224&lt;='Assumptions and Catalog'!$C$57,L224*'Assumptions and Catalog'!$H$57+'Assumptions and Catalog'!$E$57+'Assumptions and Catalog'!$F$57,"Out of range")))))))),IF(L224&lt;='Assumptions and Catalog'!$C$60,L224*'Assumptions and Catalog'!$H$60+'Assumptions and Catalog'!$E$60+'Assumptions and Catalog'!$F$60,IF(L224&lt;='Assumptions and Catalog'!$C$61,L224*'Assumptions and Catalog'!$H$61+'Assumptions and Catalog'!$E$61+'Assumptions and Catalog'!$F$61,IF(L224&lt;='Assumptions and Catalog'!$C$62,L224*'Assumptions and Catalog'!$H$62+'Assumptions and Catalog'!$E$62+'Assumptions and Catalog'!$F$62,IF(L224&lt;='Assumptions and Catalog'!$C$63,L224*'Assumptions and Catalog'!$H$63+'Assumptions and Catalog'!$E$63+'Assumptions and Catalog'!$F$63,IF(L224&lt;='Assumptions and Catalog'!$C$64,L224*'Assumptions and Catalog'!$H$64+'Assumptions and Catalog'!$E$64+'Assumptions and Catalog'!$F$64,IF(L224&lt;='Assumptions and Catalog'!$C$65,L224*'Assumptions and Catalog'!$H$65+'Assumptions and Catalog'!$E$65+'Assumptions and Catalog'!$F$65,"Out of range")))))))))*(1+'Assumptions and Catalog'!$C$8)^(A224-1),0)</f>
        <v>4940.7112640088553</v>
      </c>
      <c r="O224" s="5">
        <f t="shared" si="12"/>
        <v>3338.2887359911447</v>
      </c>
      <c r="P224" s="5">
        <f>C$55*(1-J$14)*(1-'Assumptions and Catalog'!$C$23)^R224</f>
        <v>0</v>
      </c>
      <c r="Q224" s="5">
        <f>IF(ISNUMBER(Inputs!$L$5),(IF(Inputs!$L$9="Actual flat rate",((D224+E224)*C224-G224)*Inputs!$L$10,IF(Inputs!$C$9="Residential",IF(((D224+E224)*C224-G224)&lt;='Assumptions and Catalog'!$C$50,((D224+E224)*C224-G224)*'Assumptions and Catalog'!$H$50+'Assumptions and Catalog'!$E$50+'Assumptions and Catalog'!$F$50,IF(((D224+E224)*C224-G224)&lt;='Assumptions and Catalog'!$C$51,((D224+E224)*C224-G224)*'Assumptions and Catalog'!$H$51+'Assumptions and Catalog'!$E$51+'Assumptions and Catalog'!$F$51,IF(((D224+E224)*C224-G224)&lt;='Assumptions and Catalog'!$C$52,((D224+E224)*C224-G224)*'Assumptions and Catalog'!$H$52+'Assumptions and Catalog'!$E$52+'Assumptions and Catalog'!$F$52,IF(((D224+E224)*C224-G224)&lt;='Assumptions and Catalog'!$C$53,((D224+E224)*C224-G224)*'Assumptions and Catalog'!$H$53+'Assumptions and Catalog'!$E$53+'Assumptions and Catalog'!$F$53,IF(((D224+E224)*C224-G224)&lt;='Assumptions and Catalog'!$C$54,((D224+E224)*C224-G224)*'Assumptions and Catalog'!$H$54+'Assumptions and Catalog'!$E$54+'Assumptions and Catalog'!$F$54,IF(((D224+E224)*C224-G224)&lt;='Assumptions and Catalog'!$C$55,((D224+E224)*C224-G224)*'Assumptions and Catalog'!$H$55+'Assumptions and Catalog'!$E$55+'Assumptions and Catalog'!$F$55,IF(((D224+E224)*C224-G224)&lt;='Assumptions and Catalog'!$C$56,((D224+E224)*C224-G224)*'Assumptions and Catalog'!$H$56+'Assumptions and Catalog'!$E$56+'Assumptions and Catalog'!$F$56,IF(((D224+E224)*C224-G224)&lt;='Assumptions and Catalog'!$C$57,((D224+E224)*C224-G224)*'Assumptions and Catalog'!$H$57+'Assumptions and Catalog'!$E$57+'Assumptions and Catalog'!$F$57,"Out of range")))))))),IF(((D224+E224)*C224-G224)&lt;='Assumptions and Catalog'!$C$60,((D224+E224)*C224-G224)*'Assumptions and Catalog'!$H$60+'Assumptions and Catalog'!$E$60+'Assumptions and Catalog'!$F$60,IF(((D224+E224)*C224-G224)&lt;='Assumptions and Catalog'!$C$61,((D224+E224)*C224-G224)*'Assumptions and Catalog'!$H$61+'Assumptions and Catalog'!$E$61+'Assumptions and Catalog'!$F$61,IF(((D224+E224)*C224-G224)&lt;='Assumptions and Catalog'!$C$62,((D224+E224)*C224-G224)*'Assumptions and Catalog'!$H$62+'Assumptions and Catalog'!$E$62+'Assumptions and Catalog'!$F$62,IF(((D224+E224)*C224-G224)&lt;='Assumptions and Catalog'!$C$63,((D224+E224)*C224-G224)*'Assumptions and Catalog'!$H$63+'Assumptions and Catalog'!$E$63+'Assumptions and Catalog'!$F$63,IF(((D224+E224)*C224-G224)&lt;='Assumptions and Catalog'!$C$64,((D224+E224)*C224-G224)*'Assumptions and Catalog'!$H$64+'Assumptions and Catalog'!$E$64+'Assumptions and Catalog'!$F$64,IF(((D224+E224)*C224-G224)&lt;='Assumptions and Catalog'!$C$65,((D224+E224)*C224-G224)*'Assumptions and Catalog'!$H$65+'Assumptions and Catalog'!$E$65+'Assumptions and Catalog'!$F$65,"Out of range")))))))))*(1+'Assumptions and Catalog'!$C$8)^(A224-1),0)</f>
        <v>4940.7112640088553</v>
      </c>
      <c r="R224" s="5">
        <f>IF(AND('Assumptions and Catalog'!$C$19&gt;0,A224&gt;='Assumptions and Catalog'!$C$19),A224-'Assumptions and Catalog'!$C$19,A224-1)</f>
        <v>5</v>
      </c>
      <c r="S224" s="5">
        <f t="shared" si="13"/>
        <v>0</v>
      </c>
      <c r="T224" s="5"/>
      <c r="U224" s="5"/>
    </row>
    <row r="225" spans="1:21" ht="23.1" customHeight="1" outlineLevel="1" x14ac:dyDescent="0.2">
      <c r="A225" s="5">
        <v>6</v>
      </c>
      <c r="B225" s="5">
        <v>5</v>
      </c>
      <c r="C225" s="5">
        <f>DAY(DATE('Assumptions and Catalog'!$C$24+A225-1,B225+1,0))</f>
        <v>31</v>
      </c>
      <c r="D225" s="5">
        <f>IF(ISNUMBER(Inputs!$L$5),Inputs!$L$5*Inputs!$L$6,0)</f>
        <v>40.35</v>
      </c>
      <c r="E225" s="5">
        <f>IF(ISNUMBER(Inputs!$L$5),Inputs!$L$5-D225,0)</f>
        <v>40.35</v>
      </c>
      <c r="F225" s="5">
        <f>C$51*'Assumptions and Catalog'!$C$31*C225*(1-'Assumptions and Catalog'!$C$10)^(A225-1)</f>
        <v>1008.7446467965992</v>
      </c>
      <c r="G225" s="5">
        <f t="shared" ref="G225:G288" si="14">MIN(F225,D225*C225)</f>
        <v>1008.7446467965992</v>
      </c>
      <c r="H225" s="5">
        <f>I225/('Assumptions and Catalog'!$C$11*'Assumptions and Catalog'!$C$12)</f>
        <v>0</v>
      </c>
      <c r="I225" s="5">
        <f>0</f>
        <v>0</v>
      </c>
      <c r="J225" s="5">
        <f t="shared" ref="J225:J288" si="15">MAX(F225-G225-H225,0)</f>
        <v>0</v>
      </c>
      <c r="K225" s="5">
        <f t="shared" ref="K225:K288" si="16">H225-I225</f>
        <v>0</v>
      </c>
      <c r="L225" s="5">
        <f t="shared" ref="L225:L288" si="17">(D225+E225)*C225-G225-I225+0+0</f>
        <v>1492.955353203401</v>
      </c>
      <c r="M225" s="5">
        <f>IF(ISNUMBER(Inputs!$L$5),(IF(Inputs!$L$9="Actual flat rate",((D225+E225)*C225)*Inputs!$L$10,IF(Inputs!$C$9="Residential",IF(((D225+E225)*C225)&lt;='Assumptions and Catalog'!$C$50,((D225+E225)*C225)*'Assumptions and Catalog'!$H$50+'Assumptions and Catalog'!$E$50+'Assumptions and Catalog'!$F$50,IF(((D225+E225)*C225)&lt;='Assumptions and Catalog'!$C$51,((D225+E225)*C225)*'Assumptions and Catalog'!$H$51+'Assumptions and Catalog'!$E$51+'Assumptions and Catalog'!$F$51,IF(((D225+E225)*C225)&lt;='Assumptions and Catalog'!$C$52,((D225+E225)*C225)*'Assumptions and Catalog'!$H$52+'Assumptions and Catalog'!$E$52+'Assumptions and Catalog'!$F$52,IF(((D225+E225)*C225)&lt;='Assumptions and Catalog'!$C$53,((D225+E225)*C225)*'Assumptions and Catalog'!$H$53+'Assumptions and Catalog'!$E$53+'Assumptions and Catalog'!$F$53,IF(((D225+E225)*C225)&lt;='Assumptions and Catalog'!$C$54,((D225+E225)*C225)*'Assumptions and Catalog'!$H$54+'Assumptions and Catalog'!$E$54+'Assumptions and Catalog'!$F$54,IF(((D225+E225)*C225)&lt;='Assumptions and Catalog'!$C$55,((D225+E225)*C225)*'Assumptions and Catalog'!$H$55+'Assumptions and Catalog'!$E$55+'Assumptions and Catalog'!$F$55,IF(((D225+E225)*C225)&lt;='Assumptions and Catalog'!$C$56,((D225+E225)*C225)*'Assumptions and Catalog'!$H$56+'Assumptions and Catalog'!$E$56+'Assumptions and Catalog'!$F$56,IF(((D225+E225)*C225)&lt;='Assumptions and Catalog'!$C$57,((D225+E225)*C225)*'Assumptions and Catalog'!$H$57+'Assumptions and Catalog'!$E$57+'Assumptions and Catalog'!$F$57,"Out of range")))))))),IF(((D225+E225)*C225)&lt;='Assumptions and Catalog'!$C$60,((D225+E225)*C225)*'Assumptions and Catalog'!$H$60+'Assumptions and Catalog'!$E$60+'Assumptions and Catalog'!$F$60,IF(((D225+E225)*C225)&lt;='Assumptions and Catalog'!$C$61,((D225+E225)*C225)*'Assumptions and Catalog'!$H$61+'Assumptions and Catalog'!$E$61+'Assumptions and Catalog'!$F$61,IF(((D225+E225)*C225)&lt;='Assumptions and Catalog'!$C$62,((D225+E225)*C225)*'Assumptions and Catalog'!$H$62+'Assumptions and Catalog'!$E$62+'Assumptions and Catalog'!$F$62,IF(((D225+E225)*C225)&lt;='Assumptions and Catalog'!$C$63,((D225+E225)*C225)*'Assumptions and Catalog'!$H$63+'Assumptions and Catalog'!$E$63+'Assumptions and Catalog'!$F$63,IF(((D225+E225)*C225)&lt;='Assumptions and Catalog'!$C$64,((D225+E225)*C225)*'Assumptions and Catalog'!$H$64+'Assumptions and Catalog'!$E$64+'Assumptions and Catalog'!$F$64,IF(((D225+E225)*C225)&lt;='Assumptions and Catalog'!$C$65,((D225+E225)*C225)*'Assumptions and Catalog'!$H$65+'Assumptions and Catalog'!$E$65+'Assumptions and Catalog'!$F$65,"Out of range")))))))))*(1+'Assumptions and Catalog'!$C$8)^(A225-1),0)</f>
        <v>8554.9666666666672</v>
      </c>
      <c r="N225" s="5">
        <f>IF(ISNUMBER(Inputs!$L$5),(IF(Inputs!$L$9="Actual flat rate",L225*Inputs!$L$10,IF(Inputs!$C$9="Residential",IF(L225&lt;='Assumptions and Catalog'!$C$50,L225*'Assumptions and Catalog'!$H$50+'Assumptions and Catalog'!$E$50+'Assumptions and Catalog'!$F$50,IF(L225&lt;='Assumptions and Catalog'!$C$51,L225*'Assumptions and Catalog'!$H$51+'Assumptions and Catalog'!$E$51+'Assumptions and Catalog'!$F$51,IF(L225&lt;='Assumptions and Catalog'!$C$52,L225*'Assumptions and Catalog'!$H$52+'Assumptions and Catalog'!$E$52+'Assumptions and Catalog'!$F$52,IF(L225&lt;='Assumptions and Catalog'!$C$53,L225*'Assumptions and Catalog'!$H$53+'Assumptions and Catalog'!$E$53+'Assumptions and Catalog'!$F$53,IF(L225&lt;='Assumptions and Catalog'!$C$54,L225*'Assumptions and Catalog'!$H$54+'Assumptions and Catalog'!$E$54+'Assumptions and Catalog'!$F$54,IF(L225&lt;='Assumptions and Catalog'!$C$55,L225*'Assumptions and Catalog'!$H$55+'Assumptions and Catalog'!$E$55+'Assumptions and Catalog'!$F$55,IF(L225&lt;='Assumptions and Catalog'!$C$56,L225*'Assumptions and Catalog'!$H$56+'Assumptions and Catalog'!$E$56+'Assumptions and Catalog'!$F$56,IF(L225&lt;='Assumptions and Catalog'!$C$57,L225*'Assumptions and Catalog'!$H$57+'Assumptions and Catalog'!$E$57+'Assumptions and Catalog'!$F$57,"Out of range")))))))),IF(L225&lt;='Assumptions and Catalog'!$C$60,L225*'Assumptions and Catalog'!$H$60+'Assumptions and Catalog'!$E$60+'Assumptions and Catalog'!$F$60,IF(L225&lt;='Assumptions and Catalog'!$C$61,L225*'Assumptions and Catalog'!$H$61+'Assumptions and Catalog'!$E$61+'Assumptions and Catalog'!$F$61,IF(L225&lt;='Assumptions and Catalog'!$C$62,L225*'Assumptions and Catalog'!$H$62+'Assumptions and Catalog'!$E$62+'Assumptions and Catalog'!$F$62,IF(L225&lt;='Assumptions and Catalog'!$C$63,L225*'Assumptions and Catalog'!$H$63+'Assumptions and Catalog'!$E$63+'Assumptions and Catalog'!$F$63,IF(L225&lt;='Assumptions and Catalog'!$C$64,L225*'Assumptions and Catalog'!$H$64+'Assumptions and Catalog'!$E$64+'Assumptions and Catalog'!$F$64,IF(L225&lt;='Assumptions and Catalog'!$C$65,L225*'Assumptions and Catalog'!$H$65+'Assumptions and Catalog'!$E$65+'Assumptions and Catalog'!$F$65,"Out of range")))))))))*(1+'Assumptions and Catalog'!$C$8)^(A225-1),0)</f>
        <v>5105.4016394758182</v>
      </c>
      <c r="O225" s="5">
        <f t="shared" ref="O225:O288" si="18">M225-N225</f>
        <v>3449.5650271908489</v>
      </c>
      <c r="P225" s="5">
        <f>C$55*(1-J$14)*(1-'Assumptions and Catalog'!$C$23)^R225</f>
        <v>0</v>
      </c>
      <c r="Q225" s="5">
        <f>IF(ISNUMBER(Inputs!$L$5),(IF(Inputs!$L$9="Actual flat rate",((D225+E225)*C225-G225)*Inputs!$L$10,IF(Inputs!$C$9="Residential",IF(((D225+E225)*C225-G225)&lt;='Assumptions and Catalog'!$C$50,((D225+E225)*C225-G225)*'Assumptions and Catalog'!$H$50+'Assumptions and Catalog'!$E$50+'Assumptions and Catalog'!$F$50,IF(((D225+E225)*C225-G225)&lt;='Assumptions and Catalog'!$C$51,((D225+E225)*C225-G225)*'Assumptions and Catalog'!$H$51+'Assumptions and Catalog'!$E$51+'Assumptions and Catalog'!$F$51,IF(((D225+E225)*C225-G225)&lt;='Assumptions and Catalog'!$C$52,((D225+E225)*C225-G225)*'Assumptions and Catalog'!$H$52+'Assumptions and Catalog'!$E$52+'Assumptions and Catalog'!$F$52,IF(((D225+E225)*C225-G225)&lt;='Assumptions and Catalog'!$C$53,((D225+E225)*C225-G225)*'Assumptions and Catalog'!$H$53+'Assumptions and Catalog'!$E$53+'Assumptions and Catalog'!$F$53,IF(((D225+E225)*C225-G225)&lt;='Assumptions and Catalog'!$C$54,((D225+E225)*C225-G225)*'Assumptions and Catalog'!$H$54+'Assumptions and Catalog'!$E$54+'Assumptions and Catalog'!$F$54,IF(((D225+E225)*C225-G225)&lt;='Assumptions and Catalog'!$C$55,((D225+E225)*C225-G225)*'Assumptions and Catalog'!$H$55+'Assumptions and Catalog'!$E$55+'Assumptions and Catalog'!$F$55,IF(((D225+E225)*C225-G225)&lt;='Assumptions and Catalog'!$C$56,((D225+E225)*C225-G225)*'Assumptions and Catalog'!$H$56+'Assumptions and Catalog'!$E$56+'Assumptions and Catalog'!$F$56,IF(((D225+E225)*C225-G225)&lt;='Assumptions and Catalog'!$C$57,((D225+E225)*C225-G225)*'Assumptions and Catalog'!$H$57+'Assumptions and Catalog'!$E$57+'Assumptions and Catalog'!$F$57,"Out of range")))))))),IF(((D225+E225)*C225-G225)&lt;='Assumptions and Catalog'!$C$60,((D225+E225)*C225-G225)*'Assumptions and Catalog'!$H$60+'Assumptions and Catalog'!$E$60+'Assumptions and Catalog'!$F$60,IF(((D225+E225)*C225-G225)&lt;='Assumptions and Catalog'!$C$61,((D225+E225)*C225-G225)*'Assumptions and Catalog'!$H$61+'Assumptions and Catalog'!$E$61+'Assumptions and Catalog'!$F$61,IF(((D225+E225)*C225-G225)&lt;='Assumptions and Catalog'!$C$62,((D225+E225)*C225-G225)*'Assumptions and Catalog'!$H$62+'Assumptions and Catalog'!$E$62+'Assumptions and Catalog'!$F$62,IF(((D225+E225)*C225-G225)&lt;='Assumptions and Catalog'!$C$63,((D225+E225)*C225-G225)*'Assumptions and Catalog'!$H$63+'Assumptions and Catalog'!$E$63+'Assumptions and Catalog'!$F$63,IF(((D225+E225)*C225-G225)&lt;='Assumptions and Catalog'!$C$64,((D225+E225)*C225-G225)*'Assumptions and Catalog'!$H$64+'Assumptions and Catalog'!$E$64+'Assumptions and Catalog'!$F$64,IF(((D225+E225)*C225-G225)&lt;='Assumptions and Catalog'!$C$65,((D225+E225)*C225-G225)*'Assumptions and Catalog'!$H$65+'Assumptions and Catalog'!$E$65+'Assumptions and Catalog'!$F$65,"Out of range")))))))))*(1+'Assumptions and Catalog'!$C$8)^(A225-1),0)</f>
        <v>5105.4016394758182</v>
      </c>
      <c r="R225" s="5">
        <f>IF(AND('Assumptions and Catalog'!$C$19&gt;0,A225&gt;='Assumptions and Catalog'!$C$19),A225-'Assumptions and Catalog'!$C$19,A225-1)</f>
        <v>5</v>
      </c>
      <c r="S225" s="5">
        <f t="shared" ref="S225:S288" si="19">F225+L225-(D225+E225)*C225-J225-K225-0</f>
        <v>0</v>
      </c>
      <c r="T225" s="5"/>
      <c r="U225" s="5"/>
    </row>
    <row r="226" spans="1:21" ht="23.1" customHeight="1" outlineLevel="1" x14ac:dyDescent="0.2">
      <c r="A226" s="5">
        <v>6</v>
      </c>
      <c r="B226" s="5">
        <v>6</v>
      </c>
      <c r="C226" s="5">
        <f>DAY(DATE('Assumptions and Catalog'!$C$24+A226-1,B226+1,0))</f>
        <v>30</v>
      </c>
      <c r="D226" s="5">
        <f>IF(ISNUMBER(Inputs!$L$5),Inputs!$L$5*Inputs!$L$6,0)</f>
        <v>40.35</v>
      </c>
      <c r="E226" s="5">
        <f>IF(ISNUMBER(Inputs!$L$5),Inputs!$L$5-D226,0)</f>
        <v>40.35</v>
      </c>
      <c r="F226" s="5">
        <f>C$51*'Assumptions and Catalog'!$C$31*C226*(1-'Assumptions and Catalog'!$C$10)^(A226-1)</f>
        <v>976.20449689993472</v>
      </c>
      <c r="G226" s="5">
        <f t="shared" si="14"/>
        <v>976.20449689993472</v>
      </c>
      <c r="H226" s="5">
        <f>I226/('Assumptions and Catalog'!$C$11*'Assumptions and Catalog'!$C$12)</f>
        <v>0</v>
      </c>
      <c r="I226" s="5">
        <f>0</f>
        <v>0</v>
      </c>
      <c r="J226" s="5">
        <f t="shared" si="15"/>
        <v>0</v>
      </c>
      <c r="K226" s="5">
        <f t="shared" si="16"/>
        <v>0</v>
      </c>
      <c r="L226" s="5">
        <f t="shared" si="17"/>
        <v>1444.7955031000652</v>
      </c>
      <c r="M226" s="5">
        <f>IF(ISNUMBER(Inputs!$L$5),(IF(Inputs!$L$9="Actual flat rate",((D226+E226)*C226)*Inputs!$L$10,IF(Inputs!$C$9="Residential",IF(((D226+E226)*C226)&lt;='Assumptions and Catalog'!$C$50,((D226+E226)*C226)*'Assumptions and Catalog'!$H$50+'Assumptions and Catalog'!$E$50+'Assumptions and Catalog'!$F$50,IF(((D226+E226)*C226)&lt;='Assumptions and Catalog'!$C$51,((D226+E226)*C226)*'Assumptions and Catalog'!$H$51+'Assumptions and Catalog'!$E$51+'Assumptions and Catalog'!$F$51,IF(((D226+E226)*C226)&lt;='Assumptions and Catalog'!$C$52,((D226+E226)*C226)*'Assumptions and Catalog'!$H$52+'Assumptions and Catalog'!$E$52+'Assumptions and Catalog'!$F$52,IF(((D226+E226)*C226)&lt;='Assumptions and Catalog'!$C$53,((D226+E226)*C226)*'Assumptions and Catalog'!$H$53+'Assumptions and Catalog'!$E$53+'Assumptions and Catalog'!$F$53,IF(((D226+E226)*C226)&lt;='Assumptions and Catalog'!$C$54,((D226+E226)*C226)*'Assumptions and Catalog'!$H$54+'Assumptions and Catalog'!$E$54+'Assumptions and Catalog'!$F$54,IF(((D226+E226)*C226)&lt;='Assumptions and Catalog'!$C$55,((D226+E226)*C226)*'Assumptions and Catalog'!$H$55+'Assumptions and Catalog'!$E$55+'Assumptions and Catalog'!$F$55,IF(((D226+E226)*C226)&lt;='Assumptions and Catalog'!$C$56,((D226+E226)*C226)*'Assumptions and Catalog'!$H$56+'Assumptions and Catalog'!$E$56+'Assumptions and Catalog'!$F$56,IF(((D226+E226)*C226)&lt;='Assumptions and Catalog'!$C$57,((D226+E226)*C226)*'Assumptions and Catalog'!$H$57+'Assumptions and Catalog'!$E$57+'Assumptions and Catalog'!$F$57,"Out of range")))))))),IF(((D226+E226)*C226)&lt;='Assumptions and Catalog'!$C$60,((D226+E226)*C226)*'Assumptions and Catalog'!$H$60+'Assumptions and Catalog'!$E$60+'Assumptions and Catalog'!$F$60,IF(((D226+E226)*C226)&lt;='Assumptions and Catalog'!$C$61,((D226+E226)*C226)*'Assumptions and Catalog'!$H$61+'Assumptions and Catalog'!$E$61+'Assumptions and Catalog'!$F$61,IF(((D226+E226)*C226)&lt;='Assumptions and Catalog'!$C$62,((D226+E226)*C226)*'Assumptions and Catalog'!$H$62+'Assumptions and Catalog'!$E$62+'Assumptions and Catalog'!$F$62,IF(((D226+E226)*C226)&lt;='Assumptions and Catalog'!$C$63,((D226+E226)*C226)*'Assumptions and Catalog'!$H$63+'Assumptions and Catalog'!$E$63+'Assumptions and Catalog'!$F$63,IF(((D226+E226)*C226)&lt;='Assumptions and Catalog'!$C$64,((D226+E226)*C226)*'Assumptions and Catalog'!$H$64+'Assumptions and Catalog'!$E$64+'Assumptions and Catalog'!$F$64,IF(((D226+E226)*C226)&lt;='Assumptions and Catalog'!$C$65,((D226+E226)*C226)*'Assumptions and Catalog'!$H$65+'Assumptions and Catalog'!$E$65+'Assumptions and Catalog'!$F$65,"Out of range")))))))))*(1+'Assumptions and Catalog'!$C$8)^(A226-1),0)</f>
        <v>8279</v>
      </c>
      <c r="N226" s="5">
        <f>IF(ISNUMBER(Inputs!$L$5),(IF(Inputs!$L$9="Actual flat rate",L226*Inputs!$L$10,IF(Inputs!$C$9="Residential",IF(L226&lt;='Assumptions and Catalog'!$C$50,L226*'Assumptions and Catalog'!$H$50+'Assumptions and Catalog'!$E$50+'Assumptions and Catalog'!$F$50,IF(L226&lt;='Assumptions and Catalog'!$C$51,L226*'Assumptions and Catalog'!$H$51+'Assumptions and Catalog'!$E$51+'Assumptions and Catalog'!$F$51,IF(L226&lt;='Assumptions and Catalog'!$C$52,L226*'Assumptions and Catalog'!$H$52+'Assumptions and Catalog'!$E$52+'Assumptions and Catalog'!$F$52,IF(L226&lt;='Assumptions and Catalog'!$C$53,L226*'Assumptions and Catalog'!$H$53+'Assumptions and Catalog'!$E$53+'Assumptions and Catalog'!$F$53,IF(L226&lt;='Assumptions and Catalog'!$C$54,L226*'Assumptions and Catalog'!$H$54+'Assumptions and Catalog'!$E$54+'Assumptions and Catalog'!$F$54,IF(L226&lt;='Assumptions and Catalog'!$C$55,L226*'Assumptions and Catalog'!$H$55+'Assumptions and Catalog'!$E$55+'Assumptions and Catalog'!$F$55,IF(L226&lt;='Assumptions and Catalog'!$C$56,L226*'Assumptions and Catalog'!$H$56+'Assumptions and Catalog'!$E$56+'Assumptions and Catalog'!$F$56,IF(L226&lt;='Assumptions and Catalog'!$C$57,L226*'Assumptions and Catalog'!$H$57+'Assumptions and Catalog'!$E$57+'Assumptions and Catalog'!$F$57,"Out of range")))))))),IF(L226&lt;='Assumptions and Catalog'!$C$60,L226*'Assumptions and Catalog'!$H$60+'Assumptions and Catalog'!$E$60+'Assumptions and Catalog'!$F$60,IF(L226&lt;='Assumptions and Catalog'!$C$61,L226*'Assumptions and Catalog'!$H$61+'Assumptions and Catalog'!$E$61+'Assumptions and Catalog'!$F$61,IF(L226&lt;='Assumptions and Catalog'!$C$62,L226*'Assumptions and Catalog'!$H$62+'Assumptions and Catalog'!$E$62+'Assumptions and Catalog'!$F$62,IF(L226&lt;='Assumptions and Catalog'!$C$63,L226*'Assumptions and Catalog'!$H$63+'Assumptions and Catalog'!$E$63+'Assumptions and Catalog'!$F$63,IF(L226&lt;='Assumptions and Catalog'!$C$64,L226*'Assumptions and Catalog'!$H$64+'Assumptions and Catalog'!$E$64+'Assumptions and Catalog'!$F$64,IF(L226&lt;='Assumptions and Catalog'!$C$65,L226*'Assumptions and Catalog'!$H$65+'Assumptions and Catalog'!$E$65+'Assumptions and Catalog'!$F$65,"Out of range")))))))))*(1+'Assumptions and Catalog'!$C$8)^(A226-1),0)</f>
        <v>4940.7112640088553</v>
      </c>
      <c r="O226" s="5">
        <f t="shared" si="18"/>
        <v>3338.2887359911447</v>
      </c>
      <c r="P226" s="5">
        <f>C$55*(1-J$14)*(1-'Assumptions and Catalog'!$C$23)^R226</f>
        <v>0</v>
      </c>
      <c r="Q226" s="5">
        <f>IF(ISNUMBER(Inputs!$L$5),(IF(Inputs!$L$9="Actual flat rate",((D226+E226)*C226-G226)*Inputs!$L$10,IF(Inputs!$C$9="Residential",IF(((D226+E226)*C226-G226)&lt;='Assumptions and Catalog'!$C$50,((D226+E226)*C226-G226)*'Assumptions and Catalog'!$H$50+'Assumptions and Catalog'!$E$50+'Assumptions and Catalog'!$F$50,IF(((D226+E226)*C226-G226)&lt;='Assumptions and Catalog'!$C$51,((D226+E226)*C226-G226)*'Assumptions and Catalog'!$H$51+'Assumptions and Catalog'!$E$51+'Assumptions and Catalog'!$F$51,IF(((D226+E226)*C226-G226)&lt;='Assumptions and Catalog'!$C$52,((D226+E226)*C226-G226)*'Assumptions and Catalog'!$H$52+'Assumptions and Catalog'!$E$52+'Assumptions and Catalog'!$F$52,IF(((D226+E226)*C226-G226)&lt;='Assumptions and Catalog'!$C$53,((D226+E226)*C226-G226)*'Assumptions and Catalog'!$H$53+'Assumptions and Catalog'!$E$53+'Assumptions and Catalog'!$F$53,IF(((D226+E226)*C226-G226)&lt;='Assumptions and Catalog'!$C$54,((D226+E226)*C226-G226)*'Assumptions and Catalog'!$H$54+'Assumptions and Catalog'!$E$54+'Assumptions and Catalog'!$F$54,IF(((D226+E226)*C226-G226)&lt;='Assumptions and Catalog'!$C$55,((D226+E226)*C226-G226)*'Assumptions and Catalog'!$H$55+'Assumptions and Catalog'!$E$55+'Assumptions and Catalog'!$F$55,IF(((D226+E226)*C226-G226)&lt;='Assumptions and Catalog'!$C$56,((D226+E226)*C226-G226)*'Assumptions and Catalog'!$H$56+'Assumptions and Catalog'!$E$56+'Assumptions and Catalog'!$F$56,IF(((D226+E226)*C226-G226)&lt;='Assumptions and Catalog'!$C$57,((D226+E226)*C226-G226)*'Assumptions and Catalog'!$H$57+'Assumptions and Catalog'!$E$57+'Assumptions and Catalog'!$F$57,"Out of range")))))))),IF(((D226+E226)*C226-G226)&lt;='Assumptions and Catalog'!$C$60,((D226+E226)*C226-G226)*'Assumptions and Catalog'!$H$60+'Assumptions and Catalog'!$E$60+'Assumptions and Catalog'!$F$60,IF(((D226+E226)*C226-G226)&lt;='Assumptions and Catalog'!$C$61,((D226+E226)*C226-G226)*'Assumptions and Catalog'!$H$61+'Assumptions and Catalog'!$E$61+'Assumptions and Catalog'!$F$61,IF(((D226+E226)*C226-G226)&lt;='Assumptions and Catalog'!$C$62,((D226+E226)*C226-G226)*'Assumptions and Catalog'!$H$62+'Assumptions and Catalog'!$E$62+'Assumptions and Catalog'!$F$62,IF(((D226+E226)*C226-G226)&lt;='Assumptions and Catalog'!$C$63,((D226+E226)*C226-G226)*'Assumptions and Catalog'!$H$63+'Assumptions and Catalog'!$E$63+'Assumptions and Catalog'!$F$63,IF(((D226+E226)*C226-G226)&lt;='Assumptions and Catalog'!$C$64,((D226+E226)*C226-G226)*'Assumptions and Catalog'!$H$64+'Assumptions and Catalog'!$E$64+'Assumptions and Catalog'!$F$64,IF(((D226+E226)*C226-G226)&lt;='Assumptions and Catalog'!$C$65,((D226+E226)*C226-G226)*'Assumptions and Catalog'!$H$65+'Assumptions and Catalog'!$E$65+'Assumptions and Catalog'!$F$65,"Out of range")))))))))*(1+'Assumptions and Catalog'!$C$8)^(A226-1),0)</f>
        <v>4940.7112640088553</v>
      </c>
      <c r="R226" s="5">
        <f>IF(AND('Assumptions and Catalog'!$C$19&gt;0,A226&gt;='Assumptions and Catalog'!$C$19),A226-'Assumptions and Catalog'!$C$19,A226-1)</f>
        <v>5</v>
      </c>
      <c r="S226" s="5">
        <f t="shared" si="19"/>
        <v>0</v>
      </c>
      <c r="T226" s="5"/>
      <c r="U226" s="5"/>
    </row>
    <row r="227" spans="1:21" ht="23.1" customHeight="1" outlineLevel="1" x14ac:dyDescent="0.2">
      <c r="A227" s="5">
        <v>6</v>
      </c>
      <c r="B227" s="5">
        <v>7</v>
      </c>
      <c r="C227" s="5">
        <f>DAY(DATE('Assumptions and Catalog'!$C$24+A227-1,B227+1,0))</f>
        <v>31</v>
      </c>
      <c r="D227" s="5">
        <f>IF(ISNUMBER(Inputs!$L$5),Inputs!$L$5*Inputs!$L$6,0)</f>
        <v>40.35</v>
      </c>
      <c r="E227" s="5">
        <f>IF(ISNUMBER(Inputs!$L$5),Inputs!$L$5-D227,0)</f>
        <v>40.35</v>
      </c>
      <c r="F227" s="5">
        <f>C$51*'Assumptions and Catalog'!$C$31*C227*(1-'Assumptions and Catalog'!$C$10)^(A227-1)</f>
        <v>1008.7446467965992</v>
      </c>
      <c r="G227" s="5">
        <f t="shared" si="14"/>
        <v>1008.7446467965992</v>
      </c>
      <c r="H227" s="5">
        <f>I227/('Assumptions and Catalog'!$C$11*'Assumptions and Catalog'!$C$12)</f>
        <v>0</v>
      </c>
      <c r="I227" s="5">
        <f>0</f>
        <v>0</v>
      </c>
      <c r="J227" s="5">
        <f t="shared" si="15"/>
        <v>0</v>
      </c>
      <c r="K227" s="5">
        <f t="shared" si="16"/>
        <v>0</v>
      </c>
      <c r="L227" s="5">
        <f t="shared" si="17"/>
        <v>1492.955353203401</v>
      </c>
      <c r="M227" s="5">
        <f>IF(ISNUMBER(Inputs!$L$5),(IF(Inputs!$L$9="Actual flat rate",((D227+E227)*C227)*Inputs!$L$10,IF(Inputs!$C$9="Residential",IF(((D227+E227)*C227)&lt;='Assumptions and Catalog'!$C$50,((D227+E227)*C227)*'Assumptions and Catalog'!$H$50+'Assumptions and Catalog'!$E$50+'Assumptions and Catalog'!$F$50,IF(((D227+E227)*C227)&lt;='Assumptions and Catalog'!$C$51,((D227+E227)*C227)*'Assumptions and Catalog'!$H$51+'Assumptions and Catalog'!$E$51+'Assumptions and Catalog'!$F$51,IF(((D227+E227)*C227)&lt;='Assumptions and Catalog'!$C$52,((D227+E227)*C227)*'Assumptions and Catalog'!$H$52+'Assumptions and Catalog'!$E$52+'Assumptions and Catalog'!$F$52,IF(((D227+E227)*C227)&lt;='Assumptions and Catalog'!$C$53,((D227+E227)*C227)*'Assumptions and Catalog'!$H$53+'Assumptions and Catalog'!$E$53+'Assumptions and Catalog'!$F$53,IF(((D227+E227)*C227)&lt;='Assumptions and Catalog'!$C$54,((D227+E227)*C227)*'Assumptions and Catalog'!$H$54+'Assumptions and Catalog'!$E$54+'Assumptions and Catalog'!$F$54,IF(((D227+E227)*C227)&lt;='Assumptions and Catalog'!$C$55,((D227+E227)*C227)*'Assumptions and Catalog'!$H$55+'Assumptions and Catalog'!$E$55+'Assumptions and Catalog'!$F$55,IF(((D227+E227)*C227)&lt;='Assumptions and Catalog'!$C$56,((D227+E227)*C227)*'Assumptions and Catalog'!$H$56+'Assumptions and Catalog'!$E$56+'Assumptions and Catalog'!$F$56,IF(((D227+E227)*C227)&lt;='Assumptions and Catalog'!$C$57,((D227+E227)*C227)*'Assumptions and Catalog'!$H$57+'Assumptions and Catalog'!$E$57+'Assumptions and Catalog'!$F$57,"Out of range")))))))),IF(((D227+E227)*C227)&lt;='Assumptions and Catalog'!$C$60,((D227+E227)*C227)*'Assumptions and Catalog'!$H$60+'Assumptions and Catalog'!$E$60+'Assumptions and Catalog'!$F$60,IF(((D227+E227)*C227)&lt;='Assumptions and Catalog'!$C$61,((D227+E227)*C227)*'Assumptions and Catalog'!$H$61+'Assumptions and Catalog'!$E$61+'Assumptions and Catalog'!$F$61,IF(((D227+E227)*C227)&lt;='Assumptions and Catalog'!$C$62,((D227+E227)*C227)*'Assumptions and Catalog'!$H$62+'Assumptions and Catalog'!$E$62+'Assumptions and Catalog'!$F$62,IF(((D227+E227)*C227)&lt;='Assumptions and Catalog'!$C$63,((D227+E227)*C227)*'Assumptions and Catalog'!$H$63+'Assumptions and Catalog'!$E$63+'Assumptions and Catalog'!$F$63,IF(((D227+E227)*C227)&lt;='Assumptions and Catalog'!$C$64,((D227+E227)*C227)*'Assumptions and Catalog'!$H$64+'Assumptions and Catalog'!$E$64+'Assumptions and Catalog'!$F$64,IF(((D227+E227)*C227)&lt;='Assumptions and Catalog'!$C$65,((D227+E227)*C227)*'Assumptions and Catalog'!$H$65+'Assumptions and Catalog'!$E$65+'Assumptions and Catalog'!$F$65,"Out of range")))))))))*(1+'Assumptions and Catalog'!$C$8)^(A227-1),0)</f>
        <v>8554.9666666666672</v>
      </c>
      <c r="N227" s="5">
        <f>IF(ISNUMBER(Inputs!$L$5),(IF(Inputs!$L$9="Actual flat rate",L227*Inputs!$L$10,IF(Inputs!$C$9="Residential",IF(L227&lt;='Assumptions and Catalog'!$C$50,L227*'Assumptions and Catalog'!$H$50+'Assumptions and Catalog'!$E$50+'Assumptions and Catalog'!$F$50,IF(L227&lt;='Assumptions and Catalog'!$C$51,L227*'Assumptions and Catalog'!$H$51+'Assumptions and Catalog'!$E$51+'Assumptions and Catalog'!$F$51,IF(L227&lt;='Assumptions and Catalog'!$C$52,L227*'Assumptions and Catalog'!$H$52+'Assumptions and Catalog'!$E$52+'Assumptions and Catalog'!$F$52,IF(L227&lt;='Assumptions and Catalog'!$C$53,L227*'Assumptions and Catalog'!$H$53+'Assumptions and Catalog'!$E$53+'Assumptions and Catalog'!$F$53,IF(L227&lt;='Assumptions and Catalog'!$C$54,L227*'Assumptions and Catalog'!$H$54+'Assumptions and Catalog'!$E$54+'Assumptions and Catalog'!$F$54,IF(L227&lt;='Assumptions and Catalog'!$C$55,L227*'Assumptions and Catalog'!$H$55+'Assumptions and Catalog'!$E$55+'Assumptions and Catalog'!$F$55,IF(L227&lt;='Assumptions and Catalog'!$C$56,L227*'Assumptions and Catalog'!$H$56+'Assumptions and Catalog'!$E$56+'Assumptions and Catalog'!$F$56,IF(L227&lt;='Assumptions and Catalog'!$C$57,L227*'Assumptions and Catalog'!$H$57+'Assumptions and Catalog'!$E$57+'Assumptions and Catalog'!$F$57,"Out of range")))))))),IF(L227&lt;='Assumptions and Catalog'!$C$60,L227*'Assumptions and Catalog'!$H$60+'Assumptions and Catalog'!$E$60+'Assumptions and Catalog'!$F$60,IF(L227&lt;='Assumptions and Catalog'!$C$61,L227*'Assumptions and Catalog'!$H$61+'Assumptions and Catalog'!$E$61+'Assumptions and Catalog'!$F$61,IF(L227&lt;='Assumptions and Catalog'!$C$62,L227*'Assumptions and Catalog'!$H$62+'Assumptions and Catalog'!$E$62+'Assumptions and Catalog'!$F$62,IF(L227&lt;='Assumptions and Catalog'!$C$63,L227*'Assumptions and Catalog'!$H$63+'Assumptions and Catalog'!$E$63+'Assumptions and Catalog'!$F$63,IF(L227&lt;='Assumptions and Catalog'!$C$64,L227*'Assumptions and Catalog'!$H$64+'Assumptions and Catalog'!$E$64+'Assumptions and Catalog'!$F$64,IF(L227&lt;='Assumptions and Catalog'!$C$65,L227*'Assumptions and Catalog'!$H$65+'Assumptions and Catalog'!$E$65+'Assumptions and Catalog'!$F$65,"Out of range")))))))))*(1+'Assumptions and Catalog'!$C$8)^(A227-1),0)</f>
        <v>5105.4016394758182</v>
      </c>
      <c r="O227" s="5">
        <f t="shared" si="18"/>
        <v>3449.5650271908489</v>
      </c>
      <c r="P227" s="5">
        <f>C$55*(1-J$14)*(1-'Assumptions and Catalog'!$C$23)^R227</f>
        <v>0</v>
      </c>
      <c r="Q227" s="5">
        <f>IF(ISNUMBER(Inputs!$L$5),(IF(Inputs!$L$9="Actual flat rate",((D227+E227)*C227-G227)*Inputs!$L$10,IF(Inputs!$C$9="Residential",IF(((D227+E227)*C227-G227)&lt;='Assumptions and Catalog'!$C$50,((D227+E227)*C227-G227)*'Assumptions and Catalog'!$H$50+'Assumptions and Catalog'!$E$50+'Assumptions and Catalog'!$F$50,IF(((D227+E227)*C227-G227)&lt;='Assumptions and Catalog'!$C$51,((D227+E227)*C227-G227)*'Assumptions and Catalog'!$H$51+'Assumptions and Catalog'!$E$51+'Assumptions and Catalog'!$F$51,IF(((D227+E227)*C227-G227)&lt;='Assumptions and Catalog'!$C$52,((D227+E227)*C227-G227)*'Assumptions and Catalog'!$H$52+'Assumptions and Catalog'!$E$52+'Assumptions and Catalog'!$F$52,IF(((D227+E227)*C227-G227)&lt;='Assumptions and Catalog'!$C$53,((D227+E227)*C227-G227)*'Assumptions and Catalog'!$H$53+'Assumptions and Catalog'!$E$53+'Assumptions and Catalog'!$F$53,IF(((D227+E227)*C227-G227)&lt;='Assumptions and Catalog'!$C$54,((D227+E227)*C227-G227)*'Assumptions and Catalog'!$H$54+'Assumptions and Catalog'!$E$54+'Assumptions and Catalog'!$F$54,IF(((D227+E227)*C227-G227)&lt;='Assumptions and Catalog'!$C$55,((D227+E227)*C227-G227)*'Assumptions and Catalog'!$H$55+'Assumptions and Catalog'!$E$55+'Assumptions and Catalog'!$F$55,IF(((D227+E227)*C227-G227)&lt;='Assumptions and Catalog'!$C$56,((D227+E227)*C227-G227)*'Assumptions and Catalog'!$H$56+'Assumptions and Catalog'!$E$56+'Assumptions and Catalog'!$F$56,IF(((D227+E227)*C227-G227)&lt;='Assumptions and Catalog'!$C$57,((D227+E227)*C227-G227)*'Assumptions and Catalog'!$H$57+'Assumptions and Catalog'!$E$57+'Assumptions and Catalog'!$F$57,"Out of range")))))))),IF(((D227+E227)*C227-G227)&lt;='Assumptions and Catalog'!$C$60,((D227+E227)*C227-G227)*'Assumptions and Catalog'!$H$60+'Assumptions and Catalog'!$E$60+'Assumptions and Catalog'!$F$60,IF(((D227+E227)*C227-G227)&lt;='Assumptions and Catalog'!$C$61,((D227+E227)*C227-G227)*'Assumptions and Catalog'!$H$61+'Assumptions and Catalog'!$E$61+'Assumptions and Catalog'!$F$61,IF(((D227+E227)*C227-G227)&lt;='Assumptions and Catalog'!$C$62,((D227+E227)*C227-G227)*'Assumptions and Catalog'!$H$62+'Assumptions and Catalog'!$E$62+'Assumptions and Catalog'!$F$62,IF(((D227+E227)*C227-G227)&lt;='Assumptions and Catalog'!$C$63,((D227+E227)*C227-G227)*'Assumptions and Catalog'!$H$63+'Assumptions and Catalog'!$E$63+'Assumptions and Catalog'!$F$63,IF(((D227+E227)*C227-G227)&lt;='Assumptions and Catalog'!$C$64,((D227+E227)*C227-G227)*'Assumptions and Catalog'!$H$64+'Assumptions and Catalog'!$E$64+'Assumptions and Catalog'!$F$64,IF(((D227+E227)*C227-G227)&lt;='Assumptions and Catalog'!$C$65,((D227+E227)*C227-G227)*'Assumptions and Catalog'!$H$65+'Assumptions and Catalog'!$E$65+'Assumptions and Catalog'!$F$65,"Out of range")))))))))*(1+'Assumptions and Catalog'!$C$8)^(A227-1),0)</f>
        <v>5105.4016394758182</v>
      </c>
      <c r="R227" s="5">
        <f>IF(AND('Assumptions and Catalog'!$C$19&gt;0,A227&gt;='Assumptions and Catalog'!$C$19),A227-'Assumptions and Catalog'!$C$19,A227-1)</f>
        <v>5</v>
      </c>
      <c r="S227" s="5">
        <f t="shared" si="19"/>
        <v>0</v>
      </c>
      <c r="T227" s="5"/>
      <c r="U227" s="5"/>
    </row>
    <row r="228" spans="1:21" ht="23.1" customHeight="1" outlineLevel="1" x14ac:dyDescent="0.2">
      <c r="A228" s="5">
        <v>6</v>
      </c>
      <c r="B228" s="5">
        <v>8</v>
      </c>
      <c r="C228" s="5">
        <f>DAY(DATE('Assumptions and Catalog'!$C$24+A228-1,B228+1,0))</f>
        <v>31</v>
      </c>
      <c r="D228" s="5">
        <f>IF(ISNUMBER(Inputs!$L$5),Inputs!$L$5*Inputs!$L$6,0)</f>
        <v>40.35</v>
      </c>
      <c r="E228" s="5">
        <f>IF(ISNUMBER(Inputs!$L$5),Inputs!$L$5-D228,0)</f>
        <v>40.35</v>
      </c>
      <c r="F228" s="5">
        <f>C$51*'Assumptions and Catalog'!$C$31*C228*(1-'Assumptions and Catalog'!$C$10)^(A228-1)</f>
        <v>1008.7446467965992</v>
      </c>
      <c r="G228" s="5">
        <f t="shared" si="14"/>
        <v>1008.7446467965992</v>
      </c>
      <c r="H228" s="5">
        <f>I228/('Assumptions and Catalog'!$C$11*'Assumptions and Catalog'!$C$12)</f>
        <v>0</v>
      </c>
      <c r="I228" s="5">
        <f>0</f>
        <v>0</v>
      </c>
      <c r="J228" s="5">
        <f t="shared" si="15"/>
        <v>0</v>
      </c>
      <c r="K228" s="5">
        <f t="shared" si="16"/>
        <v>0</v>
      </c>
      <c r="L228" s="5">
        <f t="shared" si="17"/>
        <v>1492.955353203401</v>
      </c>
      <c r="M228" s="5">
        <f>IF(ISNUMBER(Inputs!$L$5),(IF(Inputs!$L$9="Actual flat rate",((D228+E228)*C228)*Inputs!$L$10,IF(Inputs!$C$9="Residential",IF(((D228+E228)*C228)&lt;='Assumptions and Catalog'!$C$50,((D228+E228)*C228)*'Assumptions and Catalog'!$H$50+'Assumptions and Catalog'!$E$50+'Assumptions and Catalog'!$F$50,IF(((D228+E228)*C228)&lt;='Assumptions and Catalog'!$C$51,((D228+E228)*C228)*'Assumptions and Catalog'!$H$51+'Assumptions and Catalog'!$E$51+'Assumptions and Catalog'!$F$51,IF(((D228+E228)*C228)&lt;='Assumptions and Catalog'!$C$52,((D228+E228)*C228)*'Assumptions and Catalog'!$H$52+'Assumptions and Catalog'!$E$52+'Assumptions and Catalog'!$F$52,IF(((D228+E228)*C228)&lt;='Assumptions and Catalog'!$C$53,((D228+E228)*C228)*'Assumptions and Catalog'!$H$53+'Assumptions and Catalog'!$E$53+'Assumptions and Catalog'!$F$53,IF(((D228+E228)*C228)&lt;='Assumptions and Catalog'!$C$54,((D228+E228)*C228)*'Assumptions and Catalog'!$H$54+'Assumptions and Catalog'!$E$54+'Assumptions and Catalog'!$F$54,IF(((D228+E228)*C228)&lt;='Assumptions and Catalog'!$C$55,((D228+E228)*C228)*'Assumptions and Catalog'!$H$55+'Assumptions and Catalog'!$E$55+'Assumptions and Catalog'!$F$55,IF(((D228+E228)*C228)&lt;='Assumptions and Catalog'!$C$56,((D228+E228)*C228)*'Assumptions and Catalog'!$H$56+'Assumptions and Catalog'!$E$56+'Assumptions and Catalog'!$F$56,IF(((D228+E228)*C228)&lt;='Assumptions and Catalog'!$C$57,((D228+E228)*C228)*'Assumptions and Catalog'!$H$57+'Assumptions and Catalog'!$E$57+'Assumptions and Catalog'!$F$57,"Out of range")))))))),IF(((D228+E228)*C228)&lt;='Assumptions and Catalog'!$C$60,((D228+E228)*C228)*'Assumptions and Catalog'!$H$60+'Assumptions and Catalog'!$E$60+'Assumptions and Catalog'!$F$60,IF(((D228+E228)*C228)&lt;='Assumptions and Catalog'!$C$61,((D228+E228)*C228)*'Assumptions and Catalog'!$H$61+'Assumptions and Catalog'!$E$61+'Assumptions and Catalog'!$F$61,IF(((D228+E228)*C228)&lt;='Assumptions and Catalog'!$C$62,((D228+E228)*C228)*'Assumptions and Catalog'!$H$62+'Assumptions and Catalog'!$E$62+'Assumptions and Catalog'!$F$62,IF(((D228+E228)*C228)&lt;='Assumptions and Catalog'!$C$63,((D228+E228)*C228)*'Assumptions and Catalog'!$H$63+'Assumptions and Catalog'!$E$63+'Assumptions and Catalog'!$F$63,IF(((D228+E228)*C228)&lt;='Assumptions and Catalog'!$C$64,((D228+E228)*C228)*'Assumptions and Catalog'!$H$64+'Assumptions and Catalog'!$E$64+'Assumptions and Catalog'!$F$64,IF(((D228+E228)*C228)&lt;='Assumptions and Catalog'!$C$65,((D228+E228)*C228)*'Assumptions and Catalog'!$H$65+'Assumptions and Catalog'!$E$65+'Assumptions and Catalog'!$F$65,"Out of range")))))))))*(1+'Assumptions and Catalog'!$C$8)^(A228-1),0)</f>
        <v>8554.9666666666672</v>
      </c>
      <c r="N228" s="5">
        <f>IF(ISNUMBER(Inputs!$L$5),(IF(Inputs!$L$9="Actual flat rate",L228*Inputs!$L$10,IF(Inputs!$C$9="Residential",IF(L228&lt;='Assumptions and Catalog'!$C$50,L228*'Assumptions and Catalog'!$H$50+'Assumptions and Catalog'!$E$50+'Assumptions and Catalog'!$F$50,IF(L228&lt;='Assumptions and Catalog'!$C$51,L228*'Assumptions and Catalog'!$H$51+'Assumptions and Catalog'!$E$51+'Assumptions and Catalog'!$F$51,IF(L228&lt;='Assumptions and Catalog'!$C$52,L228*'Assumptions and Catalog'!$H$52+'Assumptions and Catalog'!$E$52+'Assumptions and Catalog'!$F$52,IF(L228&lt;='Assumptions and Catalog'!$C$53,L228*'Assumptions and Catalog'!$H$53+'Assumptions and Catalog'!$E$53+'Assumptions and Catalog'!$F$53,IF(L228&lt;='Assumptions and Catalog'!$C$54,L228*'Assumptions and Catalog'!$H$54+'Assumptions and Catalog'!$E$54+'Assumptions and Catalog'!$F$54,IF(L228&lt;='Assumptions and Catalog'!$C$55,L228*'Assumptions and Catalog'!$H$55+'Assumptions and Catalog'!$E$55+'Assumptions and Catalog'!$F$55,IF(L228&lt;='Assumptions and Catalog'!$C$56,L228*'Assumptions and Catalog'!$H$56+'Assumptions and Catalog'!$E$56+'Assumptions and Catalog'!$F$56,IF(L228&lt;='Assumptions and Catalog'!$C$57,L228*'Assumptions and Catalog'!$H$57+'Assumptions and Catalog'!$E$57+'Assumptions and Catalog'!$F$57,"Out of range")))))))),IF(L228&lt;='Assumptions and Catalog'!$C$60,L228*'Assumptions and Catalog'!$H$60+'Assumptions and Catalog'!$E$60+'Assumptions and Catalog'!$F$60,IF(L228&lt;='Assumptions and Catalog'!$C$61,L228*'Assumptions and Catalog'!$H$61+'Assumptions and Catalog'!$E$61+'Assumptions and Catalog'!$F$61,IF(L228&lt;='Assumptions and Catalog'!$C$62,L228*'Assumptions and Catalog'!$H$62+'Assumptions and Catalog'!$E$62+'Assumptions and Catalog'!$F$62,IF(L228&lt;='Assumptions and Catalog'!$C$63,L228*'Assumptions and Catalog'!$H$63+'Assumptions and Catalog'!$E$63+'Assumptions and Catalog'!$F$63,IF(L228&lt;='Assumptions and Catalog'!$C$64,L228*'Assumptions and Catalog'!$H$64+'Assumptions and Catalog'!$E$64+'Assumptions and Catalog'!$F$64,IF(L228&lt;='Assumptions and Catalog'!$C$65,L228*'Assumptions and Catalog'!$H$65+'Assumptions and Catalog'!$E$65+'Assumptions and Catalog'!$F$65,"Out of range")))))))))*(1+'Assumptions and Catalog'!$C$8)^(A228-1),0)</f>
        <v>5105.4016394758182</v>
      </c>
      <c r="O228" s="5">
        <f t="shared" si="18"/>
        <v>3449.5650271908489</v>
      </c>
      <c r="P228" s="5">
        <f>C$55*(1-J$14)*(1-'Assumptions and Catalog'!$C$23)^R228</f>
        <v>0</v>
      </c>
      <c r="Q228" s="5">
        <f>IF(ISNUMBER(Inputs!$L$5),(IF(Inputs!$L$9="Actual flat rate",((D228+E228)*C228-G228)*Inputs!$L$10,IF(Inputs!$C$9="Residential",IF(((D228+E228)*C228-G228)&lt;='Assumptions and Catalog'!$C$50,((D228+E228)*C228-G228)*'Assumptions and Catalog'!$H$50+'Assumptions and Catalog'!$E$50+'Assumptions and Catalog'!$F$50,IF(((D228+E228)*C228-G228)&lt;='Assumptions and Catalog'!$C$51,((D228+E228)*C228-G228)*'Assumptions and Catalog'!$H$51+'Assumptions and Catalog'!$E$51+'Assumptions and Catalog'!$F$51,IF(((D228+E228)*C228-G228)&lt;='Assumptions and Catalog'!$C$52,((D228+E228)*C228-G228)*'Assumptions and Catalog'!$H$52+'Assumptions and Catalog'!$E$52+'Assumptions and Catalog'!$F$52,IF(((D228+E228)*C228-G228)&lt;='Assumptions and Catalog'!$C$53,((D228+E228)*C228-G228)*'Assumptions and Catalog'!$H$53+'Assumptions and Catalog'!$E$53+'Assumptions and Catalog'!$F$53,IF(((D228+E228)*C228-G228)&lt;='Assumptions and Catalog'!$C$54,((D228+E228)*C228-G228)*'Assumptions and Catalog'!$H$54+'Assumptions and Catalog'!$E$54+'Assumptions and Catalog'!$F$54,IF(((D228+E228)*C228-G228)&lt;='Assumptions and Catalog'!$C$55,((D228+E228)*C228-G228)*'Assumptions and Catalog'!$H$55+'Assumptions and Catalog'!$E$55+'Assumptions and Catalog'!$F$55,IF(((D228+E228)*C228-G228)&lt;='Assumptions and Catalog'!$C$56,((D228+E228)*C228-G228)*'Assumptions and Catalog'!$H$56+'Assumptions and Catalog'!$E$56+'Assumptions and Catalog'!$F$56,IF(((D228+E228)*C228-G228)&lt;='Assumptions and Catalog'!$C$57,((D228+E228)*C228-G228)*'Assumptions and Catalog'!$H$57+'Assumptions and Catalog'!$E$57+'Assumptions and Catalog'!$F$57,"Out of range")))))))),IF(((D228+E228)*C228-G228)&lt;='Assumptions and Catalog'!$C$60,((D228+E228)*C228-G228)*'Assumptions and Catalog'!$H$60+'Assumptions and Catalog'!$E$60+'Assumptions and Catalog'!$F$60,IF(((D228+E228)*C228-G228)&lt;='Assumptions and Catalog'!$C$61,((D228+E228)*C228-G228)*'Assumptions and Catalog'!$H$61+'Assumptions and Catalog'!$E$61+'Assumptions and Catalog'!$F$61,IF(((D228+E228)*C228-G228)&lt;='Assumptions and Catalog'!$C$62,((D228+E228)*C228-G228)*'Assumptions and Catalog'!$H$62+'Assumptions and Catalog'!$E$62+'Assumptions and Catalog'!$F$62,IF(((D228+E228)*C228-G228)&lt;='Assumptions and Catalog'!$C$63,((D228+E228)*C228-G228)*'Assumptions and Catalog'!$H$63+'Assumptions and Catalog'!$E$63+'Assumptions and Catalog'!$F$63,IF(((D228+E228)*C228-G228)&lt;='Assumptions and Catalog'!$C$64,((D228+E228)*C228-G228)*'Assumptions and Catalog'!$H$64+'Assumptions and Catalog'!$E$64+'Assumptions and Catalog'!$F$64,IF(((D228+E228)*C228-G228)&lt;='Assumptions and Catalog'!$C$65,((D228+E228)*C228-G228)*'Assumptions and Catalog'!$H$65+'Assumptions and Catalog'!$E$65+'Assumptions and Catalog'!$F$65,"Out of range")))))))))*(1+'Assumptions and Catalog'!$C$8)^(A228-1),0)</f>
        <v>5105.4016394758182</v>
      </c>
      <c r="R228" s="5">
        <f>IF(AND('Assumptions and Catalog'!$C$19&gt;0,A228&gt;='Assumptions and Catalog'!$C$19),A228-'Assumptions and Catalog'!$C$19,A228-1)</f>
        <v>5</v>
      </c>
      <c r="S228" s="5">
        <f t="shared" si="19"/>
        <v>0</v>
      </c>
      <c r="T228" s="5"/>
      <c r="U228" s="5"/>
    </row>
    <row r="229" spans="1:21" ht="23.1" customHeight="1" outlineLevel="1" x14ac:dyDescent="0.2">
      <c r="A229" s="5">
        <v>6</v>
      </c>
      <c r="B229" s="5">
        <v>9</v>
      </c>
      <c r="C229" s="5">
        <f>DAY(DATE('Assumptions and Catalog'!$C$24+A229-1,B229+1,0))</f>
        <v>30</v>
      </c>
      <c r="D229" s="5">
        <f>IF(ISNUMBER(Inputs!$L$5),Inputs!$L$5*Inputs!$L$6,0)</f>
        <v>40.35</v>
      </c>
      <c r="E229" s="5">
        <f>IF(ISNUMBER(Inputs!$L$5),Inputs!$L$5-D229,0)</f>
        <v>40.35</v>
      </c>
      <c r="F229" s="5">
        <f>C$51*'Assumptions and Catalog'!$C$31*C229*(1-'Assumptions and Catalog'!$C$10)^(A229-1)</f>
        <v>976.20449689993472</v>
      </c>
      <c r="G229" s="5">
        <f t="shared" si="14"/>
        <v>976.20449689993472</v>
      </c>
      <c r="H229" s="5">
        <f>I229/('Assumptions and Catalog'!$C$11*'Assumptions and Catalog'!$C$12)</f>
        <v>0</v>
      </c>
      <c r="I229" s="5">
        <f>0</f>
        <v>0</v>
      </c>
      <c r="J229" s="5">
        <f t="shared" si="15"/>
        <v>0</v>
      </c>
      <c r="K229" s="5">
        <f t="shared" si="16"/>
        <v>0</v>
      </c>
      <c r="L229" s="5">
        <f t="shared" si="17"/>
        <v>1444.7955031000652</v>
      </c>
      <c r="M229" s="5">
        <f>IF(ISNUMBER(Inputs!$L$5),(IF(Inputs!$L$9="Actual flat rate",((D229+E229)*C229)*Inputs!$L$10,IF(Inputs!$C$9="Residential",IF(((D229+E229)*C229)&lt;='Assumptions and Catalog'!$C$50,((D229+E229)*C229)*'Assumptions and Catalog'!$H$50+'Assumptions and Catalog'!$E$50+'Assumptions and Catalog'!$F$50,IF(((D229+E229)*C229)&lt;='Assumptions and Catalog'!$C$51,((D229+E229)*C229)*'Assumptions and Catalog'!$H$51+'Assumptions and Catalog'!$E$51+'Assumptions and Catalog'!$F$51,IF(((D229+E229)*C229)&lt;='Assumptions and Catalog'!$C$52,((D229+E229)*C229)*'Assumptions and Catalog'!$H$52+'Assumptions and Catalog'!$E$52+'Assumptions and Catalog'!$F$52,IF(((D229+E229)*C229)&lt;='Assumptions and Catalog'!$C$53,((D229+E229)*C229)*'Assumptions and Catalog'!$H$53+'Assumptions and Catalog'!$E$53+'Assumptions and Catalog'!$F$53,IF(((D229+E229)*C229)&lt;='Assumptions and Catalog'!$C$54,((D229+E229)*C229)*'Assumptions and Catalog'!$H$54+'Assumptions and Catalog'!$E$54+'Assumptions and Catalog'!$F$54,IF(((D229+E229)*C229)&lt;='Assumptions and Catalog'!$C$55,((D229+E229)*C229)*'Assumptions and Catalog'!$H$55+'Assumptions and Catalog'!$E$55+'Assumptions and Catalog'!$F$55,IF(((D229+E229)*C229)&lt;='Assumptions and Catalog'!$C$56,((D229+E229)*C229)*'Assumptions and Catalog'!$H$56+'Assumptions and Catalog'!$E$56+'Assumptions and Catalog'!$F$56,IF(((D229+E229)*C229)&lt;='Assumptions and Catalog'!$C$57,((D229+E229)*C229)*'Assumptions and Catalog'!$H$57+'Assumptions and Catalog'!$E$57+'Assumptions and Catalog'!$F$57,"Out of range")))))))),IF(((D229+E229)*C229)&lt;='Assumptions and Catalog'!$C$60,((D229+E229)*C229)*'Assumptions and Catalog'!$H$60+'Assumptions and Catalog'!$E$60+'Assumptions and Catalog'!$F$60,IF(((D229+E229)*C229)&lt;='Assumptions and Catalog'!$C$61,((D229+E229)*C229)*'Assumptions and Catalog'!$H$61+'Assumptions and Catalog'!$E$61+'Assumptions and Catalog'!$F$61,IF(((D229+E229)*C229)&lt;='Assumptions and Catalog'!$C$62,((D229+E229)*C229)*'Assumptions and Catalog'!$H$62+'Assumptions and Catalog'!$E$62+'Assumptions and Catalog'!$F$62,IF(((D229+E229)*C229)&lt;='Assumptions and Catalog'!$C$63,((D229+E229)*C229)*'Assumptions and Catalog'!$H$63+'Assumptions and Catalog'!$E$63+'Assumptions and Catalog'!$F$63,IF(((D229+E229)*C229)&lt;='Assumptions and Catalog'!$C$64,((D229+E229)*C229)*'Assumptions and Catalog'!$H$64+'Assumptions and Catalog'!$E$64+'Assumptions and Catalog'!$F$64,IF(((D229+E229)*C229)&lt;='Assumptions and Catalog'!$C$65,((D229+E229)*C229)*'Assumptions and Catalog'!$H$65+'Assumptions and Catalog'!$E$65+'Assumptions and Catalog'!$F$65,"Out of range")))))))))*(1+'Assumptions and Catalog'!$C$8)^(A229-1),0)</f>
        <v>8279</v>
      </c>
      <c r="N229" s="5">
        <f>IF(ISNUMBER(Inputs!$L$5),(IF(Inputs!$L$9="Actual flat rate",L229*Inputs!$L$10,IF(Inputs!$C$9="Residential",IF(L229&lt;='Assumptions and Catalog'!$C$50,L229*'Assumptions and Catalog'!$H$50+'Assumptions and Catalog'!$E$50+'Assumptions and Catalog'!$F$50,IF(L229&lt;='Assumptions and Catalog'!$C$51,L229*'Assumptions and Catalog'!$H$51+'Assumptions and Catalog'!$E$51+'Assumptions and Catalog'!$F$51,IF(L229&lt;='Assumptions and Catalog'!$C$52,L229*'Assumptions and Catalog'!$H$52+'Assumptions and Catalog'!$E$52+'Assumptions and Catalog'!$F$52,IF(L229&lt;='Assumptions and Catalog'!$C$53,L229*'Assumptions and Catalog'!$H$53+'Assumptions and Catalog'!$E$53+'Assumptions and Catalog'!$F$53,IF(L229&lt;='Assumptions and Catalog'!$C$54,L229*'Assumptions and Catalog'!$H$54+'Assumptions and Catalog'!$E$54+'Assumptions and Catalog'!$F$54,IF(L229&lt;='Assumptions and Catalog'!$C$55,L229*'Assumptions and Catalog'!$H$55+'Assumptions and Catalog'!$E$55+'Assumptions and Catalog'!$F$55,IF(L229&lt;='Assumptions and Catalog'!$C$56,L229*'Assumptions and Catalog'!$H$56+'Assumptions and Catalog'!$E$56+'Assumptions and Catalog'!$F$56,IF(L229&lt;='Assumptions and Catalog'!$C$57,L229*'Assumptions and Catalog'!$H$57+'Assumptions and Catalog'!$E$57+'Assumptions and Catalog'!$F$57,"Out of range")))))))),IF(L229&lt;='Assumptions and Catalog'!$C$60,L229*'Assumptions and Catalog'!$H$60+'Assumptions and Catalog'!$E$60+'Assumptions and Catalog'!$F$60,IF(L229&lt;='Assumptions and Catalog'!$C$61,L229*'Assumptions and Catalog'!$H$61+'Assumptions and Catalog'!$E$61+'Assumptions and Catalog'!$F$61,IF(L229&lt;='Assumptions and Catalog'!$C$62,L229*'Assumptions and Catalog'!$H$62+'Assumptions and Catalog'!$E$62+'Assumptions and Catalog'!$F$62,IF(L229&lt;='Assumptions and Catalog'!$C$63,L229*'Assumptions and Catalog'!$H$63+'Assumptions and Catalog'!$E$63+'Assumptions and Catalog'!$F$63,IF(L229&lt;='Assumptions and Catalog'!$C$64,L229*'Assumptions and Catalog'!$H$64+'Assumptions and Catalog'!$E$64+'Assumptions and Catalog'!$F$64,IF(L229&lt;='Assumptions and Catalog'!$C$65,L229*'Assumptions and Catalog'!$H$65+'Assumptions and Catalog'!$E$65+'Assumptions and Catalog'!$F$65,"Out of range")))))))))*(1+'Assumptions and Catalog'!$C$8)^(A229-1),0)</f>
        <v>4940.7112640088553</v>
      </c>
      <c r="O229" s="5">
        <f t="shared" si="18"/>
        <v>3338.2887359911447</v>
      </c>
      <c r="P229" s="5">
        <f>C$55*(1-J$14)*(1-'Assumptions and Catalog'!$C$23)^R229</f>
        <v>0</v>
      </c>
      <c r="Q229" s="5">
        <f>IF(ISNUMBER(Inputs!$L$5),(IF(Inputs!$L$9="Actual flat rate",((D229+E229)*C229-G229)*Inputs!$L$10,IF(Inputs!$C$9="Residential",IF(((D229+E229)*C229-G229)&lt;='Assumptions and Catalog'!$C$50,((D229+E229)*C229-G229)*'Assumptions and Catalog'!$H$50+'Assumptions and Catalog'!$E$50+'Assumptions and Catalog'!$F$50,IF(((D229+E229)*C229-G229)&lt;='Assumptions and Catalog'!$C$51,((D229+E229)*C229-G229)*'Assumptions and Catalog'!$H$51+'Assumptions and Catalog'!$E$51+'Assumptions and Catalog'!$F$51,IF(((D229+E229)*C229-G229)&lt;='Assumptions and Catalog'!$C$52,((D229+E229)*C229-G229)*'Assumptions and Catalog'!$H$52+'Assumptions and Catalog'!$E$52+'Assumptions and Catalog'!$F$52,IF(((D229+E229)*C229-G229)&lt;='Assumptions and Catalog'!$C$53,((D229+E229)*C229-G229)*'Assumptions and Catalog'!$H$53+'Assumptions and Catalog'!$E$53+'Assumptions and Catalog'!$F$53,IF(((D229+E229)*C229-G229)&lt;='Assumptions and Catalog'!$C$54,((D229+E229)*C229-G229)*'Assumptions and Catalog'!$H$54+'Assumptions and Catalog'!$E$54+'Assumptions and Catalog'!$F$54,IF(((D229+E229)*C229-G229)&lt;='Assumptions and Catalog'!$C$55,((D229+E229)*C229-G229)*'Assumptions and Catalog'!$H$55+'Assumptions and Catalog'!$E$55+'Assumptions and Catalog'!$F$55,IF(((D229+E229)*C229-G229)&lt;='Assumptions and Catalog'!$C$56,((D229+E229)*C229-G229)*'Assumptions and Catalog'!$H$56+'Assumptions and Catalog'!$E$56+'Assumptions and Catalog'!$F$56,IF(((D229+E229)*C229-G229)&lt;='Assumptions and Catalog'!$C$57,((D229+E229)*C229-G229)*'Assumptions and Catalog'!$H$57+'Assumptions and Catalog'!$E$57+'Assumptions and Catalog'!$F$57,"Out of range")))))))),IF(((D229+E229)*C229-G229)&lt;='Assumptions and Catalog'!$C$60,((D229+E229)*C229-G229)*'Assumptions and Catalog'!$H$60+'Assumptions and Catalog'!$E$60+'Assumptions and Catalog'!$F$60,IF(((D229+E229)*C229-G229)&lt;='Assumptions and Catalog'!$C$61,((D229+E229)*C229-G229)*'Assumptions and Catalog'!$H$61+'Assumptions and Catalog'!$E$61+'Assumptions and Catalog'!$F$61,IF(((D229+E229)*C229-G229)&lt;='Assumptions and Catalog'!$C$62,((D229+E229)*C229-G229)*'Assumptions and Catalog'!$H$62+'Assumptions and Catalog'!$E$62+'Assumptions and Catalog'!$F$62,IF(((D229+E229)*C229-G229)&lt;='Assumptions and Catalog'!$C$63,((D229+E229)*C229-G229)*'Assumptions and Catalog'!$H$63+'Assumptions and Catalog'!$E$63+'Assumptions and Catalog'!$F$63,IF(((D229+E229)*C229-G229)&lt;='Assumptions and Catalog'!$C$64,((D229+E229)*C229-G229)*'Assumptions and Catalog'!$H$64+'Assumptions and Catalog'!$E$64+'Assumptions and Catalog'!$F$64,IF(((D229+E229)*C229-G229)&lt;='Assumptions and Catalog'!$C$65,((D229+E229)*C229-G229)*'Assumptions and Catalog'!$H$65+'Assumptions and Catalog'!$E$65+'Assumptions and Catalog'!$F$65,"Out of range")))))))))*(1+'Assumptions and Catalog'!$C$8)^(A229-1),0)</f>
        <v>4940.7112640088553</v>
      </c>
      <c r="R229" s="5">
        <f>IF(AND('Assumptions and Catalog'!$C$19&gt;0,A229&gt;='Assumptions and Catalog'!$C$19),A229-'Assumptions and Catalog'!$C$19,A229-1)</f>
        <v>5</v>
      </c>
      <c r="S229" s="5">
        <f t="shared" si="19"/>
        <v>0</v>
      </c>
      <c r="T229" s="5"/>
      <c r="U229" s="5"/>
    </row>
    <row r="230" spans="1:21" ht="23.1" customHeight="1" outlineLevel="1" x14ac:dyDescent="0.2">
      <c r="A230" s="5">
        <v>6</v>
      </c>
      <c r="B230" s="5">
        <v>10</v>
      </c>
      <c r="C230" s="5">
        <f>DAY(DATE('Assumptions and Catalog'!$C$24+A230-1,B230+1,0))</f>
        <v>31</v>
      </c>
      <c r="D230" s="5">
        <f>IF(ISNUMBER(Inputs!$L$5),Inputs!$L$5*Inputs!$L$6,0)</f>
        <v>40.35</v>
      </c>
      <c r="E230" s="5">
        <f>IF(ISNUMBER(Inputs!$L$5),Inputs!$L$5-D230,0)</f>
        <v>40.35</v>
      </c>
      <c r="F230" s="5">
        <f>C$51*'Assumptions and Catalog'!$C$31*C230*(1-'Assumptions and Catalog'!$C$10)^(A230-1)</f>
        <v>1008.7446467965992</v>
      </c>
      <c r="G230" s="5">
        <f t="shared" si="14"/>
        <v>1008.7446467965992</v>
      </c>
      <c r="H230" s="5">
        <f>I230/('Assumptions and Catalog'!$C$11*'Assumptions and Catalog'!$C$12)</f>
        <v>0</v>
      </c>
      <c r="I230" s="5">
        <f>0</f>
        <v>0</v>
      </c>
      <c r="J230" s="5">
        <f t="shared" si="15"/>
        <v>0</v>
      </c>
      <c r="K230" s="5">
        <f t="shared" si="16"/>
        <v>0</v>
      </c>
      <c r="L230" s="5">
        <f t="shared" si="17"/>
        <v>1492.955353203401</v>
      </c>
      <c r="M230" s="5">
        <f>IF(ISNUMBER(Inputs!$L$5),(IF(Inputs!$L$9="Actual flat rate",((D230+E230)*C230)*Inputs!$L$10,IF(Inputs!$C$9="Residential",IF(((D230+E230)*C230)&lt;='Assumptions and Catalog'!$C$50,((D230+E230)*C230)*'Assumptions and Catalog'!$H$50+'Assumptions and Catalog'!$E$50+'Assumptions and Catalog'!$F$50,IF(((D230+E230)*C230)&lt;='Assumptions and Catalog'!$C$51,((D230+E230)*C230)*'Assumptions and Catalog'!$H$51+'Assumptions and Catalog'!$E$51+'Assumptions and Catalog'!$F$51,IF(((D230+E230)*C230)&lt;='Assumptions and Catalog'!$C$52,((D230+E230)*C230)*'Assumptions and Catalog'!$H$52+'Assumptions and Catalog'!$E$52+'Assumptions and Catalog'!$F$52,IF(((D230+E230)*C230)&lt;='Assumptions and Catalog'!$C$53,((D230+E230)*C230)*'Assumptions and Catalog'!$H$53+'Assumptions and Catalog'!$E$53+'Assumptions and Catalog'!$F$53,IF(((D230+E230)*C230)&lt;='Assumptions and Catalog'!$C$54,((D230+E230)*C230)*'Assumptions and Catalog'!$H$54+'Assumptions and Catalog'!$E$54+'Assumptions and Catalog'!$F$54,IF(((D230+E230)*C230)&lt;='Assumptions and Catalog'!$C$55,((D230+E230)*C230)*'Assumptions and Catalog'!$H$55+'Assumptions and Catalog'!$E$55+'Assumptions and Catalog'!$F$55,IF(((D230+E230)*C230)&lt;='Assumptions and Catalog'!$C$56,((D230+E230)*C230)*'Assumptions and Catalog'!$H$56+'Assumptions and Catalog'!$E$56+'Assumptions and Catalog'!$F$56,IF(((D230+E230)*C230)&lt;='Assumptions and Catalog'!$C$57,((D230+E230)*C230)*'Assumptions and Catalog'!$H$57+'Assumptions and Catalog'!$E$57+'Assumptions and Catalog'!$F$57,"Out of range")))))))),IF(((D230+E230)*C230)&lt;='Assumptions and Catalog'!$C$60,((D230+E230)*C230)*'Assumptions and Catalog'!$H$60+'Assumptions and Catalog'!$E$60+'Assumptions and Catalog'!$F$60,IF(((D230+E230)*C230)&lt;='Assumptions and Catalog'!$C$61,((D230+E230)*C230)*'Assumptions and Catalog'!$H$61+'Assumptions and Catalog'!$E$61+'Assumptions and Catalog'!$F$61,IF(((D230+E230)*C230)&lt;='Assumptions and Catalog'!$C$62,((D230+E230)*C230)*'Assumptions and Catalog'!$H$62+'Assumptions and Catalog'!$E$62+'Assumptions and Catalog'!$F$62,IF(((D230+E230)*C230)&lt;='Assumptions and Catalog'!$C$63,((D230+E230)*C230)*'Assumptions and Catalog'!$H$63+'Assumptions and Catalog'!$E$63+'Assumptions and Catalog'!$F$63,IF(((D230+E230)*C230)&lt;='Assumptions and Catalog'!$C$64,((D230+E230)*C230)*'Assumptions and Catalog'!$H$64+'Assumptions and Catalog'!$E$64+'Assumptions and Catalog'!$F$64,IF(((D230+E230)*C230)&lt;='Assumptions and Catalog'!$C$65,((D230+E230)*C230)*'Assumptions and Catalog'!$H$65+'Assumptions and Catalog'!$E$65+'Assumptions and Catalog'!$F$65,"Out of range")))))))))*(1+'Assumptions and Catalog'!$C$8)^(A230-1),0)</f>
        <v>8554.9666666666672</v>
      </c>
      <c r="N230" s="5">
        <f>IF(ISNUMBER(Inputs!$L$5),(IF(Inputs!$L$9="Actual flat rate",L230*Inputs!$L$10,IF(Inputs!$C$9="Residential",IF(L230&lt;='Assumptions and Catalog'!$C$50,L230*'Assumptions and Catalog'!$H$50+'Assumptions and Catalog'!$E$50+'Assumptions and Catalog'!$F$50,IF(L230&lt;='Assumptions and Catalog'!$C$51,L230*'Assumptions and Catalog'!$H$51+'Assumptions and Catalog'!$E$51+'Assumptions and Catalog'!$F$51,IF(L230&lt;='Assumptions and Catalog'!$C$52,L230*'Assumptions and Catalog'!$H$52+'Assumptions and Catalog'!$E$52+'Assumptions and Catalog'!$F$52,IF(L230&lt;='Assumptions and Catalog'!$C$53,L230*'Assumptions and Catalog'!$H$53+'Assumptions and Catalog'!$E$53+'Assumptions and Catalog'!$F$53,IF(L230&lt;='Assumptions and Catalog'!$C$54,L230*'Assumptions and Catalog'!$H$54+'Assumptions and Catalog'!$E$54+'Assumptions and Catalog'!$F$54,IF(L230&lt;='Assumptions and Catalog'!$C$55,L230*'Assumptions and Catalog'!$H$55+'Assumptions and Catalog'!$E$55+'Assumptions and Catalog'!$F$55,IF(L230&lt;='Assumptions and Catalog'!$C$56,L230*'Assumptions and Catalog'!$H$56+'Assumptions and Catalog'!$E$56+'Assumptions and Catalog'!$F$56,IF(L230&lt;='Assumptions and Catalog'!$C$57,L230*'Assumptions and Catalog'!$H$57+'Assumptions and Catalog'!$E$57+'Assumptions and Catalog'!$F$57,"Out of range")))))))),IF(L230&lt;='Assumptions and Catalog'!$C$60,L230*'Assumptions and Catalog'!$H$60+'Assumptions and Catalog'!$E$60+'Assumptions and Catalog'!$F$60,IF(L230&lt;='Assumptions and Catalog'!$C$61,L230*'Assumptions and Catalog'!$H$61+'Assumptions and Catalog'!$E$61+'Assumptions and Catalog'!$F$61,IF(L230&lt;='Assumptions and Catalog'!$C$62,L230*'Assumptions and Catalog'!$H$62+'Assumptions and Catalog'!$E$62+'Assumptions and Catalog'!$F$62,IF(L230&lt;='Assumptions and Catalog'!$C$63,L230*'Assumptions and Catalog'!$H$63+'Assumptions and Catalog'!$E$63+'Assumptions and Catalog'!$F$63,IF(L230&lt;='Assumptions and Catalog'!$C$64,L230*'Assumptions and Catalog'!$H$64+'Assumptions and Catalog'!$E$64+'Assumptions and Catalog'!$F$64,IF(L230&lt;='Assumptions and Catalog'!$C$65,L230*'Assumptions and Catalog'!$H$65+'Assumptions and Catalog'!$E$65+'Assumptions and Catalog'!$F$65,"Out of range")))))))))*(1+'Assumptions and Catalog'!$C$8)^(A230-1),0)</f>
        <v>5105.4016394758182</v>
      </c>
      <c r="O230" s="5">
        <f t="shared" si="18"/>
        <v>3449.5650271908489</v>
      </c>
      <c r="P230" s="5">
        <f>C$55*(1-J$14)*(1-'Assumptions and Catalog'!$C$23)^R230</f>
        <v>0</v>
      </c>
      <c r="Q230" s="5">
        <f>IF(ISNUMBER(Inputs!$L$5),(IF(Inputs!$L$9="Actual flat rate",((D230+E230)*C230-G230)*Inputs!$L$10,IF(Inputs!$C$9="Residential",IF(((D230+E230)*C230-G230)&lt;='Assumptions and Catalog'!$C$50,((D230+E230)*C230-G230)*'Assumptions and Catalog'!$H$50+'Assumptions and Catalog'!$E$50+'Assumptions and Catalog'!$F$50,IF(((D230+E230)*C230-G230)&lt;='Assumptions and Catalog'!$C$51,((D230+E230)*C230-G230)*'Assumptions and Catalog'!$H$51+'Assumptions and Catalog'!$E$51+'Assumptions and Catalog'!$F$51,IF(((D230+E230)*C230-G230)&lt;='Assumptions and Catalog'!$C$52,((D230+E230)*C230-G230)*'Assumptions and Catalog'!$H$52+'Assumptions and Catalog'!$E$52+'Assumptions and Catalog'!$F$52,IF(((D230+E230)*C230-G230)&lt;='Assumptions and Catalog'!$C$53,((D230+E230)*C230-G230)*'Assumptions and Catalog'!$H$53+'Assumptions and Catalog'!$E$53+'Assumptions and Catalog'!$F$53,IF(((D230+E230)*C230-G230)&lt;='Assumptions and Catalog'!$C$54,((D230+E230)*C230-G230)*'Assumptions and Catalog'!$H$54+'Assumptions and Catalog'!$E$54+'Assumptions and Catalog'!$F$54,IF(((D230+E230)*C230-G230)&lt;='Assumptions and Catalog'!$C$55,((D230+E230)*C230-G230)*'Assumptions and Catalog'!$H$55+'Assumptions and Catalog'!$E$55+'Assumptions and Catalog'!$F$55,IF(((D230+E230)*C230-G230)&lt;='Assumptions and Catalog'!$C$56,((D230+E230)*C230-G230)*'Assumptions and Catalog'!$H$56+'Assumptions and Catalog'!$E$56+'Assumptions and Catalog'!$F$56,IF(((D230+E230)*C230-G230)&lt;='Assumptions and Catalog'!$C$57,((D230+E230)*C230-G230)*'Assumptions and Catalog'!$H$57+'Assumptions and Catalog'!$E$57+'Assumptions and Catalog'!$F$57,"Out of range")))))))),IF(((D230+E230)*C230-G230)&lt;='Assumptions and Catalog'!$C$60,((D230+E230)*C230-G230)*'Assumptions and Catalog'!$H$60+'Assumptions and Catalog'!$E$60+'Assumptions and Catalog'!$F$60,IF(((D230+E230)*C230-G230)&lt;='Assumptions and Catalog'!$C$61,((D230+E230)*C230-G230)*'Assumptions and Catalog'!$H$61+'Assumptions and Catalog'!$E$61+'Assumptions and Catalog'!$F$61,IF(((D230+E230)*C230-G230)&lt;='Assumptions and Catalog'!$C$62,((D230+E230)*C230-G230)*'Assumptions and Catalog'!$H$62+'Assumptions and Catalog'!$E$62+'Assumptions and Catalog'!$F$62,IF(((D230+E230)*C230-G230)&lt;='Assumptions and Catalog'!$C$63,((D230+E230)*C230-G230)*'Assumptions and Catalog'!$H$63+'Assumptions and Catalog'!$E$63+'Assumptions and Catalog'!$F$63,IF(((D230+E230)*C230-G230)&lt;='Assumptions and Catalog'!$C$64,((D230+E230)*C230-G230)*'Assumptions and Catalog'!$H$64+'Assumptions and Catalog'!$E$64+'Assumptions and Catalog'!$F$64,IF(((D230+E230)*C230-G230)&lt;='Assumptions and Catalog'!$C$65,((D230+E230)*C230-G230)*'Assumptions and Catalog'!$H$65+'Assumptions and Catalog'!$E$65+'Assumptions and Catalog'!$F$65,"Out of range")))))))))*(1+'Assumptions and Catalog'!$C$8)^(A230-1),0)</f>
        <v>5105.4016394758182</v>
      </c>
      <c r="R230" s="5">
        <f>IF(AND('Assumptions and Catalog'!$C$19&gt;0,A230&gt;='Assumptions and Catalog'!$C$19),A230-'Assumptions and Catalog'!$C$19,A230-1)</f>
        <v>5</v>
      </c>
      <c r="S230" s="5">
        <f t="shared" si="19"/>
        <v>0</v>
      </c>
      <c r="T230" s="5"/>
      <c r="U230" s="5"/>
    </row>
    <row r="231" spans="1:21" ht="23.1" customHeight="1" outlineLevel="1" x14ac:dyDescent="0.2">
      <c r="A231" s="5">
        <v>6</v>
      </c>
      <c r="B231" s="5">
        <v>11</v>
      </c>
      <c r="C231" s="5">
        <f>DAY(DATE('Assumptions and Catalog'!$C$24+A231-1,B231+1,0))</f>
        <v>30</v>
      </c>
      <c r="D231" s="5">
        <f>IF(ISNUMBER(Inputs!$L$5),Inputs!$L$5*Inputs!$L$6,0)</f>
        <v>40.35</v>
      </c>
      <c r="E231" s="5">
        <f>IF(ISNUMBER(Inputs!$L$5),Inputs!$L$5-D231,0)</f>
        <v>40.35</v>
      </c>
      <c r="F231" s="5">
        <f>C$51*'Assumptions and Catalog'!$C$31*C231*(1-'Assumptions and Catalog'!$C$10)^(A231-1)</f>
        <v>976.20449689993472</v>
      </c>
      <c r="G231" s="5">
        <f t="shared" si="14"/>
        <v>976.20449689993472</v>
      </c>
      <c r="H231" s="5">
        <f>I231/('Assumptions and Catalog'!$C$11*'Assumptions and Catalog'!$C$12)</f>
        <v>0</v>
      </c>
      <c r="I231" s="5">
        <f>0</f>
        <v>0</v>
      </c>
      <c r="J231" s="5">
        <f t="shared" si="15"/>
        <v>0</v>
      </c>
      <c r="K231" s="5">
        <f t="shared" si="16"/>
        <v>0</v>
      </c>
      <c r="L231" s="5">
        <f t="shared" si="17"/>
        <v>1444.7955031000652</v>
      </c>
      <c r="M231" s="5">
        <f>IF(ISNUMBER(Inputs!$L$5),(IF(Inputs!$L$9="Actual flat rate",((D231+E231)*C231)*Inputs!$L$10,IF(Inputs!$C$9="Residential",IF(((D231+E231)*C231)&lt;='Assumptions and Catalog'!$C$50,((D231+E231)*C231)*'Assumptions and Catalog'!$H$50+'Assumptions and Catalog'!$E$50+'Assumptions and Catalog'!$F$50,IF(((D231+E231)*C231)&lt;='Assumptions and Catalog'!$C$51,((D231+E231)*C231)*'Assumptions and Catalog'!$H$51+'Assumptions and Catalog'!$E$51+'Assumptions and Catalog'!$F$51,IF(((D231+E231)*C231)&lt;='Assumptions and Catalog'!$C$52,((D231+E231)*C231)*'Assumptions and Catalog'!$H$52+'Assumptions and Catalog'!$E$52+'Assumptions and Catalog'!$F$52,IF(((D231+E231)*C231)&lt;='Assumptions and Catalog'!$C$53,((D231+E231)*C231)*'Assumptions and Catalog'!$H$53+'Assumptions and Catalog'!$E$53+'Assumptions and Catalog'!$F$53,IF(((D231+E231)*C231)&lt;='Assumptions and Catalog'!$C$54,((D231+E231)*C231)*'Assumptions and Catalog'!$H$54+'Assumptions and Catalog'!$E$54+'Assumptions and Catalog'!$F$54,IF(((D231+E231)*C231)&lt;='Assumptions and Catalog'!$C$55,((D231+E231)*C231)*'Assumptions and Catalog'!$H$55+'Assumptions and Catalog'!$E$55+'Assumptions and Catalog'!$F$55,IF(((D231+E231)*C231)&lt;='Assumptions and Catalog'!$C$56,((D231+E231)*C231)*'Assumptions and Catalog'!$H$56+'Assumptions and Catalog'!$E$56+'Assumptions and Catalog'!$F$56,IF(((D231+E231)*C231)&lt;='Assumptions and Catalog'!$C$57,((D231+E231)*C231)*'Assumptions and Catalog'!$H$57+'Assumptions and Catalog'!$E$57+'Assumptions and Catalog'!$F$57,"Out of range")))))))),IF(((D231+E231)*C231)&lt;='Assumptions and Catalog'!$C$60,((D231+E231)*C231)*'Assumptions and Catalog'!$H$60+'Assumptions and Catalog'!$E$60+'Assumptions and Catalog'!$F$60,IF(((D231+E231)*C231)&lt;='Assumptions and Catalog'!$C$61,((D231+E231)*C231)*'Assumptions and Catalog'!$H$61+'Assumptions and Catalog'!$E$61+'Assumptions and Catalog'!$F$61,IF(((D231+E231)*C231)&lt;='Assumptions and Catalog'!$C$62,((D231+E231)*C231)*'Assumptions and Catalog'!$H$62+'Assumptions and Catalog'!$E$62+'Assumptions and Catalog'!$F$62,IF(((D231+E231)*C231)&lt;='Assumptions and Catalog'!$C$63,((D231+E231)*C231)*'Assumptions and Catalog'!$H$63+'Assumptions and Catalog'!$E$63+'Assumptions and Catalog'!$F$63,IF(((D231+E231)*C231)&lt;='Assumptions and Catalog'!$C$64,((D231+E231)*C231)*'Assumptions and Catalog'!$H$64+'Assumptions and Catalog'!$E$64+'Assumptions and Catalog'!$F$64,IF(((D231+E231)*C231)&lt;='Assumptions and Catalog'!$C$65,((D231+E231)*C231)*'Assumptions and Catalog'!$H$65+'Assumptions and Catalog'!$E$65+'Assumptions and Catalog'!$F$65,"Out of range")))))))))*(1+'Assumptions and Catalog'!$C$8)^(A231-1),0)</f>
        <v>8279</v>
      </c>
      <c r="N231" s="5">
        <f>IF(ISNUMBER(Inputs!$L$5),(IF(Inputs!$L$9="Actual flat rate",L231*Inputs!$L$10,IF(Inputs!$C$9="Residential",IF(L231&lt;='Assumptions and Catalog'!$C$50,L231*'Assumptions and Catalog'!$H$50+'Assumptions and Catalog'!$E$50+'Assumptions and Catalog'!$F$50,IF(L231&lt;='Assumptions and Catalog'!$C$51,L231*'Assumptions and Catalog'!$H$51+'Assumptions and Catalog'!$E$51+'Assumptions and Catalog'!$F$51,IF(L231&lt;='Assumptions and Catalog'!$C$52,L231*'Assumptions and Catalog'!$H$52+'Assumptions and Catalog'!$E$52+'Assumptions and Catalog'!$F$52,IF(L231&lt;='Assumptions and Catalog'!$C$53,L231*'Assumptions and Catalog'!$H$53+'Assumptions and Catalog'!$E$53+'Assumptions and Catalog'!$F$53,IF(L231&lt;='Assumptions and Catalog'!$C$54,L231*'Assumptions and Catalog'!$H$54+'Assumptions and Catalog'!$E$54+'Assumptions and Catalog'!$F$54,IF(L231&lt;='Assumptions and Catalog'!$C$55,L231*'Assumptions and Catalog'!$H$55+'Assumptions and Catalog'!$E$55+'Assumptions and Catalog'!$F$55,IF(L231&lt;='Assumptions and Catalog'!$C$56,L231*'Assumptions and Catalog'!$H$56+'Assumptions and Catalog'!$E$56+'Assumptions and Catalog'!$F$56,IF(L231&lt;='Assumptions and Catalog'!$C$57,L231*'Assumptions and Catalog'!$H$57+'Assumptions and Catalog'!$E$57+'Assumptions and Catalog'!$F$57,"Out of range")))))))),IF(L231&lt;='Assumptions and Catalog'!$C$60,L231*'Assumptions and Catalog'!$H$60+'Assumptions and Catalog'!$E$60+'Assumptions and Catalog'!$F$60,IF(L231&lt;='Assumptions and Catalog'!$C$61,L231*'Assumptions and Catalog'!$H$61+'Assumptions and Catalog'!$E$61+'Assumptions and Catalog'!$F$61,IF(L231&lt;='Assumptions and Catalog'!$C$62,L231*'Assumptions and Catalog'!$H$62+'Assumptions and Catalog'!$E$62+'Assumptions and Catalog'!$F$62,IF(L231&lt;='Assumptions and Catalog'!$C$63,L231*'Assumptions and Catalog'!$H$63+'Assumptions and Catalog'!$E$63+'Assumptions and Catalog'!$F$63,IF(L231&lt;='Assumptions and Catalog'!$C$64,L231*'Assumptions and Catalog'!$H$64+'Assumptions and Catalog'!$E$64+'Assumptions and Catalog'!$F$64,IF(L231&lt;='Assumptions and Catalog'!$C$65,L231*'Assumptions and Catalog'!$H$65+'Assumptions and Catalog'!$E$65+'Assumptions and Catalog'!$F$65,"Out of range")))))))))*(1+'Assumptions and Catalog'!$C$8)^(A231-1),0)</f>
        <v>4940.7112640088553</v>
      </c>
      <c r="O231" s="5">
        <f t="shared" si="18"/>
        <v>3338.2887359911447</v>
      </c>
      <c r="P231" s="5">
        <f>C$55*(1-J$14)*(1-'Assumptions and Catalog'!$C$23)^R231</f>
        <v>0</v>
      </c>
      <c r="Q231" s="5">
        <f>IF(ISNUMBER(Inputs!$L$5),(IF(Inputs!$L$9="Actual flat rate",((D231+E231)*C231-G231)*Inputs!$L$10,IF(Inputs!$C$9="Residential",IF(((D231+E231)*C231-G231)&lt;='Assumptions and Catalog'!$C$50,((D231+E231)*C231-G231)*'Assumptions and Catalog'!$H$50+'Assumptions and Catalog'!$E$50+'Assumptions and Catalog'!$F$50,IF(((D231+E231)*C231-G231)&lt;='Assumptions and Catalog'!$C$51,((D231+E231)*C231-G231)*'Assumptions and Catalog'!$H$51+'Assumptions and Catalog'!$E$51+'Assumptions and Catalog'!$F$51,IF(((D231+E231)*C231-G231)&lt;='Assumptions and Catalog'!$C$52,((D231+E231)*C231-G231)*'Assumptions and Catalog'!$H$52+'Assumptions and Catalog'!$E$52+'Assumptions and Catalog'!$F$52,IF(((D231+E231)*C231-G231)&lt;='Assumptions and Catalog'!$C$53,((D231+E231)*C231-G231)*'Assumptions and Catalog'!$H$53+'Assumptions and Catalog'!$E$53+'Assumptions and Catalog'!$F$53,IF(((D231+E231)*C231-G231)&lt;='Assumptions and Catalog'!$C$54,((D231+E231)*C231-G231)*'Assumptions and Catalog'!$H$54+'Assumptions and Catalog'!$E$54+'Assumptions and Catalog'!$F$54,IF(((D231+E231)*C231-G231)&lt;='Assumptions and Catalog'!$C$55,((D231+E231)*C231-G231)*'Assumptions and Catalog'!$H$55+'Assumptions and Catalog'!$E$55+'Assumptions and Catalog'!$F$55,IF(((D231+E231)*C231-G231)&lt;='Assumptions and Catalog'!$C$56,((D231+E231)*C231-G231)*'Assumptions and Catalog'!$H$56+'Assumptions and Catalog'!$E$56+'Assumptions and Catalog'!$F$56,IF(((D231+E231)*C231-G231)&lt;='Assumptions and Catalog'!$C$57,((D231+E231)*C231-G231)*'Assumptions and Catalog'!$H$57+'Assumptions and Catalog'!$E$57+'Assumptions and Catalog'!$F$57,"Out of range")))))))),IF(((D231+E231)*C231-G231)&lt;='Assumptions and Catalog'!$C$60,((D231+E231)*C231-G231)*'Assumptions and Catalog'!$H$60+'Assumptions and Catalog'!$E$60+'Assumptions and Catalog'!$F$60,IF(((D231+E231)*C231-G231)&lt;='Assumptions and Catalog'!$C$61,((D231+E231)*C231-G231)*'Assumptions and Catalog'!$H$61+'Assumptions and Catalog'!$E$61+'Assumptions and Catalog'!$F$61,IF(((D231+E231)*C231-G231)&lt;='Assumptions and Catalog'!$C$62,((D231+E231)*C231-G231)*'Assumptions and Catalog'!$H$62+'Assumptions and Catalog'!$E$62+'Assumptions and Catalog'!$F$62,IF(((D231+E231)*C231-G231)&lt;='Assumptions and Catalog'!$C$63,((D231+E231)*C231-G231)*'Assumptions and Catalog'!$H$63+'Assumptions and Catalog'!$E$63+'Assumptions and Catalog'!$F$63,IF(((D231+E231)*C231-G231)&lt;='Assumptions and Catalog'!$C$64,((D231+E231)*C231-G231)*'Assumptions and Catalog'!$H$64+'Assumptions and Catalog'!$E$64+'Assumptions and Catalog'!$F$64,IF(((D231+E231)*C231-G231)&lt;='Assumptions and Catalog'!$C$65,((D231+E231)*C231-G231)*'Assumptions and Catalog'!$H$65+'Assumptions and Catalog'!$E$65+'Assumptions and Catalog'!$F$65,"Out of range")))))))))*(1+'Assumptions and Catalog'!$C$8)^(A231-1),0)</f>
        <v>4940.7112640088553</v>
      </c>
      <c r="R231" s="5">
        <f>IF(AND('Assumptions and Catalog'!$C$19&gt;0,A231&gt;='Assumptions and Catalog'!$C$19),A231-'Assumptions and Catalog'!$C$19,A231-1)</f>
        <v>5</v>
      </c>
      <c r="S231" s="5">
        <f t="shared" si="19"/>
        <v>0</v>
      </c>
      <c r="T231" s="5"/>
      <c r="U231" s="5"/>
    </row>
    <row r="232" spans="1:21" ht="23.1" customHeight="1" outlineLevel="1" x14ac:dyDescent="0.2">
      <c r="A232" s="5">
        <v>6</v>
      </c>
      <c r="B232" s="5">
        <v>12</v>
      </c>
      <c r="C232" s="5">
        <f>DAY(DATE('Assumptions and Catalog'!$C$24+A232-1,B232+1,0))</f>
        <v>31</v>
      </c>
      <c r="D232" s="5">
        <f>IF(ISNUMBER(Inputs!$L$5),Inputs!$L$5*Inputs!$L$6,0)</f>
        <v>40.35</v>
      </c>
      <c r="E232" s="5">
        <f>IF(ISNUMBER(Inputs!$L$5),Inputs!$L$5-D232,0)</f>
        <v>40.35</v>
      </c>
      <c r="F232" s="5">
        <f>C$51*'Assumptions and Catalog'!$C$31*C232*(1-'Assumptions and Catalog'!$C$10)^(A232-1)</f>
        <v>1008.7446467965992</v>
      </c>
      <c r="G232" s="5">
        <f t="shared" si="14"/>
        <v>1008.7446467965992</v>
      </c>
      <c r="H232" s="5">
        <f>I232/('Assumptions and Catalog'!$C$11*'Assumptions and Catalog'!$C$12)</f>
        <v>0</v>
      </c>
      <c r="I232" s="5">
        <f>0</f>
        <v>0</v>
      </c>
      <c r="J232" s="5">
        <f t="shared" si="15"/>
        <v>0</v>
      </c>
      <c r="K232" s="5">
        <f t="shared" si="16"/>
        <v>0</v>
      </c>
      <c r="L232" s="5">
        <f t="shared" si="17"/>
        <v>1492.955353203401</v>
      </c>
      <c r="M232" s="5">
        <f>IF(ISNUMBER(Inputs!$L$5),(IF(Inputs!$L$9="Actual flat rate",((D232+E232)*C232)*Inputs!$L$10,IF(Inputs!$C$9="Residential",IF(((D232+E232)*C232)&lt;='Assumptions and Catalog'!$C$50,((D232+E232)*C232)*'Assumptions and Catalog'!$H$50+'Assumptions and Catalog'!$E$50+'Assumptions and Catalog'!$F$50,IF(((D232+E232)*C232)&lt;='Assumptions and Catalog'!$C$51,((D232+E232)*C232)*'Assumptions and Catalog'!$H$51+'Assumptions and Catalog'!$E$51+'Assumptions and Catalog'!$F$51,IF(((D232+E232)*C232)&lt;='Assumptions and Catalog'!$C$52,((D232+E232)*C232)*'Assumptions and Catalog'!$H$52+'Assumptions and Catalog'!$E$52+'Assumptions and Catalog'!$F$52,IF(((D232+E232)*C232)&lt;='Assumptions and Catalog'!$C$53,((D232+E232)*C232)*'Assumptions and Catalog'!$H$53+'Assumptions and Catalog'!$E$53+'Assumptions and Catalog'!$F$53,IF(((D232+E232)*C232)&lt;='Assumptions and Catalog'!$C$54,((D232+E232)*C232)*'Assumptions and Catalog'!$H$54+'Assumptions and Catalog'!$E$54+'Assumptions and Catalog'!$F$54,IF(((D232+E232)*C232)&lt;='Assumptions and Catalog'!$C$55,((D232+E232)*C232)*'Assumptions and Catalog'!$H$55+'Assumptions and Catalog'!$E$55+'Assumptions and Catalog'!$F$55,IF(((D232+E232)*C232)&lt;='Assumptions and Catalog'!$C$56,((D232+E232)*C232)*'Assumptions and Catalog'!$H$56+'Assumptions and Catalog'!$E$56+'Assumptions and Catalog'!$F$56,IF(((D232+E232)*C232)&lt;='Assumptions and Catalog'!$C$57,((D232+E232)*C232)*'Assumptions and Catalog'!$H$57+'Assumptions and Catalog'!$E$57+'Assumptions and Catalog'!$F$57,"Out of range")))))))),IF(((D232+E232)*C232)&lt;='Assumptions and Catalog'!$C$60,((D232+E232)*C232)*'Assumptions and Catalog'!$H$60+'Assumptions and Catalog'!$E$60+'Assumptions and Catalog'!$F$60,IF(((D232+E232)*C232)&lt;='Assumptions and Catalog'!$C$61,((D232+E232)*C232)*'Assumptions and Catalog'!$H$61+'Assumptions and Catalog'!$E$61+'Assumptions and Catalog'!$F$61,IF(((D232+E232)*C232)&lt;='Assumptions and Catalog'!$C$62,((D232+E232)*C232)*'Assumptions and Catalog'!$H$62+'Assumptions and Catalog'!$E$62+'Assumptions and Catalog'!$F$62,IF(((D232+E232)*C232)&lt;='Assumptions and Catalog'!$C$63,((D232+E232)*C232)*'Assumptions and Catalog'!$H$63+'Assumptions and Catalog'!$E$63+'Assumptions and Catalog'!$F$63,IF(((D232+E232)*C232)&lt;='Assumptions and Catalog'!$C$64,((D232+E232)*C232)*'Assumptions and Catalog'!$H$64+'Assumptions and Catalog'!$E$64+'Assumptions and Catalog'!$F$64,IF(((D232+E232)*C232)&lt;='Assumptions and Catalog'!$C$65,((D232+E232)*C232)*'Assumptions and Catalog'!$H$65+'Assumptions and Catalog'!$E$65+'Assumptions and Catalog'!$F$65,"Out of range")))))))))*(1+'Assumptions and Catalog'!$C$8)^(A232-1),0)</f>
        <v>8554.9666666666672</v>
      </c>
      <c r="N232" s="5">
        <f>IF(ISNUMBER(Inputs!$L$5),(IF(Inputs!$L$9="Actual flat rate",L232*Inputs!$L$10,IF(Inputs!$C$9="Residential",IF(L232&lt;='Assumptions and Catalog'!$C$50,L232*'Assumptions and Catalog'!$H$50+'Assumptions and Catalog'!$E$50+'Assumptions and Catalog'!$F$50,IF(L232&lt;='Assumptions and Catalog'!$C$51,L232*'Assumptions and Catalog'!$H$51+'Assumptions and Catalog'!$E$51+'Assumptions and Catalog'!$F$51,IF(L232&lt;='Assumptions and Catalog'!$C$52,L232*'Assumptions and Catalog'!$H$52+'Assumptions and Catalog'!$E$52+'Assumptions and Catalog'!$F$52,IF(L232&lt;='Assumptions and Catalog'!$C$53,L232*'Assumptions and Catalog'!$H$53+'Assumptions and Catalog'!$E$53+'Assumptions and Catalog'!$F$53,IF(L232&lt;='Assumptions and Catalog'!$C$54,L232*'Assumptions and Catalog'!$H$54+'Assumptions and Catalog'!$E$54+'Assumptions and Catalog'!$F$54,IF(L232&lt;='Assumptions and Catalog'!$C$55,L232*'Assumptions and Catalog'!$H$55+'Assumptions and Catalog'!$E$55+'Assumptions and Catalog'!$F$55,IF(L232&lt;='Assumptions and Catalog'!$C$56,L232*'Assumptions and Catalog'!$H$56+'Assumptions and Catalog'!$E$56+'Assumptions and Catalog'!$F$56,IF(L232&lt;='Assumptions and Catalog'!$C$57,L232*'Assumptions and Catalog'!$H$57+'Assumptions and Catalog'!$E$57+'Assumptions and Catalog'!$F$57,"Out of range")))))))),IF(L232&lt;='Assumptions and Catalog'!$C$60,L232*'Assumptions and Catalog'!$H$60+'Assumptions and Catalog'!$E$60+'Assumptions and Catalog'!$F$60,IF(L232&lt;='Assumptions and Catalog'!$C$61,L232*'Assumptions and Catalog'!$H$61+'Assumptions and Catalog'!$E$61+'Assumptions and Catalog'!$F$61,IF(L232&lt;='Assumptions and Catalog'!$C$62,L232*'Assumptions and Catalog'!$H$62+'Assumptions and Catalog'!$E$62+'Assumptions and Catalog'!$F$62,IF(L232&lt;='Assumptions and Catalog'!$C$63,L232*'Assumptions and Catalog'!$H$63+'Assumptions and Catalog'!$E$63+'Assumptions and Catalog'!$F$63,IF(L232&lt;='Assumptions and Catalog'!$C$64,L232*'Assumptions and Catalog'!$H$64+'Assumptions and Catalog'!$E$64+'Assumptions and Catalog'!$F$64,IF(L232&lt;='Assumptions and Catalog'!$C$65,L232*'Assumptions and Catalog'!$H$65+'Assumptions and Catalog'!$E$65+'Assumptions and Catalog'!$F$65,"Out of range")))))))))*(1+'Assumptions and Catalog'!$C$8)^(A232-1),0)</f>
        <v>5105.4016394758182</v>
      </c>
      <c r="O232" s="5">
        <f t="shared" si="18"/>
        <v>3449.5650271908489</v>
      </c>
      <c r="P232" s="5">
        <f>C$55*(1-J$14)*(1-'Assumptions and Catalog'!$C$23)^R232</f>
        <v>0</v>
      </c>
      <c r="Q232" s="5">
        <f>IF(ISNUMBER(Inputs!$L$5),(IF(Inputs!$L$9="Actual flat rate",((D232+E232)*C232-G232)*Inputs!$L$10,IF(Inputs!$C$9="Residential",IF(((D232+E232)*C232-G232)&lt;='Assumptions and Catalog'!$C$50,((D232+E232)*C232-G232)*'Assumptions and Catalog'!$H$50+'Assumptions and Catalog'!$E$50+'Assumptions and Catalog'!$F$50,IF(((D232+E232)*C232-G232)&lt;='Assumptions and Catalog'!$C$51,((D232+E232)*C232-G232)*'Assumptions and Catalog'!$H$51+'Assumptions and Catalog'!$E$51+'Assumptions and Catalog'!$F$51,IF(((D232+E232)*C232-G232)&lt;='Assumptions and Catalog'!$C$52,((D232+E232)*C232-G232)*'Assumptions and Catalog'!$H$52+'Assumptions and Catalog'!$E$52+'Assumptions and Catalog'!$F$52,IF(((D232+E232)*C232-G232)&lt;='Assumptions and Catalog'!$C$53,((D232+E232)*C232-G232)*'Assumptions and Catalog'!$H$53+'Assumptions and Catalog'!$E$53+'Assumptions and Catalog'!$F$53,IF(((D232+E232)*C232-G232)&lt;='Assumptions and Catalog'!$C$54,((D232+E232)*C232-G232)*'Assumptions and Catalog'!$H$54+'Assumptions and Catalog'!$E$54+'Assumptions and Catalog'!$F$54,IF(((D232+E232)*C232-G232)&lt;='Assumptions and Catalog'!$C$55,((D232+E232)*C232-G232)*'Assumptions and Catalog'!$H$55+'Assumptions and Catalog'!$E$55+'Assumptions and Catalog'!$F$55,IF(((D232+E232)*C232-G232)&lt;='Assumptions and Catalog'!$C$56,((D232+E232)*C232-G232)*'Assumptions and Catalog'!$H$56+'Assumptions and Catalog'!$E$56+'Assumptions and Catalog'!$F$56,IF(((D232+E232)*C232-G232)&lt;='Assumptions and Catalog'!$C$57,((D232+E232)*C232-G232)*'Assumptions and Catalog'!$H$57+'Assumptions and Catalog'!$E$57+'Assumptions and Catalog'!$F$57,"Out of range")))))))),IF(((D232+E232)*C232-G232)&lt;='Assumptions and Catalog'!$C$60,((D232+E232)*C232-G232)*'Assumptions and Catalog'!$H$60+'Assumptions and Catalog'!$E$60+'Assumptions and Catalog'!$F$60,IF(((D232+E232)*C232-G232)&lt;='Assumptions and Catalog'!$C$61,((D232+E232)*C232-G232)*'Assumptions and Catalog'!$H$61+'Assumptions and Catalog'!$E$61+'Assumptions and Catalog'!$F$61,IF(((D232+E232)*C232-G232)&lt;='Assumptions and Catalog'!$C$62,((D232+E232)*C232-G232)*'Assumptions and Catalog'!$H$62+'Assumptions and Catalog'!$E$62+'Assumptions and Catalog'!$F$62,IF(((D232+E232)*C232-G232)&lt;='Assumptions and Catalog'!$C$63,((D232+E232)*C232-G232)*'Assumptions and Catalog'!$H$63+'Assumptions and Catalog'!$E$63+'Assumptions and Catalog'!$F$63,IF(((D232+E232)*C232-G232)&lt;='Assumptions and Catalog'!$C$64,((D232+E232)*C232-G232)*'Assumptions and Catalog'!$H$64+'Assumptions and Catalog'!$E$64+'Assumptions and Catalog'!$F$64,IF(((D232+E232)*C232-G232)&lt;='Assumptions and Catalog'!$C$65,((D232+E232)*C232-G232)*'Assumptions and Catalog'!$H$65+'Assumptions and Catalog'!$E$65+'Assumptions and Catalog'!$F$65,"Out of range")))))))))*(1+'Assumptions and Catalog'!$C$8)^(A232-1),0)</f>
        <v>5105.4016394758182</v>
      </c>
      <c r="R232" s="5">
        <f>IF(AND('Assumptions and Catalog'!$C$19&gt;0,A232&gt;='Assumptions and Catalog'!$C$19),A232-'Assumptions and Catalog'!$C$19,A232-1)</f>
        <v>5</v>
      </c>
      <c r="S232" s="5">
        <f t="shared" si="19"/>
        <v>0</v>
      </c>
      <c r="T232" s="5"/>
      <c r="U232" s="5"/>
    </row>
    <row r="233" spans="1:21" ht="23.1" customHeight="1" outlineLevel="1" x14ac:dyDescent="0.2">
      <c r="A233" s="5">
        <v>7</v>
      </c>
      <c r="B233" s="5">
        <v>1</v>
      </c>
      <c r="C233" s="5">
        <f>DAY(DATE('Assumptions and Catalog'!$C$24+A233-1,B233+1,0))</f>
        <v>31</v>
      </c>
      <c r="D233" s="5">
        <f>IF(ISNUMBER(Inputs!$L$5),Inputs!$L$5*Inputs!$L$6,0)</f>
        <v>40.35</v>
      </c>
      <c r="E233" s="5">
        <f>IF(ISNUMBER(Inputs!$L$5),Inputs!$L$5-D233,0)</f>
        <v>40.35</v>
      </c>
      <c r="F233" s="5">
        <f>C$51*'Assumptions and Catalog'!$C$31*C233*(1-'Assumptions and Catalog'!$C$10)^(A233-1)</f>
        <v>1003.7009235626163</v>
      </c>
      <c r="G233" s="5">
        <f t="shared" si="14"/>
        <v>1003.7009235626163</v>
      </c>
      <c r="H233" s="5">
        <f>I233/('Assumptions and Catalog'!$C$11*'Assumptions and Catalog'!$C$12)</f>
        <v>0</v>
      </c>
      <c r="I233" s="5">
        <f>0</f>
        <v>0</v>
      </c>
      <c r="J233" s="5">
        <f t="shared" si="15"/>
        <v>0</v>
      </c>
      <c r="K233" s="5">
        <f t="shared" si="16"/>
        <v>0</v>
      </c>
      <c r="L233" s="5">
        <f t="shared" si="17"/>
        <v>1497.999076437384</v>
      </c>
      <c r="M233" s="5">
        <f>IF(ISNUMBER(Inputs!$L$5),(IF(Inputs!$L$9="Actual flat rate",((D233+E233)*C233)*Inputs!$L$10,IF(Inputs!$C$9="Residential",IF(((D233+E233)*C233)&lt;='Assumptions and Catalog'!$C$50,((D233+E233)*C233)*'Assumptions and Catalog'!$H$50+'Assumptions and Catalog'!$E$50+'Assumptions and Catalog'!$F$50,IF(((D233+E233)*C233)&lt;='Assumptions and Catalog'!$C$51,((D233+E233)*C233)*'Assumptions and Catalog'!$H$51+'Assumptions and Catalog'!$E$51+'Assumptions and Catalog'!$F$51,IF(((D233+E233)*C233)&lt;='Assumptions and Catalog'!$C$52,((D233+E233)*C233)*'Assumptions and Catalog'!$H$52+'Assumptions and Catalog'!$E$52+'Assumptions and Catalog'!$F$52,IF(((D233+E233)*C233)&lt;='Assumptions and Catalog'!$C$53,((D233+E233)*C233)*'Assumptions and Catalog'!$H$53+'Assumptions and Catalog'!$E$53+'Assumptions and Catalog'!$F$53,IF(((D233+E233)*C233)&lt;='Assumptions and Catalog'!$C$54,((D233+E233)*C233)*'Assumptions and Catalog'!$H$54+'Assumptions and Catalog'!$E$54+'Assumptions and Catalog'!$F$54,IF(((D233+E233)*C233)&lt;='Assumptions and Catalog'!$C$55,((D233+E233)*C233)*'Assumptions and Catalog'!$H$55+'Assumptions and Catalog'!$E$55+'Assumptions and Catalog'!$F$55,IF(((D233+E233)*C233)&lt;='Assumptions and Catalog'!$C$56,((D233+E233)*C233)*'Assumptions and Catalog'!$H$56+'Assumptions and Catalog'!$E$56+'Assumptions and Catalog'!$F$56,IF(((D233+E233)*C233)&lt;='Assumptions and Catalog'!$C$57,((D233+E233)*C233)*'Assumptions and Catalog'!$H$57+'Assumptions and Catalog'!$E$57+'Assumptions and Catalog'!$F$57,"Out of range")))))))),IF(((D233+E233)*C233)&lt;='Assumptions and Catalog'!$C$60,((D233+E233)*C233)*'Assumptions and Catalog'!$H$60+'Assumptions and Catalog'!$E$60+'Assumptions and Catalog'!$F$60,IF(((D233+E233)*C233)&lt;='Assumptions and Catalog'!$C$61,((D233+E233)*C233)*'Assumptions and Catalog'!$H$61+'Assumptions and Catalog'!$E$61+'Assumptions and Catalog'!$F$61,IF(((D233+E233)*C233)&lt;='Assumptions and Catalog'!$C$62,((D233+E233)*C233)*'Assumptions and Catalog'!$H$62+'Assumptions and Catalog'!$E$62+'Assumptions and Catalog'!$F$62,IF(((D233+E233)*C233)&lt;='Assumptions and Catalog'!$C$63,((D233+E233)*C233)*'Assumptions and Catalog'!$H$63+'Assumptions and Catalog'!$E$63+'Assumptions and Catalog'!$F$63,IF(((D233+E233)*C233)&lt;='Assumptions and Catalog'!$C$64,((D233+E233)*C233)*'Assumptions and Catalog'!$H$64+'Assumptions and Catalog'!$E$64+'Assumptions and Catalog'!$F$64,IF(((D233+E233)*C233)&lt;='Assumptions and Catalog'!$C$65,((D233+E233)*C233)*'Assumptions and Catalog'!$H$65+'Assumptions and Catalog'!$E$65+'Assumptions and Catalog'!$F$65,"Out of range")))))))))*(1+'Assumptions and Catalog'!$C$8)^(A233-1),0)</f>
        <v>8554.9666666666672</v>
      </c>
      <c r="N233" s="5">
        <f>IF(ISNUMBER(Inputs!$L$5),(IF(Inputs!$L$9="Actual flat rate",L233*Inputs!$L$10,IF(Inputs!$C$9="Residential",IF(L233&lt;='Assumptions and Catalog'!$C$50,L233*'Assumptions and Catalog'!$H$50+'Assumptions and Catalog'!$E$50+'Assumptions and Catalog'!$F$50,IF(L233&lt;='Assumptions and Catalog'!$C$51,L233*'Assumptions and Catalog'!$H$51+'Assumptions and Catalog'!$E$51+'Assumptions and Catalog'!$F$51,IF(L233&lt;='Assumptions and Catalog'!$C$52,L233*'Assumptions and Catalog'!$H$52+'Assumptions and Catalog'!$E$52+'Assumptions and Catalog'!$F$52,IF(L233&lt;='Assumptions and Catalog'!$C$53,L233*'Assumptions and Catalog'!$H$53+'Assumptions and Catalog'!$E$53+'Assumptions and Catalog'!$F$53,IF(L233&lt;='Assumptions and Catalog'!$C$54,L233*'Assumptions and Catalog'!$H$54+'Assumptions and Catalog'!$E$54+'Assumptions and Catalog'!$F$54,IF(L233&lt;='Assumptions and Catalog'!$C$55,L233*'Assumptions and Catalog'!$H$55+'Assumptions and Catalog'!$E$55+'Assumptions and Catalog'!$F$55,IF(L233&lt;='Assumptions and Catalog'!$C$56,L233*'Assumptions and Catalog'!$H$56+'Assumptions and Catalog'!$E$56+'Assumptions and Catalog'!$F$56,IF(L233&lt;='Assumptions and Catalog'!$C$57,L233*'Assumptions and Catalog'!$H$57+'Assumptions and Catalog'!$E$57+'Assumptions and Catalog'!$F$57,"Out of range")))))))),IF(L233&lt;='Assumptions and Catalog'!$C$60,L233*'Assumptions and Catalog'!$H$60+'Assumptions and Catalog'!$E$60+'Assumptions and Catalog'!$F$60,IF(L233&lt;='Assumptions and Catalog'!$C$61,L233*'Assumptions and Catalog'!$H$61+'Assumptions and Catalog'!$E$61+'Assumptions and Catalog'!$F$61,IF(L233&lt;='Assumptions and Catalog'!$C$62,L233*'Assumptions and Catalog'!$H$62+'Assumptions and Catalog'!$E$62+'Assumptions and Catalog'!$F$62,IF(L233&lt;='Assumptions and Catalog'!$C$63,L233*'Assumptions and Catalog'!$H$63+'Assumptions and Catalog'!$E$63+'Assumptions and Catalog'!$F$63,IF(L233&lt;='Assumptions and Catalog'!$C$64,L233*'Assumptions and Catalog'!$H$64+'Assumptions and Catalog'!$E$64+'Assumptions and Catalog'!$F$64,IF(L233&lt;='Assumptions and Catalog'!$C$65,L233*'Assumptions and Catalog'!$H$65+'Assumptions and Catalog'!$E$65+'Assumptions and Catalog'!$F$65,"Out of range")))))))))*(1+'Assumptions and Catalog'!$C$8)^(A233-1),0)</f>
        <v>5122.6494646117726</v>
      </c>
      <c r="O233" s="5">
        <f t="shared" si="18"/>
        <v>3432.3172020548946</v>
      </c>
      <c r="P233" s="5">
        <f>C$55*(1-J$14)*(1-'Assumptions and Catalog'!$C$23)^R233</f>
        <v>0</v>
      </c>
      <c r="Q233" s="5">
        <f>IF(ISNUMBER(Inputs!$L$5),(IF(Inputs!$L$9="Actual flat rate",((D233+E233)*C233-G233)*Inputs!$L$10,IF(Inputs!$C$9="Residential",IF(((D233+E233)*C233-G233)&lt;='Assumptions and Catalog'!$C$50,((D233+E233)*C233-G233)*'Assumptions and Catalog'!$H$50+'Assumptions and Catalog'!$E$50+'Assumptions and Catalog'!$F$50,IF(((D233+E233)*C233-G233)&lt;='Assumptions and Catalog'!$C$51,((D233+E233)*C233-G233)*'Assumptions and Catalog'!$H$51+'Assumptions and Catalog'!$E$51+'Assumptions and Catalog'!$F$51,IF(((D233+E233)*C233-G233)&lt;='Assumptions and Catalog'!$C$52,((D233+E233)*C233-G233)*'Assumptions and Catalog'!$H$52+'Assumptions and Catalog'!$E$52+'Assumptions and Catalog'!$F$52,IF(((D233+E233)*C233-G233)&lt;='Assumptions and Catalog'!$C$53,((D233+E233)*C233-G233)*'Assumptions and Catalog'!$H$53+'Assumptions and Catalog'!$E$53+'Assumptions and Catalog'!$F$53,IF(((D233+E233)*C233-G233)&lt;='Assumptions and Catalog'!$C$54,((D233+E233)*C233-G233)*'Assumptions and Catalog'!$H$54+'Assumptions and Catalog'!$E$54+'Assumptions and Catalog'!$F$54,IF(((D233+E233)*C233-G233)&lt;='Assumptions and Catalog'!$C$55,((D233+E233)*C233-G233)*'Assumptions and Catalog'!$H$55+'Assumptions and Catalog'!$E$55+'Assumptions and Catalog'!$F$55,IF(((D233+E233)*C233-G233)&lt;='Assumptions and Catalog'!$C$56,((D233+E233)*C233-G233)*'Assumptions and Catalog'!$H$56+'Assumptions and Catalog'!$E$56+'Assumptions and Catalog'!$F$56,IF(((D233+E233)*C233-G233)&lt;='Assumptions and Catalog'!$C$57,((D233+E233)*C233-G233)*'Assumptions and Catalog'!$H$57+'Assumptions and Catalog'!$E$57+'Assumptions and Catalog'!$F$57,"Out of range")))))))),IF(((D233+E233)*C233-G233)&lt;='Assumptions and Catalog'!$C$60,((D233+E233)*C233-G233)*'Assumptions and Catalog'!$H$60+'Assumptions and Catalog'!$E$60+'Assumptions and Catalog'!$F$60,IF(((D233+E233)*C233-G233)&lt;='Assumptions and Catalog'!$C$61,((D233+E233)*C233-G233)*'Assumptions and Catalog'!$H$61+'Assumptions and Catalog'!$E$61+'Assumptions and Catalog'!$F$61,IF(((D233+E233)*C233-G233)&lt;='Assumptions and Catalog'!$C$62,((D233+E233)*C233-G233)*'Assumptions and Catalog'!$H$62+'Assumptions and Catalog'!$E$62+'Assumptions and Catalog'!$F$62,IF(((D233+E233)*C233-G233)&lt;='Assumptions and Catalog'!$C$63,((D233+E233)*C233-G233)*'Assumptions and Catalog'!$H$63+'Assumptions and Catalog'!$E$63+'Assumptions and Catalog'!$F$63,IF(((D233+E233)*C233-G233)&lt;='Assumptions and Catalog'!$C$64,((D233+E233)*C233-G233)*'Assumptions and Catalog'!$H$64+'Assumptions and Catalog'!$E$64+'Assumptions and Catalog'!$F$64,IF(((D233+E233)*C233-G233)&lt;='Assumptions and Catalog'!$C$65,((D233+E233)*C233-G233)*'Assumptions and Catalog'!$H$65+'Assumptions and Catalog'!$E$65+'Assumptions and Catalog'!$F$65,"Out of range")))))))))*(1+'Assumptions and Catalog'!$C$8)^(A233-1),0)</f>
        <v>5122.6494646117726</v>
      </c>
      <c r="R233" s="5">
        <f>IF(AND('Assumptions and Catalog'!$C$19&gt;0,A233&gt;='Assumptions and Catalog'!$C$19),A233-'Assumptions and Catalog'!$C$19,A233-1)</f>
        <v>6</v>
      </c>
      <c r="S233" s="5">
        <f t="shared" si="19"/>
        <v>0</v>
      </c>
      <c r="T233" s="5"/>
      <c r="U233" s="5"/>
    </row>
    <row r="234" spans="1:21" ht="23.1" customHeight="1" outlineLevel="1" x14ac:dyDescent="0.2">
      <c r="A234" s="5">
        <v>7</v>
      </c>
      <c r="B234" s="5">
        <v>2</v>
      </c>
      <c r="C234" s="5">
        <f>DAY(DATE('Assumptions and Catalog'!$C$24+A234-1,B234+1,0))</f>
        <v>28</v>
      </c>
      <c r="D234" s="5">
        <f>IF(ISNUMBER(Inputs!$L$5),Inputs!$L$5*Inputs!$L$6,0)</f>
        <v>40.35</v>
      </c>
      <c r="E234" s="5">
        <f>IF(ISNUMBER(Inputs!$L$5),Inputs!$L$5-D234,0)</f>
        <v>40.35</v>
      </c>
      <c r="F234" s="5">
        <f>C$51*'Assumptions and Catalog'!$C$31*C234*(1-'Assumptions and Catalog'!$C$10)^(A234-1)</f>
        <v>906.56857612107274</v>
      </c>
      <c r="G234" s="5">
        <f t="shared" si="14"/>
        <v>906.56857612107274</v>
      </c>
      <c r="H234" s="5">
        <f>I234/('Assumptions and Catalog'!$C$11*'Assumptions and Catalog'!$C$12)</f>
        <v>0</v>
      </c>
      <c r="I234" s="5">
        <f>0</f>
        <v>0</v>
      </c>
      <c r="J234" s="5">
        <f t="shared" si="15"/>
        <v>0</v>
      </c>
      <c r="K234" s="5">
        <f t="shared" si="16"/>
        <v>0</v>
      </c>
      <c r="L234" s="5">
        <f t="shared" si="17"/>
        <v>1353.0314238789272</v>
      </c>
      <c r="M234" s="5">
        <f>IF(ISNUMBER(Inputs!$L$5),(IF(Inputs!$L$9="Actual flat rate",((D234+E234)*C234)*Inputs!$L$10,IF(Inputs!$C$9="Residential",IF(((D234+E234)*C234)&lt;='Assumptions and Catalog'!$C$50,((D234+E234)*C234)*'Assumptions and Catalog'!$H$50+'Assumptions and Catalog'!$E$50+'Assumptions and Catalog'!$F$50,IF(((D234+E234)*C234)&lt;='Assumptions and Catalog'!$C$51,((D234+E234)*C234)*'Assumptions and Catalog'!$H$51+'Assumptions and Catalog'!$E$51+'Assumptions and Catalog'!$F$51,IF(((D234+E234)*C234)&lt;='Assumptions and Catalog'!$C$52,((D234+E234)*C234)*'Assumptions and Catalog'!$H$52+'Assumptions and Catalog'!$E$52+'Assumptions and Catalog'!$F$52,IF(((D234+E234)*C234)&lt;='Assumptions and Catalog'!$C$53,((D234+E234)*C234)*'Assumptions and Catalog'!$H$53+'Assumptions and Catalog'!$E$53+'Assumptions and Catalog'!$F$53,IF(((D234+E234)*C234)&lt;='Assumptions and Catalog'!$C$54,((D234+E234)*C234)*'Assumptions and Catalog'!$H$54+'Assumptions and Catalog'!$E$54+'Assumptions and Catalog'!$F$54,IF(((D234+E234)*C234)&lt;='Assumptions and Catalog'!$C$55,((D234+E234)*C234)*'Assumptions and Catalog'!$H$55+'Assumptions and Catalog'!$E$55+'Assumptions and Catalog'!$F$55,IF(((D234+E234)*C234)&lt;='Assumptions and Catalog'!$C$56,((D234+E234)*C234)*'Assumptions and Catalog'!$H$56+'Assumptions and Catalog'!$E$56+'Assumptions and Catalog'!$F$56,IF(((D234+E234)*C234)&lt;='Assumptions and Catalog'!$C$57,((D234+E234)*C234)*'Assumptions and Catalog'!$H$57+'Assumptions and Catalog'!$E$57+'Assumptions and Catalog'!$F$57,"Out of range")))))))),IF(((D234+E234)*C234)&lt;='Assumptions and Catalog'!$C$60,((D234+E234)*C234)*'Assumptions and Catalog'!$H$60+'Assumptions and Catalog'!$E$60+'Assumptions and Catalog'!$F$60,IF(((D234+E234)*C234)&lt;='Assumptions and Catalog'!$C$61,((D234+E234)*C234)*'Assumptions and Catalog'!$H$61+'Assumptions and Catalog'!$E$61+'Assumptions and Catalog'!$F$61,IF(((D234+E234)*C234)&lt;='Assumptions and Catalog'!$C$62,((D234+E234)*C234)*'Assumptions and Catalog'!$H$62+'Assumptions and Catalog'!$E$62+'Assumptions and Catalog'!$F$62,IF(((D234+E234)*C234)&lt;='Assumptions and Catalog'!$C$63,((D234+E234)*C234)*'Assumptions and Catalog'!$H$63+'Assumptions and Catalog'!$E$63+'Assumptions and Catalog'!$F$63,IF(((D234+E234)*C234)&lt;='Assumptions and Catalog'!$C$64,((D234+E234)*C234)*'Assumptions and Catalog'!$H$64+'Assumptions and Catalog'!$E$64+'Assumptions and Catalog'!$F$64,IF(((D234+E234)*C234)&lt;='Assumptions and Catalog'!$C$65,((D234+E234)*C234)*'Assumptions and Catalog'!$H$65+'Assumptions and Catalog'!$E$65+'Assumptions and Catalog'!$F$65,"Out of range")))))))))*(1+'Assumptions and Catalog'!$C$8)^(A234-1),0)</f>
        <v>7727.0666666666657</v>
      </c>
      <c r="N234" s="5">
        <f>IF(ISNUMBER(Inputs!$L$5),(IF(Inputs!$L$9="Actual flat rate",L234*Inputs!$L$10,IF(Inputs!$C$9="Residential",IF(L234&lt;='Assumptions and Catalog'!$C$50,L234*'Assumptions and Catalog'!$H$50+'Assumptions and Catalog'!$E$50+'Assumptions and Catalog'!$F$50,IF(L234&lt;='Assumptions and Catalog'!$C$51,L234*'Assumptions and Catalog'!$H$51+'Assumptions and Catalog'!$E$51+'Assumptions and Catalog'!$F$51,IF(L234&lt;='Assumptions and Catalog'!$C$52,L234*'Assumptions and Catalog'!$H$52+'Assumptions and Catalog'!$E$52+'Assumptions and Catalog'!$F$52,IF(L234&lt;='Assumptions and Catalog'!$C$53,L234*'Assumptions and Catalog'!$H$53+'Assumptions and Catalog'!$E$53+'Assumptions and Catalog'!$F$53,IF(L234&lt;='Assumptions and Catalog'!$C$54,L234*'Assumptions and Catalog'!$H$54+'Assumptions and Catalog'!$E$54+'Assumptions and Catalog'!$F$54,IF(L234&lt;='Assumptions and Catalog'!$C$55,L234*'Assumptions and Catalog'!$H$55+'Assumptions and Catalog'!$E$55+'Assumptions and Catalog'!$F$55,IF(L234&lt;='Assumptions and Catalog'!$C$56,L234*'Assumptions and Catalog'!$H$56+'Assumptions and Catalog'!$E$56+'Assumptions and Catalog'!$F$56,IF(L234&lt;='Assumptions and Catalog'!$C$57,L234*'Assumptions and Catalog'!$H$57+'Assumptions and Catalog'!$E$57+'Assumptions and Catalog'!$F$57,"Out of range")))))))),IF(L234&lt;='Assumptions and Catalog'!$C$60,L234*'Assumptions and Catalog'!$H$60+'Assumptions and Catalog'!$E$60+'Assumptions and Catalog'!$F$60,IF(L234&lt;='Assumptions and Catalog'!$C$61,L234*'Assumptions and Catalog'!$H$61+'Assumptions and Catalog'!$E$61+'Assumptions and Catalog'!$F$61,IF(L234&lt;='Assumptions and Catalog'!$C$62,L234*'Assumptions and Catalog'!$H$62+'Assumptions and Catalog'!$E$62+'Assumptions and Catalog'!$F$62,IF(L234&lt;='Assumptions and Catalog'!$C$63,L234*'Assumptions and Catalog'!$H$63+'Assumptions and Catalog'!$E$63+'Assumptions and Catalog'!$F$63,IF(L234&lt;='Assumptions and Catalog'!$C$64,L234*'Assumptions and Catalog'!$H$64+'Assumptions and Catalog'!$E$64+'Assumptions and Catalog'!$F$64,IF(L234&lt;='Assumptions and Catalog'!$C$65,L234*'Assumptions and Catalog'!$H$65+'Assumptions and Catalog'!$E$65+'Assumptions and Catalog'!$F$65,"Out of range")))))))))*(1+'Assumptions and Catalog'!$C$8)^(A234-1),0)</f>
        <v>4626.9091938428901</v>
      </c>
      <c r="O234" s="5">
        <f t="shared" si="18"/>
        <v>3100.1574728237756</v>
      </c>
      <c r="P234" s="5">
        <f>C$55*(1-J$14)*(1-'Assumptions and Catalog'!$C$23)^R234</f>
        <v>0</v>
      </c>
      <c r="Q234" s="5">
        <f>IF(ISNUMBER(Inputs!$L$5),(IF(Inputs!$L$9="Actual flat rate",((D234+E234)*C234-G234)*Inputs!$L$10,IF(Inputs!$C$9="Residential",IF(((D234+E234)*C234-G234)&lt;='Assumptions and Catalog'!$C$50,((D234+E234)*C234-G234)*'Assumptions and Catalog'!$H$50+'Assumptions and Catalog'!$E$50+'Assumptions and Catalog'!$F$50,IF(((D234+E234)*C234-G234)&lt;='Assumptions and Catalog'!$C$51,((D234+E234)*C234-G234)*'Assumptions and Catalog'!$H$51+'Assumptions and Catalog'!$E$51+'Assumptions and Catalog'!$F$51,IF(((D234+E234)*C234-G234)&lt;='Assumptions and Catalog'!$C$52,((D234+E234)*C234-G234)*'Assumptions and Catalog'!$H$52+'Assumptions and Catalog'!$E$52+'Assumptions and Catalog'!$F$52,IF(((D234+E234)*C234-G234)&lt;='Assumptions and Catalog'!$C$53,((D234+E234)*C234-G234)*'Assumptions and Catalog'!$H$53+'Assumptions and Catalog'!$E$53+'Assumptions and Catalog'!$F$53,IF(((D234+E234)*C234-G234)&lt;='Assumptions and Catalog'!$C$54,((D234+E234)*C234-G234)*'Assumptions and Catalog'!$H$54+'Assumptions and Catalog'!$E$54+'Assumptions and Catalog'!$F$54,IF(((D234+E234)*C234-G234)&lt;='Assumptions and Catalog'!$C$55,((D234+E234)*C234-G234)*'Assumptions and Catalog'!$H$55+'Assumptions and Catalog'!$E$55+'Assumptions and Catalog'!$F$55,IF(((D234+E234)*C234-G234)&lt;='Assumptions and Catalog'!$C$56,((D234+E234)*C234-G234)*'Assumptions and Catalog'!$H$56+'Assumptions and Catalog'!$E$56+'Assumptions and Catalog'!$F$56,IF(((D234+E234)*C234-G234)&lt;='Assumptions and Catalog'!$C$57,((D234+E234)*C234-G234)*'Assumptions and Catalog'!$H$57+'Assumptions and Catalog'!$E$57+'Assumptions and Catalog'!$F$57,"Out of range")))))))),IF(((D234+E234)*C234-G234)&lt;='Assumptions and Catalog'!$C$60,((D234+E234)*C234-G234)*'Assumptions and Catalog'!$H$60+'Assumptions and Catalog'!$E$60+'Assumptions and Catalog'!$F$60,IF(((D234+E234)*C234-G234)&lt;='Assumptions and Catalog'!$C$61,((D234+E234)*C234-G234)*'Assumptions and Catalog'!$H$61+'Assumptions and Catalog'!$E$61+'Assumptions and Catalog'!$F$61,IF(((D234+E234)*C234-G234)&lt;='Assumptions and Catalog'!$C$62,((D234+E234)*C234-G234)*'Assumptions and Catalog'!$H$62+'Assumptions and Catalog'!$E$62+'Assumptions and Catalog'!$F$62,IF(((D234+E234)*C234-G234)&lt;='Assumptions and Catalog'!$C$63,((D234+E234)*C234-G234)*'Assumptions and Catalog'!$H$63+'Assumptions and Catalog'!$E$63+'Assumptions and Catalog'!$F$63,IF(((D234+E234)*C234-G234)&lt;='Assumptions and Catalog'!$C$64,((D234+E234)*C234-G234)*'Assumptions and Catalog'!$H$64+'Assumptions and Catalog'!$E$64+'Assumptions and Catalog'!$F$64,IF(((D234+E234)*C234-G234)&lt;='Assumptions and Catalog'!$C$65,((D234+E234)*C234-G234)*'Assumptions and Catalog'!$H$65+'Assumptions and Catalog'!$E$65+'Assumptions and Catalog'!$F$65,"Out of range")))))))))*(1+'Assumptions and Catalog'!$C$8)^(A234-1),0)</f>
        <v>4626.9091938428901</v>
      </c>
      <c r="R234" s="5">
        <f>IF(AND('Assumptions and Catalog'!$C$19&gt;0,A234&gt;='Assumptions and Catalog'!$C$19),A234-'Assumptions and Catalog'!$C$19,A234-1)</f>
        <v>6</v>
      </c>
      <c r="S234" s="5">
        <f t="shared" si="19"/>
        <v>0</v>
      </c>
      <c r="T234" s="5"/>
      <c r="U234" s="5"/>
    </row>
    <row r="235" spans="1:21" ht="23.1" customHeight="1" outlineLevel="1" x14ac:dyDescent="0.2">
      <c r="A235" s="5">
        <v>7</v>
      </c>
      <c r="B235" s="5">
        <v>3</v>
      </c>
      <c r="C235" s="5">
        <f>DAY(DATE('Assumptions and Catalog'!$C$24+A235-1,B235+1,0))</f>
        <v>31</v>
      </c>
      <c r="D235" s="5">
        <f>IF(ISNUMBER(Inputs!$L$5),Inputs!$L$5*Inputs!$L$6,0)</f>
        <v>40.35</v>
      </c>
      <c r="E235" s="5">
        <f>IF(ISNUMBER(Inputs!$L$5),Inputs!$L$5-D235,0)</f>
        <v>40.35</v>
      </c>
      <c r="F235" s="5">
        <f>C$51*'Assumptions and Catalog'!$C$31*C235*(1-'Assumptions and Catalog'!$C$10)^(A235-1)</f>
        <v>1003.7009235626163</v>
      </c>
      <c r="G235" s="5">
        <f t="shared" si="14"/>
        <v>1003.7009235626163</v>
      </c>
      <c r="H235" s="5">
        <f>I235/('Assumptions and Catalog'!$C$11*'Assumptions and Catalog'!$C$12)</f>
        <v>0</v>
      </c>
      <c r="I235" s="5">
        <f>0</f>
        <v>0</v>
      </c>
      <c r="J235" s="5">
        <f t="shared" si="15"/>
        <v>0</v>
      </c>
      <c r="K235" s="5">
        <f t="shared" si="16"/>
        <v>0</v>
      </c>
      <c r="L235" s="5">
        <f t="shared" si="17"/>
        <v>1497.999076437384</v>
      </c>
      <c r="M235" s="5">
        <f>IF(ISNUMBER(Inputs!$L$5),(IF(Inputs!$L$9="Actual flat rate",((D235+E235)*C235)*Inputs!$L$10,IF(Inputs!$C$9="Residential",IF(((D235+E235)*C235)&lt;='Assumptions and Catalog'!$C$50,((D235+E235)*C235)*'Assumptions and Catalog'!$H$50+'Assumptions and Catalog'!$E$50+'Assumptions and Catalog'!$F$50,IF(((D235+E235)*C235)&lt;='Assumptions and Catalog'!$C$51,((D235+E235)*C235)*'Assumptions and Catalog'!$H$51+'Assumptions and Catalog'!$E$51+'Assumptions and Catalog'!$F$51,IF(((D235+E235)*C235)&lt;='Assumptions and Catalog'!$C$52,((D235+E235)*C235)*'Assumptions and Catalog'!$H$52+'Assumptions and Catalog'!$E$52+'Assumptions and Catalog'!$F$52,IF(((D235+E235)*C235)&lt;='Assumptions and Catalog'!$C$53,((D235+E235)*C235)*'Assumptions and Catalog'!$H$53+'Assumptions and Catalog'!$E$53+'Assumptions and Catalog'!$F$53,IF(((D235+E235)*C235)&lt;='Assumptions and Catalog'!$C$54,((D235+E235)*C235)*'Assumptions and Catalog'!$H$54+'Assumptions and Catalog'!$E$54+'Assumptions and Catalog'!$F$54,IF(((D235+E235)*C235)&lt;='Assumptions and Catalog'!$C$55,((D235+E235)*C235)*'Assumptions and Catalog'!$H$55+'Assumptions and Catalog'!$E$55+'Assumptions and Catalog'!$F$55,IF(((D235+E235)*C235)&lt;='Assumptions and Catalog'!$C$56,((D235+E235)*C235)*'Assumptions and Catalog'!$H$56+'Assumptions and Catalog'!$E$56+'Assumptions and Catalog'!$F$56,IF(((D235+E235)*C235)&lt;='Assumptions and Catalog'!$C$57,((D235+E235)*C235)*'Assumptions and Catalog'!$H$57+'Assumptions and Catalog'!$E$57+'Assumptions and Catalog'!$F$57,"Out of range")))))))),IF(((D235+E235)*C235)&lt;='Assumptions and Catalog'!$C$60,((D235+E235)*C235)*'Assumptions and Catalog'!$H$60+'Assumptions and Catalog'!$E$60+'Assumptions and Catalog'!$F$60,IF(((D235+E235)*C235)&lt;='Assumptions and Catalog'!$C$61,((D235+E235)*C235)*'Assumptions and Catalog'!$H$61+'Assumptions and Catalog'!$E$61+'Assumptions and Catalog'!$F$61,IF(((D235+E235)*C235)&lt;='Assumptions and Catalog'!$C$62,((D235+E235)*C235)*'Assumptions and Catalog'!$H$62+'Assumptions and Catalog'!$E$62+'Assumptions and Catalog'!$F$62,IF(((D235+E235)*C235)&lt;='Assumptions and Catalog'!$C$63,((D235+E235)*C235)*'Assumptions and Catalog'!$H$63+'Assumptions and Catalog'!$E$63+'Assumptions and Catalog'!$F$63,IF(((D235+E235)*C235)&lt;='Assumptions and Catalog'!$C$64,((D235+E235)*C235)*'Assumptions and Catalog'!$H$64+'Assumptions and Catalog'!$E$64+'Assumptions and Catalog'!$F$64,IF(((D235+E235)*C235)&lt;='Assumptions and Catalog'!$C$65,((D235+E235)*C235)*'Assumptions and Catalog'!$H$65+'Assumptions and Catalog'!$E$65+'Assumptions and Catalog'!$F$65,"Out of range")))))))))*(1+'Assumptions and Catalog'!$C$8)^(A235-1),0)</f>
        <v>8554.9666666666672</v>
      </c>
      <c r="N235" s="5">
        <f>IF(ISNUMBER(Inputs!$L$5),(IF(Inputs!$L$9="Actual flat rate",L235*Inputs!$L$10,IF(Inputs!$C$9="Residential",IF(L235&lt;='Assumptions and Catalog'!$C$50,L235*'Assumptions and Catalog'!$H$50+'Assumptions and Catalog'!$E$50+'Assumptions and Catalog'!$F$50,IF(L235&lt;='Assumptions and Catalog'!$C$51,L235*'Assumptions and Catalog'!$H$51+'Assumptions and Catalog'!$E$51+'Assumptions and Catalog'!$F$51,IF(L235&lt;='Assumptions and Catalog'!$C$52,L235*'Assumptions and Catalog'!$H$52+'Assumptions and Catalog'!$E$52+'Assumptions and Catalog'!$F$52,IF(L235&lt;='Assumptions and Catalog'!$C$53,L235*'Assumptions and Catalog'!$H$53+'Assumptions and Catalog'!$E$53+'Assumptions and Catalog'!$F$53,IF(L235&lt;='Assumptions and Catalog'!$C$54,L235*'Assumptions and Catalog'!$H$54+'Assumptions and Catalog'!$E$54+'Assumptions and Catalog'!$F$54,IF(L235&lt;='Assumptions and Catalog'!$C$55,L235*'Assumptions and Catalog'!$H$55+'Assumptions and Catalog'!$E$55+'Assumptions and Catalog'!$F$55,IF(L235&lt;='Assumptions and Catalog'!$C$56,L235*'Assumptions and Catalog'!$H$56+'Assumptions and Catalog'!$E$56+'Assumptions and Catalog'!$F$56,IF(L235&lt;='Assumptions and Catalog'!$C$57,L235*'Assumptions and Catalog'!$H$57+'Assumptions and Catalog'!$E$57+'Assumptions and Catalog'!$F$57,"Out of range")))))))),IF(L235&lt;='Assumptions and Catalog'!$C$60,L235*'Assumptions and Catalog'!$H$60+'Assumptions and Catalog'!$E$60+'Assumptions and Catalog'!$F$60,IF(L235&lt;='Assumptions and Catalog'!$C$61,L235*'Assumptions and Catalog'!$H$61+'Assumptions and Catalog'!$E$61+'Assumptions and Catalog'!$F$61,IF(L235&lt;='Assumptions and Catalog'!$C$62,L235*'Assumptions and Catalog'!$H$62+'Assumptions and Catalog'!$E$62+'Assumptions and Catalog'!$F$62,IF(L235&lt;='Assumptions and Catalog'!$C$63,L235*'Assumptions and Catalog'!$H$63+'Assumptions and Catalog'!$E$63+'Assumptions and Catalog'!$F$63,IF(L235&lt;='Assumptions and Catalog'!$C$64,L235*'Assumptions and Catalog'!$H$64+'Assumptions and Catalog'!$E$64+'Assumptions and Catalog'!$F$64,IF(L235&lt;='Assumptions and Catalog'!$C$65,L235*'Assumptions and Catalog'!$H$65+'Assumptions and Catalog'!$E$65+'Assumptions and Catalog'!$F$65,"Out of range")))))))))*(1+'Assumptions and Catalog'!$C$8)^(A235-1),0)</f>
        <v>5122.6494646117726</v>
      </c>
      <c r="O235" s="5">
        <f t="shared" si="18"/>
        <v>3432.3172020548946</v>
      </c>
      <c r="P235" s="5">
        <f>C$55*(1-J$14)*(1-'Assumptions and Catalog'!$C$23)^R235</f>
        <v>0</v>
      </c>
      <c r="Q235" s="5">
        <f>IF(ISNUMBER(Inputs!$L$5),(IF(Inputs!$L$9="Actual flat rate",((D235+E235)*C235-G235)*Inputs!$L$10,IF(Inputs!$C$9="Residential",IF(((D235+E235)*C235-G235)&lt;='Assumptions and Catalog'!$C$50,((D235+E235)*C235-G235)*'Assumptions and Catalog'!$H$50+'Assumptions and Catalog'!$E$50+'Assumptions and Catalog'!$F$50,IF(((D235+E235)*C235-G235)&lt;='Assumptions and Catalog'!$C$51,((D235+E235)*C235-G235)*'Assumptions and Catalog'!$H$51+'Assumptions and Catalog'!$E$51+'Assumptions and Catalog'!$F$51,IF(((D235+E235)*C235-G235)&lt;='Assumptions and Catalog'!$C$52,((D235+E235)*C235-G235)*'Assumptions and Catalog'!$H$52+'Assumptions and Catalog'!$E$52+'Assumptions and Catalog'!$F$52,IF(((D235+E235)*C235-G235)&lt;='Assumptions and Catalog'!$C$53,((D235+E235)*C235-G235)*'Assumptions and Catalog'!$H$53+'Assumptions and Catalog'!$E$53+'Assumptions and Catalog'!$F$53,IF(((D235+E235)*C235-G235)&lt;='Assumptions and Catalog'!$C$54,((D235+E235)*C235-G235)*'Assumptions and Catalog'!$H$54+'Assumptions and Catalog'!$E$54+'Assumptions and Catalog'!$F$54,IF(((D235+E235)*C235-G235)&lt;='Assumptions and Catalog'!$C$55,((D235+E235)*C235-G235)*'Assumptions and Catalog'!$H$55+'Assumptions and Catalog'!$E$55+'Assumptions and Catalog'!$F$55,IF(((D235+E235)*C235-G235)&lt;='Assumptions and Catalog'!$C$56,((D235+E235)*C235-G235)*'Assumptions and Catalog'!$H$56+'Assumptions and Catalog'!$E$56+'Assumptions and Catalog'!$F$56,IF(((D235+E235)*C235-G235)&lt;='Assumptions and Catalog'!$C$57,((D235+E235)*C235-G235)*'Assumptions and Catalog'!$H$57+'Assumptions and Catalog'!$E$57+'Assumptions and Catalog'!$F$57,"Out of range")))))))),IF(((D235+E235)*C235-G235)&lt;='Assumptions and Catalog'!$C$60,((D235+E235)*C235-G235)*'Assumptions and Catalog'!$H$60+'Assumptions and Catalog'!$E$60+'Assumptions and Catalog'!$F$60,IF(((D235+E235)*C235-G235)&lt;='Assumptions and Catalog'!$C$61,((D235+E235)*C235-G235)*'Assumptions and Catalog'!$H$61+'Assumptions and Catalog'!$E$61+'Assumptions and Catalog'!$F$61,IF(((D235+E235)*C235-G235)&lt;='Assumptions and Catalog'!$C$62,((D235+E235)*C235-G235)*'Assumptions and Catalog'!$H$62+'Assumptions and Catalog'!$E$62+'Assumptions and Catalog'!$F$62,IF(((D235+E235)*C235-G235)&lt;='Assumptions and Catalog'!$C$63,((D235+E235)*C235-G235)*'Assumptions and Catalog'!$H$63+'Assumptions and Catalog'!$E$63+'Assumptions and Catalog'!$F$63,IF(((D235+E235)*C235-G235)&lt;='Assumptions and Catalog'!$C$64,((D235+E235)*C235-G235)*'Assumptions and Catalog'!$H$64+'Assumptions and Catalog'!$E$64+'Assumptions and Catalog'!$F$64,IF(((D235+E235)*C235-G235)&lt;='Assumptions and Catalog'!$C$65,((D235+E235)*C235-G235)*'Assumptions and Catalog'!$H$65+'Assumptions and Catalog'!$E$65+'Assumptions and Catalog'!$F$65,"Out of range")))))))))*(1+'Assumptions and Catalog'!$C$8)^(A235-1),0)</f>
        <v>5122.6494646117726</v>
      </c>
      <c r="R235" s="5">
        <f>IF(AND('Assumptions and Catalog'!$C$19&gt;0,A235&gt;='Assumptions and Catalog'!$C$19),A235-'Assumptions and Catalog'!$C$19,A235-1)</f>
        <v>6</v>
      </c>
      <c r="S235" s="5">
        <f t="shared" si="19"/>
        <v>0</v>
      </c>
      <c r="T235" s="5"/>
      <c r="U235" s="5"/>
    </row>
    <row r="236" spans="1:21" ht="23.1" customHeight="1" outlineLevel="1" x14ac:dyDescent="0.2">
      <c r="A236" s="5">
        <v>7</v>
      </c>
      <c r="B236" s="5">
        <v>4</v>
      </c>
      <c r="C236" s="5">
        <f>DAY(DATE('Assumptions and Catalog'!$C$24+A236-1,B236+1,0))</f>
        <v>30</v>
      </c>
      <c r="D236" s="5">
        <f>IF(ISNUMBER(Inputs!$L$5),Inputs!$L$5*Inputs!$L$6,0)</f>
        <v>40.35</v>
      </c>
      <c r="E236" s="5">
        <f>IF(ISNUMBER(Inputs!$L$5),Inputs!$L$5-D236,0)</f>
        <v>40.35</v>
      </c>
      <c r="F236" s="5">
        <f>C$51*'Assumptions and Catalog'!$C$31*C236*(1-'Assumptions and Catalog'!$C$10)^(A236-1)</f>
        <v>971.32347441543516</v>
      </c>
      <c r="G236" s="5">
        <f t="shared" si="14"/>
        <v>971.32347441543516</v>
      </c>
      <c r="H236" s="5">
        <f>I236/('Assumptions and Catalog'!$C$11*'Assumptions and Catalog'!$C$12)</f>
        <v>0</v>
      </c>
      <c r="I236" s="5">
        <f>0</f>
        <v>0</v>
      </c>
      <c r="J236" s="5">
        <f t="shared" si="15"/>
        <v>0</v>
      </c>
      <c r="K236" s="5">
        <f t="shared" si="16"/>
        <v>0</v>
      </c>
      <c r="L236" s="5">
        <f t="shared" si="17"/>
        <v>1449.6765255845648</v>
      </c>
      <c r="M236" s="5">
        <f>IF(ISNUMBER(Inputs!$L$5),(IF(Inputs!$L$9="Actual flat rate",((D236+E236)*C236)*Inputs!$L$10,IF(Inputs!$C$9="Residential",IF(((D236+E236)*C236)&lt;='Assumptions and Catalog'!$C$50,((D236+E236)*C236)*'Assumptions and Catalog'!$H$50+'Assumptions and Catalog'!$E$50+'Assumptions and Catalog'!$F$50,IF(((D236+E236)*C236)&lt;='Assumptions and Catalog'!$C$51,((D236+E236)*C236)*'Assumptions and Catalog'!$H$51+'Assumptions and Catalog'!$E$51+'Assumptions and Catalog'!$F$51,IF(((D236+E236)*C236)&lt;='Assumptions and Catalog'!$C$52,((D236+E236)*C236)*'Assumptions and Catalog'!$H$52+'Assumptions and Catalog'!$E$52+'Assumptions and Catalog'!$F$52,IF(((D236+E236)*C236)&lt;='Assumptions and Catalog'!$C$53,((D236+E236)*C236)*'Assumptions and Catalog'!$H$53+'Assumptions and Catalog'!$E$53+'Assumptions and Catalog'!$F$53,IF(((D236+E236)*C236)&lt;='Assumptions and Catalog'!$C$54,((D236+E236)*C236)*'Assumptions and Catalog'!$H$54+'Assumptions and Catalog'!$E$54+'Assumptions and Catalog'!$F$54,IF(((D236+E236)*C236)&lt;='Assumptions and Catalog'!$C$55,((D236+E236)*C236)*'Assumptions and Catalog'!$H$55+'Assumptions and Catalog'!$E$55+'Assumptions and Catalog'!$F$55,IF(((D236+E236)*C236)&lt;='Assumptions and Catalog'!$C$56,((D236+E236)*C236)*'Assumptions and Catalog'!$H$56+'Assumptions and Catalog'!$E$56+'Assumptions and Catalog'!$F$56,IF(((D236+E236)*C236)&lt;='Assumptions and Catalog'!$C$57,((D236+E236)*C236)*'Assumptions and Catalog'!$H$57+'Assumptions and Catalog'!$E$57+'Assumptions and Catalog'!$F$57,"Out of range")))))))),IF(((D236+E236)*C236)&lt;='Assumptions and Catalog'!$C$60,((D236+E236)*C236)*'Assumptions and Catalog'!$H$60+'Assumptions and Catalog'!$E$60+'Assumptions and Catalog'!$F$60,IF(((D236+E236)*C236)&lt;='Assumptions and Catalog'!$C$61,((D236+E236)*C236)*'Assumptions and Catalog'!$H$61+'Assumptions and Catalog'!$E$61+'Assumptions and Catalog'!$F$61,IF(((D236+E236)*C236)&lt;='Assumptions and Catalog'!$C$62,((D236+E236)*C236)*'Assumptions and Catalog'!$H$62+'Assumptions and Catalog'!$E$62+'Assumptions and Catalog'!$F$62,IF(((D236+E236)*C236)&lt;='Assumptions and Catalog'!$C$63,((D236+E236)*C236)*'Assumptions and Catalog'!$H$63+'Assumptions and Catalog'!$E$63+'Assumptions and Catalog'!$F$63,IF(((D236+E236)*C236)&lt;='Assumptions and Catalog'!$C$64,((D236+E236)*C236)*'Assumptions and Catalog'!$H$64+'Assumptions and Catalog'!$E$64+'Assumptions and Catalog'!$F$64,IF(((D236+E236)*C236)&lt;='Assumptions and Catalog'!$C$65,((D236+E236)*C236)*'Assumptions and Catalog'!$H$65+'Assumptions and Catalog'!$E$65+'Assumptions and Catalog'!$F$65,"Out of range")))))))))*(1+'Assumptions and Catalog'!$C$8)^(A236-1),0)</f>
        <v>8279</v>
      </c>
      <c r="N236" s="5">
        <f>IF(ISNUMBER(Inputs!$L$5),(IF(Inputs!$L$9="Actual flat rate",L236*Inputs!$L$10,IF(Inputs!$C$9="Residential",IF(L236&lt;='Assumptions and Catalog'!$C$50,L236*'Assumptions and Catalog'!$H$50+'Assumptions and Catalog'!$E$50+'Assumptions and Catalog'!$F$50,IF(L236&lt;='Assumptions and Catalog'!$C$51,L236*'Assumptions and Catalog'!$H$51+'Assumptions and Catalog'!$E$51+'Assumptions and Catalog'!$F$51,IF(L236&lt;='Assumptions and Catalog'!$C$52,L236*'Assumptions and Catalog'!$H$52+'Assumptions and Catalog'!$E$52+'Assumptions and Catalog'!$F$52,IF(L236&lt;='Assumptions and Catalog'!$C$53,L236*'Assumptions and Catalog'!$H$53+'Assumptions and Catalog'!$E$53+'Assumptions and Catalog'!$F$53,IF(L236&lt;='Assumptions and Catalog'!$C$54,L236*'Assumptions and Catalog'!$H$54+'Assumptions and Catalog'!$E$54+'Assumptions and Catalog'!$F$54,IF(L236&lt;='Assumptions and Catalog'!$C$55,L236*'Assumptions and Catalog'!$H$55+'Assumptions and Catalog'!$E$55+'Assumptions and Catalog'!$F$55,IF(L236&lt;='Assumptions and Catalog'!$C$56,L236*'Assumptions and Catalog'!$H$56+'Assumptions and Catalog'!$E$56+'Assumptions and Catalog'!$F$56,IF(L236&lt;='Assumptions and Catalog'!$C$57,L236*'Assumptions and Catalog'!$H$57+'Assumptions and Catalog'!$E$57+'Assumptions and Catalog'!$F$57,"Out of range")))))))),IF(L236&lt;='Assumptions and Catalog'!$C$60,L236*'Assumptions and Catalog'!$H$60+'Assumptions and Catalog'!$E$60+'Assumptions and Catalog'!$F$60,IF(L236&lt;='Assumptions and Catalog'!$C$61,L236*'Assumptions and Catalog'!$H$61+'Assumptions and Catalog'!$E$61+'Assumptions and Catalog'!$F$61,IF(L236&lt;='Assumptions and Catalog'!$C$62,L236*'Assumptions and Catalog'!$H$62+'Assumptions and Catalog'!$E$62+'Assumptions and Catalog'!$F$62,IF(L236&lt;='Assumptions and Catalog'!$C$63,L236*'Assumptions and Catalog'!$H$63+'Assumptions and Catalog'!$E$63+'Assumptions and Catalog'!$F$63,IF(L236&lt;='Assumptions and Catalog'!$C$64,L236*'Assumptions and Catalog'!$H$64+'Assumptions and Catalog'!$E$64+'Assumptions and Catalog'!$F$64,IF(L236&lt;='Assumptions and Catalog'!$C$65,L236*'Assumptions and Catalog'!$H$65+'Assumptions and Catalog'!$E$65+'Assumptions and Catalog'!$F$65,"Out of range")))))))))*(1+'Assumptions and Catalog'!$C$8)^(A236-1),0)</f>
        <v>4957.4027076888115</v>
      </c>
      <c r="O236" s="5">
        <f t="shared" si="18"/>
        <v>3321.5972923111885</v>
      </c>
      <c r="P236" s="5">
        <f>C$55*(1-J$14)*(1-'Assumptions and Catalog'!$C$23)^R236</f>
        <v>0</v>
      </c>
      <c r="Q236" s="5">
        <f>IF(ISNUMBER(Inputs!$L$5),(IF(Inputs!$L$9="Actual flat rate",((D236+E236)*C236-G236)*Inputs!$L$10,IF(Inputs!$C$9="Residential",IF(((D236+E236)*C236-G236)&lt;='Assumptions and Catalog'!$C$50,((D236+E236)*C236-G236)*'Assumptions and Catalog'!$H$50+'Assumptions and Catalog'!$E$50+'Assumptions and Catalog'!$F$50,IF(((D236+E236)*C236-G236)&lt;='Assumptions and Catalog'!$C$51,((D236+E236)*C236-G236)*'Assumptions and Catalog'!$H$51+'Assumptions and Catalog'!$E$51+'Assumptions and Catalog'!$F$51,IF(((D236+E236)*C236-G236)&lt;='Assumptions and Catalog'!$C$52,((D236+E236)*C236-G236)*'Assumptions and Catalog'!$H$52+'Assumptions and Catalog'!$E$52+'Assumptions and Catalog'!$F$52,IF(((D236+E236)*C236-G236)&lt;='Assumptions and Catalog'!$C$53,((D236+E236)*C236-G236)*'Assumptions and Catalog'!$H$53+'Assumptions and Catalog'!$E$53+'Assumptions and Catalog'!$F$53,IF(((D236+E236)*C236-G236)&lt;='Assumptions and Catalog'!$C$54,((D236+E236)*C236-G236)*'Assumptions and Catalog'!$H$54+'Assumptions and Catalog'!$E$54+'Assumptions and Catalog'!$F$54,IF(((D236+E236)*C236-G236)&lt;='Assumptions and Catalog'!$C$55,((D236+E236)*C236-G236)*'Assumptions and Catalog'!$H$55+'Assumptions and Catalog'!$E$55+'Assumptions and Catalog'!$F$55,IF(((D236+E236)*C236-G236)&lt;='Assumptions and Catalog'!$C$56,((D236+E236)*C236-G236)*'Assumptions and Catalog'!$H$56+'Assumptions and Catalog'!$E$56+'Assumptions and Catalog'!$F$56,IF(((D236+E236)*C236-G236)&lt;='Assumptions and Catalog'!$C$57,((D236+E236)*C236-G236)*'Assumptions and Catalog'!$H$57+'Assumptions and Catalog'!$E$57+'Assumptions and Catalog'!$F$57,"Out of range")))))))),IF(((D236+E236)*C236-G236)&lt;='Assumptions and Catalog'!$C$60,((D236+E236)*C236-G236)*'Assumptions and Catalog'!$H$60+'Assumptions and Catalog'!$E$60+'Assumptions and Catalog'!$F$60,IF(((D236+E236)*C236-G236)&lt;='Assumptions and Catalog'!$C$61,((D236+E236)*C236-G236)*'Assumptions and Catalog'!$H$61+'Assumptions and Catalog'!$E$61+'Assumptions and Catalog'!$F$61,IF(((D236+E236)*C236-G236)&lt;='Assumptions and Catalog'!$C$62,((D236+E236)*C236-G236)*'Assumptions and Catalog'!$H$62+'Assumptions and Catalog'!$E$62+'Assumptions and Catalog'!$F$62,IF(((D236+E236)*C236-G236)&lt;='Assumptions and Catalog'!$C$63,((D236+E236)*C236-G236)*'Assumptions and Catalog'!$H$63+'Assumptions and Catalog'!$E$63+'Assumptions and Catalog'!$F$63,IF(((D236+E236)*C236-G236)&lt;='Assumptions and Catalog'!$C$64,((D236+E236)*C236-G236)*'Assumptions and Catalog'!$H$64+'Assumptions and Catalog'!$E$64+'Assumptions and Catalog'!$F$64,IF(((D236+E236)*C236-G236)&lt;='Assumptions and Catalog'!$C$65,((D236+E236)*C236-G236)*'Assumptions and Catalog'!$H$65+'Assumptions and Catalog'!$E$65+'Assumptions and Catalog'!$F$65,"Out of range")))))))))*(1+'Assumptions and Catalog'!$C$8)^(A236-1),0)</f>
        <v>4957.4027076888115</v>
      </c>
      <c r="R236" s="5">
        <f>IF(AND('Assumptions and Catalog'!$C$19&gt;0,A236&gt;='Assumptions and Catalog'!$C$19),A236-'Assumptions and Catalog'!$C$19,A236-1)</f>
        <v>6</v>
      </c>
      <c r="S236" s="5">
        <f t="shared" si="19"/>
        <v>0</v>
      </c>
      <c r="T236" s="5"/>
      <c r="U236" s="5"/>
    </row>
    <row r="237" spans="1:21" ht="23.1" customHeight="1" outlineLevel="1" x14ac:dyDescent="0.2">
      <c r="A237" s="5">
        <v>7</v>
      </c>
      <c r="B237" s="5">
        <v>5</v>
      </c>
      <c r="C237" s="5">
        <f>DAY(DATE('Assumptions and Catalog'!$C$24+A237-1,B237+1,0))</f>
        <v>31</v>
      </c>
      <c r="D237" s="5">
        <f>IF(ISNUMBER(Inputs!$L$5),Inputs!$L$5*Inputs!$L$6,0)</f>
        <v>40.35</v>
      </c>
      <c r="E237" s="5">
        <f>IF(ISNUMBER(Inputs!$L$5),Inputs!$L$5-D237,0)</f>
        <v>40.35</v>
      </c>
      <c r="F237" s="5">
        <f>C$51*'Assumptions and Catalog'!$C$31*C237*(1-'Assumptions and Catalog'!$C$10)^(A237-1)</f>
        <v>1003.7009235626163</v>
      </c>
      <c r="G237" s="5">
        <f t="shared" si="14"/>
        <v>1003.7009235626163</v>
      </c>
      <c r="H237" s="5">
        <f>I237/('Assumptions and Catalog'!$C$11*'Assumptions and Catalog'!$C$12)</f>
        <v>0</v>
      </c>
      <c r="I237" s="5">
        <f>0</f>
        <v>0</v>
      </c>
      <c r="J237" s="5">
        <f t="shared" si="15"/>
        <v>0</v>
      </c>
      <c r="K237" s="5">
        <f t="shared" si="16"/>
        <v>0</v>
      </c>
      <c r="L237" s="5">
        <f t="shared" si="17"/>
        <v>1497.999076437384</v>
      </c>
      <c r="M237" s="5">
        <f>IF(ISNUMBER(Inputs!$L$5),(IF(Inputs!$L$9="Actual flat rate",((D237+E237)*C237)*Inputs!$L$10,IF(Inputs!$C$9="Residential",IF(((D237+E237)*C237)&lt;='Assumptions and Catalog'!$C$50,((D237+E237)*C237)*'Assumptions and Catalog'!$H$50+'Assumptions and Catalog'!$E$50+'Assumptions and Catalog'!$F$50,IF(((D237+E237)*C237)&lt;='Assumptions and Catalog'!$C$51,((D237+E237)*C237)*'Assumptions and Catalog'!$H$51+'Assumptions and Catalog'!$E$51+'Assumptions and Catalog'!$F$51,IF(((D237+E237)*C237)&lt;='Assumptions and Catalog'!$C$52,((D237+E237)*C237)*'Assumptions and Catalog'!$H$52+'Assumptions and Catalog'!$E$52+'Assumptions and Catalog'!$F$52,IF(((D237+E237)*C237)&lt;='Assumptions and Catalog'!$C$53,((D237+E237)*C237)*'Assumptions and Catalog'!$H$53+'Assumptions and Catalog'!$E$53+'Assumptions and Catalog'!$F$53,IF(((D237+E237)*C237)&lt;='Assumptions and Catalog'!$C$54,((D237+E237)*C237)*'Assumptions and Catalog'!$H$54+'Assumptions and Catalog'!$E$54+'Assumptions and Catalog'!$F$54,IF(((D237+E237)*C237)&lt;='Assumptions and Catalog'!$C$55,((D237+E237)*C237)*'Assumptions and Catalog'!$H$55+'Assumptions and Catalog'!$E$55+'Assumptions and Catalog'!$F$55,IF(((D237+E237)*C237)&lt;='Assumptions and Catalog'!$C$56,((D237+E237)*C237)*'Assumptions and Catalog'!$H$56+'Assumptions and Catalog'!$E$56+'Assumptions and Catalog'!$F$56,IF(((D237+E237)*C237)&lt;='Assumptions and Catalog'!$C$57,((D237+E237)*C237)*'Assumptions and Catalog'!$H$57+'Assumptions and Catalog'!$E$57+'Assumptions and Catalog'!$F$57,"Out of range")))))))),IF(((D237+E237)*C237)&lt;='Assumptions and Catalog'!$C$60,((D237+E237)*C237)*'Assumptions and Catalog'!$H$60+'Assumptions and Catalog'!$E$60+'Assumptions and Catalog'!$F$60,IF(((D237+E237)*C237)&lt;='Assumptions and Catalog'!$C$61,((D237+E237)*C237)*'Assumptions and Catalog'!$H$61+'Assumptions and Catalog'!$E$61+'Assumptions and Catalog'!$F$61,IF(((D237+E237)*C237)&lt;='Assumptions and Catalog'!$C$62,((D237+E237)*C237)*'Assumptions and Catalog'!$H$62+'Assumptions and Catalog'!$E$62+'Assumptions and Catalog'!$F$62,IF(((D237+E237)*C237)&lt;='Assumptions and Catalog'!$C$63,((D237+E237)*C237)*'Assumptions and Catalog'!$H$63+'Assumptions and Catalog'!$E$63+'Assumptions and Catalog'!$F$63,IF(((D237+E237)*C237)&lt;='Assumptions and Catalog'!$C$64,((D237+E237)*C237)*'Assumptions and Catalog'!$H$64+'Assumptions and Catalog'!$E$64+'Assumptions and Catalog'!$F$64,IF(((D237+E237)*C237)&lt;='Assumptions and Catalog'!$C$65,((D237+E237)*C237)*'Assumptions and Catalog'!$H$65+'Assumptions and Catalog'!$E$65+'Assumptions and Catalog'!$F$65,"Out of range")))))))))*(1+'Assumptions and Catalog'!$C$8)^(A237-1),0)</f>
        <v>8554.9666666666672</v>
      </c>
      <c r="N237" s="5">
        <f>IF(ISNUMBER(Inputs!$L$5),(IF(Inputs!$L$9="Actual flat rate",L237*Inputs!$L$10,IF(Inputs!$C$9="Residential",IF(L237&lt;='Assumptions and Catalog'!$C$50,L237*'Assumptions and Catalog'!$H$50+'Assumptions and Catalog'!$E$50+'Assumptions and Catalog'!$F$50,IF(L237&lt;='Assumptions and Catalog'!$C$51,L237*'Assumptions and Catalog'!$H$51+'Assumptions and Catalog'!$E$51+'Assumptions and Catalog'!$F$51,IF(L237&lt;='Assumptions and Catalog'!$C$52,L237*'Assumptions and Catalog'!$H$52+'Assumptions and Catalog'!$E$52+'Assumptions and Catalog'!$F$52,IF(L237&lt;='Assumptions and Catalog'!$C$53,L237*'Assumptions and Catalog'!$H$53+'Assumptions and Catalog'!$E$53+'Assumptions and Catalog'!$F$53,IF(L237&lt;='Assumptions and Catalog'!$C$54,L237*'Assumptions and Catalog'!$H$54+'Assumptions and Catalog'!$E$54+'Assumptions and Catalog'!$F$54,IF(L237&lt;='Assumptions and Catalog'!$C$55,L237*'Assumptions and Catalog'!$H$55+'Assumptions and Catalog'!$E$55+'Assumptions and Catalog'!$F$55,IF(L237&lt;='Assumptions and Catalog'!$C$56,L237*'Assumptions and Catalog'!$H$56+'Assumptions and Catalog'!$E$56+'Assumptions and Catalog'!$F$56,IF(L237&lt;='Assumptions and Catalog'!$C$57,L237*'Assumptions and Catalog'!$H$57+'Assumptions and Catalog'!$E$57+'Assumptions and Catalog'!$F$57,"Out of range")))))))),IF(L237&lt;='Assumptions and Catalog'!$C$60,L237*'Assumptions and Catalog'!$H$60+'Assumptions and Catalog'!$E$60+'Assumptions and Catalog'!$F$60,IF(L237&lt;='Assumptions and Catalog'!$C$61,L237*'Assumptions and Catalog'!$H$61+'Assumptions and Catalog'!$E$61+'Assumptions and Catalog'!$F$61,IF(L237&lt;='Assumptions and Catalog'!$C$62,L237*'Assumptions and Catalog'!$H$62+'Assumptions and Catalog'!$E$62+'Assumptions and Catalog'!$F$62,IF(L237&lt;='Assumptions and Catalog'!$C$63,L237*'Assumptions and Catalog'!$H$63+'Assumptions and Catalog'!$E$63+'Assumptions and Catalog'!$F$63,IF(L237&lt;='Assumptions and Catalog'!$C$64,L237*'Assumptions and Catalog'!$H$64+'Assumptions and Catalog'!$E$64+'Assumptions and Catalog'!$F$64,IF(L237&lt;='Assumptions and Catalog'!$C$65,L237*'Assumptions and Catalog'!$H$65+'Assumptions and Catalog'!$E$65+'Assumptions and Catalog'!$F$65,"Out of range")))))))))*(1+'Assumptions and Catalog'!$C$8)^(A237-1),0)</f>
        <v>5122.6494646117726</v>
      </c>
      <c r="O237" s="5">
        <f t="shared" si="18"/>
        <v>3432.3172020548946</v>
      </c>
      <c r="P237" s="5">
        <f>C$55*(1-J$14)*(1-'Assumptions and Catalog'!$C$23)^R237</f>
        <v>0</v>
      </c>
      <c r="Q237" s="5">
        <f>IF(ISNUMBER(Inputs!$L$5),(IF(Inputs!$L$9="Actual flat rate",((D237+E237)*C237-G237)*Inputs!$L$10,IF(Inputs!$C$9="Residential",IF(((D237+E237)*C237-G237)&lt;='Assumptions and Catalog'!$C$50,((D237+E237)*C237-G237)*'Assumptions and Catalog'!$H$50+'Assumptions and Catalog'!$E$50+'Assumptions and Catalog'!$F$50,IF(((D237+E237)*C237-G237)&lt;='Assumptions and Catalog'!$C$51,((D237+E237)*C237-G237)*'Assumptions and Catalog'!$H$51+'Assumptions and Catalog'!$E$51+'Assumptions and Catalog'!$F$51,IF(((D237+E237)*C237-G237)&lt;='Assumptions and Catalog'!$C$52,((D237+E237)*C237-G237)*'Assumptions and Catalog'!$H$52+'Assumptions and Catalog'!$E$52+'Assumptions and Catalog'!$F$52,IF(((D237+E237)*C237-G237)&lt;='Assumptions and Catalog'!$C$53,((D237+E237)*C237-G237)*'Assumptions and Catalog'!$H$53+'Assumptions and Catalog'!$E$53+'Assumptions and Catalog'!$F$53,IF(((D237+E237)*C237-G237)&lt;='Assumptions and Catalog'!$C$54,((D237+E237)*C237-G237)*'Assumptions and Catalog'!$H$54+'Assumptions and Catalog'!$E$54+'Assumptions and Catalog'!$F$54,IF(((D237+E237)*C237-G237)&lt;='Assumptions and Catalog'!$C$55,((D237+E237)*C237-G237)*'Assumptions and Catalog'!$H$55+'Assumptions and Catalog'!$E$55+'Assumptions and Catalog'!$F$55,IF(((D237+E237)*C237-G237)&lt;='Assumptions and Catalog'!$C$56,((D237+E237)*C237-G237)*'Assumptions and Catalog'!$H$56+'Assumptions and Catalog'!$E$56+'Assumptions and Catalog'!$F$56,IF(((D237+E237)*C237-G237)&lt;='Assumptions and Catalog'!$C$57,((D237+E237)*C237-G237)*'Assumptions and Catalog'!$H$57+'Assumptions and Catalog'!$E$57+'Assumptions and Catalog'!$F$57,"Out of range")))))))),IF(((D237+E237)*C237-G237)&lt;='Assumptions and Catalog'!$C$60,((D237+E237)*C237-G237)*'Assumptions and Catalog'!$H$60+'Assumptions and Catalog'!$E$60+'Assumptions and Catalog'!$F$60,IF(((D237+E237)*C237-G237)&lt;='Assumptions and Catalog'!$C$61,((D237+E237)*C237-G237)*'Assumptions and Catalog'!$H$61+'Assumptions and Catalog'!$E$61+'Assumptions and Catalog'!$F$61,IF(((D237+E237)*C237-G237)&lt;='Assumptions and Catalog'!$C$62,((D237+E237)*C237-G237)*'Assumptions and Catalog'!$H$62+'Assumptions and Catalog'!$E$62+'Assumptions and Catalog'!$F$62,IF(((D237+E237)*C237-G237)&lt;='Assumptions and Catalog'!$C$63,((D237+E237)*C237-G237)*'Assumptions and Catalog'!$H$63+'Assumptions and Catalog'!$E$63+'Assumptions and Catalog'!$F$63,IF(((D237+E237)*C237-G237)&lt;='Assumptions and Catalog'!$C$64,((D237+E237)*C237-G237)*'Assumptions and Catalog'!$H$64+'Assumptions and Catalog'!$E$64+'Assumptions and Catalog'!$F$64,IF(((D237+E237)*C237-G237)&lt;='Assumptions and Catalog'!$C$65,((D237+E237)*C237-G237)*'Assumptions and Catalog'!$H$65+'Assumptions and Catalog'!$E$65+'Assumptions and Catalog'!$F$65,"Out of range")))))))))*(1+'Assumptions and Catalog'!$C$8)^(A237-1),0)</f>
        <v>5122.6494646117726</v>
      </c>
      <c r="R237" s="5">
        <f>IF(AND('Assumptions and Catalog'!$C$19&gt;0,A237&gt;='Assumptions and Catalog'!$C$19),A237-'Assumptions and Catalog'!$C$19,A237-1)</f>
        <v>6</v>
      </c>
      <c r="S237" s="5">
        <f t="shared" si="19"/>
        <v>0</v>
      </c>
      <c r="T237" s="5"/>
      <c r="U237" s="5"/>
    </row>
    <row r="238" spans="1:21" ht="23.1" customHeight="1" outlineLevel="1" x14ac:dyDescent="0.2">
      <c r="A238" s="5">
        <v>7</v>
      </c>
      <c r="B238" s="5">
        <v>6</v>
      </c>
      <c r="C238" s="5">
        <f>DAY(DATE('Assumptions and Catalog'!$C$24+A238-1,B238+1,0))</f>
        <v>30</v>
      </c>
      <c r="D238" s="5">
        <f>IF(ISNUMBER(Inputs!$L$5),Inputs!$L$5*Inputs!$L$6,0)</f>
        <v>40.35</v>
      </c>
      <c r="E238" s="5">
        <f>IF(ISNUMBER(Inputs!$L$5),Inputs!$L$5-D238,0)</f>
        <v>40.35</v>
      </c>
      <c r="F238" s="5">
        <f>C$51*'Assumptions and Catalog'!$C$31*C238*(1-'Assumptions and Catalog'!$C$10)^(A238-1)</f>
        <v>971.32347441543516</v>
      </c>
      <c r="G238" s="5">
        <f t="shared" si="14"/>
        <v>971.32347441543516</v>
      </c>
      <c r="H238" s="5">
        <f>I238/('Assumptions and Catalog'!$C$11*'Assumptions and Catalog'!$C$12)</f>
        <v>0</v>
      </c>
      <c r="I238" s="5">
        <f>0</f>
        <v>0</v>
      </c>
      <c r="J238" s="5">
        <f t="shared" si="15"/>
        <v>0</v>
      </c>
      <c r="K238" s="5">
        <f t="shared" si="16"/>
        <v>0</v>
      </c>
      <c r="L238" s="5">
        <f t="shared" si="17"/>
        <v>1449.6765255845648</v>
      </c>
      <c r="M238" s="5">
        <f>IF(ISNUMBER(Inputs!$L$5),(IF(Inputs!$L$9="Actual flat rate",((D238+E238)*C238)*Inputs!$L$10,IF(Inputs!$C$9="Residential",IF(((D238+E238)*C238)&lt;='Assumptions and Catalog'!$C$50,((D238+E238)*C238)*'Assumptions and Catalog'!$H$50+'Assumptions and Catalog'!$E$50+'Assumptions and Catalog'!$F$50,IF(((D238+E238)*C238)&lt;='Assumptions and Catalog'!$C$51,((D238+E238)*C238)*'Assumptions and Catalog'!$H$51+'Assumptions and Catalog'!$E$51+'Assumptions and Catalog'!$F$51,IF(((D238+E238)*C238)&lt;='Assumptions and Catalog'!$C$52,((D238+E238)*C238)*'Assumptions and Catalog'!$H$52+'Assumptions and Catalog'!$E$52+'Assumptions and Catalog'!$F$52,IF(((D238+E238)*C238)&lt;='Assumptions and Catalog'!$C$53,((D238+E238)*C238)*'Assumptions and Catalog'!$H$53+'Assumptions and Catalog'!$E$53+'Assumptions and Catalog'!$F$53,IF(((D238+E238)*C238)&lt;='Assumptions and Catalog'!$C$54,((D238+E238)*C238)*'Assumptions and Catalog'!$H$54+'Assumptions and Catalog'!$E$54+'Assumptions and Catalog'!$F$54,IF(((D238+E238)*C238)&lt;='Assumptions and Catalog'!$C$55,((D238+E238)*C238)*'Assumptions and Catalog'!$H$55+'Assumptions and Catalog'!$E$55+'Assumptions and Catalog'!$F$55,IF(((D238+E238)*C238)&lt;='Assumptions and Catalog'!$C$56,((D238+E238)*C238)*'Assumptions and Catalog'!$H$56+'Assumptions and Catalog'!$E$56+'Assumptions and Catalog'!$F$56,IF(((D238+E238)*C238)&lt;='Assumptions and Catalog'!$C$57,((D238+E238)*C238)*'Assumptions and Catalog'!$H$57+'Assumptions and Catalog'!$E$57+'Assumptions and Catalog'!$F$57,"Out of range")))))))),IF(((D238+E238)*C238)&lt;='Assumptions and Catalog'!$C$60,((D238+E238)*C238)*'Assumptions and Catalog'!$H$60+'Assumptions and Catalog'!$E$60+'Assumptions and Catalog'!$F$60,IF(((D238+E238)*C238)&lt;='Assumptions and Catalog'!$C$61,((D238+E238)*C238)*'Assumptions and Catalog'!$H$61+'Assumptions and Catalog'!$E$61+'Assumptions and Catalog'!$F$61,IF(((D238+E238)*C238)&lt;='Assumptions and Catalog'!$C$62,((D238+E238)*C238)*'Assumptions and Catalog'!$H$62+'Assumptions and Catalog'!$E$62+'Assumptions and Catalog'!$F$62,IF(((D238+E238)*C238)&lt;='Assumptions and Catalog'!$C$63,((D238+E238)*C238)*'Assumptions and Catalog'!$H$63+'Assumptions and Catalog'!$E$63+'Assumptions and Catalog'!$F$63,IF(((D238+E238)*C238)&lt;='Assumptions and Catalog'!$C$64,((D238+E238)*C238)*'Assumptions and Catalog'!$H$64+'Assumptions and Catalog'!$E$64+'Assumptions and Catalog'!$F$64,IF(((D238+E238)*C238)&lt;='Assumptions and Catalog'!$C$65,((D238+E238)*C238)*'Assumptions and Catalog'!$H$65+'Assumptions and Catalog'!$E$65+'Assumptions and Catalog'!$F$65,"Out of range")))))))))*(1+'Assumptions and Catalog'!$C$8)^(A238-1),0)</f>
        <v>8279</v>
      </c>
      <c r="N238" s="5">
        <f>IF(ISNUMBER(Inputs!$L$5),(IF(Inputs!$L$9="Actual flat rate",L238*Inputs!$L$10,IF(Inputs!$C$9="Residential",IF(L238&lt;='Assumptions and Catalog'!$C$50,L238*'Assumptions and Catalog'!$H$50+'Assumptions and Catalog'!$E$50+'Assumptions and Catalog'!$F$50,IF(L238&lt;='Assumptions and Catalog'!$C$51,L238*'Assumptions and Catalog'!$H$51+'Assumptions and Catalog'!$E$51+'Assumptions and Catalog'!$F$51,IF(L238&lt;='Assumptions and Catalog'!$C$52,L238*'Assumptions and Catalog'!$H$52+'Assumptions and Catalog'!$E$52+'Assumptions and Catalog'!$F$52,IF(L238&lt;='Assumptions and Catalog'!$C$53,L238*'Assumptions and Catalog'!$H$53+'Assumptions and Catalog'!$E$53+'Assumptions and Catalog'!$F$53,IF(L238&lt;='Assumptions and Catalog'!$C$54,L238*'Assumptions and Catalog'!$H$54+'Assumptions and Catalog'!$E$54+'Assumptions and Catalog'!$F$54,IF(L238&lt;='Assumptions and Catalog'!$C$55,L238*'Assumptions and Catalog'!$H$55+'Assumptions and Catalog'!$E$55+'Assumptions and Catalog'!$F$55,IF(L238&lt;='Assumptions and Catalog'!$C$56,L238*'Assumptions and Catalog'!$H$56+'Assumptions and Catalog'!$E$56+'Assumptions and Catalog'!$F$56,IF(L238&lt;='Assumptions and Catalog'!$C$57,L238*'Assumptions and Catalog'!$H$57+'Assumptions and Catalog'!$E$57+'Assumptions and Catalog'!$F$57,"Out of range")))))))),IF(L238&lt;='Assumptions and Catalog'!$C$60,L238*'Assumptions and Catalog'!$H$60+'Assumptions and Catalog'!$E$60+'Assumptions and Catalog'!$F$60,IF(L238&lt;='Assumptions and Catalog'!$C$61,L238*'Assumptions and Catalog'!$H$61+'Assumptions and Catalog'!$E$61+'Assumptions and Catalog'!$F$61,IF(L238&lt;='Assumptions and Catalog'!$C$62,L238*'Assumptions and Catalog'!$H$62+'Assumptions and Catalog'!$E$62+'Assumptions and Catalog'!$F$62,IF(L238&lt;='Assumptions and Catalog'!$C$63,L238*'Assumptions and Catalog'!$H$63+'Assumptions and Catalog'!$E$63+'Assumptions and Catalog'!$F$63,IF(L238&lt;='Assumptions and Catalog'!$C$64,L238*'Assumptions and Catalog'!$H$64+'Assumptions and Catalog'!$E$64+'Assumptions and Catalog'!$F$64,IF(L238&lt;='Assumptions and Catalog'!$C$65,L238*'Assumptions and Catalog'!$H$65+'Assumptions and Catalog'!$E$65+'Assumptions and Catalog'!$F$65,"Out of range")))))))))*(1+'Assumptions and Catalog'!$C$8)^(A238-1),0)</f>
        <v>4957.4027076888115</v>
      </c>
      <c r="O238" s="5">
        <f t="shared" si="18"/>
        <v>3321.5972923111885</v>
      </c>
      <c r="P238" s="5">
        <f>C$55*(1-J$14)*(1-'Assumptions and Catalog'!$C$23)^R238</f>
        <v>0</v>
      </c>
      <c r="Q238" s="5">
        <f>IF(ISNUMBER(Inputs!$L$5),(IF(Inputs!$L$9="Actual flat rate",((D238+E238)*C238-G238)*Inputs!$L$10,IF(Inputs!$C$9="Residential",IF(((D238+E238)*C238-G238)&lt;='Assumptions and Catalog'!$C$50,((D238+E238)*C238-G238)*'Assumptions and Catalog'!$H$50+'Assumptions and Catalog'!$E$50+'Assumptions and Catalog'!$F$50,IF(((D238+E238)*C238-G238)&lt;='Assumptions and Catalog'!$C$51,((D238+E238)*C238-G238)*'Assumptions and Catalog'!$H$51+'Assumptions and Catalog'!$E$51+'Assumptions and Catalog'!$F$51,IF(((D238+E238)*C238-G238)&lt;='Assumptions and Catalog'!$C$52,((D238+E238)*C238-G238)*'Assumptions and Catalog'!$H$52+'Assumptions and Catalog'!$E$52+'Assumptions and Catalog'!$F$52,IF(((D238+E238)*C238-G238)&lt;='Assumptions and Catalog'!$C$53,((D238+E238)*C238-G238)*'Assumptions and Catalog'!$H$53+'Assumptions and Catalog'!$E$53+'Assumptions and Catalog'!$F$53,IF(((D238+E238)*C238-G238)&lt;='Assumptions and Catalog'!$C$54,((D238+E238)*C238-G238)*'Assumptions and Catalog'!$H$54+'Assumptions and Catalog'!$E$54+'Assumptions and Catalog'!$F$54,IF(((D238+E238)*C238-G238)&lt;='Assumptions and Catalog'!$C$55,((D238+E238)*C238-G238)*'Assumptions and Catalog'!$H$55+'Assumptions and Catalog'!$E$55+'Assumptions and Catalog'!$F$55,IF(((D238+E238)*C238-G238)&lt;='Assumptions and Catalog'!$C$56,((D238+E238)*C238-G238)*'Assumptions and Catalog'!$H$56+'Assumptions and Catalog'!$E$56+'Assumptions and Catalog'!$F$56,IF(((D238+E238)*C238-G238)&lt;='Assumptions and Catalog'!$C$57,((D238+E238)*C238-G238)*'Assumptions and Catalog'!$H$57+'Assumptions and Catalog'!$E$57+'Assumptions and Catalog'!$F$57,"Out of range")))))))),IF(((D238+E238)*C238-G238)&lt;='Assumptions and Catalog'!$C$60,((D238+E238)*C238-G238)*'Assumptions and Catalog'!$H$60+'Assumptions and Catalog'!$E$60+'Assumptions and Catalog'!$F$60,IF(((D238+E238)*C238-G238)&lt;='Assumptions and Catalog'!$C$61,((D238+E238)*C238-G238)*'Assumptions and Catalog'!$H$61+'Assumptions and Catalog'!$E$61+'Assumptions and Catalog'!$F$61,IF(((D238+E238)*C238-G238)&lt;='Assumptions and Catalog'!$C$62,((D238+E238)*C238-G238)*'Assumptions and Catalog'!$H$62+'Assumptions and Catalog'!$E$62+'Assumptions and Catalog'!$F$62,IF(((D238+E238)*C238-G238)&lt;='Assumptions and Catalog'!$C$63,((D238+E238)*C238-G238)*'Assumptions and Catalog'!$H$63+'Assumptions and Catalog'!$E$63+'Assumptions and Catalog'!$F$63,IF(((D238+E238)*C238-G238)&lt;='Assumptions and Catalog'!$C$64,((D238+E238)*C238-G238)*'Assumptions and Catalog'!$H$64+'Assumptions and Catalog'!$E$64+'Assumptions and Catalog'!$F$64,IF(((D238+E238)*C238-G238)&lt;='Assumptions and Catalog'!$C$65,((D238+E238)*C238-G238)*'Assumptions and Catalog'!$H$65+'Assumptions and Catalog'!$E$65+'Assumptions and Catalog'!$F$65,"Out of range")))))))))*(1+'Assumptions and Catalog'!$C$8)^(A238-1),0)</f>
        <v>4957.4027076888115</v>
      </c>
      <c r="R238" s="5">
        <f>IF(AND('Assumptions and Catalog'!$C$19&gt;0,A238&gt;='Assumptions and Catalog'!$C$19),A238-'Assumptions and Catalog'!$C$19,A238-1)</f>
        <v>6</v>
      </c>
      <c r="S238" s="5">
        <f t="shared" si="19"/>
        <v>0</v>
      </c>
      <c r="T238" s="5"/>
      <c r="U238" s="5"/>
    </row>
    <row r="239" spans="1:21" ht="23.1" customHeight="1" outlineLevel="1" x14ac:dyDescent="0.2">
      <c r="A239" s="5">
        <v>7</v>
      </c>
      <c r="B239" s="5">
        <v>7</v>
      </c>
      <c r="C239" s="5">
        <f>DAY(DATE('Assumptions and Catalog'!$C$24+A239-1,B239+1,0))</f>
        <v>31</v>
      </c>
      <c r="D239" s="5">
        <f>IF(ISNUMBER(Inputs!$L$5),Inputs!$L$5*Inputs!$L$6,0)</f>
        <v>40.35</v>
      </c>
      <c r="E239" s="5">
        <f>IF(ISNUMBER(Inputs!$L$5),Inputs!$L$5-D239,0)</f>
        <v>40.35</v>
      </c>
      <c r="F239" s="5">
        <f>C$51*'Assumptions and Catalog'!$C$31*C239*(1-'Assumptions and Catalog'!$C$10)^(A239-1)</f>
        <v>1003.7009235626163</v>
      </c>
      <c r="G239" s="5">
        <f t="shared" si="14"/>
        <v>1003.7009235626163</v>
      </c>
      <c r="H239" s="5">
        <f>I239/('Assumptions and Catalog'!$C$11*'Assumptions and Catalog'!$C$12)</f>
        <v>0</v>
      </c>
      <c r="I239" s="5">
        <f>0</f>
        <v>0</v>
      </c>
      <c r="J239" s="5">
        <f t="shared" si="15"/>
        <v>0</v>
      </c>
      <c r="K239" s="5">
        <f t="shared" si="16"/>
        <v>0</v>
      </c>
      <c r="L239" s="5">
        <f t="shared" si="17"/>
        <v>1497.999076437384</v>
      </c>
      <c r="M239" s="5">
        <f>IF(ISNUMBER(Inputs!$L$5),(IF(Inputs!$L$9="Actual flat rate",((D239+E239)*C239)*Inputs!$L$10,IF(Inputs!$C$9="Residential",IF(((D239+E239)*C239)&lt;='Assumptions and Catalog'!$C$50,((D239+E239)*C239)*'Assumptions and Catalog'!$H$50+'Assumptions and Catalog'!$E$50+'Assumptions and Catalog'!$F$50,IF(((D239+E239)*C239)&lt;='Assumptions and Catalog'!$C$51,((D239+E239)*C239)*'Assumptions and Catalog'!$H$51+'Assumptions and Catalog'!$E$51+'Assumptions and Catalog'!$F$51,IF(((D239+E239)*C239)&lt;='Assumptions and Catalog'!$C$52,((D239+E239)*C239)*'Assumptions and Catalog'!$H$52+'Assumptions and Catalog'!$E$52+'Assumptions and Catalog'!$F$52,IF(((D239+E239)*C239)&lt;='Assumptions and Catalog'!$C$53,((D239+E239)*C239)*'Assumptions and Catalog'!$H$53+'Assumptions and Catalog'!$E$53+'Assumptions and Catalog'!$F$53,IF(((D239+E239)*C239)&lt;='Assumptions and Catalog'!$C$54,((D239+E239)*C239)*'Assumptions and Catalog'!$H$54+'Assumptions and Catalog'!$E$54+'Assumptions and Catalog'!$F$54,IF(((D239+E239)*C239)&lt;='Assumptions and Catalog'!$C$55,((D239+E239)*C239)*'Assumptions and Catalog'!$H$55+'Assumptions and Catalog'!$E$55+'Assumptions and Catalog'!$F$55,IF(((D239+E239)*C239)&lt;='Assumptions and Catalog'!$C$56,((D239+E239)*C239)*'Assumptions and Catalog'!$H$56+'Assumptions and Catalog'!$E$56+'Assumptions and Catalog'!$F$56,IF(((D239+E239)*C239)&lt;='Assumptions and Catalog'!$C$57,((D239+E239)*C239)*'Assumptions and Catalog'!$H$57+'Assumptions and Catalog'!$E$57+'Assumptions and Catalog'!$F$57,"Out of range")))))))),IF(((D239+E239)*C239)&lt;='Assumptions and Catalog'!$C$60,((D239+E239)*C239)*'Assumptions and Catalog'!$H$60+'Assumptions and Catalog'!$E$60+'Assumptions and Catalog'!$F$60,IF(((D239+E239)*C239)&lt;='Assumptions and Catalog'!$C$61,((D239+E239)*C239)*'Assumptions and Catalog'!$H$61+'Assumptions and Catalog'!$E$61+'Assumptions and Catalog'!$F$61,IF(((D239+E239)*C239)&lt;='Assumptions and Catalog'!$C$62,((D239+E239)*C239)*'Assumptions and Catalog'!$H$62+'Assumptions and Catalog'!$E$62+'Assumptions and Catalog'!$F$62,IF(((D239+E239)*C239)&lt;='Assumptions and Catalog'!$C$63,((D239+E239)*C239)*'Assumptions and Catalog'!$H$63+'Assumptions and Catalog'!$E$63+'Assumptions and Catalog'!$F$63,IF(((D239+E239)*C239)&lt;='Assumptions and Catalog'!$C$64,((D239+E239)*C239)*'Assumptions and Catalog'!$H$64+'Assumptions and Catalog'!$E$64+'Assumptions and Catalog'!$F$64,IF(((D239+E239)*C239)&lt;='Assumptions and Catalog'!$C$65,((D239+E239)*C239)*'Assumptions and Catalog'!$H$65+'Assumptions and Catalog'!$E$65+'Assumptions and Catalog'!$F$65,"Out of range")))))))))*(1+'Assumptions and Catalog'!$C$8)^(A239-1),0)</f>
        <v>8554.9666666666672</v>
      </c>
      <c r="N239" s="5">
        <f>IF(ISNUMBER(Inputs!$L$5),(IF(Inputs!$L$9="Actual flat rate",L239*Inputs!$L$10,IF(Inputs!$C$9="Residential",IF(L239&lt;='Assumptions and Catalog'!$C$50,L239*'Assumptions and Catalog'!$H$50+'Assumptions and Catalog'!$E$50+'Assumptions and Catalog'!$F$50,IF(L239&lt;='Assumptions and Catalog'!$C$51,L239*'Assumptions and Catalog'!$H$51+'Assumptions and Catalog'!$E$51+'Assumptions and Catalog'!$F$51,IF(L239&lt;='Assumptions and Catalog'!$C$52,L239*'Assumptions and Catalog'!$H$52+'Assumptions and Catalog'!$E$52+'Assumptions and Catalog'!$F$52,IF(L239&lt;='Assumptions and Catalog'!$C$53,L239*'Assumptions and Catalog'!$H$53+'Assumptions and Catalog'!$E$53+'Assumptions and Catalog'!$F$53,IF(L239&lt;='Assumptions and Catalog'!$C$54,L239*'Assumptions and Catalog'!$H$54+'Assumptions and Catalog'!$E$54+'Assumptions and Catalog'!$F$54,IF(L239&lt;='Assumptions and Catalog'!$C$55,L239*'Assumptions and Catalog'!$H$55+'Assumptions and Catalog'!$E$55+'Assumptions and Catalog'!$F$55,IF(L239&lt;='Assumptions and Catalog'!$C$56,L239*'Assumptions and Catalog'!$H$56+'Assumptions and Catalog'!$E$56+'Assumptions and Catalog'!$F$56,IF(L239&lt;='Assumptions and Catalog'!$C$57,L239*'Assumptions and Catalog'!$H$57+'Assumptions and Catalog'!$E$57+'Assumptions and Catalog'!$F$57,"Out of range")))))))),IF(L239&lt;='Assumptions and Catalog'!$C$60,L239*'Assumptions and Catalog'!$H$60+'Assumptions and Catalog'!$E$60+'Assumptions and Catalog'!$F$60,IF(L239&lt;='Assumptions and Catalog'!$C$61,L239*'Assumptions and Catalog'!$H$61+'Assumptions and Catalog'!$E$61+'Assumptions and Catalog'!$F$61,IF(L239&lt;='Assumptions and Catalog'!$C$62,L239*'Assumptions and Catalog'!$H$62+'Assumptions and Catalog'!$E$62+'Assumptions and Catalog'!$F$62,IF(L239&lt;='Assumptions and Catalog'!$C$63,L239*'Assumptions and Catalog'!$H$63+'Assumptions and Catalog'!$E$63+'Assumptions and Catalog'!$F$63,IF(L239&lt;='Assumptions and Catalog'!$C$64,L239*'Assumptions and Catalog'!$H$64+'Assumptions and Catalog'!$E$64+'Assumptions and Catalog'!$F$64,IF(L239&lt;='Assumptions and Catalog'!$C$65,L239*'Assumptions and Catalog'!$H$65+'Assumptions and Catalog'!$E$65+'Assumptions and Catalog'!$F$65,"Out of range")))))))))*(1+'Assumptions and Catalog'!$C$8)^(A239-1),0)</f>
        <v>5122.6494646117726</v>
      </c>
      <c r="O239" s="5">
        <f t="shared" si="18"/>
        <v>3432.3172020548946</v>
      </c>
      <c r="P239" s="5">
        <f>C$55*(1-J$14)*(1-'Assumptions and Catalog'!$C$23)^R239</f>
        <v>0</v>
      </c>
      <c r="Q239" s="5">
        <f>IF(ISNUMBER(Inputs!$L$5),(IF(Inputs!$L$9="Actual flat rate",((D239+E239)*C239-G239)*Inputs!$L$10,IF(Inputs!$C$9="Residential",IF(((D239+E239)*C239-G239)&lt;='Assumptions and Catalog'!$C$50,((D239+E239)*C239-G239)*'Assumptions and Catalog'!$H$50+'Assumptions and Catalog'!$E$50+'Assumptions and Catalog'!$F$50,IF(((D239+E239)*C239-G239)&lt;='Assumptions and Catalog'!$C$51,((D239+E239)*C239-G239)*'Assumptions and Catalog'!$H$51+'Assumptions and Catalog'!$E$51+'Assumptions and Catalog'!$F$51,IF(((D239+E239)*C239-G239)&lt;='Assumptions and Catalog'!$C$52,((D239+E239)*C239-G239)*'Assumptions and Catalog'!$H$52+'Assumptions and Catalog'!$E$52+'Assumptions and Catalog'!$F$52,IF(((D239+E239)*C239-G239)&lt;='Assumptions and Catalog'!$C$53,((D239+E239)*C239-G239)*'Assumptions and Catalog'!$H$53+'Assumptions and Catalog'!$E$53+'Assumptions and Catalog'!$F$53,IF(((D239+E239)*C239-G239)&lt;='Assumptions and Catalog'!$C$54,((D239+E239)*C239-G239)*'Assumptions and Catalog'!$H$54+'Assumptions and Catalog'!$E$54+'Assumptions and Catalog'!$F$54,IF(((D239+E239)*C239-G239)&lt;='Assumptions and Catalog'!$C$55,((D239+E239)*C239-G239)*'Assumptions and Catalog'!$H$55+'Assumptions and Catalog'!$E$55+'Assumptions and Catalog'!$F$55,IF(((D239+E239)*C239-G239)&lt;='Assumptions and Catalog'!$C$56,((D239+E239)*C239-G239)*'Assumptions and Catalog'!$H$56+'Assumptions and Catalog'!$E$56+'Assumptions and Catalog'!$F$56,IF(((D239+E239)*C239-G239)&lt;='Assumptions and Catalog'!$C$57,((D239+E239)*C239-G239)*'Assumptions and Catalog'!$H$57+'Assumptions and Catalog'!$E$57+'Assumptions and Catalog'!$F$57,"Out of range")))))))),IF(((D239+E239)*C239-G239)&lt;='Assumptions and Catalog'!$C$60,((D239+E239)*C239-G239)*'Assumptions and Catalog'!$H$60+'Assumptions and Catalog'!$E$60+'Assumptions and Catalog'!$F$60,IF(((D239+E239)*C239-G239)&lt;='Assumptions and Catalog'!$C$61,((D239+E239)*C239-G239)*'Assumptions and Catalog'!$H$61+'Assumptions and Catalog'!$E$61+'Assumptions and Catalog'!$F$61,IF(((D239+E239)*C239-G239)&lt;='Assumptions and Catalog'!$C$62,((D239+E239)*C239-G239)*'Assumptions and Catalog'!$H$62+'Assumptions and Catalog'!$E$62+'Assumptions and Catalog'!$F$62,IF(((D239+E239)*C239-G239)&lt;='Assumptions and Catalog'!$C$63,((D239+E239)*C239-G239)*'Assumptions and Catalog'!$H$63+'Assumptions and Catalog'!$E$63+'Assumptions and Catalog'!$F$63,IF(((D239+E239)*C239-G239)&lt;='Assumptions and Catalog'!$C$64,((D239+E239)*C239-G239)*'Assumptions and Catalog'!$H$64+'Assumptions and Catalog'!$E$64+'Assumptions and Catalog'!$F$64,IF(((D239+E239)*C239-G239)&lt;='Assumptions and Catalog'!$C$65,((D239+E239)*C239-G239)*'Assumptions and Catalog'!$H$65+'Assumptions and Catalog'!$E$65+'Assumptions and Catalog'!$F$65,"Out of range")))))))))*(1+'Assumptions and Catalog'!$C$8)^(A239-1),0)</f>
        <v>5122.6494646117726</v>
      </c>
      <c r="R239" s="5">
        <f>IF(AND('Assumptions and Catalog'!$C$19&gt;0,A239&gt;='Assumptions and Catalog'!$C$19),A239-'Assumptions and Catalog'!$C$19,A239-1)</f>
        <v>6</v>
      </c>
      <c r="S239" s="5">
        <f t="shared" si="19"/>
        <v>0</v>
      </c>
      <c r="T239" s="5"/>
      <c r="U239" s="5"/>
    </row>
    <row r="240" spans="1:21" ht="23.1" customHeight="1" outlineLevel="1" x14ac:dyDescent="0.2">
      <c r="A240" s="5">
        <v>7</v>
      </c>
      <c r="B240" s="5">
        <v>8</v>
      </c>
      <c r="C240" s="5">
        <f>DAY(DATE('Assumptions and Catalog'!$C$24+A240-1,B240+1,0))</f>
        <v>31</v>
      </c>
      <c r="D240" s="5">
        <f>IF(ISNUMBER(Inputs!$L$5),Inputs!$L$5*Inputs!$L$6,0)</f>
        <v>40.35</v>
      </c>
      <c r="E240" s="5">
        <f>IF(ISNUMBER(Inputs!$L$5),Inputs!$L$5-D240,0)</f>
        <v>40.35</v>
      </c>
      <c r="F240" s="5">
        <f>C$51*'Assumptions and Catalog'!$C$31*C240*(1-'Assumptions and Catalog'!$C$10)^(A240-1)</f>
        <v>1003.7009235626163</v>
      </c>
      <c r="G240" s="5">
        <f t="shared" si="14"/>
        <v>1003.7009235626163</v>
      </c>
      <c r="H240" s="5">
        <f>I240/('Assumptions and Catalog'!$C$11*'Assumptions and Catalog'!$C$12)</f>
        <v>0</v>
      </c>
      <c r="I240" s="5">
        <f>0</f>
        <v>0</v>
      </c>
      <c r="J240" s="5">
        <f t="shared" si="15"/>
        <v>0</v>
      </c>
      <c r="K240" s="5">
        <f t="shared" si="16"/>
        <v>0</v>
      </c>
      <c r="L240" s="5">
        <f t="shared" si="17"/>
        <v>1497.999076437384</v>
      </c>
      <c r="M240" s="5">
        <f>IF(ISNUMBER(Inputs!$L$5),(IF(Inputs!$L$9="Actual flat rate",((D240+E240)*C240)*Inputs!$L$10,IF(Inputs!$C$9="Residential",IF(((D240+E240)*C240)&lt;='Assumptions and Catalog'!$C$50,((D240+E240)*C240)*'Assumptions and Catalog'!$H$50+'Assumptions and Catalog'!$E$50+'Assumptions and Catalog'!$F$50,IF(((D240+E240)*C240)&lt;='Assumptions and Catalog'!$C$51,((D240+E240)*C240)*'Assumptions and Catalog'!$H$51+'Assumptions and Catalog'!$E$51+'Assumptions and Catalog'!$F$51,IF(((D240+E240)*C240)&lt;='Assumptions and Catalog'!$C$52,((D240+E240)*C240)*'Assumptions and Catalog'!$H$52+'Assumptions and Catalog'!$E$52+'Assumptions and Catalog'!$F$52,IF(((D240+E240)*C240)&lt;='Assumptions and Catalog'!$C$53,((D240+E240)*C240)*'Assumptions and Catalog'!$H$53+'Assumptions and Catalog'!$E$53+'Assumptions and Catalog'!$F$53,IF(((D240+E240)*C240)&lt;='Assumptions and Catalog'!$C$54,((D240+E240)*C240)*'Assumptions and Catalog'!$H$54+'Assumptions and Catalog'!$E$54+'Assumptions and Catalog'!$F$54,IF(((D240+E240)*C240)&lt;='Assumptions and Catalog'!$C$55,((D240+E240)*C240)*'Assumptions and Catalog'!$H$55+'Assumptions and Catalog'!$E$55+'Assumptions and Catalog'!$F$55,IF(((D240+E240)*C240)&lt;='Assumptions and Catalog'!$C$56,((D240+E240)*C240)*'Assumptions and Catalog'!$H$56+'Assumptions and Catalog'!$E$56+'Assumptions and Catalog'!$F$56,IF(((D240+E240)*C240)&lt;='Assumptions and Catalog'!$C$57,((D240+E240)*C240)*'Assumptions and Catalog'!$H$57+'Assumptions and Catalog'!$E$57+'Assumptions and Catalog'!$F$57,"Out of range")))))))),IF(((D240+E240)*C240)&lt;='Assumptions and Catalog'!$C$60,((D240+E240)*C240)*'Assumptions and Catalog'!$H$60+'Assumptions and Catalog'!$E$60+'Assumptions and Catalog'!$F$60,IF(((D240+E240)*C240)&lt;='Assumptions and Catalog'!$C$61,((D240+E240)*C240)*'Assumptions and Catalog'!$H$61+'Assumptions and Catalog'!$E$61+'Assumptions and Catalog'!$F$61,IF(((D240+E240)*C240)&lt;='Assumptions and Catalog'!$C$62,((D240+E240)*C240)*'Assumptions and Catalog'!$H$62+'Assumptions and Catalog'!$E$62+'Assumptions and Catalog'!$F$62,IF(((D240+E240)*C240)&lt;='Assumptions and Catalog'!$C$63,((D240+E240)*C240)*'Assumptions and Catalog'!$H$63+'Assumptions and Catalog'!$E$63+'Assumptions and Catalog'!$F$63,IF(((D240+E240)*C240)&lt;='Assumptions and Catalog'!$C$64,((D240+E240)*C240)*'Assumptions and Catalog'!$H$64+'Assumptions and Catalog'!$E$64+'Assumptions and Catalog'!$F$64,IF(((D240+E240)*C240)&lt;='Assumptions and Catalog'!$C$65,((D240+E240)*C240)*'Assumptions and Catalog'!$H$65+'Assumptions and Catalog'!$E$65+'Assumptions and Catalog'!$F$65,"Out of range")))))))))*(1+'Assumptions and Catalog'!$C$8)^(A240-1),0)</f>
        <v>8554.9666666666672</v>
      </c>
      <c r="N240" s="5">
        <f>IF(ISNUMBER(Inputs!$L$5),(IF(Inputs!$L$9="Actual flat rate",L240*Inputs!$L$10,IF(Inputs!$C$9="Residential",IF(L240&lt;='Assumptions and Catalog'!$C$50,L240*'Assumptions and Catalog'!$H$50+'Assumptions and Catalog'!$E$50+'Assumptions and Catalog'!$F$50,IF(L240&lt;='Assumptions and Catalog'!$C$51,L240*'Assumptions and Catalog'!$H$51+'Assumptions and Catalog'!$E$51+'Assumptions and Catalog'!$F$51,IF(L240&lt;='Assumptions and Catalog'!$C$52,L240*'Assumptions and Catalog'!$H$52+'Assumptions and Catalog'!$E$52+'Assumptions and Catalog'!$F$52,IF(L240&lt;='Assumptions and Catalog'!$C$53,L240*'Assumptions and Catalog'!$H$53+'Assumptions and Catalog'!$E$53+'Assumptions and Catalog'!$F$53,IF(L240&lt;='Assumptions and Catalog'!$C$54,L240*'Assumptions and Catalog'!$H$54+'Assumptions and Catalog'!$E$54+'Assumptions and Catalog'!$F$54,IF(L240&lt;='Assumptions and Catalog'!$C$55,L240*'Assumptions and Catalog'!$H$55+'Assumptions and Catalog'!$E$55+'Assumptions and Catalog'!$F$55,IF(L240&lt;='Assumptions and Catalog'!$C$56,L240*'Assumptions and Catalog'!$H$56+'Assumptions and Catalog'!$E$56+'Assumptions and Catalog'!$F$56,IF(L240&lt;='Assumptions and Catalog'!$C$57,L240*'Assumptions and Catalog'!$H$57+'Assumptions and Catalog'!$E$57+'Assumptions and Catalog'!$F$57,"Out of range")))))))),IF(L240&lt;='Assumptions and Catalog'!$C$60,L240*'Assumptions and Catalog'!$H$60+'Assumptions and Catalog'!$E$60+'Assumptions and Catalog'!$F$60,IF(L240&lt;='Assumptions and Catalog'!$C$61,L240*'Assumptions and Catalog'!$H$61+'Assumptions and Catalog'!$E$61+'Assumptions and Catalog'!$F$61,IF(L240&lt;='Assumptions and Catalog'!$C$62,L240*'Assumptions and Catalog'!$H$62+'Assumptions and Catalog'!$E$62+'Assumptions and Catalog'!$F$62,IF(L240&lt;='Assumptions and Catalog'!$C$63,L240*'Assumptions and Catalog'!$H$63+'Assumptions and Catalog'!$E$63+'Assumptions and Catalog'!$F$63,IF(L240&lt;='Assumptions and Catalog'!$C$64,L240*'Assumptions and Catalog'!$H$64+'Assumptions and Catalog'!$E$64+'Assumptions and Catalog'!$F$64,IF(L240&lt;='Assumptions and Catalog'!$C$65,L240*'Assumptions and Catalog'!$H$65+'Assumptions and Catalog'!$E$65+'Assumptions and Catalog'!$F$65,"Out of range")))))))))*(1+'Assumptions and Catalog'!$C$8)^(A240-1),0)</f>
        <v>5122.6494646117726</v>
      </c>
      <c r="O240" s="5">
        <f t="shared" si="18"/>
        <v>3432.3172020548946</v>
      </c>
      <c r="P240" s="5">
        <f>C$55*(1-J$14)*(1-'Assumptions and Catalog'!$C$23)^R240</f>
        <v>0</v>
      </c>
      <c r="Q240" s="5">
        <f>IF(ISNUMBER(Inputs!$L$5),(IF(Inputs!$L$9="Actual flat rate",((D240+E240)*C240-G240)*Inputs!$L$10,IF(Inputs!$C$9="Residential",IF(((D240+E240)*C240-G240)&lt;='Assumptions and Catalog'!$C$50,((D240+E240)*C240-G240)*'Assumptions and Catalog'!$H$50+'Assumptions and Catalog'!$E$50+'Assumptions and Catalog'!$F$50,IF(((D240+E240)*C240-G240)&lt;='Assumptions and Catalog'!$C$51,((D240+E240)*C240-G240)*'Assumptions and Catalog'!$H$51+'Assumptions and Catalog'!$E$51+'Assumptions and Catalog'!$F$51,IF(((D240+E240)*C240-G240)&lt;='Assumptions and Catalog'!$C$52,((D240+E240)*C240-G240)*'Assumptions and Catalog'!$H$52+'Assumptions and Catalog'!$E$52+'Assumptions and Catalog'!$F$52,IF(((D240+E240)*C240-G240)&lt;='Assumptions and Catalog'!$C$53,((D240+E240)*C240-G240)*'Assumptions and Catalog'!$H$53+'Assumptions and Catalog'!$E$53+'Assumptions and Catalog'!$F$53,IF(((D240+E240)*C240-G240)&lt;='Assumptions and Catalog'!$C$54,((D240+E240)*C240-G240)*'Assumptions and Catalog'!$H$54+'Assumptions and Catalog'!$E$54+'Assumptions and Catalog'!$F$54,IF(((D240+E240)*C240-G240)&lt;='Assumptions and Catalog'!$C$55,((D240+E240)*C240-G240)*'Assumptions and Catalog'!$H$55+'Assumptions and Catalog'!$E$55+'Assumptions and Catalog'!$F$55,IF(((D240+E240)*C240-G240)&lt;='Assumptions and Catalog'!$C$56,((D240+E240)*C240-G240)*'Assumptions and Catalog'!$H$56+'Assumptions and Catalog'!$E$56+'Assumptions and Catalog'!$F$56,IF(((D240+E240)*C240-G240)&lt;='Assumptions and Catalog'!$C$57,((D240+E240)*C240-G240)*'Assumptions and Catalog'!$H$57+'Assumptions and Catalog'!$E$57+'Assumptions and Catalog'!$F$57,"Out of range")))))))),IF(((D240+E240)*C240-G240)&lt;='Assumptions and Catalog'!$C$60,((D240+E240)*C240-G240)*'Assumptions and Catalog'!$H$60+'Assumptions and Catalog'!$E$60+'Assumptions and Catalog'!$F$60,IF(((D240+E240)*C240-G240)&lt;='Assumptions and Catalog'!$C$61,((D240+E240)*C240-G240)*'Assumptions and Catalog'!$H$61+'Assumptions and Catalog'!$E$61+'Assumptions and Catalog'!$F$61,IF(((D240+E240)*C240-G240)&lt;='Assumptions and Catalog'!$C$62,((D240+E240)*C240-G240)*'Assumptions and Catalog'!$H$62+'Assumptions and Catalog'!$E$62+'Assumptions and Catalog'!$F$62,IF(((D240+E240)*C240-G240)&lt;='Assumptions and Catalog'!$C$63,((D240+E240)*C240-G240)*'Assumptions and Catalog'!$H$63+'Assumptions and Catalog'!$E$63+'Assumptions and Catalog'!$F$63,IF(((D240+E240)*C240-G240)&lt;='Assumptions and Catalog'!$C$64,((D240+E240)*C240-G240)*'Assumptions and Catalog'!$H$64+'Assumptions and Catalog'!$E$64+'Assumptions and Catalog'!$F$64,IF(((D240+E240)*C240-G240)&lt;='Assumptions and Catalog'!$C$65,((D240+E240)*C240-G240)*'Assumptions and Catalog'!$H$65+'Assumptions and Catalog'!$E$65+'Assumptions and Catalog'!$F$65,"Out of range")))))))))*(1+'Assumptions and Catalog'!$C$8)^(A240-1),0)</f>
        <v>5122.6494646117726</v>
      </c>
      <c r="R240" s="5">
        <f>IF(AND('Assumptions and Catalog'!$C$19&gt;0,A240&gt;='Assumptions and Catalog'!$C$19),A240-'Assumptions and Catalog'!$C$19,A240-1)</f>
        <v>6</v>
      </c>
      <c r="S240" s="5">
        <f t="shared" si="19"/>
        <v>0</v>
      </c>
      <c r="T240" s="5"/>
      <c r="U240" s="5"/>
    </row>
    <row r="241" spans="1:21" ht="23.1" customHeight="1" outlineLevel="1" x14ac:dyDescent="0.2">
      <c r="A241" s="5">
        <v>7</v>
      </c>
      <c r="B241" s="5">
        <v>9</v>
      </c>
      <c r="C241" s="5">
        <f>DAY(DATE('Assumptions and Catalog'!$C$24+A241-1,B241+1,0))</f>
        <v>30</v>
      </c>
      <c r="D241" s="5">
        <f>IF(ISNUMBER(Inputs!$L$5),Inputs!$L$5*Inputs!$L$6,0)</f>
        <v>40.35</v>
      </c>
      <c r="E241" s="5">
        <f>IF(ISNUMBER(Inputs!$L$5),Inputs!$L$5-D241,0)</f>
        <v>40.35</v>
      </c>
      <c r="F241" s="5">
        <f>C$51*'Assumptions and Catalog'!$C$31*C241*(1-'Assumptions and Catalog'!$C$10)^(A241-1)</f>
        <v>971.32347441543516</v>
      </c>
      <c r="G241" s="5">
        <f t="shared" si="14"/>
        <v>971.32347441543516</v>
      </c>
      <c r="H241" s="5">
        <f>I241/('Assumptions and Catalog'!$C$11*'Assumptions and Catalog'!$C$12)</f>
        <v>0</v>
      </c>
      <c r="I241" s="5">
        <f>0</f>
        <v>0</v>
      </c>
      <c r="J241" s="5">
        <f t="shared" si="15"/>
        <v>0</v>
      </c>
      <c r="K241" s="5">
        <f t="shared" si="16"/>
        <v>0</v>
      </c>
      <c r="L241" s="5">
        <f t="shared" si="17"/>
        <v>1449.6765255845648</v>
      </c>
      <c r="M241" s="5">
        <f>IF(ISNUMBER(Inputs!$L$5),(IF(Inputs!$L$9="Actual flat rate",((D241+E241)*C241)*Inputs!$L$10,IF(Inputs!$C$9="Residential",IF(((D241+E241)*C241)&lt;='Assumptions and Catalog'!$C$50,((D241+E241)*C241)*'Assumptions and Catalog'!$H$50+'Assumptions and Catalog'!$E$50+'Assumptions and Catalog'!$F$50,IF(((D241+E241)*C241)&lt;='Assumptions and Catalog'!$C$51,((D241+E241)*C241)*'Assumptions and Catalog'!$H$51+'Assumptions and Catalog'!$E$51+'Assumptions and Catalog'!$F$51,IF(((D241+E241)*C241)&lt;='Assumptions and Catalog'!$C$52,((D241+E241)*C241)*'Assumptions and Catalog'!$H$52+'Assumptions and Catalog'!$E$52+'Assumptions and Catalog'!$F$52,IF(((D241+E241)*C241)&lt;='Assumptions and Catalog'!$C$53,((D241+E241)*C241)*'Assumptions and Catalog'!$H$53+'Assumptions and Catalog'!$E$53+'Assumptions and Catalog'!$F$53,IF(((D241+E241)*C241)&lt;='Assumptions and Catalog'!$C$54,((D241+E241)*C241)*'Assumptions and Catalog'!$H$54+'Assumptions and Catalog'!$E$54+'Assumptions and Catalog'!$F$54,IF(((D241+E241)*C241)&lt;='Assumptions and Catalog'!$C$55,((D241+E241)*C241)*'Assumptions and Catalog'!$H$55+'Assumptions and Catalog'!$E$55+'Assumptions and Catalog'!$F$55,IF(((D241+E241)*C241)&lt;='Assumptions and Catalog'!$C$56,((D241+E241)*C241)*'Assumptions and Catalog'!$H$56+'Assumptions and Catalog'!$E$56+'Assumptions and Catalog'!$F$56,IF(((D241+E241)*C241)&lt;='Assumptions and Catalog'!$C$57,((D241+E241)*C241)*'Assumptions and Catalog'!$H$57+'Assumptions and Catalog'!$E$57+'Assumptions and Catalog'!$F$57,"Out of range")))))))),IF(((D241+E241)*C241)&lt;='Assumptions and Catalog'!$C$60,((D241+E241)*C241)*'Assumptions and Catalog'!$H$60+'Assumptions and Catalog'!$E$60+'Assumptions and Catalog'!$F$60,IF(((D241+E241)*C241)&lt;='Assumptions and Catalog'!$C$61,((D241+E241)*C241)*'Assumptions and Catalog'!$H$61+'Assumptions and Catalog'!$E$61+'Assumptions and Catalog'!$F$61,IF(((D241+E241)*C241)&lt;='Assumptions and Catalog'!$C$62,((D241+E241)*C241)*'Assumptions and Catalog'!$H$62+'Assumptions and Catalog'!$E$62+'Assumptions and Catalog'!$F$62,IF(((D241+E241)*C241)&lt;='Assumptions and Catalog'!$C$63,((D241+E241)*C241)*'Assumptions and Catalog'!$H$63+'Assumptions and Catalog'!$E$63+'Assumptions and Catalog'!$F$63,IF(((D241+E241)*C241)&lt;='Assumptions and Catalog'!$C$64,((D241+E241)*C241)*'Assumptions and Catalog'!$H$64+'Assumptions and Catalog'!$E$64+'Assumptions and Catalog'!$F$64,IF(((D241+E241)*C241)&lt;='Assumptions and Catalog'!$C$65,((D241+E241)*C241)*'Assumptions and Catalog'!$H$65+'Assumptions and Catalog'!$E$65+'Assumptions and Catalog'!$F$65,"Out of range")))))))))*(1+'Assumptions and Catalog'!$C$8)^(A241-1),0)</f>
        <v>8279</v>
      </c>
      <c r="N241" s="5">
        <f>IF(ISNUMBER(Inputs!$L$5),(IF(Inputs!$L$9="Actual flat rate",L241*Inputs!$L$10,IF(Inputs!$C$9="Residential",IF(L241&lt;='Assumptions and Catalog'!$C$50,L241*'Assumptions and Catalog'!$H$50+'Assumptions and Catalog'!$E$50+'Assumptions and Catalog'!$F$50,IF(L241&lt;='Assumptions and Catalog'!$C$51,L241*'Assumptions and Catalog'!$H$51+'Assumptions and Catalog'!$E$51+'Assumptions and Catalog'!$F$51,IF(L241&lt;='Assumptions and Catalog'!$C$52,L241*'Assumptions and Catalog'!$H$52+'Assumptions and Catalog'!$E$52+'Assumptions and Catalog'!$F$52,IF(L241&lt;='Assumptions and Catalog'!$C$53,L241*'Assumptions and Catalog'!$H$53+'Assumptions and Catalog'!$E$53+'Assumptions and Catalog'!$F$53,IF(L241&lt;='Assumptions and Catalog'!$C$54,L241*'Assumptions and Catalog'!$H$54+'Assumptions and Catalog'!$E$54+'Assumptions and Catalog'!$F$54,IF(L241&lt;='Assumptions and Catalog'!$C$55,L241*'Assumptions and Catalog'!$H$55+'Assumptions and Catalog'!$E$55+'Assumptions and Catalog'!$F$55,IF(L241&lt;='Assumptions and Catalog'!$C$56,L241*'Assumptions and Catalog'!$H$56+'Assumptions and Catalog'!$E$56+'Assumptions and Catalog'!$F$56,IF(L241&lt;='Assumptions and Catalog'!$C$57,L241*'Assumptions and Catalog'!$H$57+'Assumptions and Catalog'!$E$57+'Assumptions and Catalog'!$F$57,"Out of range")))))))),IF(L241&lt;='Assumptions and Catalog'!$C$60,L241*'Assumptions and Catalog'!$H$60+'Assumptions and Catalog'!$E$60+'Assumptions and Catalog'!$F$60,IF(L241&lt;='Assumptions and Catalog'!$C$61,L241*'Assumptions and Catalog'!$H$61+'Assumptions and Catalog'!$E$61+'Assumptions and Catalog'!$F$61,IF(L241&lt;='Assumptions and Catalog'!$C$62,L241*'Assumptions and Catalog'!$H$62+'Assumptions and Catalog'!$E$62+'Assumptions and Catalog'!$F$62,IF(L241&lt;='Assumptions and Catalog'!$C$63,L241*'Assumptions and Catalog'!$H$63+'Assumptions and Catalog'!$E$63+'Assumptions and Catalog'!$F$63,IF(L241&lt;='Assumptions and Catalog'!$C$64,L241*'Assumptions and Catalog'!$H$64+'Assumptions and Catalog'!$E$64+'Assumptions and Catalog'!$F$64,IF(L241&lt;='Assumptions and Catalog'!$C$65,L241*'Assumptions and Catalog'!$H$65+'Assumptions and Catalog'!$E$65+'Assumptions and Catalog'!$F$65,"Out of range")))))))))*(1+'Assumptions and Catalog'!$C$8)^(A241-1),0)</f>
        <v>4957.4027076888115</v>
      </c>
      <c r="O241" s="5">
        <f t="shared" si="18"/>
        <v>3321.5972923111885</v>
      </c>
      <c r="P241" s="5">
        <f>C$55*(1-J$14)*(1-'Assumptions and Catalog'!$C$23)^R241</f>
        <v>0</v>
      </c>
      <c r="Q241" s="5">
        <f>IF(ISNUMBER(Inputs!$L$5),(IF(Inputs!$L$9="Actual flat rate",((D241+E241)*C241-G241)*Inputs!$L$10,IF(Inputs!$C$9="Residential",IF(((D241+E241)*C241-G241)&lt;='Assumptions and Catalog'!$C$50,((D241+E241)*C241-G241)*'Assumptions and Catalog'!$H$50+'Assumptions and Catalog'!$E$50+'Assumptions and Catalog'!$F$50,IF(((D241+E241)*C241-G241)&lt;='Assumptions and Catalog'!$C$51,((D241+E241)*C241-G241)*'Assumptions and Catalog'!$H$51+'Assumptions and Catalog'!$E$51+'Assumptions and Catalog'!$F$51,IF(((D241+E241)*C241-G241)&lt;='Assumptions and Catalog'!$C$52,((D241+E241)*C241-G241)*'Assumptions and Catalog'!$H$52+'Assumptions and Catalog'!$E$52+'Assumptions and Catalog'!$F$52,IF(((D241+E241)*C241-G241)&lt;='Assumptions and Catalog'!$C$53,((D241+E241)*C241-G241)*'Assumptions and Catalog'!$H$53+'Assumptions and Catalog'!$E$53+'Assumptions and Catalog'!$F$53,IF(((D241+E241)*C241-G241)&lt;='Assumptions and Catalog'!$C$54,((D241+E241)*C241-G241)*'Assumptions and Catalog'!$H$54+'Assumptions and Catalog'!$E$54+'Assumptions and Catalog'!$F$54,IF(((D241+E241)*C241-G241)&lt;='Assumptions and Catalog'!$C$55,((D241+E241)*C241-G241)*'Assumptions and Catalog'!$H$55+'Assumptions and Catalog'!$E$55+'Assumptions and Catalog'!$F$55,IF(((D241+E241)*C241-G241)&lt;='Assumptions and Catalog'!$C$56,((D241+E241)*C241-G241)*'Assumptions and Catalog'!$H$56+'Assumptions and Catalog'!$E$56+'Assumptions and Catalog'!$F$56,IF(((D241+E241)*C241-G241)&lt;='Assumptions and Catalog'!$C$57,((D241+E241)*C241-G241)*'Assumptions and Catalog'!$H$57+'Assumptions and Catalog'!$E$57+'Assumptions and Catalog'!$F$57,"Out of range")))))))),IF(((D241+E241)*C241-G241)&lt;='Assumptions and Catalog'!$C$60,((D241+E241)*C241-G241)*'Assumptions and Catalog'!$H$60+'Assumptions and Catalog'!$E$60+'Assumptions and Catalog'!$F$60,IF(((D241+E241)*C241-G241)&lt;='Assumptions and Catalog'!$C$61,((D241+E241)*C241-G241)*'Assumptions and Catalog'!$H$61+'Assumptions and Catalog'!$E$61+'Assumptions and Catalog'!$F$61,IF(((D241+E241)*C241-G241)&lt;='Assumptions and Catalog'!$C$62,((D241+E241)*C241-G241)*'Assumptions and Catalog'!$H$62+'Assumptions and Catalog'!$E$62+'Assumptions and Catalog'!$F$62,IF(((D241+E241)*C241-G241)&lt;='Assumptions and Catalog'!$C$63,((D241+E241)*C241-G241)*'Assumptions and Catalog'!$H$63+'Assumptions and Catalog'!$E$63+'Assumptions and Catalog'!$F$63,IF(((D241+E241)*C241-G241)&lt;='Assumptions and Catalog'!$C$64,((D241+E241)*C241-G241)*'Assumptions and Catalog'!$H$64+'Assumptions and Catalog'!$E$64+'Assumptions and Catalog'!$F$64,IF(((D241+E241)*C241-G241)&lt;='Assumptions and Catalog'!$C$65,((D241+E241)*C241-G241)*'Assumptions and Catalog'!$H$65+'Assumptions and Catalog'!$E$65+'Assumptions and Catalog'!$F$65,"Out of range")))))))))*(1+'Assumptions and Catalog'!$C$8)^(A241-1),0)</f>
        <v>4957.4027076888115</v>
      </c>
      <c r="R241" s="5">
        <f>IF(AND('Assumptions and Catalog'!$C$19&gt;0,A241&gt;='Assumptions and Catalog'!$C$19),A241-'Assumptions and Catalog'!$C$19,A241-1)</f>
        <v>6</v>
      </c>
      <c r="S241" s="5">
        <f t="shared" si="19"/>
        <v>0</v>
      </c>
      <c r="T241" s="5"/>
      <c r="U241" s="5"/>
    </row>
    <row r="242" spans="1:21" ht="23.1" customHeight="1" outlineLevel="1" x14ac:dyDescent="0.2">
      <c r="A242" s="5">
        <v>7</v>
      </c>
      <c r="B242" s="5">
        <v>10</v>
      </c>
      <c r="C242" s="5">
        <f>DAY(DATE('Assumptions and Catalog'!$C$24+A242-1,B242+1,0))</f>
        <v>31</v>
      </c>
      <c r="D242" s="5">
        <f>IF(ISNUMBER(Inputs!$L$5),Inputs!$L$5*Inputs!$L$6,0)</f>
        <v>40.35</v>
      </c>
      <c r="E242" s="5">
        <f>IF(ISNUMBER(Inputs!$L$5),Inputs!$L$5-D242,0)</f>
        <v>40.35</v>
      </c>
      <c r="F242" s="5">
        <f>C$51*'Assumptions and Catalog'!$C$31*C242*(1-'Assumptions and Catalog'!$C$10)^(A242-1)</f>
        <v>1003.7009235626163</v>
      </c>
      <c r="G242" s="5">
        <f t="shared" si="14"/>
        <v>1003.7009235626163</v>
      </c>
      <c r="H242" s="5">
        <f>I242/('Assumptions and Catalog'!$C$11*'Assumptions and Catalog'!$C$12)</f>
        <v>0</v>
      </c>
      <c r="I242" s="5">
        <f>0</f>
        <v>0</v>
      </c>
      <c r="J242" s="5">
        <f t="shared" si="15"/>
        <v>0</v>
      </c>
      <c r="K242" s="5">
        <f t="shared" si="16"/>
        <v>0</v>
      </c>
      <c r="L242" s="5">
        <f t="shared" si="17"/>
        <v>1497.999076437384</v>
      </c>
      <c r="M242" s="5">
        <f>IF(ISNUMBER(Inputs!$L$5),(IF(Inputs!$L$9="Actual flat rate",((D242+E242)*C242)*Inputs!$L$10,IF(Inputs!$C$9="Residential",IF(((D242+E242)*C242)&lt;='Assumptions and Catalog'!$C$50,((D242+E242)*C242)*'Assumptions and Catalog'!$H$50+'Assumptions and Catalog'!$E$50+'Assumptions and Catalog'!$F$50,IF(((D242+E242)*C242)&lt;='Assumptions and Catalog'!$C$51,((D242+E242)*C242)*'Assumptions and Catalog'!$H$51+'Assumptions and Catalog'!$E$51+'Assumptions and Catalog'!$F$51,IF(((D242+E242)*C242)&lt;='Assumptions and Catalog'!$C$52,((D242+E242)*C242)*'Assumptions and Catalog'!$H$52+'Assumptions and Catalog'!$E$52+'Assumptions and Catalog'!$F$52,IF(((D242+E242)*C242)&lt;='Assumptions and Catalog'!$C$53,((D242+E242)*C242)*'Assumptions and Catalog'!$H$53+'Assumptions and Catalog'!$E$53+'Assumptions and Catalog'!$F$53,IF(((D242+E242)*C242)&lt;='Assumptions and Catalog'!$C$54,((D242+E242)*C242)*'Assumptions and Catalog'!$H$54+'Assumptions and Catalog'!$E$54+'Assumptions and Catalog'!$F$54,IF(((D242+E242)*C242)&lt;='Assumptions and Catalog'!$C$55,((D242+E242)*C242)*'Assumptions and Catalog'!$H$55+'Assumptions and Catalog'!$E$55+'Assumptions and Catalog'!$F$55,IF(((D242+E242)*C242)&lt;='Assumptions and Catalog'!$C$56,((D242+E242)*C242)*'Assumptions and Catalog'!$H$56+'Assumptions and Catalog'!$E$56+'Assumptions and Catalog'!$F$56,IF(((D242+E242)*C242)&lt;='Assumptions and Catalog'!$C$57,((D242+E242)*C242)*'Assumptions and Catalog'!$H$57+'Assumptions and Catalog'!$E$57+'Assumptions and Catalog'!$F$57,"Out of range")))))))),IF(((D242+E242)*C242)&lt;='Assumptions and Catalog'!$C$60,((D242+E242)*C242)*'Assumptions and Catalog'!$H$60+'Assumptions and Catalog'!$E$60+'Assumptions and Catalog'!$F$60,IF(((D242+E242)*C242)&lt;='Assumptions and Catalog'!$C$61,((D242+E242)*C242)*'Assumptions and Catalog'!$H$61+'Assumptions and Catalog'!$E$61+'Assumptions and Catalog'!$F$61,IF(((D242+E242)*C242)&lt;='Assumptions and Catalog'!$C$62,((D242+E242)*C242)*'Assumptions and Catalog'!$H$62+'Assumptions and Catalog'!$E$62+'Assumptions and Catalog'!$F$62,IF(((D242+E242)*C242)&lt;='Assumptions and Catalog'!$C$63,((D242+E242)*C242)*'Assumptions and Catalog'!$H$63+'Assumptions and Catalog'!$E$63+'Assumptions and Catalog'!$F$63,IF(((D242+E242)*C242)&lt;='Assumptions and Catalog'!$C$64,((D242+E242)*C242)*'Assumptions and Catalog'!$H$64+'Assumptions and Catalog'!$E$64+'Assumptions and Catalog'!$F$64,IF(((D242+E242)*C242)&lt;='Assumptions and Catalog'!$C$65,((D242+E242)*C242)*'Assumptions and Catalog'!$H$65+'Assumptions and Catalog'!$E$65+'Assumptions and Catalog'!$F$65,"Out of range")))))))))*(1+'Assumptions and Catalog'!$C$8)^(A242-1),0)</f>
        <v>8554.9666666666672</v>
      </c>
      <c r="N242" s="5">
        <f>IF(ISNUMBER(Inputs!$L$5),(IF(Inputs!$L$9="Actual flat rate",L242*Inputs!$L$10,IF(Inputs!$C$9="Residential",IF(L242&lt;='Assumptions and Catalog'!$C$50,L242*'Assumptions and Catalog'!$H$50+'Assumptions and Catalog'!$E$50+'Assumptions and Catalog'!$F$50,IF(L242&lt;='Assumptions and Catalog'!$C$51,L242*'Assumptions and Catalog'!$H$51+'Assumptions and Catalog'!$E$51+'Assumptions and Catalog'!$F$51,IF(L242&lt;='Assumptions and Catalog'!$C$52,L242*'Assumptions and Catalog'!$H$52+'Assumptions and Catalog'!$E$52+'Assumptions and Catalog'!$F$52,IF(L242&lt;='Assumptions and Catalog'!$C$53,L242*'Assumptions and Catalog'!$H$53+'Assumptions and Catalog'!$E$53+'Assumptions and Catalog'!$F$53,IF(L242&lt;='Assumptions and Catalog'!$C$54,L242*'Assumptions and Catalog'!$H$54+'Assumptions and Catalog'!$E$54+'Assumptions and Catalog'!$F$54,IF(L242&lt;='Assumptions and Catalog'!$C$55,L242*'Assumptions and Catalog'!$H$55+'Assumptions and Catalog'!$E$55+'Assumptions and Catalog'!$F$55,IF(L242&lt;='Assumptions and Catalog'!$C$56,L242*'Assumptions and Catalog'!$H$56+'Assumptions and Catalog'!$E$56+'Assumptions and Catalog'!$F$56,IF(L242&lt;='Assumptions and Catalog'!$C$57,L242*'Assumptions and Catalog'!$H$57+'Assumptions and Catalog'!$E$57+'Assumptions and Catalog'!$F$57,"Out of range")))))))),IF(L242&lt;='Assumptions and Catalog'!$C$60,L242*'Assumptions and Catalog'!$H$60+'Assumptions and Catalog'!$E$60+'Assumptions and Catalog'!$F$60,IF(L242&lt;='Assumptions and Catalog'!$C$61,L242*'Assumptions and Catalog'!$H$61+'Assumptions and Catalog'!$E$61+'Assumptions and Catalog'!$F$61,IF(L242&lt;='Assumptions and Catalog'!$C$62,L242*'Assumptions and Catalog'!$H$62+'Assumptions and Catalog'!$E$62+'Assumptions and Catalog'!$F$62,IF(L242&lt;='Assumptions and Catalog'!$C$63,L242*'Assumptions and Catalog'!$H$63+'Assumptions and Catalog'!$E$63+'Assumptions and Catalog'!$F$63,IF(L242&lt;='Assumptions and Catalog'!$C$64,L242*'Assumptions and Catalog'!$H$64+'Assumptions and Catalog'!$E$64+'Assumptions and Catalog'!$F$64,IF(L242&lt;='Assumptions and Catalog'!$C$65,L242*'Assumptions and Catalog'!$H$65+'Assumptions and Catalog'!$E$65+'Assumptions and Catalog'!$F$65,"Out of range")))))))))*(1+'Assumptions and Catalog'!$C$8)^(A242-1),0)</f>
        <v>5122.6494646117726</v>
      </c>
      <c r="O242" s="5">
        <f t="shared" si="18"/>
        <v>3432.3172020548946</v>
      </c>
      <c r="P242" s="5">
        <f>C$55*(1-J$14)*(1-'Assumptions and Catalog'!$C$23)^R242</f>
        <v>0</v>
      </c>
      <c r="Q242" s="5">
        <f>IF(ISNUMBER(Inputs!$L$5),(IF(Inputs!$L$9="Actual flat rate",((D242+E242)*C242-G242)*Inputs!$L$10,IF(Inputs!$C$9="Residential",IF(((D242+E242)*C242-G242)&lt;='Assumptions and Catalog'!$C$50,((D242+E242)*C242-G242)*'Assumptions and Catalog'!$H$50+'Assumptions and Catalog'!$E$50+'Assumptions and Catalog'!$F$50,IF(((D242+E242)*C242-G242)&lt;='Assumptions and Catalog'!$C$51,((D242+E242)*C242-G242)*'Assumptions and Catalog'!$H$51+'Assumptions and Catalog'!$E$51+'Assumptions and Catalog'!$F$51,IF(((D242+E242)*C242-G242)&lt;='Assumptions and Catalog'!$C$52,((D242+E242)*C242-G242)*'Assumptions and Catalog'!$H$52+'Assumptions and Catalog'!$E$52+'Assumptions and Catalog'!$F$52,IF(((D242+E242)*C242-G242)&lt;='Assumptions and Catalog'!$C$53,((D242+E242)*C242-G242)*'Assumptions and Catalog'!$H$53+'Assumptions and Catalog'!$E$53+'Assumptions and Catalog'!$F$53,IF(((D242+E242)*C242-G242)&lt;='Assumptions and Catalog'!$C$54,((D242+E242)*C242-G242)*'Assumptions and Catalog'!$H$54+'Assumptions and Catalog'!$E$54+'Assumptions and Catalog'!$F$54,IF(((D242+E242)*C242-G242)&lt;='Assumptions and Catalog'!$C$55,((D242+E242)*C242-G242)*'Assumptions and Catalog'!$H$55+'Assumptions and Catalog'!$E$55+'Assumptions and Catalog'!$F$55,IF(((D242+E242)*C242-G242)&lt;='Assumptions and Catalog'!$C$56,((D242+E242)*C242-G242)*'Assumptions and Catalog'!$H$56+'Assumptions and Catalog'!$E$56+'Assumptions and Catalog'!$F$56,IF(((D242+E242)*C242-G242)&lt;='Assumptions and Catalog'!$C$57,((D242+E242)*C242-G242)*'Assumptions and Catalog'!$H$57+'Assumptions and Catalog'!$E$57+'Assumptions and Catalog'!$F$57,"Out of range")))))))),IF(((D242+E242)*C242-G242)&lt;='Assumptions and Catalog'!$C$60,((D242+E242)*C242-G242)*'Assumptions and Catalog'!$H$60+'Assumptions and Catalog'!$E$60+'Assumptions and Catalog'!$F$60,IF(((D242+E242)*C242-G242)&lt;='Assumptions and Catalog'!$C$61,((D242+E242)*C242-G242)*'Assumptions and Catalog'!$H$61+'Assumptions and Catalog'!$E$61+'Assumptions and Catalog'!$F$61,IF(((D242+E242)*C242-G242)&lt;='Assumptions and Catalog'!$C$62,((D242+E242)*C242-G242)*'Assumptions and Catalog'!$H$62+'Assumptions and Catalog'!$E$62+'Assumptions and Catalog'!$F$62,IF(((D242+E242)*C242-G242)&lt;='Assumptions and Catalog'!$C$63,((D242+E242)*C242-G242)*'Assumptions and Catalog'!$H$63+'Assumptions and Catalog'!$E$63+'Assumptions and Catalog'!$F$63,IF(((D242+E242)*C242-G242)&lt;='Assumptions and Catalog'!$C$64,((D242+E242)*C242-G242)*'Assumptions and Catalog'!$H$64+'Assumptions and Catalog'!$E$64+'Assumptions and Catalog'!$F$64,IF(((D242+E242)*C242-G242)&lt;='Assumptions and Catalog'!$C$65,((D242+E242)*C242-G242)*'Assumptions and Catalog'!$H$65+'Assumptions and Catalog'!$E$65+'Assumptions and Catalog'!$F$65,"Out of range")))))))))*(1+'Assumptions and Catalog'!$C$8)^(A242-1),0)</f>
        <v>5122.6494646117726</v>
      </c>
      <c r="R242" s="5">
        <f>IF(AND('Assumptions and Catalog'!$C$19&gt;0,A242&gt;='Assumptions and Catalog'!$C$19),A242-'Assumptions and Catalog'!$C$19,A242-1)</f>
        <v>6</v>
      </c>
      <c r="S242" s="5">
        <f t="shared" si="19"/>
        <v>0</v>
      </c>
      <c r="T242" s="5"/>
      <c r="U242" s="5"/>
    </row>
    <row r="243" spans="1:21" ht="23.1" customHeight="1" outlineLevel="1" x14ac:dyDescent="0.2">
      <c r="A243" s="5">
        <v>7</v>
      </c>
      <c r="B243" s="5">
        <v>11</v>
      </c>
      <c r="C243" s="5">
        <f>DAY(DATE('Assumptions and Catalog'!$C$24+A243-1,B243+1,0))</f>
        <v>30</v>
      </c>
      <c r="D243" s="5">
        <f>IF(ISNUMBER(Inputs!$L$5),Inputs!$L$5*Inputs!$L$6,0)</f>
        <v>40.35</v>
      </c>
      <c r="E243" s="5">
        <f>IF(ISNUMBER(Inputs!$L$5),Inputs!$L$5-D243,0)</f>
        <v>40.35</v>
      </c>
      <c r="F243" s="5">
        <f>C$51*'Assumptions and Catalog'!$C$31*C243*(1-'Assumptions and Catalog'!$C$10)^(A243-1)</f>
        <v>971.32347441543516</v>
      </c>
      <c r="G243" s="5">
        <f t="shared" si="14"/>
        <v>971.32347441543516</v>
      </c>
      <c r="H243" s="5">
        <f>I243/('Assumptions and Catalog'!$C$11*'Assumptions and Catalog'!$C$12)</f>
        <v>0</v>
      </c>
      <c r="I243" s="5">
        <f>0</f>
        <v>0</v>
      </c>
      <c r="J243" s="5">
        <f t="shared" si="15"/>
        <v>0</v>
      </c>
      <c r="K243" s="5">
        <f t="shared" si="16"/>
        <v>0</v>
      </c>
      <c r="L243" s="5">
        <f t="shared" si="17"/>
        <v>1449.6765255845648</v>
      </c>
      <c r="M243" s="5">
        <f>IF(ISNUMBER(Inputs!$L$5),(IF(Inputs!$L$9="Actual flat rate",((D243+E243)*C243)*Inputs!$L$10,IF(Inputs!$C$9="Residential",IF(((D243+E243)*C243)&lt;='Assumptions and Catalog'!$C$50,((D243+E243)*C243)*'Assumptions and Catalog'!$H$50+'Assumptions and Catalog'!$E$50+'Assumptions and Catalog'!$F$50,IF(((D243+E243)*C243)&lt;='Assumptions and Catalog'!$C$51,((D243+E243)*C243)*'Assumptions and Catalog'!$H$51+'Assumptions and Catalog'!$E$51+'Assumptions and Catalog'!$F$51,IF(((D243+E243)*C243)&lt;='Assumptions and Catalog'!$C$52,((D243+E243)*C243)*'Assumptions and Catalog'!$H$52+'Assumptions and Catalog'!$E$52+'Assumptions and Catalog'!$F$52,IF(((D243+E243)*C243)&lt;='Assumptions and Catalog'!$C$53,((D243+E243)*C243)*'Assumptions and Catalog'!$H$53+'Assumptions and Catalog'!$E$53+'Assumptions and Catalog'!$F$53,IF(((D243+E243)*C243)&lt;='Assumptions and Catalog'!$C$54,((D243+E243)*C243)*'Assumptions and Catalog'!$H$54+'Assumptions and Catalog'!$E$54+'Assumptions and Catalog'!$F$54,IF(((D243+E243)*C243)&lt;='Assumptions and Catalog'!$C$55,((D243+E243)*C243)*'Assumptions and Catalog'!$H$55+'Assumptions and Catalog'!$E$55+'Assumptions and Catalog'!$F$55,IF(((D243+E243)*C243)&lt;='Assumptions and Catalog'!$C$56,((D243+E243)*C243)*'Assumptions and Catalog'!$H$56+'Assumptions and Catalog'!$E$56+'Assumptions and Catalog'!$F$56,IF(((D243+E243)*C243)&lt;='Assumptions and Catalog'!$C$57,((D243+E243)*C243)*'Assumptions and Catalog'!$H$57+'Assumptions and Catalog'!$E$57+'Assumptions and Catalog'!$F$57,"Out of range")))))))),IF(((D243+E243)*C243)&lt;='Assumptions and Catalog'!$C$60,((D243+E243)*C243)*'Assumptions and Catalog'!$H$60+'Assumptions and Catalog'!$E$60+'Assumptions and Catalog'!$F$60,IF(((D243+E243)*C243)&lt;='Assumptions and Catalog'!$C$61,((D243+E243)*C243)*'Assumptions and Catalog'!$H$61+'Assumptions and Catalog'!$E$61+'Assumptions and Catalog'!$F$61,IF(((D243+E243)*C243)&lt;='Assumptions and Catalog'!$C$62,((D243+E243)*C243)*'Assumptions and Catalog'!$H$62+'Assumptions and Catalog'!$E$62+'Assumptions and Catalog'!$F$62,IF(((D243+E243)*C243)&lt;='Assumptions and Catalog'!$C$63,((D243+E243)*C243)*'Assumptions and Catalog'!$H$63+'Assumptions and Catalog'!$E$63+'Assumptions and Catalog'!$F$63,IF(((D243+E243)*C243)&lt;='Assumptions and Catalog'!$C$64,((D243+E243)*C243)*'Assumptions and Catalog'!$H$64+'Assumptions and Catalog'!$E$64+'Assumptions and Catalog'!$F$64,IF(((D243+E243)*C243)&lt;='Assumptions and Catalog'!$C$65,((D243+E243)*C243)*'Assumptions and Catalog'!$H$65+'Assumptions and Catalog'!$E$65+'Assumptions and Catalog'!$F$65,"Out of range")))))))))*(1+'Assumptions and Catalog'!$C$8)^(A243-1),0)</f>
        <v>8279</v>
      </c>
      <c r="N243" s="5">
        <f>IF(ISNUMBER(Inputs!$L$5),(IF(Inputs!$L$9="Actual flat rate",L243*Inputs!$L$10,IF(Inputs!$C$9="Residential",IF(L243&lt;='Assumptions and Catalog'!$C$50,L243*'Assumptions and Catalog'!$H$50+'Assumptions and Catalog'!$E$50+'Assumptions and Catalog'!$F$50,IF(L243&lt;='Assumptions and Catalog'!$C$51,L243*'Assumptions and Catalog'!$H$51+'Assumptions and Catalog'!$E$51+'Assumptions and Catalog'!$F$51,IF(L243&lt;='Assumptions and Catalog'!$C$52,L243*'Assumptions and Catalog'!$H$52+'Assumptions and Catalog'!$E$52+'Assumptions and Catalog'!$F$52,IF(L243&lt;='Assumptions and Catalog'!$C$53,L243*'Assumptions and Catalog'!$H$53+'Assumptions and Catalog'!$E$53+'Assumptions and Catalog'!$F$53,IF(L243&lt;='Assumptions and Catalog'!$C$54,L243*'Assumptions and Catalog'!$H$54+'Assumptions and Catalog'!$E$54+'Assumptions and Catalog'!$F$54,IF(L243&lt;='Assumptions and Catalog'!$C$55,L243*'Assumptions and Catalog'!$H$55+'Assumptions and Catalog'!$E$55+'Assumptions and Catalog'!$F$55,IF(L243&lt;='Assumptions and Catalog'!$C$56,L243*'Assumptions and Catalog'!$H$56+'Assumptions and Catalog'!$E$56+'Assumptions and Catalog'!$F$56,IF(L243&lt;='Assumptions and Catalog'!$C$57,L243*'Assumptions and Catalog'!$H$57+'Assumptions and Catalog'!$E$57+'Assumptions and Catalog'!$F$57,"Out of range")))))))),IF(L243&lt;='Assumptions and Catalog'!$C$60,L243*'Assumptions and Catalog'!$H$60+'Assumptions and Catalog'!$E$60+'Assumptions and Catalog'!$F$60,IF(L243&lt;='Assumptions and Catalog'!$C$61,L243*'Assumptions and Catalog'!$H$61+'Assumptions and Catalog'!$E$61+'Assumptions and Catalog'!$F$61,IF(L243&lt;='Assumptions and Catalog'!$C$62,L243*'Assumptions and Catalog'!$H$62+'Assumptions and Catalog'!$E$62+'Assumptions and Catalog'!$F$62,IF(L243&lt;='Assumptions and Catalog'!$C$63,L243*'Assumptions and Catalog'!$H$63+'Assumptions and Catalog'!$E$63+'Assumptions and Catalog'!$F$63,IF(L243&lt;='Assumptions and Catalog'!$C$64,L243*'Assumptions and Catalog'!$H$64+'Assumptions and Catalog'!$E$64+'Assumptions and Catalog'!$F$64,IF(L243&lt;='Assumptions and Catalog'!$C$65,L243*'Assumptions and Catalog'!$H$65+'Assumptions and Catalog'!$E$65+'Assumptions and Catalog'!$F$65,"Out of range")))))))))*(1+'Assumptions and Catalog'!$C$8)^(A243-1),0)</f>
        <v>4957.4027076888115</v>
      </c>
      <c r="O243" s="5">
        <f t="shared" si="18"/>
        <v>3321.5972923111885</v>
      </c>
      <c r="P243" s="5">
        <f>C$55*(1-J$14)*(1-'Assumptions and Catalog'!$C$23)^R243</f>
        <v>0</v>
      </c>
      <c r="Q243" s="5">
        <f>IF(ISNUMBER(Inputs!$L$5),(IF(Inputs!$L$9="Actual flat rate",((D243+E243)*C243-G243)*Inputs!$L$10,IF(Inputs!$C$9="Residential",IF(((D243+E243)*C243-G243)&lt;='Assumptions and Catalog'!$C$50,((D243+E243)*C243-G243)*'Assumptions and Catalog'!$H$50+'Assumptions and Catalog'!$E$50+'Assumptions and Catalog'!$F$50,IF(((D243+E243)*C243-G243)&lt;='Assumptions and Catalog'!$C$51,((D243+E243)*C243-G243)*'Assumptions and Catalog'!$H$51+'Assumptions and Catalog'!$E$51+'Assumptions and Catalog'!$F$51,IF(((D243+E243)*C243-G243)&lt;='Assumptions and Catalog'!$C$52,((D243+E243)*C243-G243)*'Assumptions and Catalog'!$H$52+'Assumptions and Catalog'!$E$52+'Assumptions and Catalog'!$F$52,IF(((D243+E243)*C243-G243)&lt;='Assumptions and Catalog'!$C$53,((D243+E243)*C243-G243)*'Assumptions and Catalog'!$H$53+'Assumptions and Catalog'!$E$53+'Assumptions and Catalog'!$F$53,IF(((D243+E243)*C243-G243)&lt;='Assumptions and Catalog'!$C$54,((D243+E243)*C243-G243)*'Assumptions and Catalog'!$H$54+'Assumptions and Catalog'!$E$54+'Assumptions and Catalog'!$F$54,IF(((D243+E243)*C243-G243)&lt;='Assumptions and Catalog'!$C$55,((D243+E243)*C243-G243)*'Assumptions and Catalog'!$H$55+'Assumptions and Catalog'!$E$55+'Assumptions and Catalog'!$F$55,IF(((D243+E243)*C243-G243)&lt;='Assumptions and Catalog'!$C$56,((D243+E243)*C243-G243)*'Assumptions and Catalog'!$H$56+'Assumptions and Catalog'!$E$56+'Assumptions and Catalog'!$F$56,IF(((D243+E243)*C243-G243)&lt;='Assumptions and Catalog'!$C$57,((D243+E243)*C243-G243)*'Assumptions and Catalog'!$H$57+'Assumptions and Catalog'!$E$57+'Assumptions and Catalog'!$F$57,"Out of range")))))))),IF(((D243+E243)*C243-G243)&lt;='Assumptions and Catalog'!$C$60,((D243+E243)*C243-G243)*'Assumptions and Catalog'!$H$60+'Assumptions and Catalog'!$E$60+'Assumptions and Catalog'!$F$60,IF(((D243+E243)*C243-G243)&lt;='Assumptions and Catalog'!$C$61,((D243+E243)*C243-G243)*'Assumptions and Catalog'!$H$61+'Assumptions and Catalog'!$E$61+'Assumptions and Catalog'!$F$61,IF(((D243+E243)*C243-G243)&lt;='Assumptions and Catalog'!$C$62,((D243+E243)*C243-G243)*'Assumptions and Catalog'!$H$62+'Assumptions and Catalog'!$E$62+'Assumptions and Catalog'!$F$62,IF(((D243+E243)*C243-G243)&lt;='Assumptions and Catalog'!$C$63,((D243+E243)*C243-G243)*'Assumptions and Catalog'!$H$63+'Assumptions and Catalog'!$E$63+'Assumptions and Catalog'!$F$63,IF(((D243+E243)*C243-G243)&lt;='Assumptions and Catalog'!$C$64,((D243+E243)*C243-G243)*'Assumptions and Catalog'!$H$64+'Assumptions and Catalog'!$E$64+'Assumptions and Catalog'!$F$64,IF(((D243+E243)*C243-G243)&lt;='Assumptions and Catalog'!$C$65,((D243+E243)*C243-G243)*'Assumptions and Catalog'!$H$65+'Assumptions and Catalog'!$E$65+'Assumptions and Catalog'!$F$65,"Out of range")))))))))*(1+'Assumptions and Catalog'!$C$8)^(A243-1),0)</f>
        <v>4957.4027076888115</v>
      </c>
      <c r="R243" s="5">
        <f>IF(AND('Assumptions and Catalog'!$C$19&gt;0,A243&gt;='Assumptions and Catalog'!$C$19),A243-'Assumptions and Catalog'!$C$19,A243-1)</f>
        <v>6</v>
      </c>
      <c r="S243" s="5">
        <f t="shared" si="19"/>
        <v>0</v>
      </c>
      <c r="T243" s="5"/>
      <c r="U243" s="5"/>
    </row>
    <row r="244" spans="1:21" ht="23.1" customHeight="1" outlineLevel="1" x14ac:dyDescent="0.2">
      <c r="A244" s="5">
        <v>7</v>
      </c>
      <c r="B244" s="5">
        <v>12</v>
      </c>
      <c r="C244" s="5">
        <f>DAY(DATE('Assumptions and Catalog'!$C$24+A244-1,B244+1,0))</f>
        <v>31</v>
      </c>
      <c r="D244" s="5">
        <f>IF(ISNUMBER(Inputs!$L$5),Inputs!$L$5*Inputs!$L$6,0)</f>
        <v>40.35</v>
      </c>
      <c r="E244" s="5">
        <f>IF(ISNUMBER(Inputs!$L$5),Inputs!$L$5-D244,0)</f>
        <v>40.35</v>
      </c>
      <c r="F244" s="5">
        <f>C$51*'Assumptions and Catalog'!$C$31*C244*(1-'Assumptions and Catalog'!$C$10)^(A244-1)</f>
        <v>1003.7009235626163</v>
      </c>
      <c r="G244" s="5">
        <f t="shared" si="14"/>
        <v>1003.7009235626163</v>
      </c>
      <c r="H244" s="5">
        <f>I244/('Assumptions and Catalog'!$C$11*'Assumptions and Catalog'!$C$12)</f>
        <v>0</v>
      </c>
      <c r="I244" s="5">
        <f>0</f>
        <v>0</v>
      </c>
      <c r="J244" s="5">
        <f t="shared" si="15"/>
        <v>0</v>
      </c>
      <c r="K244" s="5">
        <f t="shared" si="16"/>
        <v>0</v>
      </c>
      <c r="L244" s="5">
        <f t="shared" si="17"/>
        <v>1497.999076437384</v>
      </c>
      <c r="M244" s="5">
        <f>IF(ISNUMBER(Inputs!$L$5),(IF(Inputs!$L$9="Actual flat rate",((D244+E244)*C244)*Inputs!$L$10,IF(Inputs!$C$9="Residential",IF(((D244+E244)*C244)&lt;='Assumptions and Catalog'!$C$50,((D244+E244)*C244)*'Assumptions and Catalog'!$H$50+'Assumptions and Catalog'!$E$50+'Assumptions and Catalog'!$F$50,IF(((D244+E244)*C244)&lt;='Assumptions and Catalog'!$C$51,((D244+E244)*C244)*'Assumptions and Catalog'!$H$51+'Assumptions and Catalog'!$E$51+'Assumptions and Catalog'!$F$51,IF(((D244+E244)*C244)&lt;='Assumptions and Catalog'!$C$52,((D244+E244)*C244)*'Assumptions and Catalog'!$H$52+'Assumptions and Catalog'!$E$52+'Assumptions and Catalog'!$F$52,IF(((D244+E244)*C244)&lt;='Assumptions and Catalog'!$C$53,((D244+E244)*C244)*'Assumptions and Catalog'!$H$53+'Assumptions and Catalog'!$E$53+'Assumptions and Catalog'!$F$53,IF(((D244+E244)*C244)&lt;='Assumptions and Catalog'!$C$54,((D244+E244)*C244)*'Assumptions and Catalog'!$H$54+'Assumptions and Catalog'!$E$54+'Assumptions and Catalog'!$F$54,IF(((D244+E244)*C244)&lt;='Assumptions and Catalog'!$C$55,((D244+E244)*C244)*'Assumptions and Catalog'!$H$55+'Assumptions and Catalog'!$E$55+'Assumptions and Catalog'!$F$55,IF(((D244+E244)*C244)&lt;='Assumptions and Catalog'!$C$56,((D244+E244)*C244)*'Assumptions and Catalog'!$H$56+'Assumptions and Catalog'!$E$56+'Assumptions and Catalog'!$F$56,IF(((D244+E244)*C244)&lt;='Assumptions and Catalog'!$C$57,((D244+E244)*C244)*'Assumptions and Catalog'!$H$57+'Assumptions and Catalog'!$E$57+'Assumptions and Catalog'!$F$57,"Out of range")))))))),IF(((D244+E244)*C244)&lt;='Assumptions and Catalog'!$C$60,((D244+E244)*C244)*'Assumptions and Catalog'!$H$60+'Assumptions and Catalog'!$E$60+'Assumptions and Catalog'!$F$60,IF(((D244+E244)*C244)&lt;='Assumptions and Catalog'!$C$61,((D244+E244)*C244)*'Assumptions and Catalog'!$H$61+'Assumptions and Catalog'!$E$61+'Assumptions and Catalog'!$F$61,IF(((D244+E244)*C244)&lt;='Assumptions and Catalog'!$C$62,((D244+E244)*C244)*'Assumptions and Catalog'!$H$62+'Assumptions and Catalog'!$E$62+'Assumptions and Catalog'!$F$62,IF(((D244+E244)*C244)&lt;='Assumptions and Catalog'!$C$63,((D244+E244)*C244)*'Assumptions and Catalog'!$H$63+'Assumptions and Catalog'!$E$63+'Assumptions and Catalog'!$F$63,IF(((D244+E244)*C244)&lt;='Assumptions and Catalog'!$C$64,((D244+E244)*C244)*'Assumptions and Catalog'!$H$64+'Assumptions and Catalog'!$E$64+'Assumptions and Catalog'!$F$64,IF(((D244+E244)*C244)&lt;='Assumptions and Catalog'!$C$65,((D244+E244)*C244)*'Assumptions and Catalog'!$H$65+'Assumptions and Catalog'!$E$65+'Assumptions and Catalog'!$F$65,"Out of range")))))))))*(1+'Assumptions and Catalog'!$C$8)^(A244-1),0)</f>
        <v>8554.9666666666672</v>
      </c>
      <c r="N244" s="5">
        <f>IF(ISNUMBER(Inputs!$L$5),(IF(Inputs!$L$9="Actual flat rate",L244*Inputs!$L$10,IF(Inputs!$C$9="Residential",IF(L244&lt;='Assumptions and Catalog'!$C$50,L244*'Assumptions and Catalog'!$H$50+'Assumptions and Catalog'!$E$50+'Assumptions and Catalog'!$F$50,IF(L244&lt;='Assumptions and Catalog'!$C$51,L244*'Assumptions and Catalog'!$H$51+'Assumptions and Catalog'!$E$51+'Assumptions and Catalog'!$F$51,IF(L244&lt;='Assumptions and Catalog'!$C$52,L244*'Assumptions and Catalog'!$H$52+'Assumptions and Catalog'!$E$52+'Assumptions and Catalog'!$F$52,IF(L244&lt;='Assumptions and Catalog'!$C$53,L244*'Assumptions and Catalog'!$H$53+'Assumptions and Catalog'!$E$53+'Assumptions and Catalog'!$F$53,IF(L244&lt;='Assumptions and Catalog'!$C$54,L244*'Assumptions and Catalog'!$H$54+'Assumptions and Catalog'!$E$54+'Assumptions and Catalog'!$F$54,IF(L244&lt;='Assumptions and Catalog'!$C$55,L244*'Assumptions and Catalog'!$H$55+'Assumptions and Catalog'!$E$55+'Assumptions and Catalog'!$F$55,IF(L244&lt;='Assumptions and Catalog'!$C$56,L244*'Assumptions and Catalog'!$H$56+'Assumptions and Catalog'!$E$56+'Assumptions and Catalog'!$F$56,IF(L244&lt;='Assumptions and Catalog'!$C$57,L244*'Assumptions and Catalog'!$H$57+'Assumptions and Catalog'!$E$57+'Assumptions and Catalog'!$F$57,"Out of range")))))))),IF(L244&lt;='Assumptions and Catalog'!$C$60,L244*'Assumptions and Catalog'!$H$60+'Assumptions and Catalog'!$E$60+'Assumptions and Catalog'!$F$60,IF(L244&lt;='Assumptions and Catalog'!$C$61,L244*'Assumptions and Catalog'!$H$61+'Assumptions and Catalog'!$E$61+'Assumptions and Catalog'!$F$61,IF(L244&lt;='Assumptions and Catalog'!$C$62,L244*'Assumptions and Catalog'!$H$62+'Assumptions and Catalog'!$E$62+'Assumptions and Catalog'!$F$62,IF(L244&lt;='Assumptions and Catalog'!$C$63,L244*'Assumptions and Catalog'!$H$63+'Assumptions and Catalog'!$E$63+'Assumptions and Catalog'!$F$63,IF(L244&lt;='Assumptions and Catalog'!$C$64,L244*'Assumptions and Catalog'!$H$64+'Assumptions and Catalog'!$E$64+'Assumptions and Catalog'!$F$64,IF(L244&lt;='Assumptions and Catalog'!$C$65,L244*'Assumptions and Catalog'!$H$65+'Assumptions and Catalog'!$E$65+'Assumptions and Catalog'!$F$65,"Out of range")))))))))*(1+'Assumptions and Catalog'!$C$8)^(A244-1),0)</f>
        <v>5122.6494646117726</v>
      </c>
      <c r="O244" s="5">
        <f t="shared" si="18"/>
        <v>3432.3172020548946</v>
      </c>
      <c r="P244" s="5">
        <f>C$55*(1-J$14)*(1-'Assumptions and Catalog'!$C$23)^R244</f>
        <v>0</v>
      </c>
      <c r="Q244" s="5">
        <f>IF(ISNUMBER(Inputs!$L$5),(IF(Inputs!$L$9="Actual flat rate",((D244+E244)*C244-G244)*Inputs!$L$10,IF(Inputs!$C$9="Residential",IF(((D244+E244)*C244-G244)&lt;='Assumptions and Catalog'!$C$50,((D244+E244)*C244-G244)*'Assumptions and Catalog'!$H$50+'Assumptions and Catalog'!$E$50+'Assumptions and Catalog'!$F$50,IF(((D244+E244)*C244-G244)&lt;='Assumptions and Catalog'!$C$51,((D244+E244)*C244-G244)*'Assumptions and Catalog'!$H$51+'Assumptions and Catalog'!$E$51+'Assumptions and Catalog'!$F$51,IF(((D244+E244)*C244-G244)&lt;='Assumptions and Catalog'!$C$52,((D244+E244)*C244-G244)*'Assumptions and Catalog'!$H$52+'Assumptions and Catalog'!$E$52+'Assumptions and Catalog'!$F$52,IF(((D244+E244)*C244-G244)&lt;='Assumptions and Catalog'!$C$53,((D244+E244)*C244-G244)*'Assumptions and Catalog'!$H$53+'Assumptions and Catalog'!$E$53+'Assumptions and Catalog'!$F$53,IF(((D244+E244)*C244-G244)&lt;='Assumptions and Catalog'!$C$54,((D244+E244)*C244-G244)*'Assumptions and Catalog'!$H$54+'Assumptions and Catalog'!$E$54+'Assumptions and Catalog'!$F$54,IF(((D244+E244)*C244-G244)&lt;='Assumptions and Catalog'!$C$55,((D244+E244)*C244-G244)*'Assumptions and Catalog'!$H$55+'Assumptions and Catalog'!$E$55+'Assumptions and Catalog'!$F$55,IF(((D244+E244)*C244-G244)&lt;='Assumptions and Catalog'!$C$56,((D244+E244)*C244-G244)*'Assumptions and Catalog'!$H$56+'Assumptions and Catalog'!$E$56+'Assumptions and Catalog'!$F$56,IF(((D244+E244)*C244-G244)&lt;='Assumptions and Catalog'!$C$57,((D244+E244)*C244-G244)*'Assumptions and Catalog'!$H$57+'Assumptions and Catalog'!$E$57+'Assumptions and Catalog'!$F$57,"Out of range")))))))),IF(((D244+E244)*C244-G244)&lt;='Assumptions and Catalog'!$C$60,((D244+E244)*C244-G244)*'Assumptions and Catalog'!$H$60+'Assumptions and Catalog'!$E$60+'Assumptions and Catalog'!$F$60,IF(((D244+E244)*C244-G244)&lt;='Assumptions and Catalog'!$C$61,((D244+E244)*C244-G244)*'Assumptions and Catalog'!$H$61+'Assumptions and Catalog'!$E$61+'Assumptions and Catalog'!$F$61,IF(((D244+E244)*C244-G244)&lt;='Assumptions and Catalog'!$C$62,((D244+E244)*C244-G244)*'Assumptions and Catalog'!$H$62+'Assumptions and Catalog'!$E$62+'Assumptions and Catalog'!$F$62,IF(((D244+E244)*C244-G244)&lt;='Assumptions and Catalog'!$C$63,((D244+E244)*C244-G244)*'Assumptions and Catalog'!$H$63+'Assumptions and Catalog'!$E$63+'Assumptions and Catalog'!$F$63,IF(((D244+E244)*C244-G244)&lt;='Assumptions and Catalog'!$C$64,((D244+E244)*C244-G244)*'Assumptions and Catalog'!$H$64+'Assumptions and Catalog'!$E$64+'Assumptions and Catalog'!$F$64,IF(((D244+E244)*C244-G244)&lt;='Assumptions and Catalog'!$C$65,((D244+E244)*C244-G244)*'Assumptions and Catalog'!$H$65+'Assumptions and Catalog'!$E$65+'Assumptions and Catalog'!$F$65,"Out of range")))))))))*(1+'Assumptions and Catalog'!$C$8)^(A244-1),0)</f>
        <v>5122.6494646117726</v>
      </c>
      <c r="R244" s="5">
        <f>IF(AND('Assumptions and Catalog'!$C$19&gt;0,A244&gt;='Assumptions and Catalog'!$C$19),A244-'Assumptions and Catalog'!$C$19,A244-1)</f>
        <v>6</v>
      </c>
      <c r="S244" s="5">
        <f t="shared" si="19"/>
        <v>0</v>
      </c>
      <c r="T244" s="5"/>
      <c r="U244" s="5"/>
    </row>
    <row r="245" spans="1:21" ht="23.1" customHeight="1" outlineLevel="1" x14ac:dyDescent="0.2">
      <c r="A245" s="5">
        <v>8</v>
      </c>
      <c r="B245" s="5">
        <v>1</v>
      </c>
      <c r="C245" s="5">
        <f>DAY(DATE('Assumptions and Catalog'!$C$24+A245-1,B245+1,0))</f>
        <v>31</v>
      </c>
      <c r="D245" s="5">
        <f>IF(ISNUMBER(Inputs!$L$5),Inputs!$L$5*Inputs!$L$6,0)</f>
        <v>40.35</v>
      </c>
      <c r="E245" s="5">
        <f>IF(ISNUMBER(Inputs!$L$5),Inputs!$L$5-D245,0)</f>
        <v>40.35</v>
      </c>
      <c r="F245" s="5">
        <f>C$51*'Assumptions and Catalog'!$C$31*C245*(1-'Assumptions and Catalog'!$C$10)^(A245-1)</f>
        <v>998.68241894480309</v>
      </c>
      <c r="G245" s="5">
        <f t="shared" si="14"/>
        <v>998.68241894480309</v>
      </c>
      <c r="H245" s="5">
        <f>I245/('Assumptions and Catalog'!$C$11*'Assumptions and Catalog'!$C$12)</f>
        <v>0</v>
      </c>
      <c r="I245" s="5">
        <f>0</f>
        <v>0</v>
      </c>
      <c r="J245" s="5">
        <f t="shared" si="15"/>
        <v>0</v>
      </c>
      <c r="K245" s="5">
        <f t="shared" si="16"/>
        <v>0</v>
      </c>
      <c r="L245" s="5">
        <f t="shared" si="17"/>
        <v>1503.0175810551973</v>
      </c>
      <c r="M245" s="5">
        <f>IF(ISNUMBER(Inputs!$L$5),(IF(Inputs!$L$9="Actual flat rate",((D245+E245)*C245)*Inputs!$L$10,IF(Inputs!$C$9="Residential",IF(((D245+E245)*C245)&lt;='Assumptions and Catalog'!$C$50,((D245+E245)*C245)*'Assumptions and Catalog'!$H$50+'Assumptions and Catalog'!$E$50+'Assumptions and Catalog'!$F$50,IF(((D245+E245)*C245)&lt;='Assumptions and Catalog'!$C$51,((D245+E245)*C245)*'Assumptions and Catalog'!$H$51+'Assumptions and Catalog'!$E$51+'Assumptions and Catalog'!$F$51,IF(((D245+E245)*C245)&lt;='Assumptions and Catalog'!$C$52,((D245+E245)*C245)*'Assumptions and Catalog'!$H$52+'Assumptions and Catalog'!$E$52+'Assumptions and Catalog'!$F$52,IF(((D245+E245)*C245)&lt;='Assumptions and Catalog'!$C$53,((D245+E245)*C245)*'Assumptions and Catalog'!$H$53+'Assumptions and Catalog'!$E$53+'Assumptions and Catalog'!$F$53,IF(((D245+E245)*C245)&lt;='Assumptions and Catalog'!$C$54,((D245+E245)*C245)*'Assumptions and Catalog'!$H$54+'Assumptions and Catalog'!$E$54+'Assumptions and Catalog'!$F$54,IF(((D245+E245)*C245)&lt;='Assumptions and Catalog'!$C$55,((D245+E245)*C245)*'Assumptions and Catalog'!$H$55+'Assumptions and Catalog'!$E$55+'Assumptions and Catalog'!$F$55,IF(((D245+E245)*C245)&lt;='Assumptions and Catalog'!$C$56,((D245+E245)*C245)*'Assumptions and Catalog'!$H$56+'Assumptions and Catalog'!$E$56+'Assumptions and Catalog'!$F$56,IF(((D245+E245)*C245)&lt;='Assumptions and Catalog'!$C$57,((D245+E245)*C245)*'Assumptions and Catalog'!$H$57+'Assumptions and Catalog'!$E$57+'Assumptions and Catalog'!$F$57,"Out of range")))))))),IF(((D245+E245)*C245)&lt;='Assumptions and Catalog'!$C$60,((D245+E245)*C245)*'Assumptions and Catalog'!$H$60+'Assumptions and Catalog'!$E$60+'Assumptions and Catalog'!$F$60,IF(((D245+E245)*C245)&lt;='Assumptions and Catalog'!$C$61,((D245+E245)*C245)*'Assumptions and Catalog'!$H$61+'Assumptions and Catalog'!$E$61+'Assumptions and Catalog'!$F$61,IF(((D245+E245)*C245)&lt;='Assumptions and Catalog'!$C$62,((D245+E245)*C245)*'Assumptions and Catalog'!$H$62+'Assumptions and Catalog'!$E$62+'Assumptions and Catalog'!$F$62,IF(((D245+E245)*C245)&lt;='Assumptions and Catalog'!$C$63,((D245+E245)*C245)*'Assumptions and Catalog'!$H$63+'Assumptions and Catalog'!$E$63+'Assumptions and Catalog'!$F$63,IF(((D245+E245)*C245)&lt;='Assumptions and Catalog'!$C$64,((D245+E245)*C245)*'Assumptions and Catalog'!$H$64+'Assumptions and Catalog'!$E$64+'Assumptions and Catalog'!$F$64,IF(((D245+E245)*C245)&lt;='Assumptions and Catalog'!$C$65,((D245+E245)*C245)*'Assumptions and Catalog'!$H$65+'Assumptions and Catalog'!$E$65+'Assumptions and Catalog'!$F$65,"Out of range")))))))))*(1+'Assumptions and Catalog'!$C$8)^(A245-1),0)</f>
        <v>8554.9666666666672</v>
      </c>
      <c r="N245" s="5">
        <f>IF(ISNUMBER(Inputs!$L$5),(IF(Inputs!$L$9="Actual flat rate",L245*Inputs!$L$10,IF(Inputs!$C$9="Residential",IF(L245&lt;='Assumptions and Catalog'!$C$50,L245*'Assumptions and Catalog'!$H$50+'Assumptions and Catalog'!$E$50+'Assumptions and Catalog'!$F$50,IF(L245&lt;='Assumptions and Catalog'!$C$51,L245*'Assumptions and Catalog'!$H$51+'Assumptions and Catalog'!$E$51+'Assumptions and Catalog'!$F$51,IF(L245&lt;='Assumptions and Catalog'!$C$52,L245*'Assumptions and Catalog'!$H$52+'Assumptions and Catalog'!$E$52+'Assumptions and Catalog'!$F$52,IF(L245&lt;='Assumptions and Catalog'!$C$53,L245*'Assumptions and Catalog'!$H$53+'Assumptions and Catalog'!$E$53+'Assumptions and Catalog'!$F$53,IF(L245&lt;='Assumptions and Catalog'!$C$54,L245*'Assumptions and Catalog'!$H$54+'Assumptions and Catalog'!$E$54+'Assumptions and Catalog'!$F$54,IF(L245&lt;='Assumptions and Catalog'!$C$55,L245*'Assumptions and Catalog'!$H$55+'Assumptions and Catalog'!$E$55+'Assumptions and Catalog'!$F$55,IF(L245&lt;='Assumptions and Catalog'!$C$56,L245*'Assumptions and Catalog'!$H$56+'Assumptions and Catalog'!$E$56+'Assumptions and Catalog'!$F$56,IF(L245&lt;='Assumptions and Catalog'!$C$57,L245*'Assumptions and Catalog'!$H$57+'Assumptions and Catalog'!$E$57+'Assumptions and Catalog'!$F$57,"Out of range")))))))),IF(L245&lt;='Assumptions and Catalog'!$C$60,L245*'Assumptions and Catalog'!$H$60+'Assumptions and Catalog'!$E$60+'Assumptions and Catalog'!$F$60,IF(L245&lt;='Assumptions and Catalog'!$C$61,L245*'Assumptions and Catalog'!$H$61+'Assumptions and Catalog'!$E$61+'Assumptions and Catalog'!$F$61,IF(L245&lt;='Assumptions and Catalog'!$C$62,L245*'Assumptions and Catalog'!$H$62+'Assumptions and Catalog'!$E$62+'Assumptions and Catalog'!$F$62,IF(L245&lt;='Assumptions and Catalog'!$C$63,L245*'Assumptions and Catalog'!$H$63+'Assumptions and Catalog'!$E$63+'Assumptions and Catalog'!$F$63,IF(L245&lt;='Assumptions and Catalog'!$C$64,L245*'Assumptions and Catalog'!$H$64+'Assumptions and Catalog'!$E$64+'Assumptions and Catalog'!$F$64,IF(L245&lt;='Assumptions and Catalog'!$C$65,L245*'Assumptions and Catalog'!$H$65+'Assumptions and Catalog'!$E$65+'Assumptions and Catalog'!$F$65,"Out of range")))))))))*(1+'Assumptions and Catalog'!$C$8)^(A245-1),0)</f>
        <v>5139.8110506220482</v>
      </c>
      <c r="O245" s="5">
        <f t="shared" si="18"/>
        <v>3415.1556160446189</v>
      </c>
      <c r="P245" s="5">
        <f>C$55*(1-J$14)*(1-'Assumptions and Catalog'!$C$23)^R245</f>
        <v>0</v>
      </c>
      <c r="Q245" s="5">
        <f>IF(ISNUMBER(Inputs!$L$5),(IF(Inputs!$L$9="Actual flat rate",((D245+E245)*C245-G245)*Inputs!$L$10,IF(Inputs!$C$9="Residential",IF(((D245+E245)*C245-G245)&lt;='Assumptions and Catalog'!$C$50,((D245+E245)*C245-G245)*'Assumptions and Catalog'!$H$50+'Assumptions and Catalog'!$E$50+'Assumptions and Catalog'!$F$50,IF(((D245+E245)*C245-G245)&lt;='Assumptions and Catalog'!$C$51,((D245+E245)*C245-G245)*'Assumptions and Catalog'!$H$51+'Assumptions and Catalog'!$E$51+'Assumptions and Catalog'!$F$51,IF(((D245+E245)*C245-G245)&lt;='Assumptions and Catalog'!$C$52,((D245+E245)*C245-G245)*'Assumptions and Catalog'!$H$52+'Assumptions and Catalog'!$E$52+'Assumptions and Catalog'!$F$52,IF(((D245+E245)*C245-G245)&lt;='Assumptions and Catalog'!$C$53,((D245+E245)*C245-G245)*'Assumptions and Catalog'!$H$53+'Assumptions and Catalog'!$E$53+'Assumptions and Catalog'!$F$53,IF(((D245+E245)*C245-G245)&lt;='Assumptions and Catalog'!$C$54,((D245+E245)*C245-G245)*'Assumptions and Catalog'!$H$54+'Assumptions and Catalog'!$E$54+'Assumptions and Catalog'!$F$54,IF(((D245+E245)*C245-G245)&lt;='Assumptions and Catalog'!$C$55,((D245+E245)*C245-G245)*'Assumptions and Catalog'!$H$55+'Assumptions and Catalog'!$E$55+'Assumptions and Catalog'!$F$55,IF(((D245+E245)*C245-G245)&lt;='Assumptions and Catalog'!$C$56,((D245+E245)*C245-G245)*'Assumptions and Catalog'!$H$56+'Assumptions and Catalog'!$E$56+'Assumptions and Catalog'!$F$56,IF(((D245+E245)*C245-G245)&lt;='Assumptions and Catalog'!$C$57,((D245+E245)*C245-G245)*'Assumptions and Catalog'!$H$57+'Assumptions and Catalog'!$E$57+'Assumptions and Catalog'!$F$57,"Out of range")))))))),IF(((D245+E245)*C245-G245)&lt;='Assumptions and Catalog'!$C$60,((D245+E245)*C245-G245)*'Assumptions and Catalog'!$H$60+'Assumptions and Catalog'!$E$60+'Assumptions and Catalog'!$F$60,IF(((D245+E245)*C245-G245)&lt;='Assumptions and Catalog'!$C$61,((D245+E245)*C245-G245)*'Assumptions and Catalog'!$H$61+'Assumptions and Catalog'!$E$61+'Assumptions and Catalog'!$F$61,IF(((D245+E245)*C245-G245)&lt;='Assumptions and Catalog'!$C$62,((D245+E245)*C245-G245)*'Assumptions and Catalog'!$H$62+'Assumptions and Catalog'!$E$62+'Assumptions and Catalog'!$F$62,IF(((D245+E245)*C245-G245)&lt;='Assumptions and Catalog'!$C$63,((D245+E245)*C245-G245)*'Assumptions and Catalog'!$H$63+'Assumptions and Catalog'!$E$63+'Assumptions and Catalog'!$F$63,IF(((D245+E245)*C245-G245)&lt;='Assumptions and Catalog'!$C$64,((D245+E245)*C245-G245)*'Assumptions and Catalog'!$H$64+'Assumptions and Catalog'!$E$64+'Assumptions and Catalog'!$F$64,IF(((D245+E245)*C245-G245)&lt;='Assumptions and Catalog'!$C$65,((D245+E245)*C245-G245)*'Assumptions and Catalog'!$H$65+'Assumptions and Catalog'!$E$65+'Assumptions and Catalog'!$F$65,"Out of range")))))))))*(1+'Assumptions and Catalog'!$C$8)^(A245-1),0)</f>
        <v>5139.8110506220482</v>
      </c>
      <c r="R245" s="5">
        <f>IF(AND('Assumptions and Catalog'!$C$19&gt;0,A245&gt;='Assumptions and Catalog'!$C$19),A245-'Assumptions and Catalog'!$C$19,A245-1)</f>
        <v>7</v>
      </c>
      <c r="S245" s="5">
        <f t="shared" si="19"/>
        <v>0</v>
      </c>
      <c r="T245" s="5"/>
      <c r="U245" s="5"/>
    </row>
    <row r="246" spans="1:21" ht="23.1" customHeight="1" outlineLevel="1" x14ac:dyDescent="0.2">
      <c r="A246" s="5">
        <v>8</v>
      </c>
      <c r="B246" s="5">
        <v>2</v>
      </c>
      <c r="C246" s="5">
        <f>DAY(DATE('Assumptions and Catalog'!$C$24+A246-1,B246+1,0))</f>
        <v>28</v>
      </c>
      <c r="D246" s="5">
        <f>IF(ISNUMBER(Inputs!$L$5),Inputs!$L$5*Inputs!$L$6,0)</f>
        <v>40.35</v>
      </c>
      <c r="E246" s="5">
        <f>IF(ISNUMBER(Inputs!$L$5),Inputs!$L$5-D246,0)</f>
        <v>40.35</v>
      </c>
      <c r="F246" s="5">
        <f>C$51*'Assumptions and Catalog'!$C$31*C246*(1-'Assumptions and Catalog'!$C$10)^(A246-1)</f>
        <v>902.03573324046727</v>
      </c>
      <c r="G246" s="5">
        <f t="shared" si="14"/>
        <v>902.03573324046727</v>
      </c>
      <c r="H246" s="5">
        <f>I246/('Assumptions and Catalog'!$C$11*'Assumptions and Catalog'!$C$12)</f>
        <v>0</v>
      </c>
      <c r="I246" s="5">
        <f>0</f>
        <v>0</v>
      </c>
      <c r="J246" s="5">
        <f t="shared" si="15"/>
        <v>0</v>
      </c>
      <c r="K246" s="5">
        <f t="shared" si="16"/>
        <v>0</v>
      </c>
      <c r="L246" s="5">
        <f t="shared" si="17"/>
        <v>1357.5642667595325</v>
      </c>
      <c r="M246" s="5">
        <f>IF(ISNUMBER(Inputs!$L$5),(IF(Inputs!$L$9="Actual flat rate",((D246+E246)*C246)*Inputs!$L$10,IF(Inputs!$C$9="Residential",IF(((D246+E246)*C246)&lt;='Assumptions and Catalog'!$C$50,((D246+E246)*C246)*'Assumptions and Catalog'!$H$50+'Assumptions and Catalog'!$E$50+'Assumptions and Catalog'!$F$50,IF(((D246+E246)*C246)&lt;='Assumptions and Catalog'!$C$51,((D246+E246)*C246)*'Assumptions and Catalog'!$H$51+'Assumptions and Catalog'!$E$51+'Assumptions and Catalog'!$F$51,IF(((D246+E246)*C246)&lt;='Assumptions and Catalog'!$C$52,((D246+E246)*C246)*'Assumptions and Catalog'!$H$52+'Assumptions and Catalog'!$E$52+'Assumptions and Catalog'!$F$52,IF(((D246+E246)*C246)&lt;='Assumptions and Catalog'!$C$53,((D246+E246)*C246)*'Assumptions and Catalog'!$H$53+'Assumptions and Catalog'!$E$53+'Assumptions and Catalog'!$F$53,IF(((D246+E246)*C246)&lt;='Assumptions and Catalog'!$C$54,((D246+E246)*C246)*'Assumptions and Catalog'!$H$54+'Assumptions and Catalog'!$E$54+'Assumptions and Catalog'!$F$54,IF(((D246+E246)*C246)&lt;='Assumptions and Catalog'!$C$55,((D246+E246)*C246)*'Assumptions and Catalog'!$H$55+'Assumptions and Catalog'!$E$55+'Assumptions and Catalog'!$F$55,IF(((D246+E246)*C246)&lt;='Assumptions and Catalog'!$C$56,((D246+E246)*C246)*'Assumptions and Catalog'!$H$56+'Assumptions and Catalog'!$E$56+'Assumptions and Catalog'!$F$56,IF(((D246+E246)*C246)&lt;='Assumptions and Catalog'!$C$57,((D246+E246)*C246)*'Assumptions and Catalog'!$H$57+'Assumptions and Catalog'!$E$57+'Assumptions and Catalog'!$F$57,"Out of range")))))))),IF(((D246+E246)*C246)&lt;='Assumptions and Catalog'!$C$60,((D246+E246)*C246)*'Assumptions and Catalog'!$H$60+'Assumptions and Catalog'!$E$60+'Assumptions and Catalog'!$F$60,IF(((D246+E246)*C246)&lt;='Assumptions and Catalog'!$C$61,((D246+E246)*C246)*'Assumptions and Catalog'!$H$61+'Assumptions and Catalog'!$E$61+'Assumptions and Catalog'!$F$61,IF(((D246+E246)*C246)&lt;='Assumptions and Catalog'!$C$62,((D246+E246)*C246)*'Assumptions and Catalog'!$H$62+'Assumptions and Catalog'!$E$62+'Assumptions and Catalog'!$F$62,IF(((D246+E246)*C246)&lt;='Assumptions and Catalog'!$C$63,((D246+E246)*C246)*'Assumptions and Catalog'!$H$63+'Assumptions and Catalog'!$E$63+'Assumptions and Catalog'!$F$63,IF(((D246+E246)*C246)&lt;='Assumptions and Catalog'!$C$64,((D246+E246)*C246)*'Assumptions and Catalog'!$H$64+'Assumptions and Catalog'!$E$64+'Assumptions and Catalog'!$F$64,IF(((D246+E246)*C246)&lt;='Assumptions and Catalog'!$C$65,((D246+E246)*C246)*'Assumptions and Catalog'!$H$65+'Assumptions and Catalog'!$E$65+'Assumptions and Catalog'!$F$65,"Out of range")))))))))*(1+'Assumptions and Catalog'!$C$8)^(A246-1),0)</f>
        <v>7727.0666666666657</v>
      </c>
      <c r="N246" s="5">
        <f>IF(ISNUMBER(Inputs!$L$5),(IF(Inputs!$L$9="Actual flat rate",L246*Inputs!$L$10,IF(Inputs!$C$9="Residential",IF(L246&lt;='Assumptions and Catalog'!$C$50,L246*'Assumptions and Catalog'!$H$50+'Assumptions and Catalog'!$E$50+'Assumptions and Catalog'!$F$50,IF(L246&lt;='Assumptions and Catalog'!$C$51,L246*'Assumptions and Catalog'!$H$51+'Assumptions and Catalog'!$E$51+'Assumptions and Catalog'!$F$51,IF(L246&lt;='Assumptions and Catalog'!$C$52,L246*'Assumptions and Catalog'!$H$52+'Assumptions and Catalog'!$E$52+'Assumptions and Catalog'!$F$52,IF(L246&lt;='Assumptions and Catalog'!$C$53,L246*'Assumptions and Catalog'!$H$53+'Assumptions and Catalog'!$E$53+'Assumptions and Catalog'!$F$53,IF(L246&lt;='Assumptions and Catalog'!$C$54,L246*'Assumptions and Catalog'!$H$54+'Assumptions and Catalog'!$E$54+'Assumptions and Catalog'!$F$54,IF(L246&lt;='Assumptions and Catalog'!$C$55,L246*'Assumptions and Catalog'!$H$55+'Assumptions and Catalog'!$E$55+'Assumptions and Catalog'!$F$55,IF(L246&lt;='Assumptions and Catalog'!$C$56,L246*'Assumptions and Catalog'!$H$56+'Assumptions and Catalog'!$E$56+'Assumptions and Catalog'!$F$56,IF(L246&lt;='Assumptions and Catalog'!$C$57,L246*'Assumptions and Catalog'!$H$57+'Assumptions and Catalog'!$E$57+'Assumptions and Catalog'!$F$57,"Out of range")))))))),IF(L246&lt;='Assumptions and Catalog'!$C$60,L246*'Assumptions and Catalog'!$H$60+'Assumptions and Catalog'!$E$60+'Assumptions and Catalog'!$F$60,IF(L246&lt;='Assumptions and Catalog'!$C$61,L246*'Assumptions and Catalog'!$H$61+'Assumptions and Catalog'!$E$61+'Assumptions and Catalog'!$F$61,IF(L246&lt;='Assumptions and Catalog'!$C$62,L246*'Assumptions and Catalog'!$H$62+'Assumptions and Catalog'!$E$62+'Assumptions and Catalog'!$F$62,IF(L246&lt;='Assumptions and Catalog'!$C$63,L246*'Assumptions and Catalog'!$H$63+'Assumptions and Catalog'!$E$63+'Assumptions and Catalog'!$F$63,IF(L246&lt;='Assumptions and Catalog'!$C$64,L246*'Assumptions and Catalog'!$H$64+'Assumptions and Catalog'!$E$64+'Assumptions and Catalog'!$F$64,IF(L246&lt;='Assumptions and Catalog'!$C$65,L246*'Assumptions and Catalog'!$H$65+'Assumptions and Catalog'!$E$65+'Assumptions and Catalog'!$F$65,"Out of range")))))))))*(1+'Assumptions and Catalog'!$C$8)^(A246-1),0)</f>
        <v>4642.409981207009</v>
      </c>
      <c r="O246" s="5">
        <f t="shared" si="18"/>
        <v>3084.6566854596567</v>
      </c>
      <c r="P246" s="5">
        <f>C$55*(1-J$14)*(1-'Assumptions and Catalog'!$C$23)^R246</f>
        <v>0</v>
      </c>
      <c r="Q246" s="5">
        <f>IF(ISNUMBER(Inputs!$L$5),(IF(Inputs!$L$9="Actual flat rate",((D246+E246)*C246-G246)*Inputs!$L$10,IF(Inputs!$C$9="Residential",IF(((D246+E246)*C246-G246)&lt;='Assumptions and Catalog'!$C$50,((D246+E246)*C246-G246)*'Assumptions and Catalog'!$H$50+'Assumptions and Catalog'!$E$50+'Assumptions and Catalog'!$F$50,IF(((D246+E246)*C246-G246)&lt;='Assumptions and Catalog'!$C$51,((D246+E246)*C246-G246)*'Assumptions and Catalog'!$H$51+'Assumptions and Catalog'!$E$51+'Assumptions and Catalog'!$F$51,IF(((D246+E246)*C246-G246)&lt;='Assumptions and Catalog'!$C$52,((D246+E246)*C246-G246)*'Assumptions and Catalog'!$H$52+'Assumptions and Catalog'!$E$52+'Assumptions and Catalog'!$F$52,IF(((D246+E246)*C246-G246)&lt;='Assumptions and Catalog'!$C$53,((D246+E246)*C246-G246)*'Assumptions and Catalog'!$H$53+'Assumptions and Catalog'!$E$53+'Assumptions and Catalog'!$F$53,IF(((D246+E246)*C246-G246)&lt;='Assumptions and Catalog'!$C$54,((D246+E246)*C246-G246)*'Assumptions and Catalog'!$H$54+'Assumptions and Catalog'!$E$54+'Assumptions and Catalog'!$F$54,IF(((D246+E246)*C246-G246)&lt;='Assumptions and Catalog'!$C$55,((D246+E246)*C246-G246)*'Assumptions and Catalog'!$H$55+'Assumptions and Catalog'!$E$55+'Assumptions and Catalog'!$F$55,IF(((D246+E246)*C246-G246)&lt;='Assumptions and Catalog'!$C$56,((D246+E246)*C246-G246)*'Assumptions and Catalog'!$H$56+'Assumptions and Catalog'!$E$56+'Assumptions and Catalog'!$F$56,IF(((D246+E246)*C246-G246)&lt;='Assumptions and Catalog'!$C$57,((D246+E246)*C246-G246)*'Assumptions and Catalog'!$H$57+'Assumptions and Catalog'!$E$57+'Assumptions and Catalog'!$F$57,"Out of range")))))))),IF(((D246+E246)*C246-G246)&lt;='Assumptions and Catalog'!$C$60,((D246+E246)*C246-G246)*'Assumptions and Catalog'!$H$60+'Assumptions and Catalog'!$E$60+'Assumptions and Catalog'!$F$60,IF(((D246+E246)*C246-G246)&lt;='Assumptions and Catalog'!$C$61,((D246+E246)*C246-G246)*'Assumptions and Catalog'!$H$61+'Assumptions and Catalog'!$E$61+'Assumptions and Catalog'!$F$61,IF(((D246+E246)*C246-G246)&lt;='Assumptions and Catalog'!$C$62,((D246+E246)*C246-G246)*'Assumptions and Catalog'!$H$62+'Assumptions and Catalog'!$E$62+'Assumptions and Catalog'!$F$62,IF(((D246+E246)*C246-G246)&lt;='Assumptions and Catalog'!$C$63,((D246+E246)*C246-G246)*'Assumptions and Catalog'!$H$63+'Assumptions and Catalog'!$E$63+'Assumptions and Catalog'!$F$63,IF(((D246+E246)*C246-G246)&lt;='Assumptions and Catalog'!$C$64,((D246+E246)*C246-G246)*'Assumptions and Catalog'!$H$64+'Assumptions and Catalog'!$E$64+'Assumptions and Catalog'!$F$64,IF(((D246+E246)*C246-G246)&lt;='Assumptions and Catalog'!$C$65,((D246+E246)*C246-G246)*'Assumptions and Catalog'!$H$65+'Assumptions and Catalog'!$E$65+'Assumptions and Catalog'!$F$65,"Out of range")))))))))*(1+'Assumptions and Catalog'!$C$8)^(A246-1),0)</f>
        <v>4642.409981207009</v>
      </c>
      <c r="R246" s="5">
        <f>IF(AND('Assumptions and Catalog'!$C$19&gt;0,A246&gt;='Assumptions and Catalog'!$C$19),A246-'Assumptions and Catalog'!$C$19,A246-1)</f>
        <v>7</v>
      </c>
      <c r="S246" s="5">
        <f t="shared" si="19"/>
        <v>0</v>
      </c>
      <c r="T246" s="5"/>
      <c r="U246" s="5"/>
    </row>
    <row r="247" spans="1:21" ht="23.1" customHeight="1" outlineLevel="1" x14ac:dyDescent="0.2">
      <c r="A247" s="5">
        <v>8</v>
      </c>
      <c r="B247" s="5">
        <v>3</v>
      </c>
      <c r="C247" s="5">
        <f>DAY(DATE('Assumptions and Catalog'!$C$24+A247-1,B247+1,0))</f>
        <v>31</v>
      </c>
      <c r="D247" s="5">
        <f>IF(ISNUMBER(Inputs!$L$5),Inputs!$L$5*Inputs!$L$6,0)</f>
        <v>40.35</v>
      </c>
      <c r="E247" s="5">
        <f>IF(ISNUMBER(Inputs!$L$5),Inputs!$L$5-D247,0)</f>
        <v>40.35</v>
      </c>
      <c r="F247" s="5">
        <f>C$51*'Assumptions and Catalog'!$C$31*C247*(1-'Assumptions and Catalog'!$C$10)^(A247-1)</f>
        <v>998.68241894480309</v>
      </c>
      <c r="G247" s="5">
        <f t="shared" si="14"/>
        <v>998.68241894480309</v>
      </c>
      <c r="H247" s="5">
        <f>I247/('Assumptions and Catalog'!$C$11*'Assumptions and Catalog'!$C$12)</f>
        <v>0</v>
      </c>
      <c r="I247" s="5">
        <f>0</f>
        <v>0</v>
      </c>
      <c r="J247" s="5">
        <f t="shared" si="15"/>
        <v>0</v>
      </c>
      <c r="K247" s="5">
        <f t="shared" si="16"/>
        <v>0</v>
      </c>
      <c r="L247" s="5">
        <f t="shared" si="17"/>
        <v>1503.0175810551973</v>
      </c>
      <c r="M247" s="5">
        <f>IF(ISNUMBER(Inputs!$L$5),(IF(Inputs!$L$9="Actual flat rate",((D247+E247)*C247)*Inputs!$L$10,IF(Inputs!$C$9="Residential",IF(((D247+E247)*C247)&lt;='Assumptions and Catalog'!$C$50,((D247+E247)*C247)*'Assumptions and Catalog'!$H$50+'Assumptions and Catalog'!$E$50+'Assumptions and Catalog'!$F$50,IF(((D247+E247)*C247)&lt;='Assumptions and Catalog'!$C$51,((D247+E247)*C247)*'Assumptions and Catalog'!$H$51+'Assumptions and Catalog'!$E$51+'Assumptions and Catalog'!$F$51,IF(((D247+E247)*C247)&lt;='Assumptions and Catalog'!$C$52,((D247+E247)*C247)*'Assumptions and Catalog'!$H$52+'Assumptions and Catalog'!$E$52+'Assumptions and Catalog'!$F$52,IF(((D247+E247)*C247)&lt;='Assumptions and Catalog'!$C$53,((D247+E247)*C247)*'Assumptions and Catalog'!$H$53+'Assumptions and Catalog'!$E$53+'Assumptions and Catalog'!$F$53,IF(((D247+E247)*C247)&lt;='Assumptions and Catalog'!$C$54,((D247+E247)*C247)*'Assumptions and Catalog'!$H$54+'Assumptions and Catalog'!$E$54+'Assumptions and Catalog'!$F$54,IF(((D247+E247)*C247)&lt;='Assumptions and Catalog'!$C$55,((D247+E247)*C247)*'Assumptions and Catalog'!$H$55+'Assumptions and Catalog'!$E$55+'Assumptions and Catalog'!$F$55,IF(((D247+E247)*C247)&lt;='Assumptions and Catalog'!$C$56,((D247+E247)*C247)*'Assumptions and Catalog'!$H$56+'Assumptions and Catalog'!$E$56+'Assumptions and Catalog'!$F$56,IF(((D247+E247)*C247)&lt;='Assumptions and Catalog'!$C$57,((D247+E247)*C247)*'Assumptions and Catalog'!$H$57+'Assumptions and Catalog'!$E$57+'Assumptions and Catalog'!$F$57,"Out of range")))))))),IF(((D247+E247)*C247)&lt;='Assumptions and Catalog'!$C$60,((D247+E247)*C247)*'Assumptions and Catalog'!$H$60+'Assumptions and Catalog'!$E$60+'Assumptions and Catalog'!$F$60,IF(((D247+E247)*C247)&lt;='Assumptions and Catalog'!$C$61,((D247+E247)*C247)*'Assumptions and Catalog'!$H$61+'Assumptions and Catalog'!$E$61+'Assumptions and Catalog'!$F$61,IF(((D247+E247)*C247)&lt;='Assumptions and Catalog'!$C$62,((D247+E247)*C247)*'Assumptions and Catalog'!$H$62+'Assumptions and Catalog'!$E$62+'Assumptions and Catalog'!$F$62,IF(((D247+E247)*C247)&lt;='Assumptions and Catalog'!$C$63,((D247+E247)*C247)*'Assumptions and Catalog'!$H$63+'Assumptions and Catalog'!$E$63+'Assumptions and Catalog'!$F$63,IF(((D247+E247)*C247)&lt;='Assumptions and Catalog'!$C$64,((D247+E247)*C247)*'Assumptions and Catalog'!$H$64+'Assumptions and Catalog'!$E$64+'Assumptions and Catalog'!$F$64,IF(((D247+E247)*C247)&lt;='Assumptions and Catalog'!$C$65,((D247+E247)*C247)*'Assumptions and Catalog'!$H$65+'Assumptions and Catalog'!$E$65+'Assumptions and Catalog'!$F$65,"Out of range")))))))))*(1+'Assumptions and Catalog'!$C$8)^(A247-1),0)</f>
        <v>8554.9666666666672</v>
      </c>
      <c r="N247" s="5">
        <f>IF(ISNUMBER(Inputs!$L$5),(IF(Inputs!$L$9="Actual flat rate",L247*Inputs!$L$10,IF(Inputs!$C$9="Residential",IF(L247&lt;='Assumptions and Catalog'!$C$50,L247*'Assumptions and Catalog'!$H$50+'Assumptions and Catalog'!$E$50+'Assumptions and Catalog'!$F$50,IF(L247&lt;='Assumptions and Catalog'!$C$51,L247*'Assumptions and Catalog'!$H$51+'Assumptions and Catalog'!$E$51+'Assumptions and Catalog'!$F$51,IF(L247&lt;='Assumptions and Catalog'!$C$52,L247*'Assumptions and Catalog'!$H$52+'Assumptions and Catalog'!$E$52+'Assumptions and Catalog'!$F$52,IF(L247&lt;='Assumptions and Catalog'!$C$53,L247*'Assumptions and Catalog'!$H$53+'Assumptions and Catalog'!$E$53+'Assumptions and Catalog'!$F$53,IF(L247&lt;='Assumptions and Catalog'!$C$54,L247*'Assumptions and Catalog'!$H$54+'Assumptions and Catalog'!$E$54+'Assumptions and Catalog'!$F$54,IF(L247&lt;='Assumptions and Catalog'!$C$55,L247*'Assumptions and Catalog'!$H$55+'Assumptions and Catalog'!$E$55+'Assumptions and Catalog'!$F$55,IF(L247&lt;='Assumptions and Catalog'!$C$56,L247*'Assumptions and Catalog'!$H$56+'Assumptions and Catalog'!$E$56+'Assumptions and Catalog'!$F$56,IF(L247&lt;='Assumptions and Catalog'!$C$57,L247*'Assumptions and Catalog'!$H$57+'Assumptions and Catalog'!$E$57+'Assumptions and Catalog'!$F$57,"Out of range")))))))),IF(L247&lt;='Assumptions and Catalog'!$C$60,L247*'Assumptions and Catalog'!$H$60+'Assumptions and Catalog'!$E$60+'Assumptions and Catalog'!$F$60,IF(L247&lt;='Assumptions and Catalog'!$C$61,L247*'Assumptions and Catalog'!$H$61+'Assumptions and Catalog'!$E$61+'Assumptions and Catalog'!$F$61,IF(L247&lt;='Assumptions and Catalog'!$C$62,L247*'Assumptions and Catalog'!$H$62+'Assumptions and Catalog'!$E$62+'Assumptions and Catalog'!$F$62,IF(L247&lt;='Assumptions and Catalog'!$C$63,L247*'Assumptions and Catalog'!$H$63+'Assumptions and Catalog'!$E$63+'Assumptions and Catalog'!$F$63,IF(L247&lt;='Assumptions and Catalog'!$C$64,L247*'Assumptions and Catalog'!$H$64+'Assumptions and Catalog'!$E$64+'Assumptions and Catalog'!$F$64,IF(L247&lt;='Assumptions and Catalog'!$C$65,L247*'Assumptions and Catalog'!$H$65+'Assumptions and Catalog'!$E$65+'Assumptions and Catalog'!$F$65,"Out of range")))))))))*(1+'Assumptions and Catalog'!$C$8)^(A247-1),0)</f>
        <v>5139.8110506220482</v>
      </c>
      <c r="O247" s="5">
        <f t="shared" si="18"/>
        <v>3415.1556160446189</v>
      </c>
      <c r="P247" s="5">
        <f>C$55*(1-J$14)*(1-'Assumptions and Catalog'!$C$23)^R247</f>
        <v>0</v>
      </c>
      <c r="Q247" s="5">
        <f>IF(ISNUMBER(Inputs!$L$5),(IF(Inputs!$L$9="Actual flat rate",((D247+E247)*C247-G247)*Inputs!$L$10,IF(Inputs!$C$9="Residential",IF(((D247+E247)*C247-G247)&lt;='Assumptions and Catalog'!$C$50,((D247+E247)*C247-G247)*'Assumptions and Catalog'!$H$50+'Assumptions and Catalog'!$E$50+'Assumptions and Catalog'!$F$50,IF(((D247+E247)*C247-G247)&lt;='Assumptions and Catalog'!$C$51,((D247+E247)*C247-G247)*'Assumptions and Catalog'!$H$51+'Assumptions and Catalog'!$E$51+'Assumptions and Catalog'!$F$51,IF(((D247+E247)*C247-G247)&lt;='Assumptions and Catalog'!$C$52,((D247+E247)*C247-G247)*'Assumptions and Catalog'!$H$52+'Assumptions and Catalog'!$E$52+'Assumptions and Catalog'!$F$52,IF(((D247+E247)*C247-G247)&lt;='Assumptions and Catalog'!$C$53,((D247+E247)*C247-G247)*'Assumptions and Catalog'!$H$53+'Assumptions and Catalog'!$E$53+'Assumptions and Catalog'!$F$53,IF(((D247+E247)*C247-G247)&lt;='Assumptions and Catalog'!$C$54,((D247+E247)*C247-G247)*'Assumptions and Catalog'!$H$54+'Assumptions and Catalog'!$E$54+'Assumptions and Catalog'!$F$54,IF(((D247+E247)*C247-G247)&lt;='Assumptions and Catalog'!$C$55,((D247+E247)*C247-G247)*'Assumptions and Catalog'!$H$55+'Assumptions and Catalog'!$E$55+'Assumptions and Catalog'!$F$55,IF(((D247+E247)*C247-G247)&lt;='Assumptions and Catalog'!$C$56,((D247+E247)*C247-G247)*'Assumptions and Catalog'!$H$56+'Assumptions and Catalog'!$E$56+'Assumptions and Catalog'!$F$56,IF(((D247+E247)*C247-G247)&lt;='Assumptions and Catalog'!$C$57,((D247+E247)*C247-G247)*'Assumptions and Catalog'!$H$57+'Assumptions and Catalog'!$E$57+'Assumptions and Catalog'!$F$57,"Out of range")))))))),IF(((D247+E247)*C247-G247)&lt;='Assumptions and Catalog'!$C$60,((D247+E247)*C247-G247)*'Assumptions and Catalog'!$H$60+'Assumptions and Catalog'!$E$60+'Assumptions and Catalog'!$F$60,IF(((D247+E247)*C247-G247)&lt;='Assumptions and Catalog'!$C$61,((D247+E247)*C247-G247)*'Assumptions and Catalog'!$H$61+'Assumptions and Catalog'!$E$61+'Assumptions and Catalog'!$F$61,IF(((D247+E247)*C247-G247)&lt;='Assumptions and Catalog'!$C$62,((D247+E247)*C247-G247)*'Assumptions and Catalog'!$H$62+'Assumptions and Catalog'!$E$62+'Assumptions and Catalog'!$F$62,IF(((D247+E247)*C247-G247)&lt;='Assumptions and Catalog'!$C$63,((D247+E247)*C247-G247)*'Assumptions and Catalog'!$H$63+'Assumptions and Catalog'!$E$63+'Assumptions and Catalog'!$F$63,IF(((D247+E247)*C247-G247)&lt;='Assumptions and Catalog'!$C$64,((D247+E247)*C247-G247)*'Assumptions and Catalog'!$H$64+'Assumptions and Catalog'!$E$64+'Assumptions and Catalog'!$F$64,IF(((D247+E247)*C247-G247)&lt;='Assumptions and Catalog'!$C$65,((D247+E247)*C247-G247)*'Assumptions and Catalog'!$H$65+'Assumptions and Catalog'!$E$65+'Assumptions and Catalog'!$F$65,"Out of range")))))))))*(1+'Assumptions and Catalog'!$C$8)^(A247-1),0)</f>
        <v>5139.8110506220482</v>
      </c>
      <c r="R247" s="5">
        <f>IF(AND('Assumptions and Catalog'!$C$19&gt;0,A247&gt;='Assumptions and Catalog'!$C$19),A247-'Assumptions and Catalog'!$C$19,A247-1)</f>
        <v>7</v>
      </c>
      <c r="S247" s="5">
        <f t="shared" si="19"/>
        <v>0</v>
      </c>
      <c r="T247" s="5"/>
      <c r="U247" s="5"/>
    </row>
    <row r="248" spans="1:21" ht="23.1" customHeight="1" outlineLevel="1" x14ac:dyDescent="0.2">
      <c r="A248" s="5">
        <v>8</v>
      </c>
      <c r="B248" s="5">
        <v>4</v>
      </c>
      <c r="C248" s="5">
        <f>DAY(DATE('Assumptions and Catalog'!$C$24+A248-1,B248+1,0))</f>
        <v>30</v>
      </c>
      <c r="D248" s="5">
        <f>IF(ISNUMBER(Inputs!$L$5),Inputs!$L$5*Inputs!$L$6,0)</f>
        <v>40.35</v>
      </c>
      <c r="E248" s="5">
        <f>IF(ISNUMBER(Inputs!$L$5),Inputs!$L$5-D248,0)</f>
        <v>40.35</v>
      </c>
      <c r="F248" s="5">
        <f>C$51*'Assumptions and Catalog'!$C$31*C248*(1-'Assumptions and Catalog'!$C$10)^(A248-1)</f>
        <v>966.46685704335789</v>
      </c>
      <c r="G248" s="5">
        <f t="shared" si="14"/>
        <v>966.46685704335789</v>
      </c>
      <c r="H248" s="5">
        <f>I248/('Assumptions and Catalog'!$C$11*'Assumptions and Catalog'!$C$12)</f>
        <v>0</v>
      </c>
      <c r="I248" s="5">
        <f>0</f>
        <v>0</v>
      </c>
      <c r="J248" s="5">
        <f t="shared" si="15"/>
        <v>0</v>
      </c>
      <c r="K248" s="5">
        <f t="shared" si="16"/>
        <v>0</v>
      </c>
      <c r="L248" s="5">
        <f t="shared" si="17"/>
        <v>1454.5331429566422</v>
      </c>
      <c r="M248" s="5">
        <f>IF(ISNUMBER(Inputs!$L$5),(IF(Inputs!$L$9="Actual flat rate",((D248+E248)*C248)*Inputs!$L$10,IF(Inputs!$C$9="Residential",IF(((D248+E248)*C248)&lt;='Assumptions and Catalog'!$C$50,((D248+E248)*C248)*'Assumptions and Catalog'!$H$50+'Assumptions and Catalog'!$E$50+'Assumptions and Catalog'!$F$50,IF(((D248+E248)*C248)&lt;='Assumptions and Catalog'!$C$51,((D248+E248)*C248)*'Assumptions and Catalog'!$H$51+'Assumptions and Catalog'!$E$51+'Assumptions and Catalog'!$F$51,IF(((D248+E248)*C248)&lt;='Assumptions and Catalog'!$C$52,((D248+E248)*C248)*'Assumptions and Catalog'!$H$52+'Assumptions and Catalog'!$E$52+'Assumptions and Catalog'!$F$52,IF(((D248+E248)*C248)&lt;='Assumptions and Catalog'!$C$53,((D248+E248)*C248)*'Assumptions and Catalog'!$H$53+'Assumptions and Catalog'!$E$53+'Assumptions and Catalog'!$F$53,IF(((D248+E248)*C248)&lt;='Assumptions and Catalog'!$C$54,((D248+E248)*C248)*'Assumptions and Catalog'!$H$54+'Assumptions and Catalog'!$E$54+'Assumptions and Catalog'!$F$54,IF(((D248+E248)*C248)&lt;='Assumptions and Catalog'!$C$55,((D248+E248)*C248)*'Assumptions and Catalog'!$H$55+'Assumptions and Catalog'!$E$55+'Assumptions and Catalog'!$F$55,IF(((D248+E248)*C248)&lt;='Assumptions and Catalog'!$C$56,((D248+E248)*C248)*'Assumptions and Catalog'!$H$56+'Assumptions and Catalog'!$E$56+'Assumptions and Catalog'!$F$56,IF(((D248+E248)*C248)&lt;='Assumptions and Catalog'!$C$57,((D248+E248)*C248)*'Assumptions and Catalog'!$H$57+'Assumptions and Catalog'!$E$57+'Assumptions and Catalog'!$F$57,"Out of range")))))))),IF(((D248+E248)*C248)&lt;='Assumptions and Catalog'!$C$60,((D248+E248)*C248)*'Assumptions and Catalog'!$H$60+'Assumptions and Catalog'!$E$60+'Assumptions and Catalog'!$F$60,IF(((D248+E248)*C248)&lt;='Assumptions and Catalog'!$C$61,((D248+E248)*C248)*'Assumptions and Catalog'!$H$61+'Assumptions and Catalog'!$E$61+'Assumptions and Catalog'!$F$61,IF(((D248+E248)*C248)&lt;='Assumptions and Catalog'!$C$62,((D248+E248)*C248)*'Assumptions and Catalog'!$H$62+'Assumptions and Catalog'!$E$62+'Assumptions and Catalog'!$F$62,IF(((D248+E248)*C248)&lt;='Assumptions and Catalog'!$C$63,((D248+E248)*C248)*'Assumptions and Catalog'!$H$63+'Assumptions and Catalog'!$E$63+'Assumptions and Catalog'!$F$63,IF(((D248+E248)*C248)&lt;='Assumptions and Catalog'!$C$64,((D248+E248)*C248)*'Assumptions and Catalog'!$H$64+'Assumptions and Catalog'!$E$64+'Assumptions and Catalog'!$F$64,IF(((D248+E248)*C248)&lt;='Assumptions and Catalog'!$C$65,((D248+E248)*C248)*'Assumptions and Catalog'!$H$65+'Assumptions and Catalog'!$E$65+'Assumptions and Catalog'!$F$65,"Out of range")))))))))*(1+'Assumptions and Catalog'!$C$8)^(A248-1),0)</f>
        <v>8279</v>
      </c>
      <c r="N248" s="5">
        <f>IF(ISNUMBER(Inputs!$L$5),(IF(Inputs!$L$9="Actual flat rate",L248*Inputs!$L$10,IF(Inputs!$C$9="Residential",IF(L248&lt;='Assumptions and Catalog'!$C$50,L248*'Assumptions and Catalog'!$H$50+'Assumptions and Catalog'!$E$50+'Assumptions and Catalog'!$F$50,IF(L248&lt;='Assumptions and Catalog'!$C$51,L248*'Assumptions and Catalog'!$H$51+'Assumptions and Catalog'!$E$51+'Assumptions and Catalog'!$F$51,IF(L248&lt;='Assumptions and Catalog'!$C$52,L248*'Assumptions and Catalog'!$H$52+'Assumptions and Catalog'!$E$52+'Assumptions and Catalog'!$F$52,IF(L248&lt;='Assumptions and Catalog'!$C$53,L248*'Assumptions and Catalog'!$H$53+'Assumptions and Catalog'!$E$53+'Assumptions and Catalog'!$F$53,IF(L248&lt;='Assumptions and Catalog'!$C$54,L248*'Assumptions and Catalog'!$H$54+'Assumptions and Catalog'!$E$54+'Assumptions and Catalog'!$F$54,IF(L248&lt;='Assumptions and Catalog'!$C$55,L248*'Assumptions and Catalog'!$H$55+'Assumptions and Catalog'!$E$55+'Assumptions and Catalog'!$F$55,IF(L248&lt;='Assumptions and Catalog'!$C$56,L248*'Assumptions and Catalog'!$H$56+'Assumptions and Catalog'!$E$56+'Assumptions and Catalog'!$F$56,IF(L248&lt;='Assumptions and Catalog'!$C$57,L248*'Assumptions and Catalog'!$H$57+'Assumptions and Catalog'!$E$57+'Assumptions and Catalog'!$F$57,"Out of range")))))))),IF(L248&lt;='Assumptions and Catalog'!$C$60,L248*'Assumptions and Catalog'!$H$60+'Assumptions and Catalog'!$E$60+'Assumptions and Catalog'!$F$60,IF(L248&lt;='Assumptions and Catalog'!$C$61,L248*'Assumptions and Catalog'!$H$61+'Assumptions and Catalog'!$E$61+'Assumptions and Catalog'!$F$61,IF(L248&lt;='Assumptions and Catalog'!$C$62,L248*'Assumptions and Catalog'!$H$62+'Assumptions and Catalog'!$E$62+'Assumptions and Catalog'!$F$62,IF(L248&lt;='Assumptions and Catalog'!$C$63,L248*'Assumptions and Catalog'!$H$63+'Assumptions and Catalog'!$E$63+'Assumptions and Catalog'!$F$63,IF(L248&lt;='Assumptions and Catalog'!$C$64,L248*'Assumptions and Catalog'!$H$64+'Assumptions and Catalog'!$E$64+'Assumptions and Catalog'!$F$64,IF(L248&lt;='Assumptions and Catalog'!$C$65,L248*'Assumptions and Catalog'!$H$65+'Assumptions and Catalog'!$E$65+'Assumptions and Catalog'!$F$65,"Out of range")))))))))*(1+'Assumptions and Catalog'!$C$8)^(A248-1),0)</f>
        <v>4974.0106941503682</v>
      </c>
      <c r="O248" s="5">
        <f t="shared" si="18"/>
        <v>3304.9893058496318</v>
      </c>
      <c r="P248" s="5">
        <f>C$55*(1-J$14)*(1-'Assumptions and Catalog'!$C$23)^R248</f>
        <v>0</v>
      </c>
      <c r="Q248" s="5">
        <f>IF(ISNUMBER(Inputs!$L$5),(IF(Inputs!$L$9="Actual flat rate",((D248+E248)*C248-G248)*Inputs!$L$10,IF(Inputs!$C$9="Residential",IF(((D248+E248)*C248-G248)&lt;='Assumptions and Catalog'!$C$50,((D248+E248)*C248-G248)*'Assumptions and Catalog'!$H$50+'Assumptions and Catalog'!$E$50+'Assumptions and Catalog'!$F$50,IF(((D248+E248)*C248-G248)&lt;='Assumptions and Catalog'!$C$51,((D248+E248)*C248-G248)*'Assumptions and Catalog'!$H$51+'Assumptions and Catalog'!$E$51+'Assumptions and Catalog'!$F$51,IF(((D248+E248)*C248-G248)&lt;='Assumptions and Catalog'!$C$52,((D248+E248)*C248-G248)*'Assumptions and Catalog'!$H$52+'Assumptions and Catalog'!$E$52+'Assumptions and Catalog'!$F$52,IF(((D248+E248)*C248-G248)&lt;='Assumptions and Catalog'!$C$53,((D248+E248)*C248-G248)*'Assumptions and Catalog'!$H$53+'Assumptions and Catalog'!$E$53+'Assumptions and Catalog'!$F$53,IF(((D248+E248)*C248-G248)&lt;='Assumptions and Catalog'!$C$54,((D248+E248)*C248-G248)*'Assumptions and Catalog'!$H$54+'Assumptions and Catalog'!$E$54+'Assumptions and Catalog'!$F$54,IF(((D248+E248)*C248-G248)&lt;='Assumptions and Catalog'!$C$55,((D248+E248)*C248-G248)*'Assumptions and Catalog'!$H$55+'Assumptions and Catalog'!$E$55+'Assumptions and Catalog'!$F$55,IF(((D248+E248)*C248-G248)&lt;='Assumptions and Catalog'!$C$56,((D248+E248)*C248-G248)*'Assumptions and Catalog'!$H$56+'Assumptions and Catalog'!$E$56+'Assumptions and Catalog'!$F$56,IF(((D248+E248)*C248-G248)&lt;='Assumptions and Catalog'!$C$57,((D248+E248)*C248-G248)*'Assumptions and Catalog'!$H$57+'Assumptions and Catalog'!$E$57+'Assumptions and Catalog'!$F$57,"Out of range")))))))),IF(((D248+E248)*C248-G248)&lt;='Assumptions and Catalog'!$C$60,((D248+E248)*C248-G248)*'Assumptions and Catalog'!$H$60+'Assumptions and Catalog'!$E$60+'Assumptions and Catalog'!$F$60,IF(((D248+E248)*C248-G248)&lt;='Assumptions and Catalog'!$C$61,((D248+E248)*C248-G248)*'Assumptions and Catalog'!$H$61+'Assumptions and Catalog'!$E$61+'Assumptions and Catalog'!$F$61,IF(((D248+E248)*C248-G248)&lt;='Assumptions and Catalog'!$C$62,((D248+E248)*C248-G248)*'Assumptions and Catalog'!$H$62+'Assumptions and Catalog'!$E$62+'Assumptions and Catalog'!$F$62,IF(((D248+E248)*C248-G248)&lt;='Assumptions and Catalog'!$C$63,((D248+E248)*C248-G248)*'Assumptions and Catalog'!$H$63+'Assumptions and Catalog'!$E$63+'Assumptions and Catalog'!$F$63,IF(((D248+E248)*C248-G248)&lt;='Assumptions and Catalog'!$C$64,((D248+E248)*C248-G248)*'Assumptions and Catalog'!$H$64+'Assumptions and Catalog'!$E$64+'Assumptions and Catalog'!$F$64,IF(((D248+E248)*C248-G248)&lt;='Assumptions and Catalog'!$C$65,((D248+E248)*C248-G248)*'Assumptions and Catalog'!$H$65+'Assumptions and Catalog'!$E$65+'Assumptions and Catalog'!$F$65,"Out of range")))))))))*(1+'Assumptions and Catalog'!$C$8)^(A248-1),0)</f>
        <v>4974.0106941503682</v>
      </c>
      <c r="R248" s="5">
        <f>IF(AND('Assumptions and Catalog'!$C$19&gt;0,A248&gt;='Assumptions and Catalog'!$C$19),A248-'Assumptions and Catalog'!$C$19,A248-1)</f>
        <v>7</v>
      </c>
      <c r="S248" s="5">
        <f t="shared" si="19"/>
        <v>0</v>
      </c>
      <c r="T248" s="5"/>
      <c r="U248" s="5"/>
    </row>
    <row r="249" spans="1:21" ht="23.1" customHeight="1" outlineLevel="1" x14ac:dyDescent="0.2">
      <c r="A249" s="5">
        <v>8</v>
      </c>
      <c r="B249" s="5">
        <v>5</v>
      </c>
      <c r="C249" s="5">
        <f>DAY(DATE('Assumptions and Catalog'!$C$24+A249-1,B249+1,0))</f>
        <v>31</v>
      </c>
      <c r="D249" s="5">
        <f>IF(ISNUMBER(Inputs!$L$5),Inputs!$L$5*Inputs!$L$6,0)</f>
        <v>40.35</v>
      </c>
      <c r="E249" s="5">
        <f>IF(ISNUMBER(Inputs!$L$5),Inputs!$L$5-D249,0)</f>
        <v>40.35</v>
      </c>
      <c r="F249" s="5">
        <f>C$51*'Assumptions and Catalog'!$C$31*C249*(1-'Assumptions and Catalog'!$C$10)^(A249-1)</f>
        <v>998.68241894480309</v>
      </c>
      <c r="G249" s="5">
        <f t="shared" si="14"/>
        <v>998.68241894480309</v>
      </c>
      <c r="H249" s="5">
        <f>I249/('Assumptions and Catalog'!$C$11*'Assumptions and Catalog'!$C$12)</f>
        <v>0</v>
      </c>
      <c r="I249" s="5">
        <f>0</f>
        <v>0</v>
      </c>
      <c r="J249" s="5">
        <f t="shared" si="15"/>
        <v>0</v>
      </c>
      <c r="K249" s="5">
        <f t="shared" si="16"/>
        <v>0</v>
      </c>
      <c r="L249" s="5">
        <f t="shared" si="17"/>
        <v>1503.0175810551973</v>
      </c>
      <c r="M249" s="5">
        <f>IF(ISNUMBER(Inputs!$L$5),(IF(Inputs!$L$9="Actual flat rate",((D249+E249)*C249)*Inputs!$L$10,IF(Inputs!$C$9="Residential",IF(((D249+E249)*C249)&lt;='Assumptions and Catalog'!$C$50,((D249+E249)*C249)*'Assumptions and Catalog'!$H$50+'Assumptions and Catalog'!$E$50+'Assumptions and Catalog'!$F$50,IF(((D249+E249)*C249)&lt;='Assumptions and Catalog'!$C$51,((D249+E249)*C249)*'Assumptions and Catalog'!$H$51+'Assumptions and Catalog'!$E$51+'Assumptions and Catalog'!$F$51,IF(((D249+E249)*C249)&lt;='Assumptions and Catalog'!$C$52,((D249+E249)*C249)*'Assumptions and Catalog'!$H$52+'Assumptions and Catalog'!$E$52+'Assumptions and Catalog'!$F$52,IF(((D249+E249)*C249)&lt;='Assumptions and Catalog'!$C$53,((D249+E249)*C249)*'Assumptions and Catalog'!$H$53+'Assumptions and Catalog'!$E$53+'Assumptions and Catalog'!$F$53,IF(((D249+E249)*C249)&lt;='Assumptions and Catalog'!$C$54,((D249+E249)*C249)*'Assumptions and Catalog'!$H$54+'Assumptions and Catalog'!$E$54+'Assumptions and Catalog'!$F$54,IF(((D249+E249)*C249)&lt;='Assumptions and Catalog'!$C$55,((D249+E249)*C249)*'Assumptions and Catalog'!$H$55+'Assumptions and Catalog'!$E$55+'Assumptions and Catalog'!$F$55,IF(((D249+E249)*C249)&lt;='Assumptions and Catalog'!$C$56,((D249+E249)*C249)*'Assumptions and Catalog'!$H$56+'Assumptions and Catalog'!$E$56+'Assumptions and Catalog'!$F$56,IF(((D249+E249)*C249)&lt;='Assumptions and Catalog'!$C$57,((D249+E249)*C249)*'Assumptions and Catalog'!$H$57+'Assumptions and Catalog'!$E$57+'Assumptions and Catalog'!$F$57,"Out of range")))))))),IF(((D249+E249)*C249)&lt;='Assumptions and Catalog'!$C$60,((D249+E249)*C249)*'Assumptions and Catalog'!$H$60+'Assumptions and Catalog'!$E$60+'Assumptions and Catalog'!$F$60,IF(((D249+E249)*C249)&lt;='Assumptions and Catalog'!$C$61,((D249+E249)*C249)*'Assumptions and Catalog'!$H$61+'Assumptions and Catalog'!$E$61+'Assumptions and Catalog'!$F$61,IF(((D249+E249)*C249)&lt;='Assumptions and Catalog'!$C$62,((D249+E249)*C249)*'Assumptions and Catalog'!$H$62+'Assumptions and Catalog'!$E$62+'Assumptions and Catalog'!$F$62,IF(((D249+E249)*C249)&lt;='Assumptions and Catalog'!$C$63,((D249+E249)*C249)*'Assumptions and Catalog'!$H$63+'Assumptions and Catalog'!$E$63+'Assumptions and Catalog'!$F$63,IF(((D249+E249)*C249)&lt;='Assumptions and Catalog'!$C$64,((D249+E249)*C249)*'Assumptions and Catalog'!$H$64+'Assumptions and Catalog'!$E$64+'Assumptions and Catalog'!$F$64,IF(((D249+E249)*C249)&lt;='Assumptions and Catalog'!$C$65,((D249+E249)*C249)*'Assumptions and Catalog'!$H$65+'Assumptions and Catalog'!$E$65+'Assumptions and Catalog'!$F$65,"Out of range")))))))))*(1+'Assumptions and Catalog'!$C$8)^(A249-1),0)</f>
        <v>8554.9666666666672</v>
      </c>
      <c r="N249" s="5">
        <f>IF(ISNUMBER(Inputs!$L$5),(IF(Inputs!$L$9="Actual flat rate",L249*Inputs!$L$10,IF(Inputs!$C$9="Residential",IF(L249&lt;='Assumptions and Catalog'!$C$50,L249*'Assumptions and Catalog'!$H$50+'Assumptions and Catalog'!$E$50+'Assumptions and Catalog'!$F$50,IF(L249&lt;='Assumptions and Catalog'!$C$51,L249*'Assumptions and Catalog'!$H$51+'Assumptions and Catalog'!$E$51+'Assumptions and Catalog'!$F$51,IF(L249&lt;='Assumptions and Catalog'!$C$52,L249*'Assumptions and Catalog'!$H$52+'Assumptions and Catalog'!$E$52+'Assumptions and Catalog'!$F$52,IF(L249&lt;='Assumptions and Catalog'!$C$53,L249*'Assumptions and Catalog'!$H$53+'Assumptions and Catalog'!$E$53+'Assumptions and Catalog'!$F$53,IF(L249&lt;='Assumptions and Catalog'!$C$54,L249*'Assumptions and Catalog'!$H$54+'Assumptions and Catalog'!$E$54+'Assumptions and Catalog'!$F$54,IF(L249&lt;='Assumptions and Catalog'!$C$55,L249*'Assumptions and Catalog'!$H$55+'Assumptions and Catalog'!$E$55+'Assumptions and Catalog'!$F$55,IF(L249&lt;='Assumptions and Catalog'!$C$56,L249*'Assumptions and Catalog'!$H$56+'Assumptions and Catalog'!$E$56+'Assumptions and Catalog'!$F$56,IF(L249&lt;='Assumptions and Catalog'!$C$57,L249*'Assumptions and Catalog'!$H$57+'Assumptions and Catalog'!$E$57+'Assumptions and Catalog'!$F$57,"Out of range")))))))),IF(L249&lt;='Assumptions and Catalog'!$C$60,L249*'Assumptions and Catalog'!$H$60+'Assumptions and Catalog'!$E$60+'Assumptions and Catalog'!$F$60,IF(L249&lt;='Assumptions and Catalog'!$C$61,L249*'Assumptions and Catalog'!$H$61+'Assumptions and Catalog'!$E$61+'Assumptions and Catalog'!$F$61,IF(L249&lt;='Assumptions and Catalog'!$C$62,L249*'Assumptions and Catalog'!$H$62+'Assumptions and Catalog'!$E$62+'Assumptions and Catalog'!$F$62,IF(L249&lt;='Assumptions and Catalog'!$C$63,L249*'Assumptions and Catalog'!$H$63+'Assumptions and Catalog'!$E$63+'Assumptions and Catalog'!$F$63,IF(L249&lt;='Assumptions and Catalog'!$C$64,L249*'Assumptions and Catalog'!$H$64+'Assumptions and Catalog'!$E$64+'Assumptions and Catalog'!$F$64,IF(L249&lt;='Assumptions and Catalog'!$C$65,L249*'Assumptions and Catalog'!$H$65+'Assumptions and Catalog'!$E$65+'Assumptions and Catalog'!$F$65,"Out of range")))))))))*(1+'Assumptions and Catalog'!$C$8)^(A249-1),0)</f>
        <v>5139.8110506220482</v>
      </c>
      <c r="O249" s="5">
        <f t="shared" si="18"/>
        <v>3415.1556160446189</v>
      </c>
      <c r="P249" s="5">
        <f>C$55*(1-J$14)*(1-'Assumptions and Catalog'!$C$23)^R249</f>
        <v>0</v>
      </c>
      <c r="Q249" s="5">
        <f>IF(ISNUMBER(Inputs!$L$5),(IF(Inputs!$L$9="Actual flat rate",((D249+E249)*C249-G249)*Inputs!$L$10,IF(Inputs!$C$9="Residential",IF(((D249+E249)*C249-G249)&lt;='Assumptions and Catalog'!$C$50,((D249+E249)*C249-G249)*'Assumptions and Catalog'!$H$50+'Assumptions and Catalog'!$E$50+'Assumptions and Catalog'!$F$50,IF(((D249+E249)*C249-G249)&lt;='Assumptions and Catalog'!$C$51,((D249+E249)*C249-G249)*'Assumptions and Catalog'!$H$51+'Assumptions and Catalog'!$E$51+'Assumptions and Catalog'!$F$51,IF(((D249+E249)*C249-G249)&lt;='Assumptions and Catalog'!$C$52,((D249+E249)*C249-G249)*'Assumptions and Catalog'!$H$52+'Assumptions and Catalog'!$E$52+'Assumptions and Catalog'!$F$52,IF(((D249+E249)*C249-G249)&lt;='Assumptions and Catalog'!$C$53,((D249+E249)*C249-G249)*'Assumptions and Catalog'!$H$53+'Assumptions and Catalog'!$E$53+'Assumptions and Catalog'!$F$53,IF(((D249+E249)*C249-G249)&lt;='Assumptions and Catalog'!$C$54,((D249+E249)*C249-G249)*'Assumptions and Catalog'!$H$54+'Assumptions and Catalog'!$E$54+'Assumptions and Catalog'!$F$54,IF(((D249+E249)*C249-G249)&lt;='Assumptions and Catalog'!$C$55,((D249+E249)*C249-G249)*'Assumptions and Catalog'!$H$55+'Assumptions and Catalog'!$E$55+'Assumptions and Catalog'!$F$55,IF(((D249+E249)*C249-G249)&lt;='Assumptions and Catalog'!$C$56,((D249+E249)*C249-G249)*'Assumptions and Catalog'!$H$56+'Assumptions and Catalog'!$E$56+'Assumptions and Catalog'!$F$56,IF(((D249+E249)*C249-G249)&lt;='Assumptions and Catalog'!$C$57,((D249+E249)*C249-G249)*'Assumptions and Catalog'!$H$57+'Assumptions and Catalog'!$E$57+'Assumptions and Catalog'!$F$57,"Out of range")))))))),IF(((D249+E249)*C249-G249)&lt;='Assumptions and Catalog'!$C$60,((D249+E249)*C249-G249)*'Assumptions and Catalog'!$H$60+'Assumptions and Catalog'!$E$60+'Assumptions and Catalog'!$F$60,IF(((D249+E249)*C249-G249)&lt;='Assumptions and Catalog'!$C$61,((D249+E249)*C249-G249)*'Assumptions and Catalog'!$H$61+'Assumptions and Catalog'!$E$61+'Assumptions and Catalog'!$F$61,IF(((D249+E249)*C249-G249)&lt;='Assumptions and Catalog'!$C$62,((D249+E249)*C249-G249)*'Assumptions and Catalog'!$H$62+'Assumptions and Catalog'!$E$62+'Assumptions and Catalog'!$F$62,IF(((D249+E249)*C249-G249)&lt;='Assumptions and Catalog'!$C$63,((D249+E249)*C249-G249)*'Assumptions and Catalog'!$H$63+'Assumptions and Catalog'!$E$63+'Assumptions and Catalog'!$F$63,IF(((D249+E249)*C249-G249)&lt;='Assumptions and Catalog'!$C$64,((D249+E249)*C249-G249)*'Assumptions and Catalog'!$H$64+'Assumptions and Catalog'!$E$64+'Assumptions and Catalog'!$F$64,IF(((D249+E249)*C249-G249)&lt;='Assumptions and Catalog'!$C$65,((D249+E249)*C249-G249)*'Assumptions and Catalog'!$H$65+'Assumptions and Catalog'!$E$65+'Assumptions and Catalog'!$F$65,"Out of range")))))))))*(1+'Assumptions and Catalog'!$C$8)^(A249-1),0)</f>
        <v>5139.8110506220482</v>
      </c>
      <c r="R249" s="5">
        <f>IF(AND('Assumptions and Catalog'!$C$19&gt;0,A249&gt;='Assumptions and Catalog'!$C$19),A249-'Assumptions and Catalog'!$C$19,A249-1)</f>
        <v>7</v>
      </c>
      <c r="S249" s="5">
        <f t="shared" si="19"/>
        <v>0</v>
      </c>
      <c r="T249" s="5"/>
      <c r="U249" s="5"/>
    </row>
    <row r="250" spans="1:21" ht="23.1" customHeight="1" outlineLevel="1" x14ac:dyDescent="0.2">
      <c r="A250" s="5">
        <v>8</v>
      </c>
      <c r="B250" s="5">
        <v>6</v>
      </c>
      <c r="C250" s="5">
        <f>DAY(DATE('Assumptions and Catalog'!$C$24+A250-1,B250+1,0))</f>
        <v>30</v>
      </c>
      <c r="D250" s="5">
        <f>IF(ISNUMBER(Inputs!$L$5),Inputs!$L$5*Inputs!$L$6,0)</f>
        <v>40.35</v>
      </c>
      <c r="E250" s="5">
        <f>IF(ISNUMBER(Inputs!$L$5),Inputs!$L$5-D250,0)</f>
        <v>40.35</v>
      </c>
      <c r="F250" s="5">
        <f>C$51*'Assumptions and Catalog'!$C$31*C250*(1-'Assumptions and Catalog'!$C$10)^(A250-1)</f>
        <v>966.46685704335789</v>
      </c>
      <c r="G250" s="5">
        <f t="shared" si="14"/>
        <v>966.46685704335789</v>
      </c>
      <c r="H250" s="5">
        <f>I250/('Assumptions and Catalog'!$C$11*'Assumptions and Catalog'!$C$12)</f>
        <v>0</v>
      </c>
      <c r="I250" s="5">
        <f>0</f>
        <v>0</v>
      </c>
      <c r="J250" s="5">
        <f t="shared" si="15"/>
        <v>0</v>
      </c>
      <c r="K250" s="5">
        <f t="shared" si="16"/>
        <v>0</v>
      </c>
      <c r="L250" s="5">
        <f t="shared" si="17"/>
        <v>1454.5331429566422</v>
      </c>
      <c r="M250" s="5">
        <f>IF(ISNUMBER(Inputs!$L$5),(IF(Inputs!$L$9="Actual flat rate",((D250+E250)*C250)*Inputs!$L$10,IF(Inputs!$C$9="Residential",IF(((D250+E250)*C250)&lt;='Assumptions and Catalog'!$C$50,((D250+E250)*C250)*'Assumptions and Catalog'!$H$50+'Assumptions and Catalog'!$E$50+'Assumptions and Catalog'!$F$50,IF(((D250+E250)*C250)&lt;='Assumptions and Catalog'!$C$51,((D250+E250)*C250)*'Assumptions and Catalog'!$H$51+'Assumptions and Catalog'!$E$51+'Assumptions and Catalog'!$F$51,IF(((D250+E250)*C250)&lt;='Assumptions and Catalog'!$C$52,((D250+E250)*C250)*'Assumptions and Catalog'!$H$52+'Assumptions and Catalog'!$E$52+'Assumptions and Catalog'!$F$52,IF(((D250+E250)*C250)&lt;='Assumptions and Catalog'!$C$53,((D250+E250)*C250)*'Assumptions and Catalog'!$H$53+'Assumptions and Catalog'!$E$53+'Assumptions and Catalog'!$F$53,IF(((D250+E250)*C250)&lt;='Assumptions and Catalog'!$C$54,((D250+E250)*C250)*'Assumptions and Catalog'!$H$54+'Assumptions and Catalog'!$E$54+'Assumptions and Catalog'!$F$54,IF(((D250+E250)*C250)&lt;='Assumptions and Catalog'!$C$55,((D250+E250)*C250)*'Assumptions and Catalog'!$H$55+'Assumptions and Catalog'!$E$55+'Assumptions and Catalog'!$F$55,IF(((D250+E250)*C250)&lt;='Assumptions and Catalog'!$C$56,((D250+E250)*C250)*'Assumptions and Catalog'!$H$56+'Assumptions and Catalog'!$E$56+'Assumptions and Catalog'!$F$56,IF(((D250+E250)*C250)&lt;='Assumptions and Catalog'!$C$57,((D250+E250)*C250)*'Assumptions and Catalog'!$H$57+'Assumptions and Catalog'!$E$57+'Assumptions and Catalog'!$F$57,"Out of range")))))))),IF(((D250+E250)*C250)&lt;='Assumptions and Catalog'!$C$60,((D250+E250)*C250)*'Assumptions and Catalog'!$H$60+'Assumptions and Catalog'!$E$60+'Assumptions and Catalog'!$F$60,IF(((D250+E250)*C250)&lt;='Assumptions and Catalog'!$C$61,((D250+E250)*C250)*'Assumptions and Catalog'!$H$61+'Assumptions and Catalog'!$E$61+'Assumptions and Catalog'!$F$61,IF(((D250+E250)*C250)&lt;='Assumptions and Catalog'!$C$62,((D250+E250)*C250)*'Assumptions and Catalog'!$H$62+'Assumptions and Catalog'!$E$62+'Assumptions and Catalog'!$F$62,IF(((D250+E250)*C250)&lt;='Assumptions and Catalog'!$C$63,((D250+E250)*C250)*'Assumptions and Catalog'!$H$63+'Assumptions and Catalog'!$E$63+'Assumptions and Catalog'!$F$63,IF(((D250+E250)*C250)&lt;='Assumptions and Catalog'!$C$64,((D250+E250)*C250)*'Assumptions and Catalog'!$H$64+'Assumptions and Catalog'!$E$64+'Assumptions and Catalog'!$F$64,IF(((D250+E250)*C250)&lt;='Assumptions and Catalog'!$C$65,((D250+E250)*C250)*'Assumptions and Catalog'!$H$65+'Assumptions and Catalog'!$E$65+'Assumptions and Catalog'!$F$65,"Out of range")))))))))*(1+'Assumptions and Catalog'!$C$8)^(A250-1),0)</f>
        <v>8279</v>
      </c>
      <c r="N250" s="5">
        <f>IF(ISNUMBER(Inputs!$L$5),(IF(Inputs!$L$9="Actual flat rate",L250*Inputs!$L$10,IF(Inputs!$C$9="Residential",IF(L250&lt;='Assumptions and Catalog'!$C$50,L250*'Assumptions and Catalog'!$H$50+'Assumptions and Catalog'!$E$50+'Assumptions and Catalog'!$F$50,IF(L250&lt;='Assumptions and Catalog'!$C$51,L250*'Assumptions and Catalog'!$H$51+'Assumptions and Catalog'!$E$51+'Assumptions and Catalog'!$F$51,IF(L250&lt;='Assumptions and Catalog'!$C$52,L250*'Assumptions and Catalog'!$H$52+'Assumptions and Catalog'!$E$52+'Assumptions and Catalog'!$F$52,IF(L250&lt;='Assumptions and Catalog'!$C$53,L250*'Assumptions and Catalog'!$H$53+'Assumptions and Catalog'!$E$53+'Assumptions and Catalog'!$F$53,IF(L250&lt;='Assumptions and Catalog'!$C$54,L250*'Assumptions and Catalog'!$H$54+'Assumptions and Catalog'!$E$54+'Assumptions and Catalog'!$F$54,IF(L250&lt;='Assumptions and Catalog'!$C$55,L250*'Assumptions and Catalog'!$H$55+'Assumptions and Catalog'!$E$55+'Assumptions and Catalog'!$F$55,IF(L250&lt;='Assumptions and Catalog'!$C$56,L250*'Assumptions and Catalog'!$H$56+'Assumptions and Catalog'!$E$56+'Assumptions and Catalog'!$F$56,IF(L250&lt;='Assumptions and Catalog'!$C$57,L250*'Assumptions and Catalog'!$H$57+'Assumptions and Catalog'!$E$57+'Assumptions and Catalog'!$F$57,"Out of range")))))))),IF(L250&lt;='Assumptions and Catalog'!$C$60,L250*'Assumptions and Catalog'!$H$60+'Assumptions and Catalog'!$E$60+'Assumptions and Catalog'!$F$60,IF(L250&lt;='Assumptions and Catalog'!$C$61,L250*'Assumptions and Catalog'!$H$61+'Assumptions and Catalog'!$E$61+'Assumptions and Catalog'!$F$61,IF(L250&lt;='Assumptions and Catalog'!$C$62,L250*'Assumptions and Catalog'!$H$62+'Assumptions and Catalog'!$E$62+'Assumptions and Catalog'!$F$62,IF(L250&lt;='Assumptions and Catalog'!$C$63,L250*'Assumptions and Catalog'!$H$63+'Assumptions and Catalog'!$E$63+'Assumptions and Catalog'!$F$63,IF(L250&lt;='Assumptions and Catalog'!$C$64,L250*'Assumptions and Catalog'!$H$64+'Assumptions and Catalog'!$E$64+'Assumptions and Catalog'!$F$64,IF(L250&lt;='Assumptions and Catalog'!$C$65,L250*'Assumptions and Catalog'!$H$65+'Assumptions and Catalog'!$E$65+'Assumptions and Catalog'!$F$65,"Out of range")))))))))*(1+'Assumptions and Catalog'!$C$8)^(A250-1),0)</f>
        <v>4974.0106941503682</v>
      </c>
      <c r="O250" s="5">
        <f t="shared" si="18"/>
        <v>3304.9893058496318</v>
      </c>
      <c r="P250" s="5">
        <f>C$55*(1-J$14)*(1-'Assumptions and Catalog'!$C$23)^R250</f>
        <v>0</v>
      </c>
      <c r="Q250" s="5">
        <f>IF(ISNUMBER(Inputs!$L$5),(IF(Inputs!$L$9="Actual flat rate",((D250+E250)*C250-G250)*Inputs!$L$10,IF(Inputs!$C$9="Residential",IF(((D250+E250)*C250-G250)&lt;='Assumptions and Catalog'!$C$50,((D250+E250)*C250-G250)*'Assumptions and Catalog'!$H$50+'Assumptions and Catalog'!$E$50+'Assumptions and Catalog'!$F$50,IF(((D250+E250)*C250-G250)&lt;='Assumptions and Catalog'!$C$51,((D250+E250)*C250-G250)*'Assumptions and Catalog'!$H$51+'Assumptions and Catalog'!$E$51+'Assumptions and Catalog'!$F$51,IF(((D250+E250)*C250-G250)&lt;='Assumptions and Catalog'!$C$52,((D250+E250)*C250-G250)*'Assumptions and Catalog'!$H$52+'Assumptions and Catalog'!$E$52+'Assumptions and Catalog'!$F$52,IF(((D250+E250)*C250-G250)&lt;='Assumptions and Catalog'!$C$53,((D250+E250)*C250-G250)*'Assumptions and Catalog'!$H$53+'Assumptions and Catalog'!$E$53+'Assumptions and Catalog'!$F$53,IF(((D250+E250)*C250-G250)&lt;='Assumptions and Catalog'!$C$54,((D250+E250)*C250-G250)*'Assumptions and Catalog'!$H$54+'Assumptions and Catalog'!$E$54+'Assumptions and Catalog'!$F$54,IF(((D250+E250)*C250-G250)&lt;='Assumptions and Catalog'!$C$55,((D250+E250)*C250-G250)*'Assumptions and Catalog'!$H$55+'Assumptions and Catalog'!$E$55+'Assumptions and Catalog'!$F$55,IF(((D250+E250)*C250-G250)&lt;='Assumptions and Catalog'!$C$56,((D250+E250)*C250-G250)*'Assumptions and Catalog'!$H$56+'Assumptions and Catalog'!$E$56+'Assumptions and Catalog'!$F$56,IF(((D250+E250)*C250-G250)&lt;='Assumptions and Catalog'!$C$57,((D250+E250)*C250-G250)*'Assumptions and Catalog'!$H$57+'Assumptions and Catalog'!$E$57+'Assumptions and Catalog'!$F$57,"Out of range")))))))),IF(((D250+E250)*C250-G250)&lt;='Assumptions and Catalog'!$C$60,((D250+E250)*C250-G250)*'Assumptions and Catalog'!$H$60+'Assumptions and Catalog'!$E$60+'Assumptions and Catalog'!$F$60,IF(((D250+E250)*C250-G250)&lt;='Assumptions and Catalog'!$C$61,((D250+E250)*C250-G250)*'Assumptions and Catalog'!$H$61+'Assumptions and Catalog'!$E$61+'Assumptions and Catalog'!$F$61,IF(((D250+E250)*C250-G250)&lt;='Assumptions and Catalog'!$C$62,((D250+E250)*C250-G250)*'Assumptions and Catalog'!$H$62+'Assumptions and Catalog'!$E$62+'Assumptions and Catalog'!$F$62,IF(((D250+E250)*C250-G250)&lt;='Assumptions and Catalog'!$C$63,((D250+E250)*C250-G250)*'Assumptions and Catalog'!$H$63+'Assumptions and Catalog'!$E$63+'Assumptions and Catalog'!$F$63,IF(((D250+E250)*C250-G250)&lt;='Assumptions and Catalog'!$C$64,((D250+E250)*C250-G250)*'Assumptions and Catalog'!$H$64+'Assumptions and Catalog'!$E$64+'Assumptions and Catalog'!$F$64,IF(((D250+E250)*C250-G250)&lt;='Assumptions and Catalog'!$C$65,((D250+E250)*C250-G250)*'Assumptions and Catalog'!$H$65+'Assumptions and Catalog'!$E$65+'Assumptions and Catalog'!$F$65,"Out of range")))))))))*(1+'Assumptions and Catalog'!$C$8)^(A250-1),0)</f>
        <v>4974.0106941503682</v>
      </c>
      <c r="R250" s="5">
        <f>IF(AND('Assumptions and Catalog'!$C$19&gt;0,A250&gt;='Assumptions and Catalog'!$C$19),A250-'Assumptions and Catalog'!$C$19,A250-1)</f>
        <v>7</v>
      </c>
      <c r="S250" s="5">
        <f t="shared" si="19"/>
        <v>0</v>
      </c>
      <c r="T250" s="5"/>
      <c r="U250" s="5"/>
    </row>
    <row r="251" spans="1:21" ht="23.1" customHeight="1" outlineLevel="1" x14ac:dyDescent="0.2">
      <c r="A251" s="5">
        <v>8</v>
      </c>
      <c r="B251" s="5">
        <v>7</v>
      </c>
      <c r="C251" s="5">
        <f>DAY(DATE('Assumptions and Catalog'!$C$24+A251-1,B251+1,0))</f>
        <v>31</v>
      </c>
      <c r="D251" s="5">
        <f>IF(ISNUMBER(Inputs!$L$5),Inputs!$L$5*Inputs!$L$6,0)</f>
        <v>40.35</v>
      </c>
      <c r="E251" s="5">
        <f>IF(ISNUMBER(Inputs!$L$5),Inputs!$L$5-D251,0)</f>
        <v>40.35</v>
      </c>
      <c r="F251" s="5">
        <f>C$51*'Assumptions and Catalog'!$C$31*C251*(1-'Assumptions and Catalog'!$C$10)^(A251-1)</f>
        <v>998.68241894480309</v>
      </c>
      <c r="G251" s="5">
        <f t="shared" si="14"/>
        <v>998.68241894480309</v>
      </c>
      <c r="H251" s="5">
        <f>I251/('Assumptions and Catalog'!$C$11*'Assumptions and Catalog'!$C$12)</f>
        <v>0</v>
      </c>
      <c r="I251" s="5">
        <f>0</f>
        <v>0</v>
      </c>
      <c r="J251" s="5">
        <f t="shared" si="15"/>
        <v>0</v>
      </c>
      <c r="K251" s="5">
        <f t="shared" si="16"/>
        <v>0</v>
      </c>
      <c r="L251" s="5">
        <f t="shared" si="17"/>
        <v>1503.0175810551973</v>
      </c>
      <c r="M251" s="5">
        <f>IF(ISNUMBER(Inputs!$L$5),(IF(Inputs!$L$9="Actual flat rate",((D251+E251)*C251)*Inputs!$L$10,IF(Inputs!$C$9="Residential",IF(((D251+E251)*C251)&lt;='Assumptions and Catalog'!$C$50,((D251+E251)*C251)*'Assumptions and Catalog'!$H$50+'Assumptions and Catalog'!$E$50+'Assumptions and Catalog'!$F$50,IF(((D251+E251)*C251)&lt;='Assumptions and Catalog'!$C$51,((D251+E251)*C251)*'Assumptions and Catalog'!$H$51+'Assumptions and Catalog'!$E$51+'Assumptions and Catalog'!$F$51,IF(((D251+E251)*C251)&lt;='Assumptions and Catalog'!$C$52,((D251+E251)*C251)*'Assumptions and Catalog'!$H$52+'Assumptions and Catalog'!$E$52+'Assumptions and Catalog'!$F$52,IF(((D251+E251)*C251)&lt;='Assumptions and Catalog'!$C$53,((D251+E251)*C251)*'Assumptions and Catalog'!$H$53+'Assumptions and Catalog'!$E$53+'Assumptions and Catalog'!$F$53,IF(((D251+E251)*C251)&lt;='Assumptions and Catalog'!$C$54,((D251+E251)*C251)*'Assumptions and Catalog'!$H$54+'Assumptions and Catalog'!$E$54+'Assumptions and Catalog'!$F$54,IF(((D251+E251)*C251)&lt;='Assumptions and Catalog'!$C$55,((D251+E251)*C251)*'Assumptions and Catalog'!$H$55+'Assumptions and Catalog'!$E$55+'Assumptions and Catalog'!$F$55,IF(((D251+E251)*C251)&lt;='Assumptions and Catalog'!$C$56,((D251+E251)*C251)*'Assumptions and Catalog'!$H$56+'Assumptions and Catalog'!$E$56+'Assumptions and Catalog'!$F$56,IF(((D251+E251)*C251)&lt;='Assumptions and Catalog'!$C$57,((D251+E251)*C251)*'Assumptions and Catalog'!$H$57+'Assumptions and Catalog'!$E$57+'Assumptions and Catalog'!$F$57,"Out of range")))))))),IF(((D251+E251)*C251)&lt;='Assumptions and Catalog'!$C$60,((D251+E251)*C251)*'Assumptions and Catalog'!$H$60+'Assumptions and Catalog'!$E$60+'Assumptions and Catalog'!$F$60,IF(((D251+E251)*C251)&lt;='Assumptions and Catalog'!$C$61,((D251+E251)*C251)*'Assumptions and Catalog'!$H$61+'Assumptions and Catalog'!$E$61+'Assumptions and Catalog'!$F$61,IF(((D251+E251)*C251)&lt;='Assumptions and Catalog'!$C$62,((D251+E251)*C251)*'Assumptions and Catalog'!$H$62+'Assumptions and Catalog'!$E$62+'Assumptions and Catalog'!$F$62,IF(((D251+E251)*C251)&lt;='Assumptions and Catalog'!$C$63,((D251+E251)*C251)*'Assumptions and Catalog'!$H$63+'Assumptions and Catalog'!$E$63+'Assumptions and Catalog'!$F$63,IF(((D251+E251)*C251)&lt;='Assumptions and Catalog'!$C$64,((D251+E251)*C251)*'Assumptions and Catalog'!$H$64+'Assumptions and Catalog'!$E$64+'Assumptions and Catalog'!$F$64,IF(((D251+E251)*C251)&lt;='Assumptions and Catalog'!$C$65,((D251+E251)*C251)*'Assumptions and Catalog'!$H$65+'Assumptions and Catalog'!$E$65+'Assumptions and Catalog'!$F$65,"Out of range")))))))))*(1+'Assumptions and Catalog'!$C$8)^(A251-1),0)</f>
        <v>8554.9666666666672</v>
      </c>
      <c r="N251" s="5">
        <f>IF(ISNUMBER(Inputs!$L$5),(IF(Inputs!$L$9="Actual flat rate",L251*Inputs!$L$10,IF(Inputs!$C$9="Residential",IF(L251&lt;='Assumptions and Catalog'!$C$50,L251*'Assumptions and Catalog'!$H$50+'Assumptions and Catalog'!$E$50+'Assumptions and Catalog'!$F$50,IF(L251&lt;='Assumptions and Catalog'!$C$51,L251*'Assumptions and Catalog'!$H$51+'Assumptions and Catalog'!$E$51+'Assumptions and Catalog'!$F$51,IF(L251&lt;='Assumptions and Catalog'!$C$52,L251*'Assumptions and Catalog'!$H$52+'Assumptions and Catalog'!$E$52+'Assumptions and Catalog'!$F$52,IF(L251&lt;='Assumptions and Catalog'!$C$53,L251*'Assumptions and Catalog'!$H$53+'Assumptions and Catalog'!$E$53+'Assumptions and Catalog'!$F$53,IF(L251&lt;='Assumptions and Catalog'!$C$54,L251*'Assumptions and Catalog'!$H$54+'Assumptions and Catalog'!$E$54+'Assumptions and Catalog'!$F$54,IF(L251&lt;='Assumptions and Catalog'!$C$55,L251*'Assumptions and Catalog'!$H$55+'Assumptions and Catalog'!$E$55+'Assumptions and Catalog'!$F$55,IF(L251&lt;='Assumptions and Catalog'!$C$56,L251*'Assumptions and Catalog'!$H$56+'Assumptions and Catalog'!$E$56+'Assumptions and Catalog'!$F$56,IF(L251&lt;='Assumptions and Catalog'!$C$57,L251*'Assumptions and Catalog'!$H$57+'Assumptions and Catalog'!$E$57+'Assumptions and Catalog'!$F$57,"Out of range")))))))),IF(L251&lt;='Assumptions and Catalog'!$C$60,L251*'Assumptions and Catalog'!$H$60+'Assumptions and Catalog'!$E$60+'Assumptions and Catalog'!$F$60,IF(L251&lt;='Assumptions and Catalog'!$C$61,L251*'Assumptions and Catalog'!$H$61+'Assumptions and Catalog'!$E$61+'Assumptions and Catalog'!$F$61,IF(L251&lt;='Assumptions and Catalog'!$C$62,L251*'Assumptions and Catalog'!$H$62+'Assumptions and Catalog'!$E$62+'Assumptions and Catalog'!$F$62,IF(L251&lt;='Assumptions and Catalog'!$C$63,L251*'Assumptions and Catalog'!$H$63+'Assumptions and Catalog'!$E$63+'Assumptions and Catalog'!$F$63,IF(L251&lt;='Assumptions and Catalog'!$C$64,L251*'Assumptions and Catalog'!$H$64+'Assumptions and Catalog'!$E$64+'Assumptions and Catalog'!$F$64,IF(L251&lt;='Assumptions and Catalog'!$C$65,L251*'Assumptions and Catalog'!$H$65+'Assumptions and Catalog'!$E$65+'Assumptions and Catalog'!$F$65,"Out of range")))))))))*(1+'Assumptions and Catalog'!$C$8)^(A251-1),0)</f>
        <v>5139.8110506220482</v>
      </c>
      <c r="O251" s="5">
        <f t="shared" si="18"/>
        <v>3415.1556160446189</v>
      </c>
      <c r="P251" s="5">
        <f>C$55*(1-J$14)*(1-'Assumptions and Catalog'!$C$23)^R251</f>
        <v>0</v>
      </c>
      <c r="Q251" s="5">
        <f>IF(ISNUMBER(Inputs!$L$5),(IF(Inputs!$L$9="Actual flat rate",((D251+E251)*C251-G251)*Inputs!$L$10,IF(Inputs!$C$9="Residential",IF(((D251+E251)*C251-G251)&lt;='Assumptions and Catalog'!$C$50,((D251+E251)*C251-G251)*'Assumptions and Catalog'!$H$50+'Assumptions and Catalog'!$E$50+'Assumptions and Catalog'!$F$50,IF(((D251+E251)*C251-G251)&lt;='Assumptions and Catalog'!$C$51,((D251+E251)*C251-G251)*'Assumptions and Catalog'!$H$51+'Assumptions and Catalog'!$E$51+'Assumptions and Catalog'!$F$51,IF(((D251+E251)*C251-G251)&lt;='Assumptions and Catalog'!$C$52,((D251+E251)*C251-G251)*'Assumptions and Catalog'!$H$52+'Assumptions and Catalog'!$E$52+'Assumptions and Catalog'!$F$52,IF(((D251+E251)*C251-G251)&lt;='Assumptions and Catalog'!$C$53,((D251+E251)*C251-G251)*'Assumptions and Catalog'!$H$53+'Assumptions and Catalog'!$E$53+'Assumptions and Catalog'!$F$53,IF(((D251+E251)*C251-G251)&lt;='Assumptions and Catalog'!$C$54,((D251+E251)*C251-G251)*'Assumptions and Catalog'!$H$54+'Assumptions and Catalog'!$E$54+'Assumptions and Catalog'!$F$54,IF(((D251+E251)*C251-G251)&lt;='Assumptions and Catalog'!$C$55,((D251+E251)*C251-G251)*'Assumptions and Catalog'!$H$55+'Assumptions and Catalog'!$E$55+'Assumptions and Catalog'!$F$55,IF(((D251+E251)*C251-G251)&lt;='Assumptions and Catalog'!$C$56,((D251+E251)*C251-G251)*'Assumptions and Catalog'!$H$56+'Assumptions and Catalog'!$E$56+'Assumptions and Catalog'!$F$56,IF(((D251+E251)*C251-G251)&lt;='Assumptions and Catalog'!$C$57,((D251+E251)*C251-G251)*'Assumptions and Catalog'!$H$57+'Assumptions and Catalog'!$E$57+'Assumptions and Catalog'!$F$57,"Out of range")))))))),IF(((D251+E251)*C251-G251)&lt;='Assumptions and Catalog'!$C$60,((D251+E251)*C251-G251)*'Assumptions and Catalog'!$H$60+'Assumptions and Catalog'!$E$60+'Assumptions and Catalog'!$F$60,IF(((D251+E251)*C251-G251)&lt;='Assumptions and Catalog'!$C$61,((D251+E251)*C251-G251)*'Assumptions and Catalog'!$H$61+'Assumptions and Catalog'!$E$61+'Assumptions and Catalog'!$F$61,IF(((D251+E251)*C251-G251)&lt;='Assumptions and Catalog'!$C$62,((D251+E251)*C251-G251)*'Assumptions and Catalog'!$H$62+'Assumptions and Catalog'!$E$62+'Assumptions and Catalog'!$F$62,IF(((D251+E251)*C251-G251)&lt;='Assumptions and Catalog'!$C$63,((D251+E251)*C251-G251)*'Assumptions and Catalog'!$H$63+'Assumptions and Catalog'!$E$63+'Assumptions and Catalog'!$F$63,IF(((D251+E251)*C251-G251)&lt;='Assumptions and Catalog'!$C$64,((D251+E251)*C251-G251)*'Assumptions and Catalog'!$H$64+'Assumptions and Catalog'!$E$64+'Assumptions and Catalog'!$F$64,IF(((D251+E251)*C251-G251)&lt;='Assumptions and Catalog'!$C$65,((D251+E251)*C251-G251)*'Assumptions and Catalog'!$H$65+'Assumptions and Catalog'!$E$65+'Assumptions and Catalog'!$F$65,"Out of range")))))))))*(1+'Assumptions and Catalog'!$C$8)^(A251-1),0)</f>
        <v>5139.8110506220482</v>
      </c>
      <c r="R251" s="5">
        <f>IF(AND('Assumptions and Catalog'!$C$19&gt;0,A251&gt;='Assumptions and Catalog'!$C$19),A251-'Assumptions and Catalog'!$C$19,A251-1)</f>
        <v>7</v>
      </c>
      <c r="S251" s="5">
        <f t="shared" si="19"/>
        <v>0</v>
      </c>
      <c r="T251" s="5"/>
      <c r="U251" s="5"/>
    </row>
    <row r="252" spans="1:21" ht="23.1" customHeight="1" outlineLevel="1" x14ac:dyDescent="0.2">
      <c r="A252" s="5">
        <v>8</v>
      </c>
      <c r="B252" s="5">
        <v>8</v>
      </c>
      <c r="C252" s="5">
        <f>DAY(DATE('Assumptions and Catalog'!$C$24+A252-1,B252+1,0))</f>
        <v>31</v>
      </c>
      <c r="D252" s="5">
        <f>IF(ISNUMBER(Inputs!$L$5),Inputs!$L$5*Inputs!$L$6,0)</f>
        <v>40.35</v>
      </c>
      <c r="E252" s="5">
        <f>IF(ISNUMBER(Inputs!$L$5),Inputs!$L$5-D252,0)</f>
        <v>40.35</v>
      </c>
      <c r="F252" s="5">
        <f>C$51*'Assumptions and Catalog'!$C$31*C252*(1-'Assumptions and Catalog'!$C$10)^(A252-1)</f>
        <v>998.68241894480309</v>
      </c>
      <c r="G252" s="5">
        <f t="shared" si="14"/>
        <v>998.68241894480309</v>
      </c>
      <c r="H252" s="5">
        <f>I252/('Assumptions and Catalog'!$C$11*'Assumptions and Catalog'!$C$12)</f>
        <v>0</v>
      </c>
      <c r="I252" s="5">
        <f>0</f>
        <v>0</v>
      </c>
      <c r="J252" s="5">
        <f t="shared" si="15"/>
        <v>0</v>
      </c>
      <c r="K252" s="5">
        <f t="shared" si="16"/>
        <v>0</v>
      </c>
      <c r="L252" s="5">
        <f t="shared" si="17"/>
        <v>1503.0175810551973</v>
      </c>
      <c r="M252" s="5">
        <f>IF(ISNUMBER(Inputs!$L$5),(IF(Inputs!$L$9="Actual flat rate",((D252+E252)*C252)*Inputs!$L$10,IF(Inputs!$C$9="Residential",IF(((D252+E252)*C252)&lt;='Assumptions and Catalog'!$C$50,((D252+E252)*C252)*'Assumptions and Catalog'!$H$50+'Assumptions and Catalog'!$E$50+'Assumptions and Catalog'!$F$50,IF(((D252+E252)*C252)&lt;='Assumptions and Catalog'!$C$51,((D252+E252)*C252)*'Assumptions and Catalog'!$H$51+'Assumptions and Catalog'!$E$51+'Assumptions and Catalog'!$F$51,IF(((D252+E252)*C252)&lt;='Assumptions and Catalog'!$C$52,((D252+E252)*C252)*'Assumptions and Catalog'!$H$52+'Assumptions and Catalog'!$E$52+'Assumptions and Catalog'!$F$52,IF(((D252+E252)*C252)&lt;='Assumptions and Catalog'!$C$53,((D252+E252)*C252)*'Assumptions and Catalog'!$H$53+'Assumptions and Catalog'!$E$53+'Assumptions and Catalog'!$F$53,IF(((D252+E252)*C252)&lt;='Assumptions and Catalog'!$C$54,((D252+E252)*C252)*'Assumptions and Catalog'!$H$54+'Assumptions and Catalog'!$E$54+'Assumptions and Catalog'!$F$54,IF(((D252+E252)*C252)&lt;='Assumptions and Catalog'!$C$55,((D252+E252)*C252)*'Assumptions and Catalog'!$H$55+'Assumptions and Catalog'!$E$55+'Assumptions and Catalog'!$F$55,IF(((D252+E252)*C252)&lt;='Assumptions and Catalog'!$C$56,((D252+E252)*C252)*'Assumptions and Catalog'!$H$56+'Assumptions and Catalog'!$E$56+'Assumptions and Catalog'!$F$56,IF(((D252+E252)*C252)&lt;='Assumptions and Catalog'!$C$57,((D252+E252)*C252)*'Assumptions and Catalog'!$H$57+'Assumptions and Catalog'!$E$57+'Assumptions and Catalog'!$F$57,"Out of range")))))))),IF(((D252+E252)*C252)&lt;='Assumptions and Catalog'!$C$60,((D252+E252)*C252)*'Assumptions and Catalog'!$H$60+'Assumptions and Catalog'!$E$60+'Assumptions and Catalog'!$F$60,IF(((D252+E252)*C252)&lt;='Assumptions and Catalog'!$C$61,((D252+E252)*C252)*'Assumptions and Catalog'!$H$61+'Assumptions and Catalog'!$E$61+'Assumptions and Catalog'!$F$61,IF(((D252+E252)*C252)&lt;='Assumptions and Catalog'!$C$62,((D252+E252)*C252)*'Assumptions and Catalog'!$H$62+'Assumptions and Catalog'!$E$62+'Assumptions and Catalog'!$F$62,IF(((D252+E252)*C252)&lt;='Assumptions and Catalog'!$C$63,((D252+E252)*C252)*'Assumptions and Catalog'!$H$63+'Assumptions and Catalog'!$E$63+'Assumptions and Catalog'!$F$63,IF(((D252+E252)*C252)&lt;='Assumptions and Catalog'!$C$64,((D252+E252)*C252)*'Assumptions and Catalog'!$H$64+'Assumptions and Catalog'!$E$64+'Assumptions and Catalog'!$F$64,IF(((D252+E252)*C252)&lt;='Assumptions and Catalog'!$C$65,((D252+E252)*C252)*'Assumptions and Catalog'!$H$65+'Assumptions and Catalog'!$E$65+'Assumptions and Catalog'!$F$65,"Out of range")))))))))*(1+'Assumptions and Catalog'!$C$8)^(A252-1),0)</f>
        <v>8554.9666666666672</v>
      </c>
      <c r="N252" s="5">
        <f>IF(ISNUMBER(Inputs!$L$5),(IF(Inputs!$L$9="Actual flat rate",L252*Inputs!$L$10,IF(Inputs!$C$9="Residential",IF(L252&lt;='Assumptions and Catalog'!$C$50,L252*'Assumptions and Catalog'!$H$50+'Assumptions and Catalog'!$E$50+'Assumptions and Catalog'!$F$50,IF(L252&lt;='Assumptions and Catalog'!$C$51,L252*'Assumptions and Catalog'!$H$51+'Assumptions and Catalog'!$E$51+'Assumptions and Catalog'!$F$51,IF(L252&lt;='Assumptions and Catalog'!$C$52,L252*'Assumptions and Catalog'!$H$52+'Assumptions and Catalog'!$E$52+'Assumptions and Catalog'!$F$52,IF(L252&lt;='Assumptions and Catalog'!$C$53,L252*'Assumptions and Catalog'!$H$53+'Assumptions and Catalog'!$E$53+'Assumptions and Catalog'!$F$53,IF(L252&lt;='Assumptions and Catalog'!$C$54,L252*'Assumptions and Catalog'!$H$54+'Assumptions and Catalog'!$E$54+'Assumptions and Catalog'!$F$54,IF(L252&lt;='Assumptions and Catalog'!$C$55,L252*'Assumptions and Catalog'!$H$55+'Assumptions and Catalog'!$E$55+'Assumptions and Catalog'!$F$55,IF(L252&lt;='Assumptions and Catalog'!$C$56,L252*'Assumptions and Catalog'!$H$56+'Assumptions and Catalog'!$E$56+'Assumptions and Catalog'!$F$56,IF(L252&lt;='Assumptions and Catalog'!$C$57,L252*'Assumptions and Catalog'!$H$57+'Assumptions and Catalog'!$E$57+'Assumptions and Catalog'!$F$57,"Out of range")))))))),IF(L252&lt;='Assumptions and Catalog'!$C$60,L252*'Assumptions and Catalog'!$H$60+'Assumptions and Catalog'!$E$60+'Assumptions and Catalog'!$F$60,IF(L252&lt;='Assumptions and Catalog'!$C$61,L252*'Assumptions and Catalog'!$H$61+'Assumptions and Catalog'!$E$61+'Assumptions and Catalog'!$F$61,IF(L252&lt;='Assumptions and Catalog'!$C$62,L252*'Assumptions and Catalog'!$H$62+'Assumptions and Catalog'!$E$62+'Assumptions and Catalog'!$F$62,IF(L252&lt;='Assumptions and Catalog'!$C$63,L252*'Assumptions and Catalog'!$H$63+'Assumptions and Catalog'!$E$63+'Assumptions and Catalog'!$F$63,IF(L252&lt;='Assumptions and Catalog'!$C$64,L252*'Assumptions and Catalog'!$H$64+'Assumptions and Catalog'!$E$64+'Assumptions and Catalog'!$F$64,IF(L252&lt;='Assumptions and Catalog'!$C$65,L252*'Assumptions and Catalog'!$H$65+'Assumptions and Catalog'!$E$65+'Assumptions and Catalog'!$F$65,"Out of range")))))))))*(1+'Assumptions and Catalog'!$C$8)^(A252-1),0)</f>
        <v>5139.8110506220482</v>
      </c>
      <c r="O252" s="5">
        <f t="shared" si="18"/>
        <v>3415.1556160446189</v>
      </c>
      <c r="P252" s="5">
        <f>C$55*(1-J$14)*(1-'Assumptions and Catalog'!$C$23)^R252</f>
        <v>0</v>
      </c>
      <c r="Q252" s="5">
        <f>IF(ISNUMBER(Inputs!$L$5),(IF(Inputs!$L$9="Actual flat rate",((D252+E252)*C252-G252)*Inputs!$L$10,IF(Inputs!$C$9="Residential",IF(((D252+E252)*C252-G252)&lt;='Assumptions and Catalog'!$C$50,((D252+E252)*C252-G252)*'Assumptions and Catalog'!$H$50+'Assumptions and Catalog'!$E$50+'Assumptions and Catalog'!$F$50,IF(((D252+E252)*C252-G252)&lt;='Assumptions and Catalog'!$C$51,((D252+E252)*C252-G252)*'Assumptions and Catalog'!$H$51+'Assumptions and Catalog'!$E$51+'Assumptions and Catalog'!$F$51,IF(((D252+E252)*C252-G252)&lt;='Assumptions and Catalog'!$C$52,((D252+E252)*C252-G252)*'Assumptions and Catalog'!$H$52+'Assumptions and Catalog'!$E$52+'Assumptions and Catalog'!$F$52,IF(((D252+E252)*C252-G252)&lt;='Assumptions and Catalog'!$C$53,((D252+E252)*C252-G252)*'Assumptions and Catalog'!$H$53+'Assumptions and Catalog'!$E$53+'Assumptions and Catalog'!$F$53,IF(((D252+E252)*C252-G252)&lt;='Assumptions and Catalog'!$C$54,((D252+E252)*C252-G252)*'Assumptions and Catalog'!$H$54+'Assumptions and Catalog'!$E$54+'Assumptions and Catalog'!$F$54,IF(((D252+E252)*C252-G252)&lt;='Assumptions and Catalog'!$C$55,((D252+E252)*C252-G252)*'Assumptions and Catalog'!$H$55+'Assumptions and Catalog'!$E$55+'Assumptions and Catalog'!$F$55,IF(((D252+E252)*C252-G252)&lt;='Assumptions and Catalog'!$C$56,((D252+E252)*C252-G252)*'Assumptions and Catalog'!$H$56+'Assumptions and Catalog'!$E$56+'Assumptions and Catalog'!$F$56,IF(((D252+E252)*C252-G252)&lt;='Assumptions and Catalog'!$C$57,((D252+E252)*C252-G252)*'Assumptions and Catalog'!$H$57+'Assumptions and Catalog'!$E$57+'Assumptions and Catalog'!$F$57,"Out of range")))))))),IF(((D252+E252)*C252-G252)&lt;='Assumptions and Catalog'!$C$60,((D252+E252)*C252-G252)*'Assumptions and Catalog'!$H$60+'Assumptions and Catalog'!$E$60+'Assumptions and Catalog'!$F$60,IF(((D252+E252)*C252-G252)&lt;='Assumptions and Catalog'!$C$61,((D252+E252)*C252-G252)*'Assumptions and Catalog'!$H$61+'Assumptions and Catalog'!$E$61+'Assumptions and Catalog'!$F$61,IF(((D252+E252)*C252-G252)&lt;='Assumptions and Catalog'!$C$62,((D252+E252)*C252-G252)*'Assumptions and Catalog'!$H$62+'Assumptions and Catalog'!$E$62+'Assumptions and Catalog'!$F$62,IF(((D252+E252)*C252-G252)&lt;='Assumptions and Catalog'!$C$63,((D252+E252)*C252-G252)*'Assumptions and Catalog'!$H$63+'Assumptions and Catalog'!$E$63+'Assumptions and Catalog'!$F$63,IF(((D252+E252)*C252-G252)&lt;='Assumptions and Catalog'!$C$64,((D252+E252)*C252-G252)*'Assumptions and Catalog'!$H$64+'Assumptions and Catalog'!$E$64+'Assumptions and Catalog'!$F$64,IF(((D252+E252)*C252-G252)&lt;='Assumptions and Catalog'!$C$65,((D252+E252)*C252-G252)*'Assumptions and Catalog'!$H$65+'Assumptions and Catalog'!$E$65+'Assumptions and Catalog'!$F$65,"Out of range")))))))))*(1+'Assumptions and Catalog'!$C$8)^(A252-1),0)</f>
        <v>5139.8110506220482</v>
      </c>
      <c r="R252" s="5">
        <f>IF(AND('Assumptions and Catalog'!$C$19&gt;0,A252&gt;='Assumptions and Catalog'!$C$19),A252-'Assumptions and Catalog'!$C$19,A252-1)</f>
        <v>7</v>
      </c>
      <c r="S252" s="5">
        <f t="shared" si="19"/>
        <v>0</v>
      </c>
      <c r="T252" s="5"/>
      <c r="U252" s="5"/>
    </row>
    <row r="253" spans="1:21" ht="23.1" customHeight="1" outlineLevel="1" x14ac:dyDescent="0.2">
      <c r="A253" s="5">
        <v>8</v>
      </c>
      <c r="B253" s="5">
        <v>9</v>
      </c>
      <c r="C253" s="5">
        <f>DAY(DATE('Assumptions and Catalog'!$C$24+A253-1,B253+1,0))</f>
        <v>30</v>
      </c>
      <c r="D253" s="5">
        <f>IF(ISNUMBER(Inputs!$L$5),Inputs!$L$5*Inputs!$L$6,0)</f>
        <v>40.35</v>
      </c>
      <c r="E253" s="5">
        <f>IF(ISNUMBER(Inputs!$L$5),Inputs!$L$5-D253,0)</f>
        <v>40.35</v>
      </c>
      <c r="F253" s="5">
        <f>C$51*'Assumptions and Catalog'!$C$31*C253*(1-'Assumptions and Catalog'!$C$10)^(A253-1)</f>
        <v>966.46685704335789</v>
      </c>
      <c r="G253" s="5">
        <f t="shared" si="14"/>
        <v>966.46685704335789</v>
      </c>
      <c r="H253" s="5">
        <f>I253/('Assumptions and Catalog'!$C$11*'Assumptions and Catalog'!$C$12)</f>
        <v>0</v>
      </c>
      <c r="I253" s="5">
        <f>0</f>
        <v>0</v>
      </c>
      <c r="J253" s="5">
        <f t="shared" si="15"/>
        <v>0</v>
      </c>
      <c r="K253" s="5">
        <f t="shared" si="16"/>
        <v>0</v>
      </c>
      <c r="L253" s="5">
        <f t="shared" si="17"/>
        <v>1454.5331429566422</v>
      </c>
      <c r="M253" s="5">
        <f>IF(ISNUMBER(Inputs!$L$5),(IF(Inputs!$L$9="Actual flat rate",((D253+E253)*C253)*Inputs!$L$10,IF(Inputs!$C$9="Residential",IF(((D253+E253)*C253)&lt;='Assumptions and Catalog'!$C$50,((D253+E253)*C253)*'Assumptions and Catalog'!$H$50+'Assumptions and Catalog'!$E$50+'Assumptions and Catalog'!$F$50,IF(((D253+E253)*C253)&lt;='Assumptions and Catalog'!$C$51,((D253+E253)*C253)*'Assumptions and Catalog'!$H$51+'Assumptions and Catalog'!$E$51+'Assumptions and Catalog'!$F$51,IF(((D253+E253)*C253)&lt;='Assumptions and Catalog'!$C$52,((D253+E253)*C253)*'Assumptions and Catalog'!$H$52+'Assumptions and Catalog'!$E$52+'Assumptions and Catalog'!$F$52,IF(((D253+E253)*C253)&lt;='Assumptions and Catalog'!$C$53,((D253+E253)*C253)*'Assumptions and Catalog'!$H$53+'Assumptions and Catalog'!$E$53+'Assumptions and Catalog'!$F$53,IF(((D253+E253)*C253)&lt;='Assumptions and Catalog'!$C$54,((D253+E253)*C253)*'Assumptions and Catalog'!$H$54+'Assumptions and Catalog'!$E$54+'Assumptions and Catalog'!$F$54,IF(((D253+E253)*C253)&lt;='Assumptions and Catalog'!$C$55,((D253+E253)*C253)*'Assumptions and Catalog'!$H$55+'Assumptions and Catalog'!$E$55+'Assumptions and Catalog'!$F$55,IF(((D253+E253)*C253)&lt;='Assumptions and Catalog'!$C$56,((D253+E253)*C253)*'Assumptions and Catalog'!$H$56+'Assumptions and Catalog'!$E$56+'Assumptions and Catalog'!$F$56,IF(((D253+E253)*C253)&lt;='Assumptions and Catalog'!$C$57,((D253+E253)*C253)*'Assumptions and Catalog'!$H$57+'Assumptions and Catalog'!$E$57+'Assumptions and Catalog'!$F$57,"Out of range")))))))),IF(((D253+E253)*C253)&lt;='Assumptions and Catalog'!$C$60,((D253+E253)*C253)*'Assumptions and Catalog'!$H$60+'Assumptions and Catalog'!$E$60+'Assumptions and Catalog'!$F$60,IF(((D253+E253)*C253)&lt;='Assumptions and Catalog'!$C$61,((D253+E253)*C253)*'Assumptions and Catalog'!$H$61+'Assumptions and Catalog'!$E$61+'Assumptions and Catalog'!$F$61,IF(((D253+E253)*C253)&lt;='Assumptions and Catalog'!$C$62,((D253+E253)*C253)*'Assumptions and Catalog'!$H$62+'Assumptions and Catalog'!$E$62+'Assumptions and Catalog'!$F$62,IF(((D253+E253)*C253)&lt;='Assumptions and Catalog'!$C$63,((D253+E253)*C253)*'Assumptions and Catalog'!$H$63+'Assumptions and Catalog'!$E$63+'Assumptions and Catalog'!$F$63,IF(((D253+E253)*C253)&lt;='Assumptions and Catalog'!$C$64,((D253+E253)*C253)*'Assumptions and Catalog'!$H$64+'Assumptions and Catalog'!$E$64+'Assumptions and Catalog'!$F$64,IF(((D253+E253)*C253)&lt;='Assumptions and Catalog'!$C$65,((D253+E253)*C253)*'Assumptions and Catalog'!$H$65+'Assumptions and Catalog'!$E$65+'Assumptions and Catalog'!$F$65,"Out of range")))))))))*(1+'Assumptions and Catalog'!$C$8)^(A253-1),0)</f>
        <v>8279</v>
      </c>
      <c r="N253" s="5">
        <f>IF(ISNUMBER(Inputs!$L$5),(IF(Inputs!$L$9="Actual flat rate",L253*Inputs!$L$10,IF(Inputs!$C$9="Residential",IF(L253&lt;='Assumptions and Catalog'!$C$50,L253*'Assumptions and Catalog'!$H$50+'Assumptions and Catalog'!$E$50+'Assumptions and Catalog'!$F$50,IF(L253&lt;='Assumptions and Catalog'!$C$51,L253*'Assumptions and Catalog'!$H$51+'Assumptions and Catalog'!$E$51+'Assumptions and Catalog'!$F$51,IF(L253&lt;='Assumptions and Catalog'!$C$52,L253*'Assumptions and Catalog'!$H$52+'Assumptions and Catalog'!$E$52+'Assumptions and Catalog'!$F$52,IF(L253&lt;='Assumptions and Catalog'!$C$53,L253*'Assumptions and Catalog'!$H$53+'Assumptions and Catalog'!$E$53+'Assumptions and Catalog'!$F$53,IF(L253&lt;='Assumptions and Catalog'!$C$54,L253*'Assumptions and Catalog'!$H$54+'Assumptions and Catalog'!$E$54+'Assumptions and Catalog'!$F$54,IF(L253&lt;='Assumptions and Catalog'!$C$55,L253*'Assumptions and Catalog'!$H$55+'Assumptions and Catalog'!$E$55+'Assumptions and Catalog'!$F$55,IF(L253&lt;='Assumptions and Catalog'!$C$56,L253*'Assumptions and Catalog'!$H$56+'Assumptions and Catalog'!$E$56+'Assumptions and Catalog'!$F$56,IF(L253&lt;='Assumptions and Catalog'!$C$57,L253*'Assumptions and Catalog'!$H$57+'Assumptions and Catalog'!$E$57+'Assumptions and Catalog'!$F$57,"Out of range")))))))),IF(L253&lt;='Assumptions and Catalog'!$C$60,L253*'Assumptions and Catalog'!$H$60+'Assumptions and Catalog'!$E$60+'Assumptions and Catalog'!$F$60,IF(L253&lt;='Assumptions and Catalog'!$C$61,L253*'Assumptions and Catalog'!$H$61+'Assumptions and Catalog'!$E$61+'Assumptions and Catalog'!$F$61,IF(L253&lt;='Assumptions and Catalog'!$C$62,L253*'Assumptions and Catalog'!$H$62+'Assumptions and Catalog'!$E$62+'Assumptions and Catalog'!$F$62,IF(L253&lt;='Assumptions and Catalog'!$C$63,L253*'Assumptions and Catalog'!$H$63+'Assumptions and Catalog'!$E$63+'Assumptions and Catalog'!$F$63,IF(L253&lt;='Assumptions and Catalog'!$C$64,L253*'Assumptions and Catalog'!$H$64+'Assumptions and Catalog'!$E$64+'Assumptions and Catalog'!$F$64,IF(L253&lt;='Assumptions and Catalog'!$C$65,L253*'Assumptions and Catalog'!$H$65+'Assumptions and Catalog'!$E$65+'Assumptions and Catalog'!$F$65,"Out of range")))))))))*(1+'Assumptions and Catalog'!$C$8)^(A253-1),0)</f>
        <v>4974.0106941503682</v>
      </c>
      <c r="O253" s="5">
        <f t="shared" si="18"/>
        <v>3304.9893058496318</v>
      </c>
      <c r="P253" s="5">
        <f>C$55*(1-J$14)*(1-'Assumptions and Catalog'!$C$23)^R253</f>
        <v>0</v>
      </c>
      <c r="Q253" s="5">
        <f>IF(ISNUMBER(Inputs!$L$5),(IF(Inputs!$L$9="Actual flat rate",((D253+E253)*C253-G253)*Inputs!$L$10,IF(Inputs!$C$9="Residential",IF(((D253+E253)*C253-G253)&lt;='Assumptions and Catalog'!$C$50,((D253+E253)*C253-G253)*'Assumptions and Catalog'!$H$50+'Assumptions and Catalog'!$E$50+'Assumptions and Catalog'!$F$50,IF(((D253+E253)*C253-G253)&lt;='Assumptions and Catalog'!$C$51,((D253+E253)*C253-G253)*'Assumptions and Catalog'!$H$51+'Assumptions and Catalog'!$E$51+'Assumptions and Catalog'!$F$51,IF(((D253+E253)*C253-G253)&lt;='Assumptions and Catalog'!$C$52,((D253+E253)*C253-G253)*'Assumptions and Catalog'!$H$52+'Assumptions and Catalog'!$E$52+'Assumptions and Catalog'!$F$52,IF(((D253+E253)*C253-G253)&lt;='Assumptions and Catalog'!$C$53,((D253+E253)*C253-G253)*'Assumptions and Catalog'!$H$53+'Assumptions and Catalog'!$E$53+'Assumptions and Catalog'!$F$53,IF(((D253+E253)*C253-G253)&lt;='Assumptions and Catalog'!$C$54,((D253+E253)*C253-G253)*'Assumptions and Catalog'!$H$54+'Assumptions and Catalog'!$E$54+'Assumptions and Catalog'!$F$54,IF(((D253+E253)*C253-G253)&lt;='Assumptions and Catalog'!$C$55,((D253+E253)*C253-G253)*'Assumptions and Catalog'!$H$55+'Assumptions and Catalog'!$E$55+'Assumptions and Catalog'!$F$55,IF(((D253+E253)*C253-G253)&lt;='Assumptions and Catalog'!$C$56,((D253+E253)*C253-G253)*'Assumptions and Catalog'!$H$56+'Assumptions and Catalog'!$E$56+'Assumptions and Catalog'!$F$56,IF(((D253+E253)*C253-G253)&lt;='Assumptions and Catalog'!$C$57,((D253+E253)*C253-G253)*'Assumptions and Catalog'!$H$57+'Assumptions and Catalog'!$E$57+'Assumptions and Catalog'!$F$57,"Out of range")))))))),IF(((D253+E253)*C253-G253)&lt;='Assumptions and Catalog'!$C$60,((D253+E253)*C253-G253)*'Assumptions and Catalog'!$H$60+'Assumptions and Catalog'!$E$60+'Assumptions and Catalog'!$F$60,IF(((D253+E253)*C253-G253)&lt;='Assumptions and Catalog'!$C$61,((D253+E253)*C253-G253)*'Assumptions and Catalog'!$H$61+'Assumptions and Catalog'!$E$61+'Assumptions and Catalog'!$F$61,IF(((D253+E253)*C253-G253)&lt;='Assumptions and Catalog'!$C$62,((D253+E253)*C253-G253)*'Assumptions and Catalog'!$H$62+'Assumptions and Catalog'!$E$62+'Assumptions and Catalog'!$F$62,IF(((D253+E253)*C253-G253)&lt;='Assumptions and Catalog'!$C$63,((D253+E253)*C253-G253)*'Assumptions and Catalog'!$H$63+'Assumptions and Catalog'!$E$63+'Assumptions and Catalog'!$F$63,IF(((D253+E253)*C253-G253)&lt;='Assumptions and Catalog'!$C$64,((D253+E253)*C253-G253)*'Assumptions and Catalog'!$H$64+'Assumptions and Catalog'!$E$64+'Assumptions and Catalog'!$F$64,IF(((D253+E253)*C253-G253)&lt;='Assumptions and Catalog'!$C$65,((D253+E253)*C253-G253)*'Assumptions and Catalog'!$H$65+'Assumptions and Catalog'!$E$65+'Assumptions and Catalog'!$F$65,"Out of range")))))))))*(1+'Assumptions and Catalog'!$C$8)^(A253-1),0)</f>
        <v>4974.0106941503682</v>
      </c>
      <c r="R253" s="5">
        <f>IF(AND('Assumptions and Catalog'!$C$19&gt;0,A253&gt;='Assumptions and Catalog'!$C$19),A253-'Assumptions and Catalog'!$C$19,A253-1)</f>
        <v>7</v>
      </c>
      <c r="S253" s="5">
        <f t="shared" si="19"/>
        <v>0</v>
      </c>
      <c r="T253" s="5"/>
      <c r="U253" s="5"/>
    </row>
    <row r="254" spans="1:21" ht="23.1" customHeight="1" outlineLevel="1" x14ac:dyDescent="0.2">
      <c r="A254" s="5">
        <v>8</v>
      </c>
      <c r="B254" s="5">
        <v>10</v>
      </c>
      <c r="C254" s="5">
        <f>DAY(DATE('Assumptions and Catalog'!$C$24+A254-1,B254+1,0))</f>
        <v>31</v>
      </c>
      <c r="D254" s="5">
        <f>IF(ISNUMBER(Inputs!$L$5),Inputs!$L$5*Inputs!$L$6,0)</f>
        <v>40.35</v>
      </c>
      <c r="E254" s="5">
        <f>IF(ISNUMBER(Inputs!$L$5),Inputs!$L$5-D254,0)</f>
        <v>40.35</v>
      </c>
      <c r="F254" s="5">
        <f>C$51*'Assumptions and Catalog'!$C$31*C254*(1-'Assumptions and Catalog'!$C$10)^(A254-1)</f>
        <v>998.68241894480309</v>
      </c>
      <c r="G254" s="5">
        <f t="shared" si="14"/>
        <v>998.68241894480309</v>
      </c>
      <c r="H254" s="5">
        <f>I254/('Assumptions and Catalog'!$C$11*'Assumptions and Catalog'!$C$12)</f>
        <v>0</v>
      </c>
      <c r="I254" s="5">
        <f>0</f>
        <v>0</v>
      </c>
      <c r="J254" s="5">
        <f t="shared" si="15"/>
        <v>0</v>
      </c>
      <c r="K254" s="5">
        <f t="shared" si="16"/>
        <v>0</v>
      </c>
      <c r="L254" s="5">
        <f t="shared" si="17"/>
        <v>1503.0175810551973</v>
      </c>
      <c r="M254" s="5">
        <f>IF(ISNUMBER(Inputs!$L$5),(IF(Inputs!$L$9="Actual flat rate",((D254+E254)*C254)*Inputs!$L$10,IF(Inputs!$C$9="Residential",IF(((D254+E254)*C254)&lt;='Assumptions and Catalog'!$C$50,((D254+E254)*C254)*'Assumptions and Catalog'!$H$50+'Assumptions and Catalog'!$E$50+'Assumptions and Catalog'!$F$50,IF(((D254+E254)*C254)&lt;='Assumptions and Catalog'!$C$51,((D254+E254)*C254)*'Assumptions and Catalog'!$H$51+'Assumptions and Catalog'!$E$51+'Assumptions and Catalog'!$F$51,IF(((D254+E254)*C254)&lt;='Assumptions and Catalog'!$C$52,((D254+E254)*C254)*'Assumptions and Catalog'!$H$52+'Assumptions and Catalog'!$E$52+'Assumptions and Catalog'!$F$52,IF(((D254+E254)*C254)&lt;='Assumptions and Catalog'!$C$53,((D254+E254)*C254)*'Assumptions and Catalog'!$H$53+'Assumptions and Catalog'!$E$53+'Assumptions and Catalog'!$F$53,IF(((D254+E254)*C254)&lt;='Assumptions and Catalog'!$C$54,((D254+E254)*C254)*'Assumptions and Catalog'!$H$54+'Assumptions and Catalog'!$E$54+'Assumptions and Catalog'!$F$54,IF(((D254+E254)*C254)&lt;='Assumptions and Catalog'!$C$55,((D254+E254)*C254)*'Assumptions and Catalog'!$H$55+'Assumptions and Catalog'!$E$55+'Assumptions and Catalog'!$F$55,IF(((D254+E254)*C254)&lt;='Assumptions and Catalog'!$C$56,((D254+E254)*C254)*'Assumptions and Catalog'!$H$56+'Assumptions and Catalog'!$E$56+'Assumptions and Catalog'!$F$56,IF(((D254+E254)*C254)&lt;='Assumptions and Catalog'!$C$57,((D254+E254)*C254)*'Assumptions and Catalog'!$H$57+'Assumptions and Catalog'!$E$57+'Assumptions and Catalog'!$F$57,"Out of range")))))))),IF(((D254+E254)*C254)&lt;='Assumptions and Catalog'!$C$60,((D254+E254)*C254)*'Assumptions and Catalog'!$H$60+'Assumptions and Catalog'!$E$60+'Assumptions and Catalog'!$F$60,IF(((D254+E254)*C254)&lt;='Assumptions and Catalog'!$C$61,((D254+E254)*C254)*'Assumptions and Catalog'!$H$61+'Assumptions and Catalog'!$E$61+'Assumptions and Catalog'!$F$61,IF(((D254+E254)*C254)&lt;='Assumptions and Catalog'!$C$62,((D254+E254)*C254)*'Assumptions and Catalog'!$H$62+'Assumptions and Catalog'!$E$62+'Assumptions and Catalog'!$F$62,IF(((D254+E254)*C254)&lt;='Assumptions and Catalog'!$C$63,((D254+E254)*C254)*'Assumptions and Catalog'!$H$63+'Assumptions and Catalog'!$E$63+'Assumptions and Catalog'!$F$63,IF(((D254+E254)*C254)&lt;='Assumptions and Catalog'!$C$64,((D254+E254)*C254)*'Assumptions and Catalog'!$H$64+'Assumptions and Catalog'!$E$64+'Assumptions and Catalog'!$F$64,IF(((D254+E254)*C254)&lt;='Assumptions and Catalog'!$C$65,((D254+E254)*C254)*'Assumptions and Catalog'!$H$65+'Assumptions and Catalog'!$E$65+'Assumptions and Catalog'!$F$65,"Out of range")))))))))*(1+'Assumptions and Catalog'!$C$8)^(A254-1),0)</f>
        <v>8554.9666666666672</v>
      </c>
      <c r="N254" s="5">
        <f>IF(ISNUMBER(Inputs!$L$5),(IF(Inputs!$L$9="Actual flat rate",L254*Inputs!$L$10,IF(Inputs!$C$9="Residential",IF(L254&lt;='Assumptions and Catalog'!$C$50,L254*'Assumptions and Catalog'!$H$50+'Assumptions and Catalog'!$E$50+'Assumptions and Catalog'!$F$50,IF(L254&lt;='Assumptions and Catalog'!$C$51,L254*'Assumptions and Catalog'!$H$51+'Assumptions and Catalog'!$E$51+'Assumptions and Catalog'!$F$51,IF(L254&lt;='Assumptions and Catalog'!$C$52,L254*'Assumptions and Catalog'!$H$52+'Assumptions and Catalog'!$E$52+'Assumptions and Catalog'!$F$52,IF(L254&lt;='Assumptions and Catalog'!$C$53,L254*'Assumptions and Catalog'!$H$53+'Assumptions and Catalog'!$E$53+'Assumptions and Catalog'!$F$53,IF(L254&lt;='Assumptions and Catalog'!$C$54,L254*'Assumptions and Catalog'!$H$54+'Assumptions and Catalog'!$E$54+'Assumptions and Catalog'!$F$54,IF(L254&lt;='Assumptions and Catalog'!$C$55,L254*'Assumptions and Catalog'!$H$55+'Assumptions and Catalog'!$E$55+'Assumptions and Catalog'!$F$55,IF(L254&lt;='Assumptions and Catalog'!$C$56,L254*'Assumptions and Catalog'!$H$56+'Assumptions and Catalog'!$E$56+'Assumptions and Catalog'!$F$56,IF(L254&lt;='Assumptions and Catalog'!$C$57,L254*'Assumptions and Catalog'!$H$57+'Assumptions and Catalog'!$E$57+'Assumptions and Catalog'!$F$57,"Out of range")))))))),IF(L254&lt;='Assumptions and Catalog'!$C$60,L254*'Assumptions and Catalog'!$H$60+'Assumptions and Catalog'!$E$60+'Assumptions and Catalog'!$F$60,IF(L254&lt;='Assumptions and Catalog'!$C$61,L254*'Assumptions and Catalog'!$H$61+'Assumptions and Catalog'!$E$61+'Assumptions and Catalog'!$F$61,IF(L254&lt;='Assumptions and Catalog'!$C$62,L254*'Assumptions and Catalog'!$H$62+'Assumptions and Catalog'!$E$62+'Assumptions and Catalog'!$F$62,IF(L254&lt;='Assumptions and Catalog'!$C$63,L254*'Assumptions and Catalog'!$H$63+'Assumptions and Catalog'!$E$63+'Assumptions and Catalog'!$F$63,IF(L254&lt;='Assumptions and Catalog'!$C$64,L254*'Assumptions and Catalog'!$H$64+'Assumptions and Catalog'!$E$64+'Assumptions and Catalog'!$F$64,IF(L254&lt;='Assumptions and Catalog'!$C$65,L254*'Assumptions and Catalog'!$H$65+'Assumptions and Catalog'!$E$65+'Assumptions and Catalog'!$F$65,"Out of range")))))))))*(1+'Assumptions and Catalog'!$C$8)^(A254-1),0)</f>
        <v>5139.8110506220482</v>
      </c>
      <c r="O254" s="5">
        <f t="shared" si="18"/>
        <v>3415.1556160446189</v>
      </c>
      <c r="P254" s="5">
        <f>C$55*(1-J$14)*(1-'Assumptions and Catalog'!$C$23)^R254</f>
        <v>0</v>
      </c>
      <c r="Q254" s="5">
        <f>IF(ISNUMBER(Inputs!$L$5),(IF(Inputs!$L$9="Actual flat rate",((D254+E254)*C254-G254)*Inputs!$L$10,IF(Inputs!$C$9="Residential",IF(((D254+E254)*C254-G254)&lt;='Assumptions and Catalog'!$C$50,((D254+E254)*C254-G254)*'Assumptions and Catalog'!$H$50+'Assumptions and Catalog'!$E$50+'Assumptions and Catalog'!$F$50,IF(((D254+E254)*C254-G254)&lt;='Assumptions and Catalog'!$C$51,((D254+E254)*C254-G254)*'Assumptions and Catalog'!$H$51+'Assumptions and Catalog'!$E$51+'Assumptions and Catalog'!$F$51,IF(((D254+E254)*C254-G254)&lt;='Assumptions and Catalog'!$C$52,((D254+E254)*C254-G254)*'Assumptions and Catalog'!$H$52+'Assumptions and Catalog'!$E$52+'Assumptions and Catalog'!$F$52,IF(((D254+E254)*C254-G254)&lt;='Assumptions and Catalog'!$C$53,((D254+E254)*C254-G254)*'Assumptions and Catalog'!$H$53+'Assumptions and Catalog'!$E$53+'Assumptions and Catalog'!$F$53,IF(((D254+E254)*C254-G254)&lt;='Assumptions and Catalog'!$C$54,((D254+E254)*C254-G254)*'Assumptions and Catalog'!$H$54+'Assumptions and Catalog'!$E$54+'Assumptions and Catalog'!$F$54,IF(((D254+E254)*C254-G254)&lt;='Assumptions and Catalog'!$C$55,((D254+E254)*C254-G254)*'Assumptions and Catalog'!$H$55+'Assumptions and Catalog'!$E$55+'Assumptions and Catalog'!$F$55,IF(((D254+E254)*C254-G254)&lt;='Assumptions and Catalog'!$C$56,((D254+E254)*C254-G254)*'Assumptions and Catalog'!$H$56+'Assumptions and Catalog'!$E$56+'Assumptions and Catalog'!$F$56,IF(((D254+E254)*C254-G254)&lt;='Assumptions and Catalog'!$C$57,((D254+E254)*C254-G254)*'Assumptions and Catalog'!$H$57+'Assumptions and Catalog'!$E$57+'Assumptions and Catalog'!$F$57,"Out of range")))))))),IF(((D254+E254)*C254-G254)&lt;='Assumptions and Catalog'!$C$60,((D254+E254)*C254-G254)*'Assumptions and Catalog'!$H$60+'Assumptions and Catalog'!$E$60+'Assumptions and Catalog'!$F$60,IF(((D254+E254)*C254-G254)&lt;='Assumptions and Catalog'!$C$61,((D254+E254)*C254-G254)*'Assumptions and Catalog'!$H$61+'Assumptions and Catalog'!$E$61+'Assumptions and Catalog'!$F$61,IF(((D254+E254)*C254-G254)&lt;='Assumptions and Catalog'!$C$62,((D254+E254)*C254-G254)*'Assumptions and Catalog'!$H$62+'Assumptions and Catalog'!$E$62+'Assumptions and Catalog'!$F$62,IF(((D254+E254)*C254-G254)&lt;='Assumptions and Catalog'!$C$63,((D254+E254)*C254-G254)*'Assumptions and Catalog'!$H$63+'Assumptions and Catalog'!$E$63+'Assumptions and Catalog'!$F$63,IF(((D254+E254)*C254-G254)&lt;='Assumptions and Catalog'!$C$64,((D254+E254)*C254-G254)*'Assumptions and Catalog'!$H$64+'Assumptions and Catalog'!$E$64+'Assumptions and Catalog'!$F$64,IF(((D254+E254)*C254-G254)&lt;='Assumptions and Catalog'!$C$65,((D254+E254)*C254-G254)*'Assumptions and Catalog'!$H$65+'Assumptions and Catalog'!$E$65+'Assumptions and Catalog'!$F$65,"Out of range")))))))))*(1+'Assumptions and Catalog'!$C$8)^(A254-1),0)</f>
        <v>5139.8110506220482</v>
      </c>
      <c r="R254" s="5">
        <f>IF(AND('Assumptions and Catalog'!$C$19&gt;0,A254&gt;='Assumptions and Catalog'!$C$19),A254-'Assumptions and Catalog'!$C$19,A254-1)</f>
        <v>7</v>
      </c>
      <c r="S254" s="5">
        <f t="shared" si="19"/>
        <v>0</v>
      </c>
      <c r="T254" s="5"/>
      <c r="U254" s="5"/>
    </row>
    <row r="255" spans="1:21" ht="23.1" customHeight="1" outlineLevel="1" x14ac:dyDescent="0.2">
      <c r="A255" s="5">
        <v>8</v>
      </c>
      <c r="B255" s="5">
        <v>11</v>
      </c>
      <c r="C255" s="5">
        <f>DAY(DATE('Assumptions and Catalog'!$C$24+A255-1,B255+1,0))</f>
        <v>30</v>
      </c>
      <c r="D255" s="5">
        <f>IF(ISNUMBER(Inputs!$L$5),Inputs!$L$5*Inputs!$L$6,0)</f>
        <v>40.35</v>
      </c>
      <c r="E255" s="5">
        <f>IF(ISNUMBER(Inputs!$L$5),Inputs!$L$5-D255,0)</f>
        <v>40.35</v>
      </c>
      <c r="F255" s="5">
        <f>C$51*'Assumptions and Catalog'!$C$31*C255*(1-'Assumptions and Catalog'!$C$10)^(A255-1)</f>
        <v>966.46685704335789</v>
      </c>
      <c r="G255" s="5">
        <f t="shared" si="14"/>
        <v>966.46685704335789</v>
      </c>
      <c r="H255" s="5">
        <f>I255/('Assumptions and Catalog'!$C$11*'Assumptions and Catalog'!$C$12)</f>
        <v>0</v>
      </c>
      <c r="I255" s="5">
        <f>0</f>
        <v>0</v>
      </c>
      <c r="J255" s="5">
        <f t="shared" si="15"/>
        <v>0</v>
      </c>
      <c r="K255" s="5">
        <f t="shared" si="16"/>
        <v>0</v>
      </c>
      <c r="L255" s="5">
        <f t="shared" si="17"/>
        <v>1454.5331429566422</v>
      </c>
      <c r="M255" s="5">
        <f>IF(ISNUMBER(Inputs!$L$5),(IF(Inputs!$L$9="Actual flat rate",((D255+E255)*C255)*Inputs!$L$10,IF(Inputs!$C$9="Residential",IF(((D255+E255)*C255)&lt;='Assumptions and Catalog'!$C$50,((D255+E255)*C255)*'Assumptions and Catalog'!$H$50+'Assumptions and Catalog'!$E$50+'Assumptions and Catalog'!$F$50,IF(((D255+E255)*C255)&lt;='Assumptions and Catalog'!$C$51,((D255+E255)*C255)*'Assumptions and Catalog'!$H$51+'Assumptions and Catalog'!$E$51+'Assumptions and Catalog'!$F$51,IF(((D255+E255)*C255)&lt;='Assumptions and Catalog'!$C$52,((D255+E255)*C255)*'Assumptions and Catalog'!$H$52+'Assumptions and Catalog'!$E$52+'Assumptions and Catalog'!$F$52,IF(((D255+E255)*C255)&lt;='Assumptions and Catalog'!$C$53,((D255+E255)*C255)*'Assumptions and Catalog'!$H$53+'Assumptions and Catalog'!$E$53+'Assumptions and Catalog'!$F$53,IF(((D255+E255)*C255)&lt;='Assumptions and Catalog'!$C$54,((D255+E255)*C255)*'Assumptions and Catalog'!$H$54+'Assumptions and Catalog'!$E$54+'Assumptions and Catalog'!$F$54,IF(((D255+E255)*C255)&lt;='Assumptions and Catalog'!$C$55,((D255+E255)*C255)*'Assumptions and Catalog'!$H$55+'Assumptions and Catalog'!$E$55+'Assumptions and Catalog'!$F$55,IF(((D255+E255)*C255)&lt;='Assumptions and Catalog'!$C$56,((D255+E255)*C255)*'Assumptions and Catalog'!$H$56+'Assumptions and Catalog'!$E$56+'Assumptions and Catalog'!$F$56,IF(((D255+E255)*C255)&lt;='Assumptions and Catalog'!$C$57,((D255+E255)*C255)*'Assumptions and Catalog'!$H$57+'Assumptions and Catalog'!$E$57+'Assumptions and Catalog'!$F$57,"Out of range")))))))),IF(((D255+E255)*C255)&lt;='Assumptions and Catalog'!$C$60,((D255+E255)*C255)*'Assumptions and Catalog'!$H$60+'Assumptions and Catalog'!$E$60+'Assumptions and Catalog'!$F$60,IF(((D255+E255)*C255)&lt;='Assumptions and Catalog'!$C$61,((D255+E255)*C255)*'Assumptions and Catalog'!$H$61+'Assumptions and Catalog'!$E$61+'Assumptions and Catalog'!$F$61,IF(((D255+E255)*C255)&lt;='Assumptions and Catalog'!$C$62,((D255+E255)*C255)*'Assumptions and Catalog'!$H$62+'Assumptions and Catalog'!$E$62+'Assumptions and Catalog'!$F$62,IF(((D255+E255)*C255)&lt;='Assumptions and Catalog'!$C$63,((D255+E255)*C255)*'Assumptions and Catalog'!$H$63+'Assumptions and Catalog'!$E$63+'Assumptions and Catalog'!$F$63,IF(((D255+E255)*C255)&lt;='Assumptions and Catalog'!$C$64,((D255+E255)*C255)*'Assumptions and Catalog'!$H$64+'Assumptions and Catalog'!$E$64+'Assumptions and Catalog'!$F$64,IF(((D255+E255)*C255)&lt;='Assumptions and Catalog'!$C$65,((D255+E255)*C255)*'Assumptions and Catalog'!$H$65+'Assumptions and Catalog'!$E$65+'Assumptions and Catalog'!$F$65,"Out of range")))))))))*(1+'Assumptions and Catalog'!$C$8)^(A255-1),0)</f>
        <v>8279</v>
      </c>
      <c r="N255" s="5">
        <f>IF(ISNUMBER(Inputs!$L$5),(IF(Inputs!$L$9="Actual flat rate",L255*Inputs!$L$10,IF(Inputs!$C$9="Residential",IF(L255&lt;='Assumptions and Catalog'!$C$50,L255*'Assumptions and Catalog'!$H$50+'Assumptions and Catalog'!$E$50+'Assumptions and Catalog'!$F$50,IF(L255&lt;='Assumptions and Catalog'!$C$51,L255*'Assumptions and Catalog'!$H$51+'Assumptions and Catalog'!$E$51+'Assumptions and Catalog'!$F$51,IF(L255&lt;='Assumptions and Catalog'!$C$52,L255*'Assumptions and Catalog'!$H$52+'Assumptions and Catalog'!$E$52+'Assumptions and Catalog'!$F$52,IF(L255&lt;='Assumptions and Catalog'!$C$53,L255*'Assumptions and Catalog'!$H$53+'Assumptions and Catalog'!$E$53+'Assumptions and Catalog'!$F$53,IF(L255&lt;='Assumptions and Catalog'!$C$54,L255*'Assumptions and Catalog'!$H$54+'Assumptions and Catalog'!$E$54+'Assumptions and Catalog'!$F$54,IF(L255&lt;='Assumptions and Catalog'!$C$55,L255*'Assumptions and Catalog'!$H$55+'Assumptions and Catalog'!$E$55+'Assumptions and Catalog'!$F$55,IF(L255&lt;='Assumptions and Catalog'!$C$56,L255*'Assumptions and Catalog'!$H$56+'Assumptions and Catalog'!$E$56+'Assumptions and Catalog'!$F$56,IF(L255&lt;='Assumptions and Catalog'!$C$57,L255*'Assumptions and Catalog'!$H$57+'Assumptions and Catalog'!$E$57+'Assumptions and Catalog'!$F$57,"Out of range")))))))),IF(L255&lt;='Assumptions and Catalog'!$C$60,L255*'Assumptions and Catalog'!$H$60+'Assumptions and Catalog'!$E$60+'Assumptions and Catalog'!$F$60,IF(L255&lt;='Assumptions and Catalog'!$C$61,L255*'Assumptions and Catalog'!$H$61+'Assumptions and Catalog'!$E$61+'Assumptions and Catalog'!$F$61,IF(L255&lt;='Assumptions and Catalog'!$C$62,L255*'Assumptions and Catalog'!$H$62+'Assumptions and Catalog'!$E$62+'Assumptions and Catalog'!$F$62,IF(L255&lt;='Assumptions and Catalog'!$C$63,L255*'Assumptions and Catalog'!$H$63+'Assumptions and Catalog'!$E$63+'Assumptions and Catalog'!$F$63,IF(L255&lt;='Assumptions and Catalog'!$C$64,L255*'Assumptions and Catalog'!$H$64+'Assumptions and Catalog'!$E$64+'Assumptions and Catalog'!$F$64,IF(L255&lt;='Assumptions and Catalog'!$C$65,L255*'Assumptions and Catalog'!$H$65+'Assumptions and Catalog'!$E$65+'Assumptions and Catalog'!$F$65,"Out of range")))))))))*(1+'Assumptions and Catalog'!$C$8)^(A255-1),0)</f>
        <v>4974.0106941503682</v>
      </c>
      <c r="O255" s="5">
        <f t="shared" si="18"/>
        <v>3304.9893058496318</v>
      </c>
      <c r="P255" s="5">
        <f>C$55*(1-J$14)*(1-'Assumptions and Catalog'!$C$23)^R255</f>
        <v>0</v>
      </c>
      <c r="Q255" s="5">
        <f>IF(ISNUMBER(Inputs!$L$5),(IF(Inputs!$L$9="Actual flat rate",((D255+E255)*C255-G255)*Inputs!$L$10,IF(Inputs!$C$9="Residential",IF(((D255+E255)*C255-G255)&lt;='Assumptions and Catalog'!$C$50,((D255+E255)*C255-G255)*'Assumptions and Catalog'!$H$50+'Assumptions and Catalog'!$E$50+'Assumptions and Catalog'!$F$50,IF(((D255+E255)*C255-G255)&lt;='Assumptions and Catalog'!$C$51,((D255+E255)*C255-G255)*'Assumptions and Catalog'!$H$51+'Assumptions and Catalog'!$E$51+'Assumptions and Catalog'!$F$51,IF(((D255+E255)*C255-G255)&lt;='Assumptions and Catalog'!$C$52,((D255+E255)*C255-G255)*'Assumptions and Catalog'!$H$52+'Assumptions and Catalog'!$E$52+'Assumptions and Catalog'!$F$52,IF(((D255+E255)*C255-G255)&lt;='Assumptions and Catalog'!$C$53,((D255+E255)*C255-G255)*'Assumptions and Catalog'!$H$53+'Assumptions and Catalog'!$E$53+'Assumptions and Catalog'!$F$53,IF(((D255+E255)*C255-G255)&lt;='Assumptions and Catalog'!$C$54,((D255+E255)*C255-G255)*'Assumptions and Catalog'!$H$54+'Assumptions and Catalog'!$E$54+'Assumptions and Catalog'!$F$54,IF(((D255+E255)*C255-G255)&lt;='Assumptions and Catalog'!$C$55,((D255+E255)*C255-G255)*'Assumptions and Catalog'!$H$55+'Assumptions and Catalog'!$E$55+'Assumptions and Catalog'!$F$55,IF(((D255+E255)*C255-G255)&lt;='Assumptions and Catalog'!$C$56,((D255+E255)*C255-G255)*'Assumptions and Catalog'!$H$56+'Assumptions and Catalog'!$E$56+'Assumptions and Catalog'!$F$56,IF(((D255+E255)*C255-G255)&lt;='Assumptions and Catalog'!$C$57,((D255+E255)*C255-G255)*'Assumptions and Catalog'!$H$57+'Assumptions and Catalog'!$E$57+'Assumptions and Catalog'!$F$57,"Out of range")))))))),IF(((D255+E255)*C255-G255)&lt;='Assumptions and Catalog'!$C$60,((D255+E255)*C255-G255)*'Assumptions and Catalog'!$H$60+'Assumptions and Catalog'!$E$60+'Assumptions and Catalog'!$F$60,IF(((D255+E255)*C255-G255)&lt;='Assumptions and Catalog'!$C$61,((D255+E255)*C255-G255)*'Assumptions and Catalog'!$H$61+'Assumptions and Catalog'!$E$61+'Assumptions and Catalog'!$F$61,IF(((D255+E255)*C255-G255)&lt;='Assumptions and Catalog'!$C$62,((D255+E255)*C255-G255)*'Assumptions and Catalog'!$H$62+'Assumptions and Catalog'!$E$62+'Assumptions and Catalog'!$F$62,IF(((D255+E255)*C255-G255)&lt;='Assumptions and Catalog'!$C$63,((D255+E255)*C255-G255)*'Assumptions and Catalog'!$H$63+'Assumptions and Catalog'!$E$63+'Assumptions and Catalog'!$F$63,IF(((D255+E255)*C255-G255)&lt;='Assumptions and Catalog'!$C$64,((D255+E255)*C255-G255)*'Assumptions and Catalog'!$H$64+'Assumptions and Catalog'!$E$64+'Assumptions and Catalog'!$F$64,IF(((D255+E255)*C255-G255)&lt;='Assumptions and Catalog'!$C$65,((D255+E255)*C255-G255)*'Assumptions and Catalog'!$H$65+'Assumptions and Catalog'!$E$65+'Assumptions and Catalog'!$F$65,"Out of range")))))))))*(1+'Assumptions and Catalog'!$C$8)^(A255-1),0)</f>
        <v>4974.0106941503682</v>
      </c>
      <c r="R255" s="5">
        <f>IF(AND('Assumptions and Catalog'!$C$19&gt;0,A255&gt;='Assumptions and Catalog'!$C$19),A255-'Assumptions and Catalog'!$C$19,A255-1)</f>
        <v>7</v>
      </c>
      <c r="S255" s="5">
        <f t="shared" si="19"/>
        <v>0</v>
      </c>
      <c r="T255" s="5"/>
      <c r="U255" s="5"/>
    </row>
    <row r="256" spans="1:21" ht="23.1" customHeight="1" outlineLevel="1" x14ac:dyDescent="0.2">
      <c r="A256" s="5">
        <v>8</v>
      </c>
      <c r="B256" s="5">
        <v>12</v>
      </c>
      <c r="C256" s="5">
        <f>DAY(DATE('Assumptions and Catalog'!$C$24+A256-1,B256+1,0))</f>
        <v>31</v>
      </c>
      <c r="D256" s="5">
        <f>IF(ISNUMBER(Inputs!$L$5),Inputs!$L$5*Inputs!$L$6,0)</f>
        <v>40.35</v>
      </c>
      <c r="E256" s="5">
        <f>IF(ISNUMBER(Inputs!$L$5),Inputs!$L$5-D256,0)</f>
        <v>40.35</v>
      </c>
      <c r="F256" s="5">
        <f>C$51*'Assumptions and Catalog'!$C$31*C256*(1-'Assumptions and Catalog'!$C$10)^(A256-1)</f>
        <v>998.68241894480309</v>
      </c>
      <c r="G256" s="5">
        <f t="shared" si="14"/>
        <v>998.68241894480309</v>
      </c>
      <c r="H256" s="5">
        <f>I256/('Assumptions and Catalog'!$C$11*'Assumptions and Catalog'!$C$12)</f>
        <v>0</v>
      </c>
      <c r="I256" s="5">
        <f>0</f>
        <v>0</v>
      </c>
      <c r="J256" s="5">
        <f t="shared" si="15"/>
        <v>0</v>
      </c>
      <c r="K256" s="5">
        <f t="shared" si="16"/>
        <v>0</v>
      </c>
      <c r="L256" s="5">
        <f t="shared" si="17"/>
        <v>1503.0175810551973</v>
      </c>
      <c r="M256" s="5">
        <f>IF(ISNUMBER(Inputs!$L$5),(IF(Inputs!$L$9="Actual flat rate",((D256+E256)*C256)*Inputs!$L$10,IF(Inputs!$C$9="Residential",IF(((D256+E256)*C256)&lt;='Assumptions and Catalog'!$C$50,((D256+E256)*C256)*'Assumptions and Catalog'!$H$50+'Assumptions and Catalog'!$E$50+'Assumptions and Catalog'!$F$50,IF(((D256+E256)*C256)&lt;='Assumptions and Catalog'!$C$51,((D256+E256)*C256)*'Assumptions and Catalog'!$H$51+'Assumptions and Catalog'!$E$51+'Assumptions and Catalog'!$F$51,IF(((D256+E256)*C256)&lt;='Assumptions and Catalog'!$C$52,((D256+E256)*C256)*'Assumptions and Catalog'!$H$52+'Assumptions and Catalog'!$E$52+'Assumptions and Catalog'!$F$52,IF(((D256+E256)*C256)&lt;='Assumptions and Catalog'!$C$53,((D256+E256)*C256)*'Assumptions and Catalog'!$H$53+'Assumptions and Catalog'!$E$53+'Assumptions and Catalog'!$F$53,IF(((D256+E256)*C256)&lt;='Assumptions and Catalog'!$C$54,((D256+E256)*C256)*'Assumptions and Catalog'!$H$54+'Assumptions and Catalog'!$E$54+'Assumptions and Catalog'!$F$54,IF(((D256+E256)*C256)&lt;='Assumptions and Catalog'!$C$55,((D256+E256)*C256)*'Assumptions and Catalog'!$H$55+'Assumptions and Catalog'!$E$55+'Assumptions and Catalog'!$F$55,IF(((D256+E256)*C256)&lt;='Assumptions and Catalog'!$C$56,((D256+E256)*C256)*'Assumptions and Catalog'!$H$56+'Assumptions and Catalog'!$E$56+'Assumptions and Catalog'!$F$56,IF(((D256+E256)*C256)&lt;='Assumptions and Catalog'!$C$57,((D256+E256)*C256)*'Assumptions and Catalog'!$H$57+'Assumptions and Catalog'!$E$57+'Assumptions and Catalog'!$F$57,"Out of range")))))))),IF(((D256+E256)*C256)&lt;='Assumptions and Catalog'!$C$60,((D256+E256)*C256)*'Assumptions and Catalog'!$H$60+'Assumptions and Catalog'!$E$60+'Assumptions and Catalog'!$F$60,IF(((D256+E256)*C256)&lt;='Assumptions and Catalog'!$C$61,((D256+E256)*C256)*'Assumptions and Catalog'!$H$61+'Assumptions and Catalog'!$E$61+'Assumptions and Catalog'!$F$61,IF(((D256+E256)*C256)&lt;='Assumptions and Catalog'!$C$62,((D256+E256)*C256)*'Assumptions and Catalog'!$H$62+'Assumptions and Catalog'!$E$62+'Assumptions and Catalog'!$F$62,IF(((D256+E256)*C256)&lt;='Assumptions and Catalog'!$C$63,((D256+E256)*C256)*'Assumptions and Catalog'!$H$63+'Assumptions and Catalog'!$E$63+'Assumptions and Catalog'!$F$63,IF(((D256+E256)*C256)&lt;='Assumptions and Catalog'!$C$64,((D256+E256)*C256)*'Assumptions and Catalog'!$H$64+'Assumptions and Catalog'!$E$64+'Assumptions and Catalog'!$F$64,IF(((D256+E256)*C256)&lt;='Assumptions and Catalog'!$C$65,((D256+E256)*C256)*'Assumptions and Catalog'!$H$65+'Assumptions and Catalog'!$E$65+'Assumptions and Catalog'!$F$65,"Out of range")))))))))*(1+'Assumptions and Catalog'!$C$8)^(A256-1),0)</f>
        <v>8554.9666666666672</v>
      </c>
      <c r="N256" s="5">
        <f>IF(ISNUMBER(Inputs!$L$5),(IF(Inputs!$L$9="Actual flat rate",L256*Inputs!$L$10,IF(Inputs!$C$9="Residential",IF(L256&lt;='Assumptions and Catalog'!$C$50,L256*'Assumptions and Catalog'!$H$50+'Assumptions and Catalog'!$E$50+'Assumptions and Catalog'!$F$50,IF(L256&lt;='Assumptions and Catalog'!$C$51,L256*'Assumptions and Catalog'!$H$51+'Assumptions and Catalog'!$E$51+'Assumptions and Catalog'!$F$51,IF(L256&lt;='Assumptions and Catalog'!$C$52,L256*'Assumptions and Catalog'!$H$52+'Assumptions and Catalog'!$E$52+'Assumptions and Catalog'!$F$52,IF(L256&lt;='Assumptions and Catalog'!$C$53,L256*'Assumptions and Catalog'!$H$53+'Assumptions and Catalog'!$E$53+'Assumptions and Catalog'!$F$53,IF(L256&lt;='Assumptions and Catalog'!$C$54,L256*'Assumptions and Catalog'!$H$54+'Assumptions and Catalog'!$E$54+'Assumptions and Catalog'!$F$54,IF(L256&lt;='Assumptions and Catalog'!$C$55,L256*'Assumptions and Catalog'!$H$55+'Assumptions and Catalog'!$E$55+'Assumptions and Catalog'!$F$55,IF(L256&lt;='Assumptions and Catalog'!$C$56,L256*'Assumptions and Catalog'!$H$56+'Assumptions and Catalog'!$E$56+'Assumptions and Catalog'!$F$56,IF(L256&lt;='Assumptions and Catalog'!$C$57,L256*'Assumptions and Catalog'!$H$57+'Assumptions and Catalog'!$E$57+'Assumptions and Catalog'!$F$57,"Out of range")))))))),IF(L256&lt;='Assumptions and Catalog'!$C$60,L256*'Assumptions and Catalog'!$H$60+'Assumptions and Catalog'!$E$60+'Assumptions and Catalog'!$F$60,IF(L256&lt;='Assumptions and Catalog'!$C$61,L256*'Assumptions and Catalog'!$H$61+'Assumptions and Catalog'!$E$61+'Assumptions and Catalog'!$F$61,IF(L256&lt;='Assumptions and Catalog'!$C$62,L256*'Assumptions and Catalog'!$H$62+'Assumptions and Catalog'!$E$62+'Assumptions and Catalog'!$F$62,IF(L256&lt;='Assumptions and Catalog'!$C$63,L256*'Assumptions and Catalog'!$H$63+'Assumptions and Catalog'!$E$63+'Assumptions and Catalog'!$F$63,IF(L256&lt;='Assumptions and Catalog'!$C$64,L256*'Assumptions and Catalog'!$H$64+'Assumptions and Catalog'!$E$64+'Assumptions and Catalog'!$F$64,IF(L256&lt;='Assumptions and Catalog'!$C$65,L256*'Assumptions and Catalog'!$H$65+'Assumptions and Catalog'!$E$65+'Assumptions and Catalog'!$F$65,"Out of range")))))))))*(1+'Assumptions and Catalog'!$C$8)^(A256-1),0)</f>
        <v>5139.8110506220482</v>
      </c>
      <c r="O256" s="5">
        <f t="shared" si="18"/>
        <v>3415.1556160446189</v>
      </c>
      <c r="P256" s="5">
        <f>C$55*(1-J$14)*(1-'Assumptions and Catalog'!$C$23)^R256</f>
        <v>0</v>
      </c>
      <c r="Q256" s="5">
        <f>IF(ISNUMBER(Inputs!$L$5),(IF(Inputs!$L$9="Actual flat rate",((D256+E256)*C256-G256)*Inputs!$L$10,IF(Inputs!$C$9="Residential",IF(((D256+E256)*C256-G256)&lt;='Assumptions and Catalog'!$C$50,((D256+E256)*C256-G256)*'Assumptions and Catalog'!$H$50+'Assumptions and Catalog'!$E$50+'Assumptions and Catalog'!$F$50,IF(((D256+E256)*C256-G256)&lt;='Assumptions and Catalog'!$C$51,((D256+E256)*C256-G256)*'Assumptions and Catalog'!$H$51+'Assumptions and Catalog'!$E$51+'Assumptions and Catalog'!$F$51,IF(((D256+E256)*C256-G256)&lt;='Assumptions and Catalog'!$C$52,((D256+E256)*C256-G256)*'Assumptions and Catalog'!$H$52+'Assumptions and Catalog'!$E$52+'Assumptions and Catalog'!$F$52,IF(((D256+E256)*C256-G256)&lt;='Assumptions and Catalog'!$C$53,((D256+E256)*C256-G256)*'Assumptions and Catalog'!$H$53+'Assumptions and Catalog'!$E$53+'Assumptions and Catalog'!$F$53,IF(((D256+E256)*C256-G256)&lt;='Assumptions and Catalog'!$C$54,((D256+E256)*C256-G256)*'Assumptions and Catalog'!$H$54+'Assumptions and Catalog'!$E$54+'Assumptions and Catalog'!$F$54,IF(((D256+E256)*C256-G256)&lt;='Assumptions and Catalog'!$C$55,((D256+E256)*C256-G256)*'Assumptions and Catalog'!$H$55+'Assumptions and Catalog'!$E$55+'Assumptions and Catalog'!$F$55,IF(((D256+E256)*C256-G256)&lt;='Assumptions and Catalog'!$C$56,((D256+E256)*C256-G256)*'Assumptions and Catalog'!$H$56+'Assumptions and Catalog'!$E$56+'Assumptions and Catalog'!$F$56,IF(((D256+E256)*C256-G256)&lt;='Assumptions and Catalog'!$C$57,((D256+E256)*C256-G256)*'Assumptions and Catalog'!$H$57+'Assumptions and Catalog'!$E$57+'Assumptions and Catalog'!$F$57,"Out of range")))))))),IF(((D256+E256)*C256-G256)&lt;='Assumptions and Catalog'!$C$60,((D256+E256)*C256-G256)*'Assumptions and Catalog'!$H$60+'Assumptions and Catalog'!$E$60+'Assumptions and Catalog'!$F$60,IF(((D256+E256)*C256-G256)&lt;='Assumptions and Catalog'!$C$61,((D256+E256)*C256-G256)*'Assumptions and Catalog'!$H$61+'Assumptions and Catalog'!$E$61+'Assumptions and Catalog'!$F$61,IF(((D256+E256)*C256-G256)&lt;='Assumptions and Catalog'!$C$62,((D256+E256)*C256-G256)*'Assumptions and Catalog'!$H$62+'Assumptions and Catalog'!$E$62+'Assumptions and Catalog'!$F$62,IF(((D256+E256)*C256-G256)&lt;='Assumptions and Catalog'!$C$63,((D256+E256)*C256-G256)*'Assumptions and Catalog'!$H$63+'Assumptions and Catalog'!$E$63+'Assumptions and Catalog'!$F$63,IF(((D256+E256)*C256-G256)&lt;='Assumptions and Catalog'!$C$64,((D256+E256)*C256-G256)*'Assumptions and Catalog'!$H$64+'Assumptions and Catalog'!$E$64+'Assumptions and Catalog'!$F$64,IF(((D256+E256)*C256-G256)&lt;='Assumptions and Catalog'!$C$65,((D256+E256)*C256-G256)*'Assumptions and Catalog'!$H$65+'Assumptions and Catalog'!$E$65+'Assumptions and Catalog'!$F$65,"Out of range")))))))))*(1+'Assumptions and Catalog'!$C$8)^(A256-1),0)</f>
        <v>5139.8110506220482</v>
      </c>
      <c r="R256" s="5">
        <f>IF(AND('Assumptions and Catalog'!$C$19&gt;0,A256&gt;='Assumptions and Catalog'!$C$19),A256-'Assumptions and Catalog'!$C$19,A256-1)</f>
        <v>7</v>
      </c>
      <c r="S256" s="5">
        <f t="shared" si="19"/>
        <v>0</v>
      </c>
      <c r="T256" s="5"/>
      <c r="U256" s="5"/>
    </row>
    <row r="257" spans="1:21" ht="23.1" customHeight="1" outlineLevel="1" x14ac:dyDescent="0.2">
      <c r="A257" s="5">
        <v>9</v>
      </c>
      <c r="B257" s="5">
        <v>1</v>
      </c>
      <c r="C257" s="5">
        <f>DAY(DATE('Assumptions and Catalog'!$C$24+A257-1,B257+1,0))</f>
        <v>31</v>
      </c>
      <c r="D257" s="5">
        <f>IF(ISNUMBER(Inputs!$L$5),Inputs!$L$5*Inputs!$L$6,0)</f>
        <v>40.35</v>
      </c>
      <c r="E257" s="5">
        <f>IF(ISNUMBER(Inputs!$L$5),Inputs!$L$5-D257,0)</f>
        <v>40.35</v>
      </c>
      <c r="F257" s="5">
        <f>C$51*'Assumptions and Catalog'!$C$31*C257*(1-'Assumptions and Catalog'!$C$10)^(A257-1)</f>
        <v>993.68900685007907</v>
      </c>
      <c r="G257" s="5">
        <f t="shared" si="14"/>
        <v>993.68900685007907</v>
      </c>
      <c r="H257" s="5">
        <f>I257/('Assumptions and Catalog'!$C$11*'Assumptions and Catalog'!$C$12)</f>
        <v>0</v>
      </c>
      <c r="I257" s="5">
        <f>0</f>
        <v>0</v>
      </c>
      <c r="J257" s="5">
        <f t="shared" si="15"/>
        <v>0</v>
      </c>
      <c r="K257" s="5">
        <f t="shared" si="16"/>
        <v>0</v>
      </c>
      <c r="L257" s="5">
        <f t="shared" si="17"/>
        <v>1508.0109931499212</v>
      </c>
      <c r="M257" s="5">
        <f>IF(ISNUMBER(Inputs!$L$5),(IF(Inputs!$L$9="Actual flat rate",((D257+E257)*C257)*Inputs!$L$10,IF(Inputs!$C$9="Residential",IF(((D257+E257)*C257)&lt;='Assumptions and Catalog'!$C$50,((D257+E257)*C257)*'Assumptions and Catalog'!$H$50+'Assumptions and Catalog'!$E$50+'Assumptions and Catalog'!$F$50,IF(((D257+E257)*C257)&lt;='Assumptions and Catalog'!$C$51,((D257+E257)*C257)*'Assumptions and Catalog'!$H$51+'Assumptions and Catalog'!$E$51+'Assumptions and Catalog'!$F$51,IF(((D257+E257)*C257)&lt;='Assumptions and Catalog'!$C$52,((D257+E257)*C257)*'Assumptions and Catalog'!$H$52+'Assumptions and Catalog'!$E$52+'Assumptions and Catalog'!$F$52,IF(((D257+E257)*C257)&lt;='Assumptions and Catalog'!$C$53,((D257+E257)*C257)*'Assumptions and Catalog'!$H$53+'Assumptions and Catalog'!$E$53+'Assumptions and Catalog'!$F$53,IF(((D257+E257)*C257)&lt;='Assumptions and Catalog'!$C$54,((D257+E257)*C257)*'Assumptions and Catalog'!$H$54+'Assumptions and Catalog'!$E$54+'Assumptions and Catalog'!$F$54,IF(((D257+E257)*C257)&lt;='Assumptions and Catalog'!$C$55,((D257+E257)*C257)*'Assumptions and Catalog'!$H$55+'Assumptions and Catalog'!$E$55+'Assumptions and Catalog'!$F$55,IF(((D257+E257)*C257)&lt;='Assumptions and Catalog'!$C$56,((D257+E257)*C257)*'Assumptions and Catalog'!$H$56+'Assumptions and Catalog'!$E$56+'Assumptions and Catalog'!$F$56,IF(((D257+E257)*C257)&lt;='Assumptions and Catalog'!$C$57,((D257+E257)*C257)*'Assumptions and Catalog'!$H$57+'Assumptions and Catalog'!$E$57+'Assumptions and Catalog'!$F$57,"Out of range")))))))),IF(((D257+E257)*C257)&lt;='Assumptions and Catalog'!$C$60,((D257+E257)*C257)*'Assumptions and Catalog'!$H$60+'Assumptions and Catalog'!$E$60+'Assumptions and Catalog'!$F$60,IF(((D257+E257)*C257)&lt;='Assumptions and Catalog'!$C$61,((D257+E257)*C257)*'Assumptions and Catalog'!$H$61+'Assumptions and Catalog'!$E$61+'Assumptions and Catalog'!$F$61,IF(((D257+E257)*C257)&lt;='Assumptions and Catalog'!$C$62,((D257+E257)*C257)*'Assumptions and Catalog'!$H$62+'Assumptions and Catalog'!$E$62+'Assumptions and Catalog'!$F$62,IF(((D257+E257)*C257)&lt;='Assumptions and Catalog'!$C$63,((D257+E257)*C257)*'Assumptions and Catalog'!$H$63+'Assumptions and Catalog'!$E$63+'Assumptions and Catalog'!$F$63,IF(((D257+E257)*C257)&lt;='Assumptions and Catalog'!$C$64,((D257+E257)*C257)*'Assumptions and Catalog'!$H$64+'Assumptions and Catalog'!$E$64+'Assumptions and Catalog'!$F$64,IF(((D257+E257)*C257)&lt;='Assumptions and Catalog'!$C$65,((D257+E257)*C257)*'Assumptions and Catalog'!$H$65+'Assumptions and Catalog'!$E$65+'Assumptions and Catalog'!$F$65,"Out of range")))))))))*(1+'Assumptions and Catalog'!$C$8)^(A257-1),0)</f>
        <v>8554.9666666666672</v>
      </c>
      <c r="N257" s="5">
        <f>IF(ISNUMBER(Inputs!$L$5),(IF(Inputs!$L$9="Actual flat rate",L257*Inputs!$L$10,IF(Inputs!$C$9="Residential",IF(L257&lt;='Assumptions and Catalog'!$C$50,L257*'Assumptions and Catalog'!$H$50+'Assumptions and Catalog'!$E$50+'Assumptions and Catalog'!$F$50,IF(L257&lt;='Assumptions and Catalog'!$C$51,L257*'Assumptions and Catalog'!$H$51+'Assumptions and Catalog'!$E$51+'Assumptions and Catalog'!$F$51,IF(L257&lt;='Assumptions and Catalog'!$C$52,L257*'Assumptions and Catalog'!$H$52+'Assumptions and Catalog'!$E$52+'Assumptions and Catalog'!$F$52,IF(L257&lt;='Assumptions and Catalog'!$C$53,L257*'Assumptions and Catalog'!$H$53+'Assumptions and Catalog'!$E$53+'Assumptions and Catalog'!$F$53,IF(L257&lt;='Assumptions and Catalog'!$C$54,L257*'Assumptions and Catalog'!$H$54+'Assumptions and Catalog'!$E$54+'Assumptions and Catalog'!$F$54,IF(L257&lt;='Assumptions and Catalog'!$C$55,L257*'Assumptions and Catalog'!$H$55+'Assumptions and Catalog'!$E$55+'Assumptions and Catalog'!$F$55,IF(L257&lt;='Assumptions and Catalog'!$C$56,L257*'Assumptions and Catalog'!$H$56+'Assumptions and Catalog'!$E$56+'Assumptions and Catalog'!$F$56,IF(L257&lt;='Assumptions and Catalog'!$C$57,L257*'Assumptions and Catalog'!$H$57+'Assumptions and Catalog'!$E$57+'Assumptions and Catalog'!$F$57,"Out of range")))))))),IF(L257&lt;='Assumptions and Catalog'!$C$60,L257*'Assumptions and Catalog'!$H$60+'Assumptions and Catalog'!$E$60+'Assumptions and Catalog'!$F$60,IF(L257&lt;='Assumptions and Catalog'!$C$61,L257*'Assumptions and Catalog'!$H$61+'Assumptions and Catalog'!$E$61+'Assumptions and Catalog'!$F$61,IF(L257&lt;='Assumptions and Catalog'!$C$62,L257*'Assumptions and Catalog'!$H$62+'Assumptions and Catalog'!$E$62+'Assumptions and Catalog'!$F$62,IF(L257&lt;='Assumptions and Catalog'!$C$63,L257*'Assumptions and Catalog'!$H$63+'Assumptions and Catalog'!$E$63+'Assumptions and Catalog'!$F$63,IF(L257&lt;='Assumptions and Catalog'!$C$64,L257*'Assumptions and Catalog'!$H$64+'Assumptions and Catalog'!$E$64+'Assumptions and Catalog'!$F$64,IF(L257&lt;='Assumptions and Catalog'!$C$65,L257*'Assumptions and Catalog'!$H$65+'Assumptions and Catalog'!$E$65+'Assumptions and Catalog'!$F$65,"Out of range")))))))))*(1+'Assumptions and Catalog'!$C$8)^(A257-1),0)</f>
        <v>5156.8868287022706</v>
      </c>
      <c r="O257" s="5">
        <f t="shared" si="18"/>
        <v>3398.0798379643966</v>
      </c>
      <c r="P257" s="5">
        <f>C$55*(1-J$14)*(1-'Assumptions and Catalog'!$C$23)^R257</f>
        <v>0</v>
      </c>
      <c r="Q257" s="5">
        <f>IF(ISNUMBER(Inputs!$L$5),(IF(Inputs!$L$9="Actual flat rate",((D257+E257)*C257-G257)*Inputs!$L$10,IF(Inputs!$C$9="Residential",IF(((D257+E257)*C257-G257)&lt;='Assumptions and Catalog'!$C$50,((D257+E257)*C257-G257)*'Assumptions and Catalog'!$H$50+'Assumptions and Catalog'!$E$50+'Assumptions and Catalog'!$F$50,IF(((D257+E257)*C257-G257)&lt;='Assumptions and Catalog'!$C$51,((D257+E257)*C257-G257)*'Assumptions and Catalog'!$H$51+'Assumptions and Catalog'!$E$51+'Assumptions and Catalog'!$F$51,IF(((D257+E257)*C257-G257)&lt;='Assumptions and Catalog'!$C$52,((D257+E257)*C257-G257)*'Assumptions and Catalog'!$H$52+'Assumptions and Catalog'!$E$52+'Assumptions and Catalog'!$F$52,IF(((D257+E257)*C257-G257)&lt;='Assumptions and Catalog'!$C$53,((D257+E257)*C257-G257)*'Assumptions and Catalog'!$H$53+'Assumptions and Catalog'!$E$53+'Assumptions and Catalog'!$F$53,IF(((D257+E257)*C257-G257)&lt;='Assumptions and Catalog'!$C$54,((D257+E257)*C257-G257)*'Assumptions and Catalog'!$H$54+'Assumptions and Catalog'!$E$54+'Assumptions and Catalog'!$F$54,IF(((D257+E257)*C257-G257)&lt;='Assumptions and Catalog'!$C$55,((D257+E257)*C257-G257)*'Assumptions and Catalog'!$H$55+'Assumptions and Catalog'!$E$55+'Assumptions and Catalog'!$F$55,IF(((D257+E257)*C257-G257)&lt;='Assumptions and Catalog'!$C$56,((D257+E257)*C257-G257)*'Assumptions and Catalog'!$H$56+'Assumptions and Catalog'!$E$56+'Assumptions and Catalog'!$F$56,IF(((D257+E257)*C257-G257)&lt;='Assumptions and Catalog'!$C$57,((D257+E257)*C257-G257)*'Assumptions and Catalog'!$H$57+'Assumptions and Catalog'!$E$57+'Assumptions and Catalog'!$F$57,"Out of range")))))))),IF(((D257+E257)*C257-G257)&lt;='Assumptions and Catalog'!$C$60,((D257+E257)*C257-G257)*'Assumptions and Catalog'!$H$60+'Assumptions and Catalog'!$E$60+'Assumptions and Catalog'!$F$60,IF(((D257+E257)*C257-G257)&lt;='Assumptions and Catalog'!$C$61,((D257+E257)*C257-G257)*'Assumptions and Catalog'!$H$61+'Assumptions and Catalog'!$E$61+'Assumptions and Catalog'!$F$61,IF(((D257+E257)*C257-G257)&lt;='Assumptions and Catalog'!$C$62,((D257+E257)*C257-G257)*'Assumptions and Catalog'!$H$62+'Assumptions and Catalog'!$E$62+'Assumptions and Catalog'!$F$62,IF(((D257+E257)*C257-G257)&lt;='Assumptions and Catalog'!$C$63,((D257+E257)*C257-G257)*'Assumptions and Catalog'!$H$63+'Assumptions and Catalog'!$E$63+'Assumptions and Catalog'!$F$63,IF(((D257+E257)*C257-G257)&lt;='Assumptions and Catalog'!$C$64,((D257+E257)*C257-G257)*'Assumptions and Catalog'!$H$64+'Assumptions and Catalog'!$E$64+'Assumptions and Catalog'!$F$64,IF(((D257+E257)*C257-G257)&lt;='Assumptions and Catalog'!$C$65,((D257+E257)*C257-G257)*'Assumptions and Catalog'!$H$65+'Assumptions and Catalog'!$E$65+'Assumptions and Catalog'!$F$65,"Out of range")))))))))*(1+'Assumptions and Catalog'!$C$8)^(A257-1),0)</f>
        <v>5156.8868287022706</v>
      </c>
      <c r="R257" s="5">
        <f>IF(AND('Assumptions and Catalog'!$C$19&gt;0,A257&gt;='Assumptions and Catalog'!$C$19),A257-'Assumptions and Catalog'!$C$19,A257-1)</f>
        <v>8</v>
      </c>
      <c r="S257" s="5">
        <f t="shared" si="19"/>
        <v>0</v>
      </c>
      <c r="T257" s="5"/>
      <c r="U257" s="5"/>
    </row>
    <row r="258" spans="1:21" ht="23.1" customHeight="1" outlineLevel="1" x14ac:dyDescent="0.2">
      <c r="A258" s="5">
        <v>9</v>
      </c>
      <c r="B258" s="5">
        <v>2</v>
      </c>
      <c r="C258" s="5">
        <f>DAY(DATE('Assumptions and Catalog'!$C$24+A258-1,B258+1,0))</f>
        <v>28</v>
      </c>
      <c r="D258" s="5">
        <f>IF(ISNUMBER(Inputs!$L$5),Inputs!$L$5*Inputs!$L$6,0)</f>
        <v>40.35</v>
      </c>
      <c r="E258" s="5">
        <f>IF(ISNUMBER(Inputs!$L$5),Inputs!$L$5-D258,0)</f>
        <v>40.35</v>
      </c>
      <c r="F258" s="5">
        <f>C$51*'Assumptions and Catalog'!$C$31*C258*(1-'Assumptions and Catalog'!$C$10)^(A258-1)</f>
        <v>897.52555457426502</v>
      </c>
      <c r="G258" s="5">
        <f t="shared" si="14"/>
        <v>897.52555457426502</v>
      </c>
      <c r="H258" s="5">
        <f>I258/('Assumptions and Catalog'!$C$11*'Assumptions and Catalog'!$C$12)</f>
        <v>0</v>
      </c>
      <c r="I258" s="5">
        <f>0</f>
        <v>0</v>
      </c>
      <c r="J258" s="5">
        <f t="shared" si="15"/>
        <v>0</v>
      </c>
      <c r="K258" s="5">
        <f t="shared" si="16"/>
        <v>0</v>
      </c>
      <c r="L258" s="5">
        <f t="shared" si="17"/>
        <v>1362.0744454257349</v>
      </c>
      <c r="M258" s="5">
        <f>IF(ISNUMBER(Inputs!$L$5),(IF(Inputs!$L$9="Actual flat rate",((D258+E258)*C258)*Inputs!$L$10,IF(Inputs!$C$9="Residential",IF(((D258+E258)*C258)&lt;='Assumptions and Catalog'!$C$50,((D258+E258)*C258)*'Assumptions and Catalog'!$H$50+'Assumptions and Catalog'!$E$50+'Assumptions and Catalog'!$F$50,IF(((D258+E258)*C258)&lt;='Assumptions and Catalog'!$C$51,((D258+E258)*C258)*'Assumptions and Catalog'!$H$51+'Assumptions and Catalog'!$E$51+'Assumptions and Catalog'!$F$51,IF(((D258+E258)*C258)&lt;='Assumptions and Catalog'!$C$52,((D258+E258)*C258)*'Assumptions and Catalog'!$H$52+'Assumptions and Catalog'!$E$52+'Assumptions and Catalog'!$F$52,IF(((D258+E258)*C258)&lt;='Assumptions and Catalog'!$C$53,((D258+E258)*C258)*'Assumptions and Catalog'!$H$53+'Assumptions and Catalog'!$E$53+'Assumptions and Catalog'!$F$53,IF(((D258+E258)*C258)&lt;='Assumptions and Catalog'!$C$54,((D258+E258)*C258)*'Assumptions and Catalog'!$H$54+'Assumptions and Catalog'!$E$54+'Assumptions and Catalog'!$F$54,IF(((D258+E258)*C258)&lt;='Assumptions and Catalog'!$C$55,((D258+E258)*C258)*'Assumptions and Catalog'!$H$55+'Assumptions and Catalog'!$E$55+'Assumptions and Catalog'!$F$55,IF(((D258+E258)*C258)&lt;='Assumptions and Catalog'!$C$56,((D258+E258)*C258)*'Assumptions and Catalog'!$H$56+'Assumptions and Catalog'!$E$56+'Assumptions and Catalog'!$F$56,IF(((D258+E258)*C258)&lt;='Assumptions and Catalog'!$C$57,((D258+E258)*C258)*'Assumptions and Catalog'!$H$57+'Assumptions and Catalog'!$E$57+'Assumptions and Catalog'!$F$57,"Out of range")))))))),IF(((D258+E258)*C258)&lt;='Assumptions and Catalog'!$C$60,((D258+E258)*C258)*'Assumptions and Catalog'!$H$60+'Assumptions and Catalog'!$E$60+'Assumptions and Catalog'!$F$60,IF(((D258+E258)*C258)&lt;='Assumptions and Catalog'!$C$61,((D258+E258)*C258)*'Assumptions and Catalog'!$H$61+'Assumptions and Catalog'!$E$61+'Assumptions and Catalog'!$F$61,IF(((D258+E258)*C258)&lt;='Assumptions and Catalog'!$C$62,((D258+E258)*C258)*'Assumptions and Catalog'!$H$62+'Assumptions and Catalog'!$E$62+'Assumptions and Catalog'!$F$62,IF(((D258+E258)*C258)&lt;='Assumptions and Catalog'!$C$63,((D258+E258)*C258)*'Assumptions and Catalog'!$H$63+'Assumptions and Catalog'!$E$63+'Assumptions and Catalog'!$F$63,IF(((D258+E258)*C258)&lt;='Assumptions and Catalog'!$C$64,((D258+E258)*C258)*'Assumptions and Catalog'!$H$64+'Assumptions and Catalog'!$E$64+'Assumptions and Catalog'!$F$64,IF(((D258+E258)*C258)&lt;='Assumptions and Catalog'!$C$65,((D258+E258)*C258)*'Assumptions and Catalog'!$H$65+'Assumptions and Catalog'!$E$65+'Assumptions and Catalog'!$F$65,"Out of range")))))))))*(1+'Assumptions and Catalog'!$C$8)^(A258-1),0)</f>
        <v>7727.0666666666657</v>
      </c>
      <c r="N258" s="5">
        <f>IF(ISNUMBER(Inputs!$L$5),(IF(Inputs!$L$9="Actual flat rate",L258*Inputs!$L$10,IF(Inputs!$C$9="Residential",IF(L258&lt;='Assumptions and Catalog'!$C$50,L258*'Assumptions and Catalog'!$H$50+'Assumptions and Catalog'!$E$50+'Assumptions and Catalog'!$F$50,IF(L258&lt;='Assumptions and Catalog'!$C$51,L258*'Assumptions and Catalog'!$H$51+'Assumptions and Catalog'!$E$51+'Assumptions and Catalog'!$F$51,IF(L258&lt;='Assumptions and Catalog'!$C$52,L258*'Assumptions and Catalog'!$H$52+'Assumptions and Catalog'!$E$52+'Assumptions and Catalog'!$F$52,IF(L258&lt;='Assumptions and Catalog'!$C$53,L258*'Assumptions and Catalog'!$H$53+'Assumptions and Catalog'!$E$53+'Assumptions and Catalog'!$F$53,IF(L258&lt;='Assumptions and Catalog'!$C$54,L258*'Assumptions and Catalog'!$H$54+'Assumptions and Catalog'!$E$54+'Assumptions and Catalog'!$F$54,IF(L258&lt;='Assumptions and Catalog'!$C$55,L258*'Assumptions and Catalog'!$H$55+'Assumptions and Catalog'!$E$55+'Assumptions and Catalog'!$F$55,IF(L258&lt;='Assumptions and Catalog'!$C$56,L258*'Assumptions and Catalog'!$H$56+'Assumptions and Catalog'!$E$56+'Assumptions and Catalog'!$F$56,IF(L258&lt;='Assumptions and Catalog'!$C$57,L258*'Assumptions and Catalog'!$H$57+'Assumptions and Catalog'!$E$57+'Assumptions and Catalog'!$F$57,"Out of range")))))))),IF(L258&lt;='Assumptions and Catalog'!$C$60,L258*'Assumptions and Catalog'!$H$60+'Assumptions and Catalog'!$E$60+'Assumptions and Catalog'!$F$60,IF(L258&lt;='Assumptions and Catalog'!$C$61,L258*'Assumptions and Catalog'!$H$61+'Assumptions and Catalog'!$E$61+'Assumptions and Catalog'!$F$61,IF(L258&lt;='Assumptions and Catalog'!$C$62,L258*'Assumptions and Catalog'!$H$62+'Assumptions and Catalog'!$E$62+'Assumptions and Catalog'!$F$62,IF(L258&lt;='Assumptions and Catalog'!$C$63,L258*'Assumptions and Catalog'!$H$63+'Assumptions and Catalog'!$E$63+'Assumptions and Catalog'!$F$63,IF(L258&lt;='Assumptions and Catalog'!$C$64,L258*'Assumptions and Catalog'!$H$64+'Assumptions and Catalog'!$E$64+'Assumptions and Catalog'!$F$64,IF(L258&lt;='Assumptions and Catalog'!$C$65,L258*'Assumptions and Catalog'!$H$65+'Assumptions and Catalog'!$E$65+'Assumptions and Catalog'!$F$65,"Out of range")))))))))*(1+'Assumptions and Catalog'!$C$8)^(A258-1),0)</f>
        <v>4657.8332646343079</v>
      </c>
      <c r="O258" s="5">
        <f t="shared" si="18"/>
        <v>3069.2334020323578</v>
      </c>
      <c r="P258" s="5">
        <f>C$55*(1-J$14)*(1-'Assumptions and Catalog'!$C$23)^R258</f>
        <v>0</v>
      </c>
      <c r="Q258" s="5">
        <f>IF(ISNUMBER(Inputs!$L$5),(IF(Inputs!$L$9="Actual flat rate",((D258+E258)*C258-G258)*Inputs!$L$10,IF(Inputs!$C$9="Residential",IF(((D258+E258)*C258-G258)&lt;='Assumptions and Catalog'!$C$50,((D258+E258)*C258-G258)*'Assumptions and Catalog'!$H$50+'Assumptions and Catalog'!$E$50+'Assumptions and Catalog'!$F$50,IF(((D258+E258)*C258-G258)&lt;='Assumptions and Catalog'!$C$51,((D258+E258)*C258-G258)*'Assumptions and Catalog'!$H$51+'Assumptions and Catalog'!$E$51+'Assumptions and Catalog'!$F$51,IF(((D258+E258)*C258-G258)&lt;='Assumptions and Catalog'!$C$52,((D258+E258)*C258-G258)*'Assumptions and Catalog'!$H$52+'Assumptions and Catalog'!$E$52+'Assumptions and Catalog'!$F$52,IF(((D258+E258)*C258-G258)&lt;='Assumptions and Catalog'!$C$53,((D258+E258)*C258-G258)*'Assumptions and Catalog'!$H$53+'Assumptions and Catalog'!$E$53+'Assumptions and Catalog'!$F$53,IF(((D258+E258)*C258-G258)&lt;='Assumptions and Catalog'!$C$54,((D258+E258)*C258-G258)*'Assumptions and Catalog'!$H$54+'Assumptions and Catalog'!$E$54+'Assumptions and Catalog'!$F$54,IF(((D258+E258)*C258-G258)&lt;='Assumptions and Catalog'!$C$55,((D258+E258)*C258-G258)*'Assumptions and Catalog'!$H$55+'Assumptions and Catalog'!$E$55+'Assumptions and Catalog'!$F$55,IF(((D258+E258)*C258-G258)&lt;='Assumptions and Catalog'!$C$56,((D258+E258)*C258-G258)*'Assumptions and Catalog'!$H$56+'Assumptions and Catalog'!$E$56+'Assumptions and Catalog'!$F$56,IF(((D258+E258)*C258-G258)&lt;='Assumptions and Catalog'!$C$57,((D258+E258)*C258-G258)*'Assumptions and Catalog'!$H$57+'Assumptions and Catalog'!$E$57+'Assumptions and Catalog'!$F$57,"Out of range")))))))),IF(((D258+E258)*C258-G258)&lt;='Assumptions and Catalog'!$C$60,((D258+E258)*C258-G258)*'Assumptions and Catalog'!$H$60+'Assumptions and Catalog'!$E$60+'Assumptions and Catalog'!$F$60,IF(((D258+E258)*C258-G258)&lt;='Assumptions and Catalog'!$C$61,((D258+E258)*C258-G258)*'Assumptions and Catalog'!$H$61+'Assumptions and Catalog'!$E$61+'Assumptions and Catalog'!$F$61,IF(((D258+E258)*C258-G258)&lt;='Assumptions and Catalog'!$C$62,((D258+E258)*C258-G258)*'Assumptions and Catalog'!$H$62+'Assumptions and Catalog'!$E$62+'Assumptions and Catalog'!$F$62,IF(((D258+E258)*C258-G258)&lt;='Assumptions and Catalog'!$C$63,((D258+E258)*C258-G258)*'Assumptions and Catalog'!$H$63+'Assumptions and Catalog'!$E$63+'Assumptions and Catalog'!$F$63,IF(((D258+E258)*C258-G258)&lt;='Assumptions and Catalog'!$C$64,((D258+E258)*C258-G258)*'Assumptions and Catalog'!$H$64+'Assumptions and Catalog'!$E$64+'Assumptions and Catalog'!$F$64,IF(((D258+E258)*C258-G258)&lt;='Assumptions and Catalog'!$C$65,((D258+E258)*C258-G258)*'Assumptions and Catalog'!$H$65+'Assumptions and Catalog'!$E$65+'Assumptions and Catalog'!$F$65,"Out of range")))))))))*(1+'Assumptions and Catalog'!$C$8)^(A258-1),0)</f>
        <v>4657.8332646343079</v>
      </c>
      <c r="R258" s="5">
        <f>IF(AND('Assumptions and Catalog'!$C$19&gt;0,A258&gt;='Assumptions and Catalog'!$C$19),A258-'Assumptions and Catalog'!$C$19,A258-1)</f>
        <v>8</v>
      </c>
      <c r="S258" s="5">
        <f t="shared" si="19"/>
        <v>0</v>
      </c>
      <c r="T258" s="5"/>
      <c r="U258" s="5"/>
    </row>
    <row r="259" spans="1:21" ht="23.1" customHeight="1" outlineLevel="1" x14ac:dyDescent="0.2">
      <c r="A259" s="5">
        <v>9</v>
      </c>
      <c r="B259" s="5">
        <v>3</v>
      </c>
      <c r="C259" s="5">
        <f>DAY(DATE('Assumptions and Catalog'!$C$24+A259-1,B259+1,0))</f>
        <v>31</v>
      </c>
      <c r="D259" s="5">
        <f>IF(ISNUMBER(Inputs!$L$5),Inputs!$L$5*Inputs!$L$6,0)</f>
        <v>40.35</v>
      </c>
      <c r="E259" s="5">
        <f>IF(ISNUMBER(Inputs!$L$5),Inputs!$L$5-D259,0)</f>
        <v>40.35</v>
      </c>
      <c r="F259" s="5">
        <f>C$51*'Assumptions and Catalog'!$C$31*C259*(1-'Assumptions and Catalog'!$C$10)^(A259-1)</f>
        <v>993.68900685007907</v>
      </c>
      <c r="G259" s="5">
        <f t="shared" si="14"/>
        <v>993.68900685007907</v>
      </c>
      <c r="H259" s="5">
        <f>I259/('Assumptions and Catalog'!$C$11*'Assumptions and Catalog'!$C$12)</f>
        <v>0</v>
      </c>
      <c r="I259" s="5">
        <f>0</f>
        <v>0</v>
      </c>
      <c r="J259" s="5">
        <f t="shared" si="15"/>
        <v>0</v>
      </c>
      <c r="K259" s="5">
        <f t="shared" si="16"/>
        <v>0</v>
      </c>
      <c r="L259" s="5">
        <f t="shared" si="17"/>
        <v>1508.0109931499212</v>
      </c>
      <c r="M259" s="5">
        <f>IF(ISNUMBER(Inputs!$L$5),(IF(Inputs!$L$9="Actual flat rate",((D259+E259)*C259)*Inputs!$L$10,IF(Inputs!$C$9="Residential",IF(((D259+E259)*C259)&lt;='Assumptions and Catalog'!$C$50,((D259+E259)*C259)*'Assumptions and Catalog'!$H$50+'Assumptions and Catalog'!$E$50+'Assumptions and Catalog'!$F$50,IF(((D259+E259)*C259)&lt;='Assumptions and Catalog'!$C$51,((D259+E259)*C259)*'Assumptions and Catalog'!$H$51+'Assumptions and Catalog'!$E$51+'Assumptions and Catalog'!$F$51,IF(((D259+E259)*C259)&lt;='Assumptions and Catalog'!$C$52,((D259+E259)*C259)*'Assumptions and Catalog'!$H$52+'Assumptions and Catalog'!$E$52+'Assumptions and Catalog'!$F$52,IF(((D259+E259)*C259)&lt;='Assumptions and Catalog'!$C$53,((D259+E259)*C259)*'Assumptions and Catalog'!$H$53+'Assumptions and Catalog'!$E$53+'Assumptions and Catalog'!$F$53,IF(((D259+E259)*C259)&lt;='Assumptions and Catalog'!$C$54,((D259+E259)*C259)*'Assumptions and Catalog'!$H$54+'Assumptions and Catalog'!$E$54+'Assumptions and Catalog'!$F$54,IF(((D259+E259)*C259)&lt;='Assumptions and Catalog'!$C$55,((D259+E259)*C259)*'Assumptions and Catalog'!$H$55+'Assumptions and Catalog'!$E$55+'Assumptions and Catalog'!$F$55,IF(((D259+E259)*C259)&lt;='Assumptions and Catalog'!$C$56,((D259+E259)*C259)*'Assumptions and Catalog'!$H$56+'Assumptions and Catalog'!$E$56+'Assumptions and Catalog'!$F$56,IF(((D259+E259)*C259)&lt;='Assumptions and Catalog'!$C$57,((D259+E259)*C259)*'Assumptions and Catalog'!$H$57+'Assumptions and Catalog'!$E$57+'Assumptions and Catalog'!$F$57,"Out of range")))))))),IF(((D259+E259)*C259)&lt;='Assumptions and Catalog'!$C$60,((D259+E259)*C259)*'Assumptions and Catalog'!$H$60+'Assumptions and Catalog'!$E$60+'Assumptions and Catalog'!$F$60,IF(((D259+E259)*C259)&lt;='Assumptions and Catalog'!$C$61,((D259+E259)*C259)*'Assumptions and Catalog'!$H$61+'Assumptions and Catalog'!$E$61+'Assumptions and Catalog'!$F$61,IF(((D259+E259)*C259)&lt;='Assumptions and Catalog'!$C$62,((D259+E259)*C259)*'Assumptions and Catalog'!$H$62+'Assumptions and Catalog'!$E$62+'Assumptions and Catalog'!$F$62,IF(((D259+E259)*C259)&lt;='Assumptions and Catalog'!$C$63,((D259+E259)*C259)*'Assumptions and Catalog'!$H$63+'Assumptions and Catalog'!$E$63+'Assumptions and Catalog'!$F$63,IF(((D259+E259)*C259)&lt;='Assumptions and Catalog'!$C$64,((D259+E259)*C259)*'Assumptions and Catalog'!$H$64+'Assumptions and Catalog'!$E$64+'Assumptions and Catalog'!$F$64,IF(((D259+E259)*C259)&lt;='Assumptions and Catalog'!$C$65,((D259+E259)*C259)*'Assumptions and Catalog'!$H$65+'Assumptions and Catalog'!$E$65+'Assumptions and Catalog'!$F$65,"Out of range")))))))))*(1+'Assumptions and Catalog'!$C$8)^(A259-1),0)</f>
        <v>8554.9666666666672</v>
      </c>
      <c r="N259" s="5">
        <f>IF(ISNUMBER(Inputs!$L$5),(IF(Inputs!$L$9="Actual flat rate",L259*Inputs!$L$10,IF(Inputs!$C$9="Residential",IF(L259&lt;='Assumptions and Catalog'!$C$50,L259*'Assumptions and Catalog'!$H$50+'Assumptions and Catalog'!$E$50+'Assumptions and Catalog'!$F$50,IF(L259&lt;='Assumptions and Catalog'!$C$51,L259*'Assumptions and Catalog'!$H$51+'Assumptions and Catalog'!$E$51+'Assumptions and Catalog'!$F$51,IF(L259&lt;='Assumptions and Catalog'!$C$52,L259*'Assumptions and Catalog'!$H$52+'Assumptions and Catalog'!$E$52+'Assumptions and Catalog'!$F$52,IF(L259&lt;='Assumptions and Catalog'!$C$53,L259*'Assumptions and Catalog'!$H$53+'Assumptions and Catalog'!$E$53+'Assumptions and Catalog'!$F$53,IF(L259&lt;='Assumptions and Catalog'!$C$54,L259*'Assumptions and Catalog'!$H$54+'Assumptions and Catalog'!$E$54+'Assumptions and Catalog'!$F$54,IF(L259&lt;='Assumptions and Catalog'!$C$55,L259*'Assumptions and Catalog'!$H$55+'Assumptions and Catalog'!$E$55+'Assumptions and Catalog'!$F$55,IF(L259&lt;='Assumptions and Catalog'!$C$56,L259*'Assumptions and Catalog'!$H$56+'Assumptions and Catalog'!$E$56+'Assumptions and Catalog'!$F$56,IF(L259&lt;='Assumptions and Catalog'!$C$57,L259*'Assumptions and Catalog'!$H$57+'Assumptions and Catalog'!$E$57+'Assumptions and Catalog'!$F$57,"Out of range")))))))),IF(L259&lt;='Assumptions and Catalog'!$C$60,L259*'Assumptions and Catalog'!$H$60+'Assumptions and Catalog'!$E$60+'Assumptions and Catalog'!$F$60,IF(L259&lt;='Assumptions and Catalog'!$C$61,L259*'Assumptions and Catalog'!$H$61+'Assumptions and Catalog'!$E$61+'Assumptions and Catalog'!$F$61,IF(L259&lt;='Assumptions and Catalog'!$C$62,L259*'Assumptions and Catalog'!$H$62+'Assumptions and Catalog'!$E$62+'Assumptions and Catalog'!$F$62,IF(L259&lt;='Assumptions and Catalog'!$C$63,L259*'Assumptions and Catalog'!$H$63+'Assumptions and Catalog'!$E$63+'Assumptions and Catalog'!$F$63,IF(L259&lt;='Assumptions and Catalog'!$C$64,L259*'Assumptions and Catalog'!$H$64+'Assumptions and Catalog'!$E$64+'Assumptions and Catalog'!$F$64,IF(L259&lt;='Assumptions and Catalog'!$C$65,L259*'Assumptions and Catalog'!$H$65+'Assumptions and Catalog'!$E$65+'Assumptions and Catalog'!$F$65,"Out of range")))))))))*(1+'Assumptions and Catalog'!$C$8)^(A259-1),0)</f>
        <v>5156.8868287022706</v>
      </c>
      <c r="O259" s="5">
        <f t="shared" si="18"/>
        <v>3398.0798379643966</v>
      </c>
      <c r="P259" s="5">
        <f>C$55*(1-J$14)*(1-'Assumptions and Catalog'!$C$23)^R259</f>
        <v>0</v>
      </c>
      <c r="Q259" s="5">
        <f>IF(ISNUMBER(Inputs!$L$5),(IF(Inputs!$L$9="Actual flat rate",((D259+E259)*C259-G259)*Inputs!$L$10,IF(Inputs!$C$9="Residential",IF(((D259+E259)*C259-G259)&lt;='Assumptions and Catalog'!$C$50,((D259+E259)*C259-G259)*'Assumptions and Catalog'!$H$50+'Assumptions and Catalog'!$E$50+'Assumptions and Catalog'!$F$50,IF(((D259+E259)*C259-G259)&lt;='Assumptions and Catalog'!$C$51,((D259+E259)*C259-G259)*'Assumptions and Catalog'!$H$51+'Assumptions and Catalog'!$E$51+'Assumptions and Catalog'!$F$51,IF(((D259+E259)*C259-G259)&lt;='Assumptions and Catalog'!$C$52,((D259+E259)*C259-G259)*'Assumptions and Catalog'!$H$52+'Assumptions and Catalog'!$E$52+'Assumptions and Catalog'!$F$52,IF(((D259+E259)*C259-G259)&lt;='Assumptions and Catalog'!$C$53,((D259+E259)*C259-G259)*'Assumptions and Catalog'!$H$53+'Assumptions and Catalog'!$E$53+'Assumptions and Catalog'!$F$53,IF(((D259+E259)*C259-G259)&lt;='Assumptions and Catalog'!$C$54,((D259+E259)*C259-G259)*'Assumptions and Catalog'!$H$54+'Assumptions and Catalog'!$E$54+'Assumptions and Catalog'!$F$54,IF(((D259+E259)*C259-G259)&lt;='Assumptions and Catalog'!$C$55,((D259+E259)*C259-G259)*'Assumptions and Catalog'!$H$55+'Assumptions and Catalog'!$E$55+'Assumptions and Catalog'!$F$55,IF(((D259+E259)*C259-G259)&lt;='Assumptions and Catalog'!$C$56,((D259+E259)*C259-G259)*'Assumptions and Catalog'!$H$56+'Assumptions and Catalog'!$E$56+'Assumptions and Catalog'!$F$56,IF(((D259+E259)*C259-G259)&lt;='Assumptions and Catalog'!$C$57,((D259+E259)*C259-G259)*'Assumptions and Catalog'!$H$57+'Assumptions and Catalog'!$E$57+'Assumptions and Catalog'!$F$57,"Out of range")))))))),IF(((D259+E259)*C259-G259)&lt;='Assumptions and Catalog'!$C$60,((D259+E259)*C259-G259)*'Assumptions and Catalog'!$H$60+'Assumptions and Catalog'!$E$60+'Assumptions and Catalog'!$F$60,IF(((D259+E259)*C259-G259)&lt;='Assumptions and Catalog'!$C$61,((D259+E259)*C259-G259)*'Assumptions and Catalog'!$H$61+'Assumptions and Catalog'!$E$61+'Assumptions and Catalog'!$F$61,IF(((D259+E259)*C259-G259)&lt;='Assumptions and Catalog'!$C$62,((D259+E259)*C259-G259)*'Assumptions and Catalog'!$H$62+'Assumptions and Catalog'!$E$62+'Assumptions and Catalog'!$F$62,IF(((D259+E259)*C259-G259)&lt;='Assumptions and Catalog'!$C$63,((D259+E259)*C259-G259)*'Assumptions and Catalog'!$H$63+'Assumptions and Catalog'!$E$63+'Assumptions and Catalog'!$F$63,IF(((D259+E259)*C259-G259)&lt;='Assumptions and Catalog'!$C$64,((D259+E259)*C259-G259)*'Assumptions and Catalog'!$H$64+'Assumptions and Catalog'!$E$64+'Assumptions and Catalog'!$F$64,IF(((D259+E259)*C259-G259)&lt;='Assumptions and Catalog'!$C$65,((D259+E259)*C259-G259)*'Assumptions and Catalog'!$H$65+'Assumptions and Catalog'!$E$65+'Assumptions and Catalog'!$F$65,"Out of range")))))))))*(1+'Assumptions and Catalog'!$C$8)^(A259-1),0)</f>
        <v>5156.8868287022706</v>
      </c>
      <c r="R259" s="5">
        <f>IF(AND('Assumptions and Catalog'!$C$19&gt;0,A259&gt;='Assumptions and Catalog'!$C$19),A259-'Assumptions and Catalog'!$C$19,A259-1)</f>
        <v>8</v>
      </c>
      <c r="S259" s="5">
        <f t="shared" si="19"/>
        <v>0</v>
      </c>
      <c r="T259" s="5"/>
      <c r="U259" s="5"/>
    </row>
    <row r="260" spans="1:21" ht="23.1" customHeight="1" outlineLevel="1" x14ac:dyDescent="0.2">
      <c r="A260" s="5">
        <v>9</v>
      </c>
      <c r="B260" s="5">
        <v>4</v>
      </c>
      <c r="C260" s="5">
        <f>DAY(DATE('Assumptions and Catalog'!$C$24+A260-1,B260+1,0))</f>
        <v>30</v>
      </c>
      <c r="D260" s="5">
        <f>IF(ISNUMBER(Inputs!$L$5),Inputs!$L$5*Inputs!$L$6,0)</f>
        <v>40.35</v>
      </c>
      <c r="E260" s="5">
        <f>IF(ISNUMBER(Inputs!$L$5),Inputs!$L$5-D260,0)</f>
        <v>40.35</v>
      </c>
      <c r="F260" s="5">
        <f>C$51*'Assumptions and Catalog'!$C$31*C260*(1-'Assumptions and Catalog'!$C$10)^(A260-1)</f>
        <v>961.63452275814109</v>
      </c>
      <c r="G260" s="5">
        <f t="shared" si="14"/>
        <v>961.63452275814109</v>
      </c>
      <c r="H260" s="5">
        <f>I260/('Assumptions and Catalog'!$C$11*'Assumptions and Catalog'!$C$12)</f>
        <v>0</v>
      </c>
      <c r="I260" s="5">
        <f>0</f>
        <v>0</v>
      </c>
      <c r="J260" s="5">
        <f t="shared" si="15"/>
        <v>0</v>
      </c>
      <c r="K260" s="5">
        <f t="shared" si="16"/>
        <v>0</v>
      </c>
      <c r="L260" s="5">
        <f t="shared" si="17"/>
        <v>1459.365477241859</v>
      </c>
      <c r="M260" s="5">
        <f>IF(ISNUMBER(Inputs!$L$5),(IF(Inputs!$L$9="Actual flat rate",((D260+E260)*C260)*Inputs!$L$10,IF(Inputs!$C$9="Residential",IF(((D260+E260)*C260)&lt;='Assumptions and Catalog'!$C$50,((D260+E260)*C260)*'Assumptions and Catalog'!$H$50+'Assumptions and Catalog'!$E$50+'Assumptions and Catalog'!$F$50,IF(((D260+E260)*C260)&lt;='Assumptions and Catalog'!$C$51,((D260+E260)*C260)*'Assumptions and Catalog'!$H$51+'Assumptions and Catalog'!$E$51+'Assumptions and Catalog'!$F$51,IF(((D260+E260)*C260)&lt;='Assumptions and Catalog'!$C$52,((D260+E260)*C260)*'Assumptions and Catalog'!$H$52+'Assumptions and Catalog'!$E$52+'Assumptions and Catalog'!$F$52,IF(((D260+E260)*C260)&lt;='Assumptions and Catalog'!$C$53,((D260+E260)*C260)*'Assumptions and Catalog'!$H$53+'Assumptions and Catalog'!$E$53+'Assumptions and Catalog'!$F$53,IF(((D260+E260)*C260)&lt;='Assumptions and Catalog'!$C$54,((D260+E260)*C260)*'Assumptions and Catalog'!$H$54+'Assumptions and Catalog'!$E$54+'Assumptions and Catalog'!$F$54,IF(((D260+E260)*C260)&lt;='Assumptions and Catalog'!$C$55,((D260+E260)*C260)*'Assumptions and Catalog'!$H$55+'Assumptions and Catalog'!$E$55+'Assumptions and Catalog'!$F$55,IF(((D260+E260)*C260)&lt;='Assumptions and Catalog'!$C$56,((D260+E260)*C260)*'Assumptions and Catalog'!$H$56+'Assumptions and Catalog'!$E$56+'Assumptions and Catalog'!$F$56,IF(((D260+E260)*C260)&lt;='Assumptions and Catalog'!$C$57,((D260+E260)*C260)*'Assumptions and Catalog'!$H$57+'Assumptions and Catalog'!$E$57+'Assumptions and Catalog'!$F$57,"Out of range")))))))),IF(((D260+E260)*C260)&lt;='Assumptions and Catalog'!$C$60,((D260+E260)*C260)*'Assumptions and Catalog'!$H$60+'Assumptions and Catalog'!$E$60+'Assumptions and Catalog'!$F$60,IF(((D260+E260)*C260)&lt;='Assumptions and Catalog'!$C$61,((D260+E260)*C260)*'Assumptions and Catalog'!$H$61+'Assumptions and Catalog'!$E$61+'Assumptions and Catalog'!$F$61,IF(((D260+E260)*C260)&lt;='Assumptions and Catalog'!$C$62,((D260+E260)*C260)*'Assumptions and Catalog'!$H$62+'Assumptions and Catalog'!$E$62+'Assumptions and Catalog'!$F$62,IF(((D260+E260)*C260)&lt;='Assumptions and Catalog'!$C$63,((D260+E260)*C260)*'Assumptions and Catalog'!$H$63+'Assumptions and Catalog'!$E$63+'Assumptions and Catalog'!$F$63,IF(((D260+E260)*C260)&lt;='Assumptions and Catalog'!$C$64,((D260+E260)*C260)*'Assumptions and Catalog'!$H$64+'Assumptions and Catalog'!$E$64+'Assumptions and Catalog'!$F$64,IF(((D260+E260)*C260)&lt;='Assumptions and Catalog'!$C$65,((D260+E260)*C260)*'Assumptions and Catalog'!$H$65+'Assumptions and Catalog'!$E$65+'Assumptions and Catalog'!$F$65,"Out of range")))))))))*(1+'Assumptions and Catalog'!$C$8)^(A260-1),0)</f>
        <v>8279</v>
      </c>
      <c r="N260" s="5">
        <f>IF(ISNUMBER(Inputs!$L$5),(IF(Inputs!$L$9="Actual flat rate",L260*Inputs!$L$10,IF(Inputs!$C$9="Residential",IF(L260&lt;='Assumptions and Catalog'!$C$50,L260*'Assumptions and Catalog'!$H$50+'Assumptions and Catalog'!$E$50+'Assumptions and Catalog'!$F$50,IF(L260&lt;='Assumptions and Catalog'!$C$51,L260*'Assumptions and Catalog'!$H$51+'Assumptions and Catalog'!$E$51+'Assumptions and Catalog'!$F$51,IF(L260&lt;='Assumptions and Catalog'!$C$52,L260*'Assumptions and Catalog'!$H$52+'Assumptions and Catalog'!$E$52+'Assumptions and Catalog'!$F$52,IF(L260&lt;='Assumptions and Catalog'!$C$53,L260*'Assumptions and Catalog'!$H$53+'Assumptions and Catalog'!$E$53+'Assumptions and Catalog'!$F$53,IF(L260&lt;='Assumptions and Catalog'!$C$54,L260*'Assumptions and Catalog'!$H$54+'Assumptions and Catalog'!$E$54+'Assumptions and Catalog'!$F$54,IF(L260&lt;='Assumptions and Catalog'!$C$55,L260*'Assumptions and Catalog'!$H$55+'Assumptions and Catalog'!$E$55+'Assumptions and Catalog'!$F$55,IF(L260&lt;='Assumptions and Catalog'!$C$56,L260*'Assumptions and Catalog'!$H$56+'Assumptions and Catalog'!$E$56+'Assumptions and Catalog'!$F$56,IF(L260&lt;='Assumptions and Catalog'!$C$57,L260*'Assumptions and Catalog'!$H$57+'Assumptions and Catalog'!$E$57+'Assumptions and Catalog'!$F$57,"Out of range")))))))),IF(L260&lt;='Assumptions and Catalog'!$C$60,L260*'Assumptions and Catalog'!$H$60+'Assumptions and Catalog'!$E$60+'Assumptions and Catalog'!$F$60,IF(L260&lt;='Assumptions and Catalog'!$C$61,L260*'Assumptions and Catalog'!$H$61+'Assumptions and Catalog'!$E$61+'Assumptions and Catalog'!$F$61,IF(L260&lt;='Assumptions and Catalog'!$C$62,L260*'Assumptions and Catalog'!$H$62+'Assumptions and Catalog'!$E$62+'Assumptions and Catalog'!$F$62,IF(L260&lt;='Assumptions and Catalog'!$C$63,L260*'Assumptions and Catalog'!$H$63+'Assumptions and Catalog'!$E$63+'Assumptions and Catalog'!$F$63,IF(L260&lt;='Assumptions and Catalog'!$C$64,L260*'Assumptions and Catalog'!$H$64+'Assumptions and Catalog'!$E$64+'Assumptions and Catalog'!$F$64,IF(L260&lt;='Assumptions and Catalog'!$C$65,L260*'Assumptions and Catalog'!$H$65+'Assumptions and Catalog'!$E$65+'Assumptions and Catalog'!$F$65,"Out of range")))))))))*(1+'Assumptions and Catalog'!$C$8)^(A260-1),0)</f>
        <v>4990.5356406796163</v>
      </c>
      <c r="O260" s="5">
        <f t="shared" si="18"/>
        <v>3288.4643593203837</v>
      </c>
      <c r="P260" s="5">
        <f>C$55*(1-J$14)*(1-'Assumptions and Catalog'!$C$23)^R260</f>
        <v>0</v>
      </c>
      <c r="Q260" s="5">
        <f>IF(ISNUMBER(Inputs!$L$5),(IF(Inputs!$L$9="Actual flat rate",((D260+E260)*C260-G260)*Inputs!$L$10,IF(Inputs!$C$9="Residential",IF(((D260+E260)*C260-G260)&lt;='Assumptions and Catalog'!$C$50,((D260+E260)*C260-G260)*'Assumptions and Catalog'!$H$50+'Assumptions and Catalog'!$E$50+'Assumptions and Catalog'!$F$50,IF(((D260+E260)*C260-G260)&lt;='Assumptions and Catalog'!$C$51,((D260+E260)*C260-G260)*'Assumptions and Catalog'!$H$51+'Assumptions and Catalog'!$E$51+'Assumptions and Catalog'!$F$51,IF(((D260+E260)*C260-G260)&lt;='Assumptions and Catalog'!$C$52,((D260+E260)*C260-G260)*'Assumptions and Catalog'!$H$52+'Assumptions and Catalog'!$E$52+'Assumptions and Catalog'!$F$52,IF(((D260+E260)*C260-G260)&lt;='Assumptions and Catalog'!$C$53,((D260+E260)*C260-G260)*'Assumptions and Catalog'!$H$53+'Assumptions and Catalog'!$E$53+'Assumptions and Catalog'!$F$53,IF(((D260+E260)*C260-G260)&lt;='Assumptions and Catalog'!$C$54,((D260+E260)*C260-G260)*'Assumptions and Catalog'!$H$54+'Assumptions and Catalog'!$E$54+'Assumptions and Catalog'!$F$54,IF(((D260+E260)*C260-G260)&lt;='Assumptions and Catalog'!$C$55,((D260+E260)*C260-G260)*'Assumptions and Catalog'!$H$55+'Assumptions and Catalog'!$E$55+'Assumptions and Catalog'!$F$55,IF(((D260+E260)*C260-G260)&lt;='Assumptions and Catalog'!$C$56,((D260+E260)*C260-G260)*'Assumptions and Catalog'!$H$56+'Assumptions and Catalog'!$E$56+'Assumptions and Catalog'!$F$56,IF(((D260+E260)*C260-G260)&lt;='Assumptions and Catalog'!$C$57,((D260+E260)*C260-G260)*'Assumptions and Catalog'!$H$57+'Assumptions and Catalog'!$E$57+'Assumptions and Catalog'!$F$57,"Out of range")))))))),IF(((D260+E260)*C260-G260)&lt;='Assumptions and Catalog'!$C$60,((D260+E260)*C260-G260)*'Assumptions and Catalog'!$H$60+'Assumptions and Catalog'!$E$60+'Assumptions and Catalog'!$F$60,IF(((D260+E260)*C260-G260)&lt;='Assumptions and Catalog'!$C$61,((D260+E260)*C260-G260)*'Assumptions and Catalog'!$H$61+'Assumptions and Catalog'!$E$61+'Assumptions and Catalog'!$F$61,IF(((D260+E260)*C260-G260)&lt;='Assumptions and Catalog'!$C$62,((D260+E260)*C260-G260)*'Assumptions and Catalog'!$H$62+'Assumptions and Catalog'!$E$62+'Assumptions and Catalog'!$F$62,IF(((D260+E260)*C260-G260)&lt;='Assumptions and Catalog'!$C$63,((D260+E260)*C260-G260)*'Assumptions and Catalog'!$H$63+'Assumptions and Catalog'!$E$63+'Assumptions and Catalog'!$F$63,IF(((D260+E260)*C260-G260)&lt;='Assumptions and Catalog'!$C$64,((D260+E260)*C260-G260)*'Assumptions and Catalog'!$H$64+'Assumptions and Catalog'!$E$64+'Assumptions and Catalog'!$F$64,IF(((D260+E260)*C260-G260)&lt;='Assumptions and Catalog'!$C$65,((D260+E260)*C260-G260)*'Assumptions and Catalog'!$H$65+'Assumptions and Catalog'!$E$65+'Assumptions and Catalog'!$F$65,"Out of range")))))))))*(1+'Assumptions and Catalog'!$C$8)^(A260-1),0)</f>
        <v>4990.5356406796163</v>
      </c>
      <c r="R260" s="5">
        <f>IF(AND('Assumptions and Catalog'!$C$19&gt;0,A260&gt;='Assumptions and Catalog'!$C$19),A260-'Assumptions and Catalog'!$C$19,A260-1)</f>
        <v>8</v>
      </c>
      <c r="S260" s="5">
        <f t="shared" si="19"/>
        <v>0</v>
      </c>
      <c r="T260" s="5"/>
      <c r="U260" s="5"/>
    </row>
    <row r="261" spans="1:21" ht="23.1" customHeight="1" outlineLevel="1" x14ac:dyDescent="0.2">
      <c r="A261" s="5">
        <v>9</v>
      </c>
      <c r="B261" s="5">
        <v>5</v>
      </c>
      <c r="C261" s="5">
        <f>DAY(DATE('Assumptions and Catalog'!$C$24+A261-1,B261+1,0))</f>
        <v>31</v>
      </c>
      <c r="D261" s="5">
        <f>IF(ISNUMBER(Inputs!$L$5),Inputs!$L$5*Inputs!$L$6,0)</f>
        <v>40.35</v>
      </c>
      <c r="E261" s="5">
        <f>IF(ISNUMBER(Inputs!$L$5),Inputs!$L$5-D261,0)</f>
        <v>40.35</v>
      </c>
      <c r="F261" s="5">
        <f>C$51*'Assumptions and Catalog'!$C$31*C261*(1-'Assumptions and Catalog'!$C$10)^(A261-1)</f>
        <v>993.68900685007907</v>
      </c>
      <c r="G261" s="5">
        <f t="shared" si="14"/>
        <v>993.68900685007907</v>
      </c>
      <c r="H261" s="5">
        <f>I261/('Assumptions and Catalog'!$C$11*'Assumptions and Catalog'!$C$12)</f>
        <v>0</v>
      </c>
      <c r="I261" s="5">
        <f>0</f>
        <v>0</v>
      </c>
      <c r="J261" s="5">
        <f t="shared" si="15"/>
        <v>0</v>
      </c>
      <c r="K261" s="5">
        <f t="shared" si="16"/>
        <v>0</v>
      </c>
      <c r="L261" s="5">
        <f t="shared" si="17"/>
        <v>1508.0109931499212</v>
      </c>
      <c r="M261" s="5">
        <f>IF(ISNUMBER(Inputs!$L$5),(IF(Inputs!$L$9="Actual flat rate",((D261+E261)*C261)*Inputs!$L$10,IF(Inputs!$C$9="Residential",IF(((D261+E261)*C261)&lt;='Assumptions and Catalog'!$C$50,((D261+E261)*C261)*'Assumptions and Catalog'!$H$50+'Assumptions and Catalog'!$E$50+'Assumptions and Catalog'!$F$50,IF(((D261+E261)*C261)&lt;='Assumptions and Catalog'!$C$51,((D261+E261)*C261)*'Assumptions and Catalog'!$H$51+'Assumptions and Catalog'!$E$51+'Assumptions and Catalog'!$F$51,IF(((D261+E261)*C261)&lt;='Assumptions and Catalog'!$C$52,((D261+E261)*C261)*'Assumptions and Catalog'!$H$52+'Assumptions and Catalog'!$E$52+'Assumptions and Catalog'!$F$52,IF(((D261+E261)*C261)&lt;='Assumptions and Catalog'!$C$53,((D261+E261)*C261)*'Assumptions and Catalog'!$H$53+'Assumptions and Catalog'!$E$53+'Assumptions and Catalog'!$F$53,IF(((D261+E261)*C261)&lt;='Assumptions and Catalog'!$C$54,((D261+E261)*C261)*'Assumptions and Catalog'!$H$54+'Assumptions and Catalog'!$E$54+'Assumptions and Catalog'!$F$54,IF(((D261+E261)*C261)&lt;='Assumptions and Catalog'!$C$55,((D261+E261)*C261)*'Assumptions and Catalog'!$H$55+'Assumptions and Catalog'!$E$55+'Assumptions and Catalog'!$F$55,IF(((D261+E261)*C261)&lt;='Assumptions and Catalog'!$C$56,((D261+E261)*C261)*'Assumptions and Catalog'!$H$56+'Assumptions and Catalog'!$E$56+'Assumptions and Catalog'!$F$56,IF(((D261+E261)*C261)&lt;='Assumptions and Catalog'!$C$57,((D261+E261)*C261)*'Assumptions and Catalog'!$H$57+'Assumptions and Catalog'!$E$57+'Assumptions and Catalog'!$F$57,"Out of range")))))))),IF(((D261+E261)*C261)&lt;='Assumptions and Catalog'!$C$60,((D261+E261)*C261)*'Assumptions and Catalog'!$H$60+'Assumptions and Catalog'!$E$60+'Assumptions and Catalog'!$F$60,IF(((D261+E261)*C261)&lt;='Assumptions and Catalog'!$C$61,((D261+E261)*C261)*'Assumptions and Catalog'!$H$61+'Assumptions and Catalog'!$E$61+'Assumptions and Catalog'!$F$61,IF(((D261+E261)*C261)&lt;='Assumptions and Catalog'!$C$62,((D261+E261)*C261)*'Assumptions and Catalog'!$H$62+'Assumptions and Catalog'!$E$62+'Assumptions and Catalog'!$F$62,IF(((D261+E261)*C261)&lt;='Assumptions and Catalog'!$C$63,((D261+E261)*C261)*'Assumptions and Catalog'!$H$63+'Assumptions and Catalog'!$E$63+'Assumptions and Catalog'!$F$63,IF(((D261+E261)*C261)&lt;='Assumptions and Catalog'!$C$64,((D261+E261)*C261)*'Assumptions and Catalog'!$H$64+'Assumptions and Catalog'!$E$64+'Assumptions and Catalog'!$F$64,IF(((D261+E261)*C261)&lt;='Assumptions and Catalog'!$C$65,((D261+E261)*C261)*'Assumptions and Catalog'!$H$65+'Assumptions and Catalog'!$E$65+'Assumptions and Catalog'!$F$65,"Out of range")))))))))*(1+'Assumptions and Catalog'!$C$8)^(A261-1),0)</f>
        <v>8554.9666666666672</v>
      </c>
      <c r="N261" s="5">
        <f>IF(ISNUMBER(Inputs!$L$5),(IF(Inputs!$L$9="Actual flat rate",L261*Inputs!$L$10,IF(Inputs!$C$9="Residential",IF(L261&lt;='Assumptions and Catalog'!$C$50,L261*'Assumptions and Catalog'!$H$50+'Assumptions and Catalog'!$E$50+'Assumptions and Catalog'!$F$50,IF(L261&lt;='Assumptions and Catalog'!$C$51,L261*'Assumptions and Catalog'!$H$51+'Assumptions and Catalog'!$E$51+'Assumptions and Catalog'!$F$51,IF(L261&lt;='Assumptions and Catalog'!$C$52,L261*'Assumptions and Catalog'!$H$52+'Assumptions and Catalog'!$E$52+'Assumptions and Catalog'!$F$52,IF(L261&lt;='Assumptions and Catalog'!$C$53,L261*'Assumptions and Catalog'!$H$53+'Assumptions and Catalog'!$E$53+'Assumptions and Catalog'!$F$53,IF(L261&lt;='Assumptions and Catalog'!$C$54,L261*'Assumptions and Catalog'!$H$54+'Assumptions and Catalog'!$E$54+'Assumptions and Catalog'!$F$54,IF(L261&lt;='Assumptions and Catalog'!$C$55,L261*'Assumptions and Catalog'!$H$55+'Assumptions and Catalog'!$E$55+'Assumptions and Catalog'!$F$55,IF(L261&lt;='Assumptions and Catalog'!$C$56,L261*'Assumptions and Catalog'!$H$56+'Assumptions and Catalog'!$E$56+'Assumptions and Catalog'!$F$56,IF(L261&lt;='Assumptions and Catalog'!$C$57,L261*'Assumptions and Catalog'!$H$57+'Assumptions and Catalog'!$E$57+'Assumptions and Catalog'!$F$57,"Out of range")))))))),IF(L261&lt;='Assumptions and Catalog'!$C$60,L261*'Assumptions and Catalog'!$H$60+'Assumptions and Catalog'!$E$60+'Assumptions and Catalog'!$F$60,IF(L261&lt;='Assumptions and Catalog'!$C$61,L261*'Assumptions and Catalog'!$H$61+'Assumptions and Catalog'!$E$61+'Assumptions and Catalog'!$F$61,IF(L261&lt;='Assumptions and Catalog'!$C$62,L261*'Assumptions and Catalog'!$H$62+'Assumptions and Catalog'!$E$62+'Assumptions and Catalog'!$F$62,IF(L261&lt;='Assumptions and Catalog'!$C$63,L261*'Assumptions and Catalog'!$H$63+'Assumptions and Catalog'!$E$63+'Assumptions and Catalog'!$F$63,IF(L261&lt;='Assumptions and Catalog'!$C$64,L261*'Assumptions and Catalog'!$H$64+'Assumptions and Catalog'!$E$64+'Assumptions and Catalog'!$F$64,IF(L261&lt;='Assumptions and Catalog'!$C$65,L261*'Assumptions and Catalog'!$H$65+'Assumptions and Catalog'!$E$65+'Assumptions and Catalog'!$F$65,"Out of range")))))))))*(1+'Assumptions and Catalog'!$C$8)^(A261-1),0)</f>
        <v>5156.8868287022706</v>
      </c>
      <c r="O261" s="5">
        <f t="shared" si="18"/>
        <v>3398.0798379643966</v>
      </c>
      <c r="P261" s="5">
        <f>C$55*(1-J$14)*(1-'Assumptions and Catalog'!$C$23)^R261</f>
        <v>0</v>
      </c>
      <c r="Q261" s="5">
        <f>IF(ISNUMBER(Inputs!$L$5),(IF(Inputs!$L$9="Actual flat rate",((D261+E261)*C261-G261)*Inputs!$L$10,IF(Inputs!$C$9="Residential",IF(((D261+E261)*C261-G261)&lt;='Assumptions and Catalog'!$C$50,((D261+E261)*C261-G261)*'Assumptions and Catalog'!$H$50+'Assumptions and Catalog'!$E$50+'Assumptions and Catalog'!$F$50,IF(((D261+E261)*C261-G261)&lt;='Assumptions and Catalog'!$C$51,((D261+E261)*C261-G261)*'Assumptions and Catalog'!$H$51+'Assumptions and Catalog'!$E$51+'Assumptions and Catalog'!$F$51,IF(((D261+E261)*C261-G261)&lt;='Assumptions and Catalog'!$C$52,((D261+E261)*C261-G261)*'Assumptions and Catalog'!$H$52+'Assumptions and Catalog'!$E$52+'Assumptions and Catalog'!$F$52,IF(((D261+E261)*C261-G261)&lt;='Assumptions and Catalog'!$C$53,((D261+E261)*C261-G261)*'Assumptions and Catalog'!$H$53+'Assumptions and Catalog'!$E$53+'Assumptions and Catalog'!$F$53,IF(((D261+E261)*C261-G261)&lt;='Assumptions and Catalog'!$C$54,((D261+E261)*C261-G261)*'Assumptions and Catalog'!$H$54+'Assumptions and Catalog'!$E$54+'Assumptions and Catalog'!$F$54,IF(((D261+E261)*C261-G261)&lt;='Assumptions and Catalog'!$C$55,((D261+E261)*C261-G261)*'Assumptions and Catalog'!$H$55+'Assumptions and Catalog'!$E$55+'Assumptions and Catalog'!$F$55,IF(((D261+E261)*C261-G261)&lt;='Assumptions and Catalog'!$C$56,((D261+E261)*C261-G261)*'Assumptions and Catalog'!$H$56+'Assumptions and Catalog'!$E$56+'Assumptions and Catalog'!$F$56,IF(((D261+E261)*C261-G261)&lt;='Assumptions and Catalog'!$C$57,((D261+E261)*C261-G261)*'Assumptions and Catalog'!$H$57+'Assumptions and Catalog'!$E$57+'Assumptions and Catalog'!$F$57,"Out of range")))))))),IF(((D261+E261)*C261-G261)&lt;='Assumptions and Catalog'!$C$60,((D261+E261)*C261-G261)*'Assumptions and Catalog'!$H$60+'Assumptions and Catalog'!$E$60+'Assumptions and Catalog'!$F$60,IF(((D261+E261)*C261-G261)&lt;='Assumptions and Catalog'!$C$61,((D261+E261)*C261-G261)*'Assumptions and Catalog'!$H$61+'Assumptions and Catalog'!$E$61+'Assumptions and Catalog'!$F$61,IF(((D261+E261)*C261-G261)&lt;='Assumptions and Catalog'!$C$62,((D261+E261)*C261-G261)*'Assumptions and Catalog'!$H$62+'Assumptions and Catalog'!$E$62+'Assumptions and Catalog'!$F$62,IF(((D261+E261)*C261-G261)&lt;='Assumptions and Catalog'!$C$63,((D261+E261)*C261-G261)*'Assumptions and Catalog'!$H$63+'Assumptions and Catalog'!$E$63+'Assumptions and Catalog'!$F$63,IF(((D261+E261)*C261-G261)&lt;='Assumptions and Catalog'!$C$64,((D261+E261)*C261-G261)*'Assumptions and Catalog'!$H$64+'Assumptions and Catalog'!$E$64+'Assumptions and Catalog'!$F$64,IF(((D261+E261)*C261-G261)&lt;='Assumptions and Catalog'!$C$65,((D261+E261)*C261-G261)*'Assumptions and Catalog'!$H$65+'Assumptions and Catalog'!$E$65+'Assumptions and Catalog'!$F$65,"Out of range")))))))))*(1+'Assumptions and Catalog'!$C$8)^(A261-1),0)</f>
        <v>5156.8868287022706</v>
      </c>
      <c r="R261" s="5">
        <f>IF(AND('Assumptions and Catalog'!$C$19&gt;0,A261&gt;='Assumptions and Catalog'!$C$19),A261-'Assumptions and Catalog'!$C$19,A261-1)</f>
        <v>8</v>
      </c>
      <c r="S261" s="5">
        <f t="shared" si="19"/>
        <v>0</v>
      </c>
      <c r="T261" s="5"/>
      <c r="U261" s="5"/>
    </row>
    <row r="262" spans="1:21" ht="23.1" customHeight="1" outlineLevel="1" x14ac:dyDescent="0.2">
      <c r="A262" s="5">
        <v>9</v>
      </c>
      <c r="B262" s="5">
        <v>6</v>
      </c>
      <c r="C262" s="5">
        <f>DAY(DATE('Assumptions and Catalog'!$C$24+A262-1,B262+1,0))</f>
        <v>30</v>
      </c>
      <c r="D262" s="5">
        <f>IF(ISNUMBER(Inputs!$L$5),Inputs!$L$5*Inputs!$L$6,0)</f>
        <v>40.35</v>
      </c>
      <c r="E262" s="5">
        <f>IF(ISNUMBER(Inputs!$L$5),Inputs!$L$5-D262,0)</f>
        <v>40.35</v>
      </c>
      <c r="F262" s="5">
        <f>C$51*'Assumptions and Catalog'!$C$31*C262*(1-'Assumptions and Catalog'!$C$10)^(A262-1)</f>
        <v>961.63452275814109</v>
      </c>
      <c r="G262" s="5">
        <f t="shared" si="14"/>
        <v>961.63452275814109</v>
      </c>
      <c r="H262" s="5">
        <f>I262/('Assumptions and Catalog'!$C$11*'Assumptions and Catalog'!$C$12)</f>
        <v>0</v>
      </c>
      <c r="I262" s="5">
        <f>0</f>
        <v>0</v>
      </c>
      <c r="J262" s="5">
        <f t="shared" si="15"/>
        <v>0</v>
      </c>
      <c r="K262" s="5">
        <f t="shared" si="16"/>
        <v>0</v>
      </c>
      <c r="L262" s="5">
        <f t="shared" si="17"/>
        <v>1459.365477241859</v>
      </c>
      <c r="M262" s="5">
        <f>IF(ISNUMBER(Inputs!$L$5),(IF(Inputs!$L$9="Actual flat rate",((D262+E262)*C262)*Inputs!$L$10,IF(Inputs!$C$9="Residential",IF(((D262+E262)*C262)&lt;='Assumptions and Catalog'!$C$50,((D262+E262)*C262)*'Assumptions and Catalog'!$H$50+'Assumptions and Catalog'!$E$50+'Assumptions and Catalog'!$F$50,IF(((D262+E262)*C262)&lt;='Assumptions and Catalog'!$C$51,((D262+E262)*C262)*'Assumptions and Catalog'!$H$51+'Assumptions and Catalog'!$E$51+'Assumptions and Catalog'!$F$51,IF(((D262+E262)*C262)&lt;='Assumptions and Catalog'!$C$52,((D262+E262)*C262)*'Assumptions and Catalog'!$H$52+'Assumptions and Catalog'!$E$52+'Assumptions and Catalog'!$F$52,IF(((D262+E262)*C262)&lt;='Assumptions and Catalog'!$C$53,((D262+E262)*C262)*'Assumptions and Catalog'!$H$53+'Assumptions and Catalog'!$E$53+'Assumptions and Catalog'!$F$53,IF(((D262+E262)*C262)&lt;='Assumptions and Catalog'!$C$54,((D262+E262)*C262)*'Assumptions and Catalog'!$H$54+'Assumptions and Catalog'!$E$54+'Assumptions and Catalog'!$F$54,IF(((D262+E262)*C262)&lt;='Assumptions and Catalog'!$C$55,((D262+E262)*C262)*'Assumptions and Catalog'!$H$55+'Assumptions and Catalog'!$E$55+'Assumptions and Catalog'!$F$55,IF(((D262+E262)*C262)&lt;='Assumptions and Catalog'!$C$56,((D262+E262)*C262)*'Assumptions and Catalog'!$H$56+'Assumptions and Catalog'!$E$56+'Assumptions and Catalog'!$F$56,IF(((D262+E262)*C262)&lt;='Assumptions and Catalog'!$C$57,((D262+E262)*C262)*'Assumptions and Catalog'!$H$57+'Assumptions and Catalog'!$E$57+'Assumptions and Catalog'!$F$57,"Out of range")))))))),IF(((D262+E262)*C262)&lt;='Assumptions and Catalog'!$C$60,((D262+E262)*C262)*'Assumptions and Catalog'!$H$60+'Assumptions and Catalog'!$E$60+'Assumptions and Catalog'!$F$60,IF(((D262+E262)*C262)&lt;='Assumptions and Catalog'!$C$61,((D262+E262)*C262)*'Assumptions and Catalog'!$H$61+'Assumptions and Catalog'!$E$61+'Assumptions and Catalog'!$F$61,IF(((D262+E262)*C262)&lt;='Assumptions and Catalog'!$C$62,((D262+E262)*C262)*'Assumptions and Catalog'!$H$62+'Assumptions and Catalog'!$E$62+'Assumptions and Catalog'!$F$62,IF(((D262+E262)*C262)&lt;='Assumptions and Catalog'!$C$63,((D262+E262)*C262)*'Assumptions and Catalog'!$H$63+'Assumptions and Catalog'!$E$63+'Assumptions and Catalog'!$F$63,IF(((D262+E262)*C262)&lt;='Assumptions and Catalog'!$C$64,((D262+E262)*C262)*'Assumptions and Catalog'!$H$64+'Assumptions and Catalog'!$E$64+'Assumptions and Catalog'!$F$64,IF(((D262+E262)*C262)&lt;='Assumptions and Catalog'!$C$65,((D262+E262)*C262)*'Assumptions and Catalog'!$H$65+'Assumptions and Catalog'!$E$65+'Assumptions and Catalog'!$F$65,"Out of range")))))))))*(1+'Assumptions and Catalog'!$C$8)^(A262-1),0)</f>
        <v>8279</v>
      </c>
      <c r="N262" s="5">
        <f>IF(ISNUMBER(Inputs!$L$5),(IF(Inputs!$L$9="Actual flat rate",L262*Inputs!$L$10,IF(Inputs!$C$9="Residential",IF(L262&lt;='Assumptions and Catalog'!$C$50,L262*'Assumptions and Catalog'!$H$50+'Assumptions and Catalog'!$E$50+'Assumptions and Catalog'!$F$50,IF(L262&lt;='Assumptions and Catalog'!$C$51,L262*'Assumptions and Catalog'!$H$51+'Assumptions and Catalog'!$E$51+'Assumptions and Catalog'!$F$51,IF(L262&lt;='Assumptions and Catalog'!$C$52,L262*'Assumptions and Catalog'!$H$52+'Assumptions and Catalog'!$E$52+'Assumptions and Catalog'!$F$52,IF(L262&lt;='Assumptions and Catalog'!$C$53,L262*'Assumptions and Catalog'!$H$53+'Assumptions and Catalog'!$E$53+'Assumptions and Catalog'!$F$53,IF(L262&lt;='Assumptions and Catalog'!$C$54,L262*'Assumptions and Catalog'!$H$54+'Assumptions and Catalog'!$E$54+'Assumptions and Catalog'!$F$54,IF(L262&lt;='Assumptions and Catalog'!$C$55,L262*'Assumptions and Catalog'!$H$55+'Assumptions and Catalog'!$E$55+'Assumptions and Catalog'!$F$55,IF(L262&lt;='Assumptions and Catalog'!$C$56,L262*'Assumptions and Catalog'!$H$56+'Assumptions and Catalog'!$E$56+'Assumptions and Catalog'!$F$56,IF(L262&lt;='Assumptions and Catalog'!$C$57,L262*'Assumptions and Catalog'!$H$57+'Assumptions and Catalog'!$E$57+'Assumptions and Catalog'!$F$57,"Out of range")))))))),IF(L262&lt;='Assumptions and Catalog'!$C$60,L262*'Assumptions and Catalog'!$H$60+'Assumptions and Catalog'!$E$60+'Assumptions and Catalog'!$F$60,IF(L262&lt;='Assumptions and Catalog'!$C$61,L262*'Assumptions and Catalog'!$H$61+'Assumptions and Catalog'!$E$61+'Assumptions and Catalog'!$F$61,IF(L262&lt;='Assumptions and Catalog'!$C$62,L262*'Assumptions and Catalog'!$H$62+'Assumptions and Catalog'!$E$62+'Assumptions and Catalog'!$F$62,IF(L262&lt;='Assumptions and Catalog'!$C$63,L262*'Assumptions and Catalog'!$H$63+'Assumptions and Catalog'!$E$63+'Assumptions and Catalog'!$F$63,IF(L262&lt;='Assumptions and Catalog'!$C$64,L262*'Assumptions and Catalog'!$H$64+'Assumptions and Catalog'!$E$64+'Assumptions and Catalog'!$F$64,IF(L262&lt;='Assumptions and Catalog'!$C$65,L262*'Assumptions and Catalog'!$H$65+'Assumptions and Catalog'!$E$65+'Assumptions and Catalog'!$F$65,"Out of range")))))))))*(1+'Assumptions and Catalog'!$C$8)^(A262-1),0)</f>
        <v>4990.5356406796163</v>
      </c>
      <c r="O262" s="5">
        <f t="shared" si="18"/>
        <v>3288.4643593203837</v>
      </c>
      <c r="P262" s="5">
        <f>C$55*(1-J$14)*(1-'Assumptions and Catalog'!$C$23)^R262</f>
        <v>0</v>
      </c>
      <c r="Q262" s="5">
        <f>IF(ISNUMBER(Inputs!$L$5),(IF(Inputs!$L$9="Actual flat rate",((D262+E262)*C262-G262)*Inputs!$L$10,IF(Inputs!$C$9="Residential",IF(((D262+E262)*C262-G262)&lt;='Assumptions and Catalog'!$C$50,((D262+E262)*C262-G262)*'Assumptions and Catalog'!$H$50+'Assumptions and Catalog'!$E$50+'Assumptions and Catalog'!$F$50,IF(((D262+E262)*C262-G262)&lt;='Assumptions and Catalog'!$C$51,((D262+E262)*C262-G262)*'Assumptions and Catalog'!$H$51+'Assumptions and Catalog'!$E$51+'Assumptions and Catalog'!$F$51,IF(((D262+E262)*C262-G262)&lt;='Assumptions and Catalog'!$C$52,((D262+E262)*C262-G262)*'Assumptions and Catalog'!$H$52+'Assumptions and Catalog'!$E$52+'Assumptions and Catalog'!$F$52,IF(((D262+E262)*C262-G262)&lt;='Assumptions and Catalog'!$C$53,((D262+E262)*C262-G262)*'Assumptions and Catalog'!$H$53+'Assumptions and Catalog'!$E$53+'Assumptions and Catalog'!$F$53,IF(((D262+E262)*C262-G262)&lt;='Assumptions and Catalog'!$C$54,((D262+E262)*C262-G262)*'Assumptions and Catalog'!$H$54+'Assumptions and Catalog'!$E$54+'Assumptions and Catalog'!$F$54,IF(((D262+E262)*C262-G262)&lt;='Assumptions and Catalog'!$C$55,((D262+E262)*C262-G262)*'Assumptions and Catalog'!$H$55+'Assumptions and Catalog'!$E$55+'Assumptions and Catalog'!$F$55,IF(((D262+E262)*C262-G262)&lt;='Assumptions and Catalog'!$C$56,((D262+E262)*C262-G262)*'Assumptions and Catalog'!$H$56+'Assumptions and Catalog'!$E$56+'Assumptions and Catalog'!$F$56,IF(((D262+E262)*C262-G262)&lt;='Assumptions and Catalog'!$C$57,((D262+E262)*C262-G262)*'Assumptions and Catalog'!$H$57+'Assumptions and Catalog'!$E$57+'Assumptions and Catalog'!$F$57,"Out of range")))))))),IF(((D262+E262)*C262-G262)&lt;='Assumptions and Catalog'!$C$60,((D262+E262)*C262-G262)*'Assumptions and Catalog'!$H$60+'Assumptions and Catalog'!$E$60+'Assumptions and Catalog'!$F$60,IF(((D262+E262)*C262-G262)&lt;='Assumptions and Catalog'!$C$61,((D262+E262)*C262-G262)*'Assumptions and Catalog'!$H$61+'Assumptions and Catalog'!$E$61+'Assumptions and Catalog'!$F$61,IF(((D262+E262)*C262-G262)&lt;='Assumptions and Catalog'!$C$62,((D262+E262)*C262-G262)*'Assumptions and Catalog'!$H$62+'Assumptions and Catalog'!$E$62+'Assumptions and Catalog'!$F$62,IF(((D262+E262)*C262-G262)&lt;='Assumptions and Catalog'!$C$63,((D262+E262)*C262-G262)*'Assumptions and Catalog'!$H$63+'Assumptions and Catalog'!$E$63+'Assumptions and Catalog'!$F$63,IF(((D262+E262)*C262-G262)&lt;='Assumptions and Catalog'!$C$64,((D262+E262)*C262-G262)*'Assumptions and Catalog'!$H$64+'Assumptions and Catalog'!$E$64+'Assumptions and Catalog'!$F$64,IF(((D262+E262)*C262-G262)&lt;='Assumptions and Catalog'!$C$65,((D262+E262)*C262-G262)*'Assumptions and Catalog'!$H$65+'Assumptions and Catalog'!$E$65+'Assumptions and Catalog'!$F$65,"Out of range")))))))))*(1+'Assumptions and Catalog'!$C$8)^(A262-1),0)</f>
        <v>4990.5356406796163</v>
      </c>
      <c r="R262" s="5">
        <f>IF(AND('Assumptions and Catalog'!$C$19&gt;0,A262&gt;='Assumptions and Catalog'!$C$19),A262-'Assumptions and Catalog'!$C$19,A262-1)</f>
        <v>8</v>
      </c>
      <c r="S262" s="5">
        <f t="shared" si="19"/>
        <v>0</v>
      </c>
      <c r="T262" s="5"/>
      <c r="U262" s="5"/>
    </row>
    <row r="263" spans="1:21" ht="23.1" customHeight="1" outlineLevel="1" x14ac:dyDescent="0.2">
      <c r="A263" s="5">
        <v>9</v>
      </c>
      <c r="B263" s="5">
        <v>7</v>
      </c>
      <c r="C263" s="5">
        <f>DAY(DATE('Assumptions and Catalog'!$C$24+A263-1,B263+1,0))</f>
        <v>31</v>
      </c>
      <c r="D263" s="5">
        <f>IF(ISNUMBER(Inputs!$L$5),Inputs!$L$5*Inputs!$L$6,0)</f>
        <v>40.35</v>
      </c>
      <c r="E263" s="5">
        <f>IF(ISNUMBER(Inputs!$L$5),Inputs!$L$5-D263,0)</f>
        <v>40.35</v>
      </c>
      <c r="F263" s="5">
        <f>C$51*'Assumptions and Catalog'!$C$31*C263*(1-'Assumptions and Catalog'!$C$10)^(A263-1)</f>
        <v>993.68900685007907</v>
      </c>
      <c r="G263" s="5">
        <f t="shared" si="14"/>
        <v>993.68900685007907</v>
      </c>
      <c r="H263" s="5">
        <f>I263/('Assumptions and Catalog'!$C$11*'Assumptions and Catalog'!$C$12)</f>
        <v>0</v>
      </c>
      <c r="I263" s="5">
        <f>0</f>
        <v>0</v>
      </c>
      <c r="J263" s="5">
        <f t="shared" si="15"/>
        <v>0</v>
      </c>
      <c r="K263" s="5">
        <f t="shared" si="16"/>
        <v>0</v>
      </c>
      <c r="L263" s="5">
        <f t="shared" si="17"/>
        <v>1508.0109931499212</v>
      </c>
      <c r="M263" s="5">
        <f>IF(ISNUMBER(Inputs!$L$5),(IF(Inputs!$L$9="Actual flat rate",((D263+E263)*C263)*Inputs!$L$10,IF(Inputs!$C$9="Residential",IF(((D263+E263)*C263)&lt;='Assumptions and Catalog'!$C$50,((D263+E263)*C263)*'Assumptions and Catalog'!$H$50+'Assumptions and Catalog'!$E$50+'Assumptions and Catalog'!$F$50,IF(((D263+E263)*C263)&lt;='Assumptions and Catalog'!$C$51,((D263+E263)*C263)*'Assumptions and Catalog'!$H$51+'Assumptions and Catalog'!$E$51+'Assumptions and Catalog'!$F$51,IF(((D263+E263)*C263)&lt;='Assumptions and Catalog'!$C$52,((D263+E263)*C263)*'Assumptions and Catalog'!$H$52+'Assumptions and Catalog'!$E$52+'Assumptions and Catalog'!$F$52,IF(((D263+E263)*C263)&lt;='Assumptions and Catalog'!$C$53,((D263+E263)*C263)*'Assumptions and Catalog'!$H$53+'Assumptions and Catalog'!$E$53+'Assumptions and Catalog'!$F$53,IF(((D263+E263)*C263)&lt;='Assumptions and Catalog'!$C$54,((D263+E263)*C263)*'Assumptions and Catalog'!$H$54+'Assumptions and Catalog'!$E$54+'Assumptions and Catalog'!$F$54,IF(((D263+E263)*C263)&lt;='Assumptions and Catalog'!$C$55,((D263+E263)*C263)*'Assumptions and Catalog'!$H$55+'Assumptions and Catalog'!$E$55+'Assumptions and Catalog'!$F$55,IF(((D263+E263)*C263)&lt;='Assumptions and Catalog'!$C$56,((D263+E263)*C263)*'Assumptions and Catalog'!$H$56+'Assumptions and Catalog'!$E$56+'Assumptions and Catalog'!$F$56,IF(((D263+E263)*C263)&lt;='Assumptions and Catalog'!$C$57,((D263+E263)*C263)*'Assumptions and Catalog'!$H$57+'Assumptions and Catalog'!$E$57+'Assumptions and Catalog'!$F$57,"Out of range")))))))),IF(((D263+E263)*C263)&lt;='Assumptions and Catalog'!$C$60,((D263+E263)*C263)*'Assumptions and Catalog'!$H$60+'Assumptions and Catalog'!$E$60+'Assumptions and Catalog'!$F$60,IF(((D263+E263)*C263)&lt;='Assumptions and Catalog'!$C$61,((D263+E263)*C263)*'Assumptions and Catalog'!$H$61+'Assumptions and Catalog'!$E$61+'Assumptions and Catalog'!$F$61,IF(((D263+E263)*C263)&lt;='Assumptions and Catalog'!$C$62,((D263+E263)*C263)*'Assumptions and Catalog'!$H$62+'Assumptions and Catalog'!$E$62+'Assumptions and Catalog'!$F$62,IF(((D263+E263)*C263)&lt;='Assumptions and Catalog'!$C$63,((D263+E263)*C263)*'Assumptions and Catalog'!$H$63+'Assumptions and Catalog'!$E$63+'Assumptions and Catalog'!$F$63,IF(((D263+E263)*C263)&lt;='Assumptions and Catalog'!$C$64,((D263+E263)*C263)*'Assumptions and Catalog'!$H$64+'Assumptions and Catalog'!$E$64+'Assumptions and Catalog'!$F$64,IF(((D263+E263)*C263)&lt;='Assumptions and Catalog'!$C$65,((D263+E263)*C263)*'Assumptions and Catalog'!$H$65+'Assumptions and Catalog'!$E$65+'Assumptions and Catalog'!$F$65,"Out of range")))))))))*(1+'Assumptions and Catalog'!$C$8)^(A263-1),0)</f>
        <v>8554.9666666666672</v>
      </c>
      <c r="N263" s="5">
        <f>IF(ISNUMBER(Inputs!$L$5),(IF(Inputs!$L$9="Actual flat rate",L263*Inputs!$L$10,IF(Inputs!$C$9="Residential",IF(L263&lt;='Assumptions and Catalog'!$C$50,L263*'Assumptions and Catalog'!$H$50+'Assumptions and Catalog'!$E$50+'Assumptions and Catalog'!$F$50,IF(L263&lt;='Assumptions and Catalog'!$C$51,L263*'Assumptions and Catalog'!$H$51+'Assumptions and Catalog'!$E$51+'Assumptions and Catalog'!$F$51,IF(L263&lt;='Assumptions and Catalog'!$C$52,L263*'Assumptions and Catalog'!$H$52+'Assumptions and Catalog'!$E$52+'Assumptions and Catalog'!$F$52,IF(L263&lt;='Assumptions and Catalog'!$C$53,L263*'Assumptions and Catalog'!$H$53+'Assumptions and Catalog'!$E$53+'Assumptions and Catalog'!$F$53,IF(L263&lt;='Assumptions and Catalog'!$C$54,L263*'Assumptions and Catalog'!$H$54+'Assumptions and Catalog'!$E$54+'Assumptions and Catalog'!$F$54,IF(L263&lt;='Assumptions and Catalog'!$C$55,L263*'Assumptions and Catalog'!$H$55+'Assumptions and Catalog'!$E$55+'Assumptions and Catalog'!$F$55,IF(L263&lt;='Assumptions and Catalog'!$C$56,L263*'Assumptions and Catalog'!$H$56+'Assumptions and Catalog'!$E$56+'Assumptions and Catalog'!$F$56,IF(L263&lt;='Assumptions and Catalog'!$C$57,L263*'Assumptions and Catalog'!$H$57+'Assumptions and Catalog'!$E$57+'Assumptions and Catalog'!$F$57,"Out of range")))))))),IF(L263&lt;='Assumptions and Catalog'!$C$60,L263*'Assumptions and Catalog'!$H$60+'Assumptions and Catalog'!$E$60+'Assumptions and Catalog'!$F$60,IF(L263&lt;='Assumptions and Catalog'!$C$61,L263*'Assumptions and Catalog'!$H$61+'Assumptions and Catalog'!$E$61+'Assumptions and Catalog'!$F$61,IF(L263&lt;='Assumptions and Catalog'!$C$62,L263*'Assumptions and Catalog'!$H$62+'Assumptions and Catalog'!$E$62+'Assumptions and Catalog'!$F$62,IF(L263&lt;='Assumptions and Catalog'!$C$63,L263*'Assumptions and Catalog'!$H$63+'Assumptions and Catalog'!$E$63+'Assumptions and Catalog'!$F$63,IF(L263&lt;='Assumptions and Catalog'!$C$64,L263*'Assumptions and Catalog'!$H$64+'Assumptions and Catalog'!$E$64+'Assumptions and Catalog'!$F$64,IF(L263&lt;='Assumptions and Catalog'!$C$65,L263*'Assumptions and Catalog'!$H$65+'Assumptions and Catalog'!$E$65+'Assumptions and Catalog'!$F$65,"Out of range")))))))))*(1+'Assumptions and Catalog'!$C$8)^(A263-1),0)</f>
        <v>5156.8868287022706</v>
      </c>
      <c r="O263" s="5">
        <f t="shared" si="18"/>
        <v>3398.0798379643966</v>
      </c>
      <c r="P263" s="5">
        <f>C$55*(1-J$14)*(1-'Assumptions and Catalog'!$C$23)^R263</f>
        <v>0</v>
      </c>
      <c r="Q263" s="5">
        <f>IF(ISNUMBER(Inputs!$L$5),(IF(Inputs!$L$9="Actual flat rate",((D263+E263)*C263-G263)*Inputs!$L$10,IF(Inputs!$C$9="Residential",IF(((D263+E263)*C263-G263)&lt;='Assumptions and Catalog'!$C$50,((D263+E263)*C263-G263)*'Assumptions and Catalog'!$H$50+'Assumptions and Catalog'!$E$50+'Assumptions and Catalog'!$F$50,IF(((D263+E263)*C263-G263)&lt;='Assumptions and Catalog'!$C$51,((D263+E263)*C263-G263)*'Assumptions and Catalog'!$H$51+'Assumptions and Catalog'!$E$51+'Assumptions and Catalog'!$F$51,IF(((D263+E263)*C263-G263)&lt;='Assumptions and Catalog'!$C$52,((D263+E263)*C263-G263)*'Assumptions and Catalog'!$H$52+'Assumptions and Catalog'!$E$52+'Assumptions and Catalog'!$F$52,IF(((D263+E263)*C263-G263)&lt;='Assumptions and Catalog'!$C$53,((D263+E263)*C263-G263)*'Assumptions and Catalog'!$H$53+'Assumptions and Catalog'!$E$53+'Assumptions and Catalog'!$F$53,IF(((D263+E263)*C263-G263)&lt;='Assumptions and Catalog'!$C$54,((D263+E263)*C263-G263)*'Assumptions and Catalog'!$H$54+'Assumptions and Catalog'!$E$54+'Assumptions and Catalog'!$F$54,IF(((D263+E263)*C263-G263)&lt;='Assumptions and Catalog'!$C$55,((D263+E263)*C263-G263)*'Assumptions and Catalog'!$H$55+'Assumptions and Catalog'!$E$55+'Assumptions and Catalog'!$F$55,IF(((D263+E263)*C263-G263)&lt;='Assumptions and Catalog'!$C$56,((D263+E263)*C263-G263)*'Assumptions and Catalog'!$H$56+'Assumptions and Catalog'!$E$56+'Assumptions and Catalog'!$F$56,IF(((D263+E263)*C263-G263)&lt;='Assumptions and Catalog'!$C$57,((D263+E263)*C263-G263)*'Assumptions and Catalog'!$H$57+'Assumptions and Catalog'!$E$57+'Assumptions and Catalog'!$F$57,"Out of range")))))))),IF(((D263+E263)*C263-G263)&lt;='Assumptions and Catalog'!$C$60,((D263+E263)*C263-G263)*'Assumptions and Catalog'!$H$60+'Assumptions and Catalog'!$E$60+'Assumptions and Catalog'!$F$60,IF(((D263+E263)*C263-G263)&lt;='Assumptions and Catalog'!$C$61,((D263+E263)*C263-G263)*'Assumptions and Catalog'!$H$61+'Assumptions and Catalog'!$E$61+'Assumptions and Catalog'!$F$61,IF(((D263+E263)*C263-G263)&lt;='Assumptions and Catalog'!$C$62,((D263+E263)*C263-G263)*'Assumptions and Catalog'!$H$62+'Assumptions and Catalog'!$E$62+'Assumptions and Catalog'!$F$62,IF(((D263+E263)*C263-G263)&lt;='Assumptions and Catalog'!$C$63,((D263+E263)*C263-G263)*'Assumptions and Catalog'!$H$63+'Assumptions and Catalog'!$E$63+'Assumptions and Catalog'!$F$63,IF(((D263+E263)*C263-G263)&lt;='Assumptions and Catalog'!$C$64,((D263+E263)*C263-G263)*'Assumptions and Catalog'!$H$64+'Assumptions and Catalog'!$E$64+'Assumptions and Catalog'!$F$64,IF(((D263+E263)*C263-G263)&lt;='Assumptions and Catalog'!$C$65,((D263+E263)*C263-G263)*'Assumptions and Catalog'!$H$65+'Assumptions and Catalog'!$E$65+'Assumptions and Catalog'!$F$65,"Out of range")))))))))*(1+'Assumptions and Catalog'!$C$8)^(A263-1),0)</f>
        <v>5156.8868287022706</v>
      </c>
      <c r="R263" s="5">
        <f>IF(AND('Assumptions and Catalog'!$C$19&gt;0,A263&gt;='Assumptions and Catalog'!$C$19),A263-'Assumptions and Catalog'!$C$19,A263-1)</f>
        <v>8</v>
      </c>
      <c r="S263" s="5">
        <f t="shared" si="19"/>
        <v>0</v>
      </c>
      <c r="T263" s="5"/>
      <c r="U263" s="5"/>
    </row>
    <row r="264" spans="1:21" ht="23.1" customHeight="1" outlineLevel="1" x14ac:dyDescent="0.2">
      <c r="A264" s="5">
        <v>9</v>
      </c>
      <c r="B264" s="5">
        <v>8</v>
      </c>
      <c r="C264" s="5">
        <f>DAY(DATE('Assumptions and Catalog'!$C$24+A264-1,B264+1,0))</f>
        <v>31</v>
      </c>
      <c r="D264" s="5">
        <f>IF(ISNUMBER(Inputs!$L$5),Inputs!$L$5*Inputs!$L$6,0)</f>
        <v>40.35</v>
      </c>
      <c r="E264" s="5">
        <f>IF(ISNUMBER(Inputs!$L$5),Inputs!$L$5-D264,0)</f>
        <v>40.35</v>
      </c>
      <c r="F264" s="5">
        <f>C$51*'Assumptions and Catalog'!$C$31*C264*(1-'Assumptions and Catalog'!$C$10)^(A264-1)</f>
        <v>993.68900685007907</v>
      </c>
      <c r="G264" s="5">
        <f t="shared" si="14"/>
        <v>993.68900685007907</v>
      </c>
      <c r="H264" s="5">
        <f>I264/('Assumptions and Catalog'!$C$11*'Assumptions and Catalog'!$C$12)</f>
        <v>0</v>
      </c>
      <c r="I264" s="5">
        <f>0</f>
        <v>0</v>
      </c>
      <c r="J264" s="5">
        <f t="shared" si="15"/>
        <v>0</v>
      </c>
      <c r="K264" s="5">
        <f t="shared" si="16"/>
        <v>0</v>
      </c>
      <c r="L264" s="5">
        <f t="shared" si="17"/>
        <v>1508.0109931499212</v>
      </c>
      <c r="M264" s="5">
        <f>IF(ISNUMBER(Inputs!$L$5),(IF(Inputs!$L$9="Actual flat rate",((D264+E264)*C264)*Inputs!$L$10,IF(Inputs!$C$9="Residential",IF(((D264+E264)*C264)&lt;='Assumptions and Catalog'!$C$50,((D264+E264)*C264)*'Assumptions and Catalog'!$H$50+'Assumptions and Catalog'!$E$50+'Assumptions and Catalog'!$F$50,IF(((D264+E264)*C264)&lt;='Assumptions and Catalog'!$C$51,((D264+E264)*C264)*'Assumptions and Catalog'!$H$51+'Assumptions and Catalog'!$E$51+'Assumptions and Catalog'!$F$51,IF(((D264+E264)*C264)&lt;='Assumptions and Catalog'!$C$52,((D264+E264)*C264)*'Assumptions and Catalog'!$H$52+'Assumptions and Catalog'!$E$52+'Assumptions and Catalog'!$F$52,IF(((D264+E264)*C264)&lt;='Assumptions and Catalog'!$C$53,((D264+E264)*C264)*'Assumptions and Catalog'!$H$53+'Assumptions and Catalog'!$E$53+'Assumptions and Catalog'!$F$53,IF(((D264+E264)*C264)&lt;='Assumptions and Catalog'!$C$54,((D264+E264)*C264)*'Assumptions and Catalog'!$H$54+'Assumptions and Catalog'!$E$54+'Assumptions and Catalog'!$F$54,IF(((D264+E264)*C264)&lt;='Assumptions and Catalog'!$C$55,((D264+E264)*C264)*'Assumptions and Catalog'!$H$55+'Assumptions and Catalog'!$E$55+'Assumptions and Catalog'!$F$55,IF(((D264+E264)*C264)&lt;='Assumptions and Catalog'!$C$56,((D264+E264)*C264)*'Assumptions and Catalog'!$H$56+'Assumptions and Catalog'!$E$56+'Assumptions and Catalog'!$F$56,IF(((D264+E264)*C264)&lt;='Assumptions and Catalog'!$C$57,((D264+E264)*C264)*'Assumptions and Catalog'!$H$57+'Assumptions and Catalog'!$E$57+'Assumptions and Catalog'!$F$57,"Out of range")))))))),IF(((D264+E264)*C264)&lt;='Assumptions and Catalog'!$C$60,((D264+E264)*C264)*'Assumptions and Catalog'!$H$60+'Assumptions and Catalog'!$E$60+'Assumptions and Catalog'!$F$60,IF(((D264+E264)*C264)&lt;='Assumptions and Catalog'!$C$61,((D264+E264)*C264)*'Assumptions and Catalog'!$H$61+'Assumptions and Catalog'!$E$61+'Assumptions and Catalog'!$F$61,IF(((D264+E264)*C264)&lt;='Assumptions and Catalog'!$C$62,((D264+E264)*C264)*'Assumptions and Catalog'!$H$62+'Assumptions and Catalog'!$E$62+'Assumptions and Catalog'!$F$62,IF(((D264+E264)*C264)&lt;='Assumptions and Catalog'!$C$63,((D264+E264)*C264)*'Assumptions and Catalog'!$H$63+'Assumptions and Catalog'!$E$63+'Assumptions and Catalog'!$F$63,IF(((D264+E264)*C264)&lt;='Assumptions and Catalog'!$C$64,((D264+E264)*C264)*'Assumptions and Catalog'!$H$64+'Assumptions and Catalog'!$E$64+'Assumptions and Catalog'!$F$64,IF(((D264+E264)*C264)&lt;='Assumptions and Catalog'!$C$65,((D264+E264)*C264)*'Assumptions and Catalog'!$H$65+'Assumptions and Catalog'!$E$65+'Assumptions and Catalog'!$F$65,"Out of range")))))))))*(1+'Assumptions and Catalog'!$C$8)^(A264-1),0)</f>
        <v>8554.9666666666672</v>
      </c>
      <c r="N264" s="5">
        <f>IF(ISNUMBER(Inputs!$L$5),(IF(Inputs!$L$9="Actual flat rate",L264*Inputs!$L$10,IF(Inputs!$C$9="Residential",IF(L264&lt;='Assumptions and Catalog'!$C$50,L264*'Assumptions and Catalog'!$H$50+'Assumptions and Catalog'!$E$50+'Assumptions and Catalog'!$F$50,IF(L264&lt;='Assumptions and Catalog'!$C$51,L264*'Assumptions and Catalog'!$H$51+'Assumptions and Catalog'!$E$51+'Assumptions and Catalog'!$F$51,IF(L264&lt;='Assumptions and Catalog'!$C$52,L264*'Assumptions and Catalog'!$H$52+'Assumptions and Catalog'!$E$52+'Assumptions and Catalog'!$F$52,IF(L264&lt;='Assumptions and Catalog'!$C$53,L264*'Assumptions and Catalog'!$H$53+'Assumptions and Catalog'!$E$53+'Assumptions and Catalog'!$F$53,IF(L264&lt;='Assumptions and Catalog'!$C$54,L264*'Assumptions and Catalog'!$H$54+'Assumptions and Catalog'!$E$54+'Assumptions and Catalog'!$F$54,IF(L264&lt;='Assumptions and Catalog'!$C$55,L264*'Assumptions and Catalog'!$H$55+'Assumptions and Catalog'!$E$55+'Assumptions and Catalog'!$F$55,IF(L264&lt;='Assumptions and Catalog'!$C$56,L264*'Assumptions and Catalog'!$H$56+'Assumptions and Catalog'!$E$56+'Assumptions and Catalog'!$F$56,IF(L264&lt;='Assumptions and Catalog'!$C$57,L264*'Assumptions and Catalog'!$H$57+'Assumptions and Catalog'!$E$57+'Assumptions and Catalog'!$F$57,"Out of range")))))))),IF(L264&lt;='Assumptions and Catalog'!$C$60,L264*'Assumptions and Catalog'!$H$60+'Assumptions and Catalog'!$E$60+'Assumptions and Catalog'!$F$60,IF(L264&lt;='Assumptions and Catalog'!$C$61,L264*'Assumptions and Catalog'!$H$61+'Assumptions and Catalog'!$E$61+'Assumptions and Catalog'!$F$61,IF(L264&lt;='Assumptions and Catalog'!$C$62,L264*'Assumptions and Catalog'!$H$62+'Assumptions and Catalog'!$E$62+'Assumptions and Catalog'!$F$62,IF(L264&lt;='Assumptions and Catalog'!$C$63,L264*'Assumptions and Catalog'!$H$63+'Assumptions and Catalog'!$E$63+'Assumptions and Catalog'!$F$63,IF(L264&lt;='Assumptions and Catalog'!$C$64,L264*'Assumptions and Catalog'!$H$64+'Assumptions and Catalog'!$E$64+'Assumptions and Catalog'!$F$64,IF(L264&lt;='Assumptions and Catalog'!$C$65,L264*'Assumptions and Catalog'!$H$65+'Assumptions and Catalog'!$E$65+'Assumptions and Catalog'!$F$65,"Out of range")))))))))*(1+'Assumptions and Catalog'!$C$8)^(A264-1),0)</f>
        <v>5156.8868287022706</v>
      </c>
      <c r="O264" s="5">
        <f t="shared" si="18"/>
        <v>3398.0798379643966</v>
      </c>
      <c r="P264" s="5">
        <f>C$55*(1-J$14)*(1-'Assumptions and Catalog'!$C$23)^R264</f>
        <v>0</v>
      </c>
      <c r="Q264" s="5">
        <f>IF(ISNUMBER(Inputs!$L$5),(IF(Inputs!$L$9="Actual flat rate",((D264+E264)*C264-G264)*Inputs!$L$10,IF(Inputs!$C$9="Residential",IF(((D264+E264)*C264-G264)&lt;='Assumptions and Catalog'!$C$50,((D264+E264)*C264-G264)*'Assumptions and Catalog'!$H$50+'Assumptions and Catalog'!$E$50+'Assumptions and Catalog'!$F$50,IF(((D264+E264)*C264-G264)&lt;='Assumptions and Catalog'!$C$51,((D264+E264)*C264-G264)*'Assumptions and Catalog'!$H$51+'Assumptions and Catalog'!$E$51+'Assumptions and Catalog'!$F$51,IF(((D264+E264)*C264-G264)&lt;='Assumptions and Catalog'!$C$52,((D264+E264)*C264-G264)*'Assumptions and Catalog'!$H$52+'Assumptions and Catalog'!$E$52+'Assumptions and Catalog'!$F$52,IF(((D264+E264)*C264-G264)&lt;='Assumptions and Catalog'!$C$53,((D264+E264)*C264-G264)*'Assumptions and Catalog'!$H$53+'Assumptions and Catalog'!$E$53+'Assumptions and Catalog'!$F$53,IF(((D264+E264)*C264-G264)&lt;='Assumptions and Catalog'!$C$54,((D264+E264)*C264-G264)*'Assumptions and Catalog'!$H$54+'Assumptions and Catalog'!$E$54+'Assumptions and Catalog'!$F$54,IF(((D264+E264)*C264-G264)&lt;='Assumptions and Catalog'!$C$55,((D264+E264)*C264-G264)*'Assumptions and Catalog'!$H$55+'Assumptions and Catalog'!$E$55+'Assumptions and Catalog'!$F$55,IF(((D264+E264)*C264-G264)&lt;='Assumptions and Catalog'!$C$56,((D264+E264)*C264-G264)*'Assumptions and Catalog'!$H$56+'Assumptions and Catalog'!$E$56+'Assumptions and Catalog'!$F$56,IF(((D264+E264)*C264-G264)&lt;='Assumptions and Catalog'!$C$57,((D264+E264)*C264-G264)*'Assumptions and Catalog'!$H$57+'Assumptions and Catalog'!$E$57+'Assumptions and Catalog'!$F$57,"Out of range")))))))),IF(((D264+E264)*C264-G264)&lt;='Assumptions and Catalog'!$C$60,((D264+E264)*C264-G264)*'Assumptions and Catalog'!$H$60+'Assumptions and Catalog'!$E$60+'Assumptions and Catalog'!$F$60,IF(((D264+E264)*C264-G264)&lt;='Assumptions and Catalog'!$C$61,((D264+E264)*C264-G264)*'Assumptions and Catalog'!$H$61+'Assumptions and Catalog'!$E$61+'Assumptions and Catalog'!$F$61,IF(((D264+E264)*C264-G264)&lt;='Assumptions and Catalog'!$C$62,((D264+E264)*C264-G264)*'Assumptions and Catalog'!$H$62+'Assumptions and Catalog'!$E$62+'Assumptions and Catalog'!$F$62,IF(((D264+E264)*C264-G264)&lt;='Assumptions and Catalog'!$C$63,((D264+E264)*C264-G264)*'Assumptions and Catalog'!$H$63+'Assumptions and Catalog'!$E$63+'Assumptions and Catalog'!$F$63,IF(((D264+E264)*C264-G264)&lt;='Assumptions and Catalog'!$C$64,((D264+E264)*C264-G264)*'Assumptions and Catalog'!$H$64+'Assumptions and Catalog'!$E$64+'Assumptions and Catalog'!$F$64,IF(((D264+E264)*C264-G264)&lt;='Assumptions and Catalog'!$C$65,((D264+E264)*C264-G264)*'Assumptions and Catalog'!$H$65+'Assumptions and Catalog'!$E$65+'Assumptions and Catalog'!$F$65,"Out of range")))))))))*(1+'Assumptions and Catalog'!$C$8)^(A264-1),0)</f>
        <v>5156.8868287022706</v>
      </c>
      <c r="R264" s="5">
        <f>IF(AND('Assumptions and Catalog'!$C$19&gt;0,A264&gt;='Assumptions and Catalog'!$C$19),A264-'Assumptions and Catalog'!$C$19,A264-1)</f>
        <v>8</v>
      </c>
      <c r="S264" s="5">
        <f t="shared" si="19"/>
        <v>0</v>
      </c>
      <c r="T264" s="5"/>
      <c r="U264" s="5"/>
    </row>
    <row r="265" spans="1:21" ht="23.1" customHeight="1" outlineLevel="1" x14ac:dyDescent="0.2">
      <c r="A265" s="5">
        <v>9</v>
      </c>
      <c r="B265" s="5">
        <v>9</v>
      </c>
      <c r="C265" s="5">
        <f>DAY(DATE('Assumptions and Catalog'!$C$24+A265-1,B265+1,0))</f>
        <v>30</v>
      </c>
      <c r="D265" s="5">
        <f>IF(ISNUMBER(Inputs!$L$5),Inputs!$L$5*Inputs!$L$6,0)</f>
        <v>40.35</v>
      </c>
      <c r="E265" s="5">
        <f>IF(ISNUMBER(Inputs!$L$5),Inputs!$L$5-D265,0)</f>
        <v>40.35</v>
      </c>
      <c r="F265" s="5">
        <f>C$51*'Assumptions and Catalog'!$C$31*C265*(1-'Assumptions and Catalog'!$C$10)^(A265-1)</f>
        <v>961.63452275814109</v>
      </c>
      <c r="G265" s="5">
        <f t="shared" si="14"/>
        <v>961.63452275814109</v>
      </c>
      <c r="H265" s="5">
        <f>I265/('Assumptions and Catalog'!$C$11*'Assumptions and Catalog'!$C$12)</f>
        <v>0</v>
      </c>
      <c r="I265" s="5">
        <f>0</f>
        <v>0</v>
      </c>
      <c r="J265" s="5">
        <f t="shared" si="15"/>
        <v>0</v>
      </c>
      <c r="K265" s="5">
        <f t="shared" si="16"/>
        <v>0</v>
      </c>
      <c r="L265" s="5">
        <f t="shared" si="17"/>
        <v>1459.365477241859</v>
      </c>
      <c r="M265" s="5">
        <f>IF(ISNUMBER(Inputs!$L$5),(IF(Inputs!$L$9="Actual flat rate",((D265+E265)*C265)*Inputs!$L$10,IF(Inputs!$C$9="Residential",IF(((D265+E265)*C265)&lt;='Assumptions and Catalog'!$C$50,((D265+E265)*C265)*'Assumptions and Catalog'!$H$50+'Assumptions and Catalog'!$E$50+'Assumptions and Catalog'!$F$50,IF(((D265+E265)*C265)&lt;='Assumptions and Catalog'!$C$51,((D265+E265)*C265)*'Assumptions and Catalog'!$H$51+'Assumptions and Catalog'!$E$51+'Assumptions and Catalog'!$F$51,IF(((D265+E265)*C265)&lt;='Assumptions and Catalog'!$C$52,((D265+E265)*C265)*'Assumptions and Catalog'!$H$52+'Assumptions and Catalog'!$E$52+'Assumptions and Catalog'!$F$52,IF(((D265+E265)*C265)&lt;='Assumptions and Catalog'!$C$53,((D265+E265)*C265)*'Assumptions and Catalog'!$H$53+'Assumptions and Catalog'!$E$53+'Assumptions and Catalog'!$F$53,IF(((D265+E265)*C265)&lt;='Assumptions and Catalog'!$C$54,((D265+E265)*C265)*'Assumptions and Catalog'!$H$54+'Assumptions and Catalog'!$E$54+'Assumptions and Catalog'!$F$54,IF(((D265+E265)*C265)&lt;='Assumptions and Catalog'!$C$55,((D265+E265)*C265)*'Assumptions and Catalog'!$H$55+'Assumptions and Catalog'!$E$55+'Assumptions and Catalog'!$F$55,IF(((D265+E265)*C265)&lt;='Assumptions and Catalog'!$C$56,((D265+E265)*C265)*'Assumptions and Catalog'!$H$56+'Assumptions and Catalog'!$E$56+'Assumptions and Catalog'!$F$56,IF(((D265+E265)*C265)&lt;='Assumptions and Catalog'!$C$57,((D265+E265)*C265)*'Assumptions and Catalog'!$H$57+'Assumptions and Catalog'!$E$57+'Assumptions and Catalog'!$F$57,"Out of range")))))))),IF(((D265+E265)*C265)&lt;='Assumptions and Catalog'!$C$60,((D265+E265)*C265)*'Assumptions and Catalog'!$H$60+'Assumptions and Catalog'!$E$60+'Assumptions and Catalog'!$F$60,IF(((D265+E265)*C265)&lt;='Assumptions and Catalog'!$C$61,((D265+E265)*C265)*'Assumptions and Catalog'!$H$61+'Assumptions and Catalog'!$E$61+'Assumptions and Catalog'!$F$61,IF(((D265+E265)*C265)&lt;='Assumptions and Catalog'!$C$62,((D265+E265)*C265)*'Assumptions and Catalog'!$H$62+'Assumptions and Catalog'!$E$62+'Assumptions and Catalog'!$F$62,IF(((D265+E265)*C265)&lt;='Assumptions and Catalog'!$C$63,((D265+E265)*C265)*'Assumptions and Catalog'!$H$63+'Assumptions and Catalog'!$E$63+'Assumptions and Catalog'!$F$63,IF(((D265+E265)*C265)&lt;='Assumptions and Catalog'!$C$64,((D265+E265)*C265)*'Assumptions and Catalog'!$H$64+'Assumptions and Catalog'!$E$64+'Assumptions and Catalog'!$F$64,IF(((D265+E265)*C265)&lt;='Assumptions and Catalog'!$C$65,((D265+E265)*C265)*'Assumptions and Catalog'!$H$65+'Assumptions and Catalog'!$E$65+'Assumptions and Catalog'!$F$65,"Out of range")))))))))*(1+'Assumptions and Catalog'!$C$8)^(A265-1),0)</f>
        <v>8279</v>
      </c>
      <c r="N265" s="5">
        <f>IF(ISNUMBER(Inputs!$L$5),(IF(Inputs!$L$9="Actual flat rate",L265*Inputs!$L$10,IF(Inputs!$C$9="Residential",IF(L265&lt;='Assumptions and Catalog'!$C$50,L265*'Assumptions and Catalog'!$H$50+'Assumptions and Catalog'!$E$50+'Assumptions and Catalog'!$F$50,IF(L265&lt;='Assumptions and Catalog'!$C$51,L265*'Assumptions and Catalog'!$H$51+'Assumptions and Catalog'!$E$51+'Assumptions and Catalog'!$F$51,IF(L265&lt;='Assumptions and Catalog'!$C$52,L265*'Assumptions and Catalog'!$H$52+'Assumptions and Catalog'!$E$52+'Assumptions and Catalog'!$F$52,IF(L265&lt;='Assumptions and Catalog'!$C$53,L265*'Assumptions and Catalog'!$H$53+'Assumptions and Catalog'!$E$53+'Assumptions and Catalog'!$F$53,IF(L265&lt;='Assumptions and Catalog'!$C$54,L265*'Assumptions and Catalog'!$H$54+'Assumptions and Catalog'!$E$54+'Assumptions and Catalog'!$F$54,IF(L265&lt;='Assumptions and Catalog'!$C$55,L265*'Assumptions and Catalog'!$H$55+'Assumptions and Catalog'!$E$55+'Assumptions and Catalog'!$F$55,IF(L265&lt;='Assumptions and Catalog'!$C$56,L265*'Assumptions and Catalog'!$H$56+'Assumptions and Catalog'!$E$56+'Assumptions and Catalog'!$F$56,IF(L265&lt;='Assumptions and Catalog'!$C$57,L265*'Assumptions and Catalog'!$H$57+'Assumptions and Catalog'!$E$57+'Assumptions and Catalog'!$F$57,"Out of range")))))))),IF(L265&lt;='Assumptions and Catalog'!$C$60,L265*'Assumptions and Catalog'!$H$60+'Assumptions and Catalog'!$E$60+'Assumptions and Catalog'!$F$60,IF(L265&lt;='Assumptions and Catalog'!$C$61,L265*'Assumptions and Catalog'!$H$61+'Assumptions and Catalog'!$E$61+'Assumptions and Catalog'!$F$61,IF(L265&lt;='Assumptions and Catalog'!$C$62,L265*'Assumptions and Catalog'!$H$62+'Assumptions and Catalog'!$E$62+'Assumptions and Catalog'!$F$62,IF(L265&lt;='Assumptions and Catalog'!$C$63,L265*'Assumptions and Catalog'!$H$63+'Assumptions and Catalog'!$E$63+'Assumptions and Catalog'!$F$63,IF(L265&lt;='Assumptions and Catalog'!$C$64,L265*'Assumptions and Catalog'!$H$64+'Assumptions and Catalog'!$E$64+'Assumptions and Catalog'!$F$64,IF(L265&lt;='Assumptions and Catalog'!$C$65,L265*'Assumptions and Catalog'!$H$65+'Assumptions and Catalog'!$E$65+'Assumptions and Catalog'!$F$65,"Out of range")))))))))*(1+'Assumptions and Catalog'!$C$8)^(A265-1),0)</f>
        <v>4990.5356406796163</v>
      </c>
      <c r="O265" s="5">
        <f t="shared" si="18"/>
        <v>3288.4643593203837</v>
      </c>
      <c r="P265" s="5">
        <f>C$55*(1-J$14)*(1-'Assumptions and Catalog'!$C$23)^R265</f>
        <v>0</v>
      </c>
      <c r="Q265" s="5">
        <f>IF(ISNUMBER(Inputs!$L$5),(IF(Inputs!$L$9="Actual flat rate",((D265+E265)*C265-G265)*Inputs!$L$10,IF(Inputs!$C$9="Residential",IF(((D265+E265)*C265-G265)&lt;='Assumptions and Catalog'!$C$50,((D265+E265)*C265-G265)*'Assumptions and Catalog'!$H$50+'Assumptions and Catalog'!$E$50+'Assumptions and Catalog'!$F$50,IF(((D265+E265)*C265-G265)&lt;='Assumptions and Catalog'!$C$51,((D265+E265)*C265-G265)*'Assumptions and Catalog'!$H$51+'Assumptions and Catalog'!$E$51+'Assumptions and Catalog'!$F$51,IF(((D265+E265)*C265-G265)&lt;='Assumptions and Catalog'!$C$52,((D265+E265)*C265-G265)*'Assumptions and Catalog'!$H$52+'Assumptions and Catalog'!$E$52+'Assumptions and Catalog'!$F$52,IF(((D265+E265)*C265-G265)&lt;='Assumptions and Catalog'!$C$53,((D265+E265)*C265-G265)*'Assumptions and Catalog'!$H$53+'Assumptions and Catalog'!$E$53+'Assumptions and Catalog'!$F$53,IF(((D265+E265)*C265-G265)&lt;='Assumptions and Catalog'!$C$54,((D265+E265)*C265-G265)*'Assumptions and Catalog'!$H$54+'Assumptions and Catalog'!$E$54+'Assumptions and Catalog'!$F$54,IF(((D265+E265)*C265-G265)&lt;='Assumptions and Catalog'!$C$55,((D265+E265)*C265-G265)*'Assumptions and Catalog'!$H$55+'Assumptions and Catalog'!$E$55+'Assumptions and Catalog'!$F$55,IF(((D265+E265)*C265-G265)&lt;='Assumptions and Catalog'!$C$56,((D265+E265)*C265-G265)*'Assumptions and Catalog'!$H$56+'Assumptions and Catalog'!$E$56+'Assumptions and Catalog'!$F$56,IF(((D265+E265)*C265-G265)&lt;='Assumptions and Catalog'!$C$57,((D265+E265)*C265-G265)*'Assumptions and Catalog'!$H$57+'Assumptions and Catalog'!$E$57+'Assumptions and Catalog'!$F$57,"Out of range")))))))),IF(((D265+E265)*C265-G265)&lt;='Assumptions and Catalog'!$C$60,((D265+E265)*C265-G265)*'Assumptions and Catalog'!$H$60+'Assumptions and Catalog'!$E$60+'Assumptions and Catalog'!$F$60,IF(((D265+E265)*C265-G265)&lt;='Assumptions and Catalog'!$C$61,((D265+E265)*C265-G265)*'Assumptions and Catalog'!$H$61+'Assumptions and Catalog'!$E$61+'Assumptions and Catalog'!$F$61,IF(((D265+E265)*C265-G265)&lt;='Assumptions and Catalog'!$C$62,((D265+E265)*C265-G265)*'Assumptions and Catalog'!$H$62+'Assumptions and Catalog'!$E$62+'Assumptions and Catalog'!$F$62,IF(((D265+E265)*C265-G265)&lt;='Assumptions and Catalog'!$C$63,((D265+E265)*C265-G265)*'Assumptions and Catalog'!$H$63+'Assumptions and Catalog'!$E$63+'Assumptions and Catalog'!$F$63,IF(((D265+E265)*C265-G265)&lt;='Assumptions and Catalog'!$C$64,((D265+E265)*C265-G265)*'Assumptions and Catalog'!$H$64+'Assumptions and Catalog'!$E$64+'Assumptions and Catalog'!$F$64,IF(((D265+E265)*C265-G265)&lt;='Assumptions and Catalog'!$C$65,((D265+E265)*C265-G265)*'Assumptions and Catalog'!$H$65+'Assumptions and Catalog'!$E$65+'Assumptions and Catalog'!$F$65,"Out of range")))))))))*(1+'Assumptions and Catalog'!$C$8)^(A265-1),0)</f>
        <v>4990.5356406796163</v>
      </c>
      <c r="R265" s="5">
        <f>IF(AND('Assumptions and Catalog'!$C$19&gt;0,A265&gt;='Assumptions and Catalog'!$C$19),A265-'Assumptions and Catalog'!$C$19,A265-1)</f>
        <v>8</v>
      </c>
      <c r="S265" s="5">
        <f t="shared" si="19"/>
        <v>0</v>
      </c>
      <c r="T265" s="5"/>
      <c r="U265" s="5"/>
    </row>
    <row r="266" spans="1:21" ht="23.1" customHeight="1" outlineLevel="1" x14ac:dyDescent="0.2">
      <c r="A266" s="5">
        <v>9</v>
      </c>
      <c r="B266" s="5">
        <v>10</v>
      </c>
      <c r="C266" s="5">
        <f>DAY(DATE('Assumptions and Catalog'!$C$24+A266-1,B266+1,0))</f>
        <v>31</v>
      </c>
      <c r="D266" s="5">
        <f>IF(ISNUMBER(Inputs!$L$5),Inputs!$L$5*Inputs!$L$6,0)</f>
        <v>40.35</v>
      </c>
      <c r="E266" s="5">
        <f>IF(ISNUMBER(Inputs!$L$5),Inputs!$L$5-D266,0)</f>
        <v>40.35</v>
      </c>
      <c r="F266" s="5">
        <f>C$51*'Assumptions and Catalog'!$C$31*C266*(1-'Assumptions and Catalog'!$C$10)^(A266-1)</f>
        <v>993.68900685007907</v>
      </c>
      <c r="G266" s="5">
        <f t="shared" si="14"/>
        <v>993.68900685007907</v>
      </c>
      <c r="H266" s="5">
        <f>I266/('Assumptions and Catalog'!$C$11*'Assumptions and Catalog'!$C$12)</f>
        <v>0</v>
      </c>
      <c r="I266" s="5">
        <f>0</f>
        <v>0</v>
      </c>
      <c r="J266" s="5">
        <f t="shared" si="15"/>
        <v>0</v>
      </c>
      <c r="K266" s="5">
        <f t="shared" si="16"/>
        <v>0</v>
      </c>
      <c r="L266" s="5">
        <f t="shared" si="17"/>
        <v>1508.0109931499212</v>
      </c>
      <c r="M266" s="5">
        <f>IF(ISNUMBER(Inputs!$L$5),(IF(Inputs!$L$9="Actual flat rate",((D266+E266)*C266)*Inputs!$L$10,IF(Inputs!$C$9="Residential",IF(((D266+E266)*C266)&lt;='Assumptions and Catalog'!$C$50,((D266+E266)*C266)*'Assumptions and Catalog'!$H$50+'Assumptions and Catalog'!$E$50+'Assumptions and Catalog'!$F$50,IF(((D266+E266)*C266)&lt;='Assumptions and Catalog'!$C$51,((D266+E266)*C266)*'Assumptions and Catalog'!$H$51+'Assumptions and Catalog'!$E$51+'Assumptions and Catalog'!$F$51,IF(((D266+E266)*C266)&lt;='Assumptions and Catalog'!$C$52,((D266+E266)*C266)*'Assumptions and Catalog'!$H$52+'Assumptions and Catalog'!$E$52+'Assumptions and Catalog'!$F$52,IF(((D266+E266)*C266)&lt;='Assumptions and Catalog'!$C$53,((D266+E266)*C266)*'Assumptions and Catalog'!$H$53+'Assumptions and Catalog'!$E$53+'Assumptions and Catalog'!$F$53,IF(((D266+E266)*C266)&lt;='Assumptions and Catalog'!$C$54,((D266+E266)*C266)*'Assumptions and Catalog'!$H$54+'Assumptions and Catalog'!$E$54+'Assumptions and Catalog'!$F$54,IF(((D266+E266)*C266)&lt;='Assumptions and Catalog'!$C$55,((D266+E266)*C266)*'Assumptions and Catalog'!$H$55+'Assumptions and Catalog'!$E$55+'Assumptions and Catalog'!$F$55,IF(((D266+E266)*C266)&lt;='Assumptions and Catalog'!$C$56,((D266+E266)*C266)*'Assumptions and Catalog'!$H$56+'Assumptions and Catalog'!$E$56+'Assumptions and Catalog'!$F$56,IF(((D266+E266)*C266)&lt;='Assumptions and Catalog'!$C$57,((D266+E266)*C266)*'Assumptions and Catalog'!$H$57+'Assumptions and Catalog'!$E$57+'Assumptions and Catalog'!$F$57,"Out of range")))))))),IF(((D266+E266)*C266)&lt;='Assumptions and Catalog'!$C$60,((D266+E266)*C266)*'Assumptions and Catalog'!$H$60+'Assumptions and Catalog'!$E$60+'Assumptions and Catalog'!$F$60,IF(((D266+E266)*C266)&lt;='Assumptions and Catalog'!$C$61,((D266+E266)*C266)*'Assumptions and Catalog'!$H$61+'Assumptions and Catalog'!$E$61+'Assumptions and Catalog'!$F$61,IF(((D266+E266)*C266)&lt;='Assumptions and Catalog'!$C$62,((D266+E266)*C266)*'Assumptions and Catalog'!$H$62+'Assumptions and Catalog'!$E$62+'Assumptions and Catalog'!$F$62,IF(((D266+E266)*C266)&lt;='Assumptions and Catalog'!$C$63,((D266+E266)*C266)*'Assumptions and Catalog'!$H$63+'Assumptions and Catalog'!$E$63+'Assumptions and Catalog'!$F$63,IF(((D266+E266)*C266)&lt;='Assumptions and Catalog'!$C$64,((D266+E266)*C266)*'Assumptions and Catalog'!$H$64+'Assumptions and Catalog'!$E$64+'Assumptions and Catalog'!$F$64,IF(((D266+E266)*C266)&lt;='Assumptions and Catalog'!$C$65,((D266+E266)*C266)*'Assumptions and Catalog'!$H$65+'Assumptions and Catalog'!$E$65+'Assumptions and Catalog'!$F$65,"Out of range")))))))))*(1+'Assumptions and Catalog'!$C$8)^(A266-1),0)</f>
        <v>8554.9666666666672</v>
      </c>
      <c r="N266" s="5">
        <f>IF(ISNUMBER(Inputs!$L$5),(IF(Inputs!$L$9="Actual flat rate",L266*Inputs!$L$10,IF(Inputs!$C$9="Residential",IF(L266&lt;='Assumptions and Catalog'!$C$50,L266*'Assumptions and Catalog'!$H$50+'Assumptions and Catalog'!$E$50+'Assumptions and Catalog'!$F$50,IF(L266&lt;='Assumptions and Catalog'!$C$51,L266*'Assumptions and Catalog'!$H$51+'Assumptions and Catalog'!$E$51+'Assumptions and Catalog'!$F$51,IF(L266&lt;='Assumptions and Catalog'!$C$52,L266*'Assumptions and Catalog'!$H$52+'Assumptions and Catalog'!$E$52+'Assumptions and Catalog'!$F$52,IF(L266&lt;='Assumptions and Catalog'!$C$53,L266*'Assumptions and Catalog'!$H$53+'Assumptions and Catalog'!$E$53+'Assumptions and Catalog'!$F$53,IF(L266&lt;='Assumptions and Catalog'!$C$54,L266*'Assumptions and Catalog'!$H$54+'Assumptions and Catalog'!$E$54+'Assumptions and Catalog'!$F$54,IF(L266&lt;='Assumptions and Catalog'!$C$55,L266*'Assumptions and Catalog'!$H$55+'Assumptions and Catalog'!$E$55+'Assumptions and Catalog'!$F$55,IF(L266&lt;='Assumptions and Catalog'!$C$56,L266*'Assumptions and Catalog'!$H$56+'Assumptions and Catalog'!$E$56+'Assumptions and Catalog'!$F$56,IF(L266&lt;='Assumptions and Catalog'!$C$57,L266*'Assumptions and Catalog'!$H$57+'Assumptions and Catalog'!$E$57+'Assumptions and Catalog'!$F$57,"Out of range")))))))),IF(L266&lt;='Assumptions and Catalog'!$C$60,L266*'Assumptions and Catalog'!$H$60+'Assumptions and Catalog'!$E$60+'Assumptions and Catalog'!$F$60,IF(L266&lt;='Assumptions and Catalog'!$C$61,L266*'Assumptions and Catalog'!$H$61+'Assumptions and Catalog'!$E$61+'Assumptions and Catalog'!$F$61,IF(L266&lt;='Assumptions and Catalog'!$C$62,L266*'Assumptions and Catalog'!$H$62+'Assumptions and Catalog'!$E$62+'Assumptions and Catalog'!$F$62,IF(L266&lt;='Assumptions and Catalog'!$C$63,L266*'Assumptions and Catalog'!$H$63+'Assumptions and Catalog'!$E$63+'Assumptions and Catalog'!$F$63,IF(L266&lt;='Assumptions and Catalog'!$C$64,L266*'Assumptions and Catalog'!$H$64+'Assumptions and Catalog'!$E$64+'Assumptions and Catalog'!$F$64,IF(L266&lt;='Assumptions and Catalog'!$C$65,L266*'Assumptions and Catalog'!$H$65+'Assumptions and Catalog'!$E$65+'Assumptions and Catalog'!$F$65,"Out of range")))))))))*(1+'Assumptions and Catalog'!$C$8)^(A266-1),0)</f>
        <v>5156.8868287022706</v>
      </c>
      <c r="O266" s="5">
        <f t="shared" si="18"/>
        <v>3398.0798379643966</v>
      </c>
      <c r="P266" s="5">
        <f>C$55*(1-J$14)*(1-'Assumptions and Catalog'!$C$23)^R266</f>
        <v>0</v>
      </c>
      <c r="Q266" s="5">
        <f>IF(ISNUMBER(Inputs!$L$5),(IF(Inputs!$L$9="Actual flat rate",((D266+E266)*C266-G266)*Inputs!$L$10,IF(Inputs!$C$9="Residential",IF(((D266+E266)*C266-G266)&lt;='Assumptions and Catalog'!$C$50,((D266+E266)*C266-G266)*'Assumptions and Catalog'!$H$50+'Assumptions and Catalog'!$E$50+'Assumptions and Catalog'!$F$50,IF(((D266+E266)*C266-G266)&lt;='Assumptions and Catalog'!$C$51,((D266+E266)*C266-G266)*'Assumptions and Catalog'!$H$51+'Assumptions and Catalog'!$E$51+'Assumptions and Catalog'!$F$51,IF(((D266+E266)*C266-G266)&lt;='Assumptions and Catalog'!$C$52,((D266+E266)*C266-G266)*'Assumptions and Catalog'!$H$52+'Assumptions and Catalog'!$E$52+'Assumptions and Catalog'!$F$52,IF(((D266+E266)*C266-G266)&lt;='Assumptions and Catalog'!$C$53,((D266+E266)*C266-G266)*'Assumptions and Catalog'!$H$53+'Assumptions and Catalog'!$E$53+'Assumptions and Catalog'!$F$53,IF(((D266+E266)*C266-G266)&lt;='Assumptions and Catalog'!$C$54,((D266+E266)*C266-G266)*'Assumptions and Catalog'!$H$54+'Assumptions and Catalog'!$E$54+'Assumptions and Catalog'!$F$54,IF(((D266+E266)*C266-G266)&lt;='Assumptions and Catalog'!$C$55,((D266+E266)*C266-G266)*'Assumptions and Catalog'!$H$55+'Assumptions and Catalog'!$E$55+'Assumptions and Catalog'!$F$55,IF(((D266+E266)*C266-G266)&lt;='Assumptions and Catalog'!$C$56,((D266+E266)*C266-G266)*'Assumptions and Catalog'!$H$56+'Assumptions and Catalog'!$E$56+'Assumptions and Catalog'!$F$56,IF(((D266+E266)*C266-G266)&lt;='Assumptions and Catalog'!$C$57,((D266+E266)*C266-G266)*'Assumptions and Catalog'!$H$57+'Assumptions and Catalog'!$E$57+'Assumptions and Catalog'!$F$57,"Out of range")))))))),IF(((D266+E266)*C266-G266)&lt;='Assumptions and Catalog'!$C$60,((D266+E266)*C266-G266)*'Assumptions and Catalog'!$H$60+'Assumptions and Catalog'!$E$60+'Assumptions and Catalog'!$F$60,IF(((D266+E266)*C266-G266)&lt;='Assumptions and Catalog'!$C$61,((D266+E266)*C266-G266)*'Assumptions and Catalog'!$H$61+'Assumptions and Catalog'!$E$61+'Assumptions and Catalog'!$F$61,IF(((D266+E266)*C266-G266)&lt;='Assumptions and Catalog'!$C$62,((D266+E266)*C266-G266)*'Assumptions and Catalog'!$H$62+'Assumptions and Catalog'!$E$62+'Assumptions and Catalog'!$F$62,IF(((D266+E266)*C266-G266)&lt;='Assumptions and Catalog'!$C$63,((D266+E266)*C266-G266)*'Assumptions and Catalog'!$H$63+'Assumptions and Catalog'!$E$63+'Assumptions and Catalog'!$F$63,IF(((D266+E266)*C266-G266)&lt;='Assumptions and Catalog'!$C$64,((D266+E266)*C266-G266)*'Assumptions and Catalog'!$H$64+'Assumptions and Catalog'!$E$64+'Assumptions and Catalog'!$F$64,IF(((D266+E266)*C266-G266)&lt;='Assumptions and Catalog'!$C$65,((D266+E266)*C266-G266)*'Assumptions and Catalog'!$H$65+'Assumptions and Catalog'!$E$65+'Assumptions and Catalog'!$F$65,"Out of range")))))))))*(1+'Assumptions and Catalog'!$C$8)^(A266-1),0)</f>
        <v>5156.8868287022706</v>
      </c>
      <c r="R266" s="5">
        <f>IF(AND('Assumptions and Catalog'!$C$19&gt;0,A266&gt;='Assumptions and Catalog'!$C$19),A266-'Assumptions and Catalog'!$C$19,A266-1)</f>
        <v>8</v>
      </c>
      <c r="S266" s="5">
        <f t="shared" si="19"/>
        <v>0</v>
      </c>
      <c r="T266" s="5"/>
      <c r="U266" s="5"/>
    </row>
    <row r="267" spans="1:21" ht="23.1" customHeight="1" outlineLevel="1" x14ac:dyDescent="0.2">
      <c r="A267" s="5">
        <v>9</v>
      </c>
      <c r="B267" s="5">
        <v>11</v>
      </c>
      <c r="C267" s="5">
        <f>DAY(DATE('Assumptions and Catalog'!$C$24+A267-1,B267+1,0))</f>
        <v>30</v>
      </c>
      <c r="D267" s="5">
        <f>IF(ISNUMBER(Inputs!$L$5),Inputs!$L$5*Inputs!$L$6,0)</f>
        <v>40.35</v>
      </c>
      <c r="E267" s="5">
        <f>IF(ISNUMBER(Inputs!$L$5),Inputs!$L$5-D267,0)</f>
        <v>40.35</v>
      </c>
      <c r="F267" s="5">
        <f>C$51*'Assumptions and Catalog'!$C$31*C267*(1-'Assumptions and Catalog'!$C$10)^(A267-1)</f>
        <v>961.63452275814109</v>
      </c>
      <c r="G267" s="5">
        <f t="shared" si="14"/>
        <v>961.63452275814109</v>
      </c>
      <c r="H267" s="5">
        <f>I267/('Assumptions and Catalog'!$C$11*'Assumptions and Catalog'!$C$12)</f>
        <v>0</v>
      </c>
      <c r="I267" s="5">
        <f>0</f>
        <v>0</v>
      </c>
      <c r="J267" s="5">
        <f t="shared" si="15"/>
        <v>0</v>
      </c>
      <c r="K267" s="5">
        <f t="shared" si="16"/>
        <v>0</v>
      </c>
      <c r="L267" s="5">
        <f t="shared" si="17"/>
        <v>1459.365477241859</v>
      </c>
      <c r="M267" s="5">
        <f>IF(ISNUMBER(Inputs!$L$5),(IF(Inputs!$L$9="Actual flat rate",((D267+E267)*C267)*Inputs!$L$10,IF(Inputs!$C$9="Residential",IF(((D267+E267)*C267)&lt;='Assumptions and Catalog'!$C$50,((D267+E267)*C267)*'Assumptions and Catalog'!$H$50+'Assumptions and Catalog'!$E$50+'Assumptions and Catalog'!$F$50,IF(((D267+E267)*C267)&lt;='Assumptions and Catalog'!$C$51,((D267+E267)*C267)*'Assumptions and Catalog'!$H$51+'Assumptions and Catalog'!$E$51+'Assumptions and Catalog'!$F$51,IF(((D267+E267)*C267)&lt;='Assumptions and Catalog'!$C$52,((D267+E267)*C267)*'Assumptions and Catalog'!$H$52+'Assumptions and Catalog'!$E$52+'Assumptions and Catalog'!$F$52,IF(((D267+E267)*C267)&lt;='Assumptions and Catalog'!$C$53,((D267+E267)*C267)*'Assumptions and Catalog'!$H$53+'Assumptions and Catalog'!$E$53+'Assumptions and Catalog'!$F$53,IF(((D267+E267)*C267)&lt;='Assumptions and Catalog'!$C$54,((D267+E267)*C267)*'Assumptions and Catalog'!$H$54+'Assumptions and Catalog'!$E$54+'Assumptions and Catalog'!$F$54,IF(((D267+E267)*C267)&lt;='Assumptions and Catalog'!$C$55,((D267+E267)*C267)*'Assumptions and Catalog'!$H$55+'Assumptions and Catalog'!$E$55+'Assumptions and Catalog'!$F$55,IF(((D267+E267)*C267)&lt;='Assumptions and Catalog'!$C$56,((D267+E267)*C267)*'Assumptions and Catalog'!$H$56+'Assumptions and Catalog'!$E$56+'Assumptions and Catalog'!$F$56,IF(((D267+E267)*C267)&lt;='Assumptions and Catalog'!$C$57,((D267+E267)*C267)*'Assumptions and Catalog'!$H$57+'Assumptions and Catalog'!$E$57+'Assumptions and Catalog'!$F$57,"Out of range")))))))),IF(((D267+E267)*C267)&lt;='Assumptions and Catalog'!$C$60,((D267+E267)*C267)*'Assumptions and Catalog'!$H$60+'Assumptions and Catalog'!$E$60+'Assumptions and Catalog'!$F$60,IF(((D267+E267)*C267)&lt;='Assumptions and Catalog'!$C$61,((D267+E267)*C267)*'Assumptions and Catalog'!$H$61+'Assumptions and Catalog'!$E$61+'Assumptions and Catalog'!$F$61,IF(((D267+E267)*C267)&lt;='Assumptions and Catalog'!$C$62,((D267+E267)*C267)*'Assumptions and Catalog'!$H$62+'Assumptions and Catalog'!$E$62+'Assumptions and Catalog'!$F$62,IF(((D267+E267)*C267)&lt;='Assumptions and Catalog'!$C$63,((D267+E267)*C267)*'Assumptions and Catalog'!$H$63+'Assumptions and Catalog'!$E$63+'Assumptions and Catalog'!$F$63,IF(((D267+E267)*C267)&lt;='Assumptions and Catalog'!$C$64,((D267+E267)*C267)*'Assumptions and Catalog'!$H$64+'Assumptions and Catalog'!$E$64+'Assumptions and Catalog'!$F$64,IF(((D267+E267)*C267)&lt;='Assumptions and Catalog'!$C$65,((D267+E267)*C267)*'Assumptions and Catalog'!$H$65+'Assumptions and Catalog'!$E$65+'Assumptions and Catalog'!$F$65,"Out of range")))))))))*(1+'Assumptions and Catalog'!$C$8)^(A267-1),0)</f>
        <v>8279</v>
      </c>
      <c r="N267" s="5">
        <f>IF(ISNUMBER(Inputs!$L$5),(IF(Inputs!$L$9="Actual flat rate",L267*Inputs!$L$10,IF(Inputs!$C$9="Residential",IF(L267&lt;='Assumptions and Catalog'!$C$50,L267*'Assumptions and Catalog'!$H$50+'Assumptions and Catalog'!$E$50+'Assumptions and Catalog'!$F$50,IF(L267&lt;='Assumptions and Catalog'!$C$51,L267*'Assumptions and Catalog'!$H$51+'Assumptions and Catalog'!$E$51+'Assumptions and Catalog'!$F$51,IF(L267&lt;='Assumptions and Catalog'!$C$52,L267*'Assumptions and Catalog'!$H$52+'Assumptions and Catalog'!$E$52+'Assumptions and Catalog'!$F$52,IF(L267&lt;='Assumptions and Catalog'!$C$53,L267*'Assumptions and Catalog'!$H$53+'Assumptions and Catalog'!$E$53+'Assumptions and Catalog'!$F$53,IF(L267&lt;='Assumptions and Catalog'!$C$54,L267*'Assumptions and Catalog'!$H$54+'Assumptions and Catalog'!$E$54+'Assumptions and Catalog'!$F$54,IF(L267&lt;='Assumptions and Catalog'!$C$55,L267*'Assumptions and Catalog'!$H$55+'Assumptions and Catalog'!$E$55+'Assumptions and Catalog'!$F$55,IF(L267&lt;='Assumptions and Catalog'!$C$56,L267*'Assumptions and Catalog'!$H$56+'Assumptions and Catalog'!$E$56+'Assumptions and Catalog'!$F$56,IF(L267&lt;='Assumptions and Catalog'!$C$57,L267*'Assumptions and Catalog'!$H$57+'Assumptions and Catalog'!$E$57+'Assumptions and Catalog'!$F$57,"Out of range")))))))),IF(L267&lt;='Assumptions and Catalog'!$C$60,L267*'Assumptions and Catalog'!$H$60+'Assumptions and Catalog'!$E$60+'Assumptions and Catalog'!$F$60,IF(L267&lt;='Assumptions and Catalog'!$C$61,L267*'Assumptions and Catalog'!$H$61+'Assumptions and Catalog'!$E$61+'Assumptions and Catalog'!$F$61,IF(L267&lt;='Assumptions and Catalog'!$C$62,L267*'Assumptions and Catalog'!$H$62+'Assumptions and Catalog'!$E$62+'Assumptions and Catalog'!$F$62,IF(L267&lt;='Assumptions and Catalog'!$C$63,L267*'Assumptions and Catalog'!$H$63+'Assumptions and Catalog'!$E$63+'Assumptions and Catalog'!$F$63,IF(L267&lt;='Assumptions and Catalog'!$C$64,L267*'Assumptions and Catalog'!$H$64+'Assumptions and Catalog'!$E$64+'Assumptions and Catalog'!$F$64,IF(L267&lt;='Assumptions and Catalog'!$C$65,L267*'Assumptions and Catalog'!$H$65+'Assumptions and Catalog'!$E$65+'Assumptions and Catalog'!$F$65,"Out of range")))))))))*(1+'Assumptions and Catalog'!$C$8)^(A267-1),0)</f>
        <v>4990.5356406796163</v>
      </c>
      <c r="O267" s="5">
        <f t="shared" si="18"/>
        <v>3288.4643593203837</v>
      </c>
      <c r="P267" s="5">
        <f>C$55*(1-J$14)*(1-'Assumptions and Catalog'!$C$23)^R267</f>
        <v>0</v>
      </c>
      <c r="Q267" s="5">
        <f>IF(ISNUMBER(Inputs!$L$5),(IF(Inputs!$L$9="Actual flat rate",((D267+E267)*C267-G267)*Inputs!$L$10,IF(Inputs!$C$9="Residential",IF(((D267+E267)*C267-G267)&lt;='Assumptions and Catalog'!$C$50,((D267+E267)*C267-G267)*'Assumptions and Catalog'!$H$50+'Assumptions and Catalog'!$E$50+'Assumptions and Catalog'!$F$50,IF(((D267+E267)*C267-G267)&lt;='Assumptions and Catalog'!$C$51,((D267+E267)*C267-G267)*'Assumptions and Catalog'!$H$51+'Assumptions and Catalog'!$E$51+'Assumptions and Catalog'!$F$51,IF(((D267+E267)*C267-G267)&lt;='Assumptions and Catalog'!$C$52,((D267+E267)*C267-G267)*'Assumptions and Catalog'!$H$52+'Assumptions and Catalog'!$E$52+'Assumptions and Catalog'!$F$52,IF(((D267+E267)*C267-G267)&lt;='Assumptions and Catalog'!$C$53,((D267+E267)*C267-G267)*'Assumptions and Catalog'!$H$53+'Assumptions and Catalog'!$E$53+'Assumptions and Catalog'!$F$53,IF(((D267+E267)*C267-G267)&lt;='Assumptions and Catalog'!$C$54,((D267+E267)*C267-G267)*'Assumptions and Catalog'!$H$54+'Assumptions and Catalog'!$E$54+'Assumptions and Catalog'!$F$54,IF(((D267+E267)*C267-G267)&lt;='Assumptions and Catalog'!$C$55,((D267+E267)*C267-G267)*'Assumptions and Catalog'!$H$55+'Assumptions and Catalog'!$E$55+'Assumptions and Catalog'!$F$55,IF(((D267+E267)*C267-G267)&lt;='Assumptions and Catalog'!$C$56,((D267+E267)*C267-G267)*'Assumptions and Catalog'!$H$56+'Assumptions and Catalog'!$E$56+'Assumptions and Catalog'!$F$56,IF(((D267+E267)*C267-G267)&lt;='Assumptions and Catalog'!$C$57,((D267+E267)*C267-G267)*'Assumptions and Catalog'!$H$57+'Assumptions and Catalog'!$E$57+'Assumptions and Catalog'!$F$57,"Out of range")))))))),IF(((D267+E267)*C267-G267)&lt;='Assumptions and Catalog'!$C$60,((D267+E267)*C267-G267)*'Assumptions and Catalog'!$H$60+'Assumptions and Catalog'!$E$60+'Assumptions and Catalog'!$F$60,IF(((D267+E267)*C267-G267)&lt;='Assumptions and Catalog'!$C$61,((D267+E267)*C267-G267)*'Assumptions and Catalog'!$H$61+'Assumptions and Catalog'!$E$61+'Assumptions and Catalog'!$F$61,IF(((D267+E267)*C267-G267)&lt;='Assumptions and Catalog'!$C$62,((D267+E267)*C267-G267)*'Assumptions and Catalog'!$H$62+'Assumptions and Catalog'!$E$62+'Assumptions and Catalog'!$F$62,IF(((D267+E267)*C267-G267)&lt;='Assumptions and Catalog'!$C$63,((D267+E267)*C267-G267)*'Assumptions and Catalog'!$H$63+'Assumptions and Catalog'!$E$63+'Assumptions and Catalog'!$F$63,IF(((D267+E267)*C267-G267)&lt;='Assumptions and Catalog'!$C$64,((D267+E267)*C267-G267)*'Assumptions and Catalog'!$H$64+'Assumptions and Catalog'!$E$64+'Assumptions and Catalog'!$F$64,IF(((D267+E267)*C267-G267)&lt;='Assumptions and Catalog'!$C$65,((D267+E267)*C267-G267)*'Assumptions and Catalog'!$H$65+'Assumptions and Catalog'!$E$65+'Assumptions and Catalog'!$F$65,"Out of range")))))))))*(1+'Assumptions and Catalog'!$C$8)^(A267-1),0)</f>
        <v>4990.5356406796163</v>
      </c>
      <c r="R267" s="5">
        <f>IF(AND('Assumptions and Catalog'!$C$19&gt;0,A267&gt;='Assumptions and Catalog'!$C$19),A267-'Assumptions and Catalog'!$C$19,A267-1)</f>
        <v>8</v>
      </c>
      <c r="S267" s="5">
        <f t="shared" si="19"/>
        <v>0</v>
      </c>
      <c r="T267" s="5"/>
      <c r="U267" s="5"/>
    </row>
    <row r="268" spans="1:21" ht="23.1" customHeight="1" outlineLevel="1" x14ac:dyDescent="0.2">
      <c r="A268" s="5">
        <v>9</v>
      </c>
      <c r="B268" s="5">
        <v>12</v>
      </c>
      <c r="C268" s="5">
        <f>DAY(DATE('Assumptions and Catalog'!$C$24+A268-1,B268+1,0))</f>
        <v>31</v>
      </c>
      <c r="D268" s="5">
        <f>IF(ISNUMBER(Inputs!$L$5),Inputs!$L$5*Inputs!$L$6,0)</f>
        <v>40.35</v>
      </c>
      <c r="E268" s="5">
        <f>IF(ISNUMBER(Inputs!$L$5),Inputs!$L$5-D268,0)</f>
        <v>40.35</v>
      </c>
      <c r="F268" s="5">
        <f>C$51*'Assumptions and Catalog'!$C$31*C268*(1-'Assumptions and Catalog'!$C$10)^(A268-1)</f>
        <v>993.68900685007907</v>
      </c>
      <c r="G268" s="5">
        <f t="shared" si="14"/>
        <v>993.68900685007907</v>
      </c>
      <c r="H268" s="5">
        <f>I268/('Assumptions and Catalog'!$C$11*'Assumptions and Catalog'!$C$12)</f>
        <v>0</v>
      </c>
      <c r="I268" s="5">
        <f>0</f>
        <v>0</v>
      </c>
      <c r="J268" s="5">
        <f t="shared" si="15"/>
        <v>0</v>
      </c>
      <c r="K268" s="5">
        <f t="shared" si="16"/>
        <v>0</v>
      </c>
      <c r="L268" s="5">
        <f t="shared" si="17"/>
        <v>1508.0109931499212</v>
      </c>
      <c r="M268" s="5">
        <f>IF(ISNUMBER(Inputs!$L$5),(IF(Inputs!$L$9="Actual flat rate",((D268+E268)*C268)*Inputs!$L$10,IF(Inputs!$C$9="Residential",IF(((D268+E268)*C268)&lt;='Assumptions and Catalog'!$C$50,((D268+E268)*C268)*'Assumptions and Catalog'!$H$50+'Assumptions and Catalog'!$E$50+'Assumptions and Catalog'!$F$50,IF(((D268+E268)*C268)&lt;='Assumptions and Catalog'!$C$51,((D268+E268)*C268)*'Assumptions and Catalog'!$H$51+'Assumptions and Catalog'!$E$51+'Assumptions and Catalog'!$F$51,IF(((D268+E268)*C268)&lt;='Assumptions and Catalog'!$C$52,((D268+E268)*C268)*'Assumptions and Catalog'!$H$52+'Assumptions and Catalog'!$E$52+'Assumptions and Catalog'!$F$52,IF(((D268+E268)*C268)&lt;='Assumptions and Catalog'!$C$53,((D268+E268)*C268)*'Assumptions and Catalog'!$H$53+'Assumptions and Catalog'!$E$53+'Assumptions and Catalog'!$F$53,IF(((D268+E268)*C268)&lt;='Assumptions and Catalog'!$C$54,((D268+E268)*C268)*'Assumptions and Catalog'!$H$54+'Assumptions and Catalog'!$E$54+'Assumptions and Catalog'!$F$54,IF(((D268+E268)*C268)&lt;='Assumptions and Catalog'!$C$55,((D268+E268)*C268)*'Assumptions and Catalog'!$H$55+'Assumptions and Catalog'!$E$55+'Assumptions and Catalog'!$F$55,IF(((D268+E268)*C268)&lt;='Assumptions and Catalog'!$C$56,((D268+E268)*C268)*'Assumptions and Catalog'!$H$56+'Assumptions and Catalog'!$E$56+'Assumptions and Catalog'!$F$56,IF(((D268+E268)*C268)&lt;='Assumptions and Catalog'!$C$57,((D268+E268)*C268)*'Assumptions and Catalog'!$H$57+'Assumptions and Catalog'!$E$57+'Assumptions and Catalog'!$F$57,"Out of range")))))))),IF(((D268+E268)*C268)&lt;='Assumptions and Catalog'!$C$60,((D268+E268)*C268)*'Assumptions and Catalog'!$H$60+'Assumptions and Catalog'!$E$60+'Assumptions and Catalog'!$F$60,IF(((D268+E268)*C268)&lt;='Assumptions and Catalog'!$C$61,((D268+E268)*C268)*'Assumptions and Catalog'!$H$61+'Assumptions and Catalog'!$E$61+'Assumptions and Catalog'!$F$61,IF(((D268+E268)*C268)&lt;='Assumptions and Catalog'!$C$62,((D268+E268)*C268)*'Assumptions and Catalog'!$H$62+'Assumptions and Catalog'!$E$62+'Assumptions and Catalog'!$F$62,IF(((D268+E268)*C268)&lt;='Assumptions and Catalog'!$C$63,((D268+E268)*C268)*'Assumptions and Catalog'!$H$63+'Assumptions and Catalog'!$E$63+'Assumptions and Catalog'!$F$63,IF(((D268+E268)*C268)&lt;='Assumptions and Catalog'!$C$64,((D268+E268)*C268)*'Assumptions and Catalog'!$H$64+'Assumptions and Catalog'!$E$64+'Assumptions and Catalog'!$F$64,IF(((D268+E268)*C268)&lt;='Assumptions and Catalog'!$C$65,((D268+E268)*C268)*'Assumptions and Catalog'!$H$65+'Assumptions and Catalog'!$E$65+'Assumptions and Catalog'!$F$65,"Out of range")))))))))*(1+'Assumptions and Catalog'!$C$8)^(A268-1),0)</f>
        <v>8554.9666666666672</v>
      </c>
      <c r="N268" s="5">
        <f>IF(ISNUMBER(Inputs!$L$5),(IF(Inputs!$L$9="Actual flat rate",L268*Inputs!$L$10,IF(Inputs!$C$9="Residential",IF(L268&lt;='Assumptions and Catalog'!$C$50,L268*'Assumptions and Catalog'!$H$50+'Assumptions and Catalog'!$E$50+'Assumptions and Catalog'!$F$50,IF(L268&lt;='Assumptions and Catalog'!$C$51,L268*'Assumptions and Catalog'!$H$51+'Assumptions and Catalog'!$E$51+'Assumptions and Catalog'!$F$51,IF(L268&lt;='Assumptions and Catalog'!$C$52,L268*'Assumptions and Catalog'!$H$52+'Assumptions and Catalog'!$E$52+'Assumptions and Catalog'!$F$52,IF(L268&lt;='Assumptions and Catalog'!$C$53,L268*'Assumptions and Catalog'!$H$53+'Assumptions and Catalog'!$E$53+'Assumptions and Catalog'!$F$53,IF(L268&lt;='Assumptions and Catalog'!$C$54,L268*'Assumptions and Catalog'!$H$54+'Assumptions and Catalog'!$E$54+'Assumptions and Catalog'!$F$54,IF(L268&lt;='Assumptions and Catalog'!$C$55,L268*'Assumptions and Catalog'!$H$55+'Assumptions and Catalog'!$E$55+'Assumptions and Catalog'!$F$55,IF(L268&lt;='Assumptions and Catalog'!$C$56,L268*'Assumptions and Catalog'!$H$56+'Assumptions and Catalog'!$E$56+'Assumptions and Catalog'!$F$56,IF(L268&lt;='Assumptions and Catalog'!$C$57,L268*'Assumptions and Catalog'!$H$57+'Assumptions and Catalog'!$E$57+'Assumptions and Catalog'!$F$57,"Out of range")))))))),IF(L268&lt;='Assumptions and Catalog'!$C$60,L268*'Assumptions and Catalog'!$H$60+'Assumptions and Catalog'!$E$60+'Assumptions and Catalog'!$F$60,IF(L268&lt;='Assumptions and Catalog'!$C$61,L268*'Assumptions and Catalog'!$H$61+'Assumptions and Catalog'!$E$61+'Assumptions and Catalog'!$F$61,IF(L268&lt;='Assumptions and Catalog'!$C$62,L268*'Assumptions and Catalog'!$H$62+'Assumptions and Catalog'!$E$62+'Assumptions and Catalog'!$F$62,IF(L268&lt;='Assumptions and Catalog'!$C$63,L268*'Assumptions and Catalog'!$H$63+'Assumptions and Catalog'!$E$63+'Assumptions and Catalog'!$F$63,IF(L268&lt;='Assumptions and Catalog'!$C$64,L268*'Assumptions and Catalog'!$H$64+'Assumptions and Catalog'!$E$64+'Assumptions and Catalog'!$F$64,IF(L268&lt;='Assumptions and Catalog'!$C$65,L268*'Assumptions and Catalog'!$H$65+'Assumptions and Catalog'!$E$65+'Assumptions and Catalog'!$F$65,"Out of range")))))))))*(1+'Assumptions and Catalog'!$C$8)^(A268-1),0)</f>
        <v>5156.8868287022706</v>
      </c>
      <c r="O268" s="5">
        <f t="shared" si="18"/>
        <v>3398.0798379643966</v>
      </c>
      <c r="P268" s="5">
        <f>C$55*(1-J$14)*(1-'Assumptions and Catalog'!$C$23)^R268</f>
        <v>0</v>
      </c>
      <c r="Q268" s="5">
        <f>IF(ISNUMBER(Inputs!$L$5),(IF(Inputs!$L$9="Actual flat rate",((D268+E268)*C268-G268)*Inputs!$L$10,IF(Inputs!$C$9="Residential",IF(((D268+E268)*C268-G268)&lt;='Assumptions and Catalog'!$C$50,((D268+E268)*C268-G268)*'Assumptions and Catalog'!$H$50+'Assumptions and Catalog'!$E$50+'Assumptions and Catalog'!$F$50,IF(((D268+E268)*C268-G268)&lt;='Assumptions and Catalog'!$C$51,((D268+E268)*C268-G268)*'Assumptions and Catalog'!$H$51+'Assumptions and Catalog'!$E$51+'Assumptions and Catalog'!$F$51,IF(((D268+E268)*C268-G268)&lt;='Assumptions and Catalog'!$C$52,((D268+E268)*C268-G268)*'Assumptions and Catalog'!$H$52+'Assumptions and Catalog'!$E$52+'Assumptions and Catalog'!$F$52,IF(((D268+E268)*C268-G268)&lt;='Assumptions and Catalog'!$C$53,((D268+E268)*C268-G268)*'Assumptions and Catalog'!$H$53+'Assumptions and Catalog'!$E$53+'Assumptions and Catalog'!$F$53,IF(((D268+E268)*C268-G268)&lt;='Assumptions and Catalog'!$C$54,((D268+E268)*C268-G268)*'Assumptions and Catalog'!$H$54+'Assumptions and Catalog'!$E$54+'Assumptions and Catalog'!$F$54,IF(((D268+E268)*C268-G268)&lt;='Assumptions and Catalog'!$C$55,((D268+E268)*C268-G268)*'Assumptions and Catalog'!$H$55+'Assumptions and Catalog'!$E$55+'Assumptions and Catalog'!$F$55,IF(((D268+E268)*C268-G268)&lt;='Assumptions and Catalog'!$C$56,((D268+E268)*C268-G268)*'Assumptions and Catalog'!$H$56+'Assumptions and Catalog'!$E$56+'Assumptions and Catalog'!$F$56,IF(((D268+E268)*C268-G268)&lt;='Assumptions and Catalog'!$C$57,((D268+E268)*C268-G268)*'Assumptions and Catalog'!$H$57+'Assumptions and Catalog'!$E$57+'Assumptions and Catalog'!$F$57,"Out of range")))))))),IF(((D268+E268)*C268-G268)&lt;='Assumptions and Catalog'!$C$60,((D268+E268)*C268-G268)*'Assumptions and Catalog'!$H$60+'Assumptions and Catalog'!$E$60+'Assumptions and Catalog'!$F$60,IF(((D268+E268)*C268-G268)&lt;='Assumptions and Catalog'!$C$61,((D268+E268)*C268-G268)*'Assumptions and Catalog'!$H$61+'Assumptions and Catalog'!$E$61+'Assumptions and Catalog'!$F$61,IF(((D268+E268)*C268-G268)&lt;='Assumptions and Catalog'!$C$62,((D268+E268)*C268-G268)*'Assumptions and Catalog'!$H$62+'Assumptions and Catalog'!$E$62+'Assumptions and Catalog'!$F$62,IF(((D268+E268)*C268-G268)&lt;='Assumptions and Catalog'!$C$63,((D268+E268)*C268-G268)*'Assumptions and Catalog'!$H$63+'Assumptions and Catalog'!$E$63+'Assumptions and Catalog'!$F$63,IF(((D268+E268)*C268-G268)&lt;='Assumptions and Catalog'!$C$64,((D268+E268)*C268-G268)*'Assumptions and Catalog'!$H$64+'Assumptions and Catalog'!$E$64+'Assumptions and Catalog'!$F$64,IF(((D268+E268)*C268-G268)&lt;='Assumptions and Catalog'!$C$65,((D268+E268)*C268-G268)*'Assumptions and Catalog'!$H$65+'Assumptions and Catalog'!$E$65+'Assumptions and Catalog'!$F$65,"Out of range")))))))))*(1+'Assumptions and Catalog'!$C$8)^(A268-1),0)</f>
        <v>5156.8868287022706</v>
      </c>
      <c r="R268" s="5">
        <f>IF(AND('Assumptions and Catalog'!$C$19&gt;0,A268&gt;='Assumptions and Catalog'!$C$19),A268-'Assumptions and Catalog'!$C$19,A268-1)</f>
        <v>8</v>
      </c>
      <c r="S268" s="5">
        <f t="shared" si="19"/>
        <v>0</v>
      </c>
      <c r="T268" s="5"/>
      <c r="U268" s="5"/>
    </row>
    <row r="269" spans="1:21" ht="23.1" customHeight="1" outlineLevel="1" x14ac:dyDescent="0.2">
      <c r="A269" s="5">
        <v>10</v>
      </c>
      <c r="B269" s="5">
        <v>1</v>
      </c>
      <c r="C269" s="5">
        <f>DAY(DATE('Assumptions and Catalog'!$C$24+A269-1,B269+1,0))</f>
        <v>31</v>
      </c>
      <c r="D269" s="5">
        <f>IF(ISNUMBER(Inputs!$L$5),Inputs!$L$5*Inputs!$L$6,0)</f>
        <v>40.35</v>
      </c>
      <c r="E269" s="5">
        <f>IF(ISNUMBER(Inputs!$L$5),Inputs!$L$5-D269,0)</f>
        <v>40.35</v>
      </c>
      <c r="F269" s="5">
        <f>C$51*'Assumptions and Catalog'!$C$31*C269*(1-'Assumptions and Catalog'!$C$10)^(A269-1)</f>
        <v>988.72056181582866</v>
      </c>
      <c r="G269" s="5">
        <f t="shared" si="14"/>
        <v>988.72056181582866</v>
      </c>
      <c r="H269" s="5">
        <f>I269/('Assumptions and Catalog'!$C$11*'Assumptions and Catalog'!$C$12)</f>
        <v>0</v>
      </c>
      <c r="I269" s="5">
        <f>0</f>
        <v>0</v>
      </c>
      <c r="J269" s="5">
        <f t="shared" si="15"/>
        <v>0</v>
      </c>
      <c r="K269" s="5">
        <f t="shared" si="16"/>
        <v>0</v>
      </c>
      <c r="L269" s="5">
        <f t="shared" si="17"/>
        <v>1512.9794381841716</v>
      </c>
      <c r="M269" s="5">
        <f>IF(ISNUMBER(Inputs!$L$5),(IF(Inputs!$L$9="Actual flat rate",((D269+E269)*C269)*Inputs!$L$10,IF(Inputs!$C$9="Residential",IF(((D269+E269)*C269)&lt;='Assumptions and Catalog'!$C$50,((D269+E269)*C269)*'Assumptions and Catalog'!$H$50+'Assumptions and Catalog'!$E$50+'Assumptions and Catalog'!$F$50,IF(((D269+E269)*C269)&lt;='Assumptions and Catalog'!$C$51,((D269+E269)*C269)*'Assumptions and Catalog'!$H$51+'Assumptions and Catalog'!$E$51+'Assumptions and Catalog'!$F$51,IF(((D269+E269)*C269)&lt;='Assumptions and Catalog'!$C$52,((D269+E269)*C269)*'Assumptions and Catalog'!$H$52+'Assumptions and Catalog'!$E$52+'Assumptions and Catalog'!$F$52,IF(((D269+E269)*C269)&lt;='Assumptions and Catalog'!$C$53,((D269+E269)*C269)*'Assumptions and Catalog'!$H$53+'Assumptions and Catalog'!$E$53+'Assumptions and Catalog'!$F$53,IF(((D269+E269)*C269)&lt;='Assumptions and Catalog'!$C$54,((D269+E269)*C269)*'Assumptions and Catalog'!$H$54+'Assumptions and Catalog'!$E$54+'Assumptions and Catalog'!$F$54,IF(((D269+E269)*C269)&lt;='Assumptions and Catalog'!$C$55,((D269+E269)*C269)*'Assumptions and Catalog'!$H$55+'Assumptions and Catalog'!$E$55+'Assumptions and Catalog'!$F$55,IF(((D269+E269)*C269)&lt;='Assumptions and Catalog'!$C$56,((D269+E269)*C269)*'Assumptions and Catalog'!$H$56+'Assumptions and Catalog'!$E$56+'Assumptions and Catalog'!$F$56,IF(((D269+E269)*C269)&lt;='Assumptions and Catalog'!$C$57,((D269+E269)*C269)*'Assumptions and Catalog'!$H$57+'Assumptions and Catalog'!$E$57+'Assumptions and Catalog'!$F$57,"Out of range")))))))),IF(((D269+E269)*C269)&lt;='Assumptions and Catalog'!$C$60,((D269+E269)*C269)*'Assumptions and Catalog'!$H$60+'Assumptions and Catalog'!$E$60+'Assumptions and Catalog'!$F$60,IF(((D269+E269)*C269)&lt;='Assumptions and Catalog'!$C$61,((D269+E269)*C269)*'Assumptions and Catalog'!$H$61+'Assumptions and Catalog'!$E$61+'Assumptions and Catalog'!$F$61,IF(((D269+E269)*C269)&lt;='Assumptions and Catalog'!$C$62,((D269+E269)*C269)*'Assumptions and Catalog'!$H$62+'Assumptions and Catalog'!$E$62+'Assumptions and Catalog'!$F$62,IF(((D269+E269)*C269)&lt;='Assumptions and Catalog'!$C$63,((D269+E269)*C269)*'Assumptions and Catalog'!$H$63+'Assumptions and Catalog'!$E$63+'Assumptions and Catalog'!$F$63,IF(((D269+E269)*C269)&lt;='Assumptions and Catalog'!$C$64,((D269+E269)*C269)*'Assumptions and Catalog'!$H$64+'Assumptions and Catalog'!$E$64+'Assumptions and Catalog'!$F$64,IF(((D269+E269)*C269)&lt;='Assumptions and Catalog'!$C$65,((D269+E269)*C269)*'Assumptions and Catalog'!$H$65+'Assumptions and Catalog'!$E$65+'Assumptions and Catalog'!$F$65,"Out of range")))))))))*(1+'Assumptions and Catalog'!$C$8)^(A269-1),0)</f>
        <v>8554.9666666666672</v>
      </c>
      <c r="N269" s="5">
        <f>IF(ISNUMBER(Inputs!$L$5),(IF(Inputs!$L$9="Actual flat rate",L269*Inputs!$L$10,IF(Inputs!$C$9="Residential",IF(L269&lt;='Assumptions and Catalog'!$C$50,L269*'Assumptions and Catalog'!$H$50+'Assumptions and Catalog'!$E$50+'Assumptions and Catalog'!$F$50,IF(L269&lt;='Assumptions and Catalog'!$C$51,L269*'Assumptions and Catalog'!$H$51+'Assumptions and Catalog'!$E$51+'Assumptions and Catalog'!$F$51,IF(L269&lt;='Assumptions and Catalog'!$C$52,L269*'Assumptions and Catalog'!$H$52+'Assumptions and Catalog'!$E$52+'Assumptions and Catalog'!$F$52,IF(L269&lt;='Assumptions and Catalog'!$C$53,L269*'Assumptions and Catalog'!$H$53+'Assumptions and Catalog'!$E$53+'Assumptions and Catalog'!$F$53,IF(L269&lt;='Assumptions and Catalog'!$C$54,L269*'Assumptions and Catalog'!$H$54+'Assumptions and Catalog'!$E$54+'Assumptions and Catalog'!$F$54,IF(L269&lt;='Assumptions and Catalog'!$C$55,L269*'Assumptions and Catalog'!$H$55+'Assumptions and Catalog'!$E$55+'Assumptions and Catalog'!$F$55,IF(L269&lt;='Assumptions and Catalog'!$C$56,L269*'Assumptions and Catalog'!$H$56+'Assumptions and Catalog'!$E$56+'Assumptions and Catalog'!$F$56,IF(L269&lt;='Assumptions and Catalog'!$C$57,L269*'Assumptions and Catalog'!$H$57+'Assumptions and Catalog'!$E$57+'Assumptions and Catalog'!$F$57,"Out of range")))))))),IF(L269&lt;='Assumptions and Catalog'!$C$60,L269*'Assumptions and Catalog'!$H$60+'Assumptions and Catalog'!$E$60+'Assumptions and Catalog'!$F$60,IF(L269&lt;='Assumptions and Catalog'!$C$61,L269*'Assumptions and Catalog'!$H$61+'Assumptions and Catalog'!$E$61+'Assumptions and Catalog'!$F$61,IF(L269&lt;='Assumptions and Catalog'!$C$62,L269*'Assumptions and Catalog'!$H$62+'Assumptions and Catalog'!$E$62+'Assumptions and Catalog'!$F$62,IF(L269&lt;='Assumptions and Catalog'!$C$63,L269*'Assumptions and Catalog'!$H$63+'Assumptions and Catalog'!$E$63+'Assumptions and Catalog'!$F$63,IF(L269&lt;='Assumptions and Catalog'!$C$64,L269*'Assumptions and Catalog'!$H$64+'Assumptions and Catalog'!$E$64+'Assumptions and Catalog'!$F$64,IF(L269&lt;='Assumptions and Catalog'!$C$65,L269*'Assumptions and Catalog'!$H$65+'Assumptions and Catalog'!$E$65+'Assumptions and Catalog'!$F$65,"Out of range")))))))))*(1+'Assumptions and Catalog'!$C$8)^(A269-1),0)</f>
        <v>5173.8772278920924</v>
      </c>
      <c r="O269" s="5">
        <f t="shared" si="18"/>
        <v>3381.0894387745748</v>
      </c>
      <c r="P269" s="5">
        <f>C$55*(1-J$14)*(1-'Assumptions and Catalog'!$C$23)^R269</f>
        <v>0</v>
      </c>
      <c r="Q269" s="5">
        <f>IF(ISNUMBER(Inputs!$L$5),(IF(Inputs!$L$9="Actual flat rate",((D269+E269)*C269-G269)*Inputs!$L$10,IF(Inputs!$C$9="Residential",IF(((D269+E269)*C269-G269)&lt;='Assumptions and Catalog'!$C$50,((D269+E269)*C269-G269)*'Assumptions and Catalog'!$H$50+'Assumptions and Catalog'!$E$50+'Assumptions and Catalog'!$F$50,IF(((D269+E269)*C269-G269)&lt;='Assumptions and Catalog'!$C$51,((D269+E269)*C269-G269)*'Assumptions and Catalog'!$H$51+'Assumptions and Catalog'!$E$51+'Assumptions and Catalog'!$F$51,IF(((D269+E269)*C269-G269)&lt;='Assumptions and Catalog'!$C$52,((D269+E269)*C269-G269)*'Assumptions and Catalog'!$H$52+'Assumptions and Catalog'!$E$52+'Assumptions and Catalog'!$F$52,IF(((D269+E269)*C269-G269)&lt;='Assumptions and Catalog'!$C$53,((D269+E269)*C269-G269)*'Assumptions and Catalog'!$H$53+'Assumptions and Catalog'!$E$53+'Assumptions and Catalog'!$F$53,IF(((D269+E269)*C269-G269)&lt;='Assumptions and Catalog'!$C$54,((D269+E269)*C269-G269)*'Assumptions and Catalog'!$H$54+'Assumptions and Catalog'!$E$54+'Assumptions and Catalog'!$F$54,IF(((D269+E269)*C269-G269)&lt;='Assumptions and Catalog'!$C$55,((D269+E269)*C269-G269)*'Assumptions and Catalog'!$H$55+'Assumptions and Catalog'!$E$55+'Assumptions and Catalog'!$F$55,IF(((D269+E269)*C269-G269)&lt;='Assumptions and Catalog'!$C$56,((D269+E269)*C269-G269)*'Assumptions and Catalog'!$H$56+'Assumptions and Catalog'!$E$56+'Assumptions and Catalog'!$F$56,IF(((D269+E269)*C269-G269)&lt;='Assumptions and Catalog'!$C$57,((D269+E269)*C269-G269)*'Assumptions and Catalog'!$H$57+'Assumptions and Catalog'!$E$57+'Assumptions and Catalog'!$F$57,"Out of range")))))))),IF(((D269+E269)*C269-G269)&lt;='Assumptions and Catalog'!$C$60,((D269+E269)*C269-G269)*'Assumptions and Catalog'!$H$60+'Assumptions and Catalog'!$E$60+'Assumptions and Catalog'!$F$60,IF(((D269+E269)*C269-G269)&lt;='Assumptions and Catalog'!$C$61,((D269+E269)*C269-G269)*'Assumptions and Catalog'!$H$61+'Assumptions and Catalog'!$E$61+'Assumptions and Catalog'!$F$61,IF(((D269+E269)*C269-G269)&lt;='Assumptions and Catalog'!$C$62,((D269+E269)*C269-G269)*'Assumptions and Catalog'!$H$62+'Assumptions and Catalog'!$E$62+'Assumptions and Catalog'!$F$62,IF(((D269+E269)*C269-G269)&lt;='Assumptions and Catalog'!$C$63,((D269+E269)*C269-G269)*'Assumptions and Catalog'!$H$63+'Assumptions and Catalog'!$E$63+'Assumptions and Catalog'!$F$63,IF(((D269+E269)*C269-G269)&lt;='Assumptions and Catalog'!$C$64,((D269+E269)*C269-G269)*'Assumptions and Catalog'!$H$64+'Assumptions and Catalog'!$E$64+'Assumptions and Catalog'!$F$64,IF(((D269+E269)*C269-G269)&lt;='Assumptions and Catalog'!$C$65,((D269+E269)*C269-G269)*'Assumptions and Catalog'!$H$65+'Assumptions and Catalog'!$E$65+'Assumptions and Catalog'!$F$65,"Out of range")))))))))*(1+'Assumptions and Catalog'!$C$8)^(A269-1),0)</f>
        <v>5173.8772278920924</v>
      </c>
      <c r="R269" s="5">
        <f>IF(AND('Assumptions and Catalog'!$C$19&gt;0,A269&gt;='Assumptions and Catalog'!$C$19),A269-'Assumptions and Catalog'!$C$19,A269-1)</f>
        <v>9</v>
      </c>
      <c r="S269" s="5">
        <f t="shared" si="19"/>
        <v>0</v>
      </c>
      <c r="T269" s="5"/>
      <c r="U269" s="5"/>
    </row>
    <row r="270" spans="1:21" ht="23.1" customHeight="1" outlineLevel="1" x14ac:dyDescent="0.2">
      <c r="A270" s="5">
        <v>10</v>
      </c>
      <c r="B270" s="5">
        <v>2</v>
      </c>
      <c r="C270" s="5">
        <f>DAY(DATE('Assumptions and Catalog'!$C$24+A270-1,B270+1,0))</f>
        <v>29</v>
      </c>
      <c r="D270" s="5">
        <f>IF(ISNUMBER(Inputs!$L$5),Inputs!$L$5*Inputs!$L$6,0)</f>
        <v>40.35</v>
      </c>
      <c r="E270" s="5">
        <f>IF(ISNUMBER(Inputs!$L$5),Inputs!$L$5-D270,0)</f>
        <v>40.35</v>
      </c>
      <c r="F270" s="5">
        <f>C$51*'Assumptions and Catalog'!$C$31*C270*(1-'Assumptions and Catalog'!$C$10)^(A270-1)</f>
        <v>924.93213847287188</v>
      </c>
      <c r="G270" s="5">
        <f t="shared" si="14"/>
        <v>924.93213847287188</v>
      </c>
      <c r="H270" s="5">
        <f>I270/('Assumptions and Catalog'!$C$11*'Assumptions and Catalog'!$C$12)</f>
        <v>0</v>
      </c>
      <c r="I270" s="5">
        <f>0</f>
        <v>0</v>
      </c>
      <c r="J270" s="5">
        <f t="shared" si="15"/>
        <v>0</v>
      </c>
      <c r="K270" s="5">
        <f t="shared" si="16"/>
        <v>0</v>
      </c>
      <c r="L270" s="5">
        <f t="shared" si="17"/>
        <v>1415.3678615271283</v>
      </c>
      <c r="M270" s="5">
        <f>IF(ISNUMBER(Inputs!$L$5),(IF(Inputs!$L$9="Actual flat rate",((D270+E270)*C270)*Inputs!$L$10,IF(Inputs!$C$9="Residential",IF(((D270+E270)*C270)&lt;='Assumptions and Catalog'!$C$50,((D270+E270)*C270)*'Assumptions and Catalog'!$H$50+'Assumptions and Catalog'!$E$50+'Assumptions and Catalog'!$F$50,IF(((D270+E270)*C270)&lt;='Assumptions and Catalog'!$C$51,((D270+E270)*C270)*'Assumptions and Catalog'!$H$51+'Assumptions and Catalog'!$E$51+'Assumptions and Catalog'!$F$51,IF(((D270+E270)*C270)&lt;='Assumptions and Catalog'!$C$52,((D270+E270)*C270)*'Assumptions and Catalog'!$H$52+'Assumptions and Catalog'!$E$52+'Assumptions and Catalog'!$F$52,IF(((D270+E270)*C270)&lt;='Assumptions and Catalog'!$C$53,((D270+E270)*C270)*'Assumptions and Catalog'!$H$53+'Assumptions and Catalog'!$E$53+'Assumptions and Catalog'!$F$53,IF(((D270+E270)*C270)&lt;='Assumptions and Catalog'!$C$54,((D270+E270)*C270)*'Assumptions and Catalog'!$H$54+'Assumptions and Catalog'!$E$54+'Assumptions and Catalog'!$F$54,IF(((D270+E270)*C270)&lt;='Assumptions and Catalog'!$C$55,((D270+E270)*C270)*'Assumptions and Catalog'!$H$55+'Assumptions and Catalog'!$E$55+'Assumptions and Catalog'!$F$55,IF(((D270+E270)*C270)&lt;='Assumptions and Catalog'!$C$56,((D270+E270)*C270)*'Assumptions and Catalog'!$H$56+'Assumptions and Catalog'!$E$56+'Assumptions and Catalog'!$F$56,IF(((D270+E270)*C270)&lt;='Assumptions and Catalog'!$C$57,((D270+E270)*C270)*'Assumptions and Catalog'!$H$57+'Assumptions and Catalog'!$E$57+'Assumptions and Catalog'!$F$57,"Out of range")))))))),IF(((D270+E270)*C270)&lt;='Assumptions and Catalog'!$C$60,((D270+E270)*C270)*'Assumptions and Catalog'!$H$60+'Assumptions and Catalog'!$E$60+'Assumptions and Catalog'!$F$60,IF(((D270+E270)*C270)&lt;='Assumptions and Catalog'!$C$61,((D270+E270)*C270)*'Assumptions and Catalog'!$H$61+'Assumptions and Catalog'!$E$61+'Assumptions and Catalog'!$F$61,IF(((D270+E270)*C270)&lt;='Assumptions and Catalog'!$C$62,((D270+E270)*C270)*'Assumptions and Catalog'!$H$62+'Assumptions and Catalog'!$E$62+'Assumptions and Catalog'!$F$62,IF(((D270+E270)*C270)&lt;='Assumptions and Catalog'!$C$63,((D270+E270)*C270)*'Assumptions and Catalog'!$H$63+'Assumptions and Catalog'!$E$63+'Assumptions and Catalog'!$F$63,IF(((D270+E270)*C270)&lt;='Assumptions and Catalog'!$C$64,((D270+E270)*C270)*'Assumptions and Catalog'!$H$64+'Assumptions and Catalog'!$E$64+'Assumptions and Catalog'!$F$64,IF(((D270+E270)*C270)&lt;='Assumptions and Catalog'!$C$65,((D270+E270)*C270)*'Assumptions and Catalog'!$H$65+'Assumptions and Catalog'!$E$65+'Assumptions and Catalog'!$F$65,"Out of range")))))))))*(1+'Assumptions and Catalog'!$C$8)^(A270-1),0)</f>
        <v>8003.0333333333338</v>
      </c>
      <c r="N270" s="5">
        <f>IF(ISNUMBER(Inputs!$L$5),(IF(Inputs!$L$9="Actual flat rate",L270*Inputs!$L$10,IF(Inputs!$C$9="Residential",IF(L270&lt;='Assumptions and Catalog'!$C$50,L270*'Assumptions and Catalog'!$H$50+'Assumptions and Catalog'!$E$50+'Assumptions and Catalog'!$F$50,IF(L270&lt;='Assumptions and Catalog'!$C$51,L270*'Assumptions and Catalog'!$H$51+'Assumptions and Catalog'!$E$51+'Assumptions and Catalog'!$F$51,IF(L270&lt;='Assumptions and Catalog'!$C$52,L270*'Assumptions and Catalog'!$H$52+'Assumptions and Catalog'!$E$52+'Assumptions and Catalog'!$F$52,IF(L270&lt;='Assumptions and Catalog'!$C$53,L270*'Assumptions and Catalog'!$H$53+'Assumptions and Catalog'!$E$53+'Assumptions and Catalog'!$F$53,IF(L270&lt;='Assumptions and Catalog'!$C$54,L270*'Assumptions and Catalog'!$H$54+'Assumptions and Catalog'!$E$54+'Assumptions and Catalog'!$F$54,IF(L270&lt;='Assumptions and Catalog'!$C$55,L270*'Assumptions and Catalog'!$H$55+'Assumptions and Catalog'!$E$55+'Assumptions and Catalog'!$F$55,IF(L270&lt;='Assumptions and Catalog'!$C$56,L270*'Assumptions and Catalog'!$H$56+'Assumptions and Catalog'!$E$56+'Assumptions and Catalog'!$F$56,IF(L270&lt;='Assumptions and Catalog'!$C$57,L270*'Assumptions and Catalog'!$H$57+'Assumptions and Catalog'!$E$57+'Assumptions and Catalog'!$F$57,"Out of range")))))))),IF(L270&lt;='Assumptions and Catalog'!$C$60,L270*'Assumptions and Catalog'!$H$60+'Assumptions and Catalog'!$E$60+'Assumptions and Catalog'!$F$60,IF(L270&lt;='Assumptions and Catalog'!$C$61,L270*'Assumptions and Catalog'!$H$61+'Assumptions and Catalog'!$E$61+'Assumptions and Catalog'!$F$61,IF(L270&lt;='Assumptions and Catalog'!$C$62,L270*'Assumptions and Catalog'!$H$62+'Assumptions and Catalog'!$E$62+'Assumptions and Catalog'!$F$62,IF(L270&lt;='Assumptions and Catalog'!$C$63,L270*'Assumptions and Catalog'!$H$63+'Assumptions and Catalog'!$E$63+'Assumptions and Catalog'!$F$63,IF(L270&lt;='Assumptions and Catalog'!$C$64,L270*'Assumptions and Catalog'!$H$64+'Assumptions and Catalog'!$E$64+'Assumptions and Catalog'!$F$64,IF(L270&lt;='Assumptions and Catalog'!$C$65,L270*'Assumptions and Catalog'!$H$65+'Assumptions and Catalog'!$E$65+'Assumptions and Catalog'!$F$65,"Out of range")))))))))*(1+'Assumptions and Catalog'!$C$8)^(A270-1),0)</f>
        <v>4840.0786970603449</v>
      </c>
      <c r="O270" s="5">
        <f t="shared" si="18"/>
        <v>3162.9546362729889</v>
      </c>
      <c r="P270" s="5">
        <f>C$55*(1-J$14)*(1-'Assumptions and Catalog'!$C$23)^R270</f>
        <v>0</v>
      </c>
      <c r="Q270" s="5">
        <f>IF(ISNUMBER(Inputs!$L$5),(IF(Inputs!$L$9="Actual flat rate",((D270+E270)*C270-G270)*Inputs!$L$10,IF(Inputs!$C$9="Residential",IF(((D270+E270)*C270-G270)&lt;='Assumptions and Catalog'!$C$50,((D270+E270)*C270-G270)*'Assumptions and Catalog'!$H$50+'Assumptions and Catalog'!$E$50+'Assumptions and Catalog'!$F$50,IF(((D270+E270)*C270-G270)&lt;='Assumptions and Catalog'!$C$51,((D270+E270)*C270-G270)*'Assumptions and Catalog'!$H$51+'Assumptions and Catalog'!$E$51+'Assumptions and Catalog'!$F$51,IF(((D270+E270)*C270-G270)&lt;='Assumptions and Catalog'!$C$52,((D270+E270)*C270-G270)*'Assumptions and Catalog'!$H$52+'Assumptions and Catalog'!$E$52+'Assumptions and Catalog'!$F$52,IF(((D270+E270)*C270-G270)&lt;='Assumptions and Catalog'!$C$53,((D270+E270)*C270-G270)*'Assumptions and Catalog'!$H$53+'Assumptions and Catalog'!$E$53+'Assumptions and Catalog'!$F$53,IF(((D270+E270)*C270-G270)&lt;='Assumptions and Catalog'!$C$54,((D270+E270)*C270-G270)*'Assumptions and Catalog'!$H$54+'Assumptions and Catalog'!$E$54+'Assumptions and Catalog'!$F$54,IF(((D270+E270)*C270-G270)&lt;='Assumptions and Catalog'!$C$55,((D270+E270)*C270-G270)*'Assumptions and Catalog'!$H$55+'Assumptions and Catalog'!$E$55+'Assumptions and Catalog'!$F$55,IF(((D270+E270)*C270-G270)&lt;='Assumptions and Catalog'!$C$56,((D270+E270)*C270-G270)*'Assumptions and Catalog'!$H$56+'Assumptions and Catalog'!$E$56+'Assumptions and Catalog'!$F$56,IF(((D270+E270)*C270-G270)&lt;='Assumptions and Catalog'!$C$57,((D270+E270)*C270-G270)*'Assumptions and Catalog'!$H$57+'Assumptions and Catalog'!$E$57+'Assumptions and Catalog'!$F$57,"Out of range")))))))),IF(((D270+E270)*C270-G270)&lt;='Assumptions and Catalog'!$C$60,((D270+E270)*C270-G270)*'Assumptions and Catalog'!$H$60+'Assumptions and Catalog'!$E$60+'Assumptions and Catalog'!$F$60,IF(((D270+E270)*C270-G270)&lt;='Assumptions and Catalog'!$C$61,((D270+E270)*C270-G270)*'Assumptions and Catalog'!$H$61+'Assumptions and Catalog'!$E$61+'Assumptions and Catalog'!$F$61,IF(((D270+E270)*C270-G270)&lt;='Assumptions and Catalog'!$C$62,((D270+E270)*C270-G270)*'Assumptions and Catalog'!$H$62+'Assumptions and Catalog'!$E$62+'Assumptions and Catalog'!$F$62,IF(((D270+E270)*C270-G270)&lt;='Assumptions and Catalog'!$C$63,((D270+E270)*C270-G270)*'Assumptions and Catalog'!$H$63+'Assumptions and Catalog'!$E$63+'Assumptions and Catalog'!$F$63,IF(((D270+E270)*C270-G270)&lt;='Assumptions and Catalog'!$C$64,((D270+E270)*C270-G270)*'Assumptions and Catalog'!$H$64+'Assumptions and Catalog'!$E$64+'Assumptions and Catalog'!$F$64,IF(((D270+E270)*C270-G270)&lt;='Assumptions and Catalog'!$C$65,((D270+E270)*C270-G270)*'Assumptions and Catalog'!$H$65+'Assumptions and Catalog'!$E$65+'Assumptions and Catalog'!$F$65,"Out of range")))))))))*(1+'Assumptions and Catalog'!$C$8)^(A270-1),0)</f>
        <v>4840.0786970603449</v>
      </c>
      <c r="R270" s="5">
        <f>IF(AND('Assumptions and Catalog'!$C$19&gt;0,A270&gt;='Assumptions and Catalog'!$C$19),A270-'Assumptions and Catalog'!$C$19,A270-1)</f>
        <v>9</v>
      </c>
      <c r="S270" s="5">
        <f t="shared" si="19"/>
        <v>0</v>
      </c>
      <c r="T270" s="5"/>
      <c r="U270" s="5"/>
    </row>
    <row r="271" spans="1:21" ht="23.1" customHeight="1" outlineLevel="1" x14ac:dyDescent="0.2">
      <c r="A271" s="5">
        <v>10</v>
      </c>
      <c r="B271" s="5">
        <v>3</v>
      </c>
      <c r="C271" s="5">
        <f>DAY(DATE('Assumptions and Catalog'!$C$24+A271-1,B271+1,0))</f>
        <v>31</v>
      </c>
      <c r="D271" s="5">
        <f>IF(ISNUMBER(Inputs!$L$5),Inputs!$L$5*Inputs!$L$6,0)</f>
        <v>40.35</v>
      </c>
      <c r="E271" s="5">
        <f>IF(ISNUMBER(Inputs!$L$5),Inputs!$L$5-D271,0)</f>
        <v>40.35</v>
      </c>
      <c r="F271" s="5">
        <f>C$51*'Assumptions and Catalog'!$C$31*C271*(1-'Assumptions and Catalog'!$C$10)^(A271-1)</f>
        <v>988.72056181582866</v>
      </c>
      <c r="G271" s="5">
        <f t="shared" si="14"/>
        <v>988.72056181582866</v>
      </c>
      <c r="H271" s="5">
        <f>I271/('Assumptions and Catalog'!$C$11*'Assumptions and Catalog'!$C$12)</f>
        <v>0</v>
      </c>
      <c r="I271" s="5">
        <f>0</f>
        <v>0</v>
      </c>
      <c r="J271" s="5">
        <f t="shared" si="15"/>
        <v>0</v>
      </c>
      <c r="K271" s="5">
        <f t="shared" si="16"/>
        <v>0</v>
      </c>
      <c r="L271" s="5">
        <f t="shared" si="17"/>
        <v>1512.9794381841716</v>
      </c>
      <c r="M271" s="5">
        <f>IF(ISNUMBER(Inputs!$L$5),(IF(Inputs!$L$9="Actual flat rate",((D271+E271)*C271)*Inputs!$L$10,IF(Inputs!$C$9="Residential",IF(((D271+E271)*C271)&lt;='Assumptions and Catalog'!$C$50,((D271+E271)*C271)*'Assumptions and Catalog'!$H$50+'Assumptions and Catalog'!$E$50+'Assumptions and Catalog'!$F$50,IF(((D271+E271)*C271)&lt;='Assumptions and Catalog'!$C$51,((D271+E271)*C271)*'Assumptions and Catalog'!$H$51+'Assumptions and Catalog'!$E$51+'Assumptions and Catalog'!$F$51,IF(((D271+E271)*C271)&lt;='Assumptions and Catalog'!$C$52,((D271+E271)*C271)*'Assumptions and Catalog'!$H$52+'Assumptions and Catalog'!$E$52+'Assumptions and Catalog'!$F$52,IF(((D271+E271)*C271)&lt;='Assumptions and Catalog'!$C$53,((D271+E271)*C271)*'Assumptions and Catalog'!$H$53+'Assumptions and Catalog'!$E$53+'Assumptions and Catalog'!$F$53,IF(((D271+E271)*C271)&lt;='Assumptions and Catalog'!$C$54,((D271+E271)*C271)*'Assumptions and Catalog'!$H$54+'Assumptions and Catalog'!$E$54+'Assumptions and Catalog'!$F$54,IF(((D271+E271)*C271)&lt;='Assumptions and Catalog'!$C$55,((D271+E271)*C271)*'Assumptions and Catalog'!$H$55+'Assumptions and Catalog'!$E$55+'Assumptions and Catalog'!$F$55,IF(((D271+E271)*C271)&lt;='Assumptions and Catalog'!$C$56,((D271+E271)*C271)*'Assumptions and Catalog'!$H$56+'Assumptions and Catalog'!$E$56+'Assumptions and Catalog'!$F$56,IF(((D271+E271)*C271)&lt;='Assumptions and Catalog'!$C$57,((D271+E271)*C271)*'Assumptions and Catalog'!$H$57+'Assumptions and Catalog'!$E$57+'Assumptions and Catalog'!$F$57,"Out of range")))))))),IF(((D271+E271)*C271)&lt;='Assumptions and Catalog'!$C$60,((D271+E271)*C271)*'Assumptions and Catalog'!$H$60+'Assumptions and Catalog'!$E$60+'Assumptions and Catalog'!$F$60,IF(((D271+E271)*C271)&lt;='Assumptions and Catalog'!$C$61,((D271+E271)*C271)*'Assumptions and Catalog'!$H$61+'Assumptions and Catalog'!$E$61+'Assumptions and Catalog'!$F$61,IF(((D271+E271)*C271)&lt;='Assumptions and Catalog'!$C$62,((D271+E271)*C271)*'Assumptions and Catalog'!$H$62+'Assumptions and Catalog'!$E$62+'Assumptions and Catalog'!$F$62,IF(((D271+E271)*C271)&lt;='Assumptions and Catalog'!$C$63,((D271+E271)*C271)*'Assumptions and Catalog'!$H$63+'Assumptions and Catalog'!$E$63+'Assumptions and Catalog'!$F$63,IF(((D271+E271)*C271)&lt;='Assumptions and Catalog'!$C$64,((D271+E271)*C271)*'Assumptions and Catalog'!$H$64+'Assumptions and Catalog'!$E$64+'Assumptions and Catalog'!$F$64,IF(((D271+E271)*C271)&lt;='Assumptions and Catalog'!$C$65,((D271+E271)*C271)*'Assumptions and Catalog'!$H$65+'Assumptions and Catalog'!$E$65+'Assumptions and Catalog'!$F$65,"Out of range")))))))))*(1+'Assumptions and Catalog'!$C$8)^(A271-1),0)</f>
        <v>8554.9666666666672</v>
      </c>
      <c r="N271" s="5">
        <f>IF(ISNUMBER(Inputs!$L$5),(IF(Inputs!$L$9="Actual flat rate",L271*Inputs!$L$10,IF(Inputs!$C$9="Residential",IF(L271&lt;='Assumptions and Catalog'!$C$50,L271*'Assumptions and Catalog'!$H$50+'Assumptions and Catalog'!$E$50+'Assumptions and Catalog'!$F$50,IF(L271&lt;='Assumptions and Catalog'!$C$51,L271*'Assumptions and Catalog'!$H$51+'Assumptions and Catalog'!$E$51+'Assumptions and Catalog'!$F$51,IF(L271&lt;='Assumptions and Catalog'!$C$52,L271*'Assumptions and Catalog'!$H$52+'Assumptions and Catalog'!$E$52+'Assumptions and Catalog'!$F$52,IF(L271&lt;='Assumptions and Catalog'!$C$53,L271*'Assumptions and Catalog'!$H$53+'Assumptions and Catalog'!$E$53+'Assumptions and Catalog'!$F$53,IF(L271&lt;='Assumptions and Catalog'!$C$54,L271*'Assumptions and Catalog'!$H$54+'Assumptions and Catalog'!$E$54+'Assumptions and Catalog'!$F$54,IF(L271&lt;='Assumptions and Catalog'!$C$55,L271*'Assumptions and Catalog'!$H$55+'Assumptions and Catalog'!$E$55+'Assumptions and Catalog'!$F$55,IF(L271&lt;='Assumptions and Catalog'!$C$56,L271*'Assumptions and Catalog'!$H$56+'Assumptions and Catalog'!$E$56+'Assumptions and Catalog'!$F$56,IF(L271&lt;='Assumptions and Catalog'!$C$57,L271*'Assumptions and Catalog'!$H$57+'Assumptions and Catalog'!$E$57+'Assumptions and Catalog'!$F$57,"Out of range")))))))),IF(L271&lt;='Assumptions and Catalog'!$C$60,L271*'Assumptions and Catalog'!$H$60+'Assumptions and Catalog'!$E$60+'Assumptions and Catalog'!$F$60,IF(L271&lt;='Assumptions and Catalog'!$C$61,L271*'Assumptions and Catalog'!$H$61+'Assumptions and Catalog'!$E$61+'Assumptions and Catalog'!$F$61,IF(L271&lt;='Assumptions and Catalog'!$C$62,L271*'Assumptions and Catalog'!$H$62+'Assumptions and Catalog'!$E$62+'Assumptions and Catalog'!$F$62,IF(L271&lt;='Assumptions and Catalog'!$C$63,L271*'Assumptions and Catalog'!$H$63+'Assumptions and Catalog'!$E$63+'Assumptions and Catalog'!$F$63,IF(L271&lt;='Assumptions and Catalog'!$C$64,L271*'Assumptions and Catalog'!$H$64+'Assumptions and Catalog'!$E$64+'Assumptions and Catalog'!$F$64,IF(L271&lt;='Assumptions and Catalog'!$C$65,L271*'Assumptions and Catalog'!$H$65+'Assumptions and Catalog'!$E$65+'Assumptions and Catalog'!$F$65,"Out of range")))))))))*(1+'Assumptions and Catalog'!$C$8)^(A271-1),0)</f>
        <v>5173.8772278920924</v>
      </c>
      <c r="O271" s="5">
        <f t="shared" si="18"/>
        <v>3381.0894387745748</v>
      </c>
      <c r="P271" s="5">
        <f>C$55*(1-J$14)*(1-'Assumptions and Catalog'!$C$23)^R271</f>
        <v>0</v>
      </c>
      <c r="Q271" s="5">
        <f>IF(ISNUMBER(Inputs!$L$5),(IF(Inputs!$L$9="Actual flat rate",((D271+E271)*C271-G271)*Inputs!$L$10,IF(Inputs!$C$9="Residential",IF(((D271+E271)*C271-G271)&lt;='Assumptions and Catalog'!$C$50,((D271+E271)*C271-G271)*'Assumptions and Catalog'!$H$50+'Assumptions and Catalog'!$E$50+'Assumptions and Catalog'!$F$50,IF(((D271+E271)*C271-G271)&lt;='Assumptions and Catalog'!$C$51,((D271+E271)*C271-G271)*'Assumptions and Catalog'!$H$51+'Assumptions and Catalog'!$E$51+'Assumptions and Catalog'!$F$51,IF(((D271+E271)*C271-G271)&lt;='Assumptions and Catalog'!$C$52,((D271+E271)*C271-G271)*'Assumptions and Catalog'!$H$52+'Assumptions and Catalog'!$E$52+'Assumptions and Catalog'!$F$52,IF(((D271+E271)*C271-G271)&lt;='Assumptions and Catalog'!$C$53,((D271+E271)*C271-G271)*'Assumptions and Catalog'!$H$53+'Assumptions and Catalog'!$E$53+'Assumptions and Catalog'!$F$53,IF(((D271+E271)*C271-G271)&lt;='Assumptions and Catalog'!$C$54,((D271+E271)*C271-G271)*'Assumptions and Catalog'!$H$54+'Assumptions and Catalog'!$E$54+'Assumptions and Catalog'!$F$54,IF(((D271+E271)*C271-G271)&lt;='Assumptions and Catalog'!$C$55,((D271+E271)*C271-G271)*'Assumptions and Catalog'!$H$55+'Assumptions and Catalog'!$E$55+'Assumptions and Catalog'!$F$55,IF(((D271+E271)*C271-G271)&lt;='Assumptions and Catalog'!$C$56,((D271+E271)*C271-G271)*'Assumptions and Catalog'!$H$56+'Assumptions and Catalog'!$E$56+'Assumptions and Catalog'!$F$56,IF(((D271+E271)*C271-G271)&lt;='Assumptions and Catalog'!$C$57,((D271+E271)*C271-G271)*'Assumptions and Catalog'!$H$57+'Assumptions and Catalog'!$E$57+'Assumptions and Catalog'!$F$57,"Out of range")))))))),IF(((D271+E271)*C271-G271)&lt;='Assumptions and Catalog'!$C$60,((D271+E271)*C271-G271)*'Assumptions and Catalog'!$H$60+'Assumptions and Catalog'!$E$60+'Assumptions and Catalog'!$F$60,IF(((D271+E271)*C271-G271)&lt;='Assumptions and Catalog'!$C$61,((D271+E271)*C271-G271)*'Assumptions and Catalog'!$H$61+'Assumptions and Catalog'!$E$61+'Assumptions and Catalog'!$F$61,IF(((D271+E271)*C271-G271)&lt;='Assumptions and Catalog'!$C$62,((D271+E271)*C271-G271)*'Assumptions and Catalog'!$H$62+'Assumptions and Catalog'!$E$62+'Assumptions and Catalog'!$F$62,IF(((D271+E271)*C271-G271)&lt;='Assumptions and Catalog'!$C$63,((D271+E271)*C271-G271)*'Assumptions and Catalog'!$H$63+'Assumptions and Catalog'!$E$63+'Assumptions and Catalog'!$F$63,IF(((D271+E271)*C271-G271)&lt;='Assumptions and Catalog'!$C$64,((D271+E271)*C271-G271)*'Assumptions and Catalog'!$H$64+'Assumptions and Catalog'!$E$64+'Assumptions and Catalog'!$F$64,IF(((D271+E271)*C271-G271)&lt;='Assumptions and Catalog'!$C$65,((D271+E271)*C271-G271)*'Assumptions and Catalog'!$H$65+'Assumptions and Catalog'!$E$65+'Assumptions and Catalog'!$F$65,"Out of range")))))))))*(1+'Assumptions and Catalog'!$C$8)^(A271-1),0)</f>
        <v>5173.8772278920924</v>
      </c>
      <c r="R271" s="5">
        <f>IF(AND('Assumptions and Catalog'!$C$19&gt;0,A271&gt;='Assumptions and Catalog'!$C$19),A271-'Assumptions and Catalog'!$C$19,A271-1)</f>
        <v>9</v>
      </c>
      <c r="S271" s="5">
        <f t="shared" si="19"/>
        <v>0</v>
      </c>
      <c r="T271" s="5"/>
      <c r="U271" s="5"/>
    </row>
    <row r="272" spans="1:21" ht="23.1" customHeight="1" outlineLevel="1" x14ac:dyDescent="0.2">
      <c r="A272" s="5">
        <v>10</v>
      </c>
      <c r="B272" s="5">
        <v>4</v>
      </c>
      <c r="C272" s="5">
        <f>DAY(DATE('Assumptions and Catalog'!$C$24+A272-1,B272+1,0))</f>
        <v>30</v>
      </c>
      <c r="D272" s="5">
        <f>IF(ISNUMBER(Inputs!$L$5),Inputs!$L$5*Inputs!$L$6,0)</f>
        <v>40.35</v>
      </c>
      <c r="E272" s="5">
        <f>IF(ISNUMBER(Inputs!$L$5),Inputs!$L$5-D272,0)</f>
        <v>40.35</v>
      </c>
      <c r="F272" s="5">
        <f>C$51*'Assumptions and Catalog'!$C$31*C272*(1-'Assumptions and Catalog'!$C$10)^(A272-1)</f>
        <v>956.82635014435039</v>
      </c>
      <c r="G272" s="5">
        <f t="shared" si="14"/>
        <v>956.82635014435039</v>
      </c>
      <c r="H272" s="5">
        <f>I272/('Assumptions and Catalog'!$C$11*'Assumptions and Catalog'!$C$12)</f>
        <v>0</v>
      </c>
      <c r="I272" s="5">
        <f>0</f>
        <v>0</v>
      </c>
      <c r="J272" s="5">
        <f t="shared" si="15"/>
        <v>0</v>
      </c>
      <c r="K272" s="5">
        <f t="shared" si="16"/>
        <v>0</v>
      </c>
      <c r="L272" s="5">
        <f t="shared" si="17"/>
        <v>1464.1736498556497</v>
      </c>
      <c r="M272" s="5">
        <f>IF(ISNUMBER(Inputs!$L$5),(IF(Inputs!$L$9="Actual flat rate",((D272+E272)*C272)*Inputs!$L$10,IF(Inputs!$C$9="Residential",IF(((D272+E272)*C272)&lt;='Assumptions and Catalog'!$C$50,((D272+E272)*C272)*'Assumptions and Catalog'!$H$50+'Assumptions and Catalog'!$E$50+'Assumptions and Catalog'!$F$50,IF(((D272+E272)*C272)&lt;='Assumptions and Catalog'!$C$51,((D272+E272)*C272)*'Assumptions and Catalog'!$H$51+'Assumptions and Catalog'!$E$51+'Assumptions and Catalog'!$F$51,IF(((D272+E272)*C272)&lt;='Assumptions and Catalog'!$C$52,((D272+E272)*C272)*'Assumptions and Catalog'!$H$52+'Assumptions and Catalog'!$E$52+'Assumptions and Catalog'!$F$52,IF(((D272+E272)*C272)&lt;='Assumptions and Catalog'!$C$53,((D272+E272)*C272)*'Assumptions and Catalog'!$H$53+'Assumptions and Catalog'!$E$53+'Assumptions and Catalog'!$F$53,IF(((D272+E272)*C272)&lt;='Assumptions and Catalog'!$C$54,((D272+E272)*C272)*'Assumptions and Catalog'!$H$54+'Assumptions and Catalog'!$E$54+'Assumptions and Catalog'!$F$54,IF(((D272+E272)*C272)&lt;='Assumptions and Catalog'!$C$55,((D272+E272)*C272)*'Assumptions and Catalog'!$H$55+'Assumptions and Catalog'!$E$55+'Assumptions and Catalog'!$F$55,IF(((D272+E272)*C272)&lt;='Assumptions and Catalog'!$C$56,((D272+E272)*C272)*'Assumptions and Catalog'!$H$56+'Assumptions and Catalog'!$E$56+'Assumptions and Catalog'!$F$56,IF(((D272+E272)*C272)&lt;='Assumptions and Catalog'!$C$57,((D272+E272)*C272)*'Assumptions and Catalog'!$H$57+'Assumptions and Catalog'!$E$57+'Assumptions and Catalog'!$F$57,"Out of range")))))))),IF(((D272+E272)*C272)&lt;='Assumptions and Catalog'!$C$60,((D272+E272)*C272)*'Assumptions and Catalog'!$H$60+'Assumptions and Catalog'!$E$60+'Assumptions and Catalog'!$F$60,IF(((D272+E272)*C272)&lt;='Assumptions and Catalog'!$C$61,((D272+E272)*C272)*'Assumptions and Catalog'!$H$61+'Assumptions and Catalog'!$E$61+'Assumptions and Catalog'!$F$61,IF(((D272+E272)*C272)&lt;='Assumptions and Catalog'!$C$62,((D272+E272)*C272)*'Assumptions and Catalog'!$H$62+'Assumptions and Catalog'!$E$62+'Assumptions and Catalog'!$F$62,IF(((D272+E272)*C272)&lt;='Assumptions and Catalog'!$C$63,((D272+E272)*C272)*'Assumptions and Catalog'!$H$63+'Assumptions and Catalog'!$E$63+'Assumptions and Catalog'!$F$63,IF(((D272+E272)*C272)&lt;='Assumptions and Catalog'!$C$64,((D272+E272)*C272)*'Assumptions and Catalog'!$H$64+'Assumptions and Catalog'!$E$64+'Assumptions and Catalog'!$F$64,IF(((D272+E272)*C272)&lt;='Assumptions and Catalog'!$C$65,((D272+E272)*C272)*'Assumptions and Catalog'!$H$65+'Assumptions and Catalog'!$E$65+'Assumptions and Catalog'!$F$65,"Out of range")))))))))*(1+'Assumptions and Catalog'!$C$8)^(A272-1),0)</f>
        <v>8279</v>
      </c>
      <c r="N272" s="5">
        <f>IF(ISNUMBER(Inputs!$L$5),(IF(Inputs!$L$9="Actual flat rate",L272*Inputs!$L$10,IF(Inputs!$C$9="Residential",IF(L272&lt;='Assumptions and Catalog'!$C$50,L272*'Assumptions and Catalog'!$H$50+'Assumptions and Catalog'!$E$50+'Assumptions and Catalog'!$F$50,IF(L272&lt;='Assumptions and Catalog'!$C$51,L272*'Assumptions and Catalog'!$H$51+'Assumptions and Catalog'!$E$51+'Assumptions and Catalog'!$F$51,IF(L272&lt;='Assumptions and Catalog'!$C$52,L272*'Assumptions and Catalog'!$H$52+'Assumptions and Catalog'!$E$52+'Assumptions and Catalog'!$F$52,IF(L272&lt;='Assumptions and Catalog'!$C$53,L272*'Assumptions and Catalog'!$H$53+'Assumptions and Catalog'!$E$53+'Assumptions and Catalog'!$F$53,IF(L272&lt;='Assumptions and Catalog'!$C$54,L272*'Assumptions and Catalog'!$H$54+'Assumptions and Catalog'!$E$54+'Assumptions and Catalog'!$F$54,IF(L272&lt;='Assumptions and Catalog'!$C$55,L272*'Assumptions and Catalog'!$H$55+'Assumptions and Catalog'!$E$55+'Assumptions and Catalog'!$F$55,IF(L272&lt;='Assumptions and Catalog'!$C$56,L272*'Assumptions and Catalog'!$H$56+'Assumptions and Catalog'!$E$56+'Assumptions and Catalog'!$F$56,IF(L272&lt;='Assumptions and Catalog'!$C$57,L272*'Assumptions and Catalog'!$H$57+'Assumptions and Catalog'!$E$57+'Assumptions and Catalog'!$F$57,"Out of range")))))))),IF(L272&lt;='Assumptions and Catalog'!$C$60,L272*'Assumptions and Catalog'!$H$60+'Assumptions and Catalog'!$E$60+'Assumptions and Catalog'!$F$60,IF(L272&lt;='Assumptions and Catalog'!$C$61,L272*'Assumptions and Catalog'!$H$61+'Assumptions and Catalog'!$E$61+'Assumptions and Catalog'!$F$61,IF(L272&lt;='Assumptions and Catalog'!$C$62,L272*'Assumptions and Catalog'!$H$62+'Assumptions and Catalog'!$E$62+'Assumptions and Catalog'!$F$62,IF(L272&lt;='Assumptions and Catalog'!$C$63,L272*'Assumptions and Catalog'!$H$63+'Assumptions and Catalog'!$E$63+'Assumptions and Catalog'!$F$63,IF(L272&lt;='Assumptions and Catalog'!$C$64,L272*'Assumptions and Catalog'!$H$64+'Assumptions and Catalog'!$E$64+'Assumptions and Catalog'!$F$64,IF(L272&lt;='Assumptions and Catalog'!$C$65,L272*'Assumptions and Catalog'!$H$65+'Assumptions and Catalog'!$E$65+'Assumptions and Catalog'!$F$65,"Out of range")))))))))*(1+'Assumptions and Catalog'!$C$8)^(A272-1),0)</f>
        <v>5006.9779624762177</v>
      </c>
      <c r="O272" s="5">
        <f t="shared" si="18"/>
        <v>3272.0220375237823</v>
      </c>
      <c r="P272" s="5">
        <f>C$55*(1-J$14)*(1-'Assumptions and Catalog'!$C$23)^R272</f>
        <v>0</v>
      </c>
      <c r="Q272" s="5">
        <f>IF(ISNUMBER(Inputs!$L$5),(IF(Inputs!$L$9="Actual flat rate",((D272+E272)*C272-G272)*Inputs!$L$10,IF(Inputs!$C$9="Residential",IF(((D272+E272)*C272-G272)&lt;='Assumptions and Catalog'!$C$50,((D272+E272)*C272-G272)*'Assumptions and Catalog'!$H$50+'Assumptions and Catalog'!$E$50+'Assumptions and Catalog'!$F$50,IF(((D272+E272)*C272-G272)&lt;='Assumptions and Catalog'!$C$51,((D272+E272)*C272-G272)*'Assumptions and Catalog'!$H$51+'Assumptions and Catalog'!$E$51+'Assumptions and Catalog'!$F$51,IF(((D272+E272)*C272-G272)&lt;='Assumptions and Catalog'!$C$52,((D272+E272)*C272-G272)*'Assumptions and Catalog'!$H$52+'Assumptions and Catalog'!$E$52+'Assumptions and Catalog'!$F$52,IF(((D272+E272)*C272-G272)&lt;='Assumptions and Catalog'!$C$53,((D272+E272)*C272-G272)*'Assumptions and Catalog'!$H$53+'Assumptions and Catalog'!$E$53+'Assumptions and Catalog'!$F$53,IF(((D272+E272)*C272-G272)&lt;='Assumptions and Catalog'!$C$54,((D272+E272)*C272-G272)*'Assumptions and Catalog'!$H$54+'Assumptions and Catalog'!$E$54+'Assumptions and Catalog'!$F$54,IF(((D272+E272)*C272-G272)&lt;='Assumptions and Catalog'!$C$55,((D272+E272)*C272-G272)*'Assumptions and Catalog'!$H$55+'Assumptions and Catalog'!$E$55+'Assumptions and Catalog'!$F$55,IF(((D272+E272)*C272-G272)&lt;='Assumptions and Catalog'!$C$56,((D272+E272)*C272-G272)*'Assumptions and Catalog'!$H$56+'Assumptions and Catalog'!$E$56+'Assumptions and Catalog'!$F$56,IF(((D272+E272)*C272-G272)&lt;='Assumptions and Catalog'!$C$57,((D272+E272)*C272-G272)*'Assumptions and Catalog'!$H$57+'Assumptions and Catalog'!$E$57+'Assumptions and Catalog'!$F$57,"Out of range")))))))),IF(((D272+E272)*C272-G272)&lt;='Assumptions and Catalog'!$C$60,((D272+E272)*C272-G272)*'Assumptions and Catalog'!$H$60+'Assumptions and Catalog'!$E$60+'Assumptions and Catalog'!$F$60,IF(((D272+E272)*C272-G272)&lt;='Assumptions and Catalog'!$C$61,((D272+E272)*C272-G272)*'Assumptions and Catalog'!$H$61+'Assumptions and Catalog'!$E$61+'Assumptions and Catalog'!$F$61,IF(((D272+E272)*C272-G272)&lt;='Assumptions and Catalog'!$C$62,((D272+E272)*C272-G272)*'Assumptions and Catalog'!$H$62+'Assumptions and Catalog'!$E$62+'Assumptions and Catalog'!$F$62,IF(((D272+E272)*C272-G272)&lt;='Assumptions and Catalog'!$C$63,((D272+E272)*C272-G272)*'Assumptions and Catalog'!$H$63+'Assumptions and Catalog'!$E$63+'Assumptions and Catalog'!$F$63,IF(((D272+E272)*C272-G272)&lt;='Assumptions and Catalog'!$C$64,((D272+E272)*C272-G272)*'Assumptions and Catalog'!$H$64+'Assumptions and Catalog'!$E$64+'Assumptions and Catalog'!$F$64,IF(((D272+E272)*C272-G272)&lt;='Assumptions and Catalog'!$C$65,((D272+E272)*C272-G272)*'Assumptions and Catalog'!$H$65+'Assumptions and Catalog'!$E$65+'Assumptions and Catalog'!$F$65,"Out of range")))))))))*(1+'Assumptions and Catalog'!$C$8)^(A272-1),0)</f>
        <v>5006.9779624762177</v>
      </c>
      <c r="R272" s="5">
        <f>IF(AND('Assumptions and Catalog'!$C$19&gt;0,A272&gt;='Assumptions and Catalog'!$C$19),A272-'Assumptions and Catalog'!$C$19,A272-1)</f>
        <v>9</v>
      </c>
      <c r="S272" s="5">
        <f t="shared" si="19"/>
        <v>0</v>
      </c>
      <c r="T272" s="5"/>
      <c r="U272" s="5"/>
    </row>
    <row r="273" spans="1:21" ht="23.1" customHeight="1" outlineLevel="1" x14ac:dyDescent="0.2">
      <c r="A273" s="5">
        <v>10</v>
      </c>
      <c r="B273" s="5">
        <v>5</v>
      </c>
      <c r="C273" s="5">
        <f>DAY(DATE('Assumptions and Catalog'!$C$24+A273-1,B273+1,0))</f>
        <v>31</v>
      </c>
      <c r="D273" s="5">
        <f>IF(ISNUMBER(Inputs!$L$5),Inputs!$L$5*Inputs!$L$6,0)</f>
        <v>40.35</v>
      </c>
      <c r="E273" s="5">
        <f>IF(ISNUMBER(Inputs!$L$5),Inputs!$L$5-D273,0)</f>
        <v>40.35</v>
      </c>
      <c r="F273" s="5">
        <f>C$51*'Assumptions and Catalog'!$C$31*C273*(1-'Assumptions and Catalog'!$C$10)^(A273-1)</f>
        <v>988.72056181582866</v>
      </c>
      <c r="G273" s="5">
        <f t="shared" si="14"/>
        <v>988.72056181582866</v>
      </c>
      <c r="H273" s="5">
        <f>I273/('Assumptions and Catalog'!$C$11*'Assumptions and Catalog'!$C$12)</f>
        <v>0</v>
      </c>
      <c r="I273" s="5">
        <f>0</f>
        <v>0</v>
      </c>
      <c r="J273" s="5">
        <f t="shared" si="15"/>
        <v>0</v>
      </c>
      <c r="K273" s="5">
        <f t="shared" si="16"/>
        <v>0</v>
      </c>
      <c r="L273" s="5">
        <f t="shared" si="17"/>
        <v>1512.9794381841716</v>
      </c>
      <c r="M273" s="5">
        <f>IF(ISNUMBER(Inputs!$L$5),(IF(Inputs!$L$9="Actual flat rate",((D273+E273)*C273)*Inputs!$L$10,IF(Inputs!$C$9="Residential",IF(((D273+E273)*C273)&lt;='Assumptions and Catalog'!$C$50,((D273+E273)*C273)*'Assumptions and Catalog'!$H$50+'Assumptions and Catalog'!$E$50+'Assumptions and Catalog'!$F$50,IF(((D273+E273)*C273)&lt;='Assumptions and Catalog'!$C$51,((D273+E273)*C273)*'Assumptions and Catalog'!$H$51+'Assumptions and Catalog'!$E$51+'Assumptions and Catalog'!$F$51,IF(((D273+E273)*C273)&lt;='Assumptions and Catalog'!$C$52,((D273+E273)*C273)*'Assumptions and Catalog'!$H$52+'Assumptions and Catalog'!$E$52+'Assumptions and Catalog'!$F$52,IF(((D273+E273)*C273)&lt;='Assumptions and Catalog'!$C$53,((D273+E273)*C273)*'Assumptions and Catalog'!$H$53+'Assumptions and Catalog'!$E$53+'Assumptions and Catalog'!$F$53,IF(((D273+E273)*C273)&lt;='Assumptions and Catalog'!$C$54,((D273+E273)*C273)*'Assumptions and Catalog'!$H$54+'Assumptions and Catalog'!$E$54+'Assumptions and Catalog'!$F$54,IF(((D273+E273)*C273)&lt;='Assumptions and Catalog'!$C$55,((D273+E273)*C273)*'Assumptions and Catalog'!$H$55+'Assumptions and Catalog'!$E$55+'Assumptions and Catalog'!$F$55,IF(((D273+E273)*C273)&lt;='Assumptions and Catalog'!$C$56,((D273+E273)*C273)*'Assumptions and Catalog'!$H$56+'Assumptions and Catalog'!$E$56+'Assumptions and Catalog'!$F$56,IF(((D273+E273)*C273)&lt;='Assumptions and Catalog'!$C$57,((D273+E273)*C273)*'Assumptions and Catalog'!$H$57+'Assumptions and Catalog'!$E$57+'Assumptions and Catalog'!$F$57,"Out of range")))))))),IF(((D273+E273)*C273)&lt;='Assumptions and Catalog'!$C$60,((D273+E273)*C273)*'Assumptions and Catalog'!$H$60+'Assumptions and Catalog'!$E$60+'Assumptions and Catalog'!$F$60,IF(((D273+E273)*C273)&lt;='Assumptions and Catalog'!$C$61,((D273+E273)*C273)*'Assumptions and Catalog'!$H$61+'Assumptions and Catalog'!$E$61+'Assumptions and Catalog'!$F$61,IF(((D273+E273)*C273)&lt;='Assumptions and Catalog'!$C$62,((D273+E273)*C273)*'Assumptions and Catalog'!$H$62+'Assumptions and Catalog'!$E$62+'Assumptions and Catalog'!$F$62,IF(((D273+E273)*C273)&lt;='Assumptions and Catalog'!$C$63,((D273+E273)*C273)*'Assumptions and Catalog'!$H$63+'Assumptions and Catalog'!$E$63+'Assumptions and Catalog'!$F$63,IF(((D273+E273)*C273)&lt;='Assumptions and Catalog'!$C$64,((D273+E273)*C273)*'Assumptions and Catalog'!$H$64+'Assumptions and Catalog'!$E$64+'Assumptions and Catalog'!$F$64,IF(((D273+E273)*C273)&lt;='Assumptions and Catalog'!$C$65,((D273+E273)*C273)*'Assumptions and Catalog'!$H$65+'Assumptions and Catalog'!$E$65+'Assumptions and Catalog'!$F$65,"Out of range")))))))))*(1+'Assumptions and Catalog'!$C$8)^(A273-1),0)</f>
        <v>8554.9666666666672</v>
      </c>
      <c r="N273" s="5">
        <f>IF(ISNUMBER(Inputs!$L$5),(IF(Inputs!$L$9="Actual flat rate",L273*Inputs!$L$10,IF(Inputs!$C$9="Residential",IF(L273&lt;='Assumptions and Catalog'!$C$50,L273*'Assumptions and Catalog'!$H$50+'Assumptions and Catalog'!$E$50+'Assumptions and Catalog'!$F$50,IF(L273&lt;='Assumptions and Catalog'!$C$51,L273*'Assumptions and Catalog'!$H$51+'Assumptions and Catalog'!$E$51+'Assumptions and Catalog'!$F$51,IF(L273&lt;='Assumptions and Catalog'!$C$52,L273*'Assumptions and Catalog'!$H$52+'Assumptions and Catalog'!$E$52+'Assumptions and Catalog'!$F$52,IF(L273&lt;='Assumptions and Catalog'!$C$53,L273*'Assumptions and Catalog'!$H$53+'Assumptions and Catalog'!$E$53+'Assumptions and Catalog'!$F$53,IF(L273&lt;='Assumptions and Catalog'!$C$54,L273*'Assumptions and Catalog'!$H$54+'Assumptions and Catalog'!$E$54+'Assumptions and Catalog'!$F$54,IF(L273&lt;='Assumptions and Catalog'!$C$55,L273*'Assumptions and Catalog'!$H$55+'Assumptions and Catalog'!$E$55+'Assumptions and Catalog'!$F$55,IF(L273&lt;='Assumptions and Catalog'!$C$56,L273*'Assumptions and Catalog'!$H$56+'Assumptions and Catalog'!$E$56+'Assumptions and Catalog'!$F$56,IF(L273&lt;='Assumptions and Catalog'!$C$57,L273*'Assumptions and Catalog'!$H$57+'Assumptions and Catalog'!$E$57+'Assumptions and Catalog'!$F$57,"Out of range")))))))),IF(L273&lt;='Assumptions and Catalog'!$C$60,L273*'Assumptions and Catalog'!$H$60+'Assumptions and Catalog'!$E$60+'Assumptions and Catalog'!$F$60,IF(L273&lt;='Assumptions and Catalog'!$C$61,L273*'Assumptions and Catalog'!$H$61+'Assumptions and Catalog'!$E$61+'Assumptions and Catalog'!$F$61,IF(L273&lt;='Assumptions and Catalog'!$C$62,L273*'Assumptions and Catalog'!$H$62+'Assumptions and Catalog'!$E$62+'Assumptions and Catalog'!$F$62,IF(L273&lt;='Assumptions and Catalog'!$C$63,L273*'Assumptions and Catalog'!$H$63+'Assumptions and Catalog'!$E$63+'Assumptions and Catalog'!$F$63,IF(L273&lt;='Assumptions and Catalog'!$C$64,L273*'Assumptions and Catalog'!$H$64+'Assumptions and Catalog'!$E$64+'Assumptions and Catalog'!$F$64,IF(L273&lt;='Assumptions and Catalog'!$C$65,L273*'Assumptions and Catalog'!$H$65+'Assumptions and Catalog'!$E$65+'Assumptions and Catalog'!$F$65,"Out of range")))))))))*(1+'Assumptions and Catalog'!$C$8)^(A273-1),0)</f>
        <v>5173.8772278920924</v>
      </c>
      <c r="O273" s="5">
        <f t="shared" si="18"/>
        <v>3381.0894387745748</v>
      </c>
      <c r="P273" s="5">
        <f>C$55*(1-J$14)*(1-'Assumptions and Catalog'!$C$23)^R273</f>
        <v>0</v>
      </c>
      <c r="Q273" s="5">
        <f>IF(ISNUMBER(Inputs!$L$5),(IF(Inputs!$L$9="Actual flat rate",((D273+E273)*C273-G273)*Inputs!$L$10,IF(Inputs!$C$9="Residential",IF(((D273+E273)*C273-G273)&lt;='Assumptions and Catalog'!$C$50,((D273+E273)*C273-G273)*'Assumptions and Catalog'!$H$50+'Assumptions and Catalog'!$E$50+'Assumptions and Catalog'!$F$50,IF(((D273+E273)*C273-G273)&lt;='Assumptions and Catalog'!$C$51,((D273+E273)*C273-G273)*'Assumptions and Catalog'!$H$51+'Assumptions and Catalog'!$E$51+'Assumptions and Catalog'!$F$51,IF(((D273+E273)*C273-G273)&lt;='Assumptions and Catalog'!$C$52,((D273+E273)*C273-G273)*'Assumptions and Catalog'!$H$52+'Assumptions and Catalog'!$E$52+'Assumptions and Catalog'!$F$52,IF(((D273+E273)*C273-G273)&lt;='Assumptions and Catalog'!$C$53,((D273+E273)*C273-G273)*'Assumptions and Catalog'!$H$53+'Assumptions and Catalog'!$E$53+'Assumptions and Catalog'!$F$53,IF(((D273+E273)*C273-G273)&lt;='Assumptions and Catalog'!$C$54,((D273+E273)*C273-G273)*'Assumptions and Catalog'!$H$54+'Assumptions and Catalog'!$E$54+'Assumptions and Catalog'!$F$54,IF(((D273+E273)*C273-G273)&lt;='Assumptions and Catalog'!$C$55,((D273+E273)*C273-G273)*'Assumptions and Catalog'!$H$55+'Assumptions and Catalog'!$E$55+'Assumptions and Catalog'!$F$55,IF(((D273+E273)*C273-G273)&lt;='Assumptions and Catalog'!$C$56,((D273+E273)*C273-G273)*'Assumptions and Catalog'!$H$56+'Assumptions and Catalog'!$E$56+'Assumptions and Catalog'!$F$56,IF(((D273+E273)*C273-G273)&lt;='Assumptions and Catalog'!$C$57,((D273+E273)*C273-G273)*'Assumptions and Catalog'!$H$57+'Assumptions and Catalog'!$E$57+'Assumptions and Catalog'!$F$57,"Out of range")))))))),IF(((D273+E273)*C273-G273)&lt;='Assumptions and Catalog'!$C$60,((D273+E273)*C273-G273)*'Assumptions and Catalog'!$H$60+'Assumptions and Catalog'!$E$60+'Assumptions and Catalog'!$F$60,IF(((D273+E273)*C273-G273)&lt;='Assumptions and Catalog'!$C$61,((D273+E273)*C273-G273)*'Assumptions and Catalog'!$H$61+'Assumptions and Catalog'!$E$61+'Assumptions and Catalog'!$F$61,IF(((D273+E273)*C273-G273)&lt;='Assumptions and Catalog'!$C$62,((D273+E273)*C273-G273)*'Assumptions and Catalog'!$H$62+'Assumptions and Catalog'!$E$62+'Assumptions and Catalog'!$F$62,IF(((D273+E273)*C273-G273)&lt;='Assumptions and Catalog'!$C$63,((D273+E273)*C273-G273)*'Assumptions and Catalog'!$H$63+'Assumptions and Catalog'!$E$63+'Assumptions and Catalog'!$F$63,IF(((D273+E273)*C273-G273)&lt;='Assumptions and Catalog'!$C$64,((D273+E273)*C273-G273)*'Assumptions and Catalog'!$H$64+'Assumptions and Catalog'!$E$64+'Assumptions and Catalog'!$F$64,IF(((D273+E273)*C273-G273)&lt;='Assumptions and Catalog'!$C$65,((D273+E273)*C273-G273)*'Assumptions and Catalog'!$H$65+'Assumptions and Catalog'!$E$65+'Assumptions and Catalog'!$F$65,"Out of range")))))))))*(1+'Assumptions and Catalog'!$C$8)^(A273-1),0)</f>
        <v>5173.8772278920924</v>
      </c>
      <c r="R273" s="5">
        <f>IF(AND('Assumptions and Catalog'!$C$19&gt;0,A273&gt;='Assumptions and Catalog'!$C$19),A273-'Assumptions and Catalog'!$C$19,A273-1)</f>
        <v>9</v>
      </c>
      <c r="S273" s="5">
        <f t="shared" si="19"/>
        <v>0</v>
      </c>
      <c r="T273" s="5"/>
      <c r="U273" s="5"/>
    </row>
    <row r="274" spans="1:21" ht="23.1" customHeight="1" outlineLevel="1" x14ac:dyDescent="0.2">
      <c r="A274" s="5">
        <v>10</v>
      </c>
      <c r="B274" s="5">
        <v>6</v>
      </c>
      <c r="C274" s="5">
        <f>DAY(DATE('Assumptions and Catalog'!$C$24+A274-1,B274+1,0))</f>
        <v>30</v>
      </c>
      <c r="D274" s="5">
        <f>IF(ISNUMBER(Inputs!$L$5),Inputs!$L$5*Inputs!$L$6,0)</f>
        <v>40.35</v>
      </c>
      <c r="E274" s="5">
        <f>IF(ISNUMBER(Inputs!$L$5),Inputs!$L$5-D274,0)</f>
        <v>40.35</v>
      </c>
      <c r="F274" s="5">
        <f>C$51*'Assumptions and Catalog'!$C$31*C274*(1-'Assumptions and Catalog'!$C$10)^(A274-1)</f>
        <v>956.82635014435039</v>
      </c>
      <c r="G274" s="5">
        <f t="shared" si="14"/>
        <v>956.82635014435039</v>
      </c>
      <c r="H274" s="5">
        <f>I274/('Assumptions and Catalog'!$C$11*'Assumptions and Catalog'!$C$12)</f>
        <v>0</v>
      </c>
      <c r="I274" s="5">
        <f>0</f>
        <v>0</v>
      </c>
      <c r="J274" s="5">
        <f t="shared" si="15"/>
        <v>0</v>
      </c>
      <c r="K274" s="5">
        <f t="shared" si="16"/>
        <v>0</v>
      </c>
      <c r="L274" s="5">
        <f t="shared" si="17"/>
        <v>1464.1736498556497</v>
      </c>
      <c r="M274" s="5">
        <f>IF(ISNUMBER(Inputs!$L$5),(IF(Inputs!$L$9="Actual flat rate",((D274+E274)*C274)*Inputs!$L$10,IF(Inputs!$C$9="Residential",IF(((D274+E274)*C274)&lt;='Assumptions and Catalog'!$C$50,((D274+E274)*C274)*'Assumptions and Catalog'!$H$50+'Assumptions and Catalog'!$E$50+'Assumptions and Catalog'!$F$50,IF(((D274+E274)*C274)&lt;='Assumptions and Catalog'!$C$51,((D274+E274)*C274)*'Assumptions and Catalog'!$H$51+'Assumptions and Catalog'!$E$51+'Assumptions and Catalog'!$F$51,IF(((D274+E274)*C274)&lt;='Assumptions and Catalog'!$C$52,((D274+E274)*C274)*'Assumptions and Catalog'!$H$52+'Assumptions and Catalog'!$E$52+'Assumptions and Catalog'!$F$52,IF(((D274+E274)*C274)&lt;='Assumptions and Catalog'!$C$53,((D274+E274)*C274)*'Assumptions and Catalog'!$H$53+'Assumptions and Catalog'!$E$53+'Assumptions and Catalog'!$F$53,IF(((D274+E274)*C274)&lt;='Assumptions and Catalog'!$C$54,((D274+E274)*C274)*'Assumptions and Catalog'!$H$54+'Assumptions and Catalog'!$E$54+'Assumptions and Catalog'!$F$54,IF(((D274+E274)*C274)&lt;='Assumptions and Catalog'!$C$55,((D274+E274)*C274)*'Assumptions and Catalog'!$H$55+'Assumptions and Catalog'!$E$55+'Assumptions and Catalog'!$F$55,IF(((D274+E274)*C274)&lt;='Assumptions and Catalog'!$C$56,((D274+E274)*C274)*'Assumptions and Catalog'!$H$56+'Assumptions and Catalog'!$E$56+'Assumptions and Catalog'!$F$56,IF(((D274+E274)*C274)&lt;='Assumptions and Catalog'!$C$57,((D274+E274)*C274)*'Assumptions and Catalog'!$H$57+'Assumptions and Catalog'!$E$57+'Assumptions and Catalog'!$F$57,"Out of range")))))))),IF(((D274+E274)*C274)&lt;='Assumptions and Catalog'!$C$60,((D274+E274)*C274)*'Assumptions and Catalog'!$H$60+'Assumptions and Catalog'!$E$60+'Assumptions and Catalog'!$F$60,IF(((D274+E274)*C274)&lt;='Assumptions and Catalog'!$C$61,((D274+E274)*C274)*'Assumptions and Catalog'!$H$61+'Assumptions and Catalog'!$E$61+'Assumptions and Catalog'!$F$61,IF(((D274+E274)*C274)&lt;='Assumptions and Catalog'!$C$62,((D274+E274)*C274)*'Assumptions and Catalog'!$H$62+'Assumptions and Catalog'!$E$62+'Assumptions and Catalog'!$F$62,IF(((D274+E274)*C274)&lt;='Assumptions and Catalog'!$C$63,((D274+E274)*C274)*'Assumptions and Catalog'!$H$63+'Assumptions and Catalog'!$E$63+'Assumptions and Catalog'!$F$63,IF(((D274+E274)*C274)&lt;='Assumptions and Catalog'!$C$64,((D274+E274)*C274)*'Assumptions and Catalog'!$H$64+'Assumptions and Catalog'!$E$64+'Assumptions and Catalog'!$F$64,IF(((D274+E274)*C274)&lt;='Assumptions and Catalog'!$C$65,((D274+E274)*C274)*'Assumptions and Catalog'!$H$65+'Assumptions and Catalog'!$E$65+'Assumptions and Catalog'!$F$65,"Out of range")))))))))*(1+'Assumptions and Catalog'!$C$8)^(A274-1),0)</f>
        <v>8279</v>
      </c>
      <c r="N274" s="5">
        <f>IF(ISNUMBER(Inputs!$L$5),(IF(Inputs!$L$9="Actual flat rate",L274*Inputs!$L$10,IF(Inputs!$C$9="Residential",IF(L274&lt;='Assumptions and Catalog'!$C$50,L274*'Assumptions and Catalog'!$H$50+'Assumptions and Catalog'!$E$50+'Assumptions and Catalog'!$F$50,IF(L274&lt;='Assumptions and Catalog'!$C$51,L274*'Assumptions and Catalog'!$H$51+'Assumptions and Catalog'!$E$51+'Assumptions and Catalog'!$F$51,IF(L274&lt;='Assumptions and Catalog'!$C$52,L274*'Assumptions and Catalog'!$H$52+'Assumptions and Catalog'!$E$52+'Assumptions and Catalog'!$F$52,IF(L274&lt;='Assumptions and Catalog'!$C$53,L274*'Assumptions and Catalog'!$H$53+'Assumptions and Catalog'!$E$53+'Assumptions and Catalog'!$F$53,IF(L274&lt;='Assumptions and Catalog'!$C$54,L274*'Assumptions and Catalog'!$H$54+'Assumptions and Catalog'!$E$54+'Assumptions and Catalog'!$F$54,IF(L274&lt;='Assumptions and Catalog'!$C$55,L274*'Assumptions and Catalog'!$H$55+'Assumptions and Catalog'!$E$55+'Assumptions and Catalog'!$F$55,IF(L274&lt;='Assumptions and Catalog'!$C$56,L274*'Assumptions and Catalog'!$H$56+'Assumptions and Catalog'!$E$56+'Assumptions and Catalog'!$F$56,IF(L274&lt;='Assumptions and Catalog'!$C$57,L274*'Assumptions and Catalog'!$H$57+'Assumptions and Catalog'!$E$57+'Assumptions and Catalog'!$F$57,"Out of range")))))))),IF(L274&lt;='Assumptions and Catalog'!$C$60,L274*'Assumptions and Catalog'!$H$60+'Assumptions and Catalog'!$E$60+'Assumptions and Catalog'!$F$60,IF(L274&lt;='Assumptions and Catalog'!$C$61,L274*'Assumptions and Catalog'!$H$61+'Assumptions and Catalog'!$E$61+'Assumptions and Catalog'!$F$61,IF(L274&lt;='Assumptions and Catalog'!$C$62,L274*'Assumptions and Catalog'!$H$62+'Assumptions and Catalog'!$E$62+'Assumptions and Catalog'!$F$62,IF(L274&lt;='Assumptions and Catalog'!$C$63,L274*'Assumptions and Catalog'!$H$63+'Assumptions and Catalog'!$E$63+'Assumptions and Catalog'!$F$63,IF(L274&lt;='Assumptions and Catalog'!$C$64,L274*'Assumptions and Catalog'!$H$64+'Assumptions and Catalog'!$E$64+'Assumptions and Catalog'!$F$64,IF(L274&lt;='Assumptions and Catalog'!$C$65,L274*'Assumptions and Catalog'!$H$65+'Assumptions and Catalog'!$E$65+'Assumptions and Catalog'!$F$65,"Out of range")))))))))*(1+'Assumptions and Catalog'!$C$8)^(A274-1),0)</f>
        <v>5006.9779624762177</v>
      </c>
      <c r="O274" s="5">
        <f t="shared" si="18"/>
        <v>3272.0220375237823</v>
      </c>
      <c r="P274" s="5">
        <f>C$55*(1-J$14)*(1-'Assumptions and Catalog'!$C$23)^R274</f>
        <v>0</v>
      </c>
      <c r="Q274" s="5">
        <f>IF(ISNUMBER(Inputs!$L$5),(IF(Inputs!$L$9="Actual flat rate",((D274+E274)*C274-G274)*Inputs!$L$10,IF(Inputs!$C$9="Residential",IF(((D274+E274)*C274-G274)&lt;='Assumptions and Catalog'!$C$50,((D274+E274)*C274-G274)*'Assumptions and Catalog'!$H$50+'Assumptions and Catalog'!$E$50+'Assumptions and Catalog'!$F$50,IF(((D274+E274)*C274-G274)&lt;='Assumptions and Catalog'!$C$51,((D274+E274)*C274-G274)*'Assumptions and Catalog'!$H$51+'Assumptions and Catalog'!$E$51+'Assumptions and Catalog'!$F$51,IF(((D274+E274)*C274-G274)&lt;='Assumptions and Catalog'!$C$52,((D274+E274)*C274-G274)*'Assumptions and Catalog'!$H$52+'Assumptions and Catalog'!$E$52+'Assumptions and Catalog'!$F$52,IF(((D274+E274)*C274-G274)&lt;='Assumptions and Catalog'!$C$53,((D274+E274)*C274-G274)*'Assumptions and Catalog'!$H$53+'Assumptions and Catalog'!$E$53+'Assumptions and Catalog'!$F$53,IF(((D274+E274)*C274-G274)&lt;='Assumptions and Catalog'!$C$54,((D274+E274)*C274-G274)*'Assumptions and Catalog'!$H$54+'Assumptions and Catalog'!$E$54+'Assumptions and Catalog'!$F$54,IF(((D274+E274)*C274-G274)&lt;='Assumptions and Catalog'!$C$55,((D274+E274)*C274-G274)*'Assumptions and Catalog'!$H$55+'Assumptions and Catalog'!$E$55+'Assumptions and Catalog'!$F$55,IF(((D274+E274)*C274-G274)&lt;='Assumptions and Catalog'!$C$56,((D274+E274)*C274-G274)*'Assumptions and Catalog'!$H$56+'Assumptions and Catalog'!$E$56+'Assumptions and Catalog'!$F$56,IF(((D274+E274)*C274-G274)&lt;='Assumptions and Catalog'!$C$57,((D274+E274)*C274-G274)*'Assumptions and Catalog'!$H$57+'Assumptions and Catalog'!$E$57+'Assumptions and Catalog'!$F$57,"Out of range")))))))),IF(((D274+E274)*C274-G274)&lt;='Assumptions and Catalog'!$C$60,((D274+E274)*C274-G274)*'Assumptions and Catalog'!$H$60+'Assumptions and Catalog'!$E$60+'Assumptions and Catalog'!$F$60,IF(((D274+E274)*C274-G274)&lt;='Assumptions and Catalog'!$C$61,((D274+E274)*C274-G274)*'Assumptions and Catalog'!$H$61+'Assumptions and Catalog'!$E$61+'Assumptions and Catalog'!$F$61,IF(((D274+E274)*C274-G274)&lt;='Assumptions and Catalog'!$C$62,((D274+E274)*C274-G274)*'Assumptions and Catalog'!$H$62+'Assumptions and Catalog'!$E$62+'Assumptions and Catalog'!$F$62,IF(((D274+E274)*C274-G274)&lt;='Assumptions and Catalog'!$C$63,((D274+E274)*C274-G274)*'Assumptions and Catalog'!$H$63+'Assumptions and Catalog'!$E$63+'Assumptions and Catalog'!$F$63,IF(((D274+E274)*C274-G274)&lt;='Assumptions and Catalog'!$C$64,((D274+E274)*C274-G274)*'Assumptions and Catalog'!$H$64+'Assumptions and Catalog'!$E$64+'Assumptions and Catalog'!$F$64,IF(((D274+E274)*C274-G274)&lt;='Assumptions and Catalog'!$C$65,((D274+E274)*C274-G274)*'Assumptions and Catalog'!$H$65+'Assumptions and Catalog'!$E$65+'Assumptions and Catalog'!$F$65,"Out of range")))))))))*(1+'Assumptions and Catalog'!$C$8)^(A274-1),0)</f>
        <v>5006.9779624762177</v>
      </c>
      <c r="R274" s="5">
        <f>IF(AND('Assumptions and Catalog'!$C$19&gt;0,A274&gt;='Assumptions and Catalog'!$C$19),A274-'Assumptions and Catalog'!$C$19,A274-1)</f>
        <v>9</v>
      </c>
      <c r="S274" s="5">
        <f t="shared" si="19"/>
        <v>0</v>
      </c>
      <c r="T274" s="5"/>
      <c r="U274" s="5"/>
    </row>
    <row r="275" spans="1:21" ht="23.1" customHeight="1" outlineLevel="1" x14ac:dyDescent="0.2">
      <c r="A275" s="5">
        <v>10</v>
      </c>
      <c r="B275" s="5">
        <v>7</v>
      </c>
      <c r="C275" s="5">
        <f>DAY(DATE('Assumptions and Catalog'!$C$24+A275-1,B275+1,0))</f>
        <v>31</v>
      </c>
      <c r="D275" s="5">
        <f>IF(ISNUMBER(Inputs!$L$5),Inputs!$L$5*Inputs!$L$6,0)</f>
        <v>40.35</v>
      </c>
      <c r="E275" s="5">
        <f>IF(ISNUMBER(Inputs!$L$5),Inputs!$L$5-D275,0)</f>
        <v>40.35</v>
      </c>
      <c r="F275" s="5">
        <f>C$51*'Assumptions and Catalog'!$C$31*C275*(1-'Assumptions and Catalog'!$C$10)^(A275-1)</f>
        <v>988.72056181582866</v>
      </c>
      <c r="G275" s="5">
        <f t="shared" si="14"/>
        <v>988.72056181582866</v>
      </c>
      <c r="H275" s="5">
        <f>I275/('Assumptions and Catalog'!$C$11*'Assumptions and Catalog'!$C$12)</f>
        <v>0</v>
      </c>
      <c r="I275" s="5">
        <f>0</f>
        <v>0</v>
      </c>
      <c r="J275" s="5">
        <f t="shared" si="15"/>
        <v>0</v>
      </c>
      <c r="K275" s="5">
        <f t="shared" si="16"/>
        <v>0</v>
      </c>
      <c r="L275" s="5">
        <f t="shared" si="17"/>
        <v>1512.9794381841716</v>
      </c>
      <c r="M275" s="5">
        <f>IF(ISNUMBER(Inputs!$L$5),(IF(Inputs!$L$9="Actual flat rate",((D275+E275)*C275)*Inputs!$L$10,IF(Inputs!$C$9="Residential",IF(((D275+E275)*C275)&lt;='Assumptions and Catalog'!$C$50,((D275+E275)*C275)*'Assumptions and Catalog'!$H$50+'Assumptions and Catalog'!$E$50+'Assumptions and Catalog'!$F$50,IF(((D275+E275)*C275)&lt;='Assumptions and Catalog'!$C$51,((D275+E275)*C275)*'Assumptions and Catalog'!$H$51+'Assumptions and Catalog'!$E$51+'Assumptions and Catalog'!$F$51,IF(((D275+E275)*C275)&lt;='Assumptions and Catalog'!$C$52,((D275+E275)*C275)*'Assumptions and Catalog'!$H$52+'Assumptions and Catalog'!$E$52+'Assumptions and Catalog'!$F$52,IF(((D275+E275)*C275)&lt;='Assumptions and Catalog'!$C$53,((D275+E275)*C275)*'Assumptions and Catalog'!$H$53+'Assumptions and Catalog'!$E$53+'Assumptions and Catalog'!$F$53,IF(((D275+E275)*C275)&lt;='Assumptions and Catalog'!$C$54,((D275+E275)*C275)*'Assumptions and Catalog'!$H$54+'Assumptions and Catalog'!$E$54+'Assumptions and Catalog'!$F$54,IF(((D275+E275)*C275)&lt;='Assumptions and Catalog'!$C$55,((D275+E275)*C275)*'Assumptions and Catalog'!$H$55+'Assumptions and Catalog'!$E$55+'Assumptions and Catalog'!$F$55,IF(((D275+E275)*C275)&lt;='Assumptions and Catalog'!$C$56,((D275+E275)*C275)*'Assumptions and Catalog'!$H$56+'Assumptions and Catalog'!$E$56+'Assumptions and Catalog'!$F$56,IF(((D275+E275)*C275)&lt;='Assumptions and Catalog'!$C$57,((D275+E275)*C275)*'Assumptions and Catalog'!$H$57+'Assumptions and Catalog'!$E$57+'Assumptions and Catalog'!$F$57,"Out of range")))))))),IF(((D275+E275)*C275)&lt;='Assumptions and Catalog'!$C$60,((D275+E275)*C275)*'Assumptions and Catalog'!$H$60+'Assumptions and Catalog'!$E$60+'Assumptions and Catalog'!$F$60,IF(((D275+E275)*C275)&lt;='Assumptions and Catalog'!$C$61,((D275+E275)*C275)*'Assumptions and Catalog'!$H$61+'Assumptions and Catalog'!$E$61+'Assumptions and Catalog'!$F$61,IF(((D275+E275)*C275)&lt;='Assumptions and Catalog'!$C$62,((D275+E275)*C275)*'Assumptions and Catalog'!$H$62+'Assumptions and Catalog'!$E$62+'Assumptions and Catalog'!$F$62,IF(((D275+E275)*C275)&lt;='Assumptions and Catalog'!$C$63,((D275+E275)*C275)*'Assumptions and Catalog'!$H$63+'Assumptions and Catalog'!$E$63+'Assumptions and Catalog'!$F$63,IF(((D275+E275)*C275)&lt;='Assumptions and Catalog'!$C$64,((D275+E275)*C275)*'Assumptions and Catalog'!$H$64+'Assumptions and Catalog'!$E$64+'Assumptions and Catalog'!$F$64,IF(((D275+E275)*C275)&lt;='Assumptions and Catalog'!$C$65,((D275+E275)*C275)*'Assumptions and Catalog'!$H$65+'Assumptions and Catalog'!$E$65+'Assumptions and Catalog'!$F$65,"Out of range")))))))))*(1+'Assumptions and Catalog'!$C$8)^(A275-1),0)</f>
        <v>8554.9666666666672</v>
      </c>
      <c r="N275" s="5">
        <f>IF(ISNUMBER(Inputs!$L$5),(IF(Inputs!$L$9="Actual flat rate",L275*Inputs!$L$10,IF(Inputs!$C$9="Residential",IF(L275&lt;='Assumptions and Catalog'!$C$50,L275*'Assumptions and Catalog'!$H$50+'Assumptions and Catalog'!$E$50+'Assumptions and Catalog'!$F$50,IF(L275&lt;='Assumptions and Catalog'!$C$51,L275*'Assumptions and Catalog'!$H$51+'Assumptions and Catalog'!$E$51+'Assumptions and Catalog'!$F$51,IF(L275&lt;='Assumptions and Catalog'!$C$52,L275*'Assumptions and Catalog'!$H$52+'Assumptions and Catalog'!$E$52+'Assumptions and Catalog'!$F$52,IF(L275&lt;='Assumptions and Catalog'!$C$53,L275*'Assumptions and Catalog'!$H$53+'Assumptions and Catalog'!$E$53+'Assumptions and Catalog'!$F$53,IF(L275&lt;='Assumptions and Catalog'!$C$54,L275*'Assumptions and Catalog'!$H$54+'Assumptions and Catalog'!$E$54+'Assumptions and Catalog'!$F$54,IF(L275&lt;='Assumptions and Catalog'!$C$55,L275*'Assumptions and Catalog'!$H$55+'Assumptions and Catalog'!$E$55+'Assumptions and Catalog'!$F$55,IF(L275&lt;='Assumptions and Catalog'!$C$56,L275*'Assumptions and Catalog'!$H$56+'Assumptions and Catalog'!$E$56+'Assumptions and Catalog'!$F$56,IF(L275&lt;='Assumptions and Catalog'!$C$57,L275*'Assumptions and Catalog'!$H$57+'Assumptions and Catalog'!$E$57+'Assumptions and Catalog'!$F$57,"Out of range")))))))),IF(L275&lt;='Assumptions and Catalog'!$C$60,L275*'Assumptions and Catalog'!$H$60+'Assumptions and Catalog'!$E$60+'Assumptions and Catalog'!$F$60,IF(L275&lt;='Assumptions and Catalog'!$C$61,L275*'Assumptions and Catalog'!$H$61+'Assumptions and Catalog'!$E$61+'Assumptions and Catalog'!$F$61,IF(L275&lt;='Assumptions and Catalog'!$C$62,L275*'Assumptions and Catalog'!$H$62+'Assumptions and Catalog'!$E$62+'Assumptions and Catalog'!$F$62,IF(L275&lt;='Assumptions and Catalog'!$C$63,L275*'Assumptions and Catalog'!$H$63+'Assumptions and Catalog'!$E$63+'Assumptions and Catalog'!$F$63,IF(L275&lt;='Assumptions and Catalog'!$C$64,L275*'Assumptions and Catalog'!$H$64+'Assumptions and Catalog'!$E$64+'Assumptions and Catalog'!$F$64,IF(L275&lt;='Assumptions and Catalog'!$C$65,L275*'Assumptions and Catalog'!$H$65+'Assumptions and Catalog'!$E$65+'Assumptions and Catalog'!$F$65,"Out of range")))))))))*(1+'Assumptions and Catalog'!$C$8)^(A275-1),0)</f>
        <v>5173.8772278920924</v>
      </c>
      <c r="O275" s="5">
        <f t="shared" si="18"/>
        <v>3381.0894387745748</v>
      </c>
      <c r="P275" s="5">
        <f>C$55*(1-J$14)*(1-'Assumptions and Catalog'!$C$23)^R275</f>
        <v>0</v>
      </c>
      <c r="Q275" s="5">
        <f>IF(ISNUMBER(Inputs!$L$5),(IF(Inputs!$L$9="Actual flat rate",((D275+E275)*C275-G275)*Inputs!$L$10,IF(Inputs!$C$9="Residential",IF(((D275+E275)*C275-G275)&lt;='Assumptions and Catalog'!$C$50,((D275+E275)*C275-G275)*'Assumptions and Catalog'!$H$50+'Assumptions and Catalog'!$E$50+'Assumptions and Catalog'!$F$50,IF(((D275+E275)*C275-G275)&lt;='Assumptions and Catalog'!$C$51,((D275+E275)*C275-G275)*'Assumptions and Catalog'!$H$51+'Assumptions and Catalog'!$E$51+'Assumptions and Catalog'!$F$51,IF(((D275+E275)*C275-G275)&lt;='Assumptions and Catalog'!$C$52,((D275+E275)*C275-G275)*'Assumptions and Catalog'!$H$52+'Assumptions and Catalog'!$E$52+'Assumptions and Catalog'!$F$52,IF(((D275+E275)*C275-G275)&lt;='Assumptions and Catalog'!$C$53,((D275+E275)*C275-G275)*'Assumptions and Catalog'!$H$53+'Assumptions and Catalog'!$E$53+'Assumptions and Catalog'!$F$53,IF(((D275+E275)*C275-G275)&lt;='Assumptions and Catalog'!$C$54,((D275+E275)*C275-G275)*'Assumptions and Catalog'!$H$54+'Assumptions and Catalog'!$E$54+'Assumptions and Catalog'!$F$54,IF(((D275+E275)*C275-G275)&lt;='Assumptions and Catalog'!$C$55,((D275+E275)*C275-G275)*'Assumptions and Catalog'!$H$55+'Assumptions and Catalog'!$E$55+'Assumptions and Catalog'!$F$55,IF(((D275+E275)*C275-G275)&lt;='Assumptions and Catalog'!$C$56,((D275+E275)*C275-G275)*'Assumptions and Catalog'!$H$56+'Assumptions and Catalog'!$E$56+'Assumptions and Catalog'!$F$56,IF(((D275+E275)*C275-G275)&lt;='Assumptions and Catalog'!$C$57,((D275+E275)*C275-G275)*'Assumptions and Catalog'!$H$57+'Assumptions and Catalog'!$E$57+'Assumptions and Catalog'!$F$57,"Out of range")))))))),IF(((D275+E275)*C275-G275)&lt;='Assumptions and Catalog'!$C$60,((D275+E275)*C275-G275)*'Assumptions and Catalog'!$H$60+'Assumptions and Catalog'!$E$60+'Assumptions and Catalog'!$F$60,IF(((D275+E275)*C275-G275)&lt;='Assumptions and Catalog'!$C$61,((D275+E275)*C275-G275)*'Assumptions and Catalog'!$H$61+'Assumptions and Catalog'!$E$61+'Assumptions and Catalog'!$F$61,IF(((D275+E275)*C275-G275)&lt;='Assumptions and Catalog'!$C$62,((D275+E275)*C275-G275)*'Assumptions and Catalog'!$H$62+'Assumptions and Catalog'!$E$62+'Assumptions and Catalog'!$F$62,IF(((D275+E275)*C275-G275)&lt;='Assumptions and Catalog'!$C$63,((D275+E275)*C275-G275)*'Assumptions and Catalog'!$H$63+'Assumptions and Catalog'!$E$63+'Assumptions and Catalog'!$F$63,IF(((D275+E275)*C275-G275)&lt;='Assumptions and Catalog'!$C$64,((D275+E275)*C275-G275)*'Assumptions and Catalog'!$H$64+'Assumptions and Catalog'!$E$64+'Assumptions and Catalog'!$F$64,IF(((D275+E275)*C275-G275)&lt;='Assumptions and Catalog'!$C$65,((D275+E275)*C275-G275)*'Assumptions and Catalog'!$H$65+'Assumptions and Catalog'!$E$65+'Assumptions and Catalog'!$F$65,"Out of range")))))))))*(1+'Assumptions and Catalog'!$C$8)^(A275-1),0)</f>
        <v>5173.8772278920924</v>
      </c>
      <c r="R275" s="5">
        <f>IF(AND('Assumptions and Catalog'!$C$19&gt;0,A275&gt;='Assumptions and Catalog'!$C$19),A275-'Assumptions and Catalog'!$C$19,A275-1)</f>
        <v>9</v>
      </c>
      <c r="S275" s="5">
        <f t="shared" si="19"/>
        <v>0</v>
      </c>
      <c r="T275" s="5"/>
      <c r="U275" s="5"/>
    </row>
    <row r="276" spans="1:21" ht="23.1" customHeight="1" outlineLevel="1" x14ac:dyDescent="0.2">
      <c r="A276" s="5">
        <v>10</v>
      </c>
      <c r="B276" s="5">
        <v>8</v>
      </c>
      <c r="C276" s="5">
        <f>DAY(DATE('Assumptions and Catalog'!$C$24+A276-1,B276+1,0))</f>
        <v>31</v>
      </c>
      <c r="D276" s="5">
        <f>IF(ISNUMBER(Inputs!$L$5),Inputs!$L$5*Inputs!$L$6,0)</f>
        <v>40.35</v>
      </c>
      <c r="E276" s="5">
        <f>IF(ISNUMBER(Inputs!$L$5),Inputs!$L$5-D276,0)</f>
        <v>40.35</v>
      </c>
      <c r="F276" s="5">
        <f>C$51*'Assumptions and Catalog'!$C$31*C276*(1-'Assumptions and Catalog'!$C$10)^(A276-1)</f>
        <v>988.72056181582866</v>
      </c>
      <c r="G276" s="5">
        <f t="shared" si="14"/>
        <v>988.72056181582866</v>
      </c>
      <c r="H276" s="5">
        <f>I276/('Assumptions and Catalog'!$C$11*'Assumptions and Catalog'!$C$12)</f>
        <v>0</v>
      </c>
      <c r="I276" s="5">
        <f>0</f>
        <v>0</v>
      </c>
      <c r="J276" s="5">
        <f t="shared" si="15"/>
        <v>0</v>
      </c>
      <c r="K276" s="5">
        <f t="shared" si="16"/>
        <v>0</v>
      </c>
      <c r="L276" s="5">
        <f t="shared" si="17"/>
        <v>1512.9794381841716</v>
      </c>
      <c r="M276" s="5">
        <f>IF(ISNUMBER(Inputs!$L$5),(IF(Inputs!$L$9="Actual flat rate",((D276+E276)*C276)*Inputs!$L$10,IF(Inputs!$C$9="Residential",IF(((D276+E276)*C276)&lt;='Assumptions and Catalog'!$C$50,((D276+E276)*C276)*'Assumptions and Catalog'!$H$50+'Assumptions and Catalog'!$E$50+'Assumptions and Catalog'!$F$50,IF(((D276+E276)*C276)&lt;='Assumptions and Catalog'!$C$51,((D276+E276)*C276)*'Assumptions and Catalog'!$H$51+'Assumptions and Catalog'!$E$51+'Assumptions and Catalog'!$F$51,IF(((D276+E276)*C276)&lt;='Assumptions and Catalog'!$C$52,((D276+E276)*C276)*'Assumptions and Catalog'!$H$52+'Assumptions and Catalog'!$E$52+'Assumptions and Catalog'!$F$52,IF(((D276+E276)*C276)&lt;='Assumptions and Catalog'!$C$53,((D276+E276)*C276)*'Assumptions and Catalog'!$H$53+'Assumptions and Catalog'!$E$53+'Assumptions and Catalog'!$F$53,IF(((D276+E276)*C276)&lt;='Assumptions and Catalog'!$C$54,((D276+E276)*C276)*'Assumptions and Catalog'!$H$54+'Assumptions and Catalog'!$E$54+'Assumptions and Catalog'!$F$54,IF(((D276+E276)*C276)&lt;='Assumptions and Catalog'!$C$55,((D276+E276)*C276)*'Assumptions and Catalog'!$H$55+'Assumptions and Catalog'!$E$55+'Assumptions and Catalog'!$F$55,IF(((D276+E276)*C276)&lt;='Assumptions and Catalog'!$C$56,((D276+E276)*C276)*'Assumptions and Catalog'!$H$56+'Assumptions and Catalog'!$E$56+'Assumptions and Catalog'!$F$56,IF(((D276+E276)*C276)&lt;='Assumptions and Catalog'!$C$57,((D276+E276)*C276)*'Assumptions and Catalog'!$H$57+'Assumptions and Catalog'!$E$57+'Assumptions and Catalog'!$F$57,"Out of range")))))))),IF(((D276+E276)*C276)&lt;='Assumptions and Catalog'!$C$60,((D276+E276)*C276)*'Assumptions and Catalog'!$H$60+'Assumptions and Catalog'!$E$60+'Assumptions and Catalog'!$F$60,IF(((D276+E276)*C276)&lt;='Assumptions and Catalog'!$C$61,((D276+E276)*C276)*'Assumptions and Catalog'!$H$61+'Assumptions and Catalog'!$E$61+'Assumptions and Catalog'!$F$61,IF(((D276+E276)*C276)&lt;='Assumptions and Catalog'!$C$62,((D276+E276)*C276)*'Assumptions and Catalog'!$H$62+'Assumptions and Catalog'!$E$62+'Assumptions and Catalog'!$F$62,IF(((D276+E276)*C276)&lt;='Assumptions and Catalog'!$C$63,((D276+E276)*C276)*'Assumptions and Catalog'!$H$63+'Assumptions and Catalog'!$E$63+'Assumptions and Catalog'!$F$63,IF(((D276+E276)*C276)&lt;='Assumptions and Catalog'!$C$64,((D276+E276)*C276)*'Assumptions and Catalog'!$H$64+'Assumptions and Catalog'!$E$64+'Assumptions and Catalog'!$F$64,IF(((D276+E276)*C276)&lt;='Assumptions and Catalog'!$C$65,((D276+E276)*C276)*'Assumptions and Catalog'!$H$65+'Assumptions and Catalog'!$E$65+'Assumptions and Catalog'!$F$65,"Out of range")))))))))*(1+'Assumptions and Catalog'!$C$8)^(A276-1),0)</f>
        <v>8554.9666666666672</v>
      </c>
      <c r="N276" s="5">
        <f>IF(ISNUMBER(Inputs!$L$5),(IF(Inputs!$L$9="Actual flat rate",L276*Inputs!$L$10,IF(Inputs!$C$9="Residential",IF(L276&lt;='Assumptions and Catalog'!$C$50,L276*'Assumptions and Catalog'!$H$50+'Assumptions and Catalog'!$E$50+'Assumptions and Catalog'!$F$50,IF(L276&lt;='Assumptions and Catalog'!$C$51,L276*'Assumptions and Catalog'!$H$51+'Assumptions and Catalog'!$E$51+'Assumptions and Catalog'!$F$51,IF(L276&lt;='Assumptions and Catalog'!$C$52,L276*'Assumptions and Catalog'!$H$52+'Assumptions and Catalog'!$E$52+'Assumptions and Catalog'!$F$52,IF(L276&lt;='Assumptions and Catalog'!$C$53,L276*'Assumptions and Catalog'!$H$53+'Assumptions and Catalog'!$E$53+'Assumptions and Catalog'!$F$53,IF(L276&lt;='Assumptions and Catalog'!$C$54,L276*'Assumptions and Catalog'!$H$54+'Assumptions and Catalog'!$E$54+'Assumptions and Catalog'!$F$54,IF(L276&lt;='Assumptions and Catalog'!$C$55,L276*'Assumptions and Catalog'!$H$55+'Assumptions and Catalog'!$E$55+'Assumptions and Catalog'!$F$55,IF(L276&lt;='Assumptions and Catalog'!$C$56,L276*'Assumptions and Catalog'!$H$56+'Assumptions and Catalog'!$E$56+'Assumptions and Catalog'!$F$56,IF(L276&lt;='Assumptions and Catalog'!$C$57,L276*'Assumptions and Catalog'!$H$57+'Assumptions and Catalog'!$E$57+'Assumptions and Catalog'!$F$57,"Out of range")))))))),IF(L276&lt;='Assumptions and Catalog'!$C$60,L276*'Assumptions and Catalog'!$H$60+'Assumptions and Catalog'!$E$60+'Assumptions and Catalog'!$F$60,IF(L276&lt;='Assumptions and Catalog'!$C$61,L276*'Assumptions and Catalog'!$H$61+'Assumptions and Catalog'!$E$61+'Assumptions and Catalog'!$F$61,IF(L276&lt;='Assumptions and Catalog'!$C$62,L276*'Assumptions and Catalog'!$H$62+'Assumptions and Catalog'!$E$62+'Assumptions and Catalog'!$F$62,IF(L276&lt;='Assumptions and Catalog'!$C$63,L276*'Assumptions and Catalog'!$H$63+'Assumptions and Catalog'!$E$63+'Assumptions and Catalog'!$F$63,IF(L276&lt;='Assumptions and Catalog'!$C$64,L276*'Assumptions and Catalog'!$H$64+'Assumptions and Catalog'!$E$64+'Assumptions and Catalog'!$F$64,IF(L276&lt;='Assumptions and Catalog'!$C$65,L276*'Assumptions and Catalog'!$H$65+'Assumptions and Catalog'!$E$65+'Assumptions and Catalog'!$F$65,"Out of range")))))))))*(1+'Assumptions and Catalog'!$C$8)^(A276-1),0)</f>
        <v>5173.8772278920924</v>
      </c>
      <c r="O276" s="5">
        <f t="shared" si="18"/>
        <v>3381.0894387745748</v>
      </c>
      <c r="P276" s="5">
        <f>C$55*(1-J$14)*(1-'Assumptions and Catalog'!$C$23)^R276</f>
        <v>0</v>
      </c>
      <c r="Q276" s="5">
        <f>IF(ISNUMBER(Inputs!$L$5),(IF(Inputs!$L$9="Actual flat rate",((D276+E276)*C276-G276)*Inputs!$L$10,IF(Inputs!$C$9="Residential",IF(((D276+E276)*C276-G276)&lt;='Assumptions and Catalog'!$C$50,((D276+E276)*C276-G276)*'Assumptions and Catalog'!$H$50+'Assumptions and Catalog'!$E$50+'Assumptions and Catalog'!$F$50,IF(((D276+E276)*C276-G276)&lt;='Assumptions and Catalog'!$C$51,((D276+E276)*C276-G276)*'Assumptions and Catalog'!$H$51+'Assumptions and Catalog'!$E$51+'Assumptions and Catalog'!$F$51,IF(((D276+E276)*C276-G276)&lt;='Assumptions and Catalog'!$C$52,((D276+E276)*C276-G276)*'Assumptions and Catalog'!$H$52+'Assumptions and Catalog'!$E$52+'Assumptions and Catalog'!$F$52,IF(((D276+E276)*C276-G276)&lt;='Assumptions and Catalog'!$C$53,((D276+E276)*C276-G276)*'Assumptions and Catalog'!$H$53+'Assumptions and Catalog'!$E$53+'Assumptions and Catalog'!$F$53,IF(((D276+E276)*C276-G276)&lt;='Assumptions and Catalog'!$C$54,((D276+E276)*C276-G276)*'Assumptions and Catalog'!$H$54+'Assumptions and Catalog'!$E$54+'Assumptions and Catalog'!$F$54,IF(((D276+E276)*C276-G276)&lt;='Assumptions and Catalog'!$C$55,((D276+E276)*C276-G276)*'Assumptions and Catalog'!$H$55+'Assumptions and Catalog'!$E$55+'Assumptions and Catalog'!$F$55,IF(((D276+E276)*C276-G276)&lt;='Assumptions and Catalog'!$C$56,((D276+E276)*C276-G276)*'Assumptions and Catalog'!$H$56+'Assumptions and Catalog'!$E$56+'Assumptions and Catalog'!$F$56,IF(((D276+E276)*C276-G276)&lt;='Assumptions and Catalog'!$C$57,((D276+E276)*C276-G276)*'Assumptions and Catalog'!$H$57+'Assumptions and Catalog'!$E$57+'Assumptions and Catalog'!$F$57,"Out of range")))))))),IF(((D276+E276)*C276-G276)&lt;='Assumptions and Catalog'!$C$60,((D276+E276)*C276-G276)*'Assumptions and Catalog'!$H$60+'Assumptions and Catalog'!$E$60+'Assumptions and Catalog'!$F$60,IF(((D276+E276)*C276-G276)&lt;='Assumptions and Catalog'!$C$61,((D276+E276)*C276-G276)*'Assumptions and Catalog'!$H$61+'Assumptions and Catalog'!$E$61+'Assumptions and Catalog'!$F$61,IF(((D276+E276)*C276-G276)&lt;='Assumptions and Catalog'!$C$62,((D276+E276)*C276-G276)*'Assumptions and Catalog'!$H$62+'Assumptions and Catalog'!$E$62+'Assumptions and Catalog'!$F$62,IF(((D276+E276)*C276-G276)&lt;='Assumptions and Catalog'!$C$63,((D276+E276)*C276-G276)*'Assumptions and Catalog'!$H$63+'Assumptions and Catalog'!$E$63+'Assumptions and Catalog'!$F$63,IF(((D276+E276)*C276-G276)&lt;='Assumptions and Catalog'!$C$64,((D276+E276)*C276-G276)*'Assumptions and Catalog'!$H$64+'Assumptions and Catalog'!$E$64+'Assumptions and Catalog'!$F$64,IF(((D276+E276)*C276-G276)&lt;='Assumptions and Catalog'!$C$65,((D276+E276)*C276-G276)*'Assumptions and Catalog'!$H$65+'Assumptions and Catalog'!$E$65+'Assumptions and Catalog'!$F$65,"Out of range")))))))))*(1+'Assumptions and Catalog'!$C$8)^(A276-1),0)</f>
        <v>5173.8772278920924</v>
      </c>
      <c r="R276" s="5">
        <f>IF(AND('Assumptions and Catalog'!$C$19&gt;0,A276&gt;='Assumptions and Catalog'!$C$19),A276-'Assumptions and Catalog'!$C$19,A276-1)</f>
        <v>9</v>
      </c>
      <c r="S276" s="5">
        <f t="shared" si="19"/>
        <v>0</v>
      </c>
      <c r="T276" s="5"/>
      <c r="U276" s="5"/>
    </row>
    <row r="277" spans="1:21" ht="23.1" customHeight="1" outlineLevel="1" x14ac:dyDescent="0.2">
      <c r="A277" s="5">
        <v>10</v>
      </c>
      <c r="B277" s="5">
        <v>9</v>
      </c>
      <c r="C277" s="5">
        <f>DAY(DATE('Assumptions and Catalog'!$C$24+A277-1,B277+1,0))</f>
        <v>30</v>
      </c>
      <c r="D277" s="5">
        <f>IF(ISNUMBER(Inputs!$L$5),Inputs!$L$5*Inputs!$L$6,0)</f>
        <v>40.35</v>
      </c>
      <c r="E277" s="5">
        <f>IF(ISNUMBER(Inputs!$L$5),Inputs!$L$5-D277,0)</f>
        <v>40.35</v>
      </c>
      <c r="F277" s="5">
        <f>C$51*'Assumptions and Catalog'!$C$31*C277*(1-'Assumptions and Catalog'!$C$10)^(A277-1)</f>
        <v>956.82635014435039</v>
      </c>
      <c r="G277" s="5">
        <f t="shared" si="14"/>
        <v>956.82635014435039</v>
      </c>
      <c r="H277" s="5">
        <f>I277/('Assumptions and Catalog'!$C$11*'Assumptions and Catalog'!$C$12)</f>
        <v>0</v>
      </c>
      <c r="I277" s="5">
        <f>0</f>
        <v>0</v>
      </c>
      <c r="J277" s="5">
        <f t="shared" si="15"/>
        <v>0</v>
      </c>
      <c r="K277" s="5">
        <f t="shared" si="16"/>
        <v>0</v>
      </c>
      <c r="L277" s="5">
        <f t="shared" si="17"/>
        <v>1464.1736498556497</v>
      </c>
      <c r="M277" s="5">
        <f>IF(ISNUMBER(Inputs!$L$5),(IF(Inputs!$L$9="Actual flat rate",((D277+E277)*C277)*Inputs!$L$10,IF(Inputs!$C$9="Residential",IF(((D277+E277)*C277)&lt;='Assumptions and Catalog'!$C$50,((D277+E277)*C277)*'Assumptions and Catalog'!$H$50+'Assumptions and Catalog'!$E$50+'Assumptions and Catalog'!$F$50,IF(((D277+E277)*C277)&lt;='Assumptions and Catalog'!$C$51,((D277+E277)*C277)*'Assumptions and Catalog'!$H$51+'Assumptions and Catalog'!$E$51+'Assumptions and Catalog'!$F$51,IF(((D277+E277)*C277)&lt;='Assumptions and Catalog'!$C$52,((D277+E277)*C277)*'Assumptions and Catalog'!$H$52+'Assumptions and Catalog'!$E$52+'Assumptions and Catalog'!$F$52,IF(((D277+E277)*C277)&lt;='Assumptions and Catalog'!$C$53,((D277+E277)*C277)*'Assumptions and Catalog'!$H$53+'Assumptions and Catalog'!$E$53+'Assumptions and Catalog'!$F$53,IF(((D277+E277)*C277)&lt;='Assumptions and Catalog'!$C$54,((D277+E277)*C277)*'Assumptions and Catalog'!$H$54+'Assumptions and Catalog'!$E$54+'Assumptions and Catalog'!$F$54,IF(((D277+E277)*C277)&lt;='Assumptions and Catalog'!$C$55,((D277+E277)*C277)*'Assumptions and Catalog'!$H$55+'Assumptions and Catalog'!$E$55+'Assumptions and Catalog'!$F$55,IF(((D277+E277)*C277)&lt;='Assumptions and Catalog'!$C$56,((D277+E277)*C277)*'Assumptions and Catalog'!$H$56+'Assumptions and Catalog'!$E$56+'Assumptions and Catalog'!$F$56,IF(((D277+E277)*C277)&lt;='Assumptions and Catalog'!$C$57,((D277+E277)*C277)*'Assumptions and Catalog'!$H$57+'Assumptions and Catalog'!$E$57+'Assumptions and Catalog'!$F$57,"Out of range")))))))),IF(((D277+E277)*C277)&lt;='Assumptions and Catalog'!$C$60,((D277+E277)*C277)*'Assumptions and Catalog'!$H$60+'Assumptions and Catalog'!$E$60+'Assumptions and Catalog'!$F$60,IF(((D277+E277)*C277)&lt;='Assumptions and Catalog'!$C$61,((D277+E277)*C277)*'Assumptions and Catalog'!$H$61+'Assumptions and Catalog'!$E$61+'Assumptions and Catalog'!$F$61,IF(((D277+E277)*C277)&lt;='Assumptions and Catalog'!$C$62,((D277+E277)*C277)*'Assumptions and Catalog'!$H$62+'Assumptions and Catalog'!$E$62+'Assumptions and Catalog'!$F$62,IF(((D277+E277)*C277)&lt;='Assumptions and Catalog'!$C$63,((D277+E277)*C277)*'Assumptions and Catalog'!$H$63+'Assumptions and Catalog'!$E$63+'Assumptions and Catalog'!$F$63,IF(((D277+E277)*C277)&lt;='Assumptions and Catalog'!$C$64,((D277+E277)*C277)*'Assumptions and Catalog'!$H$64+'Assumptions and Catalog'!$E$64+'Assumptions and Catalog'!$F$64,IF(((D277+E277)*C277)&lt;='Assumptions and Catalog'!$C$65,((D277+E277)*C277)*'Assumptions and Catalog'!$H$65+'Assumptions and Catalog'!$E$65+'Assumptions and Catalog'!$F$65,"Out of range")))))))))*(1+'Assumptions and Catalog'!$C$8)^(A277-1),0)</f>
        <v>8279</v>
      </c>
      <c r="N277" s="5">
        <f>IF(ISNUMBER(Inputs!$L$5),(IF(Inputs!$L$9="Actual flat rate",L277*Inputs!$L$10,IF(Inputs!$C$9="Residential",IF(L277&lt;='Assumptions and Catalog'!$C$50,L277*'Assumptions and Catalog'!$H$50+'Assumptions and Catalog'!$E$50+'Assumptions and Catalog'!$F$50,IF(L277&lt;='Assumptions and Catalog'!$C$51,L277*'Assumptions and Catalog'!$H$51+'Assumptions and Catalog'!$E$51+'Assumptions and Catalog'!$F$51,IF(L277&lt;='Assumptions and Catalog'!$C$52,L277*'Assumptions and Catalog'!$H$52+'Assumptions and Catalog'!$E$52+'Assumptions and Catalog'!$F$52,IF(L277&lt;='Assumptions and Catalog'!$C$53,L277*'Assumptions and Catalog'!$H$53+'Assumptions and Catalog'!$E$53+'Assumptions and Catalog'!$F$53,IF(L277&lt;='Assumptions and Catalog'!$C$54,L277*'Assumptions and Catalog'!$H$54+'Assumptions and Catalog'!$E$54+'Assumptions and Catalog'!$F$54,IF(L277&lt;='Assumptions and Catalog'!$C$55,L277*'Assumptions and Catalog'!$H$55+'Assumptions and Catalog'!$E$55+'Assumptions and Catalog'!$F$55,IF(L277&lt;='Assumptions and Catalog'!$C$56,L277*'Assumptions and Catalog'!$H$56+'Assumptions and Catalog'!$E$56+'Assumptions and Catalog'!$F$56,IF(L277&lt;='Assumptions and Catalog'!$C$57,L277*'Assumptions and Catalog'!$H$57+'Assumptions and Catalog'!$E$57+'Assumptions and Catalog'!$F$57,"Out of range")))))))),IF(L277&lt;='Assumptions and Catalog'!$C$60,L277*'Assumptions and Catalog'!$H$60+'Assumptions and Catalog'!$E$60+'Assumptions and Catalog'!$F$60,IF(L277&lt;='Assumptions and Catalog'!$C$61,L277*'Assumptions and Catalog'!$H$61+'Assumptions and Catalog'!$E$61+'Assumptions and Catalog'!$F$61,IF(L277&lt;='Assumptions and Catalog'!$C$62,L277*'Assumptions and Catalog'!$H$62+'Assumptions and Catalog'!$E$62+'Assumptions and Catalog'!$F$62,IF(L277&lt;='Assumptions and Catalog'!$C$63,L277*'Assumptions and Catalog'!$H$63+'Assumptions and Catalog'!$E$63+'Assumptions and Catalog'!$F$63,IF(L277&lt;='Assumptions and Catalog'!$C$64,L277*'Assumptions and Catalog'!$H$64+'Assumptions and Catalog'!$E$64+'Assumptions and Catalog'!$F$64,IF(L277&lt;='Assumptions and Catalog'!$C$65,L277*'Assumptions and Catalog'!$H$65+'Assumptions and Catalog'!$E$65+'Assumptions and Catalog'!$F$65,"Out of range")))))))))*(1+'Assumptions and Catalog'!$C$8)^(A277-1),0)</f>
        <v>5006.9779624762177</v>
      </c>
      <c r="O277" s="5">
        <f t="shared" si="18"/>
        <v>3272.0220375237823</v>
      </c>
      <c r="P277" s="5">
        <f>C$55*(1-J$14)*(1-'Assumptions and Catalog'!$C$23)^R277</f>
        <v>0</v>
      </c>
      <c r="Q277" s="5">
        <f>IF(ISNUMBER(Inputs!$L$5),(IF(Inputs!$L$9="Actual flat rate",((D277+E277)*C277-G277)*Inputs!$L$10,IF(Inputs!$C$9="Residential",IF(((D277+E277)*C277-G277)&lt;='Assumptions and Catalog'!$C$50,((D277+E277)*C277-G277)*'Assumptions and Catalog'!$H$50+'Assumptions and Catalog'!$E$50+'Assumptions and Catalog'!$F$50,IF(((D277+E277)*C277-G277)&lt;='Assumptions and Catalog'!$C$51,((D277+E277)*C277-G277)*'Assumptions and Catalog'!$H$51+'Assumptions and Catalog'!$E$51+'Assumptions and Catalog'!$F$51,IF(((D277+E277)*C277-G277)&lt;='Assumptions and Catalog'!$C$52,((D277+E277)*C277-G277)*'Assumptions and Catalog'!$H$52+'Assumptions and Catalog'!$E$52+'Assumptions and Catalog'!$F$52,IF(((D277+E277)*C277-G277)&lt;='Assumptions and Catalog'!$C$53,((D277+E277)*C277-G277)*'Assumptions and Catalog'!$H$53+'Assumptions and Catalog'!$E$53+'Assumptions and Catalog'!$F$53,IF(((D277+E277)*C277-G277)&lt;='Assumptions and Catalog'!$C$54,((D277+E277)*C277-G277)*'Assumptions and Catalog'!$H$54+'Assumptions and Catalog'!$E$54+'Assumptions and Catalog'!$F$54,IF(((D277+E277)*C277-G277)&lt;='Assumptions and Catalog'!$C$55,((D277+E277)*C277-G277)*'Assumptions and Catalog'!$H$55+'Assumptions and Catalog'!$E$55+'Assumptions and Catalog'!$F$55,IF(((D277+E277)*C277-G277)&lt;='Assumptions and Catalog'!$C$56,((D277+E277)*C277-G277)*'Assumptions and Catalog'!$H$56+'Assumptions and Catalog'!$E$56+'Assumptions and Catalog'!$F$56,IF(((D277+E277)*C277-G277)&lt;='Assumptions and Catalog'!$C$57,((D277+E277)*C277-G277)*'Assumptions and Catalog'!$H$57+'Assumptions and Catalog'!$E$57+'Assumptions and Catalog'!$F$57,"Out of range")))))))),IF(((D277+E277)*C277-G277)&lt;='Assumptions and Catalog'!$C$60,((D277+E277)*C277-G277)*'Assumptions and Catalog'!$H$60+'Assumptions and Catalog'!$E$60+'Assumptions and Catalog'!$F$60,IF(((D277+E277)*C277-G277)&lt;='Assumptions and Catalog'!$C$61,((D277+E277)*C277-G277)*'Assumptions and Catalog'!$H$61+'Assumptions and Catalog'!$E$61+'Assumptions and Catalog'!$F$61,IF(((D277+E277)*C277-G277)&lt;='Assumptions and Catalog'!$C$62,((D277+E277)*C277-G277)*'Assumptions and Catalog'!$H$62+'Assumptions and Catalog'!$E$62+'Assumptions and Catalog'!$F$62,IF(((D277+E277)*C277-G277)&lt;='Assumptions and Catalog'!$C$63,((D277+E277)*C277-G277)*'Assumptions and Catalog'!$H$63+'Assumptions and Catalog'!$E$63+'Assumptions and Catalog'!$F$63,IF(((D277+E277)*C277-G277)&lt;='Assumptions and Catalog'!$C$64,((D277+E277)*C277-G277)*'Assumptions and Catalog'!$H$64+'Assumptions and Catalog'!$E$64+'Assumptions and Catalog'!$F$64,IF(((D277+E277)*C277-G277)&lt;='Assumptions and Catalog'!$C$65,((D277+E277)*C277-G277)*'Assumptions and Catalog'!$H$65+'Assumptions and Catalog'!$E$65+'Assumptions and Catalog'!$F$65,"Out of range")))))))))*(1+'Assumptions and Catalog'!$C$8)^(A277-1),0)</f>
        <v>5006.9779624762177</v>
      </c>
      <c r="R277" s="5">
        <f>IF(AND('Assumptions and Catalog'!$C$19&gt;0,A277&gt;='Assumptions and Catalog'!$C$19),A277-'Assumptions and Catalog'!$C$19,A277-1)</f>
        <v>9</v>
      </c>
      <c r="S277" s="5">
        <f t="shared" si="19"/>
        <v>0</v>
      </c>
      <c r="T277" s="5"/>
      <c r="U277" s="5"/>
    </row>
    <row r="278" spans="1:21" ht="23.1" customHeight="1" outlineLevel="1" x14ac:dyDescent="0.2">
      <c r="A278" s="5">
        <v>10</v>
      </c>
      <c r="B278" s="5">
        <v>10</v>
      </c>
      <c r="C278" s="5">
        <f>DAY(DATE('Assumptions and Catalog'!$C$24+A278-1,B278+1,0))</f>
        <v>31</v>
      </c>
      <c r="D278" s="5">
        <f>IF(ISNUMBER(Inputs!$L$5),Inputs!$L$5*Inputs!$L$6,0)</f>
        <v>40.35</v>
      </c>
      <c r="E278" s="5">
        <f>IF(ISNUMBER(Inputs!$L$5),Inputs!$L$5-D278,0)</f>
        <v>40.35</v>
      </c>
      <c r="F278" s="5">
        <f>C$51*'Assumptions and Catalog'!$C$31*C278*(1-'Assumptions and Catalog'!$C$10)^(A278-1)</f>
        <v>988.72056181582866</v>
      </c>
      <c r="G278" s="5">
        <f t="shared" si="14"/>
        <v>988.72056181582866</v>
      </c>
      <c r="H278" s="5">
        <f>I278/('Assumptions and Catalog'!$C$11*'Assumptions and Catalog'!$C$12)</f>
        <v>0</v>
      </c>
      <c r="I278" s="5">
        <f>0</f>
        <v>0</v>
      </c>
      <c r="J278" s="5">
        <f t="shared" si="15"/>
        <v>0</v>
      </c>
      <c r="K278" s="5">
        <f t="shared" si="16"/>
        <v>0</v>
      </c>
      <c r="L278" s="5">
        <f t="shared" si="17"/>
        <v>1512.9794381841716</v>
      </c>
      <c r="M278" s="5">
        <f>IF(ISNUMBER(Inputs!$L$5),(IF(Inputs!$L$9="Actual flat rate",((D278+E278)*C278)*Inputs!$L$10,IF(Inputs!$C$9="Residential",IF(((D278+E278)*C278)&lt;='Assumptions and Catalog'!$C$50,((D278+E278)*C278)*'Assumptions and Catalog'!$H$50+'Assumptions and Catalog'!$E$50+'Assumptions and Catalog'!$F$50,IF(((D278+E278)*C278)&lt;='Assumptions and Catalog'!$C$51,((D278+E278)*C278)*'Assumptions and Catalog'!$H$51+'Assumptions and Catalog'!$E$51+'Assumptions and Catalog'!$F$51,IF(((D278+E278)*C278)&lt;='Assumptions and Catalog'!$C$52,((D278+E278)*C278)*'Assumptions and Catalog'!$H$52+'Assumptions and Catalog'!$E$52+'Assumptions and Catalog'!$F$52,IF(((D278+E278)*C278)&lt;='Assumptions and Catalog'!$C$53,((D278+E278)*C278)*'Assumptions and Catalog'!$H$53+'Assumptions and Catalog'!$E$53+'Assumptions and Catalog'!$F$53,IF(((D278+E278)*C278)&lt;='Assumptions and Catalog'!$C$54,((D278+E278)*C278)*'Assumptions and Catalog'!$H$54+'Assumptions and Catalog'!$E$54+'Assumptions and Catalog'!$F$54,IF(((D278+E278)*C278)&lt;='Assumptions and Catalog'!$C$55,((D278+E278)*C278)*'Assumptions and Catalog'!$H$55+'Assumptions and Catalog'!$E$55+'Assumptions and Catalog'!$F$55,IF(((D278+E278)*C278)&lt;='Assumptions and Catalog'!$C$56,((D278+E278)*C278)*'Assumptions and Catalog'!$H$56+'Assumptions and Catalog'!$E$56+'Assumptions and Catalog'!$F$56,IF(((D278+E278)*C278)&lt;='Assumptions and Catalog'!$C$57,((D278+E278)*C278)*'Assumptions and Catalog'!$H$57+'Assumptions and Catalog'!$E$57+'Assumptions and Catalog'!$F$57,"Out of range")))))))),IF(((D278+E278)*C278)&lt;='Assumptions and Catalog'!$C$60,((D278+E278)*C278)*'Assumptions and Catalog'!$H$60+'Assumptions and Catalog'!$E$60+'Assumptions and Catalog'!$F$60,IF(((D278+E278)*C278)&lt;='Assumptions and Catalog'!$C$61,((D278+E278)*C278)*'Assumptions and Catalog'!$H$61+'Assumptions and Catalog'!$E$61+'Assumptions and Catalog'!$F$61,IF(((D278+E278)*C278)&lt;='Assumptions and Catalog'!$C$62,((D278+E278)*C278)*'Assumptions and Catalog'!$H$62+'Assumptions and Catalog'!$E$62+'Assumptions and Catalog'!$F$62,IF(((D278+E278)*C278)&lt;='Assumptions and Catalog'!$C$63,((D278+E278)*C278)*'Assumptions and Catalog'!$H$63+'Assumptions and Catalog'!$E$63+'Assumptions and Catalog'!$F$63,IF(((D278+E278)*C278)&lt;='Assumptions and Catalog'!$C$64,((D278+E278)*C278)*'Assumptions and Catalog'!$H$64+'Assumptions and Catalog'!$E$64+'Assumptions and Catalog'!$F$64,IF(((D278+E278)*C278)&lt;='Assumptions and Catalog'!$C$65,((D278+E278)*C278)*'Assumptions and Catalog'!$H$65+'Assumptions and Catalog'!$E$65+'Assumptions and Catalog'!$F$65,"Out of range")))))))))*(1+'Assumptions and Catalog'!$C$8)^(A278-1),0)</f>
        <v>8554.9666666666672</v>
      </c>
      <c r="N278" s="5">
        <f>IF(ISNUMBER(Inputs!$L$5),(IF(Inputs!$L$9="Actual flat rate",L278*Inputs!$L$10,IF(Inputs!$C$9="Residential",IF(L278&lt;='Assumptions and Catalog'!$C$50,L278*'Assumptions and Catalog'!$H$50+'Assumptions and Catalog'!$E$50+'Assumptions and Catalog'!$F$50,IF(L278&lt;='Assumptions and Catalog'!$C$51,L278*'Assumptions and Catalog'!$H$51+'Assumptions and Catalog'!$E$51+'Assumptions and Catalog'!$F$51,IF(L278&lt;='Assumptions and Catalog'!$C$52,L278*'Assumptions and Catalog'!$H$52+'Assumptions and Catalog'!$E$52+'Assumptions and Catalog'!$F$52,IF(L278&lt;='Assumptions and Catalog'!$C$53,L278*'Assumptions and Catalog'!$H$53+'Assumptions and Catalog'!$E$53+'Assumptions and Catalog'!$F$53,IF(L278&lt;='Assumptions and Catalog'!$C$54,L278*'Assumptions and Catalog'!$H$54+'Assumptions and Catalog'!$E$54+'Assumptions and Catalog'!$F$54,IF(L278&lt;='Assumptions and Catalog'!$C$55,L278*'Assumptions and Catalog'!$H$55+'Assumptions and Catalog'!$E$55+'Assumptions and Catalog'!$F$55,IF(L278&lt;='Assumptions and Catalog'!$C$56,L278*'Assumptions and Catalog'!$H$56+'Assumptions and Catalog'!$E$56+'Assumptions and Catalog'!$F$56,IF(L278&lt;='Assumptions and Catalog'!$C$57,L278*'Assumptions and Catalog'!$H$57+'Assumptions and Catalog'!$E$57+'Assumptions and Catalog'!$F$57,"Out of range")))))))),IF(L278&lt;='Assumptions and Catalog'!$C$60,L278*'Assumptions and Catalog'!$H$60+'Assumptions and Catalog'!$E$60+'Assumptions and Catalog'!$F$60,IF(L278&lt;='Assumptions and Catalog'!$C$61,L278*'Assumptions and Catalog'!$H$61+'Assumptions and Catalog'!$E$61+'Assumptions and Catalog'!$F$61,IF(L278&lt;='Assumptions and Catalog'!$C$62,L278*'Assumptions and Catalog'!$H$62+'Assumptions and Catalog'!$E$62+'Assumptions and Catalog'!$F$62,IF(L278&lt;='Assumptions and Catalog'!$C$63,L278*'Assumptions and Catalog'!$H$63+'Assumptions and Catalog'!$E$63+'Assumptions and Catalog'!$F$63,IF(L278&lt;='Assumptions and Catalog'!$C$64,L278*'Assumptions and Catalog'!$H$64+'Assumptions and Catalog'!$E$64+'Assumptions and Catalog'!$F$64,IF(L278&lt;='Assumptions and Catalog'!$C$65,L278*'Assumptions and Catalog'!$H$65+'Assumptions and Catalog'!$E$65+'Assumptions and Catalog'!$F$65,"Out of range")))))))))*(1+'Assumptions and Catalog'!$C$8)^(A278-1),0)</f>
        <v>5173.8772278920924</v>
      </c>
      <c r="O278" s="5">
        <f t="shared" si="18"/>
        <v>3381.0894387745748</v>
      </c>
      <c r="P278" s="5">
        <f>C$55*(1-J$14)*(1-'Assumptions and Catalog'!$C$23)^R278</f>
        <v>0</v>
      </c>
      <c r="Q278" s="5">
        <f>IF(ISNUMBER(Inputs!$L$5),(IF(Inputs!$L$9="Actual flat rate",((D278+E278)*C278-G278)*Inputs!$L$10,IF(Inputs!$C$9="Residential",IF(((D278+E278)*C278-G278)&lt;='Assumptions and Catalog'!$C$50,((D278+E278)*C278-G278)*'Assumptions and Catalog'!$H$50+'Assumptions and Catalog'!$E$50+'Assumptions and Catalog'!$F$50,IF(((D278+E278)*C278-G278)&lt;='Assumptions and Catalog'!$C$51,((D278+E278)*C278-G278)*'Assumptions and Catalog'!$H$51+'Assumptions and Catalog'!$E$51+'Assumptions and Catalog'!$F$51,IF(((D278+E278)*C278-G278)&lt;='Assumptions and Catalog'!$C$52,((D278+E278)*C278-G278)*'Assumptions and Catalog'!$H$52+'Assumptions and Catalog'!$E$52+'Assumptions and Catalog'!$F$52,IF(((D278+E278)*C278-G278)&lt;='Assumptions and Catalog'!$C$53,((D278+E278)*C278-G278)*'Assumptions and Catalog'!$H$53+'Assumptions and Catalog'!$E$53+'Assumptions and Catalog'!$F$53,IF(((D278+E278)*C278-G278)&lt;='Assumptions and Catalog'!$C$54,((D278+E278)*C278-G278)*'Assumptions and Catalog'!$H$54+'Assumptions and Catalog'!$E$54+'Assumptions and Catalog'!$F$54,IF(((D278+E278)*C278-G278)&lt;='Assumptions and Catalog'!$C$55,((D278+E278)*C278-G278)*'Assumptions and Catalog'!$H$55+'Assumptions and Catalog'!$E$55+'Assumptions and Catalog'!$F$55,IF(((D278+E278)*C278-G278)&lt;='Assumptions and Catalog'!$C$56,((D278+E278)*C278-G278)*'Assumptions and Catalog'!$H$56+'Assumptions and Catalog'!$E$56+'Assumptions and Catalog'!$F$56,IF(((D278+E278)*C278-G278)&lt;='Assumptions and Catalog'!$C$57,((D278+E278)*C278-G278)*'Assumptions and Catalog'!$H$57+'Assumptions and Catalog'!$E$57+'Assumptions and Catalog'!$F$57,"Out of range")))))))),IF(((D278+E278)*C278-G278)&lt;='Assumptions and Catalog'!$C$60,((D278+E278)*C278-G278)*'Assumptions and Catalog'!$H$60+'Assumptions and Catalog'!$E$60+'Assumptions and Catalog'!$F$60,IF(((D278+E278)*C278-G278)&lt;='Assumptions and Catalog'!$C$61,((D278+E278)*C278-G278)*'Assumptions and Catalog'!$H$61+'Assumptions and Catalog'!$E$61+'Assumptions and Catalog'!$F$61,IF(((D278+E278)*C278-G278)&lt;='Assumptions and Catalog'!$C$62,((D278+E278)*C278-G278)*'Assumptions and Catalog'!$H$62+'Assumptions and Catalog'!$E$62+'Assumptions and Catalog'!$F$62,IF(((D278+E278)*C278-G278)&lt;='Assumptions and Catalog'!$C$63,((D278+E278)*C278-G278)*'Assumptions and Catalog'!$H$63+'Assumptions and Catalog'!$E$63+'Assumptions and Catalog'!$F$63,IF(((D278+E278)*C278-G278)&lt;='Assumptions and Catalog'!$C$64,((D278+E278)*C278-G278)*'Assumptions and Catalog'!$H$64+'Assumptions and Catalog'!$E$64+'Assumptions and Catalog'!$F$64,IF(((D278+E278)*C278-G278)&lt;='Assumptions and Catalog'!$C$65,((D278+E278)*C278-G278)*'Assumptions and Catalog'!$H$65+'Assumptions and Catalog'!$E$65+'Assumptions and Catalog'!$F$65,"Out of range")))))))))*(1+'Assumptions and Catalog'!$C$8)^(A278-1),0)</f>
        <v>5173.8772278920924</v>
      </c>
      <c r="R278" s="5">
        <f>IF(AND('Assumptions and Catalog'!$C$19&gt;0,A278&gt;='Assumptions and Catalog'!$C$19),A278-'Assumptions and Catalog'!$C$19,A278-1)</f>
        <v>9</v>
      </c>
      <c r="S278" s="5">
        <f t="shared" si="19"/>
        <v>0</v>
      </c>
      <c r="T278" s="5"/>
      <c r="U278" s="5"/>
    </row>
    <row r="279" spans="1:21" ht="23.1" customHeight="1" outlineLevel="1" x14ac:dyDescent="0.2">
      <c r="A279" s="5">
        <v>10</v>
      </c>
      <c r="B279" s="5">
        <v>11</v>
      </c>
      <c r="C279" s="5">
        <f>DAY(DATE('Assumptions and Catalog'!$C$24+A279-1,B279+1,0))</f>
        <v>30</v>
      </c>
      <c r="D279" s="5">
        <f>IF(ISNUMBER(Inputs!$L$5),Inputs!$L$5*Inputs!$L$6,0)</f>
        <v>40.35</v>
      </c>
      <c r="E279" s="5">
        <f>IF(ISNUMBER(Inputs!$L$5),Inputs!$L$5-D279,0)</f>
        <v>40.35</v>
      </c>
      <c r="F279" s="5">
        <f>C$51*'Assumptions and Catalog'!$C$31*C279*(1-'Assumptions and Catalog'!$C$10)^(A279-1)</f>
        <v>956.82635014435039</v>
      </c>
      <c r="G279" s="5">
        <f t="shared" si="14"/>
        <v>956.82635014435039</v>
      </c>
      <c r="H279" s="5">
        <f>I279/('Assumptions and Catalog'!$C$11*'Assumptions and Catalog'!$C$12)</f>
        <v>0</v>
      </c>
      <c r="I279" s="5">
        <f>0</f>
        <v>0</v>
      </c>
      <c r="J279" s="5">
        <f t="shared" si="15"/>
        <v>0</v>
      </c>
      <c r="K279" s="5">
        <f t="shared" si="16"/>
        <v>0</v>
      </c>
      <c r="L279" s="5">
        <f t="shared" si="17"/>
        <v>1464.1736498556497</v>
      </c>
      <c r="M279" s="5">
        <f>IF(ISNUMBER(Inputs!$L$5),(IF(Inputs!$L$9="Actual flat rate",((D279+E279)*C279)*Inputs!$L$10,IF(Inputs!$C$9="Residential",IF(((D279+E279)*C279)&lt;='Assumptions and Catalog'!$C$50,((D279+E279)*C279)*'Assumptions and Catalog'!$H$50+'Assumptions and Catalog'!$E$50+'Assumptions and Catalog'!$F$50,IF(((D279+E279)*C279)&lt;='Assumptions and Catalog'!$C$51,((D279+E279)*C279)*'Assumptions and Catalog'!$H$51+'Assumptions and Catalog'!$E$51+'Assumptions and Catalog'!$F$51,IF(((D279+E279)*C279)&lt;='Assumptions and Catalog'!$C$52,((D279+E279)*C279)*'Assumptions and Catalog'!$H$52+'Assumptions and Catalog'!$E$52+'Assumptions and Catalog'!$F$52,IF(((D279+E279)*C279)&lt;='Assumptions and Catalog'!$C$53,((D279+E279)*C279)*'Assumptions and Catalog'!$H$53+'Assumptions and Catalog'!$E$53+'Assumptions and Catalog'!$F$53,IF(((D279+E279)*C279)&lt;='Assumptions and Catalog'!$C$54,((D279+E279)*C279)*'Assumptions and Catalog'!$H$54+'Assumptions and Catalog'!$E$54+'Assumptions and Catalog'!$F$54,IF(((D279+E279)*C279)&lt;='Assumptions and Catalog'!$C$55,((D279+E279)*C279)*'Assumptions and Catalog'!$H$55+'Assumptions and Catalog'!$E$55+'Assumptions and Catalog'!$F$55,IF(((D279+E279)*C279)&lt;='Assumptions and Catalog'!$C$56,((D279+E279)*C279)*'Assumptions and Catalog'!$H$56+'Assumptions and Catalog'!$E$56+'Assumptions and Catalog'!$F$56,IF(((D279+E279)*C279)&lt;='Assumptions and Catalog'!$C$57,((D279+E279)*C279)*'Assumptions and Catalog'!$H$57+'Assumptions and Catalog'!$E$57+'Assumptions and Catalog'!$F$57,"Out of range")))))))),IF(((D279+E279)*C279)&lt;='Assumptions and Catalog'!$C$60,((D279+E279)*C279)*'Assumptions and Catalog'!$H$60+'Assumptions and Catalog'!$E$60+'Assumptions and Catalog'!$F$60,IF(((D279+E279)*C279)&lt;='Assumptions and Catalog'!$C$61,((D279+E279)*C279)*'Assumptions and Catalog'!$H$61+'Assumptions and Catalog'!$E$61+'Assumptions and Catalog'!$F$61,IF(((D279+E279)*C279)&lt;='Assumptions and Catalog'!$C$62,((D279+E279)*C279)*'Assumptions and Catalog'!$H$62+'Assumptions and Catalog'!$E$62+'Assumptions and Catalog'!$F$62,IF(((D279+E279)*C279)&lt;='Assumptions and Catalog'!$C$63,((D279+E279)*C279)*'Assumptions and Catalog'!$H$63+'Assumptions and Catalog'!$E$63+'Assumptions and Catalog'!$F$63,IF(((D279+E279)*C279)&lt;='Assumptions and Catalog'!$C$64,((D279+E279)*C279)*'Assumptions and Catalog'!$H$64+'Assumptions and Catalog'!$E$64+'Assumptions and Catalog'!$F$64,IF(((D279+E279)*C279)&lt;='Assumptions and Catalog'!$C$65,((D279+E279)*C279)*'Assumptions and Catalog'!$H$65+'Assumptions and Catalog'!$E$65+'Assumptions and Catalog'!$F$65,"Out of range")))))))))*(1+'Assumptions and Catalog'!$C$8)^(A279-1),0)</f>
        <v>8279</v>
      </c>
      <c r="N279" s="5">
        <f>IF(ISNUMBER(Inputs!$L$5),(IF(Inputs!$L$9="Actual flat rate",L279*Inputs!$L$10,IF(Inputs!$C$9="Residential",IF(L279&lt;='Assumptions and Catalog'!$C$50,L279*'Assumptions and Catalog'!$H$50+'Assumptions and Catalog'!$E$50+'Assumptions and Catalog'!$F$50,IF(L279&lt;='Assumptions and Catalog'!$C$51,L279*'Assumptions and Catalog'!$H$51+'Assumptions and Catalog'!$E$51+'Assumptions and Catalog'!$F$51,IF(L279&lt;='Assumptions and Catalog'!$C$52,L279*'Assumptions and Catalog'!$H$52+'Assumptions and Catalog'!$E$52+'Assumptions and Catalog'!$F$52,IF(L279&lt;='Assumptions and Catalog'!$C$53,L279*'Assumptions and Catalog'!$H$53+'Assumptions and Catalog'!$E$53+'Assumptions and Catalog'!$F$53,IF(L279&lt;='Assumptions and Catalog'!$C$54,L279*'Assumptions and Catalog'!$H$54+'Assumptions and Catalog'!$E$54+'Assumptions and Catalog'!$F$54,IF(L279&lt;='Assumptions and Catalog'!$C$55,L279*'Assumptions and Catalog'!$H$55+'Assumptions and Catalog'!$E$55+'Assumptions and Catalog'!$F$55,IF(L279&lt;='Assumptions and Catalog'!$C$56,L279*'Assumptions and Catalog'!$H$56+'Assumptions and Catalog'!$E$56+'Assumptions and Catalog'!$F$56,IF(L279&lt;='Assumptions and Catalog'!$C$57,L279*'Assumptions and Catalog'!$H$57+'Assumptions and Catalog'!$E$57+'Assumptions and Catalog'!$F$57,"Out of range")))))))),IF(L279&lt;='Assumptions and Catalog'!$C$60,L279*'Assumptions and Catalog'!$H$60+'Assumptions and Catalog'!$E$60+'Assumptions and Catalog'!$F$60,IF(L279&lt;='Assumptions and Catalog'!$C$61,L279*'Assumptions and Catalog'!$H$61+'Assumptions and Catalog'!$E$61+'Assumptions and Catalog'!$F$61,IF(L279&lt;='Assumptions and Catalog'!$C$62,L279*'Assumptions and Catalog'!$H$62+'Assumptions and Catalog'!$E$62+'Assumptions and Catalog'!$F$62,IF(L279&lt;='Assumptions and Catalog'!$C$63,L279*'Assumptions and Catalog'!$H$63+'Assumptions and Catalog'!$E$63+'Assumptions and Catalog'!$F$63,IF(L279&lt;='Assumptions and Catalog'!$C$64,L279*'Assumptions and Catalog'!$H$64+'Assumptions and Catalog'!$E$64+'Assumptions and Catalog'!$F$64,IF(L279&lt;='Assumptions and Catalog'!$C$65,L279*'Assumptions and Catalog'!$H$65+'Assumptions and Catalog'!$E$65+'Assumptions and Catalog'!$F$65,"Out of range")))))))))*(1+'Assumptions and Catalog'!$C$8)^(A279-1),0)</f>
        <v>5006.9779624762177</v>
      </c>
      <c r="O279" s="5">
        <f t="shared" si="18"/>
        <v>3272.0220375237823</v>
      </c>
      <c r="P279" s="5">
        <f>C$55*(1-J$14)*(1-'Assumptions and Catalog'!$C$23)^R279</f>
        <v>0</v>
      </c>
      <c r="Q279" s="5">
        <f>IF(ISNUMBER(Inputs!$L$5),(IF(Inputs!$L$9="Actual flat rate",((D279+E279)*C279-G279)*Inputs!$L$10,IF(Inputs!$C$9="Residential",IF(((D279+E279)*C279-G279)&lt;='Assumptions and Catalog'!$C$50,((D279+E279)*C279-G279)*'Assumptions and Catalog'!$H$50+'Assumptions and Catalog'!$E$50+'Assumptions and Catalog'!$F$50,IF(((D279+E279)*C279-G279)&lt;='Assumptions and Catalog'!$C$51,((D279+E279)*C279-G279)*'Assumptions and Catalog'!$H$51+'Assumptions and Catalog'!$E$51+'Assumptions and Catalog'!$F$51,IF(((D279+E279)*C279-G279)&lt;='Assumptions and Catalog'!$C$52,((D279+E279)*C279-G279)*'Assumptions and Catalog'!$H$52+'Assumptions and Catalog'!$E$52+'Assumptions and Catalog'!$F$52,IF(((D279+E279)*C279-G279)&lt;='Assumptions and Catalog'!$C$53,((D279+E279)*C279-G279)*'Assumptions and Catalog'!$H$53+'Assumptions and Catalog'!$E$53+'Assumptions and Catalog'!$F$53,IF(((D279+E279)*C279-G279)&lt;='Assumptions and Catalog'!$C$54,((D279+E279)*C279-G279)*'Assumptions and Catalog'!$H$54+'Assumptions and Catalog'!$E$54+'Assumptions and Catalog'!$F$54,IF(((D279+E279)*C279-G279)&lt;='Assumptions and Catalog'!$C$55,((D279+E279)*C279-G279)*'Assumptions and Catalog'!$H$55+'Assumptions and Catalog'!$E$55+'Assumptions and Catalog'!$F$55,IF(((D279+E279)*C279-G279)&lt;='Assumptions and Catalog'!$C$56,((D279+E279)*C279-G279)*'Assumptions and Catalog'!$H$56+'Assumptions and Catalog'!$E$56+'Assumptions and Catalog'!$F$56,IF(((D279+E279)*C279-G279)&lt;='Assumptions and Catalog'!$C$57,((D279+E279)*C279-G279)*'Assumptions and Catalog'!$H$57+'Assumptions and Catalog'!$E$57+'Assumptions and Catalog'!$F$57,"Out of range")))))))),IF(((D279+E279)*C279-G279)&lt;='Assumptions and Catalog'!$C$60,((D279+E279)*C279-G279)*'Assumptions and Catalog'!$H$60+'Assumptions and Catalog'!$E$60+'Assumptions and Catalog'!$F$60,IF(((D279+E279)*C279-G279)&lt;='Assumptions and Catalog'!$C$61,((D279+E279)*C279-G279)*'Assumptions and Catalog'!$H$61+'Assumptions and Catalog'!$E$61+'Assumptions and Catalog'!$F$61,IF(((D279+E279)*C279-G279)&lt;='Assumptions and Catalog'!$C$62,((D279+E279)*C279-G279)*'Assumptions and Catalog'!$H$62+'Assumptions and Catalog'!$E$62+'Assumptions and Catalog'!$F$62,IF(((D279+E279)*C279-G279)&lt;='Assumptions and Catalog'!$C$63,((D279+E279)*C279-G279)*'Assumptions and Catalog'!$H$63+'Assumptions and Catalog'!$E$63+'Assumptions and Catalog'!$F$63,IF(((D279+E279)*C279-G279)&lt;='Assumptions and Catalog'!$C$64,((D279+E279)*C279-G279)*'Assumptions and Catalog'!$H$64+'Assumptions and Catalog'!$E$64+'Assumptions and Catalog'!$F$64,IF(((D279+E279)*C279-G279)&lt;='Assumptions and Catalog'!$C$65,((D279+E279)*C279-G279)*'Assumptions and Catalog'!$H$65+'Assumptions and Catalog'!$E$65+'Assumptions and Catalog'!$F$65,"Out of range")))))))))*(1+'Assumptions and Catalog'!$C$8)^(A279-1),0)</f>
        <v>5006.9779624762177</v>
      </c>
      <c r="R279" s="5">
        <f>IF(AND('Assumptions and Catalog'!$C$19&gt;0,A279&gt;='Assumptions and Catalog'!$C$19),A279-'Assumptions and Catalog'!$C$19,A279-1)</f>
        <v>9</v>
      </c>
      <c r="S279" s="5">
        <f t="shared" si="19"/>
        <v>0</v>
      </c>
      <c r="T279" s="5"/>
      <c r="U279" s="5"/>
    </row>
    <row r="280" spans="1:21" ht="23.1" customHeight="1" outlineLevel="1" x14ac:dyDescent="0.2">
      <c r="A280" s="5">
        <v>10</v>
      </c>
      <c r="B280" s="5">
        <v>12</v>
      </c>
      <c r="C280" s="5">
        <f>DAY(DATE('Assumptions and Catalog'!$C$24+A280-1,B280+1,0))</f>
        <v>31</v>
      </c>
      <c r="D280" s="5">
        <f>IF(ISNUMBER(Inputs!$L$5),Inputs!$L$5*Inputs!$L$6,0)</f>
        <v>40.35</v>
      </c>
      <c r="E280" s="5">
        <f>IF(ISNUMBER(Inputs!$L$5),Inputs!$L$5-D280,0)</f>
        <v>40.35</v>
      </c>
      <c r="F280" s="5">
        <f>C$51*'Assumptions and Catalog'!$C$31*C280*(1-'Assumptions and Catalog'!$C$10)^(A280-1)</f>
        <v>988.72056181582866</v>
      </c>
      <c r="G280" s="5">
        <f t="shared" si="14"/>
        <v>988.72056181582866</v>
      </c>
      <c r="H280" s="5">
        <f>I280/('Assumptions and Catalog'!$C$11*'Assumptions and Catalog'!$C$12)</f>
        <v>0</v>
      </c>
      <c r="I280" s="5">
        <f>0</f>
        <v>0</v>
      </c>
      <c r="J280" s="5">
        <f t="shared" si="15"/>
        <v>0</v>
      </c>
      <c r="K280" s="5">
        <f t="shared" si="16"/>
        <v>0</v>
      </c>
      <c r="L280" s="5">
        <f t="shared" si="17"/>
        <v>1512.9794381841716</v>
      </c>
      <c r="M280" s="5">
        <f>IF(ISNUMBER(Inputs!$L$5),(IF(Inputs!$L$9="Actual flat rate",((D280+E280)*C280)*Inputs!$L$10,IF(Inputs!$C$9="Residential",IF(((D280+E280)*C280)&lt;='Assumptions and Catalog'!$C$50,((D280+E280)*C280)*'Assumptions and Catalog'!$H$50+'Assumptions and Catalog'!$E$50+'Assumptions and Catalog'!$F$50,IF(((D280+E280)*C280)&lt;='Assumptions and Catalog'!$C$51,((D280+E280)*C280)*'Assumptions and Catalog'!$H$51+'Assumptions and Catalog'!$E$51+'Assumptions and Catalog'!$F$51,IF(((D280+E280)*C280)&lt;='Assumptions and Catalog'!$C$52,((D280+E280)*C280)*'Assumptions and Catalog'!$H$52+'Assumptions and Catalog'!$E$52+'Assumptions and Catalog'!$F$52,IF(((D280+E280)*C280)&lt;='Assumptions and Catalog'!$C$53,((D280+E280)*C280)*'Assumptions and Catalog'!$H$53+'Assumptions and Catalog'!$E$53+'Assumptions and Catalog'!$F$53,IF(((D280+E280)*C280)&lt;='Assumptions and Catalog'!$C$54,((D280+E280)*C280)*'Assumptions and Catalog'!$H$54+'Assumptions and Catalog'!$E$54+'Assumptions and Catalog'!$F$54,IF(((D280+E280)*C280)&lt;='Assumptions and Catalog'!$C$55,((D280+E280)*C280)*'Assumptions and Catalog'!$H$55+'Assumptions and Catalog'!$E$55+'Assumptions and Catalog'!$F$55,IF(((D280+E280)*C280)&lt;='Assumptions and Catalog'!$C$56,((D280+E280)*C280)*'Assumptions and Catalog'!$H$56+'Assumptions and Catalog'!$E$56+'Assumptions and Catalog'!$F$56,IF(((D280+E280)*C280)&lt;='Assumptions and Catalog'!$C$57,((D280+E280)*C280)*'Assumptions and Catalog'!$H$57+'Assumptions and Catalog'!$E$57+'Assumptions and Catalog'!$F$57,"Out of range")))))))),IF(((D280+E280)*C280)&lt;='Assumptions and Catalog'!$C$60,((D280+E280)*C280)*'Assumptions and Catalog'!$H$60+'Assumptions and Catalog'!$E$60+'Assumptions and Catalog'!$F$60,IF(((D280+E280)*C280)&lt;='Assumptions and Catalog'!$C$61,((D280+E280)*C280)*'Assumptions and Catalog'!$H$61+'Assumptions and Catalog'!$E$61+'Assumptions and Catalog'!$F$61,IF(((D280+E280)*C280)&lt;='Assumptions and Catalog'!$C$62,((D280+E280)*C280)*'Assumptions and Catalog'!$H$62+'Assumptions and Catalog'!$E$62+'Assumptions and Catalog'!$F$62,IF(((D280+E280)*C280)&lt;='Assumptions and Catalog'!$C$63,((D280+E280)*C280)*'Assumptions and Catalog'!$H$63+'Assumptions and Catalog'!$E$63+'Assumptions and Catalog'!$F$63,IF(((D280+E280)*C280)&lt;='Assumptions and Catalog'!$C$64,((D280+E280)*C280)*'Assumptions and Catalog'!$H$64+'Assumptions and Catalog'!$E$64+'Assumptions and Catalog'!$F$64,IF(((D280+E280)*C280)&lt;='Assumptions and Catalog'!$C$65,((D280+E280)*C280)*'Assumptions and Catalog'!$H$65+'Assumptions and Catalog'!$E$65+'Assumptions and Catalog'!$F$65,"Out of range")))))))))*(1+'Assumptions and Catalog'!$C$8)^(A280-1),0)</f>
        <v>8554.9666666666672</v>
      </c>
      <c r="N280" s="5">
        <f>IF(ISNUMBER(Inputs!$L$5),(IF(Inputs!$L$9="Actual flat rate",L280*Inputs!$L$10,IF(Inputs!$C$9="Residential",IF(L280&lt;='Assumptions and Catalog'!$C$50,L280*'Assumptions and Catalog'!$H$50+'Assumptions and Catalog'!$E$50+'Assumptions and Catalog'!$F$50,IF(L280&lt;='Assumptions and Catalog'!$C$51,L280*'Assumptions and Catalog'!$H$51+'Assumptions and Catalog'!$E$51+'Assumptions and Catalog'!$F$51,IF(L280&lt;='Assumptions and Catalog'!$C$52,L280*'Assumptions and Catalog'!$H$52+'Assumptions and Catalog'!$E$52+'Assumptions and Catalog'!$F$52,IF(L280&lt;='Assumptions and Catalog'!$C$53,L280*'Assumptions and Catalog'!$H$53+'Assumptions and Catalog'!$E$53+'Assumptions and Catalog'!$F$53,IF(L280&lt;='Assumptions and Catalog'!$C$54,L280*'Assumptions and Catalog'!$H$54+'Assumptions and Catalog'!$E$54+'Assumptions and Catalog'!$F$54,IF(L280&lt;='Assumptions and Catalog'!$C$55,L280*'Assumptions and Catalog'!$H$55+'Assumptions and Catalog'!$E$55+'Assumptions and Catalog'!$F$55,IF(L280&lt;='Assumptions and Catalog'!$C$56,L280*'Assumptions and Catalog'!$H$56+'Assumptions and Catalog'!$E$56+'Assumptions and Catalog'!$F$56,IF(L280&lt;='Assumptions and Catalog'!$C$57,L280*'Assumptions and Catalog'!$H$57+'Assumptions and Catalog'!$E$57+'Assumptions and Catalog'!$F$57,"Out of range")))))))),IF(L280&lt;='Assumptions and Catalog'!$C$60,L280*'Assumptions and Catalog'!$H$60+'Assumptions and Catalog'!$E$60+'Assumptions and Catalog'!$F$60,IF(L280&lt;='Assumptions and Catalog'!$C$61,L280*'Assumptions and Catalog'!$H$61+'Assumptions and Catalog'!$E$61+'Assumptions and Catalog'!$F$61,IF(L280&lt;='Assumptions and Catalog'!$C$62,L280*'Assumptions and Catalog'!$H$62+'Assumptions and Catalog'!$E$62+'Assumptions and Catalog'!$F$62,IF(L280&lt;='Assumptions and Catalog'!$C$63,L280*'Assumptions and Catalog'!$H$63+'Assumptions and Catalog'!$E$63+'Assumptions and Catalog'!$F$63,IF(L280&lt;='Assumptions and Catalog'!$C$64,L280*'Assumptions and Catalog'!$H$64+'Assumptions and Catalog'!$E$64+'Assumptions and Catalog'!$F$64,IF(L280&lt;='Assumptions and Catalog'!$C$65,L280*'Assumptions and Catalog'!$H$65+'Assumptions and Catalog'!$E$65+'Assumptions and Catalog'!$F$65,"Out of range")))))))))*(1+'Assumptions and Catalog'!$C$8)^(A280-1),0)</f>
        <v>5173.8772278920924</v>
      </c>
      <c r="O280" s="5">
        <f t="shared" si="18"/>
        <v>3381.0894387745748</v>
      </c>
      <c r="P280" s="5">
        <f>C$55*(1-J$14)*(1-'Assumptions and Catalog'!$C$23)^R280</f>
        <v>0</v>
      </c>
      <c r="Q280" s="5">
        <f>IF(ISNUMBER(Inputs!$L$5),(IF(Inputs!$L$9="Actual flat rate",((D280+E280)*C280-G280)*Inputs!$L$10,IF(Inputs!$C$9="Residential",IF(((D280+E280)*C280-G280)&lt;='Assumptions and Catalog'!$C$50,((D280+E280)*C280-G280)*'Assumptions and Catalog'!$H$50+'Assumptions and Catalog'!$E$50+'Assumptions and Catalog'!$F$50,IF(((D280+E280)*C280-G280)&lt;='Assumptions and Catalog'!$C$51,((D280+E280)*C280-G280)*'Assumptions and Catalog'!$H$51+'Assumptions and Catalog'!$E$51+'Assumptions and Catalog'!$F$51,IF(((D280+E280)*C280-G280)&lt;='Assumptions and Catalog'!$C$52,((D280+E280)*C280-G280)*'Assumptions and Catalog'!$H$52+'Assumptions and Catalog'!$E$52+'Assumptions and Catalog'!$F$52,IF(((D280+E280)*C280-G280)&lt;='Assumptions and Catalog'!$C$53,((D280+E280)*C280-G280)*'Assumptions and Catalog'!$H$53+'Assumptions and Catalog'!$E$53+'Assumptions and Catalog'!$F$53,IF(((D280+E280)*C280-G280)&lt;='Assumptions and Catalog'!$C$54,((D280+E280)*C280-G280)*'Assumptions and Catalog'!$H$54+'Assumptions and Catalog'!$E$54+'Assumptions and Catalog'!$F$54,IF(((D280+E280)*C280-G280)&lt;='Assumptions and Catalog'!$C$55,((D280+E280)*C280-G280)*'Assumptions and Catalog'!$H$55+'Assumptions and Catalog'!$E$55+'Assumptions and Catalog'!$F$55,IF(((D280+E280)*C280-G280)&lt;='Assumptions and Catalog'!$C$56,((D280+E280)*C280-G280)*'Assumptions and Catalog'!$H$56+'Assumptions and Catalog'!$E$56+'Assumptions and Catalog'!$F$56,IF(((D280+E280)*C280-G280)&lt;='Assumptions and Catalog'!$C$57,((D280+E280)*C280-G280)*'Assumptions and Catalog'!$H$57+'Assumptions and Catalog'!$E$57+'Assumptions and Catalog'!$F$57,"Out of range")))))))),IF(((D280+E280)*C280-G280)&lt;='Assumptions and Catalog'!$C$60,((D280+E280)*C280-G280)*'Assumptions and Catalog'!$H$60+'Assumptions and Catalog'!$E$60+'Assumptions and Catalog'!$F$60,IF(((D280+E280)*C280-G280)&lt;='Assumptions and Catalog'!$C$61,((D280+E280)*C280-G280)*'Assumptions and Catalog'!$H$61+'Assumptions and Catalog'!$E$61+'Assumptions and Catalog'!$F$61,IF(((D280+E280)*C280-G280)&lt;='Assumptions and Catalog'!$C$62,((D280+E280)*C280-G280)*'Assumptions and Catalog'!$H$62+'Assumptions and Catalog'!$E$62+'Assumptions and Catalog'!$F$62,IF(((D280+E280)*C280-G280)&lt;='Assumptions and Catalog'!$C$63,((D280+E280)*C280-G280)*'Assumptions and Catalog'!$H$63+'Assumptions and Catalog'!$E$63+'Assumptions and Catalog'!$F$63,IF(((D280+E280)*C280-G280)&lt;='Assumptions and Catalog'!$C$64,((D280+E280)*C280-G280)*'Assumptions and Catalog'!$H$64+'Assumptions and Catalog'!$E$64+'Assumptions and Catalog'!$F$64,IF(((D280+E280)*C280-G280)&lt;='Assumptions and Catalog'!$C$65,((D280+E280)*C280-G280)*'Assumptions and Catalog'!$H$65+'Assumptions and Catalog'!$E$65+'Assumptions and Catalog'!$F$65,"Out of range")))))))))*(1+'Assumptions and Catalog'!$C$8)^(A280-1),0)</f>
        <v>5173.8772278920924</v>
      </c>
      <c r="R280" s="5">
        <f>IF(AND('Assumptions and Catalog'!$C$19&gt;0,A280&gt;='Assumptions and Catalog'!$C$19),A280-'Assumptions and Catalog'!$C$19,A280-1)</f>
        <v>9</v>
      </c>
      <c r="S280" s="5">
        <f t="shared" si="19"/>
        <v>0</v>
      </c>
      <c r="T280" s="5"/>
      <c r="U280" s="5"/>
    </row>
    <row r="281" spans="1:21" ht="23.1" customHeight="1" outlineLevel="1" x14ac:dyDescent="0.2">
      <c r="A281" s="5">
        <v>11</v>
      </c>
      <c r="B281" s="5">
        <v>1</v>
      </c>
      <c r="C281" s="5">
        <f>DAY(DATE('Assumptions and Catalog'!$C$24+A281-1,B281+1,0))</f>
        <v>31</v>
      </c>
      <c r="D281" s="5">
        <f>IF(ISNUMBER(Inputs!$L$5),Inputs!$L$5*Inputs!$L$6,0)</f>
        <v>40.35</v>
      </c>
      <c r="E281" s="5">
        <f>IF(ISNUMBER(Inputs!$L$5),Inputs!$L$5-D281,0)</f>
        <v>40.35</v>
      </c>
      <c r="F281" s="5">
        <f>C$51*'Assumptions and Catalog'!$C$31*C281*(1-'Assumptions and Catalog'!$C$10)^(A281-1)</f>
        <v>983.77695900674962</v>
      </c>
      <c r="G281" s="5">
        <f t="shared" si="14"/>
        <v>983.77695900674962</v>
      </c>
      <c r="H281" s="5">
        <f>I281/('Assumptions and Catalog'!$C$11*'Assumptions and Catalog'!$C$12)</f>
        <v>0</v>
      </c>
      <c r="I281" s="5">
        <f>0</f>
        <v>0</v>
      </c>
      <c r="J281" s="5">
        <f t="shared" si="15"/>
        <v>0</v>
      </c>
      <c r="K281" s="5">
        <f t="shared" si="16"/>
        <v>0</v>
      </c>
      <c r="L281" s="5">
        <f t="shared" si="17"/>
        <v>1517.9230409932507</v>
      </c>
      <c r="M281" s="5">
        <f>IF(ISNUMBER(Inputs!$L$5),(IF(Inputs!$L$9="Actual flat rate",((D281+E281)*C281)*Inputs!$L$10,IF(Inputs!$C$9="Residential",IF(((D281+E281)*C281)&lt;='Assumptions and Catalog'!$C$50,((D281+E281)*C281)*'Assumptions and Catalog'!$H$50+'Assumptions and Catalog'!$E$50+'Assumptions and Catalog'!$F$50,IF(((D281+E281)*C281)&lt;='Assumptions and Catalog'!$C$51,((D281+E281)*C281)*'Assumptions and Catalog'!$H$51+'Assumptions and Catalog'!$E$51+'Assumptions and Catalog'!$F$51,IF(((D281+E281)*C281)&lt;='Assumptions and Catalog'!$C$52,((D281+E281)*C281)*'Assumptions and Catalog'!$H$52+'Assumptions and Catalog'!$E$52+'Assumptions and Catalog'!$F$52,IF(((D281+E281)*C281)&lt;='Assumptions and Catalog'!$C$53,((D281+E281)*C281)*'Assumptions and Catalog'!$H$53+'Assumptions and Catalog'!$E$53+'Assumptions and Catalog'!$F$53,IF(((D281+E281)*C281)&lt;='Assumptions and Catalog'!$C$54,((D281+E281)*C281)*'Assumptions and Catalog'!$H$54+'Assumptions and Catalog'!$E$54+'Assumptions and Catalog'!$F$54,IF(((D281+E281)*C281)&lt;='Assumptions and Catalog'!$C$55,((D281+E281)*C281)*'Assumptions and Catalog'!$H$55+'Assumptions and Catalog'!$E$55+'Assumptions and Catalog'!$F$55,IF(((D281+E281)*C281)&lt;='Assumptions and Catalog'!$C$56,((D281+E281)*C281)*'Assumptions and Catalog'!$H$56+'Assumptions and Catalog'!$E$56+'Assumptions and Catalog'!$F$56,IF(((D281+E281)*C281)&lt;='Assumptions and Catalog'!$C$57,((D281+E281)*C281)*'Assumptions and Catalog'!$H$57+'Assumptions and Catalog'!$E$57+'Assumptions and Catalog'!$F$57,"Out of range")))))))),IF(((D281+E281)*C281)&lt;='Assumptions and Catalog'!$C$60,((D281+E281)*C281)*'Assumptions and Catalog'!$H$60+'Assumptions and Catalog'!$E$60+'Assumptions and Catalog'!$F$60,IF(((D281+E281)*C281)&lt;='Assumptions and Catalog'!$C$61,((D281+E281)*C281)*'Assumptions and Catalog'!$H$61+'Assumptions and Catalog'!$E$61+'Assumptions and Catalog'!$F$61,IF(((D281+E281)*C281)&lt;='Assumptions and Catalog'!$C$62,((D281+E281)*C281)*'Assumptions and Catalog'!$H$62+'Assumptions and Catalog'!$E$62+'Assumptions and Catalog'!$F$62,IF(((D281+E281)*C281)&lt;='Assumptions and Catalog'!$C$63,((D281+E281)*C281)*'Assumptions and Catalog'!$H$63+'Assumptions and Catalog'!$E$63+'Assumptions and Catalog'!$F$63,IF(((D281+E281)*C281)&lt;='Assumptions and Catalog'!$C$64,((D281+E281)*C281)*'Assumptions and Catalog'!$H$64+'Assumptions and Catalog'!$E$64+'Assumptions and Catalog'!$F$64,IF(((D281+E281)*C281)&lt;='Assumptions and Catalog'!$C$65,((D281+E281)*C281)*'Assumptions and Catalog'!$H$65+'Assumptions and Catalog'!$E$65+'Assumptions and Catalog'!$F$65,"Out of range")))))))))*(1+'Assumptions and Catalog'!$C$8)^(A281-1),0)</f>
        <v>8554.9666666666672</v>
      </c>
      <c r="N281" s="5">
        <f>IF(ISNUMBER(Inputs!$L$5),(IF(Inputs!$L$9="Actual flat rate",L281*Inputs!$L$10,IF(Inputs!$C$9="Residential",IF(L281&lt;='Assumptions and Catalog'!$C$50,L281*'Assumptions and Catalog'!$H$50+'Assumptions and Catalog'!$E$50+'Assumptions and Catalog'!$F$50,IF(L281&lt;='Assumptions and Catalog'!$C$51,L281*'Assumptions and Catalog'!$H$51+'Assumptions and Catalog'!$E$51+'Assumptions and Catalog'!$F$51,IF(L281&lt;='Assumptions and Catalog'!$C$52,L281*'Assumptions and Catalog'!$H$52+'Assumptions and Catalog'!$E$52+'Assumptions and Catalog'!$F$52,IF(L281&lt;='Assumptions and Catalog'!$C$53,L281*'Assumptions and Catalog'!$H$53+'Assumptions and Catalog'!$E$53+'Assumptions and Catalog'!$F$53,IF(L281&lt;='Assumptions and Catalog'!$C$54,L281*'Assumptions and Catalog'!$H$54+'Assumptions and Catalog'!$E$54+'Assumptions and Catalog'!$F$54,IF(L281&lt;='Assumptions and Catalog'!$C$55,L281*'Assumptions and Catalog'!$H$55+'Assumptions and Catalog'!$E$55+'Assumptions and Catalog'!$F$55,IF(L281&lt;='Assumptions and Catalog'!$C$56,L281*'Assumptions and Catalog'!$H$56+'Assumptions and Catalog'!$E$56+'Assumptions and Catalog'!$F$56,IF(L281&lt;='Assumptions and Catalog'!$C$57,L281*'Assumptions and Catalog'!$H$57+'Assumptions and Catalog'!$E$57+'Assumptions and Catalog'!$F$57,"Out of range")))))))),IF(L281&lt;='Assumptions and Catalog'!$C$60,L281*'Assumptions and Catalog'!$H$60+'Assumptions and Catalog'!$E$60+'Assumptions and Catalog'!$F$60,IF(L281&lt;='Assumptions and Catalog'!$C$61,L281*'Assumptions and Catalog'!$H$61+'Assumptions and Catalog'!$E$61+'Assumptions and Catalog'!$F$61,IF(L281&lt;='Assumptions and Catalog'!$C$62,L281*'Assumptions and Catalog'!$H$62+'Assumptions and Catalog'!$E$62+'Assumptions and Catalog'!$F$62,IF(L281&lt;='Assumptions and Catalog'!$C$63,L281*'Assumptions and Catalog'!$H$63+'Assumptions and Catalog'!$E$63+'Assumptions and Catalog'!$F$63,IF(L281&lt;='Assumptions and Catalog'!$C$64,L281*'Assumptions and Catalog'!$H$64+'Assumptions and Catalog'!$E$64+'Assumptions and Catalog'!$F$64,IF(L281&lt;='Assumptions and Catalog'!$C$65,L281*'Assumptions and Catalog'!$H$65+'Assumptions and Catalog'!$E$65+'Assumptions and Catalog'!$F$65,"Out of range")))))))))*(1+'Assumptions and Catalog'!$C$8)^(A281-1),0)</f>
        <v>5190.7826750859649</v>
      </c>
      <c r="O281" s="5">
        <f t="shared" si="18"/>
        <v>3364.1839915807022</v>
      </c>
      <c r="P281" s="5">
        <f>C$55*(1-J$14)*(1-'Assumptions and Catalog'!$C$23)^R281</f>
        <v>0</v>
      </c>
      <c r="Q281" s="5">
        <f>IF(ISNUMBER(Inputs!$L$5),(IF(Inputs!$L$9="Actual flat rate",((D281+E281)*C281-G281)*Inputs!$L$10,IF(Inputs!$C$9="Residential",IF(((D281+E281)*C281-G281)&lt;='Assumptions and Catalog'!$C$50,((D281+E281)*C281-G281)*'Assumptions and Catalog'!$H$50+'Assumptions and Catalog'!$E$50+'Assumptions and Catalog'!$F$50,IF(((D281+E281)*C281-G281)&lt;='Assumptions and Catalog'!$C$51,((D281+E281)*C281-G281)*'Assumptions and Catalog'!$H$51+'Assumptions and Catalog'!$E$51+'Assumptions and Catalog'!$F$51,IF(((D281+E281)*C281-G281)&lt;='Assumptions and Catalog'!$C$52,((D281+E281)*C281-G281)*'Assumptions and Catalog'!$H$52+'Assumptions and Catalog'!$E$52+'Assumptions and Catalog'!$F$52,IF(((D281+E281)*C281-G281)&lt;='Assumptions and Catalog'!$C$53,((D281+E281)*C281-G281)*'Assumptions and Catalog'!$H$53+'Assumptions and Catalog'!$E$53+'Assumptions and Catalog'!$F$53,IF(((D281+E281)*C281-G281)&lt;='Assumptions and Catalog'!$C$54,((D281+E281)*C281-G281)*'Assumptions and Catalog'!$H$54+'Assumptions and Catalog'!$E$54+'Assumptions and Catalog'!$F$54,IF(((D281+E281)*C281-G281)&lt;='Assumptions and Catalog'!$C$55,((D281+E281)*C281-G281)*'Assumptions and Catalog'!$H$55+'Assumptions and Catalog'!$E$55+'Assumptions and Catalog'!$F$55,IF(((D281+E281)*C281-G281)&lt;='Assumptions and Catalog'!$C$56,((D281+E281)*C281-G281)*'Assumptions and Catalog'!$H$56+'Assumptions and Catalog'!$E$56+'Assumptions and Catalog'!$F$56,IF(((D281+E281)*C281-G281)&lt;='Assumptions and Catalog'!$C$57,((D281+E281)*C281-G281)*'Assumptions and Catalog'!$H$57+'Assumptions and Catalog'!$E$57+'Assumptions and Catalog'!$F$57,"Out of range")))))))),IF(((D281+E281)*C281-G281)&lt;='Assumptions and Catalog'!$C$60,((D281+E281)*C281-G281)*'Assumptions and Catalog'!$H$60+'Assumptions and Catalog'!$E$60+'Assumptions and Catalog'!$F$60,IF(((D281+E281)*C281-G281)&lt;='Assumptions and Catalog'!$C$61,((D281+E281)*C281-G281)*'Assumptions and Catalog'!$H$61+'Assumptions and Catalog'!$E$61+'Assumptions and Catalog'!$F$61,IF(((D281+E281)*C281-G281)&lt;='Assumptions and Catalog'!$C$62,((D281+E281)*C281-G281)*'Assumptions and Catalog'!$H$62+'Assumptions and Catalog'!$E$62+'Assumptions and Catalog'!$F$62,IF(((D281+E281)*C281-G281)&lt;='Assumptions and Catalog'!$C$63,((D281+E281)*C281-G281)*'Assumptions and Catalog'!$H$63+'Assumptions and Catalog'!$E$63+'Assumptions and Catalog'!$F$63,IF(((D281+E281)*C281-G281)&lt;='Assumptions and Catalog'!$C$64,((D281+E281)*C281-G281)*'Assumptions and Catalog'!$H$64+'Assumptions and Catalog'!$E$64+'Assumptions and Catalog'!$F$64,IF(((D281+E281)*C281-G281)&lt;='Assumptions and Catalog'!$C$65,((D281+E281)*C281-G281)*'Assumptions and Catalog'!$H$65+'Assumptions and Catalog'!$E$65+'Assumptions and Catalog'!$F$65,"Out of range")))))))))*(1+'Assumptions and Catalog'!$C$8)^(A281-1),0)</f>
        <v>5190.7826750859649</v>
      </c>
      <c r="R281" s="5">
        <f>IF(AND('Assumptions and Catalog'!$C$19&gt;0,A281&gt;='Assumptions and Catalog'!$C$19),A281-'Assumptions and Catalog'!$C$19,A281-1)</f>
        <v>0</v>
      </c>
      <c r="S281" s="5">
        <f t="shared" si="19"/>
        <v>0</v>
      </c>
      <c r="T281" s="5"/>
      <c r="U281" s="5"/>
    </row>
    <row r="282" spans="1:21" ht="23.1" customHeight="1" outlineLevel="1" x14ac:dyDescent="0.2">
      <c r="A282" s="5">
        <v>11</v>
      </c>
      <c r="B282" s="5">
        <v>2</v>
      </c>
      <c r="C282" s="5">
        <f>DAY(DATE('Assumptions and Catalog'!$C$24+A282-1,B282+1,0))</f>
        <v>28</v>
      </c>
      <c r="D282" s="5">
        <f>IF(ISNUMBER(Inputs!$L$5),Inputs!$L$5*Inputs!$L$6,0)</f>
        <v>40.35</v>
      </c>
      <c r="E282" s="5">
        <f>IF(ISNUMBER(Inputs!$L$5),Inputs!$L$5-D282,0)</f>
        <v>40.35</v>
      </c>
      <c r="F282" s="5">
        <f>C$51*'Assumptions and Catalog'!$C$31*C282*(1-'Assumptions and Catalog'!$C$10)^(A282-1)</f>
        <v>888.57273716738666</v>
      </c>
      <c r="G282" s="5">
        <f t="shared" si="14"/>
        <v>888.57273716738666</v>
      </c>
      <c r="H282" s="5">
        <f>I282/('Assumptions and Catalog'!$C$11*'Assumptions and Catalog'!$C$12)</f>
        <v>0</v>
      </c>
      <c r="I282" s="5">
        <f>0</f>
        <v>0</v>
      </c>
      <c r="J282" s="5">
        <f t="shared" si="15"/>
        <v>0</v>
      </c>
      <c r="K282" s="5">
        <f t="shared" si="16"/>
        <v>0</v>
      </c>
      <c r="L282" s="5">
        <f t="shared" si="17"/>
        <v>1371.0272628326134</v>
      </c>
      <c r="M282" s="5">
        <f>IF(ISNUMBER(Inputs!$L$5),(IF(Inputs!$L$9="Actual flat rate",((D282+E282)*C282)*Inputs!$L$10,IF(Inputs!$C$9="Residential",IF(((D282+E282)*C282)&lt;='Assumptions and Catalog'!$C$50,((D282+E282)*C282)*'Assumptions and Catalog'!$H$50+'Assumptions and Catalog'!$E$50+'Assumptions and Catalog'!$F$50,IF(((D282+E282)*C282)&lt;='Assumptions and Catalog'!$C$51,((D282+E282)*C282)*'Assumptions and Catalog'!$H$51+'Assumptions and Catalog'!$E$51+'Assumptions and Catalog'!$F$51,IF(((D282+E282)*C282)&lt;='Assumptions and Catalog'!$C$52,((D282+E282)*C282)*'Assumptions and Catalog'!$H$52+'Assumptions and Catalog'!$E$52+'Assumptions and Catalog'!$F$52,IF(((D282+E282)*C282)&lt;='Assumptions and Catalog'!$C$53,((D282+E282)*C282)*'Assumptions and Catalog'!$H$53+'Assumptions and Catalog'!$E$53+'Assumptions and Catalog'!$F$53,IF(((D282+E282)*C282)&lt;='Assumptions and Catalog'!$C$54,((D282+E282)*C282)*'Assumptions and Catalog'!$H$54+'Assumptions and Catalog'!$E$54+'Assumptions and Catalog'!$F$54,IF(((D282+E282)*C282)&lt;='Assumptions and Catalog'!$C$55,((D282+E282)*C282)*'Assumptions and Catalog'!$H$55+'Assumptions and Catalog'!$E$55+'Assumptions and Catalog'!$F$55,IF(((D282+E282)*C282)&lt;='Assumptions and Catalog'!$C$56,((D282+E282)*C282)*'Assumptions and Catalog'!$H$56+'Assumptions and Catalog'!$E$56+'Assumptions and Catalog'!$F$56,IF(((D282+E282)*C282)&lt;='Assumptions and Catalog'!$C$57,((D282+E282)*C282)*'Assumptions and Catalog'!$H$57+'Assumptions and Catalog'!$E$57+'Assumptions and Catalog'!$F$57,"Out of range")))))))),IF(((D282+E282)*C282)&lt;='Assumptions and Catalog'!$C$60,((D282+E282)*C282)*'Assumptions and Catalog'!$H$60+'Assumptions and Catalog'!$E$60+'Assumptions and Catalog'!$F$60,IF(((D282+E282)*C282)&lt;='Assumptions and Catalog'!$C$61,((D282+E282)*C282)*'Assumptions and Catalog'!$H$61+'Assumptions and Catalog'!$E$61+'Assumptions and Catalog'!$F$61,IF(((D282+E282)*C282)&lt;='Assumptions and Catalog'!$C$62,((D282+E282)*C282)*'Assumptions and Catalog'!$H$62+'Assumptions and Catalog'!$E$62+'Assumptions and Catalog'!$F$62,IF(((D282+E282)*C282)&lt;='Assumptions and Catalog'!$C$63,((D282+E282)*C282)*'Assumptions and Catalog'!$H$63+'Assumptions and Catalog'!$E$63+'Assumptions and Catalog'!$F$63,IF(((D282+E282)*C282)&lt;='Assumptions and Catalog'!$C$64,((D282+E282)*C282)*'Assumptions and Catalog'!$H$64+'Assumptions and Catalog'!$E$64+'Assumptions and Catalog'!$F$64,IF(((D282+E282)*C282)&lt;='Assumptions and Catalog'!$C$65,((D282+E282)*C282)*'Assumptions and Catalog'!$H$65+'Assumptions and Catalog'!$E$65+'Assumptions and Catalog'!$F$65,"Out of range")))))))))*(1+'Assumptions and Catalog'!$C$8)^(A282-1),0)</f>
        <v>7727.0666666666657</v>
      </c>
      <c r="N282" s="5">
        <f>IF(ISNUMBER(Inputs!$L$5),(IF(Inputs!$L$9="Actual flat rate",L282*Inputs!$L$10,IF(Inputs!$C$9="Residential",IF(L282&lt;='Assumptions and Catalog'!$C$50,L282*'Assumptions and Catalog'!$H$50+'Assumptions and Catalog'!$E$50+'Assumptions and Catalog'!$F$50,IF(L282&lt;='Assumptions and Catalog'!$C$51,L282*'Assumptions and Catalog'!$H$51+'Assumptions and Catalog'!$E$51+'Assumptions and Catalog'!$F$51,IF(L282&lt;='Assumptions and Catalog'!$C$52,L282*'Assumptions and Catalog'!$H$52+'Assumptions and Catalog'!$E$52+'Assumptions and Catalog'!$F$52,IF(L282&lt;='Assumptions and Catalog'!$C$53,L282*'Assumptions and Catalog'!$H$53+'Assumptions and Catalog'!$E$53+'Assumptions and Catalog'!$F$53,IF(L282&lt;='Assumptions and Catalog'!$C$54,L282*'Assumptions and Catalog'!$H$54+'Assumptions and Catalog'!$E$54+'Assumptions and Catalog'!$F$54,IF(L282&lt;='Assumptions and Catalog'!$C$55,L282*'Assumptions and Catalog'!$H$55+'Assumptions and Catalog'!$E$55+'Assumptions and Catalog'!$F$55,IF(L282&lt;='Assumptions and Catalog'!$C$56,L282*'Assumptions and Catalog'!$H$56+'Assumptions and Catalog'!$E$56+'Assumptions and Catalog'!$F$56,IF(L282&lt;='Assumptions and Catalog'!$C$57,L282*'Assumptions and Catalog'!$H$57+'Assumptions and Catalog'!$E$57+'Assumptions and Catalog'!$F$57,"Out of range")))))))),IF(L282&lt;='Assumptions and Catalog'!$C$60,L282*'Assumptions and Catalog'!$H$60+'Assumptions and Catalog'!$E$60+'Assumptions and Catalog'!$F$60,IF(L282&lt;='Assumptions and Catalog'!$C$61,L282*'Assumptions and Catalog'!$H$61+'Assumptions and Catalog'!$E$61+'Assumptions and Catalog'!$F$61,IF(L282&lt;='Assumptions and Catalog'!$C$62,L282*'Assumptions and Catalog'!$H$62+'Assumptions and Catalog'!$E$62+'Assumptions and Catalog'!$F$62,IF(L282&lt;='Assumptions and Catalog'!$C$63,L282*'Assumptions and Catalog'!$H$63+'Assumptions and Catalog'!$E$63+'Assumptions and Catalog'!$F$63,IF(L282&lt;='Assumptions and Catalog'!$C$64,L282*'Assumptions and Catalog'!$H$64+'Assumptions and Catalog'!$E$64+'Assumptions and Catalog'!$F$64,IF(L282&lt;='Assumptions and Catalog'!$C$65,L282*'Assumptions and Catalog'!$H$65+'Assumptions and Catalog'!$E$65+'Assumptions and Catalog'!$F$65,"Out of range")))))))))*(1+'Assumptions and Catalog'!$C$8)^(A282-1),0)</f>
        <v>4688.4488678195812</v>
      </c>
      <c r="O282" s="5">
        <f t="shared" si="18"/>
        <v>3038.6177988470845</v>
      </c>
      <c r="P282" s="5">
        <f>C$55*(1-J$14)*(1-'Assumptions and Catalog'!$C$23)^R282</f>
        <v>0</v>
      </c>
      <c r="Q282" s="5">
        <f>IF(ISNUMBER(Inputs!$L$5),(IF(Inputs!$L$9="Actual flat rate",((D282+E282)*C282-G282)*Inputs!$L$10,IF(Inputs!$C$9="Residential",IF(((D282+E282)*C282-G282)&lt;='Assumptions and Catalog'!$C$50,((D282+E282)*C282-G282)*'Assumptions and Catalog'!$H$50+'Assumptions and Catalog'!$E$50+'Assumptions and Catalog'!$F$50,IF(((D282+E282)*C282-G282)&lt;='Assumptions and Catalog'!$C$51,((D282+E282)*C282-G282)*'Assumptions and Catalog'!$H$51+'Assumptions and Catalog'!$E$51+'Assumptions and Catalog'!$F$51,IF(((D282+E282)*C282-G282)&lt;='Assumptions and Catalog'!$C$52,((D282+E282)*C282-G282)*'Assumptions and Catalog'!$H$52+'Assumptions and Catalog'!$E$52+'Assumptions and Catalog'!$F$52,IF(((D282+E282)*C282-G282)&lt;='Assumptions and Catalog'!$C$53,((D282+E282)*C282-G282)*'Assumptions and Catalog'!$H$53+'Assumptions and Catalog'!$E$53+'Assumptions and Catalog'!$F$53,IF(((D282+E282)*C282-G282)&lt;='Assumptions and Catalog'!$C$54,((D282+E282)*C282-G282)*'Assumptions and Catalog'!$H$54+'Assumptions and Catalog'!$E$54+'Assumptions and Catalog'!$F$54,IF(((D282+E282)*C282-G282)&lt;='Assumptions and Catalog'!$C$55,((D282+E282)*C282-G282)*'Assumptions and Catalog'!$H$55+'Assumptions and Catalog'!$E$55+'Assumptions and Catalog'!$F$55,IF(((D282+E282)*C282-G282)&lt;='Assumptions and Catalog'!$C$56,((D282+E282)*C282-G282)*'Assumptions and Catalog'!$H$56+'Assumptions and Catalog'!$E$56+'Assumptions and Catalog'!$F$56,IF(((D282+E282)*C282-G282)&lt;='Assumptions and Catalog'!$C$57,((D282+E282)*C282-G282)*'Assumptions and Catalog'!$H$57+'Assumptions and Catalog'!$E$57+'Assumptions and Catalog'!$F$57,"Out of range")))))))),IF(((D282+E282)*C282-G282)&lt;='Assumptions and Catalog'!$C$60,((D282+E282)*C282-G282)*'Assumptions and Catalog'!$H$60+'Assumptions and Catalog'!$E$60+'Assumptions and Catalog'!$F$60,IF(((D282+E282)*C282-G282)&lt;='Assumptions and Catalog'!$C$61,((D282+E282)*C282-G282)*'Assumptions and Catalog'!$H$61+'Assumptions and Catalog'!$E$61+'Assumptions and Catalog'!$F$61,IF(((D282+E282)*C282-G282)&lt;='Assumptions and Catalog'!$C$62,((D282+E282)*C282-G282)*'Assumptions and Catalog'!$H$62+'Assumptions and Catalog'!$E$62+'Assumptions and Catalog'!$F$62,IF(((D282+E282)*C282-G282)&lt;='Assumptions and Catalog'!$C$63,((D282+E282)*C282-G282)*'Assumptions and Catalog'!$H$63+'Assumptions and Catalog'!$E$63+'Assumptions and Catalog'!$F$63,IF(((D282+E282)*C282-G282)&lt;='Assumptions and Catalog'!$C$64,((D282+E282)*C282-G282)*'Assumptions and Catalog'!$H$64+'Assumptions and Catalog'!$E$64+'Assumptions and Catalog'!$F$64,IF(((D282+E282)*C282-G282)&lt;='Assumptions and Catalog'!$C$65,((D282+E282)*C282-G282)*'Assumptions and Catalog'!$H$65+'Assumptions and Catalog'!$E$65+'Assumptions and Catalog'!$F$65,"Out of range")))))))))*(1+'Assumptions and Catalog'!$C$8)^(A282-1),0)</f>
        <v>4688.4488678195812</v>
      </c>
      <c r="R282" s="5">
        <f>IF(AND('Assumptions and Catalog'!$C$19&gt;0,A282&gt;='Assumptions and Catalog'!$C$19),A282-'Assumptions and Catalog'!$C$19,A282-1)</f>
        <v>0</v>
      </c>
      <c r="S282" s="5">
        <f t="shared" si="19"/>
        <v>0</v>
      </c>
      <c r="T282" s="5"/>
      <c r="U282" s="5"/>
    </row>
    <row r="283" spans="1:21" ht="23.1" customHeight="1" outlineLevel="1" x14ac:dyDescent="0.2">
      <c r="A283" s="5">
        <v>11</v>
      </c>
      <c r="B283" s="5">
        <v>3</v>
      </c>
      <c r="C283" s="5">
        <f>DAY(DATE('Assumptions and Catalog'!$C$24+A283-1,B283+1,0))</f>
        <v>31</v>
      </c>
      <c r="D283" s="5">
        <f>IF(ISNUMBER(Inputs!$L$5),Inputs!$L$5*Inputs!$L$6,0)</f>
        <v>40.35</v>
      </c>
      <c r="E283" s="5">
        <f>IF(ISNUMBER(Inputs!$L$5),Inputs!$L$5-D283,0)</f>
        <v>40.35</v>
      </c>
      <c r="F283" s="5">
        <f>C$51*'Assumptions and Catalog'!$C$31*C283*(1-'Assumptions and Catalog'!$C$10)^(A283-1)</f>
        <v>983.77695900674962</v>
      </c>
      <c r="G283" s="5">
        <f t="shared" si="14"/>
        <v>983.77695900674962</v>
      </c>
      <c r="H283" s="5">
        <f>I283/('Assumptions and Catalog'!$C$11*'Assumptions and Catalog'!$C$12)</f>
        <v>0</v>
      </c>
      <c r="I283" s="5">
        <f>0</f>
        <v>0</v>
      </c>
      <c r="J283" s="5">
        <f t="shared" si="15"/>
        <v>0</v>
      </c>
      <c r="K283" s="5">
        <f t="shared" si="16"/>
        <v>0</v>
      </c>
      <c r="L283" s="5">
        <f t="shared" si="17"/>
        <v>1517.9230409932507</v>
      </c>
      <c r="M283" s="5">
        <f>IF(ISNUMBER(Inputs!$L$5),(IF(Inputs!$L$9="Actual flat rate",((D283+E283)*C283)*Inputs!$L$10,IF(Inputs!$C$9="Residential",IF(((D283+E283)*C283)&lt;='Assumptions and Catalog'!$C$50,((D283+E283)*C283)*'Assumptions and Catalog'!$H$50+'Assumptions and Catalog'!$E$50+'Assumptions and Catalog'!$F$50,IF(((D283+E283)*C283)&lt;='Assumptions and Catalog'!$C$51,((D283+E283)*C283)*'Assumptions and Catalog'!$H$51+'Assumptions and Catalog'!$E$51+'Assumptions and Catalog'!$F$51,IF(((D283+E283)*C283)&lt;='Assumptions and Catalog'!$C$52,((D283+E283)*C283)*'Assumptions and Catalog'!$H$52+'Assumptions and Catalog'!$E$52+'Assumptions and Catalog'!$F$52,IF(((D283+E283)*C283)&lt;='Assumptions and Catalog'!$C$53,((D283+E283)*C283)*'Assumptions and Catalog'!$H$53+'Assumptions and Catalog'!$E$53+'Assumptions and Catalog'!$F$53,IF(((D283+E283)*C283)&lt;='Assumptions and Catalog'!$C$54,((D283+E283)*C283)*'Assumptions and Catalog'!$H$54+'Assumptions and Catalog'!$E$54+'Assumptions and Catalog'!$F$54,IF(((D283+E283)*C283)&lt;='Assumptions and Catalog'!$C$55,((D283+E283)*C283)*'Assumptions and Catalog'!$H$55+'Assumptions and Catalog'!$E$55+'Assumptions and Catalog'!$F$55,IF(((D283+E283)*C283)&lt;='Assumptions and Catalog'!$C$56,((D283+E283)*C283)*'Assumptions and Catalog'!$H$56+'Assumptions and Catalog'!$E$56+'Assumptions and Catalog'!$F$56,IF(((D283+E283)*C283)&lt;='Assumptions and Catalog'!$C$57,((D283+E283)*C283)*'Assumptions and Catalog'!$H$57+'Assumptions and Catalog'!$E$57+'Assumptions and Catalog'!$F$57,"Out of range")))))))),IF(((D283+E283)*C283)&lt;='Assumptions and Catalog'!$C$60,((D283+E283)*C283)*'Assumptions and Catalog'!$H$60+'Assumptions and Catalog'!$E$60+'Assumptions and Catalog'!$F$60,IF(((D283+E283)*C283)&lt;='Assumptions and Catalog'!$C$61,((D283+E283)*C283)*'Assumptions and Catalog'!$H$61+'Assumptions and Catalog'!$E$61+'Assumptions and Catalog'!$F$61,IF(((D283+E283)*C283)&lt;='Assumptions and Catalog'!$C$62,((D283+E283)*C283)*'Assumptions and Catalog'!$H$62+'Assumptions and Catalog'!$E$62+'Assumptions and Catalog'!$F$62,IF(((D283+E283)*C283)&lt;='Assumptions and Catalog'!$C$63,((D283+E283)*C283)*'Assumptions and Catalog'!$H$63+'Assumptions and Catalog'!$E$63+'Assumptions and Catalog'!$F$63,IF(((D283+E283)*C283)&lt;='Assumptions and Catalog'!$C$64,((D283+E283)*C283)*'Assumptions and Catalog'!$H$64+'Assumptions and Catalog'!$E$64+'Assumptions and Catalog'!$F$64,IF(((D283+E283)*C283)&lt;='Assumptions and Catalog'!$C$65,((D283+E283)*C283)*'Assumptions and Catalog'!$H$65+'Assumptions and Catalog'!$E$65+'Assumptions and Catalog'!$F$65,"Out of range")))))))))*(1+'Assumptions and Catalog'!$C$8)^(A283-1),0)</f>
        <v>8554.9666666666672</v>
      </c>
      <c r="N283" s="5">
        <f>IF(ISNUMBER(Inputs!$L$5),(IF(Inputs!$L$9="Actual flat rate",L283*Inputs!$L$10,IF(Inputs!$C$9="Residential",IF(L283&lt;='Assumptions and Catalog'!$C$50,L283*'Assumptions and Catalog'!$H$50+'Assumptions and Catalog'!$E$50+'Assumptions and Catalog'!$F$50,IF(L283&lt;='Assumptions and Catalog'!$C$51,L283*'Assumptions and Catalog'!$H$51+'Assumptions and Catalog'!$E$51+'Assumptions and Catalog'!$F$51,IF(L283&lt;='Assumptions and Catalog'!$C$52,L283*'Assumptions and Catalog'!$H$52+'Assumptions and Catalog'!$E$52+'Assumptions and Catalog'!$F$52,IF(L283&lt;='Assumptions and Catalog'!$C$53,L283*'Assumptions and Catalog'!$H$53+'Assumptions and Catalog'!$E$53+'Assumptions and Catalog'!$F$53,IF(L283&lt;='Assumptions and Catalog'!$C$54,L283*'Assumptions and Catalog'!$H$54+'Assumptions and Catalog'!$E$54+'Assumptions and Catalog'!$F$54,IF(L283&lt;='Assumptions and Catalog'!$C$55,L283*'Assumptions and Catalog'!$H$55+'Assumptions and Catalog'!$E$55+'Assumptions and Catalog'!$F$55,IF(L283&lt;='Assumptions and Catalog'!$C$56,L283*'Assumptions and Catalog'!$H$56+'Assumptions and Catalog'!$E$56+'Assumptions and Catalog'!$F$56,IF(L283&lt;='Assumptions and Catalog'!$C$57,L283*'Assumptions and Catalog'!$H$57+'Assumptions and Catalog'!$E$57+'Assumptions and Catalog'!$F$57,"Out of range")))))))),IF(L283&lt;='Assumptions and Catalog'!$C$60,L283*'Assumptions and Catalog'!$H$60+'Assumptions and Catalog'!$E$60+'Assumptions and Catalog'!$F$60,IF(L283&lt;='Assumptions and Catalog'!$C$61,L283*'Assumptions and Catalog'!$H$61+'Assumptions and Catalog'!$E$61+'Assumptions and Catalog'!$F$61,IF(L283&lt;='Assumptions and Catalog'!$C$62,L283*'Assumptions and Catalog'!$H$62+'Assumptions and Catalog'!$E$62+'Assumptions and Catalog'!$F$62,IF(L283&lt;='Assumptions and Catalog'!$C$63,L283*'Assumptions and Catalog'!$H$63+'Assumptions and Catalog'!$E$63+'Assumptions and Catalog'!$F$63,IF(L283&lt;='Assumptions and Catalog'!$C$64,L283*'Assumptions and Catalog'!$H$64+'Assumptions and Catalog'!$E$64+'Assumptions and Catalog'!$F$64,IF(L283&lt;='Assumptions and Catalog'!$C$65,L283*'Assumptions and Catalog'!$H$65+'Assumptions and Catalog'!$E$65+'Assumptions and Catalog'!$F$65,"Out of range")))))))))*(1+'Assumptions and Catalog'!$C$8)^(A283-1),0)</f>
        <v>5190.7826750859649</v>
      </c>
      <c r="O283" s="5">
        <f t="shared" si="18"/>
        <v>3364.1839915807022</v>
      </c>
      <c r="P283" s="5">
        <f>C$55*(1-J$14)*(1-'Assumptions and Catalog'!$C$23)^R283</f>
        <v>0</v>
      </c>
      <c r="Q283" s="5">
        <f>IF(ISNUMBER(Inputs!$L$5),(IF(Inputs!$L$9="Actual flat rate",((D283+E283)*C283-G283)*Inputs!$L$10,IF(Inputs!$C$9="Residential",IF(((D283+E283)*C283-G283)&lt;='Assumptions and Catalog'!$C$50,((D283+E283)*C283-G283)*'Assumptions and Catalog'!$H$50+'Assumptions and Catalog'!$E$50+'Assumptions and Catalog'!$F$50,IF(((D283+E283)*C283-G283)&lt;='Assumptions and Catalog'!$C$51,((D283+E283)*C283-G283)*'Assumptions and Catalog'!$H$51+'Assumptions and Catalog'!$E$51+'Assumptions and Catalog'!$F$51,IF(((D283+E283)*C283-G283)&lt;='Assumptions and Catalog'!$C$52,((D283+E283)*C283-G283)*'Assumptions and Catalog'!$H$52+'Assumptions and Catalog'!$E$52+'Assumptions and Catalog'!$F$52,IF(((D283+E283)*C283-G283)&lt;='Assumptions and Catalog'!$C$53,((D283+E283)*C283-G283)*'Assumptions and Catalog'!$H$53+'Assumptions and Catalog'!$E$53+'Assumptions and Catalog'!$F$53,IF(((D283+E283)*C283-G283)&lt;='Assumptions and Catalog'!$C$54,((D283+E283)*C283-G283)*'Assumptions and Catalog'!$H$54+'Assumptions and Catalog'!$E$54+'Assumptions and Catalog'!$F$54,IF(((D283+E283)*C283-G283)&lt;='Assumptions and Catalog'!$C$55,((D283+E283)*C283-G283)*'Assumptions and Catalog'!$H$55+'Assumptions and Catalog'!$E$55+'Assumptions and Catalog'!$F$55,IF(((D283+E283)*C283-G283)&lt;='Assumptions and Catalog'!$C$56,((D283+E283)*C283-G283)*'Assumptions and Catalog'!$H$56+'Assumptions and Catalog'!$E$56+'Assumptions and Catalog'!$F$56,IF(((D283+E283)*C283-G283)&lt;='Assumptions and Catalog'!$C$57,((D283+E283)*C283-G283)*'Assumptions and Catalog'!$H$57+'Assumptions and Catalog'!$E$57+'Assumptions and Catalog'!$F$57,"Out of range")))))))),IF(((D283+E283)*C283-G283)&lt;='Assumptions and Catalog'!$C$60,((D283+E283)*C283-G283)*'Assumptions and Catalog'!$H$60+'Assumptions and Catalog'!$E$60+'Assumptions and Catalog'!$F$60,IF(((D283+E283)*C283-G283)&lt;='Assumptions and Catalog'!$C$61,((D283+E283)*C283-G283)*'Assumptions and Catalog'!$H$61+'Assumptions and Catalog'!$E$61+'Assumptions and Catalog'!$F$61,IF(((D283+E283)*C283-G283)&lt;='Assumptions and Catalog'!$C$62,((D283+E283)*C283-G283)*'Assumptions and Catalog'!$H$62+'Assumptions and Catalog'!$E$62+'Assumptions and Catalog'!$F$62,IF(((D283+E283)*C283-G283)&lt;='Assumptions and Catalog'!$C$63,((D283+E283)*C283-G283)*'Assumptions and Catalog'!$H$63+'Assumptions and Catalog'!$E$63+'Assumptions and Catalog'!$F$63,IF(((D283+E283)*C283-G283)&lt;='Assumptions and Catalog'!$C$64,((D283+E283)*C283-G283)*'Assumptions and Catalog'!$H$64+'Assumptions and Catalog'!$E$64+'Assumptions and Catalog'!$F$64,IF(((D283+E283)*C283-G283)&lt;='Assumptions and Catalog'!$C$65,((D283+E283)*C283-G283)*'Assumptions and Catalog'!$H$65+'Assumptions and Catalog'!$E$65+'Assumptions and Catalog'!$F$65,"Out of range")))))))))*(1+'Assumptions and Catalog'!$C$8)^(A283-1),0)</f>
        <v>5190.7826750859649</v>
      </c>
      <c r="R283" s="5">
        <f>IF(AND('Assumptions and Catalog'!$C$19&gt;0,A283&gt;='Assumptions and Catalog'!$C$19),A283-'Assumptions and Catalog'!$C$19,A283-1)</f>
        <v>0</v>
      </c>
      <c r="S283" s="5">
        <f t="shared" si="19"/>
        <v>0</v>
      </c>
      <c r="T283" s="5"/>
      <c r="U283" s="5"/>
    </row>
    <row r="284" spans="1:21" ht="23.1" customHeight="1" outlineLevel="1" x14ac:dyDescent="0.2">
      <c r="A284" s="5">
        <v>11</v>
      </c>
      <c r="B284" s="5">
        <v>4</v>
      </c>
      <c r="C284" s="5">
        <f>DAY(DATE('Assumptions and Catalog'!$C$24+A284-1,B284+1,0))</f>
        <v>30</v>
      </c>
      <c r="D284" s="5">
        <f>IF(ISNUMBER(Inputs!$L$5),Inputs!$L$5*Inputs!$L$6,0)</f>
        <v>40.35</v>
      </c>
      <c r="E284" s="5">
        <f>IF(ISNUMBER(Inputs!$L$5),Inputs!$L$5-D284,0)</f>
        <v>40.35</v>
      </c>
      <c r="F284" s="5">
        <f>C$51*'Assumptions and Catalog'!$C$31*C284*(1-'Assumptions and Catalog'!$C$10)^(A284-1)</f>
        <v>952.04221839362867</v>
      </c>
      <c r="G284" s="5">
        <f t="shared" si="14"/>
        <v>952.04221839362867</v>
      </c>
      <c r="H284" s="5">
        <f>I284/('Assumptions and Catalog'!$C$11*'Assumptions and Catalog'!$C$12)</f>
        <v>0</v>
      </c>
      <c r="I284" s="5">
        <f>0</f>
        <v>0</v>
      </c>
      <c r="J284" s="5">
        <f t="shared" si="15"/>
        <v>0</v>
      </c>
      <c r="K284" s="5">
        <f t="shared" si="16"/>
        <v>0</v>
      </c>
      <c r="L284" s="5">
        <f t="shared" si="17"/>
        <v>1468.9577816063713</v>
      </c>
      <c r="M284" s="5">
        <f>IF(ISNUMBER(Inputs!$L$5),(IF(Inputs!$L$9="Actual flat rate",((D284+E284)*C284)*Inputs!$L$10,IF(Inputs!$C$9="Residential",IF(((D284+E284)*C284)&lt;='Assumptions and Catalog'!$C$50,((D284+E284)*C284)*'Assumptions and Catalog'!$H$50+'Assumptions and Catalog'!$E$50+'Assumptions and Catalog'!$F$50,IF(((D284+E284)*C284)&lt;='Assumptions and Catalog'!$C$51,((D284+E284)*C284)*'Assumptions and Catalog'!$H$51+'Assumptions and Catalog'!$E$51+'Assumptions and Catalog'!$F$51,IF(((D284+E284)*C284)&lt;='Assumptions and Catalog'!$C$52,((D284+E284)*C284)*'Assumptions and Catalog'!$H$52+'Assumptions and Catalog'!$E$52+'Assumptions and Catalog'!$F$52,IF(((D284+E284)*C284)&lt;='Assumptions and Catalog'!$C$53,((D284+E284)*C284)*'Assumptions and Catalog'!$H$53+'Assumptions and Catalog'!$E$53+'Assumptions and Catalog'!$F$53,IF(((D284+E284)*C284)&lt;='Assumptions and Catalog'!$C$54,((D284+E284)*C284)*'Assumptions and Catalog'!$H$54+'Assumptions and Catalog'!$E$54+'Assumptions and Catalog'!$F$54,IF(((D284+E284)*C284)&lt;='Assumptions and Catalog'!$C$55,((D284+E284)*C284)*'Assumptions and Catalog'!$H$55+'Assumptions and Catalog'!$E$55+'Assumptions and Catalog'!$F$55,IF(((D284+E284)*C284)&lt;='Assumptions and Catalog'!$C$56,((D284+E284)*C284)*'Assumptions and Catalog'!$H$56+'Assumptions and Catalog'!$E$56+'Assumptions and Catalog'!$F$56,IF(((D284+E284)*C284)&lt;='Assumptions and Catalog'!$C$57,((D284+E284)*C284)*'Assumptions and Catalog'!$H$57+'Assumptions and Catalog'!$E$57+'Assumptions and Catalog'!$F$57,"Out of range")))))))),IF(((D284+E284)*C284)&lt;='Assumptions and Catalog'!$C$60,((D284+E284)*C284)*'Assumptions and Catalog'!$H$60+'Assumptions and Catalog'!$E$60+'Assumptions and Catalog'!$F$60,IF(((D284+E284)*C284)&lt;='Assumptions and Catalog'!$C$61,((D284+E284)*C284)*'Assumptions and Catalog'!$H$61+'Assumptions and Catalog'!$E$61+'Assumptions and Catalog'!$F$61,IF(((D284+E284)*C284)&lt;='Assumptions and Catalog'!$C$62,((D284+E284)*C284)*'Assumptions and Catalog'!$H$62+'Assumptions and Catalog'!$E$62+'Assumptions and Catalog'!$F$62,IF(((D284+E284)*C284)&lt;='Assumptions and Catalog'!$C$63,((D284+E284)*C284)*'Assumptions and Catalog'!$H$63+'Assumptions and Catalog'!$E$63+'Assumptions and Catalog'!$F$63,IF(((D284+E284)*C284)&lt;='Assumptions and Catalog'!$C$64,((D284+E284)*C284)*'Assumptions and Catalog'!$H$64+'Assumptions and Catalog'!$E$64+'Assumptions and Catalog'!$F$64,IF(((D284+E284)*C284)&lt;='Assumptions and Catalog'!$C$65,((D284+E284)*C284)*'Assumptions and Catalog'!$H$65+'Assumptions and Catalog'!$E$65+'Assumptions and Catalog'!$F$65,"Out of range")))))))))*(1+'Assumptions and Catalog'!$C$8)^(A284-1),0)</f>
        <v>8279</v>
      </c>
      <c r="N284" s="5">
        <f>IF(ISNUMBER(Inputs!$L$5),(IF(Inputs!$L$9="Actual flat rate",L284*Inputs!$L$10,IF(Inputs!$C$9="Residential",IF(L284&lt;='Assumptions and Catalog'!$C$50,L284*'Assumptions and Catalog'!$H$50+'Assumptions and Catalog'!$E$50+'Assumptions and Catalog'!$F$50,IF(L284&lt;='Assumptions and Catalog'!$C$51,L284*'Assumptions and Catalog'!$H$51+'Assumptions and Catalog'!$E$51+'Assumptions and Catalog'!$F$51,IF(L284&lt;='Assumptions and Catalog'!$C$52,L284*'Assumptions and Catalog'!$H$52+'Assumptions and Catalog'!$E$52+'Assumptions and Catalog'!$F$52,IF(L284&lt;='Assumptions and Catalog'!$C$53,L284*'Assumptions and Catalog'!$H$53+'Assumptions and Catalog'!$E$53+'Assumptions and Catalog'!$F$53,IF(L284&lt;='Assumptions and Catalog'!$C$54,L284*'Assumptions and Catalog'!$H$54+'Assumptions and Catalog'!$E$54+'Assumptions and Catalog'!$F$54,IF(L284&lt;='Assumptions and Catalog'!$C$55,L284*'Assumptions and Catalog'!$H$55+'Assumptions and Catalog'!$E$55+'Assumptions and Catalog'!$F$55,IF(L284&lt;='Assumptions and Catalog'!$C$56,L284*'Assumptions and Catalog'!$H$56+'Assumptions and Catalog'!$E$56+'Assumptions and Catalog'!$F$56,IF(L284&lt;='Assumptions and Catalog'!$C$57,L284*'Assumptions and Catalog'!$H$57+'Assumptions and Catalog'!$E$57+'Assumptions and Catalog'!$F$57,"Out of range")))))))),IF(L284&lt;='Assumptions and Catalog'!$C$60,L284*'Assumptions and Catalog'!$H$60+'Assumptions and Catalog'!$E$60+'Assumptions and Catalog'!$F$60,IF(L284&lt;='Assumptions and Catalog'!$C$61,L284*'Assumptions and Catalog'!$H$61+'Assumptions and Catalog'!$E$61+'Assumptions and Catalog'!$F$61,IF(L284&lt;='Assumptions and Catalog'!$C$62,L284*'Assumptions and Catalog'!$H$62+'Assumptions and Catalog'!$E$62+'Assumptions and Catalog'!$F$62,IF(L284&lt;='Assumptions and Catalog'!$C$63,L284*'Assumptions and Catalog'!$H$63+'Assumptions and Catalog'!$E$63+'Assumptions and Catalog'!$F$63,IF(L284&lt;='Assumptions and Catalog'!$C$64,L284*'Assumptions and Catalog'!$H$64+'Assumptions and Catalog'!$E$64+'Assumptions and Catalog'!$F$64,IF(L284&lt;='Assumptions and Catalog'!$C$65,L284*'Assumptions and Catalog'!$H$65+'Assumptions and Catalog'!$E$65+'Assumptions and Catalog'!$F$65,"Out of range")))))))))*(1+'Assumptions and Catalog'!$C$8)^(A284-1),0)</f>
        <v>5023.3380726638361</v>
      </c>
      <c r="O284" s="5">
        <f t="shared" si="18"/>
        <v>3255.6619273361639</v>
      </c>
      <c r="P284" s="5">
        <f>C$55*(1-J$14)*(1-'Assumptions and Catalog'!$C$23)^R284</f>
        <v>0</v>
      </c>
      <c r="Q284" s="5">
        <f>IF(ISNUMBER(Inputs!$L$5),(IF(Inputs!$L$9="Actual flat rate",((D284+E284)*C284-G284)*Inputs!$L$10,IF(Inputs!$C$9="Residential",IF(((D284+E284)*C284-G284)&lt;='Assumptions and Catalog'!$C$50,((D284+E284)*C284-G284)*'Assumptions and Catalog'!$H$50+'Assumptions and Catalog'!$E$50+'Assumptions and Catalog'!$F$50,IF(((D284+E284)*C284-G284)&lt;='Assumptions and Catalog'!$C$51,((D284+E284)*C284-G284)*'Assumptions and Catalog'!$H$51+'Assumptions and Catalog'!$E$51+'Assumptions and Catalog'!$F$51,IF(((D284+E284)*C284-G284)&lt;='Assumptions and Catalog'!$C$52,((D284+E284)*C284-G284)*'Assumptions and Catalog'!$H$52+'Assumptions and Catalog'!$E$52+'Assumptions and Catalog'!$F$52,IF(((D284+E284)*C284-G284)&lt;='Assumptions and Catalog'!$C$53,((D284+E284)*C284-G284)*'Assumptions and Catalog'!$H$53+'Assumptions and Catalog'!$E$53+'Assumptions and Catalog'!$F$53,IF(((D284+E284)*C284-G284)&lt;='Assumptions and Catalog'!$C$54,((D284+E284)*C284-G284)*'Assumptions and Catalog'!$H$54+'Assumptions and Catalog'!$E$54+'Assumptions and Catalog'!$F$54,IF(((D284+E284)*C284-G284)&lt;='Assumptions and Catalog'!$C$55,((D284+E284)*C284-G284)*'Assumptions and Catalog'!$H$55+'Assumptions and Catalog'!$E$55+'Assumptions and Catalog'!$F$55,IF(((D284+E284)*C284-G284)&lt;='Assumptions and Catalog'!$C$56,((D284+E284)*C284-G284)*'Assumptions and Catalog'!$H$56+'Assumptions and Catalog'!$E$56+'Assumptions and Catalog'!$F$56,IF(((D284+E284)*C284-G284)&lt;='Assumptions and Catalog'!$C$57,((D284+E284)*C284-G284)*'Assumptions and Catalog'!$H$57+'Assumptions and Catalog'!$E$57+'Assumptions and Catalog'!$F$57,"Out of range")))))))),IF(((D284+E284)*C284-G284)&lt;='Assumptions and Catalog'!$C$60,((D284+E284)*C284-G284)*'Assumptions and Catalog'!$H$60+'Assumptions and Catalog'!$E$60+'Assumptions and Catalog'!$F$60,IF(((D284+E284)*C284-G284)&lt;='Assumptions and Catalog'!$C$61,((D284+E284)*C284-G284)*'Assumptions and Catalog'!$H$61+'Assumptions and Catalog'!$E$61+'Assumptions and Catalog'!$F$61,IF(((D284+E284)*C284-G284)&lt;='Assumptions and Catalog'!$C$62,((D284+E284)*C284-G284)*'Assumptions and Catalog'!$H$62+'Assumptions and Catalog'!$E$62+'Assumptions and Catalog'!$F$62,IF(((D284+E284)*C284-G284)&lt;='Assumptions and Catalog'!$C$63,((D284+E284)*C284-G284)*'Assumptions and Catalog'!$H$63+'Assumptions and Catalog'!$E$63+'Assumptions and Catalog'!$F$63,IF(((D284+E284)*C284-G284)&lt;='Assumptions and Catalog'!$C$64,((D284+E284)*C284-G284)*'Assumptions and Catalog'!$H$64+'Assumptions and Catalog'!$E$64+'Assumptions and Catalog'!$F$64,IF(((D284+E284)*C284-G284)&lt;='Assumptions and Catalog'!$C$65,((D284+E284)*C284-G284)*'Assumptions and Catalog'!$H$65+'Assumptions and Catalog'!$E$65+'Assumptions and Catalog'!$F$65,"Out of range")))))))))*(1+'Assumptions and Catalog'!$C$8)^(A284-1),0)</f>
        <v>5023.3380726638361</v>
      </c>
      <c r="R284" s="5">
        <f>IF(AND('Assumptions and Catalog'!$C$19&gt;0,A284&gt;='Assumptions and Catalog'!$C$19),A284-'Assumptions and Catalog'!$C$19,A284-1)</f>
        <v>0</v>
      </c>
      <c r="S284" s="5">
        <f t="shared" si="19"/>
        <v>0</v>
      </c>
      <c r="T284" s="5"/>
      <c r="U284" s="5"/>
    </row>
    <row r="285" spans="1:21" ht="23.1" customHeight="1" outlineLevel="1" x14ac:dyDescent="0.2">
      <c r="A285" s="5">
        <v>11</v>
      </c>
      <c r="B285" s="5">
        <v>5</v>
      </c>
      <c r="C285" s="5">
        <f>DAY(DATE('Assumptions and Catalog'!$C$24+A285-1,B285+1,0))</f>
        <v>31</v>
      </c>
      <c r="D285" s="5">
        <f>IF(ISNUMBER(Inputs!$L$5),Inputs!$L$5*Inputs!$L$6,0)</f>
        <v>40.35</v>
      </c>
      <c r="E285" s="5">
        <f>IF(ISNUMBER(Inputs!$L$5),Inputs!$L$5-D285,0)</f>
        <v>40.35</v>
      </c>
      <c r="F285" s="5">
        <f>C$51*'Assumptions and Catalog'!$C$31*C285*(1-'Assumptions and Catalog'!$C$10)^(A285-1)</f>
        <v>983.77695900674962</v>
      </c>
      <c r="G285" s="5">
        <f t="shared" si="14"/>
        <v>983.77695900674962</v>
      </c>
      <c r="H285" s="5">
        <f>I285/('Assumptions and Catalog'!$C$11*'Assumptions and Catalog'!$C$12)</f>
        <v>0</v>
      </c>
      <c r="I285" s="5">
        <f>0</f>
        <v>0</v>
      </c>
      <c r="J285" s="5">
        <f t="shared" si="15"/>
        <v>0</v>
      </c>
      <c r="K285" s="5">
        <f t="shared" si="16"/>
        <v>0</v>
      </c>
      <c r="L285" s="5">
        <f t="shared" si="17"/>
        <v>1517.9230409932507</v>
      </c>
      <c r="M285" s="5">
        <f>IF(ISNUMBER(Inputs!$L$5),(IF(Inputs!$L$9="Actual flat rate",((D285+E285)*C285)*Inputs!$L$10,IF(Inputs!$C$9="Residential",IF(((D285+E285)*C285)&lt;='Assumptions and Catalog'!$C$50,((D285+E285)*C285)*'Assumptions and Catalog'!$H$50+'Assumptions and Catalog'!$E$50+'Assumptions and Catalog'!$F$50,IF(((D285+E285)*C285)&lt;='Assumptions and Catalog'!$C$51,((D285+E285)*C285)*'Assumptions and Catalog'!$H$51+'Assumptions and Catalog'!$E$51+'Assumptions and Catalog'!$F$51,IF(((D285+E285)*C285)&lt;='Assumptions and Catalog'!$C$52,((D285+E285)*C285)*'Assumptions and Catalog'!$H$52+'Assumptions and Catalog'!$E$52+'Assumptions and Catalog'!$F$52,IF(((D285+E285)*C285)&lt;='Assumptions and Catalog'!$C$53,((D285+E285)*C285)*'Assumptions and Catalog'!$H$53+'Assumptions and Catalog'!$E$53+'Assumptions and Catalog'!$F$53,IF(((D285+E285)*C285)&lt;='Assumptions and Catalog'!$C$54,((D285+E285)*C285)*'Assumptions and Catalog'!$H$54+'Assumptions and Catalog'!$E$54+'Assumptions and Catalog'!$F$54,IF(((D285+E285)*C285)&lt;='Assumptions and Catalog'!$C$55,((D285+E285)*C285)*'Assumptions and Catalog'!$H$55+'Assumptions and Catalog'!$E$55+'Assumptions and Catalog'!$F$55,IF(((D285+E285)*C285)&lt;='Assumptions and Catalog'!$C$56,((D285+E285)*C285)*'Assumptions and Catalog'!$H$56+'Assumptions and Catalog'!$E$56+'Assumptions and Catalog'!$F$56,IF(((D285+E285)*C285)&lt;='Assumptions and Catalog'!$C$57,((D285+E285)*C285)*'Assumptions and Catalog'!$H$57+'Assumptions and Catalog'!$E$57+'Assumptions and Catalog'!$F$57,"Out of range")))))))),IF(((D285+E285)*C285)&lt;='Assumptions and Catalog'!$C$60,((D285+E285)*C285)*'Assumptions and Catalog'!$H$60+'Assumptions and Catalog'!$E$60+'Assumptions and Catalog'!$F$60,IF(((D285+E285)*C285)&lt;='Assumptions and Catalog'!$C$61,((D285+E285)*C285)*'Assumptions and Catalog'!$H$61+'Assumptions and Catalog'!$E$61+'Assumptions and Catalog'!$F$61,IF(((D285+E285)*C285)&lt;='Assumptions and Catalog'!$C$62,((D285+E285)*C285)*'Assumptions and Catalog'!$H$62+'Assumptions and Catalog'!$E$62+'Assumptions and Catalog'!$F$62,IF(((D285+E285)*C285)&lt;='Assumptions and Catalog'!$C$63,((D285+E285)*C285)*'Assumptions and Catalog'!$H$63+'Assumptions and Catalog'!$E$63+'Assumptions and Catalog'!$F$63,IF(((D285+E285)*C285)&lt;='Assumptions and Catalog'!$C$64,((D285+E285)*C285)*'Assumptions and Catalog'!$H$64+'Assumptions and Catalog'!$E$64+'Assumptions and Catalog'!$F$64,IF(((D285+E285)*C285)&lt;='Assumptions and Catalog'!$C$65,((D285+E285)*C285)*'Assumptions and Catalog'!$H$65+'Assumptions and Catalog'!$E$65+'Assumptions and Catalog'!$F$65,"Out of range")))))))))*(1+'Assumptions and Catalog'!$C$8)^(A285-1),0)</f>
        <v>8554.9666666666672</v>
      </c>
      <c r="N285" s="5">
        <f>IF(ISNUMBER(Inputs!$L$5),(IF(Inputs!$L$9="Actual flat rate",L285*Inputs!$L$10,IF(Inputs!$C$9="Residential",IF(L285&lt;='Assumptions and Catalog'!$C$50,L285*'Assumptions and Catalog'!$H$50+'Assumptions and Catalog'!$E$50+'Assumptions and Catalog'!$F$50,IF(L285&lt;='Assumptions and Catalog'!$C$51,L285*'Assumptions and Catalog'!$H$51+'Assumptions and Catalog'!$E$51+'Assumptions and Catalog'!$F$51,IF(L285&lt;='Assumptions and Catalog'!$C$52,L285*'Assumptions and Catalog'!$H$52+'Assumptions and Catalog'!$E$52+'Assumptions and Catalog'!$F$52,IF(L285&lt;='Assumptions and Catalog'!$C$53,L285*'Assumptions and Catalog'!$H$53+'Assumptions and Catalog'!$E$53+'Assumptions and Catalog'!$F$53,IF(L285&lt;='Assumptions and Catalog'!$C$54,L285*'Assumptions and Catalog'!$H$54+'Assumptions and Catalog'!$E$54+'Assumptions and Catalog'!$F$54,IF(L285&lt;='Assumptions and Catalog'!$C$55,L285*'Assumptions and Catalog'!$H$55+'Assumptions and Catalog'!$E$55+'Assumptions and Catalog'!$F$55,IF(L285&lt;='Assumptions and Catalog'!$C$56,L285*'Assumptions and Catalog'!$H$56+'Assumptions and Catalog'!$E$56+'Assumptions and Catalog'!$F$56,IF(L285&lt;='Assumptions and Catalog'!$C$57,L285*'Assumptions and Catalog'!$H$57+'Assumptions and Catalog'!$E$57+'Assumptions and Catalog'!$F$57,"Out of range")))))))),IF(L285&lt;='Assumptions and Catalog'!$C$60,L285*'Assumptions and Catalog'!$H$60+'Assumptions and Catalog'!$E$60+'Assumptions and Catalog'!$F$60,IF(L285&lt;='Assumptions and Catalog'!$C$61,L285*'Assumptions and Catalog'!$H$61+'Assumptions and Catalog'!$E$61+'Assumptions and Catalog'!$F$61,IF(L285&lt;='Assumptions and Catalog'!$C$62,L285*'Assumptions and Catalog'!$H$62+'Assumptions and Catalog'!$E$62+'Assumptions and Catalog'!$F$62,IF(L285&lt;='Assumptions and Catalog'!$C$63,L285*'Assumptions and Catalog'!$H$63+'Assumptions and Catalog'!$E$63+'Assumptions and Catalog'!$F$63,IF(L285&lt;='Assumptions and Catalog'!$C$64,L285*'Assumptions and Catalog'!$H$64+'Assumptions and Catalog'!$E$64+'Assumptions and Catalog'!$F$64,IF(L285&lt;='Assumptions and Catalog'!$C$65,L285*'Assumptions and Catalog'!$H$65+'Assumptions and Catalog'!$E$65+'Assumptions and Catalog'!$F$65,"Out of range")))))))))*(1+'Assumptions and Catalog'!$C$8)^(A285-1),0)</f>
        <v>5190.7826750859649</v>
      </c>
      <c r="O285" s="5">
        <f t="shared" si="18"/>
        <v>3364.1839915807022</v>
      </c>
      <c r="P285" s="5">
        <f>C$55*(1-J$14)*(1-'Assumptions and Catalog'!$C$23)^R285</f>
        <v>0</v>
      </c>
      <c r="Q285" s="5">
        <f>IF(ISNUMBER(Inputs!$L$5),(IF(Inputs!$L$9="Actual flat rate",((D285+E285)*C285-G285)*Inputs!$L$10,IF(Inputs!$C$9="Residential",IF(((D285+E285)*C285-G285)&lt;='Assumptions and Catalog'!$C$50,((D285+E285)*C285-G285)*'Assumptions and Catalog'!$H$50+'Assumptions and Catalog'!$E$50+'Assumptions and Catalog'!$F$50,IF(((D285+E285)*C285-G285)&lt;='Assumptions and Catalog'!$C$51,((D285+E285)*C285-G285)*'Assumptions and Catalog'!$H$51+'Assumptions and Catalog'!$E$51+'Assumptions and Catalog'!$F$51,IF(((D285+E285)*C285-G285)&lt;='Assumptions and Catalog'!$C$52,((D285+E285)*C285-G285)*'Assumptions and Catalog'!$H$52+'Assumptions and Catalog'!$E$52+'Assumptions and Catalog'!$F$52,IF(((D285+E285)*C285-G285)&lt;='Assumptions and Catalog'!$C$53,((D285+E285)*C285-G285)*'Assumptions and Catalog'!$H$53+'Assumptions and Catalog'!$E$53+'Assumptions and Catalog'!$F$53,IF(((D285+E285)*C285-G285)&lt;='Assumptions and Catalog'!$C$54,((D285+E285)*C285-G285)*'Assumptions and Catalog'!$H$54+'Assumptions and Catalog'!$E$54+'Assumptions and Catalog'!$F$54,IF(((D285+E285)*C285-G285)&lt;='Assumptions and Catalog'!$C$55,((D285+E285)*C285-G285)*'Assumptions and Catalog'!$H$55+'Assumptions and Catalog'!$E$55+'Assumptions and Catalog'!$F$55,IF(((D285+E285)*C285-G285)&lt;='Assumptions and Catalog'!$C$56,((D285+E285)*C285-G285)*'Assumptions and Catalog'!$H$56+'Assumptions and Catalog'!$E$56+'Assumptions and Catalog'!$F$56,IF(((D285+E285)*C285-G285)&lt;='Assumptions and Catalog'!$C$57,((D285+E285)*C285-G285)*'Assumptions and Catalog'!$H$57+'Assumptions and Catalog'!$E$57+'Assumptions and Catalog'!$F$57,"Out of range")))))))),IF(((D285+E285)*C285-G285)&lt;='Assumptions and Catalog'!$C$60,((D285+E285)*C285-G285)*'Assumptions and Catalog'!$H$60+'Assumptions and Catalog'!$E$60+'Assumptions and Catalog'!$F$60,IF(((D285+E285)*C285-G285)&lt;='Assumptions and Catalog'!$C$61,((D285+E285)*C285-G285)*'Assumptions and Catalog'!$H$61+'Assumptions and Catalog'!$E$61+'Assumptions and Catalog'!$F$61,IF(((D285+E285)*C285-G285)&lt;='Assumptions and Catalog'!$C$62,((D285+E285)*C285-G285)*'Assumptions and Catalog'!$H$62+'Assumptions and Catalog'!$E$62+'Assumptions and Catalog'!$F$62,IF(((D285+E285)*C285-G285)&lt;='Assumptions and Catalog'!$C$63,((D285+E285)*C285-G285)*'Assumptions and Catalog'!$H$63+'Assumptions and Catalog'!$E$63+'Assumptions and Catalog'!$F$63,IF(((D285+E285)*C285-G285)&lt;='Assumptions and Catalog'!$C$64,((D285+E285)*C285-G285)*'Assumptions and Catalog'!$H$64+'Assumptions and Catalog'!$E$64+'Assumptions and Catalog'!$F$64,IF(((D285+E285)*C285-G285)&lt;='Assumptions and Catalog'!$C$65,((D285+E285)*C285-G285)*'Assumptions and Catalog'!$H$65+'Assumptions and Catalog'!$E$65+'Assumptions and Catalog'!$F$65,"Out of range")))))))))*(1+'Assumptions and Catalog'!$C$8)^(A285-1),0)</f>
        <v>5190.7826750859649</v>
      </c>
      <c r="R285" s="5">
        <f>IF(AND('Assumptions and Catalog'!$C$19&gt;0,A285&gt;='Assumptions and Catalog'!$C$19),A285-'Assumptions and Catalog'!$C$19,A285-1)</f>
        <v>0</v>
      </c>
      <c r="S285" s="5">
        <f t="shared" si="19"/>
        <v>0</v>
      </c>
      <c r="T285" s="5"/>
      <c r="U285" s="5"/>
    </row>
    <row r="286" spans="1:21" ht="23.1" customHeight="1" outlineLevel="1" x14ac:dyDescent="0.2">
      <c r="A286" s="5">
        <v>11</v>
      </c>
      <c r="B286" s="5">
        <v>6</v>
      </c>
      <c r="C286" s="5">
        <f>DAY(DATE('Assumptions and Catalog'!$C$24+A286-1,B286+1,0))</f>
        <v>30</v>
      </c>
      <c r="D286" s="5">
        <f>IF(ISNUMBER(Inputs!$L$5),Inputs!$L$5*Inputs!$L$6,0)</f>
        <v>40.35</v>
      </c>
      <c r="E286" s="5">
        <f>IF(ISNUMBER(Inputs!$L$5),Inputs!$L$5-D286,0)</f>
        <v>40.35</v>
      </c>
      <c r="F286" s="5">
        <f>C$51*'Assumptions and Catalog'!$C$31*C286*(1-'Assumptions and Catalog'!$C$10)^(A286-1)</f>
        <v>952.04221839362867</v>
      </c>
      <c r="G286" s="5">
        <f t="shared" si="14"/>
        <v>952.04221839362867</v>
      </c>
      <c r="H286" s="5">
        <f>I286/('Assumptions and Catalog'!$C$11*'Assumptions and Catalog'!$C$12)</f>
        <v>0</v>
      </c>
      <c r="I286" s="5">
        <f>0</f>
        <v>0</v>
      </c>
      <c r="J286" s="5">
        <f t="shared" si="15"/>
        <v>0</v>
      </c>
      <c r="K286" s="5">
        <f t="shared" si="16"/>
        <v>0</v>
      </c>
      <c r="L286" s="5">
        <f t="shared" si="17"/>
        <v>1468.9577816063713</v>
      </c>
      <c r="M286" s="5">
        <f>IF(ISNUMBER(Inputs!$L$5),(IF(Inputs!$L$9="Actual flat rate",((D286+E286)*C286)*Inputs!$L$10,IF(Inputs!$C$9="Residential",IF(((D286+E286)*C286)&lt;='Assumptions and Catalog'!$C$50,((D286+E286)*C286)*'Assumptions and Catalog'!$H$50+'Assumptions and Catalog'!$E$50+'Assumptions and Catalog'!$F$50,IF(((D286+E286)*C286)&lt;='Assumptions and Catalog'!$C$51,((D286+E286)*C286)*'Assumptions and Catalog'!$H$51+'Assumptions and Catalog'!$E$51+'Assumptions and Catalog'!$F$51,IF(((D286+E286)*C286)&lt;='Assumptions and Catalog'!$C$52,((D286+E286)*C286)*'Assumptions and Catalog'!$H$52+'Assumptions and Catalog'!$E$52+'Assumptions and Catalog'!$F$52,IF(((D286+E286)*C286)&lt;='Assumptions and Catalog'!$C$53,((D286+E286)*C286)*'Assumptions and Catalog'!$H$53+'Assumptions and Catalog'!$E$53+'Assumptions and Catalog'!$F$53,IF(((D286+E286)*C286)&lt;='Assumptions and Catalog'!$C$54,((D286+E286)*C286)*'Assumptions and Catalog'!$H$54+'Assumptions and Catalog'!$E$54+'Assumptions and Catalog'!$F$54,IF(((D286+E286)*C286)&lt;='Assumptions and Catalog'!$C$55,((D286+E286)*C286)*'Assumptions and Catalog'!$H$55+'Assumptions and Catalog'!$E$55+'Assumptions and Catalog'!$F$55,IF(((D286+E286)*C286)&lt;='Assumptions and Catalog'!$C$56,((D286+E286)*C286)*'Assumptions and Catalog'!$H$56+'Assumptions and Catalog'!$E$56+'Assumptions and Catalog'!$F$56,IF(((D286+E286)*C286)&lt;='Assumptions and Catalog'!$C$57,((D286+E286)*C286)*'Assumptions and Catalog'!$H$57+'Assumptions and Catalog'!$E$57+'Assumptions and Catalog'!$F$57,"Out of range")))))))),IF(((D286+E286)*C286)&lt;='Assumptions and Catalog'!$C$60,((D286+E286)*C286)*'Assumptions and Catalog'!$H$60+'Assumptions and Catalog'!$E$60+'Assumptions and Catalog'!$F$60,IF(((D286+E286)*C286)&lt;='Assumptions and Catalog'!$C$61,((D286+E286)*C286)*'Assumptions and Catalog'!$H$61+'Assumptions and Catalog'!$E$61+'Assumptions and Catalog'!$F$61,IF(((D286+E286)*C286)&lt;='Assumptions and Catalog'!$C$62,((D286+E286)*C286)*'Assumptions and Catalog'!$H$62+'Assumptions and Catalog'!$E$62+'Assumptions and Catalog'!$F$62,IF(((D286+E286)*C286)&lt;='Assumptions and Catalog'!$C$63,((D286+E286)*C286)*'Assumptions and Catalog'!$H$63+'Assumptions and Catalog'!$E$63+'Assumptions and Catalog'!$F$63,IF(((D286+E286)*C286)&lt;='Assumptions and Catalog'!$C$64,((D286+E286)*C286)*'Assumptions and Catalog'!$H$64+'Assumptions and Catalog'!$E$64+'Assumptions and Catalog'!$F$64,IF(((D286+E286)*C286)&lt;='Assumptions and Catalog'!$C$65,((D286+E286)*C286)*'Assumptions and Catalog'!$H$65+'Assumptions and Catalog'!$E$65+'Assumptions and Catalog'!$F$65,"Out of range")))))))))*(1+'Assumptions and Catalog'!$C$8)^(A286-1),0)</f>
        <v>8279</v>
      </c>
      <c r="N286" s="5">
        <f>IF(ISNUMBER(Inputs!$L$5),(IF(Inputs!$L$9="Actual flat rate",L286*Inputs!$L$10,IF(Inputs!$C$9="Residential",IF(L286&lt;='Assumptions and Catalog'!$C$50,L286*'Assumptions and Catalog'!$H$50+'Assumptions and Catalog'!$E$50+'Assumptions and Catalog'!$F$50,IF(L286&lt;='Assumptions and Catalog'!$C$51,L286*'Assumptions and Catalog'!$H$51+'Assumptions and Catalog'!$E$51+'Assumptions and Catalog'!$F$51,IF(L286&lt;='Assumptions and Catalog'!$C$52,L286*'Assumptions and Catalog'!$H$52+'Assumptions and Catalog'!$E$52+'Assumptions and Catalog'!$F$52,IF(L286&lt;='Assumptions and Catalog'!$C$53,L286*'Assumptions and Catalog'!$H$53+'Assumptions and Catalog'!$E$53+'Assumptions and Catalog'!$F$53,IF(L286&lt;='Assumptions and Catalog'!$C$54,L286*'Assumptions and Catalog'!$H$54+'Assumptions and Catalog'!$E$54+'Assumptions and Catalog'!$F$54,IF(L286&lt;='Assumptions and Catalog'!$C$55,L286*'Assumptions and Catalog'!$H$55+'Assumptions and Catalog'!$E$55+'Assumptions and Catalog'!$F$55,IF(L286&lt;='Assumptions and Catalog'!$C$56,L286*'Assumptions and Catalog'!$H$56+'Assumptions and Catalog'!$E$56+'Assumptions and Catalog'!$F$56,IF(L286&lt;='Assumptions and Catalog'!$C$57,L286*'Assumptions and Catalog'!$H$57+'Assumptions and Catalog'!$E$57+'Assumptions and Catalog'!$F$57,"Out of range")))))))),IF(L286&lt;='Assumptions and Catalog'!$C$60,L286*'Assumptions and Catalog'!$H$60+'Assumptions and Catalog'!$E$60+'Assumptions and Catalog'!$F$60,IF(L286&lt;='Assumptions and Catalog'!$C$61,L286*'Assumptions and Catalog'!$H$61+'Assumptions and Catalog'!$E$61+'Assumptions and Catalog'!$F$61,IF(L286&lt;='Assumptions and Catalog'!$C$62,L286*'Assumptions and Catalog'!$H$62+'Assumptions and Catalog'!$E$62+'Assumptions and Catalog'!$F$62,IF(L286&lt;='Assumptions and Catalog'!$C$63,L286*'Assumptions and Catalog'!$H$63+'Assumptions and Catalog'!$E$63+'Assumptions and Catalog'!$F$63,IF(L286&lt;='Assumptions and Catalog'!$C$64,L286*'Assumptions and Catalog'!$H$64+'Assumptions and Catalog'!$E$64+'Assumptions and Catalog'!$F$64,IF(L286&lt;='Assumptions and Catalog'!$C$65,L286*'Assumptions and Catalog'!$H$65+'Assumptions and Catalog'!$E$65+'Assumptions and Catalog'!$F$65,"Out of range")))))))))*(1+'Assumptions and Catalog'!$C$8)^(A286-1),0)</f>
        <v>5023.3380726638361</v>
      </c>
      <c r="O286" s="5">
        <f t="shared" si="18"/>
        <v>3255.6619273361639</v>
      </c>
      <c r="P286" s="5">
        <f>C$55*(1-J$14)*(1-'Assumptions and Catalog'!$C$23)^R286</f>
        <v>0</v>
      </c>
      <c r="Q286" s="5">
        <f>IF(ISNUMBER(Inputs!$L$5),(IF(Inputs!$L$9="Actual flat rate",((D286+E286)*C286-G286)*Inputs!$L$10,IF(Inputs!$C$9="Residential",IF(((D286+E286)*C286-G286)&lt;='Assumptions and Catalog'!$C$50,((D286+E286)*C286-G286)*'Assumptions and Catalog'!$H$50+'Assumptions and Catalog'!$E$50+'Assumptions and Catalog'!$F$50,IF(((D286+E286)*C286-G286)&lt;='Assumptions and Catalog'!$C$51,((D286+E286)*C286-G286)*'Assumptions and Catalog'!$H$51+'Assumptions and Catalog'!$E$51+'Assumptions and Catalog'!$F$51,IF(((D286+E286)*C286-G286)&lt;='Assumptions and Catalog'!$C$52,((D286+E286)*C286-G286)*'Assumptions and Catalog'!$H$52+'Assumptions and Catalog'!$E$52+'Assumptions and Catalog'!$F$52,IF(((D286+E286)*C286-G286)&lt;='Assumptions and Catalog'!$C$53,((D286+E286)*C286-G286)*'Assumptions and Catalog'!$H$53+'Assumptions and Catalog'!$E$53+'Assumptions and Catalog'!$F$53,IF(((D286+E286)*C286-G286)&lt;='Assumptions and Catalog'!$C$54,((D286+E286)*C286-G286)*'Assumptions and Catalog'!$H$54+'Assumptions and Catalog'!$E$54+'Assumptions and Catalog'!$F$54,IF(((D286+E286)*C286-G286)&lt;='Assumptions and Catalog'!$C$55,((D286+E286)*C286-G286)*'Assumptions and Catalog'!$H$55+'Assumptions and Catalog'!$E$55+'Assumptions and Catalog'!$F$55,IF(((D286+E286)*C286-G286)&lt;='Assumptions and Catalog'!$C$56,((D286+E286)*C286-G286)*'Assumptions and Catalog'!$H$56+'Assumptions and Catalog'!$E$56+'Assumptions and Catalog'!$F$56,IF(((D286+E286)*C286-G286)&lt;='Assumptions and Catalog'!$C$57,((D286+E286)*C286-G286)*'Assumptions and Catalog'!$H$57+'Assumptions and Catalog'!$E$57+'Assumptions and Catalog'!$F$57,"Out of range")))))))),IF(((D286+E286)*C286-G286)&lt;='Assumptions and Catalog'!$C$60,((D286+E286)*C286-G286)*'Assumptions and Catalog'!$H$60+'Assumptions and Catalog'!$E$60+'Assumptions and Catalog'!$F$60,IF(((D286+E286)*C286-G286)&lt;='Assumptions and Catalog'!$C$61,((D286+E286)*C286-G286)*'Assumptions and Catalog'!$H$61+'Assumptions and Catalog'!$E$61+'Assumptions and Catalog'!$F$61,IF(((D286+E286)*C286-G286)&lt;='Assumptions and Catalog'!$C$62,((D286+E286)*C286-G286)*'Assumptions and Catalog'!$H$62+'Assumptions and Catalog'!$E$62+'Assumptions and Catalog'!$F$62,IF(((D286+E286)*C286-G286)&lt;='Assumptions and Catalog'!$C$63,((D286+E286)*C286-G286)*'Assumptions and Catalog'!$H$63+'Assumptions and Catalog'!$E$63+'Assumptions and Catalog'!$F$63,IF(((D286+E286)*C286-G286)&lt;='Assumptions and Catalog'!$C$64,((D286+E286)*C286-G286)*'Assumptions and Catalog'!$H$64+'Assumptions and Catalog'!$E$64+'Assumptions and Catalog'!$F$64,IF(((D286+E286)*C286-G286)&lt;='Assumptions and Catalog'!$C$65,((D286+E286)*C286-G286)*'Assumptions and Catalog'!$H$65+'Assumptions and Catalog'!$E$65+'Assumptions and Catalog'!$F$65,"Out of range")))))))))*(1+'Assumptions and Catalog'!$C$8)^(A286-1),0)</f>
        <v>5023.3380726638361</v>
      </c>
      <c r="R286" s="5">
        <f>IF(AND('Assumptions and Catalog'!$C$19&gt;0,A286&gt;='Assumptions and Catalog'!$C$19),A286-'Assumptions and Catalog'!$C$19,A286-1)</f>
        <v>0</v>
      </c>
      <c r="S286" s="5">
        <f t="shared" si="19"/>
        <v>0</v>
      </c>
      <c r="T286" s="5"/>
      <c r="U286" s="5"/>
    </row>
    <row r="287" spans="1:21" ht="23.1" customHeight="1" outlineLevel="1" x14ac:dyDescent="0.2">
      <c r="A287" s="5">
        <v>11</v>
      </c>
      <c r="B287" s="5">
        <v>7</v>
      </c>
      <c r="C287" s="5">
        <f>DAY(DATE('Assumptions and Catalog'!$C$24+A287-1,B287+1,0))</f>
        <v>31</v>
      </c>
      <c r="D287" s="5">
        <f>IF(ISNUMBER(Inputs!$L$5),Inputs!$L$5*Inputs!$L$6,0)</f>
        <v>40.35</v>
      </c>
      <c r="E287" s="5">
        <f>IF(ISNUMBER(Inputs!$L$5),Inputs!$L$5-D287,0)</f>
        <v>40.35</v>
      </c>
      <c r="F287" s="5">
        <f>C$51*'Assumptions and Catalog'!$C$31*C287*(1-'Assumptions and Catalog'!$C$10)^(A287-1)</f>
        <v>983.77695900674962</v>
      </c>
      <c r="G287" s="5">
        <f t="shared" si="14"/>
        <v>983.77695900674962</v>
      </c>
      <c r="H287" s="5">
        <f>I287/('Assumptions and Catalog'!$C$11*'Assumptions and Catalog'!$C$12)</f>
        <v>0</v>
      </c>
      <c r="I287" s="5">
        <f>0</f>
        <v>0</v>
      </c>
      <c r="J287" s="5">
        <f t="shared" si="15"/>
        <v>0</v>
      </c>
      <c r="K287" s="5">
        <f t="shared" si="16"/>
        <v>0</v>
      </c>
      <c r="L287" s="5">
        <f t="shared" si="17"/>
        <v>1517.9230409932507</v>
      </c>
      <c r="M287" s="5">
        <f>IF(ISNUMBER(Inputs!$L$5),(IF(Inputs!$L$9="Actual flat rate",((D287+E287)*C287)*Inputs!$L$10,IF(Inputs!$C$9="Residential",IF(((D287+E287)*C287)&lt;='Assumptions and Catalog'!$C$50,((D287+E287)*C287)*'Assumptions and Catalog'!$H$50+'Assumptions and Catalog'!$E$50+'Assumptions and Catalog'!$F$50,IF(((D287+E287)*C287)&lt;='Assumptions and Catalog'!$C$51,((D287+E287)*C287)*'Assumptions and Catalog'!$H$51+'Assumptions and Catalog'!$E$51+'Assumptions and Catalog'!$F$51,IF(((D287+E287)*C287)&lt;='Assumptions and Catalog'!$C$52,((D287+E287)*C287)*'Assumptions and Catalog'!$H$52+'Assumptions and Catalog'!$E$52+'Assumptions and Catalog'!$F$52,IF(((D287+E287)*C287)&lt;='Assumptions and Catalog'!$C$53,((D287+E287)*C287)*'Assumptions and Catalog'!$H$53+'Assumptions and Catalog'!$E$53+'Assumptions and Catalog'!$F$53,IF(((D287+E287)*C287)&lt;='Assumptions and Catalog'!$C$54,((D287+E287)*C287)*'Assumptions and Catalog'!$H$54+'Assumptions and Catalog'!$E$54+'Assumptions and Catalog'!$F$54,IF(((D287+E287)*C287)&lt;='Assumptions and Catalog'!$C$55,((D287+E287)*C287)*'Assumptions and Catalog'!$H$55+'Assumptions and Catalog'!$E$55+'Assumptions and Catalog'!$F$55,IF(((D287+E287)*C287)&lt;='Assumptions and Catalog'!$C$56,((D287+E287)*C287)*'Assumptions and Catalog'!$H$56+'Assumptions and Catalog'!$E$56+'Assumptions and Catalog'!$F$56,IF(((D287+E287)*C287)&lt;='Assumptions and Catalog'!$C$57,((D287+E287)*C287)*'Assumptions and Catalog'!$H$57+'Assumptions and Catalog'!$E$57+'Assumptions and Catalog'!$F$57,"Out of range")))))))),IF(((D287+E287)*C287)&lt;='Assumptions and Catalog'!$C$60,((D287+E287)*C287)*'Assumptions and Catalog'!$H$60+'Assumptions and Catalog'!$E$60+'Assumptions and Catalog'!$F$60,IF(((D287+E287)*C287)&lt;='Assumptions and Catalog'!$C$61,((D287+E287)*C287)*'Assumptions and Catalog'!$H$61+'Assumptions and Catalog'!$E$61+'Assumptions and Catalog'!$F$61,IF(((D287+E287)*C287)&lt;='Assumptions and Catalog'!$C$62,((D287+E287)*C287)*'Assumptions and Catalog'!$H$62+'Assumptions and Catalog'!$E$62+'Assumptions and Catalog'!$F$62,IF(((D287+E287)*C287)&lt;='Assumptions and Catalog'!$C$63,((D287+E287)*C287)*'Assumptions and Catalog'!$H$63+'Assumptions and Catalog'!$E$63+'Assumptions and Catalog'!$F$63,IF(((D287+E287)*C287)&lt;='Assumptions and Catalog'!$C$64,((D287+E287)*C287)*'Assumptions and Catalog'!$H$64+'Assumptions and Catalog'!$E$64+'Assumptions and Catalog'!$F$64,IF(((D287+E287)*C287)&lt;='Assumptions and Catalog'!$C$65,((D287+E287)*C287)*'Assumptions and Catalog'!$H$65+'Assumptions and Catalog'!$E$65+'Assumptions and Catalog'!$F$65,"Out of range")))))))))*(1+'Assumptions and Catalog'!$C$8)^(A287-1),0)</f>
        <v>8554.9666666666672</v>
      </c>
      <c r="N287" s="5">
        <f>IF(ISNUMBER(Inputs!$L$5),(IF(Inputs!$L$9="Actual flat rate",L287*Inputs!$L$10,IF(Inputs!$C$9="Residential",IF(L287&lt;='Assumptions and Catalog'!$C$50,L287*'Assumptions and Catalog'!$H$50+'Assumptions and Catalog'!$E$50+'Assumptions and Catalog'!$F$50,IF(L287&lt;='Assumptions and Catalog'!$C$51,L287*'Assumptions and Catalog'!$H$51+'Assumptions and Catalog'!$E$51+'Assumptions and Catalog'!$F$51,IF(L287&lt;='Assumptions and Catalog'!$C$52,L287*'Assumptions and Catalog'!$H$52+'Assumptions and Catalog'!$E$52+'Assumptions and Catalog'!$F$52,IF(L287&lt;='Assumptions and Catalog'!$C$53,L287*'Assumptions and Catalog'!$H$53+'Assumptions and Catalog'!$E$53+'Assumptions and Catalog'!$F$53,IF(L287&lt;='Assumptions and Catalog'!$C$54,L287*'Assumptions and Catalog'!$H$54+'Assumptions and Catalog'!$E$54+'Assumptions and Catalog'!$F$54,IF(L287&lt;='Assumptions and Catalog'!$C$55,L287*'Assumptions and Catalog'!$H$55+'Assumptions and Catalog'!$E$55+'Assumptions and Catalog'!$F$55,IF(L287&lt;='Assumptions and Catalog'!$C$56,L287*'Assumptions and Catalog'!$H$56+'Assumptions and Catalog'!$E$56+'Assumptions and Catalog'!$F$56,IF(L287&lt;='Assumptions and Catalog'!$C$57,L287*'Assumptions and Catalog'!$H$57+'Assumptions and Catalog'!$E$57+'Assumptions and Catalog'!$F$57,"Out of range")))))))),IF(L287&lt;='Assumptions and Catalog'!$C$60,L287*'Assumptions and Catalog'!$H$60+'Assumptions and Catalog'!$E$60+'Assumptions and Catalog'!$F$60,IF(L287&lt;='Assumptions and Catalog'!$C$61,L287*'Assumptions and Catalog'!$H$61+'Assumptions and Catalog'!$E$61+'Assumptions and Catalog'!$F$61,IF(L287&lt;='Assumptions and Catalog'!$C$62,L287*'Assumptions and Catalog'!$H$62+'Assumptions and Catalog'!$E$62+'Assumptions and Catalog'!$F$62,IF(L287&lt;='Assumptions and Catalog'!$C$63,L287*'Assumptions and Catalog'!$H$63+'Assumptions and Catalog'!$E$63+'Assumptions and Catalog'!$F$63,IF(L287&lt;='Assumptions and Catalog'!$C$64,L287*'Assumptions and Catalog'!$H$64+'Assumptions and Catalog'!$E$64+'Assumptions and Catalog'!$F$64,IF(L287&lt;='Assumptions and Catalog'!$C$65,L287*'Assumptions and Catalog'!$H$65+'Assumptions and Catalog'!$E$65+'Assumptions and Catalog'!$F$65,"Out of range")))))))))*(1+'Assumptions and Catalog'!$C$8)^(A287-1),0)</f>
        <v>5190.7826750859649</v>
      </c>
      <c r="O287" s="5">
        <f t="shared" si="18"/>
        <v>3364.1839915807022</v>
      </c>
      <c r="P287" s="5">
        <f>C$55*(1-J$14)*(1-'Assumptions and Catalog'!$C$23)^R287</f>
        <v>0</v>
      </c>
      <c r="Q287" s="5">
        <f>IF(ISNUMBER(Inputs!$L$5),(IF(Inputs!$L$9="Actual flat rate",((D287+E287)*C287-G287)*Inputs!$L$10,IF(Inputs!$C$9="Residential",IF(((D287+E287)*C287-G287)&lt;='Assumptions and Catalog'!$C$50,((D287+E287)*C287-G287)*'Assumptions and Catalog'!$H$50+'Assumptions and Catalog'!$E$50+'Assumptions and Catalog'!$F$50,IF(((D287+E287)*C287-G287)&lt;='Assumptions and Catalog'!$C$51,((D287+E287)*C287-G287)*'Assumptions and Catalog'!$H$51+'Assumptions and Catalog'!$E$51+'Assumptions and Catalog'!$F$51,IF(((D287+E287)*C287-G287)&lt;='Assumptions and Catalog'!$C$52,((D287+E287)*C287-G287)*'Assumptions and Catalog'!$H$52+'Assumptions and Catalog'!$E$52+'Assumptions and Catalog'!$F$52,IF(((D287+E287)*C287-G287)&lt;='Assumptions and Catalog'!$C$53,((D287+E287)*C287-G287)*'Assumptions and Catalog'!$H$53+'Assumptions and Catalog'!$E$53+'Assumptions and Catalog'!$F$53,IF(((D287+E287)*C287-G287)&lt;='Assumptions and Catalog'!$C$54,((D287+E287)*C287-G287)*'Assumptions and Catalog'!$H$54+'Assumptions and Catalog'!$E$54+'Assumptions and Catalog'!$F$54,IF(((D287+E287)*C287-G287)&lt;='Assumptions and Catalog'!$C$55,((D287+E287)*C287-G287)*'Assumptions and Catalog'!$H$55+'Assumptions and Catalog'!$E$55+'Assumptions and Catalog'!$F$55,IF(((D287+E287)*C287-G287)&lt;='Assumptions and Catalog'!$C$56,((D287+E287)*C287-G287)*'Assumptions and Catalog'!$H$56+'Assumptions and Catalog'!$E$56+'Assumptions and Catalog'!$F$56,IF(((D287+E287)*C287-G287)&lt;='Assumptions and Catalog'!$C$57,((D287+E287)*C287-G287)*'Assumptions and Catalog'!$H$57+'Assumptions and Catalog'!$E$57+'Assumptions and Catalog'!$F$57,"Out of range")))))))),IF(((D287+E287)*C287-G287)&lt;='Assumptions and Catalog'!$C$60,((D287+E287)*C287-G287)*'Assumptions and Catalog'!$H$60+'Assumptions and Catalog'!$E$60+'Assumptions and Catalog'!$F$60,IF(((D287+E287)*C287-G287)&lt;='Assumptions and Catalog'!$C$61,((D287+E287)*C287-G287)*'Assumptions and Catalog'!$H$61+'Assumptions and Catalog'!$E$61+'Assumptions and Catalog'!$F$61,IF(((D287+E287)*C287-G287)&lt;='Assumptions and Catalog'!$C$62,((D287+E287)*C287-G287)*'Assumptions and Catalog'!$H$62+'Assumptions and Catalog'!$E$62+'Assumptions and Catalog'!$F$62,IF(((D287+E287)*C287-G287)&lt;='Assumptions and Catalog'!$C$63,((D287+E287)*C287-G287)*'Assumptions and Catalog'!$H$63+'Assumptions and Catalog'!$E$63+'Assumptions and Catalog'!$F$63,IF(((D287+E287)*C287-G287)&lt;='Assumptions and Catalog'!$C$64,((D287+E287)*C287-G287)*'Assumptions and Catalog'!$H$64+'Assumptions and Catalog'!$E$64+'Assumptions and Catalog'!$F$64,IF(((D287+E287)*C287-G287)&lt;='Assumptions and Catalog'!$C$65,((D287+E287)*C287-G287)*'Assumptions and Catalog'!$H$65+'Assumptions and Catalog'!$E$65+'Assumptions and Catalog'!$F$65,"Out of range")))))))))*(1+'Assumptions and Catalog'!$C$8)^(A287-1),0)</f>
        <v>5190.7826750859649</v>
      </c>
      <c r="R287" s="5">
        <f>IF(AND('Assumptions and Catalog'!$C$19&gt;0,A287&gt;='Assumptions and Catalog'!$C$19),A287-'Assumptions and Catalog'!$C$19,A287-1)</f>
        <v>0</v>
      </c>
      <c r="S287" s="5">
        <f t="shared" si="19"/>
        <v>0</v>
      </c>
      <c r="T287" s="5"/>
      <c r="U287" s="5"/>
    </row>
    <row r="288" spans="1:21" ht="23.1" customHeight="1" outlineLevel="1" x14ac:dyDescent="0.2">
      <c r="A288" s="5">
        <v>11</v>
      </c>
      <c r="B288" s="5">
        <v>8</v>
      </c>
      <c r="C288" s="5">
        <f>DAY(DATE('Assumptions and Catalog'!$C$24+A288-1,B288+1,0))</f>
        <v>31</v>
      </c>
      <c r="D288" s="5">
        <f>IF(ISNUMBER(Inputs!$L$5),Inputs!$L$5*Inputs!$L$6,0)</f>
        <v>40.35</v>
      </c>
      <c r="E288" s="5">
        <f>IF(ISNUMBER(Inputs!$L$5),Inputs!$L$5-D288,0)</f>
        <v>40.35</v>
      </c>
      <c r="F288" s="5">
        <f>C$51*'Assumptions and Catalog'!$C$31*C288*(1-'Assumptions and Catalog'!$C$10)^(A288-1)</f>
        <v>983.77695900674962</v>
      </c>
      <c r="G288" s="5">
        <f t="shared" si="14"/>
        <v>983.77695900674962</v>
      </c>
      <c r="H288" s="5">
        <f>I288/('Assumptions and Catalog'!$C$11*'Assumptions and Catalog'!$C$12)</f>
        <v>0</v>
      </c>
      <c r="I288" s="5">
        <f>0</f>
        <v>0</v>
      </c>
      <c r="J288" s="5">
        <f t="shared" si="15"/>
        <v>0</v>
      </c>
      <c r="K288" s="5">
        <f t="shared" si="16"/>
        <v>0</v>
      </c>
      <c r="L288" s="5">
        <f t="shared" si="17"/>
        <v>1517.9230409932507</v>
      </c>
      <c r="M288" s="5">
        <f>IF(ISNUMBER(Inputs!$L$5),(IF(Inputs!$L$9="Actual flat rate",((D288+E288)*C288)*Inputs!$L$10,IF(Inputs!$C$9="Residential",IF(((D288+E288)*C288)&lt;='Assumptions and Catalog'!$C$50,((D288+E288)*C288)*'Assumptions and Catalog'!$H$50+'Assumptions and Catalog'!$E$50+'Assumptions and Catalog'!$F$50,IF(((D288+E288)*C288)&lt;='Assumptions and Catalog'!$C$51,((D288+E288)*C288)*'Assumptions and Catalog'!$H$51+'Assumptions and Catalog'!$E$51+'Assumptions and Catalog'!$F$51,IF(((D288+E288)*C288)&lt;='Assumptions and Catalog'!$C$52,((D288+E288)*C288)*'Assumptions and Catalog'!$H$52+'Assumptions and Catalog'!$E$52+'Assumptions and Catalog'!$F$52,IF(((D288+E288)*C288)&lt;='Assumptions and Catalog'!$C$53,((D288+E288)*C288)*'Assumptions and Catalog'!$H$53+'Assumptions and Catalog'!$E$53+'Assumptions and Catalog'!$F$53,IF(((D288+E288)*C288)&lt;='Assumptions and Catalog'!$C$54,((D288+E288)*C288)*'Assumptions and Catalog'!$H$54+'Assumptions and Catalog'!$E$54+'Assumptions and Catalog'!$F$54,IF(((D288+E288)*C288)&lt;='Assumptions and Catalog'!$C$55,((D288+E288)*C288)*'Assumptions and Catalog'!$H$55+'Assumptions and Catalog'!$E$55+'Assumptions and Catalog'!$F$55,IF(((D288+E288)*C288)&lt;='Assumptions and Catalog'!$C$56,((D288+E288)*C288)*'Assumptions and Catalog'!$H$56+'Assumptions and Catalog'!$E$56+'Assumptions and Catalog'!$F$56,IF(((D288+E288)*C288)&lt;='Assumptions and Catalog'!$C$57,((D288+E288)*C288)*'Assumptions and Catalog'!$H$57+'Assumptions and Catalog'!$E$57+'Assumptions and Catalog'!$F$57,"Out of range")))))))),IF(((D288+E288)*C288)&lt;='Assumptions and Catalog'!$C$60,((D288+E288)*C288)*'Assumptions and Catalog'!$H$60+'Assumptions and Catalog'!$E$60+'Assumptions and Catalog'!$F$60,IF(((D288+E288)*C288)&lt;='Assumptions and Catalog'!$C$61,((D288+E288)*C288)*'Assumptions and Catalog'!$H$61+'Assumptions and Catalog'!$E$61+'Assumptions and Catalog'!$F$61,IF(((D288+E288)*C288)&lt;='Assumptions and Catalog'!$C$62,((D288+E288)*C288)*'Assumptions and Catalog'!$H$62+'Assumptions and Catalog'!$E$62+'Assumptions and Catalog'!$F$62,IF(((D288+E288)*C288)&lt;='Assumptions and Catalog'!$C$63,((D288+E288)*C288)*'Assumptions and Catalog'!$H$63+'Assumptions and Catalog'!$E$63+'Assumptions and Catalog'!$F$63,IF(((D288+E288)*C288)&lt;='Assumptions and Catalog'!$C$64,((D288+E288)*C288)*'Assumptions and Catalog'!$H$64+'Assumptions and Catalog'!$E$64+'Assumptions and Catalog'!$F$64,IF(((D288+E288)*C288)&lt;='Assumptions and Catalog'!$C$65,((D288+E288)*C288)*'Assumptions and Catalog'!$H$65+'Assumptions and Catalog'!$E$65+'Assumptions and Catalog'!$F$65,"Out of range")))))))))*(1+'Assumptions and Catalog'!$C$8)^(A288-1),0)</f>
        <v>8554.9666666666672</v>
      </c>
      <c r="N288" s="5">
        <f>IF(ISNUMBER(Inputs!$L$5),(IF(Inputs!$L$9="Actual flat rate",L288*Inputs!$L$10,IF(Inputs!$C$9="Residential",IF(L288&lt;='Assumptions and Catalog'!$C$50,L288*'Assumptions and Catalog'!$H$50+'Assumptions and Catalog'!$E$50+'Assumptions and Catalog'!$F$50,IF(L288&lt;='Assumptions and Catalog'!$C$51,L288*'Assumptions and Catalog'!$H$51+'Assumptions and Catalog'!$E$51+'Assumptions and Catalog'!$F$51,IF(L288&lt;='Assumptions and Catalog'!$C$52,L288*'Assumptions and Catalog'!$H$52+'Assumptions and Catalog'!$E$52+'Assumptions and Catalog'!$F$52,IF(L288&lt;='Assumptions and Catalog'!$C$53,L288*'Assumptions and Catalog'!$H$53+'Assumptions and Catalog'!$E$53+'Assumptions and Catalog'!$F$53,IF(L288&lt;='Assumptions and Catalog'!$C$54,L288*'Assumptions and Catalog'!$H$54+'Assumptions and Catalog'!$E$54+'Assumptions and Catalog'!$F$54,IF(L288&lt;='Assumptions and Catalog'!$C$55,L288*'Assumptions and Catalog'!$H$55+'Assumptions and Catalog'!$E$55+'Assumptions and Catalog'!$F$55,IF(L288&lt;='Assumptions and Catalog'!$C$56,L288*'Assumptions and Catalog'!$H$56+'Assumptions and Catalog'!$E$56+'Assumptions and Catalog'!$F$56,IF(L288&lt;='Assumptions and Catalog'!$C$57,L288*'Assumptions and Catalog'!$H$57+'Assumptions and Catalog'!$E$57+'Assumptions and Catalog'!$F$57,"Out of range")))))))),IF(L288&lt;='Assumptions and Catalog'!$C$60,L288*'Assumptions and Catalog'!$H$60+'Assumptions and Catalog'!$E$60+'Assumptions and Catalog'!$F$60,IF(L288&lt;='Assumptions and Catalog'!$C$61,L288*'Assumptions and Catalog'!$H$61+'Assumptions and Catalog'!$E$61+'Assumptions and Catalog'!$F$61,IF(L288&lt;='Assumptions and Catalog'!$C$62,L288*'Assumptions and Catalog'!$H$62+'Assumptions and Catalog'!$E$62+'Assumptions and Catalog'!$F$62,IF(L288&lt;='Assumptions and Catalog'!$C$63,L288*'Assumptions and Catalog'!$H$63+'Assumptions and Catalog'!$E$63+'Assumptions and Catalog'!$F$63,IF(L288&lt;='Assumptions and Catalog'!$C$64,L288*'Assumptions and Catalog'!$H$64+'Assumptions and Catalog'!$E$64+'Assumptions and Catalog'!$F$64,IF(L288&lt;='Assumptions and Catalog'!$C$65,L288*'Assumptions and Catalog'!$H$65+'Assumptions and Catalog'!$E$65+'Assumptions and Catalog'!$F$65,"Out of range")))))))))*(1+'Assumptions and Catalog'!$C$8)^(A288-1),0)</f>
        <v>5190.7826750859649</v>
      </c>
      <c r="O288" s="5">
        <f t="shared" si="18"/>
        <v>3364.1839915807022</v>
      </c>
      <c r="P288" s="5">
        <f>C$55*(1-J$14)*(1-'Assumptions and Catalog'!$C$23)^R288</f>
        <v>0</v>
      </c>
      <c r="Q288" s="5">
        <f>IF(ISNUMBER(Inputs!$L$5),(IF(Inputs!$L$9="Actual flat rate",((D288+E288)*C288-G288)*Inputs!$L$10,IF(Inputs!$C$9="Residential",IF(((D288+E288)*C288-G288)&lt;='Assumptions and Catalog'!$C$50,((D288+E288)*C288-G288)*'Assumptions and Catalog'!$H$50+'Assumptions and Catalog'!$E$50+'Assumptions and Catalog'!$F$50,IF(((D288+E288)*C288-G288)&lt;='Assumptions and Catalog'!$C$51,((D288+E288)*C288-G288)*'Assumptions and Catalog'!$H$51+'Assumptions and Catalog'!$E$51+'Assumptions and Catalog'!$F$51,IF(((D288+E288)*C288-G288)&lt;='Assumptions and Catalog'!$C$52,((D288+E288)*C288-G288)*'Assumptions and Catalog'!$H$52+'Assumptions and Catalog'!$E$52+'Assumptions and Catalog'!$F$52,IF(((D288+E288)*C288-G288)&lt;='Assumptions and Catalog'!$C$53,((D288+E288)*C288-G288)*'Assumptions and Catalog'!$H$53+'Assumptions and Catalog'!$E$53+'Assumptions and Catalog'!$F$53,IF(((D288+E288)*C288-G288)&lt;='Assumptions and Catalog'!$C$54,((D288+E288)*C288-G288)*'Assumptions and Catalog'!$H$54+'Assumptions and Catalog'!$E$54+'Assumptions and Catalog'!$F$54,IF(((D288+E288)*C288-G288)&lt;='Assumptions and Catalog'!$C$55,((D288+E288)*C288-G288)*'Assumptions and Catalog'!$H$55+'Assumptions and Catalog'!$E$55+'Assumptions and Catalog'!$F$55,IF(((D288+E288)*C288-G288)&lt;='Assumptions and Catalog'!$C$56,((D288+E288)*C288-G288)*'Assumptions and Catalog'!$H$56+'Assumptions and Catalog'!$E$56+'Assumptions and Catalog'!$F$56,IF(((D288+E288)*C288-G288)&lt;='Assumptions and Catalog'!$C$57,((D288+E288)*C288-G288)*'Assumptions and Catalog'!$H$57+'Assumptions and Catalog'!$E$57+'Assumptions and Catalog'!$F$57,"Out of range")))))))),IF(((D288+E288)*C288-G288)&lt;='Assumptions and Catalog'!$C$60,((D288+E288)*C288-G288)*'Assumptions and Catalog'!$H$60+'Assumptions and Catalog'!$E$60+'Assumptions and Catalog'!$F$60,IF(((D288+E288)*C288-G288)&lt;='Assumptions and Catalog'!$C$61,((D288+E288)*C288-G288)*'Assumptions and Catalog'!$H$61+'Assumptions and Catalog'!$E$61+'Assumptions and Catalog'!$F$61,IF(((D288+E288)*C288-G288)&lt;='Assumptions and Catalog'!$C$62,((D288+E288)*C288-G288)*'Assumptions and Catalog'!$H$62+'Assumptions and Catalog'!$E$62+'Assumptions and Catalog'!$F$62,IF(((D288+E288)*C288-G288)&lt;='Assumptions and Catalog'!$C$63,((D288+E288)*C288-G288)*'Assumptions and Catalog'!$H$63+'Assumptions and Catalog'!$E$63+'Assumptions and Catalog'!$F$63,IF(((D288+E288)*C288-G288)&lt;='Assumptions and Catalog'!$C$64,((D288+E288)*C288-G288)*'Assumptions and Catalog'!$H$64+'Assumptions and Catalog'!$E$64+'Assumptions and Catalog'!$F$64,IF(((D288+E288)*C288-G288)&lt;='Assumptions and Catalog'!$C$65,((D288+E288)*C288-G288)*'Assumptions and Catalog'!$H$65+'Assumptions and Catalog'!$E$65+'Assumptions and Catalog'!$F$65,"Out of range")))))))))*(1+'Assumptions and Catalog'!$C$8)^(A288-1),0)</f>
        <v>5190.7826750859649</v>
      </c>
      <c r="R288" s="5">
        <f>IF(AND('Assumptions and Catalog'!$C$19&gt;0,A288&gt;='Assumptions and Catalog'!$C$19),A288-'Assumptions and Catalog'!$C$19,A288-1)</f>
        <v>0</v>
      </c>
      <c r="S288" s="5">
        <f t="shared" si="19"/>
        <v>0</v>
      </c>
      <c r="T288" s="5"/>
      <c r="U288" s="5"/>
    </row>
    <row r="289" spans="1:21" ht="23.1" customHeight="1" outlineLevel="1" x14ac:dyDescent="0.2">
      <c r="A289" s="5">
        <v>11</v>
      </c>
      <c r="B289" s="5">
        <v>9</v>
      </c>
      <c r="C289" s="5">
        <f>DAY(DATE('Assumptions and Catalog'!$C$24+A289-1,B289+1,0))</f>
        <v>30</v>
      </c>
      <c r="D289" s="5">
        <f>IF(ISNUMBER(Inputs!$L$5),Inputs!$L$5*Inputs!$L$6,0)</f>
        <v>40.35</v>
      </c>
      <c r="E289" s="5">
        <f>IF(ISNUMBER(Inputs!$L$5),Inputs!$L$5-D289,0)</f>
        <v>40.35</v>
      </c>
      <c r="F289" s="5">
        <f>C$51*'Assumptions and Catalog'!$C$31*C289*(1-'Assumptions and Catalog'!$C$10)^(A289-1)</f>
        <v>952.04221839362867</v>
      </c>
      <c r="G289" s="5">
        <f t="shared" ref="G289:G352" si="20">MIN(F289,D289*C289)</f>
        <v>952.04221839362867</v>
      </c>
      <c r="H289" s="5">
        <f>I289/('Assumptions and Catalog'!$C$11*'Assumptions and Catalog'!$C$12)</f>
        <v>0</v>
      </c>
      <c r="I289" s="5">
        <f>0</f>
        <v>0</v>
      </c>
      <c r="J289" s="5">
        <f t="shared" ref="J289:J352" si="21">MAX(F289-G289-H289,0)</f>
        <v>0</v>
      </c>
      <c r="K289" s="5">
        <f t="shared" ref="K289:K352" si="22">H289-I289</f>
        <v>0</v>
      </c>
      <c r="L289" s="5">
        <f t="shared" ref="L289:L352" si="23">(D289+E289)*C289-G289-I289+0+0</f>
        <v>1468.9577816063713</v>
      </c>
      <c r="M289" s="5">
        <f>IF(ISNUMBER(Inputs!$L$5),(IF(Inputs!$L$9="Actual flat rate",((D289+E289)*C289)*Inputs!$L$10,IF(Inputs!$C$9="Residential",IF(((D289+E289)*C289)&lt;='Assumptions and Catalog'!$C$50,((D289+E289)*C289)*'Assumptions and Catalog'!$H$50+'Assumptions and Catalog'!$E$50+'Assumptions and Catalog'!$F$50,IF(((D289+E289)*C289)&lt;='Assumptions and Catalog'!$C$51,((D289+E289)*C289)*'Assumptions and Catalog'!$H$51+'Assumptions and Catalog'!$E$51+'Assumptions and Catalog'!$F$51,IF(((D289+E289)*C289)&lt;='Assumptions and Catalog'!$C$52,((D289+E289)*C289)*'Assumptions and Catalog'!$H$52+'Assumptions and Catalog'!$E$52+'Assumptions and Catalog'!$F$52,IF(((D289+E289)*C289)&lt;='Assumptions and Catalog'!$C$53,((D289+E289)*C289)*'Assumptions and Catalog'!$H$53+'Assumptions and Catalog'!$E$53+'Assumptions and Catalog'!$F$53,IF(((D289+E289)*C289)&lt;='Assumptions and Catalog'!$C$54,((D289+E289)*C289)*'Assumptions and Catalog'!$H$54+'Assumptions and Catalog'!$E$54+'Assumptions and Catalog'!$F$54,IF(((D289+E289)*C289)&lt;='Assumptions and Catalog'!$C$55,((D289+E289)*C289)*'Assumptions and Catalog'!$H$55+'Assumptions and Catalog'!$E$55+'Assumptions and Catalog'!$F$55,IF(((D289+E289)*C289)&lt;='Assumptions and Catalog'!$C$56,((D289+E289)*C289)*'Assumptions and Catalog'!$H$56+'Assumptions and Catalog'!$E$56+'Assumptions and Catalog'!$F$56,IF(((D289+E289)*C289)&lt;='Assumptions and Catalog'!$C$57,((D289+E289)*C289)*'Assumptions and Catalog'!$H$57+'Assumptions and Catalog'!$E$57+'Assumptions and Catalog'!$F$57,"Out of range")))))))),IF(((D289+E289)*C289)&lt;='Assumptions and Catalog'!$C$60,((D289+E289)*C289)*'Assumptions and Catalog'!$H$60+'Assumptions and Catalog'!$E$60+'Assumptions and Catalog'!$F$60,IF(((D289+E289)*C289)&lt;='Assumptions and Catalog'!$C$61,((D289+E289)*C289)*'Assumptions and Catalog'!$H$61+'Assumptions and Catalog'!$E$61+'Assumptions and Catalog'!$F$61,IF(((D289+E289)*C289)&lt;='Assumptions and Catalog'!$C$62,((D289+E289)*C289)*'Assumptions and Catalog'!$H$62+'Assumptions and Catalog'!$E$62+'Assumptions and Catalog'!$F$62,IF(((D289+E289)*C289)&lt;='Assumptions and Catalog'!$C$63,((D289+E289)*C289)*'Assumptions and Catalog'!$H$63+'Assumptions and Catalog'!$E$63+'Assumptions and Catalog'!$F$63,IF(((D289+E289)*C289)&lt;='Assumptions and Catalog'!$C$64,((D289+E289)*C289)*'Assumptions and Catalog'!$H$64+'Assumptions and Catalog'!$E$64+'Assumptions and Catalog'!$F$64,IF(((D289+E289)*C289)&lt;='Assumptions and Catalog'!$C$65,((D289+E289)*C289)*'Assumptions and Catalog'!$H$65+'Assumptions and Catalog'!$E$65+'Assumptions and Catalog'!$F$65,"Out of range")))))))))*(1+'Assumptions and Catalog'!$C$8)^(A289-1),0)</f>
        <v>8279</v>
      </c>
      <c r="N289" s="5">
        <f>IF(ISNUMBER(Inputs!$L$5),(IF(Inputs!$L$9="Actual flat rate",L289*Inputs!$L$10,IF(Inputs!$C$9="Residential",IF(L289&lt;='Assumptions and Catalog'!$C$50,L289*'Assumptions and Catalog'!$H$50+'Assumptions and Catalog'!$E$50+'Assumptions and Catalog'!$F$50,IF(L289&lt;='Assumptions and Catalog'!$C$51,L289*'Assumptions and Catalog'!$H$51+'Assumptions and Catalog'!$E$51+'Assumptions and Catalog'!$F$51,IF(L289&lt;='Assumptions and Catalog'!$C$52,L289*'Assumptions and Catalog'!$H$52+'Assumptions and Catalog'!$E$52+'Assumptions and Catalog'!$F$52,IF(L289&lt;='Assumptions and Catalog'!$C$53,L289*'Assumptions and Catalog'!$H$53+'Assumptions and Catalog'!$E$53+'Assumptions and Catalog'!$F$53,IF(L289&lt;='Assumptions and Catalog'!$C$54,L289*'Assumptions and Catalog'!$H$54+'Assumptions and Catalog'!$E$54+'Assumptions and Catalog'!$F$54,IF(L289&lt;='Assumptions and Catalog'!$C$55,L289*'Assumptions and Catalog'!$H$55+'Assumptions and Catalog'!$E$55+'Assumptions and Catalog'!$F$55,IF(L289&lt;='Assumptions and Catalog'!$C$56,L289*'Assumptions and Catalog'!$H$56+'Assumptions and Catalog'!$E$56+'Assumptions and Catalog'!$F$56,IF(L289&lt;='Assumptions and Catalog'!$C$57,L289*'Assumptions and Catalog'!$H$57+'Assumptions and Catalog'!$E$57+'Assumptions and Catalog'!$F$57,"Out of range")))))))),IF(L289&lt;='Assumptions and Catalog'!$C$60,L289*'Assumptions and Catalog'!$H$60+'Assumptions and Catalog'!$E$60+'Assumptions and Catalog'!$F$60,IF(L289&lt;='Assumptions and Catalog'!$C$61,L289*'Assumptions and Catalog'!$H$61+'Assumptions and Catalog'!$E$61+'Assumptions and Catalog'!$F$61,IF(L289&lt;='Assumptions and Catalog'!$C$62,L289*'Assumptions and Catalog'!$H$62+'Assumptions and Catalog'!$E$62+'Assumptions and Catalog'!$F$62,IF(L289&lt;='Assumptions and Catalog'!$C$63,L289*'Assumptions and Catalog'!$H$63+'Assumptions and Catalog'!$E$63+'Assumptions and Catalog'!$F$63,IF(L289&lt;='Assumptions and Catalog'!$C$64,L289*'Assumptions and Catalog'!$H$64+'Assumptions and Catalog'!$E$64+'Assumptions and Catalog'!$F$64,IF(L289&lt;='Assumptions and Catalog'!$C$65,L289*'Assumptions and Catalog'!$H$65+'Assumptions and Catalog'!$E$65+'Assumptions and Catalog'!$F$65,"Out of range")))))))))*(1+'Assumptions and Catalog'!$C$8)^(A289-1),0)</f>
        <v>5023.3380726638361</v>
      </c>
      <c r="O289" s="5">
        <f t="shared" ref="O289:O352" si="24">M289-N289</f>
        <v>3255.6619273361639</v>
      </c>
      <c r="P289" s="5">
        <f>C$55*(1-J$14)*(1-'Assumptions and Catalog'!$C$23)^R289</f>
        <v>0</v>
      </c>
      <c r="Q289" s="5">
        <f>IF(ISNUMBER(Inputs!$L$5),(IF(Inputs!$L$9="Actual flat rate",((D289+E289)*C289-G289)*Inputs!$L$10,IF(Inputs!$C$9="Residential",IF(((D289+E289)*C289-G289)&lt;='Assumptions and Catalog'!$C$50,((D289+E289)*C289-G289)*'Assumptions and Catalog'!$H$50+'Assumptions and Catalog'!$E$50+'Assumptions and Catalog'!$F$50,IF(((D289+E289)*C289-G289)&lt;='Assumptions and Catalog'!$C$51,((D289+E289)*C289-G289)*'Assumptions and Catalog'!$H$51+'Assumptions and Catalog'!$E$51+'Assumptions and Catalog'!$F$51,IF(((D289+E289)*C289-G289)&lt;='Assumptions and Catalog'!$C$52,((D289+E289)*C289-G289)*'Assumptions and Catalog'!$H$52+'Assumptions and Catalog'!$E$52+'Assumptions and Catalog'!$F$52,IF(((D289+E289)*C289-G289)&lt;='Assumptions and Catalog'!$C$53,((D289+E289)*C289-G289)*'Assumptions and Catalog'!$H$53+'Assumptions and Catalog'!$E$53+'Assumptions and Catalog'!$F$53,IF(((D289+E289)*C289-G289)&lt;='Assumptions and Catalog'!$C$54,((D289+E289)*C289-G289)*'Assumptions and Catalog'!$H$54+'Assumptions and Catalog'!$E$54+'Assumptions and Catalog'!$F$54,IF(((D289+E289)*C289-G289)&lt;='Assumptions and Catalog'!$C$55,((D289+E289)*C289-G289)*'Assumptions and Catalog'!$H$55+'Assumptions and Catalog'!$E$55+'Assumptions and Catalog'!$F$55,IF(((D289+E289)*C289-G289)&lt;='Assumptions and Catalog'!$C$56,((D289+E289)*C289-G289)*'Assumptions and Catalog'!$H$56+'Assumptions and Catalog'!$E$56+'Assumptions and Catalog'!$F$56,IF(((D289+E289)*C289-G289)&lt;='Assumptions and Catalog'!$C$57,((D289+E289)*C289-G289)*'Assumptions and Catalog'!$H$57+'Assumptions and Catalog'!$E$57+'Assumptions and Catalog'!$F$57,"Out of range")))))))),IF(((D289+E289)*C289-G289)&lt;='Assumptions and Catalog'!$C$60,((D289+E289)*C289-G289)*'Assumptions and Catalog'!$H$60+'Assumptions and Catalog'!$E$60+'Assumptions and Catalog'!$F$60,IF(((D289+E289)*C289-G289)&lt;='Assumptions and Catalog'!$C$61,((D289+E289)*C289-G289)*'Assumptions and Catalog'!$H$61+'Assumptions and Catalog'!$E$61+'Assumptions and Catalog'!$F$61,IF(((D289+E289)*C289-G289)&lt;='Assumptions and Catalog'!$C$62,((D289+E289)*C289-G289)*'Assumptions and Catalog'!$H$62+'Assumptions and Catalog'!$E$62+'Assumptions and Catalog'!$F$62,IF(((D289+E289)*C289-G289)&lt;='Assumptions and Catalog'!$C$63,((D289+E289)*C289-G289)*'Assumptions and Catalog'!$H$63+'Assumptions and Catalog'!$E$63+'Assumptions and Catalog'!$F$63,IF(((D289+E289)*C289-G289)&lt;='Assumptions and Catalog'!$C$64,((D289+E289)*C289-G289)*'Assumptions and Catalog'!$H$64+'Assumptions and Catalog'!$E$64+'Assumptions and Catalog'!$F$64,IF(((D289+E289)*C289-G289)&lt;='Assumptions and Catalog'!$C$65,((D289+E289)*C289-G289)*'Assumptions and Catalog'!$H$65+'Assumptions and Catalog'!$E$65+'Assumptions and Catalog'!$F$65,"Out of range")))))))))*(1+'Assumptions and Catalog'!$C$8)^(A289-1),0)</f>
        <v>5023.3380726638361</v>
      </c>
      <c r="R289" s="5">
        <f>IF(AND('Assumptions and Catalog'!$C$19&gt;0,A289&gt;='Assumptions and Catalog'!$C$19),A289-'Assumptions and Catalog'!$C$19,A289-1)</f>
        <v>0</v>
      </c>
      <c r="S289" s="5">
        <f t="shared" ref="S289:S352" si="25">F289+L289-(D289+E289)*C289-J289-K289-0</f>
        <v>0</v>
      </c>
      <c r="T289" s="5"/>
      <c r="U289" s="5"/>
    </row>
    <row r="290" spans="1:21" ht="23.1" customHeight="1" outlineLevel="1" x14ac:dyDescent="0.2">
      <c r="A290" s="5">
        <v>11</v>
      </c>
      <c r="B290" s="5">
        <v>10</v>
      </c>
      <c r="C290" s="5">
        <f>DAY(DATE('Assumptions and Catalog'!$C$24+A290-1,B290+1,0))</f>
        <v>31</v>
      </c>
      <c r="D290" s="5">
        <f>IF(ISNUMBER(Inputs!$L$5),Inputs!$L$5*Inputs!$L$6,0)</f>
        <v>40.35</v>
      </c>
      <c r="E290" s="5">
        <f>IF(ISNUMBER(Inputs!$L$5),Inputs!$L$5-D290,0)</f>
        <v>40.35</v>
      </c>
      <c r="F290" s="5">
        <f>C$51*'Assumptions and Catalog'!$C$31*C290*(1-'Assumptions and Catalog'!$C$10)^(A290-1)</f>
        <v>983.77695900674962</v>
      </c>
      <c r="G290" s="5">
        <f t="shared" si="20"/>
        <v>983.77695900674962</v>
      </c>
      <c r="H290" s="5">
        <f>I290/('Assumptions and Catalog'!$C$11*'Assumptions and Catalog'!$C$12)</f>
        <v>0</v>
      </c>
      <c r="I290" s="5">
        <f>0</f>
        <v>0</v>
      </c>
      <c r="J290" s="5">
        <f t="shared" si="21"/>
        <v>0</v>
      </c>
      <c r="K290" s="5">
        <f t="shared" si="22"/>
        <v>0</v>
      </c>
      <c r="L290" s="5">
        <f t="shared" si="23"/>
        <v>1517.9230409932507</v>
      </c>
      <c r="M290" s="5">
        <f>IF(ISNUMBER(Inputs!$L$5),(IF(Inputs!$L$9="Actual flat rate",((D290+E290)*C290)*Inputs!$L$10,IF(Inputs!$C$9="Residential",IF(((D290+E290)*C290)&lt;='Assumptions and Catalog'!$C$50,((D290+E290)*C290)*'Assumptions and Catalog'!$H$50+'Assumptions and Catalog'!$E$50+'Assumptions and Catalog'!$F$50,IF(((D290+E290)*C290)&lt;='Assumptions and Catalog'!$C$51,((D290+E290)*C290)*'Assumptions and Catalog'!$H$51+'Assumptions and Catalog'!$E$51+'Assumptions and Catalog'!$F$51,IF(((D290+E290)*C290)&lt;='Assumptions and Catalog'!$C$52,((D290+E290)*C290)*'Assumptions and Catalog'!$H$52+'Assumptions and Catalog'!$E$52+'Assumptions and Catalog'!$F$52,IF(((D290+E290)*C290)&lt;='Assumptions and Catalog'!$C$53,((D290+E290)*C290)*'Assumptions and Catalog'!$H$53+'Assumptions and Catalog'!$E$53+'Assumptions and Catalog'!$F$53,IF(((D290+E290)*C290)&lt;='Assumptions and Catalog'!$C$54,((D290+E290)*C290)*'Assumptions and Catalog'!$H$54+'Assumptions and Catalog'!$E$54+'Assumptions and Catalog'!$F$54,IF(((D290+E290)*C290)&lt;='Assumptions and Catalog'!$C$55,((D290+E290)*C290)*'Assumptions and Catalog'!$H$55+'Assumptions and Catalog'!$E$55+'Assumptions and Catalog'!$F$55,IF(((D290+E290)*C290)&lt;='Assumptions and Catalog'!$C$56,((D290+E290)*C290)*'Assumptions and Catalog'!$H$56+'Assumptions and Catalog'!$E$56+'Assumptions and Catalog'!$F$56,IF(((D290+E290)*C290)&lt;='Assumptions and Catalog'!$C$57,((D290+E290)*C290)*'Assumptions and Catalog'!$H$57+'Assumptions and Catalog'!$E$57+'Assumptions and Catalog'!$F$57,"Out of range")))))))),IF(((D290+E290)*C290)&lt;='Assumptions and Catalog'!$C$60,((D290+E290)*C290)*'Assumptions and Catalog'!$H$60+'Assumptions and Catalog'!$E$60+'Assumptions and Catalog'!$F$60,IF(((D290+E290)*C290)&lt;='Assumptions and Catalog'!$C$61,((D290+E290)*C290)*'Assumptions and Catalog'!$H$61+'Assumptions and Catalog'!$E$61+'Assumptions and Catalog'!$F$61,IF(((D290+E290)*C290)&lt;='Assumptions and Catalog'!$C$62,((D290+E290)*C290)*'Assumptions and Catalog'!$H$62+'Assumptions and Catalog'!$E$62+'Assumptions and Catalog'!$F$62,IF(((D290+E290)*C290)&lt;='Assumptions and Catalog'!$C$63,((D290+E290)*C290)*'Assumptions and Catalog'!$H$63+'Assumptions and Catalog'!$E$63+'Assumptions and Catalog'!$F$63,IF(((D290+E290)*C290)&lt;='Assumptions and Catalog'!$C$64,((D290+E290)*C290)*'Assumptions and Catalog'!$H$64+'Assumptions and Catalog'!$E$64+'Assumptions and Catalog'!$F$64,IF(((D290+E290)*C290)&lt;='Assumptions and Catalog'!$C$65,((D290+E290)*C290)*'Assumptions and Catalog'!$H$65+'Assumptions and Catalog'!$E$65+'Assumptions and Catalog'!$F$65,"Out of range")))))))))*(1+'Assumptions and Catalog'!$C$8)^(A290-1),0)</f>
        <v>8554.9666666666672</v>
      </c>
      <c r="N290" s="5">
        <f>IF(ISNUMBER(Inputs!$L$5),(IF(Inputs!$L$9="Actual flat rate",L290*Inputs!$L$10,IF(Inputs!$C$9="Residential",IF(L290&lt;='Assumptions and Catalog'!$C$50,L290*'Assumptions and Catalog'!$H$50+'Assumptions and Catalog'!$E$50+'Assumptions and Catalog'!$F$50,IF(L290&lt;='Assumptions and Catalog'!$C$51,L290*'Assumptions and Catalog'!$H$51+'Assumptions and Catalog'!$E$51+'Assumptions and Catalog'!$F$51,IF(L290&lt;='Assumptions and Catalog'!$C$52,L290*'Assumptions and Catalog'!$H$52+'Assumptions and Catalog'!$E$52+'Assumptions and Catalog'!$F$52,IF(L290&lt;='Assumptions and Catalog'!$C$53,L290*'Assumptions and Catalog'!$H$53+'Assumptions and Catalog'!$E$53+'Assumptions and Catalog'!$F$53,IF(L290&lt;='Assumptions and Catalog'!$C$54,L290*'Assumptions and Catalog'!$H$54+'Assumptions and Catalog'!$E$54+'Assumptions and Catalog'!$F$54,IF(L290&lt;='Assumptions and Catalog'!$C$55,L290*'Assumptions and Catalog'!$H$55+'Assumptions and Catalog'!$E$55+'Assumptions and Catalog'!$F$55,IF(L290&lt;='Assumptions and Catalog'!$C$56,L290*'Assumptions and Catalog'!$H$56+'Assumptions and Catalog'!$E$56+'Assumptions and Catalog'!$F$56,IF(L290&lt;='Assumptions and Catalog'!$C$57,L290*'Assumptions and Catalog'!$H$57+'Assumptions and Catalog'!$E$57+'Assumptions and Catalog'!$F$57,"Out of range")))))))),IF(L290&lt;='Assumptions and Catalog'!$C$60,L290*'Assumptions and Catalog'!$H$60+'Assumptions and Catalog'!$E$60+'Assumptions and Catalog'!$F$60,IF(L290&lt;='Assumptions and Catalog'!$C$61,L290*'Assumptions and Catalog'!$H$61+'Assumptions and Catalog'!$E$61+'Assumptions and Catalog'!$F$61,IF(L290&lt;='Assumptions and Catalog'!$C$62,L290*'Assumptions and Catalog'!$H$62+'Assumptions and Catalog'!$E$62+'Assumptions and Catalog'!$F$62,IF(L290&lt;='Assumptions and Catalog'!$C$63,L290*'Assumptions and Catalog'!$H$63+'Assumptions and Catalog'!$E$63+'Assumptions and Catalog'!$F$63,IF(L290&lt;='Assumptions and Catalog'!$C$64,L290*'Assumptions and Catalog'!$H$64+'Assumptions and Catalog'!$E$64+'Assumptions and Catalog'!$F$64,IF(L290&lt;='Assumptions and Catalog'!$C$65,L290*'Assumptions and Catalog'!$H$65+'Assumptions and Catalog'!$E$65+'Assumptions and Catalog'!$F$65,"Out of range")))))))))*(1+'Assumptions and Catalog'!$C$8)^(A290-1),0)</f>
        <v>5190.7826750859649</v>
      </c>
      <c r="O290" s="5">
        <f t="shared" si="24"/>
        <v>3364.1839915807022</v>
      </c>
      <c r="P290" s="5">
        <f>C$55*(1-J$14)*(1-'Assumptions and Catalog'!$C$23)^R290</f>
        <v>0</v>
      </c>
      <c r="Q290" s="5">
        <f>IF(ISNUMBER(Inputs!$L$5),(IF(Inputs!$L$9="Actual flat rate",((D290+E290)*C290-G290)*Inputs!$L$10,IF(Inputs!$C$9="Residential",IF(((D290+E290)*C290-G290)&lt;='Assumptions and Catalog'!$C$50,((D290+E290)*C290-G290)*'Assumptions and Catalog'!$H$50+'Assumptions and Catalog'!$E$50+'Assumptions and Catalog'!$F$50,IF(((D290+E290)*C290-G290)&lt;='Assumptions and Catalog'!$C$51,((D290+E290)*C290-G290)*'Assumptions and Catalog'!$H$51+'Assumptions and Catalog'!$E$51+'Assumptions and Catalog'!$F$51,IF(((D290+E290)*C290-G290)&lt;='Assumptions and Catalog'!$C$52,((D290+E290)*C290-G290)*'Assumptions and Catalog'!$H$52+'Assumptions and Catalog'!$E$52+'Assumptions and Catalog'!$F$52,IF(((D290+E290)*C290-G290)&lt;='Assumptions and Catalog'!$C$53,((D290+E290)*C290-G290)*'Assumptions and Catalog'!$H$53+'Assumptions and Catalog'!$E$53+'Assumptions and Catalog'!$F$53,IF(((D290+E290)*C290-G290)&lt;='Assumptions and Catalog'!$C$54,((D290+E290)*C290-G290)*'Assumptions and Catalog'!$H$54+'Assumptions and Catalog'!$E$54+'Assumptions and Catalog'!$F$54,IF(((D290+E290)*C290-G290)&lt;='Assumptions and Catalog'!$C$55,((D290+E290)*C290-G290)*'Assumptions and Catalog'!$H$55+'Assumptions and Catalog'!$E$55+'Assumptions and Catalog'!$F$55,IF(((D290+E290)*C290-G290)&lt;='Assumptions and Catalog'!$C$56,((D290+E290)*C290-G290)*'Assumptions and Catalog'!$H$56+'Assumptions and Catalog'!$E$56+'Assumptions and Catalog'!$F$56,IF(((D290+E290)*C290-G290)&lt;='Assumptions and Catalog'!$C$57,((D290+E290)*C290-G290)*'Assumptions and Catalog'!$H$57+'Assumptions and Catalog'!$E$57+'Assumptions and Catalog'!$F$57,"Out of range")))))))),IF(((D290+E290)*C290-G290)&lt;='Assumptions and Catalog'!$C$60,((D290+E290)*C290-G290)*'Assumptions and Catalog'!$H$60+'Assumptions and Catalog'!$E$60+'Assumptions and Catalog'!$F$60,IF(((D290+E290)*C290-G290)&lt;='Assumptions and Catalog'!$C$61,((D290+E290)*C290-G290)*'Assumptions and Catalog'!$H$61+'Assumptions and Catalog'!$E$61+'Assumptions and Catalog'!$F$61,IF(((D290+E290)*C290-G290)&lt;='Assumptions and Catalog'!$C$62,((D290+E290)*C290-G290)*'Assumptions and Catalog'!$H$62+'Assumptions and Catalog'!$E$62+'Assumptions and Catalog'!$F$62,IF(((D290+E290)*C290-G290)&lt;='Assumptions and Catalog'!$C$63,((D290+E290)*C290-G290)*'Assumptions and Catalog'!$H$63+'Assumptions and Catalog'!$E$63+'Assumptions and Catalog'!$F$63,IF(((D290+E290)*C290-G290)&lt;='Assumptions and Catalog'!$C$64,((D290+E290)*C290-G290)*'Assumptions and Catalog'!$H$64+'Assumptions and Catalog'!$E$64+'Assumptions and Catalog'!$F$64,IF(((D290+E290)*C290-G290)&lt;='Assumptions and Catalog'!$C$65,((D290+E290)*C290-G290)*'Assumptions and Catalog'!$H$65+'Assumptions and Catalog'!$E$65+'Assumptions and Catalog'!$F$65,"Out of range")))))))))*(1+'Assumptions and Catalog'!$C$8)^(A290-1),0)</f>
        <v>5190.7826750859649</v>
      </c>
      <c r="R290" s="5">
        <f>IF(AND('Assumptions and Catalog'!$C$19&gt;0,A290&gt;='Assumptions and Catalog'!$C$19),A290-'Assumptions and Catalog'!$C$19,A290-1)</f>
        <v>0</v>
      </c>
      <c r="S290" s="5">
        <f t="shared" si="25"/>
        <v>0</v>
      </c>
      <c r="T290" s="5"/>
      <c r="U290" s="5"/>
    </row>
    <row r="291" spans="1:21" ht="23.1" customHeight="1" outlineLevel="1" x14ac:dyDescent="0.2">
      <c r="A291" s="5">
        <v>11</v>
      </c>
      <c r="B291" s="5">
        <v>11</v>
      </c>
      <c r="C291" s="5">
        <f>DAY(DATE('Assumptions and Catalog'!$C$24+A291-1,B291+1,0))</f>
        <v>30</v>
      </c>
      <c r="D291" s="5">
        <f>IF(ISNUMBER(Inputs!$L$5),Inputs!$L$5*Inputs!$L$6,0)</f>
        <v>40.35</v>
      </c>
      <c r="E291" s="5">
        <f>IF(ISNUMBER(Inputs!$L$5),Inputs!$L$5-D291,0)</f>
        <v>40.35</v>
      </c>
      <c r="F291" s="5">
        <f>C$51*'Assumptions and Catalog'!$C$31*C291*(1-'Assumptions and Catalog'!$C$10)^(A291-1)</f>
        <v>952.04221839362867</v>
      </c>
      <c r="G291" s="5">
        <f t="shared" si="20"/>
        <v>952.04221839362867</v>
      </c>
      <c r="H291" s="5">
        <f>I291/('Assumptions and Catalog'!$C$11*'Assumptions and Catalog'!$C$12)</f>
        <v>0</v>
      </c>
      <c r="I291" s="5">
        <f>0</f>
        <v>0</v>
      </c>
      <c r="J291" s="5">
        <f t="shared" si="21"/>
        <v>0</v>
      </c>
      <c r="K291" s="5">
        <f t="shared" si="22"/>
        <v>0</v>
      </c>
      <c r="L291" s="5">
        <f t="shared" si="23"/>
        <v>1468.9577816063713</v>
      </c>
      <c r="M291" s="5">
        <f>IF(ISNUMBER(Inputs!$L$5),(IF(Inputs!$L$9="Actual flat rate",((D291+E291)*C291)*Inputs!$L$10,IF(Inputs!$C$9="Residential",IF(((D291+E291)*C291)&lt;='Assumptions and Catalog'!$C$50,((D291+E291)*C291)*'Assumptions and Catalog'!$H$50+'Assumptions and Catalog'!$E$50+'Assumptions and Catalog'!$F$50,IF(((D291+E291)*C291)&lt;='Assumptions and Catalog'!$C$51,((D291+E291)*C291)*'Assumptions and Catalog'!$H$51+'Assumptions and Catalog'!$E$51+'Assumptions and Catalog'!$F$51,IF(((D291+E291)*C291)&lt;='Assumptions and Catalog'!$C$52,((D291+E291)*C291)*'Assumptions and Catalog'!$H$52+'Assumptions and Catalog'!$E$52+'Assumptions and Catalog'!$F$52,IF(((D291+E291)*C291)&lt;='Assumptions and Catalog'!$C$53,((D291+E291)*C291)*'Assumptions and Catalog'!$H$53+'Assumptions and Catalog'!$E$53+'Assumptions and Catalog'!$F$53,IF(((D291+E291)*C291)&lt;='Assumptions and Catalog'!$C$54,((D291+E291)*C291)*'Assumptions and Catalog'!$H$54+'Assumptions and Catalog'!$E$54+'Assumptions and Catalog'!$F$54,IF(((D291+E291)*C291)&lt;='Assumptions and Catalog'!$C$55,((D291+E291)*C291)*'Assumptions and Catalog'!$H$55+'Assumptions and Catalog'!$E$55+'Assumptions and Catalog'!$F$55,IF(((D291+E291)*C291)&lt;='Assumptions and Catalog'!$C$56,((D291+E291)*C291)*'Assumptions and Catalog'!$H$56+'Assumptions and Catalog'!$E$56+'Assumptions and Catalog'!$F$56,IF(((D291+E291)*C291)&lt;='Assumptions and Catalog'!$C$57,((D291+E291)*C291)*'Assumptions and Catalog'!$H$57+'Assumptions and Catalog'!$E$57+'Assumptions and Catalog'!$F$57,"Out of range")))))))),IF(((D291+E291)*C291)&lt;='Assumptions and Catalog'!$C$60,((D291+E291)*C291)*'Assumptions and Catalog'!$H$60+'Assumptions and Catalog'!$E$60+'Assumptions and Catalog'!$F$60,IF(((D291+E291)*C291)&lt;='Assumptions and Catalog'!$C$61,((D291+E291)*C291)*'Assumptions and Catalog'!$H$61+'Assumptions and Catalog'!$E$61+'Assumptions and Catalog'!$F$61,IF(((D291+E291)*C291)&lt;='Assumptions and Catalog'!$C$62,((D291+E291)*C291)*'Assumptions and Catalog'!$H$62+'Assumptions and Catalog'!$E$62+'Assumptions and Catalog'!$F$62,IF(((D291+E291)*C291)&lt;='Assumptions and Catalog'!$C$63,((D291+E291)*C291)*'Assumptions and Catalog'!$H$63+'Assumptions and Catalog'!$E$63+'Assumptions and Catalog'!$F$63,IF(((D291+E291)*C291)&lt;='Assumptions and Catalog'!$C$64,((D291+E291)*C291)*'Assumptions and Catalog'!$H$64+'Assumptions and Catalog'!$E$64+'Assumptions and Catalog'!$F$64,IF(((D291+E291)*C291)&lt;='Assumptions and Catalog'!$C$65,((D291+E291)*C291)*'Assumptions and Catalog'!$H$65+'Assumptions and Catalog'!$E$65+'Assumptions and Catalog'!$F$65,"Out of range")))))))))*(1+'Assumptions and Catalog'!$C$8)^(A291-1),0)</f>
        <v>8279</v>
      </c>
      <c r="N291" s="5">
        <f>IF(ISNUMBER(Inputs!$L$5),(IF(Inputs!$L$9="Actual flat rate",L291*Inputs!$L$10,IF(Inputs!$C$9="Residential",IF(L291&lt;='Assumptions and Catalog'!$C$50,L291*'Assumptions and Catalog'!$H$50+'Assumptions and Catalog'!$E$50+'Assumptions and Catalog'!$F$50,IF(L291&lt;='Assumptions and Catalog'!$C$51,L291*'Assumptions and Catalog'!$H$51+'Assumptions and Catalog'!$E$51+'Assumptions and Catalog'!$F$51,IF(L291&lt;='Assumptions and Catalog'!$C$52,L291*'Assumptions and Catalog'!$H$52+'Assumptions and Catalog'!$E$52+'Assumptions and Catalog'!$F$52,IF(L291&lt;='Assumptions and Catalog'!$C$53,L291*'Assumptions and Catalog'!$H$53+'Assumptions and Catalog'!$E$53+'Assumptions and Catalog'!$F$53,IF(L291&lt;='Assumptions and Catalog'!$C$54,L291*'Assumptions and Catalog'!$H$54+'Assumptions and Catalog'!$E$54+'Assumptions and Catalog'!$F$54,IF(L291&lt;='Assumptions and Catalog'!$C$55,L291*'Assumptions and Catalog'!$H$55+'Assumptions and Catalog'!$E$55+'Assumptions and Catalog'!$F$55,IF(L291&lt;='Assumptions and Catalog'!$C$56,L291*'Assumptions and Catalog'!$H$56+'Assumptions and Catalog'!$E$56+'Assumptions and Catalog'!$F$56,IF(L291&lt;='Assumptions and Catalog'!$C$57,L291*'Assumptions and Catalog'!$H$57+'Assumptions and Catalog'!$E$57+'Assumptions and Catalog'!$F$57,"Out of range")))))))),IF(L291&lt;='Assumptions and Catalog'!$C$60,L291*'Assumptions and Catalog'!$H$60+'Assumptions and Catalog'!$E$60+'Assumptions and Catalog'!$F$60,IF(L291&lt;='Assumptions and Catalog'!$C$61,L291*'Assumptions and Catalog'!$H$61+'Assumptions and Catalog'!$E$61+'Assumptions and Catalog'!$F$61,IF(L291&lt;='Assumptions and Catalog'!$C$62,L291*'Assumptions and Catalog'!$H$62+'Assumptions and Catalog'!$E$62+'Assumptions and Catalog'!$F$62,IF(L291&lt;='Assumptions and Catalog'!$C$63,L291*'Assumptions and Catalog'!$H$63+'Assumptions and Catalog'!$E$63+'Assumptions and Catalog'!$F$63,IF(L291&lt;='Assumptions and Catalog'!$C$64,L291*'Assumptions and Catalog'!$H$64+'Assumptions and Catalog'!$E$64+'Assumptions and Catalog'!$F$64,IF(L291&lt;='Assumptions and Catalog'!$C$65,L291*'Assumptions and Catalog'!$H$65+'Assumptions and Catalog'!$E$65+'Assumptions and Catalog'!$F$65,"Out of range")))))))))*(1+'Assumptions and Catalog'!$C$8)^(A291-1),0)</f>
        <v>5023.3380726638361</v>
      </c>
      <c r="O291" s="5">
        <f t="shared" si="24"/>
        <v>3255.6619273361639</v>
      </c>
      <c r="P291" s="5">
        <f>C$55*(1-J$14)*(1-'Assumptions and Catalog'!$C$23)^R291</f>
        <v>0</v>
      </c>
      <c r="Q291" s="5">
        <f>IF(ISNUMBER(Inputs!$L$5),(IF(Inputs!$L$9="Actual flat rate",((D291+E291)*C291-G291)*Inputs!$L$10,IF(Inputs!$C$9="Residential",IF(((D291+E291)*C291-G291)&lt;='Assumptions and Catalog'!$C$50,((D291+E291)*C291-G291)*'Assumptions and Catalog'!$H$50+'Assumptions and Catalog'!$E$50+'Assumptions and Catalog'!$F$50,IF(((D291+E291)*C291-G291)&lt;='Assumptions and Catalog'!$C$51,((D291+E291)*C291-G291)*'Assumptions and Catalog'!$H$51+'Assumptions and Catalog'!$E$51+'Assumptions and Catalog'!$F$51,IF(((D291+E291)*C291-G291)&lt;='Assumptions and Catalog'!$C$52,((D291+E291)*C291-G291)*'Assumptions and Catalog'!$H$52+'Assumptions and Catalog'!$E$52+'Assumptions and Catalog'!$F$52,IF(((D291+E291)*C291-G291)&lt;='Assumptions and Catalog'!$C$53,((D291+E291)*C291-G291)*'Assumptions and Catalog'!$H$53+'Assumptions and Catalog'!$E$53+'Assumptions and Catalog'!$F$53,IF(((D291+E291)*C291-G291)&lt;='Assumptions and Catalog'!$C$54,((D291+E291)*C291-G291)*'Assumptions and Catalog'!$H$54+'Assumptions and Catalog'!$E$54+'Assumptions and Catalog'!$F$54,IF(((D291+E291)*C291-G291)&lt;='Assumptions and Catalog'!$C$55,((D291+E291)*C291-G291)*'Assumptions and Catalog'!$H$55+'Assumptions and Catalog'!$E$55+'Assumptions and Catalog'!$F$55,IF(((D291+E291)*C291-G291)&lt;='Assumptions and Catalog'!$C$56,((D291+E291)*C291-G291)*'Assumptions and Catalog'!$H$56+'Assumptions and Catalog'!$E$56+'Assumptions and Catalog'!$F$56,IF(((D291+E291)*C291-G291)&lt;='Assumptions and Catalog'!$C$57,((D291+E291)*C291-G291)*'Assumptions and Catalog'!$H$57+'Assumptions and Catalog'!$E$57+'Assumptions and Catalog'!$F$57,"Out of range")))))))),IF(((D291+E291)*C291-G291)&lt;='Assumptions and Catalog'!$C$60,((D291+E291)*C291-G291)*'Assumptions and Catalog'!$H$60+'Assumptions and Catalog'!$E$60+'Assumptions and Catalog'!$F$60,IF(((D291+E291)*C291-G291)&lt;='Assumptions and Catalog'!$C$61,((D291+E291)*C291-G291)*'Assumptions and Catalog'!$H$61+'Assumptions and Catalog'!$E$61+'Assumptions and Catalog'!$F$61,IF(((D291+E291)*C291-G291)&lt;='Assumptions and Catalog'!$C$62,((D291+E291)*C291-G291)*'Assumptions and Catalog'!$H$62+'Assumptions and Catalog'!$E$62+'Assumptions and Catalog'!$F$62,IF(((D291+E291)*C291-G291)&lt;='Assumptions and Catalog'!$C$63,((D291+E291)*C291-G291)*'Assumptions and Catalog'!$H$63+'Assumptions and Catalog'!$E$63+'Assumptions and Catalog'!$F$63,IF(((D291+E291)*C291-G291)&lt;='Assumptions and Catalog'!$C$64,((D291+E291)*C291-G291)*'Assumptions and Catalog'!$H$64+'Assumptions and Catalog'!$E$64+'Assumptions and Catalog'!$F$64,IF(((D291+E291)*C291-G291)&lt;='Assumptions and Catalog'!$C$65,((D291+E291)*C291-G291)*'Assumptions and Catalog'!$H$65+'Assumptions and Catalog'!$E$65+'Assumptions and Catalog'!$F$65,"Out of range")))))))))*(1+'Assumptions and Catalog'!$C$8)^(A291-1),0)</f>
        <v>5023.3380726638361</v>
      </c>
      <c r="R291" s="5">
        <f>IF(AND('Assumptions and Catalog'!$C$19&gt;0,A291&gt;='Assumptions and Catalog'!$C$19),A291-'Assumptions and Catalog'!$C$19,A291-1)</f>
        <v>0</v>
      </c>
      <c r="S291" s="5">
        <f t="shared" si="25"/>
        <v>0</v>
      </c>
      <c r="T291" s="5"/>
      <c r="U291" s="5"/>
    </row>
    <row r="292" spans="1:21" ht="23.1" customHeight="1" outlineLevel="1" x14ac:dyDescent="0.2">
      <c r="A292" s="5">
        <v>11</v>
      </c>
      <c r="B292" s="5">
        <v>12</v>
      </c>
      <c r="C292" s="5">
        <f>DAY(DATE('Assumptions and Catalog'!$C$24+A292-1,B292+1,0))</f>
        <v>31</v>
      </c>
      <c r="D292" s="5">
        <f>IF(ISNUMBER(Inputs!$L$5),Inputs!$L$5*Inputs!$L$6,0)</f>
        <v>40.35</v>
      </c>
      <c r="E292" s="5">
        <f>IF(ISNUMBER(Inputs!$L$5),Inputs!$L$5-D292,0)</f>
        <v>40.35</v>
      </c>
      <c r="F292" s="5">
        <f>C$51*'Assumptions and Catalog'!$C$31*C292*(1-'Assumptions and Catalog'!$C$10)^(A292-1)</f>
        <v>983.77695900674962</v>
      </c>
      <c r="G292" s="5">
        <f t="shared" si="20"/>
        <v>983.77695900674962</v>
      </c>
      <c r="H292" s="5">
        <f>I292/('Assumptions and Catalog'!$C$11*'Assumptions and Catalog'!$C$12)</f>
        <v>0</v>
      </c>
      <c r="I292" s="5">
        <f>0</f>
        <v>0</v>
      </c>
      <c r="J292" s="5">
        <f t="shared" si="21"/>
        <v>0</v>
      </c>
      <c r="K292" s="5">
        <f t="shared" si="22"/>
        <v>0</v>
      </c>
      <c r="L292" s="5">
        <f t="shared" si="23"/>
        <v>1517.9230409932507</v>
      </c>
      <c r="M292" s="5">
        <f>IF(ISNUMBER(Inputs!$L$5),(IF(Inputs!$L$9="Actual flat rate",((D292+E292)*C292)*Inputs!$L$10,IF(Inputs!$C$9="Residential",IF(((D292+E292)*C292)&lt;='Assumptions and Catalog'!$C$50,((D292+E292)*C292)*'Assumptions and Catalog'!$H$50+'Assumptions and Catalog'!$E$50+'Assumptions and Catalog'!$F$50,IF(((D292+E292)*C292)&lt;='Assumptions and Catalog'!$C$51,((D292+E292)*C292)*'Assumptions and Catalog'!$H$51+'Assumptions and Catalog'!$E$51+'Assumptions and Catalog'!$F$51,IF(((D292+E292)*C292)&lt;='Assumptions and Catalog'!$C$52,((D292+E292)*C292)*'Assumptions and Catalog'!$H$52+'Assumptions and Catalog'!$E$52+'Assumptions and Catalog'!$F$52,IF(((D292+E292)*C292)&lt;='Assumptions and Catalog'!$C$53,((D292+E292)*C292)*'Assumptions and Catalog'!$H$53+'Assumptions and Catalog'!$E$53+'Assumptions and Catalog'!$F$53,IF(((D292+E292)*C292)&lt;='Assumptions and Catalog'!$C$54,((D292+E292)*C292)*'Assumptions and Catalog'!$H$54+'Assumptions and Catalog'!$E$54+'Assumptions and Catalog'!$F$54,IF(((D292+E292)*C292)&lt;='Assumptions and Catalog'!$C$55,((D292+E292)*C292)*'Assumptions and Catalog'!$H$55+'Assumptions and Catalog'!$E$55+'Assumptions and Catalog'!$F$55,IF(((D292+E292)*C292)&lt;='Assumptions and Catalog'!$C$56,((D292+E292)*C292)*'Assumptions and Catalog'!$H$56+'Assumptions and Catalog'!$E$56+'Assumptions and Catalog'!$F$56,IF(((D292+E292)*C292)&lt;='Assumptions and Catalog'!$C$57,((D292+E292)*C292)*'Assumptions and Catalog'!$H$57+'Assumptions and Catalog'!$E$57+'Assumptions and Catalog'!$F$57,"Out of range")))))))),IF(((D292+E292)*C292)&lt;='Assumptions and Catalog'!$C$60,((D292+E292)*C292)*'Assumptions and Catalog'!$H$60+'Assumptions and Catalog'!$E$60+'Assumptions and Catalog'!$F$60,IF(((D292+E292)*C292)&lt;='Assumptions and Catalog'!$C$61,((D292+E292)*C292)*'Assumptions and Catalog'!$H$61+'Assumptions and Catalog'!$E$61+'Assumptions and Catalog'!$F$61,IF(((D292+E292)*C292)&lt;='Assumptions and Catalog'!$C$62,((D292+E292)*C292)*'Assumptions and Catalog'!$H$62+'Assumptions and Catalog'!$E$62+'Assumptions and Catalog'!$F$62,IF(((D292+E292)*C292)&lt;='Assumptions and Catalog'!$C$63,((D292+E292)*C292)*'Assumptions and Catalog'!$H$63+'Assumptions and Catalog'!$E$63+'Assumptions and Catalog'!$F$63,IF(((D292+E292)*C292)&lt;='Assumptions and Catalog'!$C$64,((D292+E292)*C292)*'Assumptions and Catalog'!$H$64+'Assumptions and Catalog'!$E$64+'Assumptions and Catalog'!$F$64,IF(((D292+E292)*C292)&lt;='Assumptions and Catalog'!$C$65,((D292+E292)*C292)*'Assumptions and Catalog'!$H$65+'Assumptions and Catalog'!$E$65+'Assumptions and Catalog'!$F$65,"Out of range")))))))))*(1+'Assumptions and Catalog'!$C$8)^(A292-1),0)</f>
        <v>8554.9666666666672</v>
      </c>
      <c r="N292" s="5">
        <f>IF(ISNUMBER(Inputs!$L$5),(IF(Inputs!$L$9="Actual flat rate",L292*Inputs!$L$10,IF(Inputs!$C$9="Residential",IF(L292&lt;='Assumptions and Catalog'!$C$50,L292*'Assumptions and Catalog'!$H$50+'Assumptions and Catalog'!$E$50+'Assumptions and Catalog'!$F$50,IF(L292&lt;='Assumptions and Catalog'!$C$51,L292*'Assumptions and Catalog'!$H$51+'Assumptions and Catalog'!$E$51+'Assumptions and Catalog'!$F$51,IF(L292&lt;='Assumptions and Catalog'!$C$52,L292*'Assumptions and Catalog'!$H$52+'Assumptions and Catalog'!$E$52+'Assumptions and Catalog'!$F$52,IF(L292&lt;='Assumptions and Catalog'!$C$53,L292*'Assumptions and Catalog'!$H$53+'Assumptions and Catalog'!$E$53+'Assumptions and Catalog'!$F$53,IF(L292&lt;='Assumptions and Catalog'!$C$54,L292*'Assumptions and Catalog'!$H$54+'Assumptions and Catalog'!$E$54+'Assumptions and Catalog'!$F$54,IF(L292&lt;='Assumptions and Catalog'!$C$55,L292*'Assumptions and Catalog'!$H$55+'Assumptions and Catalog'!$E$55+'Assumptions and Catalog'!$F$55,IF(L292&lt;='Assumptions and Catalog'!$C$56,L292*'Assumptions and Catalog'!$H$56+'Assumptions and Catalog'!$E$56+'Assumptions and Catalog'!$F$56,IF(L292&lt;='Assumptions and Catalog'!$C$57,L292*'Assumptions and Catalog'!$H$57+'Assumptions and Catalog'!$E$57+'Assumptions and Catalog'!$F$57,"Out of range")))))))),IF(L292&lt;='Assumptions and Catalog'!$C$60,L292*'Assumptions and Catalog'!$H$60+'Assumptions and Catalog'!$E$60+'Assumptions and Catalog'!$F$60,IF(L292&lt;='Assumptions and Catalog'!$C$61,L292*'Assumptions and Catalog'!$H$61+'Assumptions and Catalog'!$E$61+'Assumptions and Catalog'!$F$61,IF(L292&lt;='Assumptions and Catalog'!$C$62,L292*'Assumptions and Catalog'!$H$62+'Assumptions and Catalog'!$E$62+'Assumptions and Catalog'!$F$62,IF(L292&lt;='Assumptions and Catalog'!$C$63,L292*'Assumptions and Catalog'!$H$63+'Assumptions and Catalog'!$E$63+'Assumptions and Catalog'!$F$63,IF(L292&lt;='Assumptions and Catalog'!$C$64,L292*'Assumptions and Catalog'!$H$64+'Assumptions and Catalog'!$E$64+'Assumptions and Catalog'!$F$64,IF(L292&lt;='Assumptions and Catalog'!$C$65,L292*'Assumptions and Catalog'!$H$65+'Assumptions and Catalog'!$E$65+'Assumptions and Catalog'!$F$65,"Out of range")))))))))*(1+'Assumptions and Catalog'!$C$8)^(A292-1),0)</f>
        <v>5190.7826750859649</v>
      </c>
      <c r="O292" s="5">
        <f t="shared" si="24"/>
        <v>3364.1839915807022</v>
      </c>
      <c r="P292" s="5">
        <f>C$55*(1-J$14)*(1-'Assumptions and Catalog'!$C$23)^R292</f>
        <v>0</v>
      </c>
      <c r="Q292" s="5">
        <f>IF(ISNUMBER(Inputs!$L$5),(IF(Inputs!$L$9="Actual flat rate",((D292+E292)*C292-G292)*Inputs!$L$10,IF(Inputs!$C$9="Residential",IF(((D292+E292)*C292-G292)&lt;='Assumptions and Catalog'!$C$50,((D292+E292)*C292-G292)*'Assumptions and Catalog'!$H$50+'Assumptions and Catalog'!$E$50+'Assumptions and Catalog'!$F$50,IF(((D292+E292)*C292-G292)&lt;='Assumptions and Catalog'!$C$51,((D292+E292)*C292-G292)*'Assumptions and Catalog'!$H$51+'Assumptions and Catalog'!$E$51+'Assumptions and Catalog'!$F$51,IF(((D292+E292)*C292-G292)&lt;='Assumptions and Catalog'!$C$52,((D292+E292)*C292-G292)*'Assumptions and Catalog'!$H$52+'Assumptions and Catalog'!$E$52+'Assumptions and Catalog'!$F$52,IF(((D292+E292)*C292-G292)&lt;='Assumptions and Catalog'!$C$53,((D292+E292)*C292-G292)*'Assumptions and Catalog'!$H$53+'Assumptions and Catalog'!$E$53+'Assumptions and Catalog'!$F$53,IF(((D292+E292)*C292-G292)&lt;='Assumptions and Catalog'!$C$54,((D292+E292)*C292-G292)*'Assumptions and Catalog'!$H$54+'Assumptions and Catalog'!$E$54+'Assumptions and Catalog'!$F$54,IF(((D292+E292)*C292-G292)&lt;='Assumptions and Catalog'!$C$55,((D292+E292)*C292-G292)*'Assumptions and Catalog'!$H$55+'Assumptions and Catalog'!$E$55+'Assumptions and Catalog'!$F$55,IF(((D292+E292)*C292-G292)&lt;='Assumptions and Catalog'!$C$56,((D292+E292)*C292-G292)*'Assumptions and Catalog'!$H$56+'Assumptions and Catalog'!$E$56+'Assumptions and Catalog'!$F$56,IF(((D292+E292)*C292-G292)&lt;='Assumptions and Catalog'!$C$57,((D292+E292)*C292-G292)*'Assumptions and Catalog'!$H$57+'Assumptions and Catalog'!$E$57+'Assumptions and Catalog'!$F$57,"Out of range")))))))),IF(((D292+E292)*C292-G292)&lt;='Assumptions and Catalog'!$C$60,((D292+E292)*C292-G292)*'Assumptions and Catalog'!$H$60+'Assumptions and Catalog'!$E$60+'Assumptions and Catalog'!$F$60,IF(((D292+E292)*C292-G292)&lt;='Assumptions and Catalog'!$C$61,((D292+E292)*C292-G292)*'Assumptions and Catalog'!$H$61+'Assumptions and Catalog'!$E$61+'Assumptions and Catalog'!$F$61,IF(((D292+E292)*C292-G292)&lt;='Assumptions and Catalog'!$C$62,((D292+E292)*C292-G292)*'Assumptions and Catalog'!$H$62+'Assumptions and Catalog'!$E$62+'Assumptions and Catalog'!$F$62,IF(((D292+E292)*C292-G292)&lt;='Assumptions and Catalog'!$C$63,((D292+E292)*C292-G292)*'Assumptions and Catalog'!$H$63+'Assumptions and Catalog'!$E$63+'Assumptions and Catalog'!$F$63,IF(((D292+E292)*C292-G292)&lt;='Assumptions and Catalog'!$C$64,((D292+E292)*C292-G292)*'Assumptions and Catalog'!$H$64+'Assumptions and Catalog'!$E$64+'Assumptions and Catalog'!$F$64,IF(((D292+E292)*C292-G292)&lt;='Assumptions and Catalog'!$C$65,((D292+E292)*C292-G292)*'Assumptions and Catalog'!$H$65+'Assumptions and Catalog'!$E$65+'Assumptions and Catalog'!$F$65,"Out of range")))))))))*(1+'Assumptions and Catalog'!$C$8)^(A292-1),0)</f>
        <v>5190.7826750859649</v>
      </c>
      <c r="R292" s="5">
        <f>IF(AND('Assumptions and Catalog'!$C$19&gt;0,A292&gt;='Assumptions and Catalog'!$C$19),A292-'Assumptions and Catalog'!$C$19,A292-1)</f>
        <v>0</v>
      </c>
      <c r="S292" s="5">
        <f t="shared" si="25"/>
        <v>0</v>
      </c>
      <c r="T292" s="5"/>
      <c r="U292" s="5"/>
    </row>
    <row r="293" spans="1:21" ht="23.1" customHeight="1" outlineLevel="1" x14ac:dyDescent="0.2">
      <c r="A293" s="5">
        <v>12</v>
      </c>
      <c r="B293" s="5">
        <v>1</v>
      </c>
      <c r="C293" s="5">
        <f>DAY(DATE('Assumptions and Catalog'!$C$24+A293-1,B293+1,0))</f>
        <v>31</v>
      </c>
      <c r="D293" s="5">
        <f>IF(ISNUMBER(Inputs!$L$5),Inputs!$L$5*Inputs!$L$6,0)</f>
        <v>40.35</v>
      </c>
      <c r="E293" s="5">
        <f>IF(ISNUMBER(Inputs!$L$5),Inputs!$L$5-D293,0)</f>
        <v>40.35</v>
      </c>
      <c r="F293" s="5">
        <f>C$51*'Assumptions and Catalog'!$C$31*C293*(1-'Assumptions and Catalog'!$C$10)^(A293-1)</f>
        <v>978.8580742117158</v>
      </c>
      <c r="G293" s="5">
        <f t="shared" si="20"/>
        <v>978.8580742117158</v>
      </c>
      <c r="H293" s="5">
        <f>I293/('Assumptions and Catalog'!$C$11*'Assumptions and Catalog'!$C$12)</f>
        <v>0</v>
      </c>
      <c r="I293" s="5">
        <f>0</f>
        <v>0</v>
      </c>
      <c r="J293" s="5">
        <f t="shared" si="21"/>
        <v>0</v>
      </c>
      <c r="K293" s="5">
        <f t="shared" si="22"/>
        <v>0</v>
      </c>
      <c r="L293" s="5">
        <f t="shared" si="23"/>
        <v>1522.8419257882845</v>
      </c>
      <c r="M293" s="5">
        <f>IF(ISNUMBER(Inputs!$L$5),(IF(Inputs!$L$9="Actual flat rate",((D293+E293)*C293)*Inputs!$L$10,IF(Inputs!$C$9="Residential",IF(((D293+E293)*C293)&lt;='Assumptions and Catalog'!$C$50,((D293+E293)*C293)*'Assumptions and Catalog'!$H$50+'Assumptions and Catalog'!$E$50+'Assumptions and Catalog'!$F$50,IF(((D293+E293)*C293)&lt;='Assumptions and Catalog'!$C$51,((D293+E293)*C293)*'Assumptions and Catalog'!$H$51+'Assumptions and Catalog'!$E$51+'Assumptions and Catalog'!$F$51,IF(((D293+E293)*C293)&lt;='Assumptions and Catalog'!$C$52,((D293+E293)*C293)*'Assumptions and Catalog'!$H$52+'Assumptions and Catalog'!$E$52+'Assumptions and Catalog'!$F$52,IF(((D293+E293)*C293)&lt;='Assumptions and Catalog'!$C$53,((D293+E293)*C293)*'Assumptions and Catalog'!$H$53+'Assumptions and Catalog'!$E$53+'Assumptions and Catalog'!$F$53,IF(((D293+E293)*C293)&lt;='Assumptions and Catalog'!$C$54,((D293+E293)*C293)*'Assumptions and Catalog'!$H$54+'Assumptions and Catalog'!$E$54+'Assumptions and Catalog'!$F$54,IF(((D293+E293)*C293)&lt;='Assumptions and Catalog'!$C$55,((D293+E293)*C293)*'Assumptions and Catalog'!$H$55+'Assumptions and Catalog'!$E$55+'Assumptions and Catalog'!$F$55,IF(((D293+E293)*C293)&lt;='Assumptions and Catalog'!$C$56,((D293+E293)*C293)*'Assumptions and Catalog'!$H$56+'Assumptions and Catalog'!$E$56+'Assumptions and Catalog'!$F$56,IF(((D293+E293)*C293)&lt;='Assumptions and Catalog'!$C$57,((D293+E293)*C293)*'Assumptions and Catalog'!$H$57+'Assumptions and Catalog'!$E$57+'Assumptions and Catalog'!$F$57,"Out of range")))))))),IF(((D293+E293)*C293)&lt;='Assumptions and Catalog'!$C$60,((D293+E293)*C293)*'Assumptions and Catalog'!$H$60+'Assumptions and Catalog'!$E$60+'Assumptions and Catalog'!$F$60,IF(((D293+E293)*C293)&lt;='Assumptions and Catalog'!$C$61,((D293+E293)*C293)*'Assumptions and Catalog'!$H$61+'Assumptions and Catalog'!$E$61+'Assumptions and Catalog'!$F$61,IF(((D293+E293)*C293)&lt;='Assumptions and Catalog'!$C$62,((D293+E293)*C293)*'Assumptions and Catalog'!$H$62+'Assumptions and Catalog'!$E$62+'Assumptions and Catalog'!$F$62,IF(((D293+E293)*C293)&lt;='Assumptions and Catalog'!$C$63,((D293+E293)*C293)*'Assumptions and Catalog'!$H$63+'Assumptions and Catalog'!$E$63+'Assumptions and Catalog'!$F$63,IF(((D293+E293)*C293)&lt;='Assumptions and Catalog'!$C$64,((D293+E293)*C293)*'Assumptions and Catalog'!$H$64+'Assumptions and Catalog'!$E$64+'Assumptions and Catalog'!$F$64,IF(((D293+E293)*C293)&lt;='Assumptions and Catalog'!$C$65,((D293+E293)*C293)*'Assumptions and Catalog'!$H$65+'Assumptions and Catalog'!$E$65+'Assumptions and Catalog'!$F$65,"Out of range")))))))))*(1+'Assumptions and Catalog'!$C$8)^(A293-1),0)</f>
        <v>8554.9666666666672</v>
      </c>
      <c r="N293" s="5">
        <f>IF(ISNUMBER(Inputs!$L$5),(IF(Inputs!$L$9="Actual flat rate",L293*Inputs!$L$10,IF(Inputs!$C$9="Residential",IF(L293&lt;='Assumptions and Catalog'!$C$50,L293*'Assumptions and Catalog'!$H$50+'Assumptions and Catalog'!$E$50+'Assumptions and Catalog'!$F$50,IF(L293&lt;='Assumptions and Catalog'!$C$51,L293*'Assumptions and Catalog'!$H$51+'Assumptions and Catalog'!$E$51+'Assumptions and Catalog'!$F$51,IF(L293&lt;='Assumptions and Catalog'!$C$52,L293*'Assumptions and Catalog'!$H$52+'Assumptions and Catalog'!$E$52+'Assumptions and Catalog'!$F$52,IF(L293&lt;='Assumptions and Catalog'!$C$53,L293*'Assumptions and Catalog'!$H$53+'Assumptions and Catalog'!$E$53+'Assumptions and Catalog'!$F$53,IF(L293&lt;='Assumptions and Catalog'!$C$54,L293*'Assumptions and Catalog'!$H$54+'Assumptions and Catalog'!$E$54+'Assumptions and Catalog'!$F$54,IF(L293&lt;='Assumptions and Catalog'!$C$55,L293*'Assumptions and Catalog'!$H$55+'Assumptions and Catalog'!$E$55+'Assumptions and Catalog'!$F$55,IF(L293&lt;='Assumptions and Catalog'!$C$56,L293*'Assumptions and Catalog'!$H$56+'Assumptions and Catalog'!$E$56+'Assumptions and Catalog'!$F$56,IF(L293&lt;='Assumptions and Catalog'!$C$57,L293*'Assumptions and Catalog'!$H$57+'Assumptions and Catalog'!$E$57+'Assumptions and Catalog'!$F$57,"Out of range")))))))),IF(L293&lt;='Assumptions and Catalog'!$C$60,L293*'Assumptions and Catalog'!$H$60+'Assumptions and Catalog'!$E$60+'Assumptions and Catalog'!$F$60,IF(L293&lt;='Assumptions and Catalog'!$C$61,L293*'Assumptions and Catalog'!$H$61+'Assumptions and Catalog'!$E$61+'Assumptions and Catalog'!$F$61,IF(L293&lt;='Assumptions and Catalog'!$C$62,L293*'Assumptions and Catalog'!$H$62+'Assumptions and Catalog'!$E$62+'Assumptions and Catalog'!$F$62,IF(L293&lt;='Assumptions and Catalog'!$C$63,L293*'Assumptions and Catalog'!$H$63+'Assumptions and Catalog'!$E$63+'Assumptions and Catalog'!$F$63,IF(L293&lt;='Assumptions and Catalog'!$C$64,L293*'Assumptions and Catalog'!$H$64+'Assumptions and Catalog'!$E$64+'Assumptions and Catalog'!$F$64,IF(L293&lt;='Assumptions and Catalog'!$C$65,L293*'Assumptions and Catalog'!$H$65+'Assumptions and Catalog'!$E$65+'Assumptions and Catalog'!$F$65,"Out of range")))))))))*(1+'Assumptions and Catalog'!$C$8)^(A293-1),0)</f>
        <v>5207.6035950438691</v>
      </c>
      <c r="O293" s="5">
        <f t="shared" si="24"/>
        <v>3347.3630716227981</v>
      </c>
      <c r="P293" s="5">
        <f>C$55*(1-J$14)*(1-'Assumptions and Catalog'!$C$23)^R293</f>
        <v>0</v>
      </c>
      <c r="Q293" s="5">
        <f>IF(ISNUMBER(Inputs!$L$5),(IF(Inputs!$L$9="Actual flat rate",((D293+E293)*C293-G293)*Inputs!$L$10,IF(Inputs!$C$9="Residential",IF(((D293+E293)*C293-G293)&lt;='Assumptions and Catalog'!$C$50,((D293+E293)*C293-G293)*'Assumptions and Catalog'!$H$50+'Assumptions and Catalog'!$E$50+'Assumptions and Catalog'!$F$50,IF(((D293+E293)*C293-G293)&lt;='Assumptions and Catalog'!$C$51,((D293+E293)*C293-G293)*'Assumptions and Catalog'!$H$51+'Assumptions and Catalog'!$E$51+'Assumptions and Catalog'!$F$51,IF(((D293+E293)*C293-G293)&lt;='Assumptions and Catalog'!$C$52,((D293+E293)*C293-G293)*'Assumptions and Catalog'!$H$52+'Assumptions and Catalog'!$E$52+'Assumptions and Catalog'!$F$52,IF(((D293+E293)*C293-G293)&lt;='Assumptions and Catalog'!$C$53,((D293+E293)*C293-G293)*'Assumptions and Catalog'!$H$53+'Assumptions and Catalog'!$E$53+'Assumptions and Catalog'!$F$53,IF(((D293+E293)*C293-G293)&lt;='Assumptions and Catalog'!$C$54,((D293+E293)*C293-G293)*'Assumptions and Catalog'!$H$54+'Assumptions and Catalog'!$E$54+'Assumptions and Catalog'!$F$54,IF(((D293+E293)*C293-G293)&lt;='Assumptions and Catalog'!$C$55,((D293+E293)*C293-G293)*'Assumptions and Catalog'!$H$55+'Assumptions and Catalog'!$E$55+'Assumptions and Catalog'!$F$55,IF(((D293+E293)*C293-G293)&lt;='Assumptions and Catalog'!$C$56,((D293+E293)*C293-G293)*'Assumptions and Catalog'!$H$56+'Assumptions and Catalog'!$E$56+'Assumptions and Catalog'!$F$56,IF(((D293+E293)*C293-G293)&lt;='Assumptions and Catalog'!$C$57,((D293+E293)*C293-G293)*'Assumptions and Catalog'!$H$57+'Assumptions and Catalog'!$E$57+'Assumptions and Catalog'!$F$57,"Out of range")))))))),IF(((D293+E293)*C293-G293)&lt;='Assumptions and Catalog'!$C$60,((D293+E293)*C293-G293)*'Assumptions and Catalog'!$H$60+'Assumptions and Catalog'!$E$60+'Assumptions and Catalog'!$F$60,IF(((D293+E293)*C293-G293)&lt;='Assumptions and Catalog'!$C$61,((D293+E293)*C293-G293)*'Assumptions and Catalog'!$H$61+'Assumptions and Catalog'!$E$61+'Assumptions and Catalog'!$F$61,IF(((D293+E293)*C293-G293)&lt;='Assumptions and Catalog'!$C$62,((D293+E293)*C293-G293)*'Assumptions and Catalog'!$H$62+'Assumptions and Catalog'!$E$62+'Assumptions and Catalog'!$F$62,IF(((D293+E293)*C293-G293)&lt;='Assumptions and Catalog'!$C$63,((D293+E293)*C293-G293)*'Assumptions and Catalog'!$H$63+'Assumptions and Catalog'!$E$63+'Assumptions and Catalog'!$F$63,IF(((D293+E293)*C293-G293)&lt;='Assumptions and Catalog'!$C$64,((D293+E293)*C293-G293)*'Assumptions and Catalog'!$H$64+'Assumptions and Catalog'!$E$64+'Assumptions and Catalog'!$F$64,IF(((D293+E293)*C293-G293)&lt;='Assumptions and Catalog'!$C$65,((D293+E293)*C293-G293)*'Assumptions and Catalog'!$H$65+'Assumptions and Catalog'!$E$65+'Assumptions and Catalog'!$F$65,"Out of range")))))))))*(1+'Assumptions and Catalog'!$C$8)^(A293-1),0)</f>
        <v>5207.6035950438691</v>
      </c>
      <c r="R293" s="5">
        <f>IF(AND('Assumptions and Catalog'!$C$19&gt;0,A293&gt;='Assumptions and Catalog'!$C$19),A293-'Assumptions and Catalog'!$C$19,A293-1)</f>
        <v>1</v>
      </c>
      <c r="S293" s="5">
        <f t="shared" si="25"/>
        <v>0</v>
      </c>
      <c r="T293" s="5"/>
      <c r="U293" s="5"/>
    </row>
    <row r="294" spans="1:21" ht="23.1" customHeight="1" outlineLevel="1" x14ac:dyDescent="0.2">
      <c r="A294" s="5">
        <v>12</v>
      </c>
      <c r="B294" s="5">
        <v>2</v>
      </c>
      <c r="C294" s="5">
        <f>DAY(DATE('Assumptions and Catalog'!$C$24+A294-1,B294+1,0))</f>
        <v>28</v>
      </c>
      <c r="D294" s="5">
        <f>IF(ISNUMBER(Inputs!$L$5),Inputs!$L$5*Inputs!$L$6,0)</f>
        <v>40.35</v>
      </c>
      <c r="E294" s="5">
        <f>IF(ISNUMBER(Inputs!$L$5),Inputs!$L$5-D294,0)</f>
        <v>40.35</v>
      </c>
      <c r="F294" s="5">
        <f>C$51*'Assumptions and Catalog'!$C$31*C294*(1-'Assumptions and Catalog'!$C$10)^(A294-1)</f>
        <v>884.12987348154968</v>
      </c>
      <c r="G294" s="5">
        <f t="shared" si="20"/>
        <v>884.12987348154968</v>
      </c>
      <c r="H294" s="5">
        <f>I294/('Assumptions and Catalog'!$C$11*'Assumptions and Catalog'!$C$12)</f>
        <v>0</v>
      </c>
      <c r="I294" s="5">
        <f>0</f>
        <v>0</v>
      </c>
      <c r="J294" s="5">
        <f t="shared" si="21"/>
        <v>0</v>
      </c>
      <c r="K294" s="5">
        <f t="shared" si="22"/>
        <v>0</v>
      </c>
      <c r="L294" s="5">
        <f t="shared" si="23"/>
        <v>1375.4701265184503</v>
      </c>
      <c r="M294" s="5">
        <f>IF(ISNUMBER(Inputs!$L$5),(IF(Inputs!$L$9="Actual flat rate",((D294+E294)*C294)*Inputs!$L$10,IF(Inputs!$C$9="Residential",IF(((D294+E294)*C294)&lt;='Assumptions and Catalog'!$C$50,((D294+E294)*C294)*'Assumptions and Catalog'!$H$50+'Assumptions and Catalog'!$E$50+'Assumptions and Catalog'!$F$50,IF(((D294+E294)*C294)&lt;='Assumptions and Catalog'!$C$51,((D294+E294)*C294)*'Assumptions and Catalog'!$H$51+'Assumptions and Catalog'!$E$51+'Assumptions and Catalog'!$F$51,IF(((D294+E294)*C294)&lt;='Assumptions and Catalog'!$C$52,((D294+E294)*C294)*'Assumptions and Catalog'!$H$52+'Assumptions and Catalog'!$E$52+'Assumptions and Catalog'!$F$52,IF(((D294+E294)*C294)&lt;='Assumptions and Catalog'!$C$53,((D294+E294)*C294)*'Assumptions and Catalog'!$H$53+'Assumptions and Catalog'!$E$53+'Assumptions and Catalog'!$F$53,IF(((D294+E294)*C294)&lt;='Assumptions and Catalog'!$C$54,((D294+E294)*C294)*'Assumptions and Catalog'!$H$54+'Assumptions and Catalog'!$E$54+'Assumptions and Catalog'!$F$54,IF(((D294+E294)*C294)&lt;='Assumptions and Catalog'!$C$55,((D294+E294)*C294)*'Assumptions and Catalog'!$H$55+'Assumptions and Catalog'!$E$55+'Assumptions and Catalog'!$F$55,IF(((D294+E294)*C294)&lt;='Assumptions and Catalog'!$C$56,((D294+E294)*C294)*'Assumptions and Catalog'!$H$56+'Assumptions and Catalog'!$E$56+'Assumptions and Catalog'!$F$56,IF(((D294+E294)*C294)&lt;='Assumptions and Catalog'!$C$57,((D294+E294)*C294)*'Assumptions and Catalog'!$H$57+'Assumptions and Catalog'!$E$57+'Assumptions and Catalog'!$F$57,"Out of range")))))))),IF(((D294+E294)*C294)&lt;='Assumptions and Catalog'!$C$60,((D294+E294)*C294)*'Assumptions and Catalog'!$H$60+'Assumptions and Catalog'!$E$60+'Assumptions and Catalog'!$F$60,IF(((D294+E294)*C294)&lt;='Assumptions and Catalog'!$C$61,((D294+E294)*C294)*'Assumptions and Catalog'!$H$61+'Assumptions and Catalog'!$E$61+'Assumptions and Catalog'!$F$61,IF(((D294+E294)*C294)&lt;='Assumptions and Catalog'!$C$62,((D294+E294)*C294)*'Assumptions and Catalog'!$H$62+'Assumptions and Catalog'!$E$62+'Assumptions and Catalog'!$F$62,IF(((D294+E294)*C294)&lt;='Assumptions and Catalog'!$C$63,((D294+E294)*C294)*'Assumptions and Catalog'!$H$63+'Assumptions and Catalog'!$E$63+'Assumptions and Catalog'!$F$63,IF(((D294+E294)*C294)&lt;='Assumptions and Catalog'!$C$64,((D294+E294)*C294)*'Assumptions and Catalog'!$H$64+'Assumptions and Catalog'!$E$64+'Assumptions and Catalog'!$F$64,IF(((D294+E294)*C294)&lt;='Assumptions and Catalog'!$C$65,((D294+E294)*C294)*'Assumptions and Catalog'!$H$65+'Assumptions and Catalog'!$E$65+'Assumptions and Catalog'!$F$65,"Out of range")))))))))*(1+'Assumptions and Catalog'!$C$8)^(A294-1),0)</f>
        <v>7727.0666666666657</v>
      </c>
      <c r="N294" s="5">
        <f>IF(ISNUMBER(Inputs!$L$5),(IF(Inputs!$L$9="Actual flat rate",L294*Inputs!$L$10,IF(Inputs!$C$9="Residential",IF(L294&lt;='Assumptions and Catalog'!$C$50,L294*'Assumptions and Catalog'!$H$50+'Assumptions and Catalog'!$E$50+'Assumptions and Catalog'!$F$50,IF(L294&lt;='Assumptions and Catalog'!$C$51,L294*'Assumptions and Catalog'!$H$51+'Assumptions and Catalog'!$E$51+'Assumptions and Catalog'!$F$51,IF(L294&lt;='Assumptions and Catalog'!$C$52,L294*'Assumptions and Catalog'!$H$52+'Assumptions and Catalog'!$E$52+'Assumptions and Catalog'!$F$52,IF(L294&lt;='Assumptions and Catalog'!$C$53,L294*'Assumptions and Catalog'!$H$53+'Assumptions and Catalog'!$E$53+'Assumptions and Catalog'!$F$53,IF(L294&lt;='Assumptions and Catalog'!$C$54,L294*'Assumptions and Catalog'!$H$54+'Assumptions and Catalog'!$E$54+'Assumptions and Catalog'!$F$54,IF(L294&lt;='Assumptions and Catalog'!$C$55,L294*'Assumptions and Catalog'!$H$55+'Assumptions and Catalog'!$E$55+'Assumptions and Catalog'!$F$55,IF(L294&lt;='Assumptions and Catalog'!$C$56,L294*'Assumptions and Catalog'!$H$56+'Assumptions and Catalog'!$E$56+'Assumptions and Catalog'!$F$56,IF(L294&lt;='Assumptions and Catalog'!$C$57,L294*'Assumptions and Catalog'!$H$57+'Assumptions and Catalog'!$E$57+'Assumptions and Catalog'!$F$57,"Out of range")))))))),IF(L294&lt;='Assumptions and Catalog'!$C$60,L294*'Assumptions and Catalog'!$H$60+'Assumptions and Catalog'!$E$60+'Assumptions and Catalog'!$F$60,IF(L294&lt;='Assumptions and Catalog'!$C$61,L294*'Assumptions and Catalog'!$H$61+'Assumptions and Catalog'!$E$61+'Assumptions and Catalog'!$F$61,IF(L294&lt;='Assumptions and Catalog'!$C$62,L294*'Assumptions and Catalog'!$H$62+'Assumptions and Catalog'!$E$62+'Assumptions and Catalog'!$F$62,IF(L294&lt;='Assumptions and Catalog'!$C$63,L294*'Assumptions and Catalog'!$H$63+'Assumptions and Catalog'!$E$63+'Assumptions and Catalog'!$F$63,IF(L294&lt;='Assumptions and Catalog'!$C$64,L294*'Assumptions and Catalog'!$H$64+'Assumptions and Catalog'!$E$64+'Assumptions and Catalog'!$F$64,IF(L294&lt;='Assumptions and Catalog'!$C$65,L294*'Assumptions and Catalog'!$H$65+'Assumptions and Catalog'!$E$65+'Assumptions and Catalog'!$F$65,"Out of range")))))))))*(1+'Assumptions and Catalog'!$C$8)^(A294-1),0)</f>
        <v>4703.6419568138163</v>
      </c>
      <c r="O294" s="5">
        <f t="shared" si="24"/>
        <v>3023.4247098528494</v>
      </c>
      <c r="P294" s="5">
        <f>C$55*(1-J$14)*(1-'Assumptions and Catalog'!$C$23)^R294</f>
        <v>0</v>
      </c>
      <c r="Q294" s="5">
        <f>IF(ISNUMBER(Inputs!$L$5),(IF(Inputs!$L$9="Actual flat rate",((D294+E294)*C294-G294)*Inputs!$L$10,IF(Inputs!$C$9="Residential",IF(((D294+E294)*C294-G294)&lt;='Assumptions and Catalog'!$C$50,((D294+E294)*C294-G294)*'Assumptions and Catalog'!$H$50+'Assumptions and Catalog'!$E$50+'Assumptions and Catalog'!$F$50,IF(((D294+E294)*C294-G294)&lt;='Assumptions and Catalog'!$C$51,((D294+E294)*C294-G294)*'Assumptions and Catalog'!$H$51+'Assumptions and Catalog'!$E$51+'Assumptions and Catalog'!$F$51,IF(((D294+E294)*C294-G294)&lt;='Assumptions and Catalog'!$C$52,((D294+E294)*C294-G294)*'Assumptions and Catalog'!$H$52+'Assumptions and Catalog'!$E$52+'Assumptions and Catalog'!$F$52,IF(((D294+E294)*C294-G294)&lt;='Assumptions and Catalog'!$C$53,((D294+E294)*C294-G294)*'Assumptions and Catalog'!$H$53+'Assumptions and Catalog'!$E$53+'Assumptions and Catalog'!$F$53,IF(((D294+E294)*C294-G294)&lt;='Assumptions and Catalog'!$C$54,((D294+E294)*C294-G294)*'Assumptions and Catalog'!$H$54+'Assumptions and Catalog'!$E$54+'Assumptions and Catalog'!$F$54,IF(((D294+E294)*C294-G294)&lt;='Assumptions and Catalog'!$C$55,((D294+E294)*C294-G294)*'Assumptions and Catalog'!$H$55+'Assumptions and Catalog'!$E$55+'Assumptions and Catalog'!$F$55,IF(((D294+E294)*C294-G294)&lt;='Assumptions and Catalog'!$C$56,((D294+E294)*C294-G294)*'Assumptions and Catalog'!$H$56+'Assumptions and Catalog'!$E$56+'Assumptions and Catalog'!$F$56,IF(((D294+E294)*C294-G294)&lt;='Assumptions and Catalog'!$C$57,((D294+E294)*C294-G294)*'Assumptions and Catalog'!$H$57+'Assumptions and Catalog'!$E$57+'Assumptions and Catalog'!$F$57,"Out of range")))))))),IF(((D294+E294)*C294-G294)&lt;='Assumptions and Catalog'!$C$60,((D294+E294)*C294-G294)*'Assumptions and Catalog'!$H$60+'Assumptions and Catalog'!$E$60+'Assumptions and Catalog'!$F$60,IF(((D294+E294)*C294-G294)&lt;='Assumptions and Catalog'!$C$61,((D294+E294)*C294-G294)*'Assumptions and Catalog'!$H$61+'Assumptions and Catalog'!$E$61+'Assumptions and Catalog'!$F$61,IF(((D294+E294)*C294-G294)&lt;='Assumptions and Catalog'!$C$62,((D294+E294)*C294-G294)*'Assumptions and Catalog'!$H$62+'Assumptions and Catalog'!$E$62+'Assumptions and Catalog'!$F$62,IF(((D294+E294)*C294-G294)&lt;='Assumptions and Catalog'!$C$63,((D294+E294)*C294-G294)*'Assumptions and Catalog'!$H$63+'Assumptions and Catalog'!$E$63+'Assumptions and Catalog'!$F$63,IF(((D294+E294)*C294-G294)&lt;='Assumptions and Catalog'!$C$64,((D294+E294)*C294-G294)*'Assumptions and Catalog'!$H$64+'Assumptions and Catalog'!$E$64+'Assumptions and Catalog'!$F$64,IF(((D294+E294)*C294-G294)&lt;='Assumptions and Catalog'!$C$65,((D294+E294)*C294-G294)*'Assumptions and Catalog'!$H$65+'Assumptions and Catalog'!$E$65+'Assumptions and Catalog'!$F$65,"Out of range")))))))))*(1+'Assumptions and Catalog'!$C$8)^(A294-1),0)</f>
        <v>4703.6419568138163</v>
      </c>
      <c r="R294" s="5">
        <f>IF(AND('Assumptions and Catalog'!$C$19&gt;0,A294&gt;='Assumptions and Catalog'!$C$19),A294-'Assumptions and Catalog'!$C$19,A294-1)</f>
        <v>1</v>
      </c>
      <c r="S294" s="5">
        <f t="shared" si="25"/>
        <v>0</v>
      </c>
      <c r="T294" s="5"/>
      <c r="U294" s="5"/>
    </row>
    <row r="295" spans="1:21" ht="23.1" customHeight="1" outlineLevel="1" x14ac:dyDescent="0.2">
      <c r="A295" s="5">
        <v>12</v>
      </c>
      <c r="B295" s="5">
        <v>3</v>
      </c>
      <c r="C295" s="5">
        <f>DAY(DATE('Assumptions and Catalog'!$C$24+A295-1,B295+1,0))</f>
        <v>31</v>
      </c>
      <c r="D295" s="5">
        <f>IF(ISNUMBER(Inputs!$L$5),Inputs!$L$5*Inputs!$L$6,0)</f>
        <v>40.35</v>
      </c>
      <c r="E295" s="5">
        <f>IF(ISNUMBER(Inputs!$L$5),Inputs!$L$5-D295,0)</f>
        <v>40.35</v>
      </c>
      <c r="F295" s="5">
        <f>C$51*'Assumptions and Catalog'!$C$31*C295*(1-'Assumptions and Catalog'!$C$10)^(A295-1)</f>
        <v>978.8580742117158</v>
      </c>
      <c r="G295" s="5">
        <f t="shared" si="20"/>
        <v>978.8580742117158</v>
      </c>
      <c r="H295" s="5">
        <f>I295/('Assumptions and Catalog'!$C$11*'Assumptions and Catalog'!$C$12)</f>
        <v>0</v>
      </c>
      <c r="I295" s="5">
        <f>0</f>
        <v>0</v>
      </c>
      <c r="J295" s="5">
        <f t="shared" si="21"/>
        <v>0</v>
      </c>
      <c r="K295" s="5">
        <f t="shared" si="22"/>
        <v>0</v>
      </c>
      <c r="L295" s="5">
        <f t="shared" si="23"/>
        <v>1522.8419257882845</v>
      </c>
      <c r="M295" s="5">
        <f>IF(ISNUMBER(Inputs!$L$5),(IF(Inputs!$L$9="Actual flat rate",((D295+E295)*C295)*Inputs!$L$10,IF(Inputs!$C$9="Residential",IF(((D295+E295)*C295)&lt;='Assumptions and Catalog'!$C$50,((D295+E295)*C295)*'Assumptions and Catalog'!$H$50+'Assumptions and Catalog'!$E$50+'Assumptions and Catalog'!$F$50,IF(((D295+E295)*C295)&lt;='Assumptions and Catalog'!$C$51,((D295+E295)*C295)*'Assumptions and Catalog'!$H$51+'Assumptions and Catalog'!$E$51+'Assumptions and Catalog'!$F$51,IF(((D295+E295)*C295)&lt;='Assumptions and Catalog'!$C$52,((D295+E295)*C295)*'Assumptions and Catalog'!$H$52+'Assumptions and Catalog'!$E$52+'Assumptions and Catalog'!$F$52,IF(((D295+E295)*C295)&lt;='Assumptions and Catalog'!$C$53,((D295+E295)*C295)*'Assumptions and Catalog'!$H$53+'Assumptions and Catalog'!$E$53+'Assumptions and Catalog'!$F$53,IF(((D295+E295)*C295)&lt;='Assumptions and Catalog'!$C$54,((D295+E295)*C295)*'Assumptions and Catalog'!$H$54+'Assumptions and Catalog'!$E$54+'Assumptions and Catalog'!$F$54,IF(((D295+E295)*C295)&lt;='Assumptions and Catalog'!$C$55,((D295+E295)*C295)*'Assumptions and Catalog'!$H$55+'Assumptions and Catalog'!$E$55+'Assumptions and Catalog'!$F$55,IF(((D295+E295)*C295)&lt;='Assumptions and Catalog'!$C$56,((D295+E295)*C295)*'Assumptions and Catalog'!$H$56+'Assumptions and Catalog'!$E$56+'Assumptions and Catalog'!$F$56,IF(((D295+E295)*C295)&lt;='Assumptions and Catalog'!$C$57,((D295+E295)*C295)*'Assumptions and Catalog'!$H$57+'Assumptions and Catalog'!$E$57+'Assumptions and Catalog'!$F$57,"Out of range")))))))),IF(((D295+E295)*C295)&lt;='Assumptions and Catalog'!$C$60,((D295+E295)*C295)*'Assumptions and Catalog'!$H$60+'Assumptions and Catalog'!$E$60+'Assumptions and Catalog'!$F$60,IF(((D295+E295)*C295)&lt;='Assumptions and Catalog'!$C$61,((D295+E295)*C295)*'Assumptions and Catalog'!$H$61+'Assumptions and Catalog'!$E$61+'Assumptions and Catalog'!$F$61,IF(((D295+E295)*C295)&lt;='Assumptions and Catalog'!$C$62,((D295+E295)*C295)*'Assumptions and Catalog'!$H$62+'Assumptions and Catalog'!$E$62+'Assumptions and Catalog'!$F$62,IF(((D295+E295)*C295)&lt;='Assumptions and Catalog'!$C$63,((D295+E295)*C295)*'Assumptions and Catalog'!$H$63+'Assumptions and Catalog'!$E$63+'Assumptions and Catalog'!$F$63,IF(((D295+E295)*C295)&lt;='Assumptions and Catalog'!$C$64,((D295+E295)*C295)*'Assumptions and Catalog'!$H$64+'Assumptions and Catalog'!$E$64+'Assumptions and Catalog'!$F$64,IF(((D295+E295)*C295)&lt;='Assumptions and Catalog'!$C$65,((D295+E295)*C295)*'Assumptions and Catalog'!$H$65+'Assumptions and Catalog'!$E$65+'Assumptions and Catalog'!$F$65,"Out of range")))))))))*(1+'Assumptions and Catalog'!$C$8)^(A295-1),0)</f>
        <v>8554.9666666666672</v>
      </c>
      <c r="N295" s="5">
        <f>IF(ISNUMBER(Inputs!$L$5),(IF(Inputs!$L$9="Actual flat rate",L295*Inputs!$L$10,IF(Inputs!$C$9="Residential",IF(L295&lt;='Assumptions and Catalog'!$C$50,L295*'Assumptions and Catalog'!$H$50+'Assumptions and Catalog'!$E$50+'Assumptions and Catalog'!$F$50,IF(L295&lt;='Assumptions and Catalog'!$C$51,L295*'Assumptions and Catalog'!$H$51+'Assumptions and Catalog'!$E$51+'Assumptions and Catalog'!$F$51,IF(L295&lt;='Assumptions and Catalog'!$C$52,L295*'Assumptions and Catalog'!$H$52+'Assumptions and Catalog'!$E$52+'Assumptions and Catalog'!$F$52,IF(L295&lt;='Assumptions and Catalog'!$C$53,L295*'Assumptions and Catalog'!$H$53+'Assumptions and Catalog'!$E$53+'Assumptions and Catalog'!$F$53,IF(L295&lt;='Assumptions and Catalog'!$C$54,L295*'Assumptions and Catalog'!$H$54+'Assumptions and Catalog'!$E$54+'Assumptions and Catalog'!$F$54,IF(L295&lt;='Assumptions and Catalog'!$C$55,L295*'Assumptions and Catalog'!$H$55+'Assumptions and Catalog'!$E$55+'Assumptions and Catalog'!$F$55,IF(L295&lt;='Assumptions and Catalog'!$C$56,L295*'Assumptions and Catalog'!$H$56+'Assumptions and Catalog'!$E$56+'Assumptions and Catalog'!$F$56,IF(L295&lt;='Assumptions and Catalog'!$C$57,L295*'Assumptions and Catalog'!$H$57+'Assumptions and Catalog'!$E$57+'Assumptions and Catalog'!$F$57,"Out of range")))))))),IF(L295&lt;='Assumptions and Catalog'!$C$60,L295*'Assumptions and Catalog'!$H$60+'Assumptions and Catalog'!$E$60+'Assumptions and Catalog'!$F$60,IF(L295&lt;='Assumptions and Catalog'!$C$61,L295*'Assumptions and Catalog'!$H$61+'Assumptions and Catalog'!$E$61+'Assumptions and Catalog'!$F$61,IF(L295&lt;='Assumptions and Catalog'!$C$62,L295*'Assumptions and Catalog'!$H$62+'Assumptions and Catalog'!$E$62+'Assumptions and Catalog'!$F$62,IF(L295&lt;='Assumptions and Catalog'!$C$63,L295*'Assumptions and Catalog'!$H$63+'Assumptions and Catalog'!$E$63+'Assumptions and Catalog'!$F$63,IF(L295&lt;='Assumptions and Catalog'!$C$64,L295*'Assumptions and Catalog'!$H$64+'Assumptions and Catalog'!$E$64+'Assumptions and Catalog'!$F$64,IF(L295&lt;='Assumptions and Catalog'!$C$65,L295*'Assumptions and Catalog'!$H$65+'Assumptions and Catalog'!$E$65+'Assumptions and Catalog'!$F$65,"Out of range")))))))))*(1+'Assumptions and Catalog'!$C$8)^(A295-1),0)</f>
        <v>5207.6035950438691</v>
      </c>
      <c r="O295" s="5">
        <f t="shared" si="24"/>
        <v>3347.3630716227981</v>
      </c>
      <c r="P295" s="5">
        <f>C$55*(1-J$14)*(1-'Assumptions and Catalog'!$C$23)^R295</f>
        <v>0</v>
      </c>
      <c r="Q295" s="5">
        <f>IF(ISNUMBER(Inputs!$L$5),(IF(Inputs!$L$9="Actual flat rate",((D295+E295)*C295-G295)*Inputs!$L$10,IF(Inputs!$C$9="Residential",IF(((D295+E295)*C295-G295)&lt;='Assumptions and Catalog'!$C$50,((D295+E295)*C295-G295)*'Assumptions and Catalog'!$H$50+'Assumptions and Catalog'!$E$50+'Assumptions and Catalog'!$F$50,IF(((D295+E295)*C295-G295)&lt;='Assumptions and Catalog'!$C$51,((D295+E295)*C295-G295)*'Assumptions and Catalog'!$H$51+'Assumptions and Catalog'!$E$51+'Assumptions and Catalog'!$F$51,IF(((D295+E295)*C295-G295)&lt;='Assumptions and Catalog'!$C$52,((D295+E295)*C295-G295)*'Assumptions and Catalog'!$H$52+'Assumptions and Catalog'!$E$52+'Assumptions and Catalog'!$F$52,IF(((D295+E295)*C295-G295)&lt;='Assumptions and Catalog'!$C$53,((D295+E295)*C295-G295)*'Assumptions and Catalog'!$H$53+'Assumptions and Catalog'!$E$53+'Assumptions and Catalog'!$F$53,IF(((D295+E295)*C295-G295)&lt;='Assumptions and Catalog'!$C$54,((D295+E295)*C295-G295)*'Assumptions and Catalog'!$H$54+'Assumptions and Catalog'!$E$54+'Assumptions and Catalog'!$F$54,IF(((D295+E295)*C295-G295)&lt;='Assumptions and Catalog'!$C$55,((D295+E295)*C295-G295)*'Assumptions and Catalog'!$H$55+'Assumptions and Catalog'!$E$55+'Assumptions and Catalog'!$F$55,IF(((D295+E295)*C295-G295)&lt;='Assumptions and Catalog'!$C$56,((D295+E295)*C295-G295)*'Assumptions and Catalog'!$H$56+'Assumptions and Catalog'!$E$56+'Assumptions and Catalog'!$F$56,IF(((D295+E295)*C295-G295)&lt;='Assumptions and Catalog'!$C$57,((D295+E295)*C295-G295)*'Assumptions and Catalog'!$H$57+'Assumptions and Catalog'!$E$57+'Assumptions and Catalog'!$F$57,"Out of range")))))))),IF(((D295+E295)*C295-G295)&lt;='Assumptions and Catalog'!$C$60,((D295+E295)*C295-G295)*'Assumptions and Catalog'!$H$60+'Assumptions and Catalog'!$E$60+'Assumptions and Catalog'!$F$60,IF(((D295+E295)*C295-G295)&lt;='Assumptions and Catalog'!$C$61,((D295+E295)*C295-G295)*'Assumptions and Catalog'!$H$61+'Assumptions and Catalog'!$E$61+'Assumptions and Catalog'!$F$61,IF(((D295+E295)*C295-G295)&lt;='Assumptions and Catalog'!$C$62,((D295+E295)*C295-G295)*'Assumptions and Catalog'!$H$62+'Assumptions and Catalog'!$E$62+'Assumptions and Catalog'!$F$62,IF(((D295+E295)*C295-G295)&lt;='Assumptions and Catalog'!$C$63,((D295+E295)*C295-G295)*'Assumptions and Catalog'!$H$63+'Assumptions and Catalog'!$E$63+'Assumptions and Catalog'!$F$63,IF(((D295+E295)*C295-G295)&lt;='Assumptions and Catalog'!$C$64,((D295+E295)*C295-G295)*'Assumptions and Catalog'!$H$64+'Assumptions and Catalog'!$E$64+'Assumptions and Catalog'!$F$64,IF(((D295+E295)*C295-G295)&lt;='Assumptions and Catalog'!$C$65,((D295+E295)*C295-G295)*'Assumptions and Catalog'!$H$65+'Assumptions and Catalog'!$E$65+'Assumptions and Catalog'!$F$65,"Out of range")))))))))*(1+'Assumptions and Catalog'!$C$8)^(A295-1),0)</f>
        <v>5207.6035950438691</v>
      </c>
      <c r="R295" s="5">
        <f>IF(AND('Assumptions and Catalog'!$C$19&gt;0,A295&gt;='Assumptions and Catalog'!$C$19),A295-'Assumptions and Catalog'!$C$19,A295-1)</f>
        <v>1</v>
      </c>
      <c r="S295" s="5">
        <f t="shared" si="25"/>
        <v>0</v>
      </c>
      <c r="T295" s="5"/>
      <c r="U295" s="5"/>
    </row>
    <row r="296" spans="1:21" ht="23.1" customHeight="1" outlineLevel="1" x14ac:dyDescent="0.2">
      <c r="A296" s="5">
        <v>12</v>
      </c>
      <c r="B296" s="5">
        <v>4</v>
      </c>
      <c r="C296" s="5">
        <f>DAY(DATE('Assumptions and Catalog'!$C$24+A296-1,B296+1,0))</f>
        <v>30</v>
      </c>
      <c r="D296" s="5">
        <f>IF(ISNUMBER(Inputs!$L$5),Inputs!$L$5*Inputs!$L$6,0)</f>
        <v>40.35</v>
      </c>
      <c r="E296" s="5">
        <f>IF(ISNUMBER(Inputs!$L$5),Inputs!$L$5-D296,0)</f>
        <v>40.35</v>
      </c>
      <c r="F296" s="5">
        <f>C$51*'Assumptions and Catalog'!$C$31*C296*(1-'Assumptions and Catalog'!$C$10)^(A296-1)</f>
        <v>947.28200730166043</v>
      </c>
      <c r="G296" s="5">
        <f t="shared" si="20"/>
        <v>947.28200730166043</v>
      </c>
      <c r="H296" s="5">
        <f>I296/('Assumptions and Catalog'!$C$11*'Assumptions and Catalog'!$C$12)</f>
        <v>0</v>
      </c>
      <c r="I296" s="5">
        <f>0</f>
        <v>0</v>
      </c>
      <c r="J296" s="5">
        <f t="shared" si="21"/>
        <v>0</v>
      </c>
      <c r="K296" s="5">
        <f t="shared" si="22"/>
        <v>0</v>
      </c>
      <c r="L296" s="5">
        <f t="shared" si="23"/>
        <v>1473.7179926983395</v>
      </c>
      <c r="M296" s="5">
        <f>IF(ISNUMBER(Inputs!$L$5),(IF(Inputs!$L$9="Actual flat rate",((D296+E296)*C296)*Inputs!$L$10,IF(Inputs!$C$9="Residential",IF(((D296+E296)*C296)&lt;='Assumptions and Catalog'!$C$50,((D296+E296)*C296)*'Assumptions and Catalog'!$H$50+'Assumptions and Catalog'!$E$50+'Assumptions and Catalog'!$F$50,IF(((D296+E296)*C296)&lt;='Assumptions and Catalog'!$C$51,((D296+E296)*C296)*'Assumptions and Catalog'!$H$51+'Assumptions and Catalog'!$E$51+'Assumptions and Catalog'!$F$51,IF(((D296+E296)*C296)&lt;='Assumptions and Catalog'!$C$52,((D296+E296)*C296)*'Assumptions and Catalog'!$H$52+'Assumptions and Catalog'!$E$52+'Assumptions and Catalog'!$F$52,IF(((D296+E296)*C296)&lt;='Assumptions and Catalog'!$C$53,((D296+E296)*C296)*'Assumptions and Catalog'!$H$53+'Assumptions and Catalog'!$E$53+'Assumptions and Catalog'!$F$53,IF(((D296+E296)*C296)&lt;='Assumptions and Catalog'!$C$54,((D296+E296)*C296)*'Assumptions and Catalog'!$H$54+'Assumptions and Catalog'!$E$54+'Assumptions and Catalog'!$F$54,IF(((D296+E296)*C296)&lt;='Assumptions and Catalog'!$C$55,((D296+E296)*C296)*'Assumptions and Catalog'!$H$55+'Assumptions and Catalog'!$E$55+'Assumptions and Catalog'!$F$55,IF(((D296+E296)*C296)&lt;='Assumptions and Catalog'!$C$56,((D296+E296)*C296)*'Assumptions and Catalog'!$H$56+'Assumptions and Catalog'!$E$56+'Assumptions and Catalog'!$F$56,IF(((D296+E296)*C296)&lt;='Assumptions and Catalog'!$C$57,((D296+E296)*C296)*'Assumptions and Catalog'!$H$57+'Assumptions and Catalog'!$E$57+'Assumptions and Catalog'!$F$57,"Out of range")))))))),IF(((D296+E296)*C296)&lt;='Assumptions and Catalog'!$C$60,((D296+E296)*C296)*'Assumptions and Catalog'!$H$60+'Assumptions and Catalog'!$E$60+'Assumptions and Catalog'!$F$60,IF(((D296+E296)*C296)&lt;='Assumptions and Catalog'!$C$61,((D296+E296)*C296)*'Assumptions and Catalog'!$H$61+'Assumptions and Catalog'!$E$61+'Assumptions and Catalog'!$F$61,IF(((D296+E296)*C296)&lt;='Assumptions and Catalog'!$C$62,((D296+E296)*C296)*'Assumptions and Catalog'!$H$62+'Assumptions and Catalog'!$E$62+'Assumptions and Catalog'!$F$62,IF(((D296+E296)*C296)&lt;='Assumptions and Catalog'!$C$63,((D296+E296)*C296)*'Assumptions and Catalog'!$H$63+'Assumptions and Catalog'!$E$63+'Assumptions and Catalog'!$F$63,IF(((D296+E296)*C296)&lt;='Assumptions and Catalog'!$C$64,((D296+E296)*C296)*'Assumptions and Catalog'!$H$64+'Assumptions and Catalog'!$E$64+'Assumptions and Catalog'!$F$64,IF(((D296+E296)*C296)&lt;='Assumptions and Catalog'!$C$65,((D296+E296)*C296)*'Assumptions and Catalog'!$H$65+'Assumptions and Catalog'!$E$65+'Assumptions and Catalog'!$F$65,"Out of range")))))))))*(1+'Assumptions and Catalog'!$C$8)^(A296-1),0)</f>
        <v>8279</v>
      </c>
      <c r="N296" s="5">
        <f>IF(ISNUMBER(Inputs!$L$5),(IF(Inputs!$L$9="Actual flat rate",L296*Inputs!$L$10,IF(Inputs!$C$9="Residential",IF(L296&lt;='Assumptions and Catalog'!$C$50,L296*'Assumptions and Catalog'!$H$50+'Assumptions and Catalog'!$E$50+'Assumptions and Catalog'!$F$50,IF(L296&lt;='Assumptions and Catalog'!$C$51,L296*'Assumptions and Catalog'!$H$51+'Assumptions and Catalog'!$E$51+'Assumptions and Catalog'!$F$51,IF(L296&lt;='Assumptions and Catalog'!$C$52,L296*'Assumptions and Catalog'!$H$52+'Assumptions and Catalog'!$E$52+'Assumptions and Catalog'!$F$52,IF(L296&lt;='Assumptions and Catalog'!$C$53,L296*'Assumptions and Catalog'!$H$53+'Assumptions and Catalog'!$E$53+'Assumptions and Catalog'!$F$53,IF(L296&lt;='Assumptions and Catalog'!$C$54,L296*'Assumptions and Catalog'!$H$54+'Assumptions and Catalog'!$E$54+'Assumptions and Catalog'!$F$54,IF(L296&lt;='Assumptions and Catalog'!$C$55,L296*'Assumptions and Catalog'!$H$55+'Assumptions and Catalog'!$E$55+'Assumptions and Catalog'!$F$55,IF(L296&lt;='Assumptions and Catalog'!$C$56,L296*'Assumptions and Catalog'!$H$56+'Assumptions and Catalog'!$E$56+'Assumptions and Catalog'!$F$56,IF(L296&lt;='Assumptions and Catalog'!$C$57,L296*'Assumptions and Catalog'!$H$57+'Assumptions and Catalog'!$E$57+'Assumptions and Catalog'!$F$57,"Out of range")))))))),IF(L296&lt;='Assumptions and Catalog'!$C$60,L296*'Assumptions and Catalog'!$H$60+'Assumptions and Catalog'!$E$60+'Assumptions and Catalog'!$F$60,IF(L296&lt;='Assumptions and Catalog'!$C$61,L296*'Assumptions and Catalog'!$H$61+'Assumptions and Catalog'!$E$61+'Assumptions and Catalog'!$F$61,IF(L296&lt;='Assumptions and Catalog'!$C$62,L296*'Assumptions and Catalog'!$H$62+'Assumptions and Catalog'!$E$62+'Assumptions and Catalog'!$F$62,IF(L296&lt;='Assumptions and Catalog'!$C$63,L296*'Assumptions and Catalog'!$H$63+'Assumptions and Catalog'!$E$63+'Assumptions and Catalog'!$F$63,IF(L296&lt;='Assumptions and Catalog'!$C$64,L296*'Assumptions and Catalog'!$H$64+'Assumptions and Catalog'!$E$64+'Assumptions and Catalog'!$F$64,IF(L296&lt;='Assumptions and Catalog'!$C$65,L296*'Assumptions and Catalog'!$H$65+'Assumptions and Catalog'!$E$65+'Assumptions and Catalog'!$F$65,"Out of range")))))))))*(1+'Assumptions and Catalog'!$C$8)^(A296-1),0)</f>
        <v>5039.6163823005172</v>
      </c>
      <c r="O296" s="5">
        <f t="shared" si="24"/>
        <v>3239.3836176994828</v>
      </c>
      <c r="P296" s="5">
        <f>C$55*(1-J$14)*(1-'Assumptions and Catalog'!$C$23)^R296</f>
        <v>0</v>
      </c>
      <c r="Q296" s="5">
        <f>IF(ISNUMBER(Inputs!$L$5),(IF(Inputs!$L$9="Actual flat rate",((D296+E296)*C296-G296)*Inputs!$L$10,IF(Inputs!$C$9="Residential",IF(((D296+E296)*C296-G296)&lt;='Assumptions and Catalog'!$C$50,((D296+E296)*C296-G296)*'Assumptions and Catalog'!$H$50+'Assumptions and Catalog'!$E$50+'Assumptions and Catalog'!$F$50,IF(((D296+E296)*C296-G296)&lt;='Assumptions and Catalog'!$C$51,((D296+E296)*C296-G296)*'Assumptions and Catalog'!$H$51+'Assumptions and Catalog'!$E$51+'Assumptions and Catalog'!$F$51,IF(((D296+E296)*C296-G296)&lt;='Assumptions and Catalog'!$C$52,((D296+E296)*C296-G296)*'Assumptions and Catalog'!$H$52+'Assumptions and Catalog'!$E$52+'Assumptions and Catalog'!$F$52,IF(((D296+E296)*C296-G296)&lt;='Assumptions and Catalog'!$C$53,((D296+E296)*C296-G296)*'Assumptions and Catalog'!$H$53+'Assumptions and Catalog'!$E$53+'Assumptions and Catalog'!$F$53,IF(((D296+E296)*C296-G296)&lt;='Assumptions and Catalog'!$C$54,((D296+E296)*C296-G296)*'Assumptions and Catalog'!$H$54+'Assumptions and Catalog'!$E$54+'Assumptions and Catalog'!$F$54,IF(((D296+E296)*C296-G296)&lt;='Assumptions and Catalog'!$C$55,((D296+E296)*C296-G296)*'Assumptions and Catalog'!$H$55+'Assumptions and Catalog'!$E$55+'Assumptions and Catalog'!$F$55,IF(((D296+E296)*C296-G296)&lt;='Assumptions and Catalog'!$C$56,((D296+E296)*C296-G296)*'Assumptions and Catalog'!$H$56+'Assumptions and Catalog'!$E$56+'Assumptions and Catalog'!$F$56,IF(((D296+E296)*C296-G296)&lt;='Assumptions and Catalog'!$C$57,((D296+E296)*C296-G296)*'Assumptions and Catalog'!$H$57+'Assumptions and Catalog'!$E$57+'Assumptions and Catalog'!$F$57,"Out of range")))))))),IF(((D296+E296)*C296-G296)&lt;='Assumptions and Catalog'!$C$60,((D296+E296)*C296-G296)*'Assumptions and Catalog'!$H$60+'Assumptions and Catalog'!$E$60+'Assumptions and Catalog'!$F$60,IF(((D296+E296)*C296-G296)&lt;='Assumptions and Catalog'!$C$61,((D296+E296)*C296-G296)*'Assumptions and Catalog'!$H$61+'Assumptions and Catalog'!$E$61+'Assumptions and Catalog'!$F$61,IF(((D296+E296)*C296-G296)&lt;='Assumptions and Catalog'!$C$62,((D296+E296)*C296-G296)*'Assumptions and Catalog'!$H$62+'Assumptions and Catalog'!$E$62+'Assumptions and Catalog'!$F$62,IF(((D296+E296)*C296-G296)&lt;='Assumptions and Catalog'!$C$63,((D296+E296)*C296-G296)*'Assumptions and Catalog'!$H$63+'Assumptions and Catalog'!$E$63+'Assumptions and Catalog'!$F$63,IF(((D296+E296)*C296-G296)&lt;='Assumptions and Catalog'!$C$64,((D296+E296)*C296-G296)*'Assumptions and Catalog'!$H$64+'Assumptions and Catalog'!$E$64+'Assumptions and Catalog'!$F$64,IF(((D296+E296)*C296-G296)&lt;='Assumptions and Catalog'!$C$65,((D296+E296)*C296-G296)*'Assumptions and Catalog'!$H$65+'Assumptions and Catalog'!$E$65+'Assumptions and Catalog'!$F$65,"Out of range")))))))))*(1+'Assumptions and Catalog'!$C$8)^(A296-1),0)</f>
        <v>5039.6163823005172</v>
      </c>
      <c r="R296" s="5">
        <f>IF(AND('Assumptions and Catalog'!$C$19&gt;0,A296&gt;='Assumptions and Catalog'!$C$19),A296-'Assumptions and Catalog'!$C$19,A296-1)</f>
        <v>1</v>
      </c>
      <c r="S296" s="5">
        <f t="shared" si="25"/>
        <v>0</v>
      </c>
      <c r="T296" s="5"/>
      <c r="U296" s="5"/>
    </row>
    <row r="297" spans="1:21" ht="23.1" customHeight="1" outlineLevel="1" x14ac:dyDescent="0.2">
      <c r="A297" s="5">
        <v>12</v>
      </c>
      <c r="B297" s="5">
        <v>5</v>
      </c>
      <c r="C297" s="5">
        <f>DAY(DATE('Assumptions and Catalog'!$C$24+A297-1,B297+1,0))</f>
        <v>31</v>
      </c>
      <c r="D297" s="5">
        <f>IF(ISNUMBER(Inputs!$L$5),Inputs!$L$5*Inputs!$L$6,0)</f>
        <v>40.35</v>
      </c>
      <c r="E297" s="5">
        <f>IF(ISNUMBER(Inputs!$L$5),Inputs!$L$5-D297,0)</f>
        <v>40.35</v>
      </c>
      <c r="F297" s="5">
        <f>C$51*'Assumptions and Catalog'!$C$31*C297*(1-'Assumptions and Catalog'!$C$10)^(A297-1)</f>
        <v>978.8580742117158</v>
      </c>
      <c r="G297" s="5">
        <f t="shared" si="20"/>
        <v>978.8580742117158</v>
      </c>
      <c r="H297" s="5">
        <f>I297/('Assumptions and Catalog'!$C$11*'Assumptions and Catalog'!$C$12)</f>
        <v>0</v>
      </c>
      <c r="I297" s="5">
        <f>0</f>
        <v>0</v>
      </c>
      <c r="J297" s="5">
        <f t="shared" si="21"/>
        <v>0</v>
      </c>
      <c r="K297" s="5">
        <f t="shared" si="22"/>
        <v>0</v>
      </c>
      <c r="L297" s="5">
        <f t="shared" si="23"/>
        <v>1522.8419257882845</v>
      </c>
      <c r="M297" s="5">
        <f>IF(ISNUMBER(Inputs!$L$5),(IF(Inputs!$L$9="Actual flat rate",((D297+E297)*C297)*Inputs!$L$10,IF(Inputs!$C$9="Residential",IF(((D297+E297)*C297)&lt;='Assumptions and Catalog'!$C$50,((D297+E297)*C297)*'Assumptions and Catalog'!$H$50+'Assumptions and Catalog'!$E$50+'Assumptions and Catalog'!$F$50,IF(((D297+E297)*C297)&lt;='Assumptions and Catalog'!$C$51,((D297+E297)*C297)*'Assumptions and Catalog'!$H$51+'Assumptions and Catalog'!$E$51+'Assumptions and Catalog'!$F$51,IF(((D297+E297)*C297)&lt;='Assumptions and Catalog'!$C$52,((D297+E297)*C297)*'Assumptions and Catalog'!$H$52+'Assumptions and Catalog'!$E$52+'Assumptions and Catalog'!$F$52,IF(((D297+E297)*C297)&lt;='Assumptions and Catalog'!$C$53,((D297+E297)*C297)*'Assumptions and Catalog'!$H$53+'Assumptions and Catalog'!$E$53+'Assumptions and Catalog'!$F$53,IF(((D297+E297)*C297)&lt;='Assumptions and Catalog'!$C$54,((D297+E297)*C297)*'Assumptions and Catalog'!$H$54+'Assumptions and Catalog'!$E$54+'Assumptions and Catalog'!$F$54,IF(((D297+E297)*C297)&lt;='Assumptions and Catalog'!$C$55,((D297+E297)*C297)*'Assumptions and Catalog'!$H$55+'Assumptions and Catalog'!$E$55+'Assumptions and Catalog'!$F$55,IF(((D297+E297)*C297)&lt;='Assumptions and Catalog'!$C$56,((D297+E297)*C297)*'Assumptions and Catalog'!$H$56+'Assumptions and Catalog'!$E$56+'Assumptions and Catalog'!$F$56,IF(((D297+E297)*C297)&lt;='Assumptions and Catalog'!$C$57,((D297+E297)*C297)*'Assumptions and Catalog'!$H$57+'Assumptions and Catalog'!$E$57+'Assumptions and Catalog'!$F$57,"Out of range")))))))),IF(((D297+E297)*C297)&lt;='Assumptions and Catalog'!$C$60,((D297+E297)*C297)*'Assumptions and Catalog'!$H$60+'Assumptions and Catalog'!$E$60+'Assumptions and Catalog'!$F$60,IF(((D297+E297)*C297)&lt;='Assumptions and Catalog'!$C$61,((D297+E297)*C297)*'Assumptions and Catalog'!$H$61+'Assumptions and Catalog'!$E$61+'Assumptions and Catalog'!$F$61,IF(((D297+E297)*C297)&lt;='Assumptions and Catalog'!$C$62,((D297+E297)*C297)*'Assumptions and Catalog'!$H$62+'Assumptions and Catalog'!$E$62+'Assumptions and Catalog'!$F$62,IF(((D297+E297)*C297)&lt;='Assumptions and Catalog'!$C$63,((D297+E297)*C297)*'Assumptions and Catalog'!$H$63+'Assumptions and Catalog'!$E$63+'Assumptions and Catalog'!$F$63,IF(((D297+E297)*C297)&lt;='Assumptions and Catalog'!$C$64,((D297+E297)*C297)*'Assumptions and Catalog'!$H$64+'Assumptions and Catalog'!$E$64+'Assumptions and Catalog'!$F$64,IF(((D297+E297)*C297)&lt;='Assumptions and Catalog'!$C$65,((D297+E297)*C297)*'Assumptions and Catalog'!$H$65+'Assumptions and Catalog'!$E$65+'Assumptions and Catalog'!$F$65,"Out of range")))))))))*(1+'Assumptions and Catalog'!$C$8)^(A297-1),0)</f>
        <v>8554.9666666666672</v>
      </c>
      <c r="N297" s="5">
        <f>IF(ISNUMBER(Inputs!$L$5),(IF(Inputs!$L$9="Actual flat rate",L297*Inputs!$L$10,IF(Inputs!$C$9="Residential",IF(L297&lt;='Assumptions and Catalog'!$C$50,L297*'Assumptions and Catalog'!$H$50+'Assumptions and Catalog'!$E$50+'Assumptions and Catalog'!$F$50,IF(L297&lt;='Assumptions and Catalog'!$C$51,L297*'Assumptions and Catalog'!$H$51+'Assumptions and Catalog'!$E$51+'Assumptions and Catalog'!$F$51,IF(L297&lt;='Assumptions and Catalog'!$C$52,L297*'Assumptions and Catalog'!$H$52+'Assumptions and Catalog'!$E$52+'Assumptions and Catalog'!$F$52,IF(L297&lt;='Assumptions and Catalog'!$C$53,L297*'Assumptions and Catalog'!$H$53+'Assumptions and Catalog'!$E$53+'Assumptions and Catalog'!$F$53,IF(L297&lt;='Assumptions and Catalog'!$C$54,L297*'Assumptions and Catalog'!$H$54+'Assumptions and Catalog'!$E$54+'Assumptions and Catalog'!$F$54,IF(L297&lt;='Assumptions and Catalog'!$C$55,L297*'Assumptions and Catalog'!$H$55+'Assumptions and Catalog'!$E$55+'Assumptions and Catalog'!$F$55,IF(L297&lt;='Assumptions and Catalog'!$C$56,L297*'Assumptions and Catalog'!$H$56+'Assumptions and Catalog'!$E$56+'Assumptions and Catalog'!$F$56,IF(L297&lt;='Assumptions and Catalog'!$C$57,L297*'Assumptions and Catalog'!$H$57+'Assumptions and Catalog'!$E$57+'Assumptions and Catalog'!$F$57,"Out of range")))))))),IF(L297&lt;='Assumptions and Catalog'!$C$60,L297*'Assumptions and Catalog'!$H$60+'Assumptions and Catalog'!$E$60+'Assumptions and Catalog'!$F$60,IF(L297&lt;='Assumptions and Catalog'!$C$61,L297*'Assumptions and Catalog'!$H$61+'Assumptions and Catalog'!$E$61+'Assumptions and Catalog'!$F$61,IF(L297&lt;='Assumptions and Catalog'!$C$62,L297*'Assumptions and Catalog'!$H$62+'Assumptions and Catalog'!$E$62+'Assumptions and Catalog'!$F$62,IF(L297&lt;='Assumptions and Catalog'!$C$63,L297*'Assumptions and Catalog'!$H$63+'Assumptions and Catalog'!$E$63+'Assumptions and Catalog'!$F$63,IF(L297&lt;='Assumptions and Catalog'!$C$64,L297*'Assumptions and Catalog'!$H$64+'Assumptions and Catalog'!$E$64+'Assumptions and Catalog'!$F$64,IF(L297&lt;='Assumptions and Catalog'!$C$65,L297*'Assumptions and Catalog'!$H$65+'Assumptions and Catalog'!$E$65+'Assumptions and Catalog'!$F$65,"Out of range")))))))))*(1+'Assumptions and Catalog'!$C$8)^(A297-1),0)</f>
        <v>5207.6035950438691</v>
      </c>
      <c r="O297" s="5">
        <f t="shared" si="24"/>
        <v>3347.3630716227981</v>
      </c>
      <c r="P297" s="5">
        <f>C$55*(1-J$14)*(1-'Assumptions and Catalog'!$C$23)^R297</f>
        <v>0</v>
      </c>
      <c r="Q297" s="5">
        <f>IF(ISNUMBER(Inputs!$L$5),(IF(Inputs!$L$9="Actual flat rate",((D297+E297)*C297-G297)*Inputs!$L$10,IF(Inputs!$C$9="Residential",IF(((D297+E297)*C297-G297)&lt;='Assumptions and Catalog'!$C$50,((D297+E297)*C297-G297)*'Assumptions and Catalog'!$H$50+'Assumptions and Catalog'!$E$50+'Assumptions and Catalog'!$F$50,IF(((D297+E297)*C297-G297)&lt;='Assumptions and Catalog'!$C$51,((D297+E297)*C297-G297)*'Assumptions and Catalog'!$H$51+'Assumptions and Catalog'!$E$51+'Assumptions and Catalog'!$F$51,IF(((D297+E297)*C297-G297)&lt;='Assumptions and Catalog'!$C$52,((D297+E297)*C297-G297)*'Assumptions and Catalog'!$H$52+'Assumptions and Catalog'!$E$52+'Assumptions and Catalog'!$F$52,IF(((D297+E297)*C297-G297)&lt;='Assumptions and Catalog'!$C$53,((D297+E297)*C297-G297)*'Assumptions and Catalog'!$H$53+'Assumptions and Catalog'!$E$53+'Assumptions and Catalog'!$F$53,IF(((D297+E297)*C297-G297)&lt;='Assumptions and Catalog'!$C$54,((D297+E297)*C297-G297)*'Assumptions and Catalog'!$H$54+'Assumptions and Catalog'!$E$54+'Assumptions and Catalog'!$F$54,IF(((D297+E297)*C297-G297)&lt;='Assumptions and Catalog'!$C$55,((D297+E297)*C297-G297)*'Assumptions and Catalog'!$H$55+'Assumptions and Catalog'!$E$55+'Assumptions and Catalog'!$F$55,IF(((D297+E297)*C297-G297)&lt;='Assumptions and Catalog'!$C$56,((D297+E297)*C297-G297)*'Assumptions and Catalog'!$H$56+'Assumptions and Catalog'!$E$56+'Assumptions and Catalog'!$F$56,IF(((D297+E297)*C297-G297)&lt;='Assumptions and Catalog'!$C$57,((D297+E297)*C297-G297)*'Assumptions and Catalog'!$H$57+'Assumptions and Catalog'!$E$57+'Assumptions and Catalog'!$F$57,"Out of range")))))))),IF(((D297+E297)*C297-G297)&lt;='Assumptions and Catalog'!$C$60,((D297+E297)*C297-G297)*'Assumptions and Catalog'!$H$60+'Assumptions and Catalog'!$E$60+'Assumptions and Catalog'!$F$60,IF(((D297+E297)*C297-G297)&lt;='Assumptions and Catalog'!$C$61,((D297+E297)*C297-G297)*'Assumptions and Catalog'!$H$61+'Assumptions and Catalog'!$E$61+'Assumptions and Catalog'!$F$61,IF(((D297+E297)*C297-G297)&lt;='Assumptions and Catalog'!$C$62,((D297+E297)*C297-G297)*'Assumptions and Catalog'!$H$62+'Assumptions and Catalog'!$E$62+'Assumptions and Catalog'!$F$62,IF(((D297+E297)*C297-G297)&lt;='Assumptions and Catalog'!$C$63,((D297+E297)*C297-G297)*'Assumptions and Catalog'!$H$63+'Assumptions and Catalog'!$E$63+'Assumptions and Catalog'!$F$63,IF(((D297+E297)*C297-G297)&lt;='Assumptions and Catalog'!$C$64,((D297+E297)*C297-G297)*'Assumptions and Catalog'!$H$64+'Assumptions and Catalog'!$E$64+'Assumptions and Catalog'!$F$64,IF(((D297+E297)*C297-G297)&lt;='Assumptions and Catalog'!$C$65,((D297+E297)*C297-G297)*'Assumptions and Catalog'!$H$65+'Assumptions and Catalog'!$E$65+'Assumptions and Catalog'!$F$65,"Out of range")))))))))*(1+'Assumptions and Catalog'!$C$8)^(A297-1),0)</f>
        <v>5207.6035950438691</v>
      </c>
      <c r="R297" s="5">
        <f>IF(AND('Assumptions and Catalog'!$C$19&gt;0,A297&gt;='Assumptions and Catalog'!$C$19),A297-'Assumptions and Catalog'!$C$19,A297-1)</f>
        <v>1</v>
      </c>
      <c r="S297" s="5">
        <f t="shared" si="25"/>
        <v>0</v>
      </c>
      <c r="T297" s="5"/>
      <c r="U297" s="5"/>
    </row>
    <row r="298" spans="1:21" ht="23.1" customHeight="1" outlineLevel="1" x14ac:dyDescent="0.2">
      <c r="A298" s="5">
        <v>12</v>
      </c>
      <c r="B298" s="5">
        <v>6</v>
      </c>
      <c r="C298" s="5">
        <f>DAY(DATE('Assumptions and Catalog'!$C$24+A298-1,B298+1,0))</f>
        <v>30</v>
      </c>
      <c r="D298" s="5">
        <f>IF(ISNUMBER(Inputs!$L$5),Inputs!$L$5*Inputs!$L$6,0)</f>
        <v>40.35</v>
      </c>
      <c r="E298" s="5">
        <f>IF(ISNUMBER(Inputs!$L$5),Inputs!$L$5-D298,0)</f>
        <v>40.35</v>
      </c>
      <c r="F298" s="5">
        <f>C$51*'Assumptions and Catalog'!$C$31*C298*(1-'Assumptions and Catalog'!$C$10)^(A298-1)</f>
        <v>947.28200730166043</v>
      </c>
      <c r="G298" s="5">
        <f t="shared" si="20"/>
        <v>947.28200730166043</v>
      </c>
      <c r="H298" s="5">
        <f>I298/('Assumptions and Catalog'!$C$11*'Assumptions and Catalog'!$C$12)</f>
        <v>0</v>
      </c>
      <c r="I298" s="5">
        <f>0</f>
        <v>0</v>
      </c>
      <c r="J298" s="5">
        <f t="shared" si="21"/>
        <v>0</v>
      </c>
      <c r="K298" s="5">
        <f t="shared" si="22"/>
        <v>0</v>
      </c>
      <c r="L298" s="5">
        <f t="shared" si="23"/>
        <v>1473.7179926983395</v>
      </c>
      <c r="M298" s="5">
        <f>IF(ISNUMBER(Inputs!$L$5),(IF(Inputs!$L$9="Actual flat rate",((D298+E298)*C298)*Inputs!$L$10,IF(Inputs!$C$9="Residential",IF(((D298+E298)*C298)&lt;='Assumptions and Catalog'!$C$50,((D298+E298)*C298)*'Assumptions and Catalog'!$H$50+'Assumptions and Catalog'!$E$50+'Assumptions and Catalog'!$F$50,IF(((D298+E298)*C298)&lt;='Assumptions and Catalog'!$C$51,((D298+E298)*C298)*'Assumptions and Catalog'!$H$51+'Assumptions and Catalog'!$E$51+'Assumptions and Catalog'!$F$51,IF(((D298+E298)*C298)&lt;='Assumptions and Catalog'!$C$52,((D298+E298)*C298)*'Assumptions and Catalog'!$H$52+'Assumptions and Catalog'!$E$52+'Assumptions and Catalog'!$F$52,IF(((D298+E298)*C298)&lt;='Assumptions and Catalog'!$C$53,((D298+E298)*C298)*'Assumptions and Catalog'!$H$53+'Assumptions and Catalog'!$E$53+'Assumptions and Catalog'!$F$53,IF(((D298+E298)*C298)&lt;='Assumptions and Catalog'!$C$54,((D298+E298)*C298)*'Assumptions and Catalog'!$H$54+'Assumptions and Catalog'!$E$54+'Assumptions and Catalog'!$F$54,IF(((D298+E298)*C298)&lt;='Assumptions and Catalog'!$C$55,((D298+E298)*C298)*'Assumptions and Catalog'!$H$55+'Assumptions and Catalog'!$E$55+'Assumptions and Catalog'!$F$55,IF(((D298+E298)*C298)&lt;='Assumptions and Catalog'!$C$56,((D298+E298)*C298)*'Assumptions and Catalog'!$H$56+'Assumptions and Catalog'!$E$56+'Assumptions and Catalog'!$F$56,IF(((D298+E298)*C298)&lt;='Assumptions and Catalog'!$C$57,((D298+E298)*C298)*'Assumptions and Catalog'!$H$57+'Assumptions and Catalog'!$E$57+'Assumptions and Catalog'!$F$57,"Out of range")))))))),IF(((D298+E298)*C298)&lt;='Assumptions and Catalog'!$C$60,((D298+E298)*C298)*'Assumptions and Catalog'!$H$60+'Assumptions and Catalog'!$E$60+'Assumptions and Catalog'!$F$60,IF(((D298+E298)*C298)&lt;='Assumptions and Catalog'!$C$61,((D298+E298)*C298)*'Assumptions and Catalog'!$H$61+'Assumptions and Catalog'!$E$61+'Assumptions and Catalog'!$F$61,IF(((D298+E298)*C298)&lt;='Assumptions and Catalog'!$C$62,((D298+E298)*C298)*'Assumptions and Catalog'!$H$62+'Assumptions and Catalog'!$E$62+'Assumptions and Catalog'!$F$62,IF(((D298+E298)*C298)&lt;='Assumptions and Catalog'!$C$63,((D298+E298)*C298)*'Assumptions and Catalog'!$H$63+'Assumptions and Catalog'!$E$63+'Assumptions and Catalog'!$F$63,IF(((D298+E298)*C298)&lt;='Assumptions and Catalog'!$C$64,((D298+E298)*C298)*'Assumptions and Catalog'!$H$64+'Assumptions and Catalog'!$E$64+'Assumptions and Catalog'!$F$64,IF(((D298+E298)*C298)&lt;='Assumptions and Catalog'!$C$65,((D298+E298)*C298)*'Assumptions and Catalog'!$H$65+'Assumptions and Catalog'!$E$65+'Assumptions and Catalog'!$F$65,"Out of range")))))))))*(1+'Assumptions and Catalog'!$C$8)^(A298-1),0)</f>
        <v>8279</v>
      </c>
      <c r="N298" s="5">
        <f>IF(ISNUMBER(Inputs!$L$5),(IF(Inputs!$L$9="Actual flat rate",L298*Inputs!$L$10,IF(Inputs!$C$9="Residential",IF(L298&lt;='Assumptions and Catalog'!$C$50,L298*'Assumptions and Catalog'!$H$50+'Assumptions and Catalog'!$E$50+'Assumptions and Catalog'!$F$50,IF(L298&lt;='Assumptions and Catalog'!$C$51,L298*'Assumptions and Catalog'!$H$51+'Assumptions and Catalog'!$E$51+'Assumptions and Catalog'!$F$51,IF(L298&lt;='Assumptions and Catalog'!$C$52,L298*'Assumptions and Catalog'!$H$52+'Assumptions and Catalog'!$E$52+'Assumptions and Catalog'!$F$52,IF(L298&lt;='Assumptions and Catalog'!$C$53,L298*'Assumptions and Catalog'!$H$53+'Assumptions and Catalog'!$E$53+'Assumptions and Catalog'!$F$53,IF(L298&lt;='Assumptions and Catalog'!$C$54,L298*'Assumptions and Catalog'!$H$54+'Assumptions and Catalog'!$E$54+'Assumptions and Catalog'!$F$54,IF(L298&lt;='Assumptions and Catalog'!$C$55,L298*'Assumptions and Catalog'!$H$55+'Assumptions and Catalog'!$E$55+'Assumptions and Catalog'!$F$55,IF(L298&lt;='Assumptions and Catalog'!$C$56,L298*'Assumptions and Catalog'!$H$56+'Assumptions and Catalog'!$E$56+'Assumptions and Catalog'!$F$56,IF(L298&lt;='Assumptions and Catalog'!$C$57,L298*'Assumptions and Catalog'!$H$57+'Assumptions and Catalog'!$E$57+'Assumptions and Catalog'!$F$57,"Out of range")))))))),IF(L298&lt;='Assumptions and Catalog'!$C$60,L298*'Assumptions and Catalog'!$H$60+'Assumptions and Catalog'!$E$60+'Assumptions and Catalog'!$F$60,IF(L298&lt;='Assumptions and Catalog'!$C$61,L298*'Assumptions and Catalog'!$H$61+'Assumptions and Catalog'!$E$61+'Assumptions and Catalog'!$F$61,IF(L298&lt;='Assumptions and Catalog'!$C$62,L298*'Assumptions and Catalog'!$H$62+'Assumptions and Catalog'!$E$62+'Assumptions and Catalog'!$F$62,IF(L298&lt;='Assumptions and Catalog'!$C$63,L298*'Assumptions and Catalog'!$H$63+'Assumptions and Catalog'!$E$63+'Assumptions and Catalog'!$F$63,IF(L298&lt;='Assumptions and Catalog'!$C$64,L298*'Assumptions and Catalog'!$H$64+'Assumptions and Catalog'!$E$64+'Assumptions and Catalog'!$F$64,IF(L298&lt;='Assumptions and Catalog'!$C$65,L298*'Assumptions and Catalog'!$H$65+'Assumptions and Catalog'!$E$65+'Assumptions and Catalog'!$F$65,"Out of range")))))))))*(1+'Assumptions and Catalog'!$C$8)^(A298-1),0)</f>
        <v>5039.6163823005172</v>
      </c>
      <c r="O298" s="5">
        <f t="shared" si="24"/>
        <v>3239.3836176994828</v>
      </c>
      <c r="P298" s="5">
        <f>C$55*(1-J$14)*(1-'Assumptions and Catalog'!$C$23)^R298</f>
        <v>0</v>
      </c>
      <c r="Q298" s="5">
        <f>IF(ISNUMBER(Inputs!$L$5),(IF(Inputs!$L$9="Actual flat rate",((D298+E298)*C298-G298)*Inputs!$L$10,IF(Inputs!$C$9="Residential",IF(((D298+E298)*C298-G298)&lt;='Assumptions and Catalog'!$C$50,((D298+E298)*C298-G298)*'Assumptions and Catalog'!$H$50+'Assumptions and Catalog'!$E$50+'Assumptions and Catalog'!$F$50,IF(((D298+E298)*C298-G298)&lt;='Assumptions and Catalog'!$C$51,((D298+E298)*C298-G298)*'Assumptions and Catalog'!$H$51+'Assumptions and Catalog'!$E$51+'Assumptions and Catalog'!$F$51,IF(((D298+E298)*C298-G298)&lt;='Assumptions and Catalog'!$C$52,((D298+E298)*C298-G298)*'Assumptions and Catalog'!$H$52+'Assumptions and Catalog'!$E$52+'Assumptions and Catalog'!$F$52,IF(((D298+E298)*C298-G298)&lt;='Assumptions and Catalog'!$C$53,((D298+E298)*C298-G298)*'Assumptions and Catalog'!$H$53+'Assumptions and Catalog'!$E$53+'Assumptions and Catalog'!$F$53,IF(((D298+E298)*C298-G298)&lt;='Assumptions and Catalog'!$C$54,((D298+E298)*C298-G298)*'Assumptions and Catalog'!$H$54+'Assumptions and Catalog'!$E$54+'Assumptions and Catalog'!$F$54,IF(((D298+E298)*C298-G298)&lt;='Assumptions and Catalog'!$C$55,((D298+E298)*C298-G298)*'Assumptions and Catalog'!$H$55+'Assumptions and Catalog'!$E$55+'Assumptions and Catalog'!$F$55,IF(((D298+E298)*C298-G298)&lt;='Assumptions and Catalog'!$C$56,((D298+E298)*C298-G298)*'Assumptions and Catalog'!$H$56+'Assumptions and Catalog'!$E$56+'Assumptions and Catalog'!$F$56,IF(((D298+E298)*C298-G298)&lt;='Assumptions and Catalog'!$C$57,((D298+E298)*C298-G298)*'Assumptions and Catalog'!$H$57+'Assumptions and Catalog'!$E$57+'Assumptions and Catalog'!$F$57,"Out of range")))))))),IF(((D298+E298)*C298-G298)&lt;='Assumptions and Catalog'!$C$60,((D298+E298)*C298-G298)*'Assumptions and Catalog'!$H$60+'Assumptions and Catalog'!$E$60+'Assumptions and Catalog'!$F$60,IF(((D298+E298)*C298-G298)&lt;='Assumptions and Catalog'!$C$61,((D298+E298)*C298-G298)*'Assumptions and Catalog'!$H$61+'Assumptions and Catalog'!$E$61+'Assumptions and Catalog'!$F$61,IF(((D298+E298)*C298-G298)&lt;='Assumptions and Catalog'!$C$62,((D298+E298)*C298-G298)*'Assumptions and Catalog'!$H$62+'Assumptions and Catalog'!$E$62+'Assumptions and Catalog'!$F$62,IF(((D298+E298)*C298-G298)&lt;='Assumptions and Catalog'!$C$63,((D298+E298)*C298-G298)*'Assumptions and Catalog'!$H$63+'Assumptions and Catalog'!$E$63+'Assumptions and Catalog'!$F$63,IF(((D298+E298)*C298-G298)&lt;='Assumptions and Catalog'!$C$64,((D298+E298)*C298-G298)*'Assumptions and Catalog'!$H$64+'Assumptions and Catalog'!$E$64+'Assumptions and Catalog'!$F$64,IF(((D298+E298)*C298-G298)&lt;='Assumptions and Catalog'!$C$65,((D298+E298)*C298-G298)*'Assumptions and Catalog'!$H$65+'Assumptions and Catalog'!$E$65+'Assumptions and Catalog'!$F$65,"Out of range")))))))))*(1+'Assumptions and Catalog'!$C$8)^(A298-1),0)</f>
        <v>5039.6163823005172</v>
      </c>
      <c r="R298" s="5">
        <f>IF(AND('Assumptions and Catalog'!$C$19&gt;0,A298&gt;='Assumptions and Catalog'!$C$19),A298-'Assumptions and Catalog'!$C$19,A298-1)</f>
        <v>1</v>
      </c>
      <c r="S298" s="5">
        <f t="shared" si="25"/>
        <v>0</v>
      </c>
      <c r="T298" s="5"/>
      <c r="U298" s="5"/>
    </row>
    <row r="299" spans="1:21" ht="23.1" customHeight="1" outlineLevel="1" x14ac:dyDescent="0.2">
      <c r="A299" s="5">
        <v>12</v>
      </c>
      <c r="B299" s="5">
        <v>7</v>
      </c>
      <c r="C299" s="5">
        <f>DAY(DATE('Assumptions and Catalog'!$C$24+A299-1,B299+1,0))</f>
        <v>31</v>
      </c>
      <c r="D299" s="5">
        <f>IF(ISNUMBER(Inputs!$L$5),Inputs!$L$5*Inputs!$L$6,0)</f>
        <v>40.35</v>
      </c>
      <c r="E299" s="5">
        <f>IF(ISNUMBER(Inputs!$L$5),Inputs!$L$5-D299,0)</f>
        <v>40.35</v>
      </c>
      <c r="F299" s="5">
        <f>C$51*'Assumptions and Catalog'!$C$31*C299*(1-'Assumptions and Catalog'!$C$10)^(A299-1)</f>
        <v>978.8580742117158</v>
      </c>
      <c r="G299" s="5">
        <f t="shared" si="20"/>
        <v>978.8580742117158</v>
      </c>
      <c r="H299" s="5">
        <f>I299/('Assumptions and Catalog'!$C$11*'Assumptions and Catalog'!$C$12)</f>
        <v>0</v>
      </c>
      <c r="I299" s="5">
        <f>0</f>
        <v>0</v>
      </c>
      <c r="J299" s="5">
        <f t="shared" si="21"/>
        <v>0</v>
      </c>
      <c r="K299" s="5">
        <f t="shared" si="22"/>
        <v>0</v>
      </c>
      <c r="L299" s="5">
        <f t="shared" si="23"/>
        <v>1522.8419257882845</v>
      </c>
      <c r="M299" s="5">
        <f>IF(ISNUMBER(Inputs!$L$5),(IF(Inputs!$L$9="Actual flat rate",((D299+E299)*C299)*Inputs!$L$10,IF(Inputs!$C$9="Residential",IF(((D299+E299)*C299)&lt;='Assumptions and Catalog'!$C$50,((D299+E299)*C299)*'Assumptions and Catalog'!$H$50+'Assumptions and Catalog'!$E$50+'Assumptions and Catalog'!$F$50,IF(((D299+E299)*C299)&lt;='Assumptions and Catalog'!$C$51,((D299+E299)*C299)*'Assumptions and Catalog'!$H$51+'Assumptions and Catalog'!$E$51+'Assumptions and Catalog'!$F$51,IF(((D299+E299)*C299)&lt;='Assumptions and Catalog'!$C$52,((D299+E299)*C299)*'Assumptions and Catalog'!$H$52+'Assumptions and Catalog'!$E$52+'Assumptions and Catalog'!$F$52,IF(((D299+E299)*C299)&lt;='Assumptions and Catalog'!$C$53,((D299+E299)*C299)*'Assumptions and Catalog'!$H$53+'Assumptions and Catalog'!$E$53+'Assumptions and Catalog'!$F$53,IF(((D299+E299)*C299)&lt;='Assumptions and Catalog'!$C$54,((D299+E299)*C299)*'Assumptions and Catalog'!$H$54+'Assumptions and Catalog'!$E$54+'Assumptions and Catalog'!$F$54,IF(((D299+E299)*C299)&lt;='Assumptions and Catalog'!$C$55,((D299+E299)*C299)*'Assumptions and Catalog'!$H$55+'Assumptions and Catalog'!$E$55+'Assumptions and Catalog'!$F$55,IF(((D299+E299)*C299)&lt;='Assumptions and Catalog'!$C$56,((D299+E299)*C299)*'Assumptions and Catalog'!$H$56+'Assumptions and Catalog'!$E$56+'Assumptions and Catalog'!$F$56,IF(((D299+E299)*C299)&lt;='Assumptions and Catalog'!$C$57,((D299+E299)*C299)*'Assumptions and Catalog'!$H$57+'Assumptions and Catalog'!$E$57+'Assumptions and Catalog'!$F$57,"Out of range")))))))),IF(((D299+E299)*C299)&lt;='Assumptions and Catalog'!$C$60,((D299+E299)*C299)*'Assumptions and Catalog'!$H$60+'Assumptions and Catalog'!$E$60+'Assumptions and Catalog'!$F$60,IF(((D299+E299)*C299)&lt;='Assumptions and Catalog'!$C$61,((D299+E299)*C299)*'Assumptions and Catalog'!$H$61+'Assumptions and Catalog'!$E$61+'Assumptions and Catalog'!$F$61,IF(((D299+E299)*C299)&lt;='Assumptions and Catalog'!$C$62,((D299+E299)*C299)*'Assumptions and Catalog'!$H$62+'Assumptions and Catalog'!$E$62+'Assumptions and Catalog'!$F$62,IF(((D299+E299)*C299)&lt;='Assumptions and Catalog'!$C$63,((D299+E299)*C299)*'Assumptions and Catalog'!$H$63+'Assumptions and Catalog'!$E$63+'Assumptions and Catalog'!$F$63,IF(((D299+E299)*C299)&lt;='Assumptions and Catalog'!$C$64,((D299+E299)*C299)*'Assumptions and Catalog'!$H$64+'Assumptions and Catalog'!$E$64+'Assumptions and Catalog'!$F$64,IF(((D299+E299)*C299)&lt;='Assumptions and Catalog'!$C$65,((D299+E299)*C299)*'Assumptions and Catalog'!$H$65+'Assumptions and Catalog'!$E$65+'Assumptions and Catalog'!$F$65,"Out of range")))))))))*(1+'Assumptions and Catalog'!$C$8)^(A299-1),0)</f>
        <v>8554.9666666666672</v>
      </c>
      <c r="N299" s="5">
        <f>IF(ISNUMBER(Inputs!$L$5),(IF(Inputs!$L$9="Actual flat rate",L299*Inputs!$L$10,IF(Inputs!$C$9="Residential",IF(L299&lt;='Assumptions and Catalog'!$C$50,L299*'Assumptions and Catalog'!$H$50+'Assumptions and Catalog'!$E$50+'Assumptions and Catalog'!$F$50,IF(L299&lt;='Assumptions and Catalog'!$C$51,L299*'Assumptions and Catalog'!$H$51+'Assumptions and Catalog'!$E$51+'Assumptions and Catalog'!$F$51,IF(L299&lt;='Assumptions and Catalog'!$C$52,L299*'Assumptions and Catalog'!$H$52+'Assumptions and Catalog'!$E$52+'Assumptions and Catalog'!$F$52,IF(L299&lt;='Assumptions and Catalog'!$C$53,L299*'Assumptions and Catalog'!$H$53+'Assumptions and Catalog'!$E$53+'Assumptions and Catalog'!$F$53,IF(L299&lt;='Assumptions and Catalog'!$C$54,L299*'Assumptions and Catalog'!$H$54+'Assumptions and Catalog'!$E$54+'Assumptions and Catalog'!$F$54,IF(L299&lt;='Assumptions and Catalog'!$C$55,L299*'Assumptions and Catalog'!$H$55+'Assumptions and Catalog'!$E$55+'Assumptions and Catalog'!$F$55,IF(L299&lt;='Assumptions and Catalog'!$C$56,L299*'Assumptions and Catalog'!$H$56+'Assumptions and Catalog'!$E$56+'Assumptions and Catalog'!$F$56,IF(L299&lt;='Assumptions and Catalog'!$C$57,L299*'Assumptions and Catalog'!$H$57+'Assumptions and Catalog'!$E$57+'Assumptions and Catalog'!$F$57,"Out of range")))))))),IF(L299&lt;='Assumptions and Catalog'!$C$60,L299*'Assumptions and Catalog'!$H$60+'Assumptions and Catalog'!$E$60+'Assumptions and Catalog'!$F$60,IF(L299&lt;='Assumptions and Catalog'!$C$61,L299*'Assumptions and Catalog'!$H$61+'Assumptions and Catalog'!$E$61+'Assumptions and Catalog'!$F$61,IF(L299&lt;='Assumptions and Catalog'!$C$62,L299*'Assumptions and Catalog'!$H$62+'Assumptions and Catalog'!$E$62+'Assumptions and Catalog'!$F$62,IF(L299&lt;='Assumptions and Catalog'!$C$63,L299*'Assumptions and Catalog'!$H$63+'Assumptions and Catalog'!$E$63+'Assumptions and Catalog'!$F$63,IF(L299&lt;='Assumptions and Catalog'!$C$64,L299*'Assumptions and Catalog'!$H$64+'Assumptions and Catalog'!$E$64+'Assumptions and Catalog'!$F$64,IF(L299&lt;='Assumptions and Catalog'!$C$65,L299*'Assumptions and Catalog'!$H$65+'Assumptions and Catalog'!$E$65+'Assumptions and Catalog'!$F$65,"Out of range")))))))))*(1+'Assumptions and Catalog'!$C$8)^(A299-1),0)</f>
        <v>5207.6035950438691</v>
      </c>
      <c r="O299" s="5">
        <f t="shared" si="24"/>
        <v>3347.3630716227981</v>
      </c>
      <c r="P299" s="5">
        <f>C$55*(1-J$14)*(1-'Assumptions and Catalog'!$C$23)^R299</f>
        <v>0</v>
      </c>
      <c r="Q299" s="5">
        <f>IF(ISNUMBER(Inputs!$L$5),(IF(Inputs!$L$9="Actual flat rate",((D299+E299)*C299-G299)*Inputs!$L$10,IF(Inputs!$C$9="Residential",IF(((D299+E299)*C299-G299)&lt;='Assumptions and Catalog'!$C$50,((D299+E299)*C299-G299)*'Assumptions and Catalog'!$H$50+'Assumptions and Catalog'!$E$50+'Assumptions and Catalog'!$F$50,IF(((D299+E299)*C299-G299)&lt;='Assumptions and Catalog'!$C$51,((D299+E299)*C299-G299)*'Assumptions and Catalog'!$H$51+'Assumptions and Catalog'!$E$51+'Assumptions and Catalog'!$F$51,IF(((D299+E299)*C299-G299)&lt;='Assumptions and Catalog'!$C$52,((D299+E299)*C299-G299)*'Assumptions and Catalog'!$H$52+'Assumptions and Catalog'!$E$52+'Assumptions and Catalog'!$F$52,IF(((D299+E299)*C299-G299)&lt;='Assumptions and Catalog'!$C$53,((D299+E299)*C299-G299)*'Assumptions and Catalog'!$H$53+'Assumptions and Catalog'!$E$53+'Assumptions and Catalog'!$F$53,IF(((D299+E299)*C299-G299)&lt;='Assumptions and Catalog'!$C$54,((D299+E299)*C299-G299)*'Assumptions and Catalog'!$H$54+'Assumptions and Catalog'!$E$54+'Assumptions and Catalog'!$F$54,IF(((D299+E299)*C299-G299)&lt;='Assumptions and Catalog'!$C$55,((D299+E299)*C299-G299)*'Assumptions and Catalog'!$H$55+'Assumptions and Catalog'!$E$55+'Assumptions and Catalog'!$F$55,IF(((D299+E299)*C299-G299)&lt;='Assumptions and Catalog'!$C$56,((D299+E299)*C299-G299)*'Assumptions and Catalog'!$H$56+'Assumptions and Catalog'!$E$56+'Assumptions and Catalog'!$F$56,IF(((D299+E299)*C299-G299)&lt;='Assumptions and Catalog'!$C$57,((D299+E299)*C299-G299)*'Assumptions and Catalog'!$H$57+'Assumptions and Catalog'!$E$57+'Assumptions and Catalog'!$F$57,"Out of range")))))))),IF(((D299+E299)*C299-G299)&lt;='Assumptions and Catalog'!$C$60,((D299+E299)*C299-G299)*'Assumptions and Catalog'!$H$60+'Assumptions and Catalog'!$E$60+'Assumptions and Catalog'!$F$60,IF(((D299+E299)*C299-G299)&lt;='Assumptions and Catalog'!$C$61,((D299+E299)*C299-G299)*'Assumptions and Catalog'!$H$61+'Assumptions and Catalog'!$E$61+'Assumptions and Catalog'!$F$61,IF(((D299+E299)*C299-G299)&lt;='Assumptions and Catalog'!$C$62,((D299+E299)*C299-G299)*'Assumptions and Catalog'!$H$62+'Assumptions and Catalog'!$E$62+'Assumptions and Catalog'!$F$62,IF(((D299+E299)*C299-G299)&lt;='Assumptions and Catalog'!$C$63,((D299+E299)*C299-G299)*'Assumptions and Catalog'!$H$63+'Assumptions and Catalog'!$E$63+'Assumptions and Catalog'!$F$63,IF(((D299+E299)*C299-G299)&lt;='Assumptions and Catalog'!$C$64,((D299+E299)*C299-G299)*'Assumptions and Catalog'!$H$64+'Assumptions and Catalog'!$E$64+'Assumptions and Catalog'!$F$64,IF(((D299+E299)*C299-G299)&lt;='Assumptions and Catalog'!$C$65,((D299+E299)*C299-G299)*'Assumptions and Catalog'!$H$65+'Assumptions and Catalog'!$E$65+'Assumptions and Catalog'!$F$65,"Out of range")))))))))*(1+'Assumptions and Catalog'!$C$8)^(A299-1),0)</f>
        <v>5207.6035950438691</v>
      </c>
      <c r="R299" s="5">
        <f>IF(AND('Assumptions and Catalog'!$C$19&gt;0,A299&gt;='Assumptions and Catalog'!$C$19),A299-'Assumptions and Catalog'!$C$19,A299-1)</f>
        <v>1</v>
      </c>
      <c r="S299" s="5">
        <f t="shared" si="25"/>
        <v>0</v>
      </c>
      <c r="T299" s="5"/>
      <c r="U299" s="5"/>
    </row>
    <row r="300" spans="1:21" ht="23.1" customHeight="1" outlineLevel="1" x14ac:dyDescent="0.2">
      <c r="A300" s="5">
        <v>12</v>
      </c>
      <c r="B300" s="5">
        <v>8</v>
      </c>
      <c r="C300" s="5">
        <f>DAY(DATE('Assumptions and Catalog'!$C$24+A300-1,B300+1,0))</f>
        <v>31</v>
      </c>
      <c r="D300" s="5">
        <f>IF(ISNUMBER(Inputs!$L$5),Inputs!$L$5*Inputs!$L$6,0)</f>
        <v>40.35</v>
      </c>
      <c r="E300" s="5">
        <f>IF(ISNUMBER(Inputs!$L$5),Inputs!$L$5-D300,0)</f>
        <v>40.35</v>
      </c>
      <c r="F300" s="5">
        <f>C$51*'Assumptions and Catalog'!$C$31*C300*(1-'Assumptions and Catalog'!$C$10)^(A300-1)</f>
        <v>978.8580742117158</v>
      </c>
      <c r="G300" s="5">
        <f t="shared" si="20"/>
        <v>978.8580742117158</v>
      </c>
      <c r="H300" s="5">
        <f>I300/('Assumptions and Catalog'!$C$11*'Assumptions and Catalog'!$C$12)</f>
        <v>0</v>
      </c>
      <c r="I300" s="5">
        <f>0</f>
        <v>0</v>
      </c>
      <c r="J300" s="5">
        <f t="shared" si="21"/>
        <v>0</v>
      </c>
      <c r="K300" s="5">
        <f t="shared" si="22"/>
        <v>0</v>
      </c>
      <c r="L300" s="5">
        <f t="shared" si="23"/>
        <v>1522.8419257882845</v>
      </c>
      <c r="M300" s="5">
        <f>IF(ISNUMBER(Inputs!$L$5),(IF(Inputs!$L$9="Actual flat rate",((D300+E300)*C300)*Inputs!$L$10,IF(Inputs!$C$9="Residential",IF(((D300+E300)*C300)&lt;='Assumptions and Catalog'!$C$50,((D300+E300)*C300)*'Assumptions and Catalog'!$H$50+'Assumptions and Catalog'!$E$50+'Assumptions and Catalog'!$F$50,IF(((D300+E300)*C300)&lt;='Assumptions and Catalog'!$C$51,((D300+E300)*C300)*'Assumptions and Catalog'!$H$51+'Assumptions and Catalog'!$E$51+'Assumptions and Catalog'!$F$51,IF(((D300+E300)*C300)&lt;='Assumptions and Catalog'!$C$52,((D300+E300)*C300)*'Assumptions and Catalog'!$H$52+'Assumptions and Catalog'!$E$52+'Assumptions and Catalog'!$F$52,IF(((D300+E300)*C300)&lt;='Assumptions and Catalog'!$C$53,((D300+E300)*C300)*'Assumptions and Catalog'!$H$53+'Assumptions and Catalog'!$E$53+'Assumptions and Catalog'!$F$53,IF(((D300+E300)*C300)&lt;='Assumptions and Catalog'!$C$54,((D300+E300)*C300)*'Assumptions and Catalog'!$H$54+'Assumptions and Catalog'!$E$54+'Assumptions and Catalog'!$F$54,IF(((D300+E300)*C300)&lt;='Assumptions and Catalog'!$C$55,((D300+E300)*C300)*'Assumptions and Catalog'!$H$55+'Assumptions and Catalog'!$E$55+'Assumptions and Catalog'!$F$55,IF(((D300+E300)*C300)&lt;='Assumptions and Catalog'!$C$56,((D300+E300)*C300)*'Assumptions and Catalog'!$H$56+'Assumptions and Catalog'!$E$56+'Assumptions and Catalog'!$F$56,IF(((D300+E300)*C300)&lt;='Assumptions and Catalog'!$C$57,((D300+E300)*C300)*'Assumptions and Catalog'!$H$57+'Assumptions and Catalog'!$E$57+'Assumptions and Catalog'!$F$57,"Out of range")))))))),IF(((D300+E300)*C300)&lt;='Assumptions and Catalog'!$C$60,((D300+E300)*C300)*'Assumptions and Catalog'!$H$60+'Assumptions and Catalog'!$E$60+'Assumptions and Catalog'!$F$60,IF(((D300+E300)*C300)&lt;='Assumptions and Catalog'!$C$61,((D300+E300)*C300)*'Assumptions and Catalog'!$H$61+'Assumptions and Catalog'!$E$61+'Assumptions and Catalog'!$F$61,IF(((D300+E300)*C300)&lt;='Assumptions and Catalog'!$C$62,((D300+E300)*C300)*'Assumptions and Catalog'!$H$62+'Assumptions and Catalog'!$E$62+'Assumptions and Catalog'!$F$62,IF(((D300+E300)*C300)&lt;='Assumptions and Catalog'!$C$63,((D300+E300)*C300)*'Assumptions and Catalog'!$H$63+'Assumptions and Catalog'!$E$63+'Assumptions and Catalog'!$F$63,IF(((D300+E300)*C300)&lt;='Assumptions and Catalog'!$C$64,((D300+E300)*C300)*'Assumptions and Catalog'!$H$64+'Assumptions and Catalog'!$E$64+'Assumptions and Catalog'!$F$64,IF(((D300+E300)*C300)&lt;='Assumptions and Catalog'!$C$65,((D300+E300)*C300)*'Assumptions and Catalog'!$H$65+'Assumptions and Catalog'!$E$65+'Assumptions and Catalog'!$F$65,"Out of range")))))))))*(1+'Assumptions and Catalog'!$C$8)^(A300-1),0)</f>
        <v>8554.9666666666672</v>
      </c>
      <c r="N300" s="5">
        <f>IF(ISNUMBER(Inputs!$L$5),(IF(Inputs!$L$9="Actual flat rate",L300*Inputs!$L$10,IF(Inputs!$C$9="Residential",IF(L300&lt;='Assumptions and Catalog'!$C$50,L300*'Assumptions and Catalog'!$H$50+'Assumptions and Catalog'!$E$50+'Assumptions and Catalog'!$F$50,IF(L300&lt;='Assumptions and Catalog'!$C$51,L300*'Assumptions and Catalog'!$H$51+'Assumptions and Catalog'!$E$51+'Assumptions and Catalog'!$F$51,IF(L300&lt;='Assumptions and Catalog'!$C$52,L300*'Assumptions and Catalog'!$H$52+'Assumptions and Catalog'!$E$52+'Assumptions and Catalog'!$F$52,IF(L300&lt;='Assumptions and Catalog'!$C$53,L300*'Assumptions and Catalog'!$H$53+'Assumptions and Catalog'!$E$53+'Assumptions and Catalog'!$F$53,IF(L300&lt;='Assumptions and Catalog'!$C$54,L300*'Assumptions and Catalog'!$H$54+'Assumptions and Catalog'!$E$54+'Assumptions and Catalog'!$F$54,IF(L300&lt;='Assumptions and Catalog'!$C$55,L300*'Assumptions and Catalog'!$H$55+'Assumptions and Catalog'!$E$55+'Assumptions and Catalog'!$F$55,IF(L300&lt;='Assumptions and Catalog'!$C$56,L300*'Assumptions and Catalog'!$H$56+'Assumptions and Catalog'!$E$56+'Assumptions and Catalog'!$F$56,IF(L300&lt;='Assumptions and Catalog'!$C$57,L300*'Assumptions and Catalog'!$H$57+'Assumptions and Catalog'!$E$57+'Assumptions and Catalog'!$F$57,"Out of range")))))))),IF(L300&lt;='Assumptions and Catalog'!$C$60,L300*'Assumptions and Catalog'!$H$60+'Assumptions and Catalog'!$E$60+'Assumptions and Catalog'!$F$60,IF(L300&lt;='Assumptions and Catalog'!$C$61,L300*'Assumptions and Catalog'!$H$61+'Assumptions and Catalog'!$E$61+'Assumptions and Catalog'!$F$61,IF(L300&lt;='Assumptions and Catalog'!$C$62,L300*'Assumptions and Catalog'!$H$62+'Assumptions and Catalog'!$E$62+'Assumptions and Catalog'!$F$62,IF(L300&lt;='Assumptions and Catalog'!$C$63,L300*'Assumptions and Catalog'!$H$63+'Assumptions and Catalog'!$E$63+'Assumptions and Catalog'!$F$63,IF(L300&lt;='Assumptions and Catalog'!$C$64,L300*'Assumptions and Catalog'!$H$64+'Assumptions and Catalog'!$E$64+'Assumptions and Catalog'!$F$64,IF(L300&lt;='Assumptions and Catalog'!$C$65,L300*'Assumptions and Catalog'!$H$65+'Assumptions and Catalog'!$E$65+'Assumptions and Catalog'!$F$65,"Out of range")))))))))*(1+'Assumptions and Catalog'!$C$8)^(A300-1),0)</f>
        <v>5207.6035950438691</v>
      </c>
      <c r="O300" s="5">
        <f t="shared" si="24"/>
        <v>3347.3630716227981</v>
      </c>
      <c r="P300" s="5">
        <f>C$55*(1-J$14)*(1-'Assumptions and Catalog'!$C$23)^R300</f>
        <v>0</v>
      </c>
      <c r="Q300" s="5">
        <f>IF(ISNUMBER(Inputs!$L$5),(IF(Inputs!$L$9="Actual flat rate",((D300+E300)*C300-G300)*Inputs!$L$10,IF(Inputs!$C$9="Residential",IF(((D300+E300)*C300-G300)&lt;='Assumptions and Catalog'!$C$50,((D300+E300)*C300-G300)*'Assumptions and Catalog'!$H$50+'Assumptions and Catalog'!$E$50+'Assumptions and Catalog'!$F$50,IF(((D300+E300)*C300-G300)&lt;='Assumptions and Catalog'!$C$51,((D300+E300)*C300-G300)*'Assumptions and Catalog'!$H$51+'Assumptions and Catalog'!$E$51+'Assumptions and Catalog'!$F$51,IF(((D300+E300)*C300-G300)&lt;='Assumptions and Catalog'!$C$52,((D300+E300)*C300-G300)*'Assumptions and Catalog'!$H$52+'Assumptions and Catalog'!$E$52+'Assumptions and Catalog'!$F$52,IF(((D300+E300)*C300-G300)&lt;='Assumptions and Catalog'!$C$53,((D300+E300)*C300-G300)*'Assumptions and Catalog'!$H$53+'Assumptions and Catalog'!$E$53+'Assumptions and Catalog'!$F$53,IF(((D300+E300)*C300-G300)&lt;='Assumptions and Catalog'!$C$54,((D300+E300)*C300-G300)*'Assumptions and Catalog'!$H$54+'Assumptions and Catalog'!$E$54+'Assumptions and Catalog'!$F$54,IF(((D300+E300)*C300-G300)&lt;='Assumptions and Catalog'!$C$55,((D300+E300)*C300-G300)*'Assumptions and Catalog'!$H$55+'Assumptions and Catalog'!$E$55+'Assumptions and Catalog'!$F$55,IF(((D300+E300)*C300-G300)&lt;='Assumptions and Catalog'!$C$56,((D300+E300)*C300-G300)*'Assumptions and Catalog'!$H$56+'Assumptions and Catalog'!$E$56+'Assumptions and Catalog'!$F$56,IF(((D300+E300)*C300-G300)&lt;='Assumptions and Catalog'!$C$57,((D300+E300)*C300-G300)*'Assumptions and Catalog'!$H$57+'Assumptions and Catalog'!$E$57+'Assumptions and Catalog'!$F$57,"Out of range")))))))),IF(((D300+E300)*C300-G300)&lt;='Assumptions and Catalog'!$C$60,((D300+E300)*C300-G300)*'Assumptions and Catalog'!$H$60+'Assumptions and Catalog'!$E$60+'Assumptions and Catalog'!$F$60,IF(((D300+E300)*C300-G300)&lt;='Assumptions and Catalog'!$C$61,((D300+E300)*C300-G300)*'Assumptions and Catalog'!$H$61+'Assumptions and Catalog'!$E$61+'Assumptions and Catalog'!$F$61,IF(((D300+E300)*C300-G300)&lt;='Assumptions and Catalog'!$C$62,((D300+E300)*C300-G300)*'Assumptions and Catalog'!$H$62+'Assumptions and Catalog'!$E$62+'Assumptions and Catalog'!$F$62,IF(((D300+E300)*C300-G300)&lt;='Assumptions and Catalog'!$C$63,((D300+E300)*C300-G300)*'Assumptions and Catalog'!$H$63+'Assumptions and Catalog'!$E$63+'Assumptions and Catalog'!$F$63,IF(((D300+E300)*C300-G300)&lt;='Assumptions and Catalog'!$C$64,((D300+E300)*C300-G300)*'Assumptions and Catalog'!$H$64+'Assumptions and Catalog'!$E$64+'Assumptions and Catalog'!$F$64,IF(((D300+E300)*C300-G300)&lt;='Assumptions and Catalog'!$C$65,((D300+E300)*C300-G300)*'Assumptions and Catalog'!$H$65+'Assumptions and Catalog'!$E$65+'Assumptions and Catalog'!$F$65,"Out of range")))))))))*(1+'Assumptions and Catalog'!$C$8)^(A300-1),0)</f>
        <v>5207.6035950438691</v>
      </c>
      <c r="R300" s="5">
        <f>IF(AND('Assumptions and Catalog'!$C$19&gt;0,A300&gt;='Assumptions and Catalog'!$C$19),A300-'Assumptions and Catalog'!$C$19,A300-1)</f>
        <v>1</v>
      </c>
      <c r="S300" s="5">
        <f t="shared" si="25"/>
        <v>0</v>
      </c>
      <c r="T300" s="5"/>
      <c r="U300" s="5"/>
    </row>
    <row r="301" spans="1:21" ht="23.1" customHeight="1" outlineLevel="1" x14ac:dyDescent="0.2">
      <c r="A301" s="5">
        <v>12</v>
      </c>
      <c r="B301" s="5">
        <v>9</v>
      </c>
      <c r="C301" s="5">
        <f>DAY(DATE('Assumptions and Catalog'!$C$24+A301-1,B301+1,0))</f>
        <v>30</v>
      </c>
      <c r="D301" s="5">
        <f>IF(ISNUMBER(Inputs!$L$5),Inputs!$L$5*Inputs!$L$6,0)</f>
        <v>40.35</v>
      </c>
      <c r="E301" s="5">
        <f>IF(ISNUMBER(Inputs!$L$5),Inputs!$L$5-D301,0)</f>
        <v>40.35</v>
      </c>
      <c r="F301" s="5">
        <f>C$51*'Assumptions and Catalog'!$C$31*C301*(1-'Assumptions and Catalog'!$C$10)^(A301-1)</f>
        <v>947.28200730166043</v>
      </c>
      <c r="G301" s="5">
        <f t="shared" si="20"/>
        <v>947.28200730166043</v>
      </c>
      <c r="H301" s="5">
        <f>I301/('Assumptions and Catalog'!$C$11*'Assumptions and Catalog'!$C$12)</f>
        <v>0</v>
      </c>
      <c r="I301" s="5">
        <f>0</f>
        <v>0</v>
      </c>
      <c r="J301" s="5">
        <f t="shared" si="21"/>
        <v>0</v>
      </c>
      <c r="K301" s="5">
        <f t="shared" si="22"/>
        <v>0</v>
      </c>
      <c r="L301" s="5">
        <f t="shared" si="23"/>
        <v>1473.7179926983395</v>
      </c>
      <c r="M301" s="5">
        <f>IF(ISNUMBER(Inputs!$L$5),(IF(Inputs!$L$9="Actual flat rate",((D301+E301)*C301)*Inputs!$L$10,IF(Inputs!$C$9="Residential",IF(((D301+E301)*C301)&lt;='Assumptions and Catalog'!$C$50,((D301+E301)*C301)*'Assumptions and Catalog'!$H$50+'Assumptions and Catalog'!$E$50+'Assumptions and Catalog'!$F$50,IF(((D301+E301)*C301)&lt;='Assumptions and Catalog'!$C$51,((D301+E301)*C301)*'Assumptions and Catalog'!$H$51+'Assumptions and Catalog'!$E$51+'Assumptions and Catalog'!$F$51,IF(((D301+E301)*C301)&lt;='Assumptions and Catalog'!$C$52,((D301+E301)*C301)*'Assumptions and Catalog'!$H$52+'Assumptions and Catalog'!$E$52+'Assumptions and Catalog'!$F$52,IF(((D301+E301)*C301)&lt;='Assumptions and Catalog'!$C$53,((D301+E301)*C301)*'Assumptions and Catalog'!$H$53+'Assumptions and Catalog'!$E$53+'Assumptions and Catalog'!$F$53,IF(((D301+E301)*C301)&lt;='Assumptions and Catalog'!$C$54,((D301+E301)*C301)*'Assumptions and Catalog'!$H$54+'Assumptions and Catalog'!$E$54+'Assumptions and Catalog'!$F$54,IF(((D301+E301)*C301)&lt;='Assumptions and Catalog'!$C$55,((D301+E301)*C301)*'Assumptions and Catalog'!$H$55+'Assumptions and Catalog'!$E$55+'Assumptions and Catalog'!$F$55,IF(((D301+E301)*C301)&lt;='Assumptions and Catalog'!$C$56,((D301+E301)*C301)*'Assumptions and Catalog'!$H$56+'Assumptions and Catalog'!$E$56+'Assumptions and Catalog'!$F$56,IF(((D301+E301)*C301)&lt;='Assumptions and Catalog'!$C$57,((D301+E301)*C301)*'Assumptions and Catalog'!$H$57+'Assumptions and Catalog'!$E$57+'Assumptions and Catalog'!$F$57,"Out of range")))))))),IF(((D301+E301)*C301)&lt;='Assumptions and Catalog'!$C$60,((D301+E301)*C301)*'Assumptions and Catalog'!$H$60+'Assumptions and Catalog'!$E$60+'Assumptions and Catalog'!$F$60,IF(((D301+E301)*C301)&lt;='Assumptions and Catalog'!$C$61,((D301+E301)*C301)*'Assumptions and Catalog'!$H$61+'Assumptions and Catalog'!$E$61+'Assumptions and Catalog'!$F$61,IF(((D301+E301)*C301)&lt;='Assumptions and Catalog'!$C$62,((D301+E301)*C301)*'Assumptions and Catalog'!$H$62+'Assumptions and Catalog'!$E$62+'Assumptions and Catalog'!$F$62,IF(((D301+E301)*C301)&lt;='Assumptions and Catalog'!$C$63,((D301+E301)*C301)*'Assumptions and Catalog'!$H$63+'Assumptions and Catalog'!$E$63+'Assumptions and Catalog'!$F$63,IF(((D301+E301)*C301)&lt;='Assumptions and Catalog'!$C$64,((D301+E301)*C301)*'Assumptions and Catalog'!$H$64+'Assumptions and Catalog'!$E$64+'Assumptions and Catalog'!$F$64,IF(((D301+E301)*C301)&lt;='Assumptions and Catalog'!$C$65,((D301+E301)*C301)*'Assumptions and Catalog'!$H$65+'Assumptions and Catalog'!$E$65+'Assumptions and Catalog'!$F$65,"Out of range")))))))))*(1+'Assumptions and Catalog'!$C$8)^(A301-1),0)</f>
        <v>8279</v>
      </c>
      <c r="N301" s="5">
        <f>IF(ISNUMBER(Inputs!$L$5),(IF(Inputs!$L$9="Actual flat rate",L301*Inputs!$L$10,IF(Inputs!$C$9="Residential",IF(L301&lt;='Assumptions and Catalog'!$C$50,L301*'Assumptions and Catalog'!$H$50+'Assumptions and Catalog'!$E$50+'Assumptions and Catalog'!$F$50,IF(L301&lt;='Assumptions and Catalog'!$C$51,L301*'Assumptions and Catalog'!$H$51+'Assumptions and Catalog'!$E$51+'Assumptions and Catalog'!$F$51,IF(L301&lt;='Assumptions and Catalog'!$C$52,L301*'Assumptions and Catalog'!$H$52+'Assumptions and Catalog'!$E$52+'Assumptions and Catalog'!$F$52,IF(L301&lt;='Assumptions and Catalog'!$C$53,L301*'Assumptions and Catalog'!$H$53+'Assumptions and Catalog'!$E$53+'Assumptions and Catalog'!$F$53,IF(L301&lt;='Assumptions and Catalog'!$C$54,L301*'Assumptions and Catalog'!$H$54+'Assumptions and Catalog'!$E$54+'Assumptions and Catalog'!$F$54,IF(L301&lt;='Assumptions and Catalog'!$C$55,L301*'Assumptions and Catalog'!$H$55+'Assumptions and Catalog'!$E$55+'Assumptions and Catalog'!$F$55,IF(L301&lt;='Assumptions and Catalog'!$C$56,L301*'Assumptions and Catalog'!$H$56+'Assumptions and Catalog'!$E$56+'Assumptions and Catalog'!$F$56,IF(L301&lt;='Assumptions and Catalog'!$C$57,L301*'Assumptions and Catalog'!$H$57+'Assumptions and Catalog'!$E$57+'Assumptions and Catalog'!$F$57,"Out of range")))))))),IF(L301&lt;='Assumptions and Catalog'!$C$60,L301*'Assumptions and Catalog'!$H$60+'Assumptions and Catalog'!$E$60+'Assumptions and Catalog'!$F$60,IF(L301&lt;='Assumptions and Catalog'!$C$61,L301*'Assumptions and Catalog'!$H$61+'Assumptions and Catalog'!$E$61+'Assumptions and Catalog'!$F$61,IF(L301&lt;='Assumptions and Catalog'!$C$62,L301*'Assumptions and Catalog'!$H$62+'Assumptions and Catalog'!$E$62+'Assumptions and Catalog'!$F$62,IF(L301&lt;='Assumptions and Catalog'!$C$63,L301*'Assumptions and Catalog'!$H$63+'Assumptions and Catalog'!$E$63+'Assumptions and Catalog'!$F$63,IF(L301&lt;='Assumptions and Catalog'!$C$64,L301*'Assumptions and Catalog'!$H$64+'Assumptions and Catalog'!$E$64+'Assumptions and Catalog'!$F$64,IF(L301&lt;='Assumptions and Catalog'!$C$65,L301*'Assumptions and Catalog'!$H$65+'Assumptions and Catalog'!$E$65+'Assumptions and Catalog'!$F$65,"Out of range")))))))))*(1+'Assumptions and Catalog'!$C$8)^(A301-1),0)</f>
        <v>5039.6163823005172</v>
      </c>
      <c r="O301" s="5">
        <f t="shared" si="24"/>
        <v>3239.3836176994828</v>
      </c>
      <c r="P301" s="5">
        <f>C$55*(1-J$14)*(1-'Assumptions and Catalog'!$C$23)^R301</f>
        <v>0</v>
      </c>
      <c r="Q301" s="5">
        <f>IF(ISNUMBER(Inputs!$L$5),(IF(Inputs!$L$9="Actual flat rate",((D301+E301)*C301-G301)*Inputs!$L$10,IF(Inputs!$C$9="Residential",IF(((D301+E301)*C301-G301)&lt;='Assumptions and Catalog'!$C$50,((D301+E301)*C301-G301)*'Assumptions and Catalog'!$H$50+'Assumptions and Catalog'!$E$50+'Assumptions and Catalog'!$F$50,IF(((D301+E301)*C301-G301)&lt;='Assumptions and Catalog'!$C$51,((D301+E301)*C301-G301)*'Assumptions and Catalog'!$H$51+'Assumptions and Catalog'!$E$51+'Assumptions and Catalog'!$F$51,IF(((D301+E301)*C301-G301)&lt;='Assumptions and Catalog'!$C$52,((D301+E301)*C301-G301)*'Assumptions and Catalog'!$H$52+'Assumptions and Catalog'!$E$52+'Assumptions and Catalog'!$F$52,IF(((D301+E301)*C301-G301)&lt;='Assumptions and Catalog'!$C$53,((D301+E301)*C301-G301)*'Assumptions and Catalog'!$H$53+'Assumptions and Catalog'!$E$53+'Assumptions and Catalog'!$F$53,IF(((D301+E301)*C301-G301)&lt;='Assumptions and Catalog'!$C$54,((D301+E301)*C301-G301)*'Assumptions and Catalog'!$H$54+'Assumptions and Catalog'!$E$54+'Assumptions and Catalog'!$F$54,IF(((D301+E301)*C301-G301)&lt;='Assumptions and Catalog'!$C$55,((D301+E301)*C301-G301)*'Assumptions and Catalog'!$H$55+'Assumptions and Catalog'!$E$55+'Assumptions and Catalog'!$F$55,IF(((D301+E301)*C301-G301)&lt;='Assumptions and Catalog'!$C$56,((D301+E301)*C301-G301)*'Assumptions and Catalog'!$H$56+'Assumptions and Catalog'!$E$56+'Assumptions and Catalog'!$F$56,IF(((D301+E301)*C301-G301)&lt;='Assumptions and Catalog'!$C$57,((D301+E301)*C301-G301)*'Assumptions and Catalog'!$H$57+'Assumptions and Catalog'!$E$57+'Assumptions and Catalog'!$F$57,"Out of range")))))))),IF(((D301+E301)*C301-G301)&lt;='Assumptions and Catalog'!$C$60,((D301+E301)*C301-G301)*'Assumptions and Catalog'!$H$60+'Assumptions and Catalog'!$E$60+'Assumptions and Catalog'!$F$60,IF(((D301+E301)*C301-G301)&lt;='Assumptions and Catalog'!$C$61,((D301+E301)*C301-G301)*'Assumptions and Catalog'!$H$61+'Assumptions and Catalog'!$E$61+'Assumptions and Catalog'!$F$61,IF(((D301+E301)*C301-G301)&lt;='Assumptions and Catalog'!$C$62,((D301+E301)*C301-G301)*'Assumptions and Catalog'!$H$62+'Assumptions and Catalog'!$E$62+'Assumptions and Catalog'!$F$62,IF(((D301+E301)*C301-G301)&lt;='Assumptions and Catalog'!$C$63,((D301+E301)*C301-G301)*'Assumptions and Catalog'!$H$63+'Assumptions and Catalog'!$E$63+'Assumptions and Catalog'!$F$63,IF(((D301+E301)*C301-G301)&lt;='Assumptions and Catalog'!$C$64,((D301+E301)*C301-G301)*'Assumptions and Catalog'!$H$64+'Assumptions and Catalog'!$E$64+'Assumptions and Catalog'!$F$64,IF(((D301+E301)*C301-G301)&lt;='Assumptions and Catalog'!$C$65,((D301+E301)*C301-G301)*'Assumptions and Catalog'!$H$65+'Assumptions and Catalog'!$E$65+'Assumptions and Catalog'!$F$65,"Out of range")))))))))*(1+'Assumptions and Catalog'!$C$8)^(A301-1),0)</f>
        <v>5039.6163823005172</v>
      </c>
      <c r="R301" s="5">
        <f>IF(AND('Assumptions and Catalog'!$C$19&gt;0,A301&gt;='Assumptions and Catalog'!$C$19),A301-'Assumptions and Catalog'!$C$19,A301-1)</f>
        <v>1</v>
      </c>
      <c r="S301" s="5">
        <f t="shared" si="25"/>
        <v>0</v>
      </c>
      <c r="T301" s="5"/>
      <c r="U301" s="5"/>
    </row>
    <row r="302" spans="1:21" ht="23.1" customHeight="1" outlineLevel="1" x14ac:dyDescent="0.2">
      <c r="A302" s="5">
        <v>12</v>
      </c>
      <c r="B302" s="5">
        <v>10</v>
      </c>
      <c r="C302" s="5">
        <f>DAY(DATE('Assumptions and Catalog'!$C$24+A302-1,B302+1,0))</f>
        <v>31</v>
      </c>
      <c r="D302" s="5">
        <f>IF(ISNUMBER(Inputs!$L$5),Inputs!$L$5*Inputs!$L$6,0)</f>
        <v>40.35</v>
      </c>
      <c r="E302" s="5">
        <f>IF(ISNUMBER(Inputs!$L$5),Inputs!$L$5-D302,0)</f>
        <v>40.35</v>
      </c>
      <c r="F302" s="5">
        <f>C$51*'Assumptions and Catalog'!$C$31*C302*(1-'Assumptions and Catalog'!$C$10)^(A302-1)</f>
        <v>978.8580742117158</v>
      </c>
      <c r="G302" s="5">
        <f t="shared" si="20"/>
        <v>978.8580742117158</v>
      </c>
      <c r="H302" s="5">
        <f>I302/('Assumptions and Catalog'!$C$11*'Assumptions and Catalog'!$C$12)</f>
        <v>0</v>
      </c>
      <c r="I302" s="5">
        <f>0</f>
        <v>0</v>
      </c>
      <c r="J302" s="5">
        <f t="shared" si="21"/>
        <v>0</v>
      </c>
      <c r="K302" s="5">
        <f t="shared" si="22"/>
        <v>0</v>
      </c>
      <c r="L302" s="5">
        <f t="shared" si="23"/>
        <v>1522.8419257882845</v>
      </c>
      <c r="M302" s="5">
        <f>IF(ISNUMBER(Inputs!$L$5),(IF(Inputs!$L$9="Actual flat rate",((D302+E302)*C302)*Inputs!$L$10,IF(Inputs!$C$9="Residential",IF(((D302+E302)*C302)&lt;='Assumptions and Catalog'!$C$50,((D302+E302)*C302)*'Assumptions and Catalog'!$H$50+'Assumptions and Catalog'!$E$50+'Assumptions and Catalog'!$F$50,IF(((D302+E302)*C302)&lt;='Assumptions and Catalog'!$C$51,((D302+E302)*C302)*'Assumptions and Catalog'!$H$51+'Assumptions and Catalog'!$E$51+'Assumptions and Catalog'!$F$51,IF(((D302+E302)*C302)&lt;='Assumptions and Catalog'!$C$52,((D302+E302)*C302)*'Assumptions and Catalog'!$H$52+'Assumptions and Catalog'!$E$52+'Assumptions and Catalog'!$F$52,IF(((D302+E302)*C302)&lt;='Assumptions and Catalog'!$C$53,((D302+E302)*C302)*'Assumptions and Catalog'!$H$53+'Assumptions and Catalog'!$E$53+'Assumptions and Catalog'!$F$53,IF(((D302+E302)*C302)&lt;='Assumptions and Catalog'!$C$54,((D302+E302)*C302)*'Assumptions and Catalog'!$H$54+'Assumptions and Catalog'!$E$54+'Assumptions and Catalog'!$F$54,IF(((D302+E302)*C302)&lt;='Assumptions and Catalog'!$C$55,((D302+E302)*C302)*'Assumptions and Catalog'!$H$55+'Assumptions and Catalog'!$E$55+'Assumptions and Catalog'!$F$55,IF(((D302+E302)*C302)&lt;='Assumptions and Catalog'!$C$56,((D302+E302)*C302)*'Assumptions and Catalog'!$H$56+'Assumptions and Catalog'!$E$56+'Assumptions and Catalog'!$F$56,IF(((D302+E302)*C302)&lt;='Assumptions and Catalog'!$C$57,((D302+E302)*C302)*'Assumptions and Catalog'!$H$57+'Assumptions and Catalog'!$E$57+'Assumptions and Catalog'!$F$57,"Out of range")))))))),IF(((D302+E302)*C302)&lt;='Assumptions and Catalog'!$C$60,((D302+E302)*C302)*'Assumptions and Catalog'!$H$60+'Assumptions and Catalog'!$E$60+'Assumptions and Catalog'!$F$60,IF(((D302+E302)*C302)&lt;='Assumptions and Catalog'!$C$61,((D302+E302)*C302)*'Assumptions and Catalog'!$H$61+'Assumptions and Catalog'!$E$61+'Assumptions and Catalog'!$F$61,IF(((D302+E302)*C302)&lt;='Assumptions and Catalog'!$C$62,((D302+E302)*C302)*'Assumptions and Catalog'!$H$62+'Assumptions and Catalog'!$E$62+'Assumptions and Catalog'!$F$62,IF(((D302+E302)*C302)&lt;='Assumptions and Catalog'!$C$63,((D302+E302)*C302)*'Assumptions and Catalog'!$H$63+'Assumptions and Catalog'!$E$63+'Assumptions and Catalog'!$F$63,IF(((D302+E302)*C302)&lt;='Assumptions and Catalog'!$C$64,((D302+E302)*C302)*'Assumptions and Catalog'!$H$64+'Assumptions and Catalog'!$E$64+'Assumptions and Catalog'!$F$64,IF(((D302+E302)*C302)&lt;='Assumptions and Catalog'!$C$65,((D302+E302)*C302)*'Assumptions and Catalog'!$H$65+'Assumptions and Catalog'!$E$65+'Assumptions and Catalog'!$F$65,"Out of range")))))))))*(1+'Assumptions and Catalog'!$C$8)^(A302-1),0)</f>
        <v>8554.9666666666672</v>
      </c>
      <c r="N302" s="5">
        <f>IF(ISNUMBER(Inputs!$L$5),(IF(Inputs!$L$9="Actual flat rate",L302*Inputs!$L$10,IF(Inputs!$C$9="Residential",IF(L302&lt;='Assumptions and Catalog'!$C$50,L302*'Assumptions and Catalog'!$H$50+'Assumptions and Catalog'!$E$50+'Assumptions and Catalog'!$F$50,IF(L302&lt;='Assumptions and Catalog'!$C$51,L302*'Assumptions and Catalog'!$H$51+'Assumptions and Catalog'!$E$51+'Assumptions and Catalog'!$F$51,IF(L302&lt;='Assumptions and Catalog'!$C$52,L302*'Assumptions and Catalog'!$H$52+'Assumptions and Catalog'!$E$52+'Assumptions and Catalog'!$F$52,IF(L302&lt;='Assumptions and Catalog'!$C$53,L302*'Assumptions and Catalog'!$H$53+'Assumptions and Catalog'!$E$53+'Assumptions and Catalog'!$F$53,IF(L302&lt;='Assumptions and Catalog'!$C$54,L302*'Assumptions and Catalog'!$H$54+'Assumptions and Catalog'!$E$54+'Assumptions and Catalog'!$F$54,IF(L302&lt;='Assumptions and Catalog'!$C$55,L302*'Assumptions and Catalog'!$H$55+'Assumptions and Catalog'!$E$55+'Assumptions and Catalog'!$F$55,IF(L302&lt;='Assumptions and Catalog'!$C$56,L302*'Assumptions and Catalog'!$H$56+'Assumptions and Catalog'!$E$56+'Assumptions and Catalog'!$F$56,IF(L302&lt;='Assumptions and Catalog'!$C$57,L302*'Assumptions and Catalog'!$H$57+'Assumptions and Catalog'!$E$57+'Assumptions and Catalog'!$F$57,"Out of range")))))))),IF(L302&lt;='Assumptions and Catalog'!$C$60,L302*'Assumptions and Catalog'!$H$60+'Assumptions and Catalog'!$E$60+'Assumptions and Catalog'!$F$60,IF(L302&lt;='Assumptions and Catalog'!$C$61,L302*'Assumptions and Catalog'!$H$61+'Assumptions and Catalog'!$E$61+'Assumptions and Catalog'!$F$61,IF(L302&lt;='Assumptions and Catalog'!$C$62,L302*'Assumptions and Catalog'!$H$62+'Assumptions and Catalog'!$E$62+'Assumptions and Catalog'!$F$62,IF(L302&lt;='Assumptions and Catalog'!$C$63,L302*'Assumptions and Catalog'!$H$63+'Assumptions and Catalog'!$E$63+'Assumptions and Catalog'!$F$63,IF(L302&lt;='Assumptions and Catalog'!$C$64,L302*'Assumptions and Catalog'!$H$64+'Assumptions and Catalog'!$E$64+'Assumptions and Catalog'!$F$64,IF(L302&lt;='Assumptions and Catalog'!$C$65,L302*'Assumptions and Catalog'!$H$65+'Assumptions and Catalog'!$E$65+'Assumptions and Catalog'!$F$65,"Out of range")))))))))*(1+'Assumptions and Catalog'!$C$8)^(A302-1),0)</f>
        <v>5207.6035950438691</v>
      </c>
      <c r="O302" s="5">
        <f t="shared" si="24"/>
        <v>3347.3630716227981</v>
      </c>
      <c r="P302" s="5">
        <f>C$55*(1-J$14)*(1-'Assumptions and Catalog'!$C$23)^R302</f>
        <v>0</v>
      </c>
      <c r="Q302" s="5">
        <f>IF(ISNUMBER(Inputs!$L$5),(IF(Inputs!$L$9="Actual flat rate",((D302+E302)*C302-G302)*Inputs!$L$10,IF(Inputs!$C$9="Residential",IF(((D302+E302)*C302-G302)&lt;='Assumptions and Catalog'!$C$50,((D302+E302)*C302-G302)*'Assumptions and Catalog'!$H$50+'Assumptions and Catalog'!$E$50+'Assumptions and Catalog'!$F$50,IF(((D302+E302)*C302-G302)&lt;='Assumptions and Catalog'!$C$51,((D302+E302)*C302-G302)*'Assumptions and Catalog'!$H$51+'Assumptions and Catalog'!$E$51+'Assumptions and Catalog'!$F$51,IF(((D302+E302)*C302-G302)&lt;='Assumptions and Catalog'!$C$52,((D302+E302)*C302-G302)*'Assumptions and Catalog'!$H$52+'Assumptions and Catalog'!$E$52+'Assumptions and Catalog'!$F$52,IF(((D302+E302)*C302-G302)&lt;='Assumptions and Catalog'!$C$53,((D302+E302)*C302-G302)*'Assumptions and Catalog'!$H$53+'Assumptions and Catalog'!$E$53+'Assumptions and Catalog'!$F$53,IF(((D302+E302)*C302-G302)&lt;='Assumptions and Catalog'!$C$54,((D302+E302)*C302-G302)*'Assumptions and Catalog'!$H$54+'Assumptions and Catalog'!$E$54+'Assumptions and Catalog'!$F$54,IF(((D302+E302)*C302-G302)&lt;='Assumptions and Catalog'!$C$55,((D302+E302)*C302-G302)*'Assumptions and Catalog'!$H$55+'Assumptions and Catalog'!$E$55+'Assumptions and Catalog'!$F$55,IF(((D302+E302)*C302-G302)&lt;='Assumptions and Catalog'!$C$56,((D302+E302)*C302-G302)*'Assumptions and Catalog'!$H$56+'Assumptions and Catalog'!$E$56+'Assumptions and Catalog'!$F$56,IF(((D302+E302)*C302-G302)&lt;='Assumptions and Catalog'!$C$57,((D302+E302)*C302-G302)*'Assumptions and Catalog'!$H$57+'Assumptions and Catalog'!$E$57+'Assumptions and Catalog'!$F$57,"Out of range")))))))),IF(((D302+E302)*C302-G302)&lt;='Assumptions and Catalog'!$C$60,((D302+E302)*C302-G302)*'Assumptions and Catalog'!$H$60+'Assumptions and Catalog'!$E$60+'Assumptions and Catalog'!$F$60,IF(((D302+E302)*C302-G302)&lt;='Assumptions and Catalog'!$C$61,((D302+E302)*C302-G302)*'Assumptions and Catalog'!$H$61+'Assumptions and Catalog'!$E$61+'Assumptions and Catalog'!$F$61,IF(((D302+E302)*C302-G302)&lt;='Assumptions and Catalog'!$C$62,((D302+E302)*C302-G302)*'Assumptions and Catalog'!$H$62+'Assumptions and Catalog'!$E$62+'Assumptions and Catalog'!$F$62,IF(((D302+E302)*C302-G302)&lt;='Assumptions and Catalog'!$C$63,((D302+E302)*C302-G302)*'Assumptions and Catalog'!$H$63+'Assumptions and Catalog'!$E$63+'Assumptions and Catalog'!$F$63,IF(((D302+E302)*C302-G302)&lt;='Assumptions and Catalog'!$C$64,((D302+E302)*C302-G302)*'Assumptions and Catalog'!$H$64+'Assumptions and Catalog'!$E$64+'Assumptions and Catalog'!$F$64,IF(((D302+E302)*C302-G302)&lt;='Assumptions and Catalog'!$C$65,((D302+E302)*C302-G302)*'Assumptions and Catalog'!$H$65+'Assumptions and Catalog'!$E$65+'Assumptions and Catalog'!$F$65,"Out of range")))))))))*(1+'Assumptions and Catalog'!$C$8)^(A302-1),0)</f>
        <v>5207.6035950438691</v>
      </c>
      <c r="R302" s="5">
        <f>IF(AND('Assumptions and Catalog'!$C$19&gt;0,A302&gt;='Assumptions and Catalog'!$C$19),A302-'Assumptions and Catalog'!$C$19,A302-1)</f>
        <v>1</v>
      </c>
      <c r="S302" s="5">
        <f t="shared" si="25"/>
        <v>0</v>
      </c>
      <c r="T302" s="5"/>
      <c r="U302" s="5"/>
    </row>
    <row r="303" spans="1:21" ht="23.1" customHeight="1" outlineLevel="1" x14ac:dyDescent="0.2">
      <c r="A303" s="5">
        <v>12</v>
      </c>
      <c r="B303" s="5">
        <v>11</v>
      </c>
      <c r="C303" s="5">
        <f>DAY(DATE('Assumptions and Catalog'!$C$24+A303-1,B303+1,0))</f>
        <v>30</v>
      </c>
      <c r="D303" s="5">
        <f>IF(ISNUMBER(Inputs!$L$5),Inputs!$L$5*Inputs!$L$6,0)</f>
        <v>40.35</v>
      </c>
      <c r="E303" s="5">
        <f>IF(ISNUMBER(Inputs!$L$5),Inputs!$L$5-D303,0)</f>
        <v>40.35</v>
      </c>
      <c r="F303" s="5">
        <f>C$51*'Assumptions and Catalog'!$C$31*C303*(1-'Assumptions and Catalog'!$C$10)^(A303-1)</f>
        <v>947.28200730166043</v>
      </c>
      <c r="G303" s="5">
        <f t="shared" si="20"/>
        <v>947.28200730166043</v>
      </c>
      <c r="H303" s="5">
        <f>I303/('Assumptions and Catalog'!$C$11*'Assumptions and Catalog'!$C$12)</f>
        <v>0</v>
      </c>
      <c r="I303" s="5">
        <f>0</f>
        <v>0</v>
      </c>
      <c r="J303" s="5">
        <f t="shared" si="21"/>
        <v>0</v>
      </c>
      <c r="K303" s="5">
        <f t="shared" si="22"/>
        <v>0</v>
      </c>
      <c r="L303" s="5">
        <f t="shared" si="23"/>
        <v>1473.7179926983395</v>
      </c>
      <c r="M303" s="5">
        <f>IF(ISNUMBER(Inputs!$L$5),(IF(Inputs!$L$9="Actual flat rate",((D303+E303)*C303)*Inputs!$L$10,IF(Inputs!$C$9="Residential",IF(((D303+E303)*C303)&lt;='Assumptions and Catalog'!$C$50,((D303+E303)*C303)*'Assumptions and Catalog'!$H$50+'Assumptions and Catalog'!$E$50+'Assumptions and Catalog'!$F$50,IF(((D303+E303)*C303)&lt;='Assumptions and Catalog'!$C$51,((D303+E303)*C303)*'Assumptions and Catalog'!$H$51+'Assumptions and Catalog'!$E$51+'Assumptions and Catalog'!$F$51,IF(((D303+E303)*C303)&lt;='Assumptions and Catalog'!$C$52,((D303+E303)*C303)*'Assumptions and Catalog'!$H$52+'Assumptions and Catalog'!$E$52+'Assumptions and Catalog'!$F$52,IF(((D303+E303)*C303)&lt;='Assumptions and Catalog'!$C$53,((D303+E303)*C303)*'Assumptions and Catalog'!$H$53+'Assumptions and Catalog'!$E$53+'Assumptions and Catalog'!$F$53,IF(((D303+E303)*C303)&lt;='Assumptions and Catalog'!$C$54,((D303+E303)*C303)*'Assumptions and Catalog'!$H$54+'Assumptions and Catalog'!$E$54+'Assumptions and Catalog'!$F$54,IF(((D303+E303)*C303)&lt;='Assumptions and Catalog'!$C$55,((D303+E303)*C303)*'Assumptions and Catalog'!$H$55+'Assumptions and Catalog'!$E$55+'Assumptions and Catalog'!$F$55,IF(((D303+E303)*C303)&lt;='Assumptions and Catalog'!$C$56,((D303+E303)*C303)*'Assumptions and Catalog'!$H$56+'Assumptions and Catalog'!$E$56+'Assumptions and Catalog'!$F$56,IF(((D303+E303)*C303)&lt;='Assumptions and Catalog'!$C$57,((D303+E303)*C303)*'Assumptions and Catalog'!$H$57+'Assumptions and Catalog'!$E$57+'Assumptions and Catalog'!$F$57,"Out of range")))))))),IF(((D303+E303)*C303)&lt;='Assumptions and Catalog'!$C$60,((D303+E303)*C303)*'Assumptions and Catalog'!$H$60+'Assumptions and Catalog'!$E$60+'Assumptions and Catalog'!$F$60,IF(((D303+E303)*C303)&lt;='Assumptions and Catalog'!$C$61,((D303+E303)*C303)*'Assumptions and Catalog'!$H$61+'Assumptions and Catalog'!$E$61+'Assumptions and Catalog'!$F$61,IF(((D303+E303)*C303)&lt;='Assumptions and Catalog'!$C$62,((D303+E303)*C303)*'Assumptions and Catalog'!$H$62+'Assumptions and Catalog'!$E$62+'Assumptions and Catalog'!$F$62,IF(((D303+E303)*C303)&lt;='Assumptions and Catalog'!$C$63,((D303+E303)*C303)*'Assumptions and Catalog'!$H$63+'Assumptions and Catalog'!$E$63+'Assumptions and Catalog'!$F$63,IF(((D303+E303)*C303)&lt;='Assumptions and Catalog'!$C$64,((D303+E303)*C303)*'Assumptions and Catalog'!$H$64+'Assumptions and Catalog'!$E$64+'Assumptions and Catalog'!$F$64,IF(((D303+E303)*C303)&lt;='Assumptions and Catalog'!$C$65,((D303+E303)*C303)*'Assumptions and Catalog'!$H$65+'Assumptions and Catalog'!$E$65+'Assumptions and Catalog'!$F$65,"Out of range")))))))))*(1+'Assumptions and Catalog'!$C$8)^(A303-1),0)</f>
        <v>8279</v>
      </c>
      <c r="N303" s="5">
        <f>IF(ISNUMBER(Inputs!$L$5),(IF(Inputs!$L$9="Actual flat rate",L303*Inputs!$L$10,IF(Inputs!$C$9="Residential",IF(L303&lt;='Assumptions and Catalog'!$C$50,L303*'Assumptions and Catalog'!$H$50+'Assumptions and Catalog'!$E$50+'Assumptions and Catalog'!$F$50,IF(L303&lt;='Assumptions and Catalog'!$C$51,L303*'Assumptions and Catalog'!$H$51+'Assumptions and Catalog'!$E$51+'Assumptions and Catalog'!$F$51,IF(L303&lt;='Assumptions and Catalog'!$C$52,L303*'Assumptions and Catalog'!$H$52+'Assumptions and Catalog'!$E$52+'Assumptions and Catalog'!$F$52,IF(L303&lt;='Assumptions and Catalog'!$C$53,L303*'Assumptions and Catalog'!$H$53+'Assumptions and Catalog'!$E$53+'Assumptions and Catalog'!$F$53,IF(L303&lt;='Assumptions and Catalog'!$C$54,L303*'Assumptions and Catalog'!$H$54+'Assumptions and Catalog'!$E$54+'Assumptions and Catalog'!$F$54,IF(L303&lt;='Assumptions and Catalog'!$C$55,L303*'Assumptions and Catalog'!$H$55+'Assumptions and Catalog'!$E$55+'Assumptions and Catalog'!$F$55,IF(L303&lt;='Assumptions and Catalog'!$C$56,L303*'Assumptions and Catalog'!$H$56+'Assumptions and Catalog'!$E$56+'Assumptions and Catalog'!$F$56,IF(L303&lt;='Assumptions and Catalog'!$C$57,L303*'Assumptions and Catalog'!$H$57+'Assumptions and Catalog'!$E$57+'Assumptions and Catalog'!$F$57,"Out of range")))))))),IF(L303&lt;='Assumptions and Catalog'!$C$60,L303*'Assumptions and Catalog'!$H$60+'Assumptions and Catalog'!$E$60+'Assumptions and Catalog'!$F$60,IF(L303&lt;='Assumptions and Catalog'!$C$61,L303*'Assumptions and Catalog'!$H$61+'Assumptions and Catalog'!$E$61+'Assumptions and Catalog'!$F$61,IF(L303&lt;='Assumptions and Catalog'!$C$62,L303*'Assumptions and Catalog'!$H$62+'Assumptions and Catalog'!$E$62+'Assumptions and Catalog'!$F$62,IF(L303&lt;='Assumptions and Catalog'!$C$63,L303*'Assumptions and Catalog'!$H$63+'Assumptions and Catalog'!$E$63+'Assumptions and Catalog'!$F$63,IF(L303&lt;='Assumptions and Catalog'!$C$64,L303*'Assumptions and Catalog'!$H$64+'Assumptions and Catalog'!$E$64+'Assumptions and Catalog'!$F$64,IF(L303&lt;='Assumptions and Catalog'!$C$65,L303*'Assumptions and Catalog'!$H$65+'Assumptions and Catalog'!$E$65+'Assumptions and Catalog'!$F$65,"Out of range")))))))))*(1+'Assumptions and Catalog'!$C$8)^(A303-1),0)</f>
        <v>5039.6163823005172</v>
      </c>
      <c r="O303" s="5">
        <f t="shared" si="24"/>
        <v>3239.3836176994828</v>
      </c>
      <c r="P303" s="5">
        <f>C$55*(1-J$14)*(1-'Assumptions and Catalog'!$C$23)^R303</f>
        <v>0</v>
      </c>
      <c r="Q303" s="5">
        <f>IF(ISNUMBER(Inputs!$L$5),(IF(Inputs!$L$9="Actual flat rate",((D303+E303)*C303-G303)*Inputs!$L$10,IF(Inputs!$C$9="Residential",IF(((D303+E303)*C303-G303)&lt;='Assumptions and Catalog'!$C$50,((D303+E303)*C303-G303)*'Assumptions and Catalog'!$H$50+'Assumptions and Catalog'!$E$50+'Assumptions and Catalog'!$F$50,IF(((D303+E303)*C303-G303)&lt;='Assumptions and Catalog'!$C$51,((D303+E303)*C303-G303)*'Assumptions and Catalog'!$H$51+'Assumptions and Catalog'!$E$51+'Assumptions and Catalog'!$F$51,IF(((D303+E303)*C303-G303)&lt;='Assumptions and Catalog'!$C$52,((D303+E303)*C303-G303)*'Assumptions and Catalog'!$H$52+'Assumptions and Catalog'!$E$52+'Assumptions and Catalog'!$F$52,IF(((D303+E303)*C303-G303)&lt;='Assumptions and Catalog'!$C$53,((D303+E303)*C303-G303)*'Assumptions and Catalog'!$H$53+'Assumptions and Catalog'!$E$53+'Assumptions and Catalog'!$F$53,IF(((D303+E303)*C303-G303)&lt;='Assumptions and Catalog'!$C$54,((D303+E303)*C303-G303)*'Assumptions and Catalog'!$H$54+'Assumptions and Catalog'!$E$54+'Assumptions and Catalog'!$F$54,IF(((D303+E303)*C303-G303)&lt;='Assumptions and Catalog'!$C$55,((D303+E303)*C303-G303)*'Assumptions and Catalog'!$H$55+'Assumptions and Catalog'!$E$55+'Assumptions and Catalog'!$F$55,IF(((D303+E303)*C303-G303)&lt;='Assumptions and Catalog'!$C$56,((D303+E303)*C303-G303)*'Assumptions and Catalog'!$H$56+'Assumptions and Catalog'!$E$56+'Assumptions and Catalog'!$F$56,IF(((D303+E303)*C303-G303)&lt;='Assumptions and Catalog'!$C$57,((D303+E303)*C303-G303)*'Assumptions and Catalog'!$H$57+'Assumptions and Catalog'!$E$57+'Assumptions and Catalog'!$F$57,"Out of range")))))))),IF(((D303+E303)*C303-G303)&lt;='Assumptions and Catalog'!$C$60,((D303+E303)*C303-G303)*'Assumptions and Catalog'!$H$60+'Assumptions and Catalog'!$E$60+'Assumptions and Catalog'!$F$60,IF(((D303+E303)*C303-G303)&lt;='Assumptions and Catalog'!$C$61,((D303+E303)*C303-G303)*'Assumptions and Catalog'!$H$61+'Assumptions and Catalog'!$E$61+'Assumptions and Catalog'!$F$61,IF(((D303+E303)*C303-G303)&lt;='Assumptions and Catalog'!$C$62,((D303+E303)*C303-G303)*'Assumptions and Catalog'!$H$62+'Assumptions and Catalog'!$E$62+'Assumptions and Catalog'!$F$62,IF(((D303+E303)*C303-G303)&lt;='Assumptions and Catalog'!$C$63,((D303+E303)*C303-G303)*'Assumptions and Catalog'!$H$63+'Assumptions and Catalog'!$E$63+'Assumptions and Catalog'!$F$63,IF(((D303+E303)*C303-G303)&lt;='Assumptions and Catalog'!$C$64,((D303+E303)*C303-G303)*'Assumptions and Catalog'!$H$64+'Assumptions and Catalog'!$E$64+'Assumptions and Catalog'!$F$64,IF(((D303+E303)*C303-G303)&lt;='Assumptions and Catalog'!$C$65,((D303+E303)*C303-G303)*'Assumptions and Catalog'!$H$65+'Assumptions and Catalog'!$E$65+'Assumptions and Catalog'!$F$65,"Out of range")))))))))*(1+'Assumptions and Catalog'!$C$8)^(A303-1),0)</f>
        <v>5039.6163823005172</v>
      </c>
      <c r="R303" s="5">
        <f>IF(AND('Assumptions and Catalog'!$C$19&gt;0,A303&gt;='Assumptions and Catalog'!$C$19),A303-'Assumptions and Catalog'!$C$19,A303-1)</f>
        <v>1</v>
      </c>
      <c r="S303" s="5">
        <f t="shared" si="25"/>
        <v>0</v>
      </c>
      <c r="T303" s="5"/>
      <c r="U303" s="5"/>
    </row>
    <row r="304" spans="1:21" ht="23.1" customHeight="1" outlineLevel="1" x14ac:dyDescent="0.2">
      <c r="A304" s="5">
        <v>12</v>
      </c>
      <c r="B304" s="5">
        <v>12</v>
      </c>
      <c r="C304" s="5">
        <f>DAY(DATE('Assumptions and Catalog'!$C$24+A304-1,B304+1,0))</f>
        <v>31</v>
      </c>
      <c r="D304" s="5">
        <f>IF(ISNUMBER(Inputs!$L$5),Inputs!$L$5*Inputs!$L$6,0)</f>
        <v>40.35</v>
      </c>
      <c r="E304" s="5">
        <f>IF(ISNUMBER(Inputs!$L$5),Inputs!$L$5-D304,0)</f>
        <v>40.35</v>
      </c>
      <c r="F304" s="5">
        <f>C$51*'Assumptions and Catalog'!$C$31*C304*(1-'Assumptions and Catalog'!$C$10)^(A304-1)</f>
        <v>978.8580742117158</v>
      </c>
      <c r="G304" s="5">
        <f t="shared" si="20"/>
        <v>978.8580742117158</v>
      </c>
      <c r="H304" s="5">
        <f>I304/('Assumptions and Catalog'!$C$11*'Assumptions and Catalog'!$C$12)</f>
        <v>0</v>
      </c>
      <c r="I304" s="5">
        <f>0</f>
        <v>0</v>
      </c>
      <c r="J304" s="5">
        <f t="shared" si="21"/>
        <v>0</v>
      </c>
      <c r="K304" s="5">
        <f t="shared" si="22"/>
        <v>0</v>
      </c>
      <c r="L304" s="5">
        <f t="shared" si="23"/>
        <v>1522.8419257882845</v>
      </c>
      <c r="M304" s="5">
        <f>IF(ISNUMBER(Inputs!$L$5),(IF(Inputs!$L$9="Actual flat rate",((D304+E304)*C304)*Inputs!$L$10,IF(Inputs!$C$9="Residential",IF(((D304+E304)*C304)&lt;='Assumptions and Catalog'!$C$50,((D304+E304)*C304)*'Assumptions and Catalog'!$H$50+'Assumptions and Catalog'!$E$50+'Assumptions and Catalog'!$F$50,IF(((D304+E304)*C304)&lt;='Assumptions and Catalog'!$C$51,((D304+E304)*C304)*'Assumptions and Catalog'!$H$51+'Assumptions and Catalog'!$E$51+'Assumptions and Catalog'!$F$51,IF(((D304+E304)*C304)&lt;='Assumptions and Catalog'!$C$52,((D304+E304)*C304)*'Assumptions and Catalog'!$H$52+'Assumptions and Catalog'!$E$52+'Assumptions and Catalog'!$F$52,IF(((D304+E304)*C304)&lt;='Assumptions and Catalog'!$C$53,((D304+E304)*C304)*'Assumptions and Catalog'!$H$53+'Assumptions and Catalog'!$E$53+'Assumptions and Catalog'!$F$53,IF(((D304+E304)*C304)&lt;='Assumptions and Catalog'!$C$54,((D304+E304)*C304)*'Assumptions and Catalog'!$H$54+'Assumptions and Catalog'!$E$54+'Assumptions and Catalog'!$F$54,IF(((D304+E304)*C304)&lt;='Assumptions and Catalog'!$C$55,((D304+E304)*C304)*'Assumptions and Catalog'!$H$55+'Assumptions and Catalog'!$E$55+'Assumptions and Catalog'!$F$55,IF(((D304+E304)*C304)&lt;='Assumptions and Catalog'!$C$56,((D304+E304)*C304)*'Assumptions and Catalog'!$H$56+'Assumptions and Catalog'!$E$56+'Assumptions and Catalog'!$F$56,IF(((D304+E304)*C304)&lt;='Assumptions and Catalog'!$C$57,((D304+E304)*C304)*'Assumptions and Catalog'!$H$57+'Assumptions and Catalog'!$E$57+'Assumptions and Catalog'!$F$57,"Out of range")))))))),IF(((D304+E304)*C304)&lt;='Assumptions and Catalog'!$C$60,((D304+E304)*C304)*'Assumptions and Catalog'!$H$60+'Assumptions and Catalog'!$E$60+'Assumptions and Catalog'!$F$60,IF(((D304+E304)*C304)&lt;='Assumptions and Catalog'!$C$61,((D304+E304)*C304)*'Assumptions and Catalog'!$H$61+'Assumptions and Catalog'!$E$61+'Assumptions and Catalog'!$F$61,IF(((D304+E304)*C304)&lt;='Assumptions and Catalog'!$C$62,((D304+E304)*C304)*'Assumptions and Catalog'!$H$62+'Assumptions and Catalog'!$E$62+'Assumptions and Catalog'!$F$62,IF(((D304+E304)*C304)&lt;='Assumptions and Catalog'!$C$63,((D304+E304)*C304)*'Assumptions and Catalog'!$H$63+'Assumptions and Catalog'!$E$63+'Assumptions and Catalog'!$F$63,IF(((D304+E304)*C304)&lt;='Assumptions and Catalog'!$C$64,((D304+E304)*C304)*'Assumptions and Catalog'!$H$64+'Assumptions and Catalog'!$E$64+'Assumptions and Catalog'!$F$64,IF(((D304+E304)*C304)&lt;='Assumptions and Catalog'!$C$65,((D304+E304)*C304)*'Assumptions and Catalog'!$H$65+'Assumptions and Catalog'!$E$65+'Assumptions and Catalog'!$F$65,"Out of range")))))))))*(1+'Assumptions and Catalog'!$C$8)^(A304-1),0)</f>
        <v>8554.9666666666672</v>
      </c>
      <c r="N304" s="5">
        <f>IF(ISNUMBER(Inputs!$L$5),(IF(Inputs!$L$9="Actual flat rate",L304*Inputs!$L$10,IF(Inputs!$C$9="Residential",IF(L304&lt;='Assumptions and Catalog'!$C$50,L304*'Assumptions and Catalog'!$H$50+'Assumptions and Catalog'!$E$50+'Assumptions and Catalog'!$F$50,IF(L304&lt;='Assumptions and Catalog'!$C$51,L304*'Assumptions and Catalog'!$H$51+'Assumptions and Catalog'!$E$51+'Assumptions and Catalog'!$F$51,IF(L304&lt;='Assumptions and Catalog'!$C$52,L304*'Assumptions and Catalog'!$H$52+'Assumptions and Catalog'!$E$52+'Assumptions and Catalog'!$F$52,IF(L304&lt;='Assumptions and Catalog'!$C$53,L304*'Assumptions and Catalog'!$H$53+'Assumptions and Catalog'!$E$53+'Assumptions and Catalog'!$F$53,IF(L304&lt;='Assumptions and Catalog'!$C$54,L304*'Assumptions and Catalog'!$H$54+'Assumptions and Catalog'!$E$54+'Assumptions and Catalog'!$F$54,IF(L304&lt;='Assumptions and Catalog'!$C$55,L304*'Assumptions and Catalog'!$H$55+'Assumptions and Catalog'!$E$55+'Assumptions and Catalog'!$F$55,IF(L304&lt;='Assumptions and Catalog'!$C$56,L304*'Assumptions and Catalog'!$H$56+'Assumptions and Catalog'!$E$56+'Assumptions and Catalog'!$F$56,IF(L304&lt;='Assumptions and Catalog'!$C$57,L304*'Assumptions and Catalog'!$H$57+'Assumptions and Catalog'!$E$57+'Assumptions and Catalog'!$F$57,"Out of range")))))))),IF(L304&lt;='Assumptions and Catalog'!$C$60,L304*'Assumptions and Catalog'!$H$60+'Assumptions and Catalog'!$E$60+'Assumptions and Catalog'!$F$60,IF(L304&lt;='Assumptions and Catalog'!$C$61,L304*'Assumptions and Catalog'!$H$61+'Assumptions and Catalog'!$E$61+'Assumptions and Catalog'!$F$61,IF(L304&lt;='Assumptions and Catalog'!$C$62,L304*'Assumptions and Catalog'!$H$62+'Assumptions and Catalog'!$E$62+'Assumptions and Catalog'!$F$62,IF(L304&lt;='Assumptions and Catalog'!$C$63,L304*'Assumptions and Catalog'!$H$63+'Assumptions and Catalog'!$E$63+'Assumptions and Catalog'!$F$63,IF(L304&lt;='Assumptions and Catalog'!$C$64,L304*'Assumptions and Catalog'!$H$64+'Assumptions and Catalog'!$E$64+'Assumptions and Catalog'!$F$64,IF(L304&lt;='Assumptions and Catalog'!$C$65,L304*'Assumptions and Catalog'!$H$65+'Assumptions and Catalog'!$E$65+'Assumptions and Catalog'!$F$65,"Out of range")))))))))*(1+'Assumptions and Catalog'!$C$8)^(A304-1),0)</f>
        <v>5207.6035950438691</v>
      </c>
      <c r="O304" s="5">
        <f t="shared" si="24"/>
        <v>3347.3630716227981</v>
      </c>
      <c r="P304" s="5">
        <f>C$55*(1-J$14)*(1-'Assumptions and Catalog'!$C$23)^R304</f>
        <v>0</v>
      </c>
      <c r="Q304" s="5">
        <f>IF(ISNUMBER(Inputs!$L$5),(IF(Inputs!$L$9="Actual flat rate",((D304+E304)*C304-G304)*Inputs!$L$10,IF(Inputs!$C$9="Residential",IF(((D304+E304)*C304-G304)&lt;='Assumptions and Catalog'!$C$50,((D304+E304)*C304-G304)*'Assumptions and Catalog'!$H$50+'Assumptions and Catalog'!$E$50+'Assumptions and Catalog'!$F$50,IF(((D304+E304)*C304-G304)&lt;='Assumptions and Catalog'!$C$51,((D304+E304)*C304-G304)*'Assumptions and Catalog'!$H$51+'Assumptions and Catalog'!$E$51+'Assumptions and Catalog'!$F$51,IF(((D304+E304)*C304-G304)&lt;='Assumptions and Catalog'!$C$52,((D304+E304)*C304-G304)*'Assumptions and Catalog'!$H$52+'Assumptions and Catalog'!$E$52+'Assumptions and Catalog'!$F$52,IF(((D304+E304)*C304-G304)&lt;='Assumptions and Catalog'!$C$53,((D304+E304)*C304-G304)*'Assumptions and Catalog'!$H$53+'Assumptions and Catalog'!$E$53+'Assumptions and Catalog'!$F$53,IF(((D304+E304)*C304-G304)&lt;='Assumptions and Catalog'!$C$54,((D304+E304)*C304-G304)*'Assumptions and Catalog'!$H$54+'Assumptions and Catalog'!$E$54+'Assumptions and Catalog'!$F$54,IF(((D304+E304)*C304-G304)&lt;='Assumptions and Catalog'!$C$55,((D304+E304)*C304-G304)*'Assumptions and Catalog'!$H$55+'Assumptions and Catalog'!$E$55+'Assumptions and Catalog'!$F$55,IF(((D304+E304)*C304-G304)&lt;='Assumptions and Catalog'!$C$56,((D304+E304)*C304-G304)*'Assumptions and Catalog'!$H$56+'Assumptions and Catalog'!$E$56+'Assumptions and Catalog'!$F$56,IF(((D304+E304)*C304-G304)&lt;='Assumptions and Catalog'!$C$57,((D304+E304)*C304-G304)*'Assumptions and Catalog'!$H$57+'Assumptions and Catalog'!$E$57+'Assumptions and Catalog'!$F$57,"Out of range")))))))),IF(((D304+E304)*C304-G304)&lt;='Assumptions and Catalog'!$C$60,((D304+E304)*C304-G304)*'Assumptions and Catalog'!$H$60+'Assumptions and Catalog'!$E$60+'Assumptions and Catalog'!$F$60,IF(((D304+E304)*C304-G304)&lt;='Assumptions and Catalog'!$C$61,((D304+E304)*C304-G304)*'Assumptions and Catalog'!$H$61+'Assumptions and Catalog'!$E$61+'Assumptions and Catalog'!$F$61,IF(((D304+E304)*C304-G304)&lt;='Assumptions and Catalog'!$C$62,((D304+E304)*C304-G304)*'Assumptions and Catalog'!$H$62+'Assumptions and Catalog'!$E$62+'Assumptions and Catalog'!$F$62,IF(((D304+E304)*C304-G304)&lt;='Assumptions and Catalog'!$C$63,((D304+E304)*C304-G304)*'Assumptions and Catalog'!$H$63+'Assumptions and Catalog'!$E$63+'Assumptions and Catalog'!$F$63,IF(((D304+E304)*C304-G304)&lt;='Assumptions and Catalog'!$C$64,((D304+E304)*C304-G304)*'Assumptions and Catalog'!$H$64+'Assumptions and Catalog'!$E$64+'Assumptions and Catalog'!$F$64,IF(((D304+E304)*C304-G304)&lt;='Assumptions and Catalog'!$C$65,((D304+E304)*C304-G304)*'Assumptions and Catalog'!$H$65+'Assumptions and Catalog'!$E$65+'Assumptions and Catalog'!$F$65,"Out of range")))))))))*(1+'Assumptions and Catalog'!$C$8)^(A304-1),0)</f>
        <v>5207.6035950438691</v>
      </c>
      <c r="R304" s="5">
        <f>IF(AND('Assumptions and Catalog'!$C$19&gt;0,A304&gt;='Assumptions and Catalog'!$C$19),A304-'Assumptions and Catalog'!$C$19,A304-1)</f>
        <v>1</v>
      </c>
      <c r="S304" s="5">
        <f t="shared" si="25"/>
        <v>0</v>
      </c>
      <c r="T304" s="5"/>
      <c r="U304" s="5"/>
    </row>
    <row r="305" spans="1:21" ht="23.1" customHeight="1" outlineLevel="1" x14ac:dyDescent="0.2">
      <c r="A305" s="5">
        <v>13</v>
      </c>
      <c r="B305" s="5">
        <v>1</v>
      </c>
      <c r="C305" s="5">
        <f>DAY(DATE('Assumptions and Catalog'!$C$24+A305-1,B305+1,0))</f>
        <v>31</v>
      </c>
      <c r="D305" s="5">
        <f>IF(ISNUMBER(Inputs!$L$5),Inputs!$L$5*Inputs!$L$6,0)</f>
        <v>40.35</v>
      </c>
      <c r="E305" s="5">
        <f>IF(ISNUMBER(Inputs!$L$5),Inputs!$L$5-D305,0)</f>
        <v>40.35</v>
      </c>
      <c r="F305" s="5">
        <f>C$51*'Assumptions and Catalog'!$C$31*C305*(1-'Assumptions and Catalog'!$C$10)^(A305-1)</f>
        <v>973.96378384065736</v>
      </c>
      <c r="G305" s="5">
        <f t="shared" si="20"/>
        <v>973.96378384065736</v>
      </c>
      <c r="H305" s="5">
        <f>I305/('Assumptions and Catalog'!$C$11*'Assumptions and Catalog'!$C$12)</f>
        <v>0</v>
      </c>
      <c r="I305" s="5">
        <f>0</f>
        <v>0</v>
      </c>
      <c r="J305" s="5">
        <f t="shared" si="21"/>
        <v>0</v>
      </c>
      <c r="K305" s="5">
        <f t="shared" si="22"/>
        <v>0</v>
      </c>
      <c r="L305" s="5">
        <f t="shared" si="23"/>
        <v>1527.7362161593428</v>
      </c>
      <c r="M305" s="5">
        <f>IF(ISNUMBER(Inputs!$L$5),(IF(Inputs!$L$9="Actual flat rate",((D305+E305)*C305)*Inputs!$L$10,IF(Inputs!$C$9="Residential",IF(((D305+E305)*C305)&lt;='Assumptions and Catalog'!$C$50,((D305+E305)*C305)*'Assumptions and Catalog'!$H$50+'Assumptions and Catalog'!$E$50+'Assumptions and Catalog'!$F$50,IF(((D305+E305)*C305)&lt;='Assumptions and Catalog'!$C$51,((D305+E305)*C305)*'Assumptions and Catalog'!$H$51+'Assumptions and Catalog'!$E$51+'Assumptions and Catalog'!$F$51,IF(((D305+E305)*C305)&lt;='Assumptions and Catalog'!$C$52,((D305+E305)*C305)*'Assumptions and Catalog'!$H$52+'Assumptions and Catalog'!$E$52+'Assumptions and Catalog'!$F$52,IF(((D305+E305)*C305)&lt;='Assumptions and Catalog'!$C$53,((D305+E305)*C305)*'Assumptions and Catalog'!$H$53+'Assumptions and Catalog'!$E$53+'Assumptions and Catalog'!$F$53,IF(((D305+E305)*C305)&lt;='Assumptions and Catalog'!$C$54,((D305+E305)*C305)*'Assumptions and Catalog'!$H$54+'Assumptions and Catalog'!$E$54+'Assumptions and Catalog'!$F$54,IF(((D305+E305)*C305)&lt;='Assumptions and Catalog'!$C$55,((D305+E305)*C305)*'Assumptions and Catalog'!$H$55+'Assumptions and Catalog'!$E$55+'Assumptions and Catalog'!$F$55,IF(((D305+E305)*C305)&lt;='Assumptions and Catalog'!$C$56,((D305+E305)*C305)*'Assumptions and Catalog'!$H$56+'Assumptions and Catalog'!$E$56+'Assumptions and Catalog'!$F$56,IF(((D305+E305)*C305)&lt;='Assumptions and Catalog'!$C$57,((D305+E305)*C305)*'Assumptions and Catalog'!$H$57+'Assumptions and Catalog'!$E$57+'Assumptions and Catalog'!$F$57,"Out of range")))))))),IF(((D305+E305)*C305)&lt;='Assumptions and Catalog'!$C$60,((D305+E305)*C305)*'Assumptions and Catalog'!$H$60+'Assumptions and Catalog'!$E$60+'Assumptions and Catalog'!$F$60,IF(((D305+E305)*C305)&lt;='Assumptions and Catalog'!$C$61,((D305+E305)*C305)*'Assumptions and Catalog'!$H$61+'Assumptions and Catalog'!$E$61+'Assumptions and Catalog'!$F$61,IF(((D305+E305)*C305)&lt;='Assumptions and Catalog'!$C$62,((D305+E305)*C305)*'Assumptions and Catalog'!$H$62+'Assumptions and Catalog'!$E$62+'Assumptions and Catalog'!$F$62,IF(((D305+E305)*C305)&lt;='Assumptions and Catalog'!$C$63,((D305+E305)*C305)*'Assumptions and Catalog'!$H$63+'Assumptions and Catalog'!$E$63+'Assumptions and Catalog'!$F$63,IF(((D305+E305)*C305)&lt;='Assumptions and Catalog'!$C$64,((D305+E305)*C305)*'Assumptions and Catalog'!$H$64+'Assumptions and Catalog'!$E$64+'Assumptions and Catalog'!$F$64,IF(((D305+E305)*C305)&lt;='Assumptions and Catalog'!$C$65,((D305+E305)*C305)*'Assumptions and Catalog'!$H$65+'Assumptions and Catalog'!$E$65+'Assumptions and Catalog'!$F$65,"Out of range")))))))))*(1+'Assumptions and Catalog'!$C$8)^(A305-1),0)</f>
        <v>8554.9666666666672</v>
      </c>
      <c r="N305" s="5">
        <f>IF(ISNUMBER(Inputs!$L$5),(IF(Inputs!$L$9="Actual flat rate",L305*Inputs!$L$10,IF(Inputs!$C$9="Residential",IF(L305&lt;='Assumptions and Catalog'!$C$50,L305*'Assumptions and Catalog'!$H$50+'Assumptions and Catalog'!$E$50+'Assumptions and Catalog'!$F$50,IF(L305&lt;='Assumptions and Catalog'!$C$51,L305*'Assumptions and Catalog'!$H$51+'Assumptions and Catalog'!$E$51+'Assumptions and Catalog'!$F$51,IF(L305&lt;='Assumptions and Catalog'!$C$52,L305*'Assumptions and Catalog'!$H$52+'Assumptions and Catalog'!$E$52+'Assumptions and Catalog'!$F$52,IF(L305&lt;='Assumptions and Catalog'!$C$53,L305*'Assumptions and Catalog'!$H$53+'Assumptions and Catalog'!$E$53+'Assumptions and Catalog'!$F$53,IF(L305&lt;='Assumptions and Catalog'!$C$54,L305*'Assumptions and Catalog'!$H$54+'Assumptions and Catalog'!$E$54+'Assumptions and Catalog'!$F$54,IF(L305&lt;='Assumptions and Catalog'!$C$55,L305*'Assumptions and Catalog'!$H$55+'Assumptions and Catalog'!$E$55+'Assumptions and Catalog'!$F$55,IF(L305&lt;='Assumptions and Catalog'!$C$56,L305*'Assumptions and Catalog'!$H$56+'Assumptions and Catalog'!$E$56+'Assumptions and Catalog'!$F$56,IF(L305&lt;='Assumptions and Catalog'!$C$57,L305*'Assumptions and Catalog'!$H$57+'Assumptions and Catalog'!$E$57+'Assumptions and Catalog'!$F$57,"Out of range")))))))),IF(L305&lt;='Assumptions and Catalog'!$C$60,L305*'Assumptions and Catalog'!$H$60+'Assumptions and Catalog'!$E$60+'Assumptions and Catalog'!$F$60,IF(L305&lt;='Assumptions and Catalog'!$C$61,L305*'Assumptions and Catalog'!$H$61+'Assumptions and Catalog'!$E$61+'Assumptions and Catalog'!$F$61,IF(L305&lt;='Assumptions and Catalog'!$C$62,L305*'Assumptions and Catalog'!$H$62+'Assumptions and Catalog'!$E$62+'Assumptions and Catalog'!$F$62,IF(L305&lt;='Assumptions and Catalog'!$C$63,L305*'Assumptions and Catalog'!$H$63+'Assumptions and Catalog'!$E$63+'Assumptions and Catalog'!$F$63,IF(L305&lt;='Assumptions and Catalog'!$C$64,L305*'Assumptions and Catalog'!$H$64+'Assumptions and Catalog'!$E$64+'Assumptions and Catalog'!$F$64,IF(L305&lt;='Assumptions and Catalog'!$C$65,L305*'Assumptions and Catalog'!$H$65+'Assumptions and Catalog'!$E$65+'Assumptions and Catalog'!$F$65,"Out of range")))))))))*(1+'Assumptions and Catalog'!$C$8)^(A305-1),0)</f>
        <v>5224.3404104019819</v>
      </c>
      <c r="O305" s="5">
        <f t="shared" si="24"/>
        <v>3330.6262562646853</v>
      </c>
      <c r="P305" s="5">
        <f>C$55*(1-J$14)*(1-'Assumptions and Catalog'!$C$23)^R305</f>
        <v>0</v>
      </c>
      <c r="Q305" s="5">
        <f>IF(ISNUMBER(Inputs!$L$5),(IF(Inputs!$L$9="Actual flat rate",((D305+E305)*C305-G305)*Inputs!$L$10,IF(Inputs!$C$9="Residential",IF(((D305+E305)*C305-G305)&lt;='Assumptions and Catalog'!$C$50,((D305+E305)*C305-G305)*'Assumptions and Catalog'!$H$50+'Assumptions and Catalog'!$E$50+'Assumptions and Catalog'!$F$50,IF(((D305+E305)*C305-G305)&lt;='Assumptions and Catalog'!$C$51,((D305+E305)*C305-G305)*'Assumptions and Catalog'!$H$51+'Assumptions and Catalog'!$E$51+'Assumptions and Catalog'!$F$51,IF(((D305+E305)*C305-G305)&lt;='Assumptions and Catalog'!$C$52,((D305+E305)*C305-G305)*'Assumptions and Catalog'!$H$52+'Assumptions and Catalog'!$E$52+'Assumptions and Catalog'!$F$52,IF(((D305+E305)*C305-G305)&lt;='Assumptions and Catalog'!$C$53,((D305+E305)*C305-G305)*'Assumptions and Catalog'!$H$53+'Assumptions and Catalog'!$E$53+'Assumptions and Catalog'!$F$53,IF(((D305+E305)*C305-G305)&lt;='Assumptions and Catalog'!$C$54,((D305+E305)*C305-G305)*'Assumptions and Catalog'!$H$54+'Assumptions and Catalog'!$E$54+'Assumptions and Catalog'!$F$54,IF(((D305+E305)*C305-G305)&lt;='Assumptions and Catalog'!$C$55,((D305+E305)*C305-G305)*'Assumptions and Catalog'!$H$55+'Assumptions and Catalog'!$E$55+'Assumptions and Catalog'!$F$55,IF(((D305+E305)*C305-G305)&lt;='Assumptions and Catalog'!$C$56,((D305+E305)*C305-G305)*'Assumptions and Catalog'!$H$56+'Assumptions and Catalog'!$E$56+'Assumptions and Catalog'!$F$56,IF(((D305+E305)*C305-G305)&lt;='Assumptions and Catalog'!$C$57,((D305+E305)*C305-G305)*'Assumptions and Catalog'!$H$57+'Assumptions and Catalog'!$E$57+'Assumptions and Catalog'!$F$57,"Out of range")))))))),IF(((D305+E305)*C305-G305)&lt;='Assumptions and Catalog'!$C$60,((D305+E305)*C305-G305)*'Assumptions and Catalog'!$H$60+'Assumptions and Catalog'!$E$60+'Assumptions and Catalog'!$F$60,IF(((D305+E305)*C305-G305)&lt;='Assumptions and Catalog'!$C$61,((D305+E305)*C305-G305)*'Assumptions and Catalog'!$H$61+'Assumptions and Catalog'!$E$61+'Assumptions and Catalog'!$F$61,IF(((D305+E305)*C305-G305)&lt;='Assumptions and Catalog'!$C$62,((D305+E305)*C305-G305)*'Assumptions and Catalog'!$H$62+'Assumptions and Catalog'!$E$62+'Assumptions and Catalog'!$F$62,IF(((D305+E305)*C305-G305)&lt;='Assumptions and Catalog'!$C$63,((D305+E305)*C305-G305)*'Assumptions and Catalog'!$H$63+'Assumptions and Catalog'!$E$63+'Assumptions and Catalog'!$F$63,IF(((D305+E305)*C305-G305)&lt;='Assumptions and Catalog'!$C$64,((D305+E305)*C305-G305)*'Assumptions and Catalog'!$H$64+'Assumptions and Catalog'!$E$64+'Assumptions and Catalog'!$F$64,IF(((D305+E305)*C305-G305)&lt;='Assumptions and Catalog'!$C$65,((D305+E305)*C305-G305)*'Assumptions and Catalog'!$H$65+'Assumptions and Catalog'!$E$65+'Assumptions and Catalog'!$F$65,"Out of range")))))))))*(1+'Assumptions and Catalog'!$C$8)^(A305-1),0)</f>
        <v>5224.3404104019819</v>
      </c>
      <c r="R305" s="5">
        <f>IF(AND('Assumptions and Catalog'!$C$19&gt;0,A305&gt;='Assumptions and Catalog'!$C$19),A305-'Assumptions and Catalog'!$C$19,A305-1)</f>
        <v>2</v>
      </c>
      <c r="S305" s="5">
        <f t="shared" si="25"/>
        <v>0</v>
      </c>
      <c r="T305" s="5"/>
      <c r="U305" s="5"/>
    </row>
    <row r="306" spans="1:21" ht="23.1" customHeight="1" outlineLevel="1" x14ac:dyDescent="0.2">
      <c r="A306" s="5">
        <v>13</v>
      </c>
      <c r="B306" s="5">
        <v>2</v>
      </c>
      <c r="C306" s="5">
        <f>DAY(DATE('Assumptions and Catalog'!$C$24+A306-1,B306+1,0))</f>
        <v>28</v>
      </c>
      <c r="D306" s="5">
        <f>IF(ISNUMBER(Inputs!$L$5),Inputs!$L$5*Inputs!$L$6,0)</f>
        <v>40.35</v>
      </c>
      <c r="E306" s="5">
        <f>IF(ISNUMBER(Inputs!$L$5),Inputs!$L$5-D306,0)</f>
        <v>40.35</v>
      </c>
      <c r="F306" s="5">
        <f>C$51*'Assumptions and Catalog'!$C$31*C306*(1-'Assumptions and Catalog'!$C$10)^(A306-1)</f>
        <v>879.7092241141421</v>
      </c>
      <c r="G306" s="5">
        <f t="shared" si="20"/>
        <v>879.7092241141421</v>
      </c>
      <c r="H306" s="5">
        <f>I306/('Assumptions and Catalog'!$C$11*'Assumptions and Catalog'!$C$12)</f>
        <v>0</v>
      </c>
      <c r="I306" s="5">
        <f>0</f>
        <v>0</v>
      </c>
      <c r="J306" s="5">
        <f t="shared" si="21"/>
        <v>0</v>
      </c>
      <c r="K306" s="5">
        <f t="shared" si="22"/>
        <v>0</v>
      </c>
      <c r="L306" s="5">
        <f t="shared" si="23"/>
        <v>1379.8907758858577</v>
      </c>
      <c r="M306" s="5">
        <f>IF(ISNUMBER(Inputs!$L$5),(IF(Inputs!$L$9="Actual flat rate",((D306+E306)*C306)*Inputs!$L$10,IF(Inputs!$C$9="Residential",IF(((D306+E306)*C306)&lt;='Assumptions and Catalog'!$C$50,((D306+E306)*C306)*'Assumptions and Catalog'!$H$50+'Assumptions and Catalog'!$E$50+'Assumptions and Catalog'!$F$50,IF(((D306+E306)*C306)&lt;='Assumptions and Catalog'!$C$51,((D306+E306)*C306)*'Assumptions and Catalog'!$H$51+'Assumptions and Catalog'!$E$51+'Assumptions and Catalog'!$F$51,IF(((D306+E306)*C306)&lt;='Assumptions and Catalog'!$C$52,((D306+E306)*C306)*'Assumptions and Catalog'!$H$52+'Assumptions and Catalog'!$E$52+'Assumptions and Catalog'!$F$52,IF(((D306+E306)*C306)&lt;='Assumptions and Catalog'!$C$53,((D306+E306)*C306)*'Assumptions and Catalog'!$H$53+'Assumptions and Catalog'!$E$53+'Assumptions and Catalog'!$F$53,IF(((D306+E306)*C306)&lt;='Assumptions and Catalog'!$C$54,((D306+E306)*C306)*'Assumptions and Catalog'!$H$54+'Assumptions and Catalog'!$E$54+'Assumptions and Catalog'!$F$54,IF(((D306+E306)*C306)&lt;='Assumptions and Catalog'!$C$55,((D306+E306)*C306)*'Assumptions and Catalog'!$H$55+'Assumptions and Catalog'!$E$55+'Assumptions and Catalog'!$F$55,IF(((D306+E306)*C306)&lt;='Assumptions and Catalog'!$C$56,((D306+E306)*C306)*'Assumptions and Catalog'!$H$56+'Assumptions and Catalog'!$E$56+'Assumptions and Catalog'!$F$56,IF(((D306+E306)*C306)&lt;='Assumptions and Catalog'!$C$57,((D306+E306)*C306)*'Assumptions and Catalog'!$H$57+'Assumptions and Catalog'!$E$57+'Assumptions and Catalog'!$F$57,"Out of range")))))))),IF(((D306+E306)*C306)&lt;='Assumptions and Catalog'!$C$60,((D306+E306)*C306)*'Assumptions and Catalog'!$H$60+'Assumptions and Catalog'!$E$60+'Assumptions and Catalog'!$F$60,IF(((D306+E306)*C306)&lt;='Assumptions and Catalog'!$C$61,((D306+E306)*C306)*'Assumptions and Catalog'!$H$61+'Assumptions and Catalog'!$E$61+'Assumptions and Catalog'!$F$61,IF(((D306+E306)*C306)&lt;='Assumptions and Catalog'!$C$62,((D306+E306)*C306)*'Assumptions and Catalog'!$H$62+'Assumptions and Catalog'!$E$62+'Assumptions and Catalog'!$F$62,IF(((D306+E306)*C306)&lt;='Assumptions and Catalog'!$C$63,((D306+E306)*C306)*'Assumptions and Catalog'!$H$63+'Assumptions and Catalog'!$E$63+'Assumptions and Catalog'!$F$63,IF(((D306+E306)*C306)&lt;='Assumptions and Catalog'!$C$64,((D306+E306)*C306)*'Assumptions and Catalog'!$H$64+'Assumptions and Catalog'!$E$64+'Assumptions and Catalog'!$F$64,IF(((D306+E306)*C306)&lt;='Assumptions and Catalog'!$C$65,((D306+E306)*C306)*'Assumptions and Catalog'!$H$65+'Assumptions and Catalog'!$E$65+'Assumptions and Catalog'!$F$65,"Out of range")))))))))*(1+'Assumptions and Catalog'!$C$8)^(A306-1),0)</f>
        <v>7727.0666666666657</v>
      </c>
      <c r="N306" s="5">
        <f>IF(ISNUMBER(Inputs!$L$5),(IF(Inputs!$L$9="Actual flat rate",L306*Inputs!$L$10,IF(Inputs!$C$9="Residential",IF(L306&lt;='Assumptions and Catalog'!$C$50,L306*'Assumptions and Catalog'!$H$50+'Assumptions and Catalog'!$E$50+'Assumptions and Catalog'!$F$50,IF(L306&lt;='Assumptions and Catalog'!$C$51,L306*'Assumptions and Catalog'!$H$51+'Assumptions and Catalog'!$E$51+'Assumptions and Catalog'!$F$51,IF(L306&lt;='Assumptions and Catalog'!$C$52,L306*'Assumptions and Catalog'!$H$52+'Assumptions and Catalog'!$E$52+'Assumptions and Catalog'!$F$52,IF(L306&lt;='Assumptions and Catalog'!$C$53,L306*'Assumptions and Catalog'!$H$53+'Assumptions and Catalog'!$E$53+'Assumptions and Catalog'!$F$53,IF(L306&lt;='Assumptions and Catalog'!$C$54,L306*'Assumptions and Catalog'!$H$54+'Assumptions and Catalog'!$E$54+'Assumptions and Catalog'!$F$54,IF(L306&lt;='Assumptions and Catalog'!$C$55,L306*'Assumptions and Catalog'!$H$55+'Assumptions and Catalog'!$E$55+'Assumptions and Catalog'!$F$55,IF(L306&lt;='Assumptions and Catalog'!$C$56,L306*'Assumptions and Catalog'!$H$56+'Assumptions and Catalog'!$E$56+'Assumptions and Catalog'!$F$56,IF(L306&lt;='Assumptions and Catalog'!$C$57,L306*'Assumptions and Catalog'!$H$57+'Assumptions and Catalog'!$E$57+'Assumptions and Catalog'!$F$57,"Out of range")))))))),IF(L306&lt;='Assumptions and Catalog'!$C$60,L306*'Assumptions and Catalog'!$H$60+'Assumptions and Catalog'!$E$60+'Assumptions and Catalog'!$F$60,IF(L306&lt;='Assumptions and Catalog'!$C$61,L306*'Assumptions and Catalog'!$H$61+'Assumptions and Catalog'!$E$61+'Assumptions and Catalog'!$F$61,IF(L306&lt;='Assumptions and Catalog'!$C$62,L306*'Assumptions and Catalog'!$H$62+'Assumptions and Catalog'!$E$62+'Assumptions and Catalog'!$F$62,IF(L306&lt;='Assumptions and Catalog'!$C$63,L306*'Assumptions and Catalog'!$H$63+'Assumptions and Catalog'!$E$63+'Assumptions and Catalog'!$F$63,IF(L306&lt;='Assumptions and Catalog'!$C$64,L306*'Assumptions and Catalog'!$H$64+'Assumptions and Catalog'!$E$64+'Assumptions and Catalog'!$F$64,IF(L306&lt;='Assumptions and Catalog'!$C$65,L306*'Assumptions and Catalog'!$H$65+'Assumptions and Catalog'!$E$65+'Assumptions and Catalog'!$F$65,"Out of range")))))))))*(1+'Assumptions and Catalog'!$C$8)^(A306-1),0)</f>
        <v>4718.7590803630792</v>
      </c>
      <c r="O306" s="5">
        <f t="shared" si="24"/>
        <v>3008.3075863035865</v>
      </c>
      <c r="P306" s="5">
        <f>C$55*(1-J$14)*(1-'Assumptions and Catalog'!$C$23)^R306</f>
        <v>0</v>
      </c>
      <c r="Q306" s="5">
        <f>IF(ISNUMBER(Inputs!$L$5),(IF(Inputs!$L$9="Actual flat rate",((D306+E306)*C306-G306)*Inputs!$L$10,IF(Inputs!$C$9="Residential",IF(((D306+E306)*C306-G306)&lt;='Assumptions and Catalog'!$C$50,((D306+E306)*C306-G306)*'Assumptions and Catalog'!$H$50+'Assumptions and Catalog'!$E$50+'Assumptions and Catalog'!$F$50,IF(((D306+E306)*C306-G306)&lt;='Assumptions and Catalog'!$C$51,((D306+E306)*C306-G306)*'Assumptions and Catalog'!$H$51+'Assumptions and Catalog'!$E$51+'Assumptions and Catalog'!$F$51,IF(((D306+E306)*C306-G306)&lt;='Assumptions and Catalog'!$C$52,((D306+E306)*C306-G306)*'Assumptions and Catalog'!$H$52+'Assumptions and Catalog'!$E$52+'Assumptions and Catalog'!$F$52,IF(((D306+E306)*C306-G306)&lt;='Assumptions and Catalog'!$C$53,((D306+E306)*C306-G306)*'Assumptions and Catalog'!$H$53+'Assumptions and Catalog'!$E$53+'Assumptions and Catalog'!$F$53,IF(((D306+E306)*C306-G306)&lt;='Assumptions and Catalog'!$C$54,((D306+E306)*C306-G306)*'Assumptions and Catalog'!$H$54+'Assumptions and Catalog'!$E$54+'Assumptions and Catalog'!$F$54,IF(((D306+E306)*C306-G306)&lt;='Assumptions and Catalog'!$C$55,((D306+E306)*C306-G306)*'Assumptions and Catalog'!$H$55+'Assumptions and Catalog'!$E$55+'Assumptions and Catalog'!$F$55,IF(((D306+E306)*C306-G306)&lt;='Assumptions and Catalog'!$C$56,((D306+E306)*C306-G306)*'Assumptions and Catalog'!$H$56+'Assumptions and Catalog'!$E$56+'Assumptions and Catalog'!$F$56,IF(((D306+E306)*C306-G306)&lt;='Assumptions and Catalog'!$C$57,((D306+E306)*C306-G306)*'Assumptions and Catalog'!$H$57+'Assumptions and Catalog'!$E$57+'Assumptions and Catalog'!$F$57,"Out of range")))))))),IF(((D306+E306)*C306-G306)&lt;='Assumptions and Catalog'!$C$60,((D306+E306)*C306-G306)*'Assumptions and Catalog'!$H$60+'Assumptions and Catalog'!$E$60+'Assumptions and Catalog'!$F$60,IF(((D306+E306)*C306-G306)&lt;='Assumptions and Catalog'!$C$61,((D306+E306)*C306-G306)*'Assumptions and Catalog'!$H$61+'Assumptions and Catalog'!$E$61+'Assumptions and Catalog'!$F$61,IF(((D306+E306)*C306-G306)&lt;='Assumptions and Catalog'!$C$62,((D306+E306)*C306-G306)*'Assumptions and Catalog'!$H$62+'Assumptions and Catalog'!$E$62+'Assumptions and Catalog'!$F$62,IF(((D306+E306)*C306-G306)&lt;='Assumptions and Catalog'!$C$63,((D306+E306)*C306-G306)*'Assumptions and Catalog'!$H$63+'Assumptions and Catalog'!$E$63+'Assumptions and Catalog'!$F$63,IF(((D306+E306)*C306-G306)&lt;='Assumptions and Catalog'!$C$64,((D306+E306)*C306-G306)*'Assumptions and Catalog'!$H$64+'Assumptions and Catalog'!$E$64+'Assumptions and Catalog'!$F$64,IF(((D306+E306)*C306-G306)&lt;='Assumptions and Catalog'!$C$65,((D306+E306)*C306-G306)*'Assumptions and Catalog'!$H$65+'Assumptions and Catalog'!$E$65+'Assumptions and Catalog'!$F$65,"Out of range")))))))))*(1+'Assumptions and Catalog'!$C$8)^(A306-1),0)</f>
        <v>4718.7590803630792</v>
      </c>
      <c r="R306" s="5">
        <f>IF(AND('Assumptions and Catalog'!$C$19&gt;0,A306&gt;='Assumptions and Catalog'!$C$19),A306-'Assumptions and Catalog'!$C$19,A306-1)</f>
        <v>2</v>
      </c>
      <c r="S306" s="5">
        <f t="shared" si="25"/>
        <v>0</v>
      </c>
      <c r="T306" s="5"/>
      <c r="U306" s="5"/>
    </row>
    <row r="307" spans="1:21" ht="23.1" customHeight="1" outlineLevel="1" x14ac:dyDescent="0.2">
      <c r="A307" s="5">
        <v>13</v>
      </c>
      <c r="B307" s="5">
        <v>3</v>
      </c>
      <c r="C307" s="5">
        <f>DAY(DATE('Assumptions and Catalog'!$C$24+A307-1,B307+1,0))</f>
        <v>31</v>
      </c>
      <c r="D307" s="5">
        <f>IF(ISNUMBER(Inputs!$L$5),Inputs!$L$5*Inputs!$L$6,0)</f>
        <v>40.35</v>
      </c>
      <c r="E307" s="5">
        <f>IF(ISNUMBER(Inputs!$L$5),Inputs!$L$5-D307,0)</f>
        <v>40.35</v>
      </c>
      <c r="F307" s="5">
        <f>C$51*'Assumptions and Catalog'!$C$31*C307*(1-'Assumptions and Catalog'!$C$10)^(A307-1)</f>
        <v>973.96378384065736</v>
      </c>
      <c r="G307" s="5">
        <f t="shared" si="20"/>
        <v>973.96378384065736</v>
      </c>
      <c r="H307" s="5">
        <f>I307/('Assumptions and Catalog'!$C$11*'Assumptions and Catalog'!$C$12)</f>
        <v>0</v>
      </c>
      <c r="I307" s="5">
        <f>0</f>
        <v>0</v>
      </c>
      <c r="J307" s="5">
        <f t="shared" si="21"/>
        <v>0</v>
      </c>
      <c r="K307" s="5">
        <f t="shared" si="22"/>
        <v>0</v>
      </c>
      <c r="L307" s="5">
        <f t="shared" si="23"/>
        <v>1527.7362161593428</v>
      </c>
      <c r="M307" s="5">
        <f>IF(ISNUMBER(Inputs!$L$5),(IF(Inputs!$L$9="Actual flat rate",((D307+E307)*C307)*Inputs!$L$10,IF(Inputs!$C$9="Residential",IF(((D307+E307)*C307)&lt;='Assumptions and Catalog'!$C$50,((D307+E307)*C307)*'Assumptions and Catalog'!$H$50+'Assumptions and Catalog'!$E$50+'Assumptions and Catalog'!$F$50,IF(((D307+E307)*C307)&lt;='Assumptions and Catalog'!$C$51,((D307+E307)*C307)*'Assumptions and Catalog'!$H$51+'Assumptions and Catalog'!$E$51+'Assumptions and Catalog'!$F$51,IF(((D307+E307)*C307)&lt;='Assumptions and Catalog'!$C$52,((D307+E307)*C307)*'Assumptions and Catalog'!$H$52+'Assumptions and Catalog'!$E$52+'Assumptions and Catalog'!$F$52,IF(((D307+E307)*C307)&lt;='Assumptions and Catalog'!$C$53,((D307+E307)*C307)*'Assumptions and Catalog'!$H$53+'Assumptions and Catalog'!$E$53+'Assumptions and Catalog'!$F$53,IF(((D307+E307)*C307)&lt;='Assumptions and Catalog'!$C$54,((D307+E307)*C307)*'Assumptions and Catalog'!$H$54+'Assumptions and Catalog'!$E$54+'Assumptions and Catalog'!$F$54,IF(((D307+E307)*C307)&lt;='Assumptions and Catalog'!$C$55,((D307+E307)*C307)*'Assumptions and Catalog'!$H$55+'Assumptions and Catalog'!$E$55+'Assumptions and Catalog'!$F$55,IF(((D307+E307)*C307)&lt;='Assumptions and Catalog'!$C$56,((D307+E307)*C307)*'Assumptions and Catalog'!$H$56+'Assumptions and Catalog'!$E$56+'Assumptions and Catalog'!$F$56,IF(((D307+E307)*C307)&lt;='Assumptions and Catalog'!$C$57,((D307+E307)*C307)*'Assumptions and Catalog'!$H$57+'Assumptions and Catalog'!$E$57+'Assumptions and Catalog'!$F$57,"Out of range")))))))),IF(((D307+E307)*C307)&lt;='Assumptions and Catalog'!$C$60,((D307+E307)*C307)*'Assumptions and Catalog'!$H$60+'Assumptions and Catalog'!$E$60+'Assumptions and Catalog'!$F$60,IF(((D307+E307)*C307)&lt;='Assumptions and Catalog'!$C$61,((D307+E307)*C307)*'Assumptions and Catalog'!$H$61+'Assumptions and Catalog'!$E$61+'Assumptions and Catalog'!$F$61,IF(((D307+E307)*C307)&lt;='Assumptions and Catalog'!$C$62,((D307+E307)*C307)*'Assumptions and Catalog'!$H$62+'Assumptions and Catalog'!$E$62+'Assumptions and Catalog'!$F$62,IF(((D307+E307)*C307)&lt;='Assumptions and Catalog'!$C$63,((D307+E307)*C307)*'Assumptions and Catalog'!$H$63+'Assumptions and Catalog'!$E$63+'Assumptions and Catalog'!$F$63,IF(((D307+E307)*C307)&lt;='Assumptions and Catalog'!$C$64,((D307+E307)*C307)*'Assumptions and Catalog'!$H$64+'Assumptions and Catalog'!$E$64+'Assumptions and Catalog'!$F$64,IF(((D307+E307)*C307)&lt;='Assumptions and Catalog'!$C$65,((D307+E307)*C307)*'Assumptions and Catalog'!$H$65+'Assumptions and Catalog'!$E$65+'Assumptions and Catalog'!$F$65,"Out of range")))))))))*(1+'Assumptions and Catalog'!$C$8)^(A307-1),0)</f>
        <v>8554.9666666666672</v>
      </c>
      <c r="N307" s="5">
        <f>IF(ISNUMBER(Inputs!$L$5),(IF(Inputs!$L$9="Actual flat rate",L307*Inputs!$L$10,IF(Inputs!$C$9="Residential",IF(L307&lt;='Assumptions and Catalog'!$C$50,L307*'Assumptions and Catalog'!$H$50+'Assumptions and Catalog'!$E$50+'Assumptions and Catalog'!$F$50,IF(L307&lt;='Assumptions and Catalog'!$C$51,L307*'Assumptions and Catalog'!$H$51+'Assumptions and Catalog'!$E$51+'Assumptions and Catalog'!$F$51,IF(L307&lt;='Assumptions and Catalog'!$C$52,L307*'Assumptions and Catalog'!$H$52+'Assumptions and Catalog'!$E$52+'Assumptions and Catalog'!$F$52,IF(L307&lt;='Assumptions and Catalog'!$C$53,L307*'Assumptions and Catalog'!$H$53+'Assumptions and Catalog'!$E$53+'Assumptions and Catalog'!$F$53,IF(L307&lt;='Assumptions and Catalog'!$C$54,L307*'Assumptions and Catalog'!$H$54+'Assumptions and Catalog'!$E$54+'Assumptions and Catalog'!$F$54,IF(L307&lt;='Assumptions and Catalog'!$C$55,L307*'Assumptions and Catalog'!$H$55+'Assumptions and Catalog'!$E$55+'Assumptions and Catalog'!$F$55,IF(L307&lt;='Assumptions and Catalog'!$C$56,L307*'Assumptions and Catalog'!$H$56+'Assumptions and Catalog'!$E$56+'Assumptions and Catalog'!$F$56,IF(L307&lt;='Assumptions and Catalog'!$C$57,L307*'Assumptions and Catalog'!$H$57+'Assumptions and Catalog'!$E$57+'Assumptions and Catalog'!$F$57,"Out of range")))))))),IF(L307&lt;='Assumptions and Catalog'!$C$60,L307*'Assumptions and Catalog'!$H$60+'Assumptions and Catalog'!$E$60+'Assumptions and Catalog'!$F$60,IF(L307&lt;='Assumptions and Catalog'!$C$61,L307*'Assumptions and Catalog'!$H$61+'Assumptions and Catalog'!$E$61+'Assumptions and Catalog'!$F$61,IF(L307&lt;='Assumptions and Catalog'!$C$62,L307*'Assumptions and Catalog'!$H$62+'Assumptions and Catalog'!$E$62+'Assumptions and Catalog'!$F$62,IF(L307&lt;='Assumptions and Catalog'!$C$63,L307*'Assumptions and Catalog'!$H$63+'Assumptions and Catalog'!$E$63+'Assumptions and Catalog'!$F$63,IF(L307&lt;='Assumptions and Catalog'!$C$64,L307*'Assumptions and Catalog'!$H$64+'Assumptions and Catalog'!$E$64+'Assumptions and Catalog'!$F$64,IF(L307&lt;='Assumptions and Catalog'!$C$65,L307*'Assumptions and Catalog'!$H$65+'Assumptions and Catalog'!$E$65+'Assumptions and Catalog'!$F$65,"Out of range")))))))))*(1+'Assumptions and Catalog'!$C$8)^(A307-1),0)</f>
        <v>5224.3404104019819</v>
      </c>
      <c r="O307" s="5">
        <f t="shared" si="24"/>
        <v>3330.6262562646853</v>
      </c>
      <c r="P307" s="5">
        <f>C$55*(1-J$14)*(1-'Assumptions and Catalog'!$C$23)^R307</f>
        <v>0</v>
      </c>
      <c r="Q307" s="5">
        <f>IF(ISNUMBER(Inputs!$L$5),(IF(Inputs!$L$9="Actual flat rate",((D307+E307)*C307-G307)*Inputs!$L$10,IF(Inputs!$C$9="Residential",IF(((D307+E307)*C307-G307)&lt;='Assumptions and Catalog'!$C$50,((D307+E307)*C307-G307)*'Assumptions and Catalog'!$H$50+'Assumptions and Catalog'!$E$50+'Assumptions and Catalog'!$F$50,IF(((D307+E307)*C307-G307)&lt;='Assumptions and Catalog'!$C$51,((D307+E307)*C307-G307)*'Assumptions and Catalog'!$H$51+'Assumptions and Catalog'!$E$51+'Assumptions and Catalog'!$F$51,IF(((D307+E307)*C307-G307)&lt;='Assumptions and Catalog'!$C$52,((D307+E307)*C307-G307)*'Assumptions and Catalog'!$H$52+'Assumptions and Catalog'!$E$52+'Assumptions and Catalog'!$F$52,IF(((D307+E307)*C307-G307)&lt;='Assumptions and Catalog'!$C$53,((D307+E307)*C307-G307)*'Assumptions and Catalog'!$H$53+'Assumptions and Catalog'!$E$53+'Assumptions and Catalog'!$F$53,IF(((D307+E307)*C307-G307)&lt;='Assumptions and Catalog'!$C$54,((D307+E307)*C307-G307)*'Assumptions and Catalog'!$H$54+'Assumptions and Catalog'!$E$54+'Assumptions and Catalog'!$F$54,IF(((D307+E307)*C307-G307)&lt;='Assumptions and Catalog'!$C$55,((D307+E307)*C307-G307)*'Assumptions and Catalog'!$H$55+'Assumptions and Catalog'!$E$55+'Assumptions and Catalog'!$F$55,IF(((D307+E307)*C307-G307)&lt;='Assumptions and Catalog'!$C$56,((D307+E307)*C307-G307)*'Assumptions and Catalog'!$H$56+'Assumptions and Catalog'!$E$56+'Assumptions and Catalog'!$F$56,IF(((D307+E307)*C307-G307)&lt;='Assumptions and Catalog'!$C$57,((D307+E307)*C307-G307)*'Assumptions and Catalog'!$H$57+'Assumptions and Catalog'!$E$57+'Assumptions and Catalog'!$F$57,"Out of range")))))))),IF(((D307+E307)*C307-G307)&lt;='Assumptions and Catalog'!$C$60,((D307+E307)*C307-G307)*'Assumptions and Catalog'!$H$60+'Assumptions and Catalog'!$E$60+'Assumptions and Catalog'!$F$60,IF(((D307+E307)*C307-G307)&lt;='Assumptions and Catalog'!$C$61,((D307+E307)*C307-G307)*'Assumptions and Catalog'!$H$61+'Assumptions and Catalog'!$E$61+'Assumptions and Catalog'!$F$61,IF(((D307+E307)*C307-G307)&lt;='Assumptions and Catalog'!$C$62,((D307+E307)*C307-G307)*'Assumptions and Catalog'!$H$62+'Assumptions and Catalog'!$E$62+'Assumptions and Catalog'!$F$62,IF(((D307+E307)*C307-G307)&lt;='Assumptions and Catalog'!$C$63,((D307+E307)*C307-G307)*'Assumptions and Catalog'!$H$63+'Assumptions and Catalog'!$E$63+'Assumptions and Catalog'!$F$63,IF(((D307+E307)*C307-G307)&lt;='Assumptions and Catalog'!$C$64,((D307+E307)*C307-G307)*'Assumptions and Catalog'!$H$64+'Assumptions and Catalog'!$E$64+'Assumptions and Catalog'!$F$64,IF(((D307+E307)*C307-G307)&lt;='Assumptions and Catalog'!$C$65,((D307+E307)*C307-G307)*'Assumptions and Catalog'!$H$65+'Assumptions and Catalog'!$E$65+'Assumptions and Catalog'!$F$65,"Out of range")))))))))*(1+'Assumptions and Catalog'!$C$8)^(A307-1),0)</f>
        <v>5224.3404104019819</v>
      </c>
      <c r="R307" s="5">
        <f>IF(AND('Assumptions and Catalog'!$C$19&gt;0,A307&gt;='Assumptions and Catalog'!$C$19),A307-'Assumptions and Catalog'!$C$19,A307-1)</f>
        <v>2</v>
      </c>
      <c r="S307" s="5">
        <f t="shared" si="25"/>
        <v>0</v>
      </c>
      <c r="T307" s="5"/>
      <c r="U307" s="5"/>
    </row>
    <row r="308" spans="1:21" ht="23.1" customHeight="1" outlineLevel="1" x14ac:dyDescent="0.2">
      <c r="A308" s="5">
        <v>13</v>
      </c>
      <c r="B308" s="5">
        <v>4</v>
      </c>
      <c r="C308" s="5">
        <f>DAY(DATE('Assumptions and Catalog'!$C$24+A308-1,B308+1,0))</f>
        <v>30</v>
      </c>
      <c r="D308" s="5">
        <f>IF(ISNUMBER(Inputs!$L$5),Inputs!$L$5*Inputs!$L$6,0)</f>
        <v>40.35</v>
      </c>
      <c r="E308" s="5">
        <f>IF(ISNUMBER(Inputs!$L$5),Inputs!$L$5-D308,0)</f>
        <v>40.35</v>
      </c>
      <c r="F308" s="5">
        <f>C$51*'Assumptions and Catalog'!$C$31*C308*(1-'Assumptions and Catalog'!$C$10)^(A308-1)</f>
        <v>942.54559726515231</v>
      </c>
      <c r="G308" s="5">
        <f t="shared" si="20"/>
        <v>942.54559726515231</v>
      </c>
      <c r="H308" s="5">
        <f>I308/('Assumptions and Catalog'!$C$11*'Assumptions and Catalog'!$C$12)</f>
        <v>0</v>
      </c>
      <c r="I308" s="5">
        <f>0</f>
        <v>0</v>
      </c>
      <c r="J308" s="5">
        <f t="shared" si="21"/>
        <v>0</v>
      </c>
      <c r="K308" s="5">
        <f t="shared" si="22"/>
        <v>0</v>
      </c>
      <c r="L308" s="5">
        <f t="shared" si="23"/>
        <v>1478.4544027348477</v>
      </c>
      <c r="M308" s="5">
        <f>IF(ISNUMBER(Inputs!$L$5),(IF(Inputs!$L$9="Actual flat rate",((D308+E308)*C308)*Inputs!$L$10,IF(Inputs!$C$9="Residential",IF(((D308+E308)*C308)&lt;='Assumptions and Catalog'!$C$50,((D308+E308)*C308)*'Assumptions and Catalog'!$H$50+'Assumptions and Catalog'!$E$50+'Assumptions and Catalog'!$F$50,IF(((D308+E308)*C308)&lt;='Assumptions and Catalog'!$C$51,((D308+E308)*C308)*'Assumptions and Catalog'!$H$51+'Assumptions and Catalog'!$E$51+'Assumptions and Catalog'!$F$51,IF(((D308+E308)*C308)&lt;='Assumptions and Catalog'!$C$52,((D308+E308)*C308)*'Assumptions and Catalog'!$H$52+'Assumptions and Catalog'!$E$52+'Assumptions and Catalog'!$F$52,IF(((D308+E308)*C308)&lt;='Assumptions and Catalog'!$C$53,((D308+E308)*C308)*'Assumptions and Catalog'!$H$53+'Assumptions and Catalog'!$E$53+'Assumptions and Catalog'!$F$53,IF(((D308+E308)*C308)&lt;='Assumptions and Catalog'!$C$54,((D308+E308)*C308)*'Assumptions and Catalog'!$H$54+'Assumptions and Catalog'!$E$54+'Assumptions and Catalog'!$F$54,IF(((D308+E308)*C308)&lt;='Assumptions and Catalog'!$C$55,((D308+E308)*C308)*'Assumptions and Catalog'!$H$55+'Assumptions and Catalog'!$E$55+'Assumptions and Catalog'!$F$55,IF(((D308+E308)*C308)&lt;='Assumptions and Catalog'!$C$56,((D308+E308)*C308)*'Assumptions and Catalog'!$H$56+'Assumptions and Catalog'!$E$56+'Assumptions and Catalog'!$F$56,IF(((D308+E308)*C308)&lt;='Assumptions and Catalog'!$C$57,((D308+E308)*C308)*'Assumptions and Catalog'!$H$57+'Assumptions and Catalog'!$E$57+'Assumptions and Catalog'!$F$57,"Out of range")))))))),IF(((D308+E308)*C308)&lt;='Assumptions and Catalog'!$C$60,((D308+E308)*C308)*'Assumptions and Catalog'!$H$60+'Assumptions and Catalog'!$E$60+'Assumptions and Catalog'!$F$60,IF(((D308+E308)*C308)&lt;='Assumptions and Catalog'!$C$61,((D308+E308)*C308)*'Assumptions and Catalog'!$H$61+'Assumptions and Catalog'!$E$61+'Assumptions and Catalog'!$F$61,IF(((D308+E308)*C308)&lt;='Assumptions and Catalog'!$C$62,((D308+E308)*C308)*'Assumptions and Catalog'!$H$62+'Assumptions and Catalog'!$E$62+'Assumptions and Catalog'!$F$62,IF(((D308+E308)*C308)&lt;='Assumptions and Catalog'!$C$63,((D308+E308)*C308)*'Assumptions and Catalog'!$H$63+'Assumptions and Catalog'!$E$63+'Assumptions and Catalog'!$F$63,IF(((D308+E308)*C308)&lt;='Assumptions and Catalog'!$C$64,((D308+E308)*C308)*'Assumptions and Catalog'!$H$64+'Assumptions and Catalog'!$E$64+'Assumptions and Catalog'!$F$64,IF(((D308+E308)*C308)&lt;='Assumptions and Catalog'!$C$65,((D308+E308)*C308)*'Assumptions and Catalog'!$H$65+'Assumptions and Catalog'!$E$65+'Assumptions and Catalog'!$F$65,"Out of range")))))))))*(1+'Assumptions and Catalog'!$C$8)^(A308-1),0)</f>
        <v>8279</v>
      </c>
      <c r="N308" s="5">
        <f>IF(ISNUMBER(Inputs!$L$5),(IF(Inputs!$L$9="Actual flat rate",L308*Inputs!$L$10,IF(Inputs!$C$9="Residential",IF(L308&lt;='Assumptions and Catalog'!$C$50,L308*'Assumptions and Catalog'!$H$50+'Assumptions and Catalog'!$E$50+'Assumptions and Catalog'!$F$50,IF(L308&lt;='Assumptions and Catalog'!$C$51,L308*'Assumptions and Catalog'!$H$51+'Assumptions and Catalog'!$E$51+'Assumptions and Catalog'!$F$51,IF(L308&lt;='Assumptions and Catalog'!$C$52,L308*'Assumptions and Catalog'!$H$52+'Assumptions and Catalog'!$E$52+'Assumptions and Catalog'!$F$52,IF(L308&lt;='Assumptions and Catalog'!$C$53,L308*'Assumptions and Catalog'!$H$53+'Assumptions and Catalog'!$E$53+'Assumptions and Catalog'!$F$53,IF(L308&lt;='Assumptions and Catalog'!$C$54,L308*'Assumptions and Catalog'!$H$54+'Assumptions and Catalog'!$E$54+'Assumptions and Catalog'!$F$54,IF(L308&lt;='Assumptions and Catalog'!$C$55,L308*'Assumptions and Catalog'!$H$55+'Assumptions and Catalog'!$E$55+'Assumptions and Catalog'!$F$55,IF(L308&lt;='Assumptions and Catalog'!$C$56,L308*'Assumptions and Catalog'!$H$56+'Assumptions and Catalog'!$E$56+'Assumptions and Catalog'!$F$56,IF(L308&lt;='Assumptions and Catalog'!$C$57,L308*'Assumptions and Catalog'!$H$57+'Assumptions and Catalog'!$E$57+'Assumptions and Catalog'!$F$57,"Out of range")))))))),IF(L308&lt;='Assumptions and Catalog'!$C$60,L308*'Assumptions and Catalog'!$H$60+'Assumptions and Catalog'!$E$60+'Assumptions and Catalog'!$F$60,IF(L308&lt;='Assumptions and Catalog'!$C$61,L308*'Assumptions and Catalog'!$H$61+'Assumptions and Catalog'!$E$61+'Assumptions and Catalog'!$F$61,IF(L308&lt;='Assumptions and Catalog'!$C$62,L308*'Assumptions and Catalog'!$H$62+'Assumptions and Catalog'!$E$62+'Assumptions and Catalog'!$F$62,IF(L308&lt;='Assumptions and Catalog'!$C$63,L308*'Assumptions and Catalog'!$H$63+'Assumptions and Catalog'!$E$63+'Assumptions and Catalog'!$F$63,IF(L308&lt;='Assumptions and Catalog'!$C$64,L308*'Assumptions and Catalog'!$H$64+'Assumptions and Catalog'!$E$64+'Assumptions and Catalog'!$F$64,IF(L308&lt;='Assumptions and Catalog'!$C$65,L308*'Assumptions and Catalog'!$H$65+'Assumptions and Catalog'!$E$65+'Assumptions and Catalog'!$F$65,"Out of range")))))))))*(1+'Assumptions and Catalog'!$C$8)^(A308-1),0)</f>
        <v>5055.8133003890143</v>
      </c>
      <c r="O308" s="5">
        <f t="shared" si="24"/>
        <v>3223.1866996109857</v>
      </c>
      <c r="P308" s="5">
        <f>C$55*(1-J$14)*(1-'Assumptions and Catalog'!$C$23)^R308</f>
        <v>0</v>
      </c>
      <c r="Q308" s="5">
        <f>IF(ISNUMBER(Inputs!$L$5),(IF(Inputs!$L$9="Actual flat rate",((D308+E308)*C308-G308)*Inputs!$L$10,IF(Inputs!$C$9="Residential",IF(((D308+E308)*C308-G308)&lt;='Assumptions and Catalog'!$C$50,((D308+E308)*C308-G308)*'Assumptions and Catalog'!$H$50+'Assumptions and Catalog'!$E$50+'Assumptions and Catalog'!$F$50,IF(((D308+E308)*C308-G308)&lt;='Assumptions and Catalog'!$C$51,((D308+E308)*C308-G308)*'Assumptions and Catalog'!$H$51+'Assumptions and Catalog'!$E$51+'Assumptions and Catalog'!$F$51,IF(((D308+E308)*C308-G308)&lt;='Assumptions and Catalog'!$C$52,((D308+E308)*C308-G308)*'Assumptions and Catalog'!$H$52+'Assumptions and Catalog'!$E$52+'Assumptions and Catalog'!$F$52,IF(((D308+E308)*C308-G308)&lt;='Assumptions and Catalog'!$C$53,((D308+E308)*C308-G308)*'Assumptions and Catalog'!$H$53+'Assumptions and Catalog'!$E$53+'Assumptions and Catalog'!$F$53,IF(((D308+E308)*C308-G308)&lt;='Assumptions and Catalog'!$C$54,((D308+E308)*C308-G308)*'Assumptions and Catalog'!$H$54+'Assumptions and Catalog'!$E$54+'Assumptions and Catalog'!$F$54,IF(((D308+E308)*C308-G308)&lt;='Assumptions and Catalog'!$C$55,((D308+E308)*C308-G308)*'Assumptions and Catalog'!$H$55+'Assumptions and Catalog'!$E$55+'Assumptions and Catalog'!$F$55,IF(((D308+E308)*C308-G308)&lt;='Assumptions and Catalog'!$C$56,((D308+E308)*C308-G308)*'Assumptions and Catalog'!$H$56+'Assumptions and Catalog'!$E$56+'Assumptions and Catalog'!$F$56,IF(((D308+E308)*C308-G308)&lt;='Assumptions and Catalog'!$C$57,((D308+E308)*C308-G308)*'Assumptions and Catalog'!$H$57+'Assumptions and Catalog'!$E$57+'Assumptions and Catalog'!$F$57,"Out of range")))))))),IF(((D308+E308)*C308-G308)&lt;='Assumptions and Catalog'!$C$60,((D308+E308)*C308-G308)*'Assumptions and Catalog'!$H$60+'Assumptions and Catalog'!$E$60+'Assumptions and Catalog'!$F$60,IF(((D308+E308)*C308-G308)&lt;='Assumptions and Catalog'!$C$61,((D308+E308)*C308-G308)*'Assumptions and Catalog'!$H$61+'Assumptions and Catalog'!$E$61+'Assumptions and Catalog'!$F$61,IF(((D308+E308)*C308-G308)&lt;='Assumptions and Catalog'!$C$62,((D308+E308)*C308-G308)*'Assumptions and Catalog'!$H$62+'Assumptions and Catalog'!$E$62+'Assumptions and Catalog'!$F$62,IF(((D308+E308)*C308-G308)&lt;='Assumptions and Catalog'!$C$63,((D308+E308)*C308-G308)*'Assumptions and Catalog'!$H$63+'Assumptions and Catalog'!$E$63+'Assumptions and Catalog'!$F$63,IF(((D308+E308)*C308-G308)&lt;='Assumptions and Catalog'!$C$64,((D308+E308)*C308-G308)*'Assumptions and Catalog'!$H$64+'Assumptions and Catalog'!$E$64+'Assumptions and Catalog'!$F$64,IF(((D308+E308)*C308-G308)&lt;='Assumptions and Catalog'!$C$65,((D308+E308)*C308-G308)*'Assumptions and Catalog'!$H$65+'Assumptions and Catalog'!$E$65+'Assumptions and Catalog'!$F$65,"Out of range")))))))))*(1+'Assumptions and Catalog'!$C$8)^(A308-1),0)</f>
        <v>5055.8133003890143</v>
      </c>
      <c r="R308" s="5">
        <f>IF(AND('Assumptions and Catalog'!$C$19&gt;0,A308&gt;='Assumptions and Catalog'!$C$19),A308-'Assumptions and Catalog'!$C$19,A308-1)</f>
        <v>2</v>
      </c>
      <c r="S308" s="5">
        <f t="shared" si="25"/>
        <v>0</v>
      </c>
      <c r="T308" s="5"/>
      <c r="U308" s="5"/>
    </row>
    <row r="309" spans="1:21" ht="23.1" customHeight="1" outlineLevel="1" x14ac:dyDescent="0.2">
      <c r="A309" s="5">
        <v>13</v>
      </c>
      <c r="B309" s="5">
        <v>5</v>
      </c>
      <c r="C309" s="5">
        <f>DAY(DATE('Assumptions and Catalog'!$C$24+A309-1,B309+1,0))</f>
        <v>31</v>
      </c>
      <c r="D309" s="5">
        <f>IF(ISNUMBER(Inputs!$L$5),Inputs!$L$5*Inputs!$L$6,0)</f>
        <v>40.35</v>
      </c>
      <c r="E309" s="5">
        <f>IF(ISNUMBER(Inputs!$L$5),Inputs!$L$5-D309,0)</f>
        <v>40.35</v>
      </c>
      <c r="F309" s="5">
        <f>C$51*'Assumptions and Catalog'!$C$31*C309*(1-'Assumptions and Catalog'!$C$10)^(A309-1)</f>
        <v>973.96378384065736</v>
      </c>
      <c r="G309" s="5">
        <f t="shared" si="20"/>
        <v>973.96378384065736</v>
      </c>
      <c r="H309" s="5">
        <f>I309/('Assumptions and Catalog'!$C$11*'Assumptions and Catalog'!$C$12)</f>
        <v>0</v>
      </c>
      <c r="I309" s="5">
        <f>0</f>
        <v>0</v>
      </c>
      <c r="J309" s="5">
        <f t="shared" si="21"/>
        <v>0</v>
      </c>
      <c r="K309" s="5">
        <f t="shared" si="22"/>
        <v>0</v>
      </c>
      <c r="L309" s="5">
        <f t="shared" si="23"/>
        <v>1527.7362161593428</v>
      </c>
      <c r="M309" s="5">
        <f>IF(ISNUMBER(Inputs!$L$5),(IF(Inputs!$L$9="Actual flat rate",((D309+E309)*C309)*Inputs!$L$10,IF(Inputs!$C$9="Residential",IF(((D309+E309)*C309)&lt;='Assumptions and Catalog'!$C$50,((D309+E309)*C309)*'Assumptions and Catalog'!$H$50+'Assumptions and Catalog'!$E$50+'Assumptions and Catalog'!$F$50,IF(((D309+E309)*C309)&lt;='Assumptions and Catalog'!$C$51,((D309+E309)*C309)*'Assumptions and Catalog'!$H$51+'Assumptions and Catalog'!$E$51+'Assumptions and Catalog'!$F$51,IF(((D309+E309)*C309)&lt;='Assumptions and Catalog'!$C$52,((D309+E309)*C309)*'Assumptions and Catalog'!$H$52+'Assumptions and Catalog'!$E$52+'Assumptions and Catalog'!$F$52,IF(((D309+E309)*C309)&lt;='Assumptions and Catalog'!$C$53,((D309+E309)*C309)*'Assumptions and Catalog'!$H$53+'Assumptions and Catalog'!$E$53+'Assumptions and Catalog'!$F$53,IF(((D309+E309)*C309)&lt;='Assumptions and Catalog'!$C$54,((D309+E309)*C309)*'Assumptions and Catalog'!$H$54+'Assumptions and Catalog'!$E$54+'Assumptions and Catalog'!$F$54,IF(((D309+E309)*C309)&lt;='Assumptions and Catalog'!$C$55,((D309+E309)*C309)*'Assumptions and Catalog'!$H$55+'Assumptions and Catalog'!$E$55+'Assumptions and Catalog'!$F$55,IF(((D309+E309)*C309)&lt;='Assumptions and Catalog'!$C$56,((D309+E309)*C309)*'Assumptions and Catalog'!$H$56+'Assumptions and Catalog'!$E$56+'Assumptions and Catalog'!$F$56,IF(((D309+E309)*C309)&lt;='Assumptions and Catalog'!$C$57,((D309+E309)*C309)*'Assumptions and Catalog'!$H$57+'Assumptions and Catalog'!$E$57+'Assumptions and Catalog'!$F$57,"Out of range")))))))),IF(((D309+E309)*C309)&lt;='Assumptions and Catalog'!$C$60,((D309+E309)*C309)*'Assumptions and Catalog'!$H$60+'Assumptions and Catalog'!$E$60+'Assumptions and Catalog'!$F$60,IF(((D309+E309)*C309)&lt;='Assumptions and Catalog'!$C$61,((D309+E309)*C309)*'Assumptions and Catalog'!$H$61+'Assumptions and Catalog'!$E$61+'Assumptions and Catalog'!$F$61,IF(((D309+E309)*C309)&lt;='Assumptions and Catalog'!$C$62,((D309+E309)*C309)*'Assumptions and Catalog'!$H$62+'Assumptions and Catalog'!$E$62+'Assumptions and Catalog'!$F$62,IF(((D309+E309)*C309)&lt;='Assumptions and Catalog'!$C$63,((D309+E309)*C309)*'Assumptions and Catalog'!$H$63+'Assumptions and Catalog'!$E$63+'Assumptions and Catalog'!$F$63,IF(((D309+E309)*C309)&lt;='Assumptions and Catalog'!$C$64,((D309+E309)*C309)*'Assumptions and Catalog'!$H$64+'Assumptions and Catalog'!$E$64+'Assumptions and Catalog'!$F$64,IF(((D309+E309)*C309)&lt;='Assumptions and Catalog'!$C$65,((D309+E309)*C309)*'Assumptions and Catalog'!$H$65+'Assumptions and Catalog'!$E$65+'Assumptions and Catalog'!$F$65,"Out of range")))))))))*(1+'Assumptions and Catalog'!$C$8)^(A309-1),0)</f>
        <v>8554.9666666666672</v>
      </c>
      <c r="N309" s="5">
        <f>IF(ISNUMBER(Inputs!$L$5),(IF(Inputs!$L$9="Actual flat rate",L309*Inputs!$L$10,IF(Inputs!$C$9="Residential",IF(L309&lt;='Assumptions and Catalog'!$C$50,L309*'Assumptions and Catalog'!$H$50+'Assumptions and Catalog'!$E$50+'Assumptions and Catalog'!$F$50,IF(L309&lt;='Assumptions and Catalog'!$C$51,L309*'Assumptions and Catalog'!$H$51+'Assumptions and Catalog'!$E$51+'Assumptions and Catalog'!$F$51,IF(L309&lt;='Assumptions and Catalog'!$C$52,L309*'Assumptions and Catalog'!$H$52+'Assumptions and Catalog'!$E$52+'Assumptions and Catalog'!$F$52,IF(L309&lt;='Assumptions and Catalog'!$C$53,L309*'Assumptions and Catalog'!$H$53+'Assumptions and Catalog'!$E$53+'Assumptions and Catalog'!$F$53,IF(L309&lt;='Assumptions and Catalog'!$C$54,L309*'Assumptions and Catalog'!$H$54+'Assumptions and Catalog'!$E$54+'Assumptions and Catalog'!$F$54,IF(L309&lt;='Assumptions and Catalog'!$C$55,L309*'Assumptions and Catalog'!$H$55+'Assumptions and Catalog'!$E$55+'Assumptions and Catalog'!$F$55,IF(L309&lt;='Assumptions and Catalog'!$C$56,L309*'Assumptions and Catalog'!$H$56+'Assumptions and Catalog'!$E$56+'Assumptions and Catalog'!$F$56,IF(L309&lt;='Assumptions and Catalog'!$C$57,L309*'Assumptions and Catalog'!$H$57+'Assumptions and Catalog'!$E$57+'Assumptions and Catalog'!$F$57,"Out of range")))))))),IF(L309&lt;='Assumptions and Catalog'!$C$60,L309*'Assumptions and Catalog'!$H$60+'Assumptions and Catalog'!$E$60+'Assumptions and Catalog'!$F$60,IF(L309&lt;='Assumptions and Catalog'!$C$61,L309*'Assumptions and Catalog'!$H$61+'Assumptions and Catalog'!$E$61+'Assumptions and Catalog'!$F$61,IF(L309&lt;='Assumptions and Catalog'!$C$62,L309*'Assumptions and Catalog'!$H$62+'Assumptions and Catalog'!$E$62+'Assumptions and Catalog'!$F$62,IF(L309&lt;='Assumptions and Catalog'!$C$63,L309*'Assumptions and Catalog'!$H$63+'Assumptions and Catalog'!$E$63+'Assumptions and Catalog'!$F$63,IF(L309&lt;='Assumptions and Catalog'!$C$64,L309*'Assumptions and Catalog'!$H$64+'Assumptions and Catalog'!$E$64+'Assumptions and Catalog'!$F$64,IF(L309&lt;='Assumptions and Catalog'!$C$65,L309*'Assumptions and Catalog'!$H$65+'Assumptions and Catalog'!$E$65+'Assumptions and Catalog'!$F$65,"Out of range")))))))))*(1+'Assumptions and Catalog'!$C$8)^(A309-1),0)</f>
        <v>5224.3404104019819</v>
      </c>
      <c r="O309" s="5">
        <f t="shared" si="24"/>
        <v>3330.6262562646853</v>
      </c>
      <c r="P309" s="5">
        <f>C$55*(1-J$14)*(1-'Assumptions and Catalog'!$C$23)^R309</f>
        <v>0</v>
      </c>
      <c r="Q309" s="5">
        <f>IF(ISNUMBER(Inputs!$L$5),(IF(Inputs!$L$9="Actual flat rate",((D309+E309)*C309-G309)*Inputs!$L$10,IF(Inputs!$C$9="Residential",IF(((D309+E309)*C309-G309)&lt;='Assumptions and Catalog'!$C$50,((D309+E309)*C309-G309)*'Assumptions and Catalog'!$H$50+'Assumptions and Catalog'!$E$50+'Assumptions and Catalog'!$F$50,IF(((D309+E309)*C309-G309)&lt;='Assumptions and Catalog'!$C$51,((D309+E309)*C309-G309)*'Assumptions and Catalog'!$H$51+'Assumptions and Catalog'!$E$51+'Assumptions and Catalog'!$F$51,IF(((D309+E309)*C309-G309)&lt;='Assumptions and Catalog'!$C$52,((D309+E309)*C309-G309)*'Assumptions and Catalog'!$H$52+'Assumptions and Catalog'!$E$52+'Assumptions and Catalog'!$F$52,IF(((D309+E309)*C309-G309)&lt;='Assumptions and Catalog'!$C$53,((D309+E309)*C309-G309)*'Assumptions and Catalog'!$H$53+'Assumptions and Catalog'!$E$53+'Assumptions and Catalog'!$F$53,IF(((D309+E309)*C309-G309)&lt;='Assumptions and Catalog'!$C$54,((D309+E309)*C309-G309)*'Assumptions and Catalog'!$H$54+'Assumptions and Catalog'!$E$54+'Assumptions and Catalog'!$F$54,IF(((D309+E309)*C309-G309)&lt;='Assumptions and Catalog'!$C$55,((D309+E309)*C309-G309)*'Assumptions and Catalog'!$H$55+'Assumptions and Catalog'!$E$55+'Assumptions and Catalog'!$F$55,IF(((D309+E309)*C309-G309)&lt;='Assumptions and Catalog'!$C$56,((D309+E309)*C309-G309)*'Assumptions and Catalog'!$H$56+'Assumptions and Catalog'!$E$56+'Assumptions and Catalog'!$F$56,IF(((D309+E309)*C309-G309)&lt;='Assumptions and Catalog'!$C$57,((D309+E309)*C309-G309)*'Assumptions and Catalog'!$H$57+'Assumptions and Catalog'!$E$57+'Assumptions and Catalog'!$F$57,"Out of range")))))))),IF(((D309+E309)*C309-G309)&lt;='Assumptions and Catalog'!$C$60,((D309+E309)*C309-G309)*'Assumptions and Catalog'!$H$60+'Assumptions and Catalog'!$E$60+'Assumptions and Catalog'!$F$60,IF(((D309+E309)*C309-G309)&lt;='Assumptions and Catalog'!$C$61,((D309+E309)*C309-G309)*'Assumptions and Catalog'!$H$61+'Assumptions and Catalog'!$E$61+'Assumptions and Catalog'!$F$61,IF(((D309+E309)*C309-G309)&lt;='Assumptions and Catalog'!$C$62,((D309+E309)*C309-G309)*'Assumptions and Catalog'!$H$62+'Assumptions and Catalog'!$E$62+'Assumptions and Catalog'!$F$62,IF(((D309+E309)*C309-G309)&lt;='Assumptions and Catalog'!$C$63,((D309+E309)*C309-G309)*'Assumptions and Catalog'!$H$63+'Assumptions and Catalog'!$E$63+'Assumptions and Catalog'!$F$63,IF(((D309+E309)*C309-G309)&lt;='Assumptions and Catalog'!$C$64,((D309+E309)*C309-G309)*'Assumptions and Catalog'!$H$64+'Assumptions and Catalog'!$E$64+'Assumptions and Catalog'!$F$64,IF(((D309+E309)*C309-G309)&lt;='Assumptions and Catalog'!$C$65,((D309+E309)*C309-G309)*'Assumptions and Catalog'!$H$65+'Assumptions and Catalog'!$E$65+'Assumptions and Catalog'!$F$65,"Out of range")))))))))*(1+'Assumptions and Catalog'!$C$8)^(A309-1),0)</f>
        <v>5224.3404104019819</v>
      </c>
      <c r="R309" s="5">
        <f>IF(AND('Assumptions and Catalog'!$C$19&gt;0,A309&gt;='Assumptions and Catalog'!$C$19),A309-'Assumptions and Catalog'!$C$19,A309-1)</f>
        <v>2</v>
      </c>
      <c r="S309" s="5">
        <f t="shared" si="25"/>
        <v>0</v>
      </c>
      <c r="T309" s="5"/>
      <c r="U309" s="5"/>
    </row>
    <row r="310" spans="1:21" ht="23.1" customHeight="1" outlineLevel="1" x14ac:dyDescent="0.2">
      <c r="A310" s="5">
        <v>13</v>
      </c>
      <c r="B310" s="5">
        <v>6</v>
      </c>
      <c r="C310" s="5">
        <f>DAY(DATE('Assumptions and Catalog'!$C$24+A310-1,B310+1,0))</f>
        <v>30</v>
      </c>
      <c r="D310" s="5">
        <f>IF(ISNUMBER(Inputs!$L$5),Inputs!$L$5*Inputs!$L$6,0)</f>
        <v>40.35</v>
      </c>
      <c r="E310" s="5">
        <f>IF(ISNUMBER(Inputs!$L$5),Inputs!$L$5-D310,0)</f>
        <v>40.35</v>
      </c>
      <c r="F310" s="5">
        <f>C$51*'Assumptions and Catalog'!$C$31*C310*(1-'Assumptions and Catalog'!$C$10)^(A310-1)</f>
        <v>942.54559726515231</v>
      </c>
      <c r="G310" s="5">
        <f t="shared" si="20"/>
        <v>942.54559726515231</v>
      </c>
      <c r="H310" s="5">
        <f>I310/('Assumptions and Catalog'!$C$11*'Assumptions and Catalog'!$C$12)</f>
        <v>0</v>
      </c>
      <c r="I310" s="5">
        <f>0</f>
        <v>0</v>
      </c>
      <c r="J310" s="5">
        <f t="shared" si="21"/>
        <v>0</v>
      </c>
      <c r="K310" s="5">
        <f t="shared" si="22"/>
        <v>0</v>
      </c>
      <c r="L310" s="5">
        <f t="shared" si="23"/>
        <v>1478.4544027348477</v>
      </c>
      <c r="M310" s="5">
        <f>IF(ISNUMBER(Inputs!$L$5),(IF(Inputs!$L$9="Actual flat rate",((D310+E310)*C310)*Inputs!$L$10,IF(Inputs!$C$9="Residential",IF(((D310+E310)*C310)&lt;='Assumptions and Catalog'!$C$50,((D310+E310)*C310)*'Assumptions and Catalog'!$H$50+'Assumptions and Catalog'!$E$50+'Assumptions and Catalog'!$F$50,IF(((D310+E310)*C310)&lt;='Assumptions and Catalog'!$C$51,((D310+E310)*C310)*'Assumptions and Catalog'!$H$51+'Assumptions and Catalog'!$E$51+'Assumptions and Catalog'!$F$51,IF(((D310+E310)*C310)&lt;='Assumptions and Catalog'!$C$52,((D310+E310)*C310)*'Assumptions and Catalog'!$H$52+'Assumptions and Catalog'!$E$52+'Assumptions and Catalog'!$F$52,IF(((D310+E310)*C310)&lt;='Assumptions and Catalog'!$C$53,((D310+E310)*C310)*'Assumptions and Catalog'!$H$53+'Assumptions and Catalog'!$E$53+'Assumptions and Catalog'!$F$53,IF(((D310+E310)*C310)&lt;='Assumptions and Catalog'!$C$54,((D310+E310)*C310)*'Assumptions and Catalog'!$H$54+'Assumptions and Catalog'!$E$54+'Assumptions and Catalog'!$F$54,IF(((D310+E310)*C310)&lt;='Assumptions and Catalog'!$C$55,((D310+E310)*C310)*'Assumptions and Catalog'!$H$55+'Assumptions and Catalog'!$E$55+'Assumptions and Catalog'!$F$55,IF(((D310+E310)*C310)&lt;='Assumptions and Catalog'!$C$56,((D310+E310)*C310)*'Assumptions and Catalog'!$H$56+'Assumptions and Catalog'!$E$56+'Assumptions and Catalog'!$F$56,IF(((D310+E310)*C310)&lt;='Assumptions and Catalog'!$C$57,((D310+E310)*C310)*'Assumptions and Catalog'!$H$57+'Assumptions and Catalog'!$E$57+'Assumptions and Catalog'!$F$57,"Out of range")))))))),IF(((D310+E310)*C310)&lt;='Assumptions and Catalog'!$C$60,((D310+E310)*C310)*'Assumptions and Catalog'!$H$60+'Assumptions and Catalog'!$E$60+'Assumptions and Catalog'!$F$60,IF(((D310+E310)*C310)&lt;='Assumptions and Catalog'!$C$61,((D310+E310)*C310)*'Assumptions and Catalog'!$H$61+'Assumptions and Catalog'!$E$61+'Assumptions and Catalog'!$F$61,IF(((D310+E310)*C310)&lt;='Assumptions and Catalog'!$C$62,((D310+E310)*C310)*'Assumptions and Catalog'!$H$62+'Assumptions and Catalog'!$E$62+'Assumptions and Catalog'!$F$62,IF(((D310+E310)*C310)&lt;='Assumptions and Catalog'!$C$63,((D310+E310)*C310)*'Assumptions and Catalog'!$H$63+'Assumptions and Catalog'!$E$63+'Assumptions and Catalog'!$F$63,IF(((D310+E310)*C310)&lt;='Assumptions and Catalog'!$C$64,((D310+E310)*C310)*'Assumptions and Catalog'!$H$64+'Assumptions and Catalog'!$E$64+'Assumptions and Catalog'!$F$64,IF(((D310+E310)*C310)&lt;='Assumptions and Catalog'!$C$65,((D310+E310)*C310)*'Assumptions and Catalog'!$H$65+'Assumptions and Catalog'!$E$65+'Assumptions and Catalog'!$F$65,"Out of range")))))))))*(1+'Assumptions and Catalog'!$C$8)^(A310-1),0)</f>
        <v>8279</v>
      </c>
      <c r="N310" s="5">
        <f>IF(ISNUMBER(Inputs!$L$5),(IF(Inputs!$L$9="Actual flat rate",L310*Inputs!$L$10,IF(Inputs!$C$9="Residential",IF(L310&lt;='Assumptions and Catalog'!$C$50,L310*'Assumptions and Catalog'!$H$50+'Assumptions and Catalog'!$E$50+'Assumptions and Catalog'!$F$50,IF(L310&lt;='Assumptions and Catalog'!$C$51,L310*'Assumptions and Catalog'!$H$51+'Assumptions and Catalog'!$E$51+'Assumptions and Catalog'!$F$51,IF(L310&lt;='Assumptions and Catalog'!$C$52,L310*'Assumptions and Catalog'!$H$52+'Assumptions and Catalog'!$E$52+'Assumptions and Catalog'!$F$52,IF(L310&lt;='Assumptions and Catalog'!$C$53,L310*'Assumptions and Catalog'!$H$53+'Assumptions and Catalog'!$E$53+'Assumptions and Catalog'!$F$53,IF(L310&lt;='Assumptions and Catalog'!$C$54,L310*'Assumptions and Catalog'!$H$54+'Assumptions and Catalog'!$E$54+'Assumptions and Catalog'!$F$54,IF(L310&lt;='Assumptions and Catalog'!$C$55,L310*'Assumptions and Catalog'!$H$55+'Assumptions and Catalog'!$E$55+'Assumptions and Catalog'!$F$55,IF(L310&lt;='Assumptions and Catalog'!$C$56,L310*'Assumptions and Catalog'!$H$56+'Assumptions and Catalog'!$E$56+'Assumptions and Catalog'!$F$56,IF(L310&lt;='Assumptions and Catalog'!$C$57,L310*'Assumptions and Catalog'!$H$57+'Assumptions and Catalog'!$E$57+'Assumptions and Catalog'!$F$57,"Out of range")))))))),IF(L310&lt;='Assumptions and Catalog'!$C$60,L310*'Assumptions and Catalog'!$H$60+'Assumptions and Catalog'!$E$60+'Assumptions and Catalog'!$F$60,IF(L310&lt;='Assumptions and Catalog'!$C$61,L310*'Assumptions and Catalog'!$H$61+'Assumptions and Catalog'!$E$61+'Assumptions and Catalog'!$F$61,IF(L310&lt;='Assumptions and Catalog'!$C$62,L310*'Assumptions and Catalog'!$H$62+'Assumptions and Catalog'!$E$62+'Assumptions and Catalog'!$F$62,IF(L310&lt;='Assumptions and Catalog'!$C$63,L310*'Assumptions and Catalog'!$H$63+'Assumptions and Catalog'!$E$63+'Assumptions and Catalog'!$F$63,IF(L310&lt;='Assumptions and Catalog'!$C$64,L310*'Assumptions and Catalog'!$H$64+'Assumptions and Catalog'!$E$64+'Assumptions and Catalog'!$F$64,IF(L310&lt;='Assumptions and Catalog'!$C$65,L310*'Assumptions and Catalog'!$H$65+'Assumptions and Catalog'!$E$65+'Assumptions and Catalog'!$F$65,"Out of range")))))))))*(1+'Assumptions and Catalog'!$C$8)^(A310-1),0)</f>
        <v>5055.8133003890143</v>
      </c>
      <c r="O310" s="5">
        <f t="shared" si="24"/>
        <v>3223.1866996109857</v>
      </c>
      <c r="P310" s="5">
        <f>C$55*(1-J$14)*(1-'Assumptions and Catalog'!$C$23)^R310</f>
        <v>0</v>
      </c>
      <c r="Q310" s="5">
        <f>IF(ISNUMBER(Inputs!$L$5),(IF(Inputs!$L$9="Actual flat rate",((D310+E310)*C310-G310)*Inputs!$L$10,IF(Inputs!$C$9="Residential",IF(((D310+E310)*C310-G310)&lt;='Assumptions and Catalog'!$C$50,((D310+E310)*C310-G310)*'Assumptions and Catalog'!$H$50+'Assumptions and Catalog'!$E$50+'Assumptions and Catalog'!$F$50,IF(((D310+E310)*C310-G310)&lt;='Assumptions and Catalog'!$C$51,((D310+E310)*C310-G310)*'Assumptions and Catalog'!$H$51+'Assumptions and Catalog'!$E$51+'Assumptions and Catalog'!$F$51,IF(((D310+E310)*C310-G310)&lt;='Assumptions and Catalog'!$C$52,((D310+E310)*C310-G310)*'Assumptions and Catalog'!$H$52+'Assumptions and Catalog'!$E$52+'Assumptions and Catalog'!$F$52,IF(((D310+E310)*C310-G310)&lt;='Assumptions and Catalog'!$C$53,((D310+E310)*C310-G310)*'Assumptions and Catalog'!$H$53+'Assumptions and Catalog'!$E$53+'Assumptions and Catalog'!$F$53,IF(((D310+E310)*C310-G310)&lt;='Assumptions and Catalog'!$C$54,((D310+E310)*C310-G310)*'Assumptions and Catalog'!$H$54+'Assumptions and Catalog'!$E$54+'Assumptions and Catalog'!$F$54,IF(((D310+E310)*C310-G310)&lt;='Assumptions and Catalog'!$C$55,((D310+E310)*C310-G310)*'Assumptions and Catalog'!$H$55+'Assumptions and Catalog'!$E$55+'Assumptions and Catalog'!$F$55,IF(((D310+E310)*C310-G310)&lt;='Assumptions and Catalog'!$C$56,((D310+E310)*C310-G310)*'Assumptions and Catalog'!$H$56+'Assumptions and Catalog'!$E$56+'Assumptions and Catalog'!$F$56,IF(((D310+E310)*C310-G310)&lt;='Assumptions and Catalog'!$C$57,((D310+E310)*C310-G310)*'Assumptions and Catalog'!$H$57+'Assumptions and Catalog'!$E$57+'Assumptions and Catalog'!$F$57,"Out of range")))))))),IF(((D310+E310)*C310-G310)&lt;='Assumptions and Catalog'!$C$60,((D310+E310)*C310-G310)*'Assumptions and Catalog'!$H$60+'Assumptions and Catalog'!$E$60+'Assumptions and Catalog'!$F$60,IF(((D310+E310)*C310-G310)&lt;='Assumptions and Catalog'!$C$61,((D310+E310)*C310-G310)*'Assumptions and Catalog'!$H$61+'Assumptions and Catalog'!$E$61+'Assumptions and Catalog'!$F$61,IF(((D310+E310)*C310-G310)&lt;='Assumptions and Catalog'!$C$62,((D310+E310)*C310-G310)*'Assumptions and Catalog'!$H$62+'Assumptions and Catalog'!$E$62+'Assumptions and Catalog'!$F$62,IF(((D310+E310)*C310-G310)&lt;='Assumptions and Catalog'!$C$63,((D310+E310)*C310-G310)*'Assumptions and Catalog'!$H$63+'Assumptions and Catalog'!$E$63+'Assumptions and Catalog'!$F$63,IF(((D310+E310)*C310-G310)&lt;='Assumptions and Catalog'!$C$64,((D310+E310)*C310-G310)*'Assumptions and Catalog'!$H$64+'Assumptions and Catalog'!$E$64+'Assumptions and Catalog'!$F$64,IF(((D310+E310)*C310-G310)&lt;='Assumptions and Catalog'!$C$65,((D310+E310)*C310-G310)*'Assumptions and Catalog'!$H$65+'Assumptions and Catalog'!$E$65+'Assumptions and Catalog'!$F$65,"Out of range")))))))))*(1+'Assumptions and Catalog'!$C$8)^(A310-1),0)</f>
        <v>5055.8133003890143</v>
      </c>
      <c r="R310" s="5">
        <f>IF(AND('Assumptions and Catalog'!$C$19&gt;0,A310&gt;='Assumptions and Catalog'!$C$19),A310-'Assumptions and Catalog'!$C$19,A310-1)</f>
        <v>2</v>
      </c>
      <c r="S310" s="5">
        <f t="shared" si="25"/>
        <v>0</v>
      </c>
      <c r="T310" s="5"/>
      <c r="U310" s="5"/>
    </row>
    <row r="311" spans="1:21" ht="23.1" customHeight="1" outlineLevel="1" x14ac:dyDescent="0.2">
      <c r="A311" s="5">
        <v>13</v>
      </c>
      <c r="B311" s="5">
        <v>7</v>
      </c>
      <c r="C311" s="5">
        <f>DAY(DATE('Assumptions and Catalog'!$C$24+A311-1,B311+1,0))</f>
        <v>31</v>
      </c>
      <c r="D311" s="5">
        <f>IF(ISNUMBER(Inputs!$L$5),Inputs!$L$5*Inputs!$L$6,0)</f>
        <v>40.35</v>
      </c>
      <c r="E311" s="5">
        <f>IF(ISNUMBER(Inputs!$L$5),Inputs!$L$5-D311,0)</f>
        <v>40.35</v>
      </c>
      <c r="F311" s="5">
        <f>C$51*'Assumptions and Catalog'!$C$31*C311*(1-'Assumptions and Catalog'!$C$10)^(A311-1)</f>
        <v>973.96378384065736</v>
      </c>
      <c r="G311" s="5">
        <f t="shared" si="20"/>
        <v>973.96378384065736</v>
      </c>
      <c r="H311" s="5">
        <f>I311/('Assumptions and Catalog'!$C$11*'Assumptions and Catalog'!$C$12)</f>
        <v>0</v>
      </c>
      <c r="I311" s="5">
        <f>0</f>
        <v>0</v>
      </c>
      <c r="J311" s="5">
        <f t="shared" si="21"/>
        <v>0</v>
      </c>
      <c r="K311" s="5">
        <f t="shared" si="22"/>
        <v>0</v>
      </c>
      <c r="L311" s="5">
        <f t="shared" si="23"/>
        <v>1527.7362161593428</v>
      </c>
      <c r="M311" s="5">
        <f>IF(ISNUMBER(Inputs!$L$5),(IF(Inputs!$L$9="Actual flat rate",((D311+E311)*C311)*Inputs!$L$10,IF(Inputs!$C$9="Residential",IF(((D311+E311)*C311)&lt;='Assumptions and Catalog'!$C$50,((D311+E311)*C311)*'Assumptions and Catalog'!$H$50+'Assumptions and Catalog'!$E$50+'Assumptions and Catalog'!$F$50,IF(((D311+E311)*C311)&lt;='Assumptions and Catalog'!$C$51,((D311+E311)*C311)*'Assumptions and Catalog'!$H$51+'Assumptions and Catalog'!$E$51+'Assumptions and Catalog'!$F$51,IF(((D311+E311)*C311)&lt;='Assumptions and Catalog'!$C$52,((D311+E311)*C311)*'Assumptions and Catalog'!$H$52+'Assumptions and Catalog'!$E$52+'Assumptions and Catalog'!$F$52,IF(((D311+E311)*C311)&lt;='Assumptions and Catalog'!$C$53,((D311+E311)*C311)*'Assumptions and Catalog'!$H$53+'Assumptions and Catalog'!$E$53+'Assumptions and Catalog'!$F$53,IF(((D311+E311)*C311)&lt;='Assumptions and Catalog'!$C$54,((D311+E311)*C311)*'Assumptions and Catalog'!$H$54+'Assumptions and Catalog'!$E$54+'Assumptions and Catalog'!$F$54,IF(((D311+E311)*C311)&lt;='Assumptions and Catalog'!$C$55,((D311+E311)*C311)*'Assumptions and Catalog'!$H$55+'Assumptions and Catalog'!$E$55+'Assumptions and Catalog'!$F$55,IF(((D311+E311)*C311)&lt;='Assumptions and Catalog'!$C$56,((D311+E311)*C311)*'Assumptions and Catalog'!$H$56+'Assumptions and Catalog'!$E$56+'Assumptions and Catalog'!$F$56,IF(((D311+E311)*C311)&lt;='Assumptions and Catalog'!$C$57,((D311+E311)*C311)*'Assumptions and Catalog'!$H$57+'Assumptions and Catalog'!$E$57+'Assumptions and Catalog'!$F$57,"Out of range")))))))),IF(((D311+E311)*C311)&lt;='Assumptions and Catalog'!$C$60,((D311+E311)*C311)*'Assumptions and Catalog'!$H$60+'Assumptions and Catalog'!$E$60+'Assumptions and Catalog'!$F$60,IF(((D311+E311)*C311)&lt;='Assumptions and Catalog'!$C$61,((D311+E311)*C311)*'Assumptions and Catalog'!$H$61+'Assumptions and Catalog'!$E$61+'Assumptions and Catalog'!$F$61,IF(((D311+E311)*C311)&lt;='Assumptions and Catalog'!$C$62,((D311+E311)*C311)*'Assumptions and Catalog'!$H$62+'Assumptions and Catalog'!$E$62+'Assumptions and Catalog'!$F$62,IF(((D311+E311)*C311)&lt;='Assumptions and Catalog'!$C$63,((D311+E311)*C311)*'Assumptions and Catalog'!$H$63+'Assumptions and Catalog'!$E$63+'Assumptions and Catalog'!$F$63,IF(((D311+E311)*C311)&lt;='Assumptions and Catalog'!$C$64,((D311+E311)*C311)*'Assumptions and Catalog'!$H$64+'Assumptions and Catalog'!$E$64+'Assumptions and Catalog'!$F$64,IF(((D311+E311)*C311)&lt;='Assumptions and Catalog'!$C$65,((D311+E311)*C311)*'Assumptions and Catalog'!$H$65+'Assumptions and Catalog'!$E$65+'Assumptions and Catalog'!$F$65,"Out of range")))))))))*(1+'Assumptions and Catalog'!$C$8)^(A311-1),0)</f>
        <v>8554.9666666666672</v>
      </c>
      <c r="N311" s="5">
        <f>IF(ISNUMBER(Inputs!$L$5),(IF(Inputs!$L$9="Actual flat rate",L311*Inputs!$L$10,IF(Inputs!$C$9="Residential",IF(L311&lt;='Assumptions and Catalog'!$C$50,L311*'Assumptions and Catalog'!$H$50+'Assumptions and Catalog'!$E$50+'Assumptions and Catalog'!$F$50,IF(L311&lt;='Assumptions and Catalog'!$C$51,L311*'Assumptions and Catalog'!$H$51+'Assumptions and Catalog'!$E$51+'Assumptions and Catalog'!$F$51,IF(L311&lt;='Assumptions and Catalog'!$C$52,L311*'Assumptions and Catalog'!$H$52+'Assumptions and Catalog'!$E$52+'Assumptions and Catalog'!$F$52,IF(L311&lt;='Assumptions and Catalog'!$C$53,L311*'Assumptions and Catalog'!$H$53+'Assumptions and Catalog'!$E$53+'Assumptions and Catalog'!$F$53,IF(L311&lt;='Assumptions and Catalog'!$C$54,L311*'Assumptions and Catalog'!$H$54+'Assumptions and Catalog'!$E$54+'Assumptions and Catalog'!$F$54,IF(L311&lt;='Assumptions and Catalog'!$C$55,L311*'Assumptions and Catalog'!$H$55+'Assumptions and Catalog'!$E$55+'Assumptions and Catalog'!$F$55,IF(L311&lt;='Assumptions and Catalog'!$C$56,L311*'Assumptions and Catalog'!$H$56+'Assumptions and Catalog'!$E$56+'Assumptions and Catalog'!$F$56,IF(L311&lt;='Assumptions and Catalog'!$C$57,L311*'Assumptions and Catalog'!$H$57+'Assumptions and Catalog'!$E$57+'Assumptions and Catalog'!$F$57,"Out of range")))))))),IF(L311&lt;='Assumptions and Catalog'!$C$60,L311*'Assumptions and Catalog'!$H$60+'Assumptions and Catalog'!$E$60+'Assumptions and Catalog'!$F$60,IF(L311&lt;='Assumptions and Catalog'!$C$61,L311*'Assumptions and Catalog'!$H$61+'Assumptions and Catalog'!$E$61+'Assumptions and Catalog'!$F$61,IF(L311&lt;='Assumptions and Catalog'!$C$62,L311*'Assumptions and Catalog'!$H$62+'Assumptions and Catalog'!$E$62+'Assumptions and Catalog'!$F$62,IF(L311&lt;='Assumptions and Catalog'!$C$63,L311*'Assumptions and Catalog'!$H$63+'Assumptions and Catalog'!$E$63+'Assumptions and Catalog'!$F$63,IF(L311&lt;='Assumptions and Catalog'!$C$64,L311*'Assumptions and Catalog'!$H$64+'Assumptions and Catalog'!$E$64+'Assumptions and Catalog'!$F$64,IF(L311&lt;='Assumptions and Catalog'!$C$65,L311*'Assumptions and Catalog'!$H$65+'Assumptions and Catalog'!$E$65+'Assumptions and Catalog'!$F$65,"Out of range")))))))))*(1+'Assumptions and Catalog'!$C$8)^(A311-1),0)</f>
        <v>5224.3404104019819</v>
      </c>
      <c r="O311" s="5">
        <f t="shared" si="24"/>
        <v>3330.6262562646853</v>
      </c>
      <c r="P311" s="5">
        <f>C$55*(1-J$14)*(1-'Assumptions and Catalog'!$C$23)^R311</f>
        <v>0</v>
      </c>
      <c r="Q311" s="5">
        <f>IF(ISNUMBER(Inputs!$L$5),(IF(Inputs!$L$9="Actual flat rate",((D311+E311)*C311-G311)*Inputs!$L$10,IF(Inputs!$C$9="Residential",IF(((D311+E311)*C311-G311)&lt;='Assumptions and Catalog'!$C$50,((D311+E311)*C311-G311)*'Assumptions and Catalog'!$H$50+'Assumptions and Catalog'!$E$50+'Assumptions and Catalog'!$F$50,IF(((D311+E311)*C311-G311)&lt;='Assumptions and Catalog'!$C$51,((D311+E311)*C311-G311)*'Assumptions and Catalog'!$H$51+'Assumptions and Catalog'!$E$51+'Assumptions and Catalog'!$F$51,IF(((D311+E311)*C311-G311)&lt;='Assumptions and Catalog'!$C$52,((D311+E311)*C311-G311)*'Assumptions and Catalog'!$H$52+'Assumptions and Catalog'!$E$52+'Assumptions and Catalog'!$F$52,IF(((D311+E311)*C311-G311)&lt;='Assumptions and Catalog'!$C$53,((D311+E311)*C311-G311)*'Assumptions and Catalog'!$H$53+'Assumptions and Catalog'!$E$53+'Assumptions and Catalog'!$F$53,IF(((D311+E311)*C311-G311)&lt;='Assumptions and Catalog'!$C$54,((D311+E311)*C311-G311)*'Assumptions and Catalog'!$H$54+'Assumptions and Catalog'!$E$54+'Assumptions and Catalog'!$F$54,IF(((D311+E311)*C311-G311)&lt;='Assumptions and Catalog'!$C$55,((D311+E311)*C311-G311)*'Assumptions and Catalog'!$H$55+'Assumptions and Catalog'!$E$55+'Assumptions and Catalog'!$F$55,IF(((D311+E311)*C311-G311)&lt;='Assumptions and Catalog'!$C$56,((D311+E311)*C311-G311)*'Assumptions and Catalog'!$H$56+'Assumptions and Catalog'!$E$56+'Assumptions and Catalog'!$F$56,IF(((D311+E311)*C311-G311)&lt;='Assumptions and Catalog'!$C$57,((D311+E311)*C311-G311)*'Assumptions and Catalog'!$H$57+'Assumptions and Catalog'!$E$57+'Assumptions and Catalog'!$F$57,"Out of range")))))))),IF(((D311+E311)*C311-G311)&lt;='Assumptions and Catalog'!$C$60,((D311+E311)*C311-G311)*'Assumptions and Catalog'!$H$60+'Assumptions and Catalog'!$E$60+'Assumptions and Catalog'!$F$60,IF(((D311+E311)*C311-G311)&lt;='Assumptions and Catalog'!$C$61,((D311+E311)*C311-G311)*'Assumptions and Catalog'!$H$61+'Assumptions and Catalog'!$E$61+'Assumptions and Catalog'!$F$61,IF(((D311+E311)*C311-G311)&lt;='Assumptions and Catalog'!$C$62,((D311+E311)*C311-G311)*'Assumptions and Catalog'!$H$62+'Assumptions and Catalog'!$E$62+'Assumptions and Catalog'!$F$62,IF(((D311+E311)*C311-G311)&lt;='Assumptions and Catalog'!$C$63,((D311+E311)*C311-G311)*'Assumptions and Catalog'!$H$63+'Assumptions and Catalog'!$E$63+'Assumptions and Catalog'!$F$63,IF(((D311+E311)*C311-G311)&lt;='Assumptions and Catalog'!$C$64,((D311+E311)*C311-G311)*'Assumptions and Catalog'!$H$64+'Assumptions and Catalog'!$E$64+'Assumptions and Catalog'!$F$64,IF(((D311+E311)*C311-G311)&lt;='Assumptions and Catalog'!$C$65,((D311+E311)*C311-G311)*'Assumptions and Catalog'!$H$65+'Assumptions and Catalog'!$E$65+'Assumptions and Catalog'!$F$65,"Out of range")))))))))*(1+'Assumptions and Catalog'!$C$8)^(A311-1),0)</f>
        <v>5224.3404104019819</v>
      </c>
      <c r="R311" s="5">
        <f>IF(AND('Assumptions and Catalog'!$C$19&gt;0,A311&gt;='Assumptions and Catalog'!$C$19),A311-'Assumptions and Catalog'!$C$19,A311-1)</f>
        <v>2</v>
      </c>
      <c r="S311" s="5">
        <f t="shared" si="25"/>
        <v>0</v>
      </c>
      <c r="T311" s="5"/>
      <c r="U311" s="5"/>
    </row>
    <row r="312" spans="1:21" ht="23.1" customHeight="1" outlineLevel="1" x14ac:dyDescent="0.2">
      <c r="A312" s="5">
        <v>13</v>
      </c>
      <c r="B312" s="5">
        <v>8</v>
      </c>
      <c r="C312" s="5">
        <f>DAY(DATE('Assumptions and Catalog'!$C$24+A312-1,B312+1,0))</f>
        <v>31</v>
      </c>
      <c r="D312" s="5">
        <f>IF(ISNUMBER(Inputs!$L$5),Inputs!$L$5*Inputs!$L$6,0)</f>
        <v>40.35</v>
      </c>
      <c r="E312" s="5">
        <f>IF(ISNUMBER(Inputs!$L$5),Inputs!$L$5-D312,0)</f>
        <v>40.35</v>
      </c>
      <c r="F312" s="5">
        <f>C$51*'Assumptions and Catalog'!$C$31*C312*(1-'Assumptions and Catalog'!$C$10)^(A312-1)</f>
        <v>973.96378384065736</v>
      </c>
      <c r="G312" s="5">
        <f t="shared" si="20"/>
        <v>973.96378384065736</v>
      </c>
      <c r="H312" s="5">
        <f>I312/('Assumptions and Catalog'!$C$11*'Assumptions and Catalog'!$C$12)</f>
        <v>0</v>
      </c>
      <c r="I312" s="5">
        <f>0</f>
        <v>0</v>
      </c>
      <c r="J312" s="5">
        <f t="shared" si="21"/>
        <v>0</v>
      </c>
      <c r="K312" s="5">
        <f t="shared" si="22"/>
        <v>0</v>
      </c>
      <c r="L312" s="5">
        <f t="shared" si="23"/>
        <v>1527.7362161593428</v>
      </c>
      <c r="M312" s="5">
        <f>IF(ISNUMBER(Inputs!$L$5),(IF(Inputs!$L$9="Actual flat rate",((D312+E312)*C312)*Inputs!$L$10,IF(Inputs!$C$9="Residential",IF(((D312+E312)*C312)&lt;='Assumptions and Catalog'!$C$50,((D312+E312)*C312)*'Assumptions and Catalog'!$H$50+'Assumptions and Catalog'!$E$50+'Assumptions and Catalog'!$F$50,IF(((D312+E312)*C312)&lt;='Assumptions and Catalog'!$C$51,((D312+E312)*C312)*'Assumptions and Catalog'!$H$51+'Assumptions and Catalog'!$E$51+'Assumptions and Catalog'!$F$51,IF(((D312+E312)*C312)&lt;='Assumptions and Catalog'!$C$52,((D312+E312)*C312)*'Assumptions and Catalog'!$H$52+'Assumptions and Catalog'!$E$52+'Assumptions and Catalog'!$F$52,IF(((D312+E312)*C312)&lt;='Assumptions and Catalog'!$C$53,((D312+E312)*C312)*'Assumptions and Catalog'!$H$53+'Assumptions and Catalog'!$E$53+'Assumptions and Catalog'!$F$53,IF(((D312+E312)*C312)&lt;='Assumptions and Catalog'!$C$54,((D312+E312)*C312)*'Assumptions and Catalog'!$H$54+'Assumptions and Catalog'!$E$54+'Assumptions and Catalog'!$F$54,IF(((D312+E312)*C312)&lt;='Assumptions and Catalog'!$C$55,((D312+E312)*C312)*'Assumptions and Catalog'!$H$55+'Assumptions and Catalog'!$E$55+'Assumptions and Catalog'!$F$55,IF(((D312+E312)*C312)&lt;='Assumptions and Catalog'!$C$56,((D312+E312)*C312)*'Assumptions and Catalog'!$H$56+'Assumptions and Catalog'!$E$56+'Assumptions and Catalog'!$F$56,IF(((D312+E312)*C312)&lt;='Assumptions and Catalog'!$C$57,((D312+E312)*C312)*'Assumptions and Catalog'!$H$57+'Assumptions and Catalog'!$E$57+'Assumptions and Catalog'!$F$57,"Out of range")))))))),IF(((D312+E312)*C312)&lt;='Assumptions and Catalog'!$C$60,((D312+E312)*C312)*'Assumptions and Catalog'!$H$60+'Assumptions and Catalog'!$E$60+'Assumptions and Catalog'!$F$60,IF(((D312+E312)*C312)&lt;='Assumptions and Catalog'!$C$61,((D312+E312)*C312)*'Assumptions and Catalog'!$H$61+'Assumptions and Catalog'!$E$61+'Assumptions and Catalog'!$F$61,IF(((D312+E312)*C312)&lt;='Assumptions and Catalog'!$C$62,((D312+E312)*C312)*'Assumptions and Catalog'!$H$62+'Assumptions and Catalog'!$E$62+'Assumptions and Catalog'!$F$62,IF(((D312+E312)*C312)&lt;='Assumptions and Catalog'!$C$63,((D312+E312)*C312)*'Assumptions and Catalog'!$H$63+'Assumptions and Catalog'!$E$63+'Assumptions and Catalog'!$F$63,IF(((D312+E312)*C312)&lt;='Assumptions and Catalog'!$C$64,((D312+E312)*C312)*'Assumptions and Catalog'!$H$64+'Assumptions and Catalog'!$E$64+'Assumptions and Catalog'!$F$64,IF(((D312+E312)*C312)&lt;='Assumptions and Catalog'!$C$65,((D312+E312)*C312)*'Assumptions and Catalog'!$H$65+'Assumptions and Catalog'!$E$65+'Assumptions and Catalog'!$F$65,"Out of range")))))))))*(1+'Assumptions and Catalog'!$C$8)^(A312-1),0)</f>
        <v>8554.9666666666672</v>
      </c>
      <c r="N312" s="5">
        <f>IF(ISNUMBER(Inputs!$L$5),(IF(Inputs!$L$9="Actual flat rate",L312*Inputs!$L$10,IF(Inputs!$C$9="Residential",IF(L312&lt;='Assumptions and Catalog'!$C$50,L312*'Assumptions and Catalog'!$H$50+'Assumptions and Catalog'!$E$50+'Assumptions and Catalog'!$F$50,IF(L312&lt;='Assumptions and Catalog'!$C$51,L312*'Assumptions and Catalog'!$H$51+'Assumptions and Catalog'!$E$51+'Assumptions and Catalog'!$F$51,IF(L312&lt;='Assumptions and Catalog'!$C$52,L312*'Assumptions and Catalog'!$H$52+'Assumptions and Catalog'!$E$52+'Assumptions and Catalog'!$F$52,IF(L312&lt;='Assumptions and Catalog'!$C$53,L312*'Assumptions and Catalog'!$H$53+'Assumptions and Catalog'!$E$53+'Assumptions and Catalog'!$F$53,IF(L312&lt;='Assumptions and Catalog'!$C$54,L312*'Assumptions and Catalog'!$H$54+'Assumptions and Catalog'!$E$54+'Assumptions and Catalog'!$F$54,IF(L312&lt;='Assumptions and Catalog'!$C$55,L312*'Assumptions and Catalog'!$H$55+'Assumptions and Catalog'!$E$55+'Assumptions and Catalog'!$F$55,IF(L312&lt;='Assumptions and Catalog'!$C$56,L312*'Assumptions and Catalog'!$H$56+'Assumptions and Catalog'!$E$56+'Assumptions and Catalog'!$F$56,IF(L312&lt;='Assumptions and Catalog'!$C$57,L312*'Assumptions and Catalog'!$H$57+'Assumptions and Catalog'!$E$57+'Assumptions and Catalog'!$F$57,"Out of range")))))))),IF(L312&lt;='Assumptions and Catalog'!$C$60,L312*'Assumptions and Catalog'!$H$60+'Assumptions and Catalog'!$E$60+'Assumptions and Catalog'!$F$60,IF(L312&lt;='Assumptions and Catalog'!$C$61,L312*'Assumptions and Catalog'!$H$61+'Assumptions and Catalog'!$E$61+'Assumptions and Catalog'!$F$61,IF(L312&lt;='Assumptions and Catalog'!$C$62,L312*'Assumptions and Catalog'!$H$62+'Assumptions and Catalog'!$E$62+'Assumptions and Catalog'!$F$62,IF(L312&lt;='Assumptions and Catalog'!$C$63,L312*'Assumptions and Catalog'!$H$63+'Assumptions and Catalog'!$E$63+'Assumptions and Catalog'!$F$63,IF(L312&lt;='Assumptions and Catalog'!$C$64,L312*'Assumptions and Catalog'!$H$64+'Assumptions and Catalog'!$E$64+'Assumptions and Catalog'!$F$64,IF(L312&lt;='Assumptions and Catalog'!$C$65,L312*'Assumptions and Catalog'!$H$65+'Assumptions and Catalog'!$E$65+'Assumptions and Catalog'!$F$65,"Out of range")))))))))*(1+'Assumptions and Catalog'!$C$8)^(A312-1),0)</f>
        <v>5224.3404104019819</v>
      </c>
      <c r="O312" s="5">
        <f t="shared" si="24"/>
        <v>3330.6262562646853</v>
      </c>
      <c r="P312" s="5">
        <f>C$55*(1-J$14)*(1-'Assumptions and Catalog'!$C$23)^R312</f>
        <v>0</v>
      </c>
      <c r="Q312" s="5">
        <f>IF(ISNUMBER(Inputs!$L$5),(IF(Inputs!$L$9="Actual flat rate",((D312+E312)*C312-G312)*Inputs!$L$10,IF(Inputs!$C$9="Residential",IF(((D312+E312)*C312-G312)&lt;='Assumptions and Catalog'!$C$50,((D312+E312)*C312-G312)*'Assumptions and Catalog'!$H$50+'Assumptions and Catalog'!$E$50+'Assumptions and Catalog'!$F$50,IF(((D312+E312)*C312-G312)&lt;='Assumptions and Catalog'!$C$51,((D312+E312)*C312-G312)*'Assumptions and Catalog'!$H$51+'Assumptions and Catalog'!$E$51+'Assumptions and Catalog'!$F$51,IF(((D312+E312)*C312-G312)&lt;='Assumptions and Catalog'!$C$52,((D312+E312)*C312-G312)*'Assumptions and Catalog'!$H$52+'Assumptions and Catalog'!$E$52+'Assumptions and Catalog'!$F$52,IF(((D312+E312)*C312-G312)&lt;='Assumptions and Catalog'!$C$53,((D312+E312)*C312-G312)*'Assumptions and Catalog'!$H$53+'Assumptions and Catalog'!$E$53+'Assumptions and Catalog'!$F$53,IF(((D312+E312)*C312-G312)&lt;='Assumptions and Catalog'!$C$54,((D312+E312)*C312-G312)*'Assumptions and Catalog'!$H$54+'Assumptions and Catalog'!$E$54+'Assumptions and Catalog'!$F$54,IF(((D312+E312)*C312-G312)&lt;='Assumptions and Catalog'!$C$55,((D312+E312)*C312-G312)*'Assumptions and Catalog'!$H$55+'Assumptions and Catalog'!$E$55+'Assumptions and Catalog'!$F$55,IF(((D312+E312)*C312-G312)&lt;='Assumptions and Catalog'!$C$56,((D312+E312)*C312-G312)*'Assumptions and Catalog'!$H$56+'Assumptions and Catalog'!$E$56+'Assumptions and Catalog'!$F$56,IF(((D312+E312)*C312-G312)&lt;='Assumptions and Catalog'!$C$57,((D312+E312)*C312-G312)*'Assumptions and Catalog'!$H$57+'Assumptions and Catalog'!$E$57+'Assumptions and Catalog'!$F$57,"Out of range")))))))),IF(((D312+E312)*C312-G312)&lt;='Assumptions and Catalog'!$C$60,((D312+E312)*C312-G312)*'Assumptions and Catalog'!$H$60+'Assumptions and Catalog'!$E$60+'Assumptions and Catalog'!$F$60,IF(((D312+E312)*C312-G312)&lt;='Assumptions and Catalog'!$C$61,((D312+E312)*C312-G312)*'Assumptions and Catalog'!$H$61+'Assumptions and Catalog'!$E$61+'Assumptions and Catalog'!$F$61,IF(((D312+E312)*C312-G312)&lt;='Assumptions and Catalog'!$C$62,((D312+E312)*C312-G312)*'Assumptions and Catalog'!$H$62+'Assumptions and Catalog'!$E$62+'Assumptions and Catalog'!$F$62,IF(((D312+E312)*C312-G312)&lt;='Assumptions and Catalog'!$C$63,((D312+E312)*C312-G312)*'Assumptions and Catalog'!$H$63+'Assumptions and Catalog'!$E$63+'Assumptions and Catalog'!$F$63,IF(((D312+E312)*C312-G312)&lt;='Assumptions and Catalog'!$C$64,((D312+E312)*C312-G312)*'Assumptions and Catalog'!$H$64+'Assumptions and Catalog'!$E$64+'Assumptions and Catalog'!$F$64,IF(((D312+E312)*C312-G312)&lt;='Assumptions and Catalog'!$C$65,((D312+E312)*C312-G312)*'Assumptions and Catalog'!$H$65+'Assumptions and Catalog'!$E$65+'Assumptions and Catalog'!$F$65,"Out of range")))))))))*(1+'Assumptions and Catalog'!$C$8)^(A312-1),0)</f>
        <v>5224.3404104019819</v>
      </c>
      <c r="R312" s="5">
        <f>IF(AND('Assumptions and Catalog'!$C$19&gt;0,A312&gt;='Assumptions and Catalog'!$C$19),A312-'Assumptions and Catalog'!$C$19,A312-1)</f>
        <v>2</v>
      </c>
      <c r="S312" s="5">
        <f t="shared" si="25"/>
        <v>0</v>
      </c>
      <c r="T312" s="5"/>
      <c r="U312" s="5"/>
    </row>
    <row r="313" spans="1:21" ht="23.1" customHeight="1" outlineLevel="1" x14ac:dyDescent="0.2">
      <c r="A313" s="5">
        <v>13</v>
      </c>
      <c r="B313" s="5">
        <v>9</v>
      </c>
      <c r="C313" s="5">
        <f>DAY(DATE('Assumptions and Catalog'!$C$24+A313-1,B313+1,0))</f>
        <v>30</v>
      </c>
      <c r="D313" s="5">
        <f>IF(ISNUMBER(Inputs!$L$5),Inputs!$L$5*Inputs!$L$6,0)</f>
        <v>40.35</v>
      </c>
      <c r="E313" s="5">
        <f>IF(ISNUMBER(Inputs!$L$5),Inputs!$L$5-D313,0)</f>
        <v>40.35</v>
      </c>
      <c r="F313" s="5">
        <f>C$51*'Assumptions and Catalog'!$C$31*C313*(1-'Assumptions and Catalog'!$C$10)^(A313-1)</f>
        <v>942.54559726515231</v>
      </c>
      <c r="G313" s="5">
        <f t="shared" si="20"/>
        <v>942.54559726515231</v>
      </c>
      <c r="H313" s="5">
        <f>I313/('Assumptions and Catalog'!$C$11*'Assumptions and Catalog'!$C$12)</f>
        <v>0</v>
      </c>
      <c r="I313" s="5">
        <f>0</f>
        <v>0</v>
      </c>
      <c r="J313" s="5">
        <f t="shared" si="21"/>
        <v>0</v>
      </c>
      <c r="K313" s="5">
        <f t="shared" si="22"/>
        <v>0</v>
      </c>
      <c r="L313" s="5">
        <f t="shared" si="23"/>
        <v>1478.4544027348477</v>
      </c>
      <c r="M313" s="5">
        <f>IF(ISNUMBER(Inputs!$L$5),(IF(Inputs!$L$9="Actual flat rate",((D313+E313)*C313)*Inputs!$L$10,IF(Inputs!$C$9="Residential",IF(((D313+E313)*C313)&lt;='Assumptions and Catalog'!$C$50,((D313+E313)*C313)*'Assumptions and Catalog'!$H$50+'Assumptions and Catalog'!$E$50+'Assumptions and Catalog'!$F$50,IF(((D313+E313)*C313)&lt;='Assumptions and Catalog'!$C$51,((D313+E313)*C313)*'Assumptions and Catalog'!$H$51+'Assumptions and Catalog'!$E$51+'Assumptions and Catalog'!$F$51,IF(((D313+E313)*C313)&lt;='Assumptions and Catalog'!$C$52,((D313+E313)*C313)*'Assumptions and Catalog'!$H$52+'Assumptions and Catalog'!$E$52+'Assumptions and Catalog'!$F$52,IF(((D313+E313)*C313)&lt;='Assumptions and Catalog'!$C$53,((D313+E313)*C313)*'Assumptions and Catalog'!$H$53+'Assumptions and Catalog'!$E$53+'Assumptions and Catalog'!$F$53,IF(((D313+E313)*C313)&lt;='Assumptions and Catalog'!$C$54,((D313+E313)*C313)*'Assumptions and Catalog'!$H$54+'Assumptions and Catalog'!$E$54+'Assumptions and Catalog'!$F$54,IF(((D313+E313)*C313)&lt;='Assumptions and Catalog'!$C$55,((D313+E313)*C313)*'Assumptions and Catalog'!$H$55+'Assumptions and Catalog'!$E$55+'Assumptions and Catalog'!$F$55,IF(((D313+E313)*C313)&lt;='Assumptions and Catalog'!$C$56,((D313+E313)*C313)*'Assumptions and Catalog'!$H$56+'Assumptions and Catalog'!$E$56+'Assumptions and Catalog'!$F$56,IF(((D313+E313)*C313)&lt;='Assumptions and Catalog'!$C$57,((D313+E313)*C313)*'Assumptions and Catalog'!$H$57+'Assumptions and Catalog'!$E$57+'Assumptions and Catalog'!$F$57,"Out of range")))))))),IF(((D313+E313)*C313)&lt;='Assumptions and Catalog'!$C$60,((D313+E313)*C313)*'Assumptions and Catalog'!$H$60+'Assumptions and Catalog'!$E$60+'Assumptions and Catalog'!$F$60,IF(((D313+E313)*C313)&lt;='Assumptions and Catalog'!$C$61,((D313+E313)*C313)*'Assumptions and Catalog'!$H$61+'Assumptions and Catalog'!$E$61+'Assumptions and Catalog'!$F$61,IF(((D313+E313)*C313)&lt;='Assumptions and Catalog'!$C$62,((D313+E313)*C313)*'Assumptions and Catalog'!$H$62+'Assumptions and Catalog'!$E$62+'Assumptions and Catalog'!$F$62,IF(((D313+E313)*C313)&lt;='Assumptions and Catalog'!$C$63,((D313+E313)*C313)*'Assumptions and Catalog'!$H$63+'Assumptions and Catalog'!$E$63+'Assumptions and Catalog'!$F$63,IF(((D313+E313)*C313)&lt;='Assumptions and Catalog'!$C$64,((D313+E313)*C313)*'Assumptions and Catalog'!$H$64+'Assumptions and Catalog'!$E$64+'Assumptions and Catalog'!$F$64,IF(((D313+E313)*C313)&lt;='Assumptions and Catalog'!$C$65,((D313+E313)*C313)*'Assumptions and Catalog'!$H$65+'Assumptions and Catalog'!$E$65+'Assumptions and Catalog'!$F$65,"Out of range")))))))))*(1+'Assumptions and Catalog'!$C$8)^(A313-1),0)</f>
        <v>8279</v>
      </c>
      <c r="N313" s="5">
        <f>IF(ISNUMBER(Inputs!$L$5),(IF(Inputs!$L$9="Actual flat rate",L313*Inputs!$L$10,IF(Inputs!$C$9="Residential",IF(L313&lt;='Assumptions and Catalog'!$C$50,L313*'Assumptions and Catalog'!$H$50+'Assumptions and Catalog'!$E$50+'Assumptions and Catalog'!$F$50,IF(L313&lt;='Assumptions and Catalog'!$C$51,L313*'Assumptions and Catalog'!$H$51+'Assumptions and Catalog'!$E$51+'Assumptions and Catalog'!$F$51,IF(L313&lt;='Assumptions and Catalog'!$C$52,L313*'Assumptions and Catalog'!$H$52+'Assumptions and Catalog'!$E$52+'Assumptions and Catalog'!$F$52,IF(L313&lt;='Assumptions and Catalog'!$C$53,L313*'Assumptions and Catalog'!$H$53+'Assumptions and Catalog'!$E$53+'Assumptions and Catalog'!$F$53,IF(L313&lt;='Assumptions and Catalog'!$C$54,L313*'Assumptions and Catalog'!$H$54+'Assumptions and Catalog'!$E$54+'Assumptions and Catalog'!$F$54,IF(L313&lt;='Assumptions and Catalog'!$C$55,L313*'Assumptions and Catalog'!$H$55+'Assumptions and Catalog'!$E$55+'Assumptions and Catalog'!$F$55,IF(L313&lt;='Assumptions and Catalog'!$C$56,L313*'Assumptions and Catalog'!$H$56+'Assumptions and Catalog'!$E$56+'Assumptions and Catalog'!$F$56,IF(L313&lt;='Assumptions and Catalog'!$C$57,L313*'Assumptions and Catalog'!$H$57+'Assumptions and Catalog'!$E$57+'Assumptions and Catalog'!$F$57,"Out of range")))))))),IF(L313&lt;='Assumptions and Catalog'!$C$60,L313*'Assumptions and Catalog'!$H$60+'Assumptions and Catalog'!$E$60+'Assumptions and Catalog'!$F$60,IF(L313&lt;='Assumptions and Catalog'!$C$61,L313*'Assumptions and Catalog'!$H$61+'Assumptions and Catalog'!$E$61+'Assumptions and Catalog'!$F$61,IF(L313&lt;='Assumptions and Catalog'!$C$62,L313*'Assumptions and Catalog'!$H$62+'Assumptions and Catalog'!$E$62+'Assumptions and Catalog'!$F$62,IF(L313&lt;='Assumptions and Catalog'!$C$63,L313*'Assumptions and Catalog'!$H$63+'Assumptions and Catalog'!$E$63+'Assumptions and Catalog'!$F$63,IF(L313&lt;='Assumptions and Catalog'!$C$64,L313*'Assumptions and Catalog'!$H$64+'Assumptions and Catalog'!$E$64+'Assumptions and Catalog'!$F$64,IF(L313&lt;='Assumptions and Catalog'!$C$65,L313*'Assumptions and Catalog'!$H$65+'Assumptions and Catalog'!$E$65+'Assumptions and Catalog'!$F$65,"Out of range")))))))))*(1+'Assumptions and Catalog'!$C$8)^(A313-1),0)</f>
        <v>5055.8133003890143</v>
      </c>
      <c r="O313" s="5">
        <f t="shared" si="24"/>
        <v>3223.1866996109857</v>
      </c>
      <c r="P313" s="5">
        <f>C$55*(1-J$14)*(1-'Assumptions and Catalog'!$C$23)^R313</f>
        <v>0</v>
      </c>
      <c r="Q313" s="5">
        <f>IF(ISNUMBER(Inputs!$L$5),(IF(Inputs!$L$9="Actual flat rate",((D313+E313)*C313-G313)*Inputs!$L$10,IF(Inputs!$C$9="Residential",IF(((D313+E313)*C313-G313)&lt;='Assumptions and Catalog'!$C$50,((D313+E313)*C313-G313)*'Assumptions and Catalog'!$H$50+'Assumptions and Catalog'!$E$50+'Assumptions and Catalog'!$F$50,IF(((D313+E313)*C313-G313)&lt;='Assumptions and Catalog'!$C$51,((D313+E313)*C313-G313)*'Assumptions and Catalog'!$H$51+'Assumptions and Catalog'!$E$51+'Assumptions and Catalog'!$F$51,IF(((D313+E313)*C313-G313)&lt;='Assumptions and Catalog'!$C$52,((D313+E313)*C313-G313)*'Assumptions and Catalog'!$H$52+'Assumptions and Catalog'!$E$52+'Assumptions and Catalog'!$F$52,IF(((D313+E313)*C313-G313)&lt;='Assumptions and Catalog'!$C$53,((D313+E313)*C313-G313)*'Assumptions and Catalog'!$H$53+'Assumptions and Catalog'!$E$53+'Assumptions and Catalog'!$F$53,IF(((D313+E313)*C313-G313)&lt;='Assumptions and Catalog'!$C$54,((D313+E313)*C313-G313)*'Assumptions and Catalog'!$H$54+'Assumptions and Catalog'!$E$54+'Assumptions and Catalog'!$F$54,IF(((D313+E313)*C313-G313)&lt;='Assumptions and Catalog'!$C$55,((D313+E313)*C313-G313)*'Assumptions and Catalog'!$H$55+'Assumptions and Catalog'!$E$55+'Assumptions and Catalog'!$F$55,IF(((D313+E313)*C313-G313)&lt;='Assumptions and Catalog'!$C$56,((D313+E313)*C313-G313)*'Assumptions and Catalog'!$H$56+'Assumptions and Catalog'!$E$56+'Assumptions and Catalog'!$F$56,IF(((D313+E313)*C313-G313)&lt;='Assumptions and Catalog'!$C$57,((D313+E313)*C313-G313)*'Assumptions and Catalog'!$H$57+'Assumptions and Catalog'!$E$57+'Assumptions and Catalog'!$F$57,"Out of range")))))))),IF(((D313+E313)*C313-G313)&lt;='Assumptions and Catalog'!$C$60,((D313+E313)*C313-G313)*'Assumptions and Catalog'!$H$60+'Assumptions and Catalog'!$E$60+'Assumptions and Catalog'!$F$60,IF(((D313+E313)*C313-G313)&lt;='Assumptions and Catalog'!$C$61,((D313+E313)*C313-G313)*'Assumptions and Catalog'!$H$61+'Assumptions and Catalog'!$E$61+'Assumptions and Catalog'!$F$61,IF(((D313+E313)*C313-G313)&lt;='Assumptions and Catalog'!$C$62,((D313+E313)*C313-G313)*'Assumptions and Catalog'!$H$62+'Assumptions and Catalog'!$E$62+'Assumptions and Catalog'!$F$62,IF(((D313+E313)*C313-G313)&lt;='Assumptions and Catalog'!$C$63,((D313+E313)*C313-G313)*'Assumptions and Catalog'!$H$63+'Assumptions and Catalog'!$E$63+'Assumptions and Catalog'!$F$63,IF(((D313+E313)*C313-G313)&lt;='Assumptions and Catalog'!$C$64,((D313+E313)*C313-G313)*'Assumptions and Catalog'!$H$64+'Assumptions and Catalog'!$E$64+'Assumptions and Catalog'!$F$64,IF(((D313+E313)*C313-G313)&lt;='Assumptions and Catalog'!$C$65,((D313+E313)*C313-G313)*'Assumptions and Catalog'!$H$65+'Assumptions and Catalog'!$E$65+'Assumptions and Catalog'!$F$65,"Out of range")))))))))*(1+'Assumptions and Catalog'!$C$8)^(A313-1),0)</f>
        <v>5055.8133003890143</v>
      </c>
      <c r="R313" s="5">
        <f>IF(AND('Assumptions and Catalog'!$C$19&gt;0,A313&gt;='Assumptions and Catalog'!$C$19),A313-'Assumptions and Catalog'!$C$19,A313-1)</f>
        <v>2</v>
      </c>
      <c r="S313" s="5">
        <f t="shared" si="25"/>
        <v>0</v>
      </c>
      <c r="T313" s="5"/>
      <c r="U313" s="5"/>
    </row>
    <row r="314" spans="1:21" ht="23.1" customHeight="1" outlineLevel="1" x14ac:dyDescent="0.2">
      <c r="A314" s="5">
        <v>13</v>
      </c>
      <c r="B314" s="5">
        <v>10</v>
      </c>
      <c r="C314" s="5">
        <f>DAY(DATE('Assumptions and Catalog'!$C$24+A314-1,B314+1,0))</f>
        <v>31</v>
      </c>
      <c r="D314" s="5">
        <f>IF(ISNUMBER(Inputs!$L$5),Inputs!$L$5*Inputs!$L$6,0)</f>
        <v>40.35</v>
      </c>
      <c r="E314" s="5">
        <f>IF(ISNUMBER(Inputs!$L$5),Inputs!$L$5-D314,0)</f>
        <v>40.35</v>
      </c>
      <c r="F314" s="5">
        <f>C$51*'Assumptions and Catalog'!$C$31*C314*(1-'Assumptions and Catalog'!$C$10)^(A314-1)</f>
        <v>973.96378384065736</v>
      </c>
      <c r="G314" s="5">
        <f t="shared" si="20"/>
        <v>973.96378384065736</v>
      </c>
      <c r="H314" s="5">
        <f>I314/('Assumptions and Catalog'!$C$11*'Assumptions and Catalog'!$C$12)</f>
        <v>0</v>
      </c>
      <c r="I314" s="5">
        <f>0</f>
        <v>0</v>
      </c>
      <c r="J314" s="5">
        <f t="shared" si="21"/>
        <v>0</v>
      </c>
      <c r="K314" s="5">
        <f t="shared" si="22"/>
        <v>0</v>
      </c>
      <c r="L314" s="5">
        <f t="shared" si="23"/>
        <v>1527.7362161593428</v>
      </c>
      <c r="M314" s="5">
        <f>IF(ISNUMBER(Inputs!$L$5),(IF(Inputs!$L$9="Actual flat rate",((D314+E314)*C314)*Inputs!$L$10,IF(Inputs!$C$9="Residential",IF(((D314+E314)*C314)&lt;='Assumptions and Catalog'!$C$50,((D314+E314)*C314)*'Assumptions and Catalog'!$H$50+'Assumptions and Catalog'!$E$50+'Assumptions and Catalog'!$F$50,IF(((D314+E314)*C314)&lt;='Assumptions and Catalog'!$C$51,((D314+E314)*C314)*'Assumptions and Catalog'!$H$51+'Assumptions and Catalog'!$E$51+'Assumptions and Catalog'!$F$51,IF(((D314+E314)*C314)&lt;='Assumptions and Catalog'!$C$52,((D314+E314)*C314)*'Assumptions and Catalog'!$H$52+'Assumptions and Catalog'!$E$52+'Assumptions and Catalog'!$F$52,IF(((D314+E314)*C314)&lt;='Assumptions and Catalog'!$C$53,((D314+E314)*C314)*'Assumptions and Catalog'!$H$53+'Assumptions and Catalog'!$E$53+'Assumptions and Catalog'!$F$53,IF(((D314+E314)*C314)&lt;='Assumptions and Catalog'!$C$54,((D314+E314)*C314)*'Assumptions and Catalog'!$H$54+'Assumptions and Catalog'!$E$54+'Assumptions and Catalog'!$F$54,IF(((D314+E314)*C314)&lt;='Assumptions and Catalog'!$C$55,((D314+E314)*C314)*'Assumptions and Catalog'!$H$55+'Assumptions and Catalog'!$E$55+'Assumptions and Catalog'!$F$55,IF(((D314+E314)*C314)&lt;='Assumptions and Catalog'!$C$56,((D314+E314)*C314)*'Assumptions and Catalog'!$H$56+'Assumptions and Catalog'!$E$56+'Assumptions and Catalog'!$F$56,IF(((D314+E314)*C314)&lt;='Assumptions and Catalog'!$C$57,((D314+E314)*C314)*'Assumptions and Catalog'!$H$57+'Assumptions and Catalog'!$E$57+'Assumptions and Catalog'!$F$57,"Out of range")))))))),IF(((D314+E314)*C314)&lt;='Assumptions and Catalog'!$C$60,((D314+E314)*C314)*'Assumptions and Catalog'!$H$60+'Assumptions and Catalog'!$E$60+'Assumptions and Catalog'!$F$60,IF(((D314+E314)*C314)&lt;='Assumptions and Catalog'!$C$61,((D314+E314)*C314)*'Assumptions and Catalog'!$H$61+'Assumptions and Catalog'!$E$61+'Assumptions and Catalog'!$F$61,IF(((D314+E314)*C314)&lt;='Assumptions and Catalog'!$C$62,((D314+E314)*C314)*'Assumptions and Catalog'!$H$62+'Assumptions and Catalog'!$E$62+'Assumptions and Catalog'!$F$62,IF(((D314+E314)*C314)&lt;='Assumptions and Catalog'!$C$63,((D314+E314)*C314)*'Assumptions and Catalog'!$H$63+'Assumptions and Catalog'!$E$63+'Assumptions and Catalog'!$F$63,IF(((D314+E314)*C314)&lt;='Assumptions and Catalog'!$C$64,((D314+E314)*C314)*'Assumptions and Catalog'!$H$64+'Assumptions and Catalog'!$E$64+'Assumptions and Catalog'!$F$64,IF(((D314+E314)*C314)&lt;='Assumptions and Catalog'!$C$65,((D314+E314)*C314)*'Assumptions and Catalog'!$H$65+'Assumptions and Catalog'!$E$65+'Assumptions and Catalog'!$F$65,"Out of range")))))))))*(1+'Assumptions and Catalog'!$C$8)^(A314-1),0)</f>
        <v>8554.9666666666672</v>
      </c>
      <c r="N314" s="5">
        <f>IF(ISNUMBER(Inputs!$L$5),(IF(Inputs!$L$9="Actual flat rate",L314*Inputs!$L$10,IF(Inputs!$C$9="Residential",IF(L314&lt;='Assumptions and Catalog'!$C$50,L314*'Assumptions and Catalog'!$H$50+'Assumptions and Catalog'!$E$50+'Assumptions and Catalog'!$F$50,IF(L314&lt;='Assumptions and Catalog'!$C$51,L314*'Assumptions and Catalog'!$H$51+'Assumptions and Catalog'!$E$51+'Assumptions and Catalog'!$F$51,IF(L314&lt;='Assumptions and Catalog'!$C$52,L314*'Assumptions and Catalog'!$H$52+'Assumptions and Catalog'!$E$52+'Assumptions and Catalog'!$F$52,IF(L314&lt;='Assumptions and Catalog'!$C$53,L314*'Assumptions and Catalog'!$H$53+'Assumptions and Catalog'!$E$53+'Assumptions and Catalog'!$F$53,IF(L314&lt;='Assumptions and Catalog'!$C$54,L314*'Assumptions and Catalog'!$H$54+'Assumptions and Catalog'!$E$54+'Assumptions and Catalog'!$F$54,IF(L314&lt;='Assumptions and Catalog'!$C$55,L314*'Assumptions and Catalog'!$H$55+'Assumptions and Catalog'!$E$55+'Assumptions and Catalog'!$F$55,IF(L314&lt;='Assumptions and Catalog'!$C$56,L314*'Assumptions and Catalog'!$H$56+'Assumptions and Catalog'!$E$56+'Assumptions and Catalog'!$F$56,IF(L314&lt;='Assumptions and Catalog'!$C$57,L314*'Assumptions and Catalog'!$H$57+'Assumptions and Catalog'!$E$57+'Assumptions and Catalog'!$F$57,"Out of range")))))))),IF(L314&lt;='Assumptions and Catalog'!$C$60,L314*'Assumptions and Catalog'!$H$60+'Assumptions and Catalog'!$E$60+'Assumptions and Catalog'!$F$60,IF(L314&lt;='Assumptions and Catalog'!$C$61,L314*'Assumptions and Catalog'!$H$61+'Assumptions and Catalog'!$E$61+'Assumptions and Catalog'!$F$61,IF(L314&lt;='Assumptions and Catalog'!$C$62,L314*'Assumptions and Catalog'!$H$62+'Assumptions and Catalog'!$E$62+'Assumptions and Catalog'!$F$62,IF(L314&lt;='Assumptions and Catalog'!$C$63,L314*'Assumptions and Catalog'!$H$63+'Assumptions and Catalog'!$E$63+'Assumptions and Catalog'!$F$63,IF(L314&lt;='Assumptions and Catalog'!$C$64,L314*'Assumptions and Catalog'!$H$64+'Assumptions and Catalog'!$E$64+'Assumptions and Catalog'!$F$64,IF(L314&lt;='Assumptions and Catalog'!$C$65,L314*'Assumptions and Catalog'!$H$65+'Assumptions and Catalog'!$E$65+'Assumptions and Catalog'!$F$65,"Out of range")))))))))*(1+'Assumptions and Catalog'!$C$8)^(A314-1),0)</f>
        <v>5224.3404104019819</v>
      </c>
      <c r="O314" s="5">
        <f t="shared" si="24"/>
        <v>3330.6262562646853</v>
      </c>
      <c r="P314" s="5">
        <f>C$55*(1-J$14)*(1-'Assumptions and Catalog'!$C$23)^R314</f>
        <v>0</v>
      </c>
      <c r="Q314" s="5">
        <f>IF(ISNUMBER(Inputs!$L$5),(IF(Inputs!$L$9="Actual flat rate",((D314+E314)*C314-G314)*Inputs!$L$10,IF(Inputs!$C$9="Residential",IF(((D314+E314)*C314-G314)&lt;='Assumptions and Catalog'!$C$50,((D314+E314)*C314-G314)*'Assumptions and Catalog'!$H$50+'Assumptions and Catalog'!$E$50+'Assumptions and Catalog'!$F$50,IF(((D314+E314)*C314-G314)&lt;='Assumptions and Catalog'!$C$51,((D314+E314)*C314-G314)*'Assumptions and Catalog'!$H$51+'Assumptions and Catalog'!$E$51+'Assumptions and Catalog'!$F$51,IF(((D314+E314)*C314-G314)&lt;='Assumptions and Catalog'!$C$52,((D314+E314)*C314-G314)*'Assumptions and Catalog'!$H$52+'Assumptions and Catalog'!$E$52+'Assumptions and Catalog'!$F$52,IF(((D314+E314)*C314-G314)&lt;='Assumptions and Catalog'!$C$53,((D314+E314)*C314-G314)*'Assumptions and Catalog'!$H$53+'Assumptions and Catalog'!$E$53+'Assumptions and Catalog'!$F$53,IF(((D314+E314)*C314-G314)&lt;='Assumptions and Catalog'!$C$54,((D314+E314)*C314-G314)*'Assumptions and Catalog'!$H$54+'Assumptions and Catalog'!$E$54+'Assumptions and Catalog'!$F$54,IF(((D314+E314)*C314-G314)&lt;='Assumptions and Catalog'!$C$55,((D314+E314)*C314-G314)*'Assumptions and Catalog'!$H$55+'Assumptions and Catalog'!$E$55+'Assumptions and Catalog'!$F$55,IF(((D314+E314)*C314-G314)&lt;='Assumptions and Catalog'!$C$56,((D314+E314)*C314-G314)*'Assumptions and Catalog'!$H$56+'Assumptions and Catalog'!$E$56+'Assumptions and Catalog'!$F$56,IF(((D314+E314)*C314-G314)&lt;='Assumptions and Catalog'!$C$57,((D314+E314)*C314-G314)*'Assumptions and Catalog'!$H$57+'Assumptions and Catalog'!$E$57+'Assumptions and Catalog'!$F$57,"Out of range")))))))),IF(((D314+E314)*C314-G314)&lt;='Assumptions and Catalog'!$C$60,((D314+E314)*C314-G314)*'Assumptions and Catalog'!$H$60+'Assumptions and Catalog'!$E$60+'Assumptions and Catalog'!$F$60,IF(((D314+E314)*C314-G314)&lt;='Assumptions and Catalog'!$C$61,((D314+E314)*C314-G314)*'Assumptions and Catalog'!$H$61+'Assumptions and Catalog'!$E$61+'Assumptions and Catalog'!$F$61,IF(((D314+E314)*C314-G314)&lt;='Assumptions and Catalog'!$C$62,((D314+E314)*C314-G314)*'Assumptions and Catalog'!$H$62+'Assumptions and Catalog'!$E$62+'Assumptions and Catalog'!$F$62,IF(((D314+E314)*C314-G314)&lt;='Assumptions and Catalog'!$C$63,((D314+E314)*C314-G314)*'Assumptions and Catalog'!$H$63+'Assumptions and Catalog'!$E$63+'Assumptions and Catalog'!$F$63,IF(((D314+E314)*C314-G314)&lt;='Assumptions and Catalog'!$C$64,((D314+E314)*C314-G314)*'Assumptions and Catalog'!$H$64+'Assumptions and Catalog'!$E$64+'Assumptions and Catalog'!$F$64,IF(((D314+E314)*C314-G314)&lt;='Assumptions and Catalog'!$C$65,((D314+E314)*C314-G314)*'Assumptions and Catalog'!$H$65+'Assumptions and Catalog'!$E$65+'Assumptions and Catalog'!$F$65,"Out of range")))))))))*(1+'Assumptions and Catalog'!$C$8)^(A314-1),0)</f>
        <v>5224.3404104019819</v>
      </c>
      <c r="R314" s="5">
        <f>IF(AND('Assumptions and Catalog'!$C$19&gt;0,A314&gt;='Assumptions and Catalog'!$C$19),A314-'Assumptions and Catalog'!$C$19,A314-1)</f>
        <v>2</v>
      </c>
      <c r="S314" s="5">
        <f t="shared" si="25"/>
        <v>0</v>
      </c>
      <c r="T314" s="5"/>
      <c r="U314" s="5"/>
    </row>
    <row r="315" spans="1:21" ht="23.1" customHeight="1" outlineLevel="1" x14ac:dyDescent="0.2">
      <c r="A315" s="5">
        <v>13</v>
      </c>
      <c r="B315" s="5">
        <v>11</v>
      </c>
      <c r="C315" s="5">
        <f>DAY(DATE('Assumptions and Catalog'!$C$24+A315-1,B315+1,0))</f>
        <v>30</v>
      </c>
      <c r="D315" s="5">
        <f>IF(ISNUMBER(Inputs!$L$5),Inputs!$L$5*Inputs!$L$6,0)</f>
        <v>40.35</v>
      </c>
      <c r="E315" s="5">
        <f>IF(ISNUMBER(Inputs!$L$5),Inputs!$L$5-D315,0)</f>
        <v>40.35</v>
      </c>
      <c r="F315" s="5">
        <f>C$51*'Assumptions and Catalog'!$C$31*C315*(1-'Assumptions and Catalog'!$C$10)^(A315-1)</f>
        <v>942.54559726515231</v>
      </c>
      <c r="G315" s="5">
        <f t="shared" si="20"/>
        <v>942.54559726515231</v>
      </c>
      <c r="H315" s="5">
        <f>I315/('Assumptions and Catalog'!$C$11*'Assumptions and Catalog'!$C$12)</f>
        <v>0</v>
      </c>
      <c r="I315" s="5">
        <f>0</f>
        <v>0</v>
      </c>
      <c r="J315" s="5">
        <f t="shared" si="21"/>
        <v>0</v>
      </c>
      <c r="K315" s="5">
        <f t="shared" si="22"/>
        <v>0</v>
      </c>
      <c r="L315" s="5">
        <f t="shared" si="23"/>
        <v>1478.4544027348477</v>
      </c>
      <c r="M315" s="5">
        <f>IF(ISNUMBER(Inputs!$L$5),(IF(Inputs!$L$9="Actual flat rate",((D315+E315)*C315)*Inputs!$L$10,IF(Inputs!$C$9="Residential",IF(((D315+E315)*C315)&lt;='Assumptions and Catalog'!$C$50,((D315+E315)*C315)*'Assumptions and Catalog'!$H$50+'Assumptions and Catalog'!$E$50+'Assumptions and Catalog'!$F$50,IF(((D315+E315)*C315)&lt;='Assumptions and Catalog'!$C$51,((D315+E315)*C315)*'Assumptions and Catalog'!$H$51+'Assumptions and Catalog'!$E$51+'Assumptions and Catalog'!$F$51,IF(((D315+E315)*C315)&lt;='Assumptions and Catalog'!$C$52,((D315+E315)*C315)*'Assumptions and Catalog'!$H$52+'Assumptions and Catalog'!$E$52+'Assumptions and Catalog'!$F$52,IF(((D315+E315)*C315)&lt;='Assumptions and Catalog'!$C$53,((D315+E315)*C315)*'Assumptions and Catalog'!$H$53+'Assumptions and Catalog'!$E$53+'Assumptions and Catalog'!$F$53,IF(((D315+E315)*C315)&lt;='Assumptions and Catalog'!$C$54,((D315+E315)*C315)*'Assumptions and Catalog'!$H$54+'Assumptions and Catalog'!$E$54+'Assumptions and Catalog'!$F$54,IF(((D315+E315)*C315)&lt;='Assumptions and Catalog'!$C$55,((D315+E315)*C315)*'Assumptions and Catalog'!$H$55+'Assumptions and Catalog'!$E$55+'Assumptions and Catalog'!$F$55,IF(((D315+E315)*C315)&lt;='Assumptions and Catalog'!$C$56,((D315+E315)*C315)*'Assumptions and Catalog'!$H$56+'Assumptions and Catalog'!$E$56+'Assumptions and Catalog'!$F$56,IF(((D315+E315)*C315)&lt;='Assumptions and Catalog'!$C$57,((D315+E315)*C315)*'Assumptions and Catalog'!$H$57+'Assumptions and Catalog'!$E$57+'Assumptions and Catalog'!$F$57,"Out of range")))))))),IF(((D315+E315)*C315)&lt;='Assumptions and Catalog'!$C$60,((D315+E315)*C315)*'Assumptions and Catalog'!$H$60+'Assumptions and Catalog'!$E$60+'Assumptions and Catalog'!$F$60,IF(((D315+E315)*C315)&lt;='Assumptions and Catalog'!$C$61,((D315+E315)*C315)*'Assumptions and Catalog'!$H$61+'Assumptions and Catalog'!$E$61+'Assumptions and Catalog'!$F$61,IF(((D315+E315)*C315)&lt;='Assumptions and Catalog'!$C$62,((D315+E315)*C315)*'Assumptions and Catalog'!$H$62+'Assumptions and Catalog'!$E$62+'Assumptions and Catalog'!$F$62,IF(((D315+E315)*C315)&lt;='Assumptions and Catalog'!$C$63,((D315+E315)*C315)*'Assumptions and Catalog'!$H$63+'Assumptions and Catalog'!$E$63+'Assumptions and Catalog'!$F$63,IF(((D315+E315)*C315)&lt;='Assumptions and Catalog'!$C$64,((D315+E315)*C315)*'Assumptions and Catalog'!$H$64+'Assumptions and Catalog'!$E$64+'Assumptions and Catalog'!$F$64,IF(((D315+E315)*C315)&lt;='Assumptions and Catalog'!$C$65,((D315+E315)*C315)*'Assumptions and Catalog'!$H$65+'Assumptions and Catalog'!$E$65+'Assumptions and Catalog'!$F$65,"Out of range")))))))))*(1+'Assumptions and Catalog'!$C$8)^(A315-1),0)</f>
        <v>8279</v>
      </c>
      <c r="N315" s="5">
        <f>IF(ISNUMBER(Inputs!$L$5),(IF(Inputs!$L$9="Actual flat rate",L315*Inputs!$L$10,IF(Inputs!$C$9="Residential",IF(L315&lt;='Assumptions and Catalog'!$C$50,L315*'Assumptions and Catalog'!$H$50+'Assumptions and Catalog'!$E$50+'Assumptions and Catalog'!$F$50,IF(L315&lt;='Assumptions and Catalog'!$C$51,L315*'Assumptions and Catalog'!$H$51+'Assumptions and Catalog'!$E$51+'Assumptions and Catalog'!$F$51,IF(L315&lt;='Assumptions and Catalog'!$C$52,L315*'Assumptions and Catalog'!$H$52+'Assumptions and Catalog'!$E$52+'Assumptions and Catalog'!$F$52,IF(L315&lt;='Assumptions and Catalog'!$C$53,L315*'Assumptions and Catalog'!$H$53+'Assumptions and Catalog'!$E$53+'Assumptions and Catalog'!$F$53,IF(L315&lt;='Assumptions and Catalog'!$C$54,L315*'Assumptions and Catalog'!$H$54+'Assumptions and Catalog'!$E$54+'Assumptions and Catalog'!$F$54,IF(L315&lt;='Assumptions and Catalog'!$C$55,L315*'Assumptions and Catalog'!$H$55+'Assumptions and Catalog'!$E$55+'Assumptions and Catalog'!$F$55,IF(L315&lt;='Assumptions and Catalog'!$C$56,L315*'Assumptions and Catalog'!$H$56+'Assumptions and Catalog'!$E$56+'Assumptions and Catalog'!$F$56,IF(L315&lt;='Assumptions and Catalog'!$C$57,L315*'Assumptions and Catalog'!$H$57+'Assumptions and Catalog'!$E$57+'Assumptions and Catalog'!$F$57,"Out of range")))))))),IF(L315&lt;='Assumptions and Catalog'!$C$60,L315*'Assumptions and Catalog'!$H$60+'Assumptions and Catalog'!$E$60+'Assumptions and Catalog'!$F$60,IF(L315&lt;='Assumptions and Catalog'!$C$61,L315*'Assumptions and Catalog'!$H$61+'Assumptions and Catalog'!$E$61+'Assumptions and Catalog'!$F$61,IF(L315&lt;='Assumptions and Catalog'!$C$62,L315*'Assumptions and Catalog'!$H$62+'Assumptions and Catalog'!$E$62+'Assumptions and Catalog'!$F$62,IF(L315&lt;='Assumptions and Catalog'!$C$63,L315*'Assumptions and Catalog'!$H$63+'Assumptions and Catalog'!$E$63+'Assumptions and Catalog'!$F$63,IF(L315&lt;='Assumptions and Catalog'!$C$64,L315*'Assumptions and Catalog'!$H$64+'Assumptions and Catalog'!$E$64+'Assumptions and Catalog'!$F$64,IF(L315&lt;='Assumptions and Catalog'!$C$65,L315*'Assumptions and Catalog'!$H$65+'Assumptions and Catalog'!$E$65+'Assumptions and Catalog'!$F$65,"Out of range")))))))))*(1+'Assumptions and Catalog'!$C$8)^(A315-1),0)</f>
        <v>5055.8133003890143</v>
      </c>
      <c r="O315" s="5">
        <f t="shared" si="24"/>
        <v>3223.1866996109857</v>
      </c>
      <c r="P315" s="5">
        <f>C$55*(1-J$14)*(1-'Assumptions and Catalog'!$C$23)^R315</f>
        <v>0</v>
      </c>
      <c r="Q315" s="5">
        <f>IF(ISNUMBER(Inputs!$L$5),(IF(Inputs!$L$9="Actual flat rate",((D315+E315)*C315-G315)*Inputs!$L$10,IF(Inputs!$C$9="Residential",IF(((D315+E315)*C315-G315)&lt;='Assumptions and Catalog'!$C$50,((D315+E315)*C315-G315)*'Assumptions and Catalog'!$H$50+'Assumptions and Catalog'!$E$50+'Assumptions and Catalog'!$F$50,IF(((D315+E315)*C315-G315)&lt;='Assumptions and Catalog'!$C$51,((D315+E315)*C315-G315)*'Assumptions and Catalog'!$H$51+'Assumptions and Catalog'!$E$51+'Assumptions and Catalog'!$F$51,IF(((D315+E315)*C315-G315)&lt;='Assumptions and Catalog'!$C$52,((D315+E315)*C315-G315)*'Assumptions and Catalog'!$H$52+'Assumptions and Catalog'!$E$52+'Assumptions and Catalog'!$F$52,IF(((D315+E315)*C315-G315)&lt;='Assumptions and Catalog'!$C$53,((D315+E315)*C315-G315)*'Assumptions and Catalog'!$H$53+'Assumptions and Catalog'!$E$53+'Assumptions and Catalog'!$F$53,IF(((D315+E315)*C315-G315)&lt;='Assumptions and Catalog'!$C$54,((D315+E315)*C315-G315)*'Assumptions and Catalog'!$H$54+'Assumptions and Catalog'!$E$54+'Assumptions and Catalog'!$F$54,IF(((D315+E315)*C315-G315)&lt;='Assumptions and Catalog'!$C$55,((D315+E315)*C315-G315)*'Assumptions and Catalog'!$H$55+'Assumptions and Catalog'!$E$55+'Assumptions and Catalog'!$F$55,IF(((D315+E315)*C315-G315)&lt;='Assumptions and Catalog'!$C$56,((D315+E315)*C315-G315)*'Assumptions and Catalog'!$H$56+'Assumptions and Catalog'!$E$56+'Assumptions and Catalog'!$F$56,IF(((D315+E315)*C315-G315)&lt;='Assumptions and Catalog'!$C$57,((D315+E315)*C315-G315)*'Assumptions and Catalog'!$H$57+'Assumptions and Catalog'!$E$57+'Assumptions and Catalog'!$F$57,"Out of range")))))))),IF(((D315+E315)*C315-G315)&lt;='Assumptions and Catalog'!$C$60,((D315+E315)*C315-G315)*'Assumptions and Catalog'!$H$60+'Assumptions and Catalog'!$E$60+'Assumptions and Catalog'!$F$60,IF(((D315+E315)*C315-G315)&lt;='Assumptions and Catalog'!$C$61,((D315+E315)*C315-G315)*'Assumptions and Catalog'!$H$61+'Assumptions and Catalog'!$E$61+'Assumptions and Catalog'!$F$61,IF(((D315+E315)*C315-G315)&lt;='Assumptions and Catalog'!$C$62,((D315+E315)*C315-G315)*'Assumptions and Catalog'!$H$62+'Assumptions and Catalog'!$E$62+'Assumptions and Catalog'!$F$62,IF(((D315+E315)*C315-G315)&lt;='Assumptions and Catalog'!$C$63,((D315+E315)*C315-G315)*'Assumptions and Catalog'!$H$63+'Assumptions and Catalog'!$E$63+'Assumptions and Catalog'!$F$63,IF(((D315+E315)*C315-G315)&lt;='Assumptions and Catalog'!$C$64,((D315+E315)*C315-G315)*'Assumptions and Catalog'!$H$64+'Assumptions and Catalog'!$E$64+'Assumptions and Catalog'!$F$64,IF(((D315+E315)*C315-G315)&lt;='Assumptions and Catalog'!$C$65,((D315+E315)*C315-G315)*'Assumptions and Catalog'!$H$65+'Assumptions and Catalog'!$E$65+'Assumptions and Catalog'!$F$65,"Out of range")))))))))*(1+'Assumptions and Catalog'!$C$8)^(A315-1),0)</f>
        <v>5055.8133003890143</v>
      </c>
      <c r="R315" s="5">
        <f>IF(AND('Assumptions and Catalog'!$C$19&gt;0,A315&gt;='Assumptions and Catalog'!$C$19),A315-'Assumptions and Catalog'!$C$19,A315-1)</f>
        <v>2</v>
      </c>
      <c r="S315" s="5">
        <f t="shared" si="25"/>
        <v>0</v>
      </c>
      <c r="T315" s="5"/>
      <c r="U315" s="5"/>
    </row>
    <row r="316" spans="1:21" ht="23.1" customHeight="1" outlineLevel="1" x14ac:dyDescent="0.2">
      <c r="A316" s="5">
        <v>13</v>
      </c>
      <c r="B316" s="5">
        <v>12</v>
      </c>
      <c r="C316" s="5">
        <f>DAY(DATE('Assumptions and Catalog'!$C$24+A316-1,B316+1,0))</f>
        <v>31</v>
      </c>
      <c r="D316" s="5">
        <f>IF(ISNUMBER(Inputs!$L$5),Inputs!$L$5*Inputs!$L$6,0)</f>
        <v>40.35</v>
      </c>
      <c r="E316" s="5">
        <f>IF(ISNUMBER(Inputs!$L$5),Inputs!$L$5-D316,0)</f>
        <v>40.35</v>
      </c>
      <c r="F316" s="5">
        <f>C$51*'Assumptions and Catalog'!$C$31*C316*(1-'Assumptions and Catalog'!$C$10)^(A316-1)</f>
        <v>973.96378384065736</v>
      </c>
      <c r="G316" s="5">
        <f t="shared" si="20"/>
        <v>973.96378384065736</v>
      </c>
      <c r="H316" s="5">
        <f>I316/('Assumptions and Catalog'!$C$11*'Assumptions and Catalog'!$C$12)</f>
        <v>0</v>
      </c>
      <c r="I316" s="5">
        <f>0</f>
        <v>0</v>
      </c>
      <c r="J316" s="5">
        <f t="shared" si="21"/>
        <v>0</v>
      </c>
      <c r="K316" s="5">
        <f t="shared" si="22"/>
        <v>0</v>
      </c>
      <c r="L316" s="5">
        <f t="shared" si="23"/>
        <v>1527.7362161593428</v>
      </c>
      <c r="M316" s="5">
        <f>IF(ISNUMBER(Inputs!$L$5),(IF(Inputs!$L$9="Actual flat rate",((D316+E316)*C316)*Inputs!$L$10,IF(Inputs!$C$9="Residential",IF(((D316+E316)*C316)&lt;='Assumptions and Catalog'!$C$50,((D316+E316)*C316)*'Assumptions and Catalog'!$H$50+'Assumptions and Catalog'!$E$50+'Assumptions and Catalog'!$F$50,IF(((D316+E316)*C316)&lt;='Assumptions and Catalog'!$C$51,((D316+E316)*C316)*'Assumptions and Catalog'!$H$51+'Assumptions and Catalog'!$E$51+'Assumptions and Catalog'!$F$51,IF(((D316+E316)*C316)&lt;='Assumptions and Catalog'!$C$52,((D316+E316)*C316)*'Assumptions and Catalog'!$H$52+'Assumptions and Catalog'!$E$52+'Assumptions and Catalog'!$F$52,IF(((D316+E316)*C316)&lt;='Assumptions and Catalog'!$C$53,((D316+E316)*C316)*'Assumptions and Catalog'!$H$53+'Assumptions and Catalog'!$E$53+'Assumptions and Catalog'!$F$53,IF(((D316+E316)*C316)&lt;='Assumptions and Catalog'!$C$54,((D316+E316)*C316)*'Assumptions and Catalog'!$H$54+'Assumptions and Catalog'!$E$54+'Assumptions and Catalog'!$F$54,IF(((D316+E316)*C316)&lt;='Assumptions and Catalog'!$C$55,((D316+E316)*C316)*'Assumptions and Catalog'!$H$55+'Assumptions and Catalog'!$E$55+'Assumptions and Catalog'!$F$55,IF(((D316+E316)*C316)&lt;='Assumptions and Catalog'!$C$56,((D316+E316)*C316)*'Assumptions and Catalog'!$H$56+'Assumptions and Catalog'!$E$56+'Assumptions and Catalog'!$F$56,IF(((D316+E316)*C316)&lt;='Assumptions and Catalog'!$C$57,((D316+E316)*C316)*'Assumptions and Catalog'!$H$57+'Assumptions and Catalog'!$E$57+'Assumptions and Catalog'!$F$57,"Out of range")))))))),IF(((D316+E316)*C316)&lt;='Assumptions and Catalog'!$C$60,((D316+E316)*C316)*'Assumptions and Catalog'!$H$60+'Assumptions and Catalog'!$E$60+'Assumptions and Catalog'!$F$60,IF(((D316+E316)*C316)&lt;='Assumptions and Catalog'!$C$61,((D316+E316)*C316)*'Assumptions and Catalog'!$H$61+'Assumptions and Catalog'!$E$61+'Assumptions and Catalog'!$F$61,IF(((D316+E316)*C316)&lt;='Assumptions and Catalog'!$C$62,((D316+E316)*C316)*'Assumptions and Catalog'!$H$62+'Assumptions and Catalog'!$E$62+'Assumptions and Catalog'!$F$62,IF(((D316+E316)*C316)&lt;='Assumptions and Catalog'!$C$63,((D316+E316)*C316)*'Assumptions and Catalog'!$H$63+'Assumptions and Catalog'!$E$63+'Assumptions and Catalog'!$F$63,IF(((D316+E316)*C316)&lt;='Assumptions and Catalog'!$C$64,((D316+E316)*C316)*'Assumptions and Catalog'!$H$64+'Assumptions and Catalog'!$E$64+'Assumptions and Catalog'!$F$64,IF(((D316+E316)*C316)&lt;='Assumptions and Catalog'!$C$65,((D316+E316)*C316)*'Assumptions and Catalog'!$H$65+'Assumptions and Catalog'!$E$65+'Assumptions and Catalog'!$F$65,"Out of range")))))))))*(1+'Assumptions and Catalog'!$C$8)^(A316-1),0)</f>
        <v>8554.9666666666672</v>
      </c>
      <c r="N316" s="5">
        <f>IF(ISNUMBER(Inputs!$L$5),(IF(Inputs!$L$9="Actual flat rate",L316*Inputs!$L$10,IF(Inputs!$C$9="Residential",IF(L316&lt;='Assumptions and Catalog'!$C$50,L316*'Assumptions and Catalog'!$H$50+'Assumptions and Catalog'!$E$50+'Assumptions and Catalog'!$F$50,IF(L316&lt;='Assumptions and Catalog'!$C$51,L316*'Assumptions and Catalog'!$H$51+'Assumptions and Catalog'!$E$51+'Assumptions and Catalog'!$F$51,IF(L316&lt;='Assumptions and Catalog'!$C$52,L316*'Assumptions and Catalog'!$H$52+'Assumptions and Catalog'!$E$52+'Assumptions and Catalog'!$F$52,IF(L316&lt;='Assumptions and Catalog'!$C$53,L316*'Assumptions and Catalog'!$H$53+'Assumptions and Catalog'!$E$53+'Assumptions and Catalog'!$F$53,IF(L316&lt;='Assumptions and Catalog'!$C$54,L316*'Assumptions and Catalog'!$H$54+'Assumptions and Catalog'!$E$54+'Assumptions and Catalog'!$F$54,IF(L316&lt;='Assumptions and Catalog'!$C$55,L316*'Assumptions and Catalog'!$H$55+'Assumptions and Catalog'!$E$55+'Assumptions and Catalog'!$F$55,IF(L316&lt;='Assumptions and Catalog'!$C$56,L316*'Assumptions and Catalog'!$H$56+'Assumptions and Catalog'!$E$56+'Assumptions and Catalog'!$F$56,IF(L316&lt;='Assumptions and Catalog'!$C$57,L316*'Assumptions and Catalog'!$H$57+'Assumptions and Catalog'!$E$57+'Assumptions and Catalog'!$F$57,"Out of range")))))))),IF(L316&lt;='Assumptions and Catalog'!$C$60,L316*'Assumptions and Catalog'!$H$60+'Assumptions and Catalog'!$E$60+'Assumptions and Catalog'!$F$60,IF(L316&lt;='Assumptions and Catalog'!$C$61,L316*'Assumptions and Catalog'!$H$61+'Assumptions and Catalog'!$E$61+'Assumptions and Catalog'!$F$61,IF(L316&lt;='Assumptions and Catalog'!$C$62,L316*'Assumptions and Catalog'!$H$62+'Assumptions and Catalog'!$E$62+'Assumptions and Catalog'!$F$62,IF(L316&lt;='Assumptions and Catalog'!$C$63,L316*'Assumptions and Catalog'!$H$63+'Assumptions and Catalog'!$E$63+'Assumptions and Catalog'!$F$63,IF(L316&lt;='Assumptions and Catalog'!$C$64,L316*'Assumptions and Catalog'!$H$64+'Assumptions and Catalog'!$E$64+'Assumptions and Catalog'!$F$64,IF(L316&lt;='Assumptions and Catalog'!$C$65,L316*'Assumptions and Catalog'!$H$65+'Assumptions and Catalog'!$E$65+'Assumptions and Catalog'!$F$65,"Out of range")))))))))*(1+'Assumptions and Catalog'!$C$8)^(A316-1),0)</f>
        <v>5224.3404104019819</v>
      </c>
      <c r="O316" s="5">
        <f t="shared" si="24"/>
        <v>3330.6262562646853</v>
      </c>
      <c r="P316" s="5">
        <f>C$55*(1-J$14)*(1-'Assumptions and Catalog'!$C$23)^R316</f>
        <v>0</v>
      </c>
      <c r="Q316" s="5">
        <f>IF(ISNUMBER(Inputs!$L$5),(IF(Inputs!$L$9="Actual flat rate",((D316+E316)*C316-G316)*Inputs!$L$10,IF(Inputs!$C$9="Residential",IF(((D316+E316)*C316-G316)&lt;='Assumptions and Catalog'!$C$50,((D316+E316)*C316-G316)*'Assumptions and Catalog'!$H$50+'Assumptions and Catalog'!$E$50+'Assumptions and Catalog'!$F$50,IF(((D316+E316)*C316-G316)&lt;='Assumptions and Catalog'!$C$51,((D316+E316)*C316-G316)*'Assumptions and Catalog'!$H$51+'Assumptions and Catalog'!$E$51+'Assumptions and Catalog'!$F$51,IF(((D316+E316)*C316-G316)&lt;='Assumptions and Catalog'!$C$52,((D316+E316)*C316-G316)*'Assumptions and Catalog'!$H$52+'Assumptions and Catalog'!$E$52+'Assumptions and Catalog'!$F$52,IF(((D316+E316)*C316-G316)&lt;='Assumptions and Catalog'!$C$53,((D316+E316)*C316-G316)*'Assumptions and Catalog'!$H$53+'Assumptions and Catalog'!$E$53+'Assumptions and Catalog'!$F$53,IF(((D316+E316)*C316-G316)&lt;='Assumptions and Catalog'!$C$54,((D316+E316)*C316-G316)*'Assumptions and Catalog'!$H$54+'Assumptions and Catalog'!$E$54+'Assumptions and Catalog'!$F$54,IF(((D316+E316)*C316-G316)&lt;='Assumptions and Catalog'!$C$55,((D316+E316)*C316-G316)*'Assumptions and Catalog'!$H$55+'Assumptions and Catalog'!$E$55+'Assumptions and Catalog'!$F$55,IF(((D316+E316)*C316-G316)&lt;='Assumptions and Catalog'!$C$56,((D316+E316)*C316-G316)*'Assumptions and Catalog'!$H$56+'Assumptions and Catalog'!$E$56+'Assumptions and Catalog'!$F$56,IF(((D316+E316)*C316-G316)&lt;='Assumptions and Catalog'!$C$57,((D316+E316)*C316-G316)*'Assumptions and Catalog'!$H$57+'Assumptions and Catalog'!$E$57+'Assumptions and Catalog'!$F$57,"Out of range")))))))),IF(((D316+E316)*C316-G316)&lt;='Assumptions and Catalog'!$C$60,((D316+E316)*C316-G316)*'Assumptions and Catalog'!$H$60+'Assumptions and Catalog'!$E$60+'Assumptions and Catalog'!$F$60,IF(((D316+E316)*C316-G316)&lt;='Assumptions and Catalog'!$C$61,((D316+E316)*C316-G316)*'Assumptions and Catalog'!$H$61+'Assumptions and Catalog'!$E$61+'Assumptions and Catalog'!$F$61,IF(((D316+E316)*C316-G316)&lt;='Assumptions and Catalog'!$C$62,((D316+E316)*C316-G316)*'Assumptions and Catalog'!$H$62+'Assumptions and Catalog'!$E$62+'Assumptions and Catalog'!$F$62,IF(((D316+E316)*C316-G316)&lt;='Assumptions and Catalog'!$C$63,((D316+E316)*C316-G316)*'Assumptions and Catalog'!$H$63+'Assumptions and Catalog'!$E$63+'Assumptions and Catalog'!$F$63,IF(((D316+E316)*C316-G316)&lt;='Assumptions and Catalog'!$C$64,((D316+E316)*C316-G316)*'Assumptions and Catalog'!$H$64+'Assumptions and Catalog'!$E$64+'Assumptions and Catalog'!$F$64,IF(((D316+E316)*C316-G316)&lt;='Assumptions and Catalog'!$C$65,((D316+E316)*C316-G316)*'Assumptions and Catalog'!$H$65+'Assumptions and Catalog'!$E$65+'Assumptions and Catalog'!$F$65,"Out of range")))))))))*(1+'Assumptions and Catalog'!$C$8)^(A316-1),0)</f>
        <v>5224.3404104019819</v>
      </c>
      <c r="R316" s="5">
        <f>IF(AND('Assumptions and Catalog'!$C$19&gt;0,A316&gt;='Assumptions and Catalog'!$C$19),A316-'Assumptions and Catalog'!$C$19,A316-1)</f>
        <v>2</v>
      </c>
      <c r="S316" s="5">
        <f t="shared" si="25"/>
        <v>0</v>
      </c>
      <c r="T316" s="5"/>
      <c r="U316" s="5"/>
    </row>
    <row r="317" spans="1:21" ht="23.1" customHeight="1" outlineLevel="1" x14ac:dyDescent="0.2">
      <c r="A317" s="5">
        <v>14</v>
      </c>
      <c r="B317" s="5">
        <v>1</v>
      </c>
      <c r="C317" s="5">
        <f>DAY(DATE('Assumptions and Catalog'!$C$24+A317-1,B317+1,0))</f>
        <v>31</v>
      </c>
      <c r="D317" s="5">
        <f>IF(ISNUMBER(Inputs!$L$5),Inputs!$L$5*Inputs!$L$6,0)</f>
        <v>40.35</v>
      </c>
      <c r="E317" s="5">
        <f>IF(ISNUMBER(Inputs!$L$5),Inputs!$L$5-D317,0)</f>
        <v>40.35</v>
      </c>
      <c r="F317" s="5">
        <f>C$51*'Assumptions and Catalog'!$C$31*C317*(1-'Assumptions and Catalog'!$C$10)^(A317-1)</f>
        <v>969.09396492145413</v>
      </c>
      <c r="G317" s="5">
        <f t="shared" si="20"/>
        <v>969.09396492145413</v>
      </c>
      <c r="H317" s="5">
        <f>I317/('Assumptions and Catalog'!$C$11*'Assumptions and Catalog'!$C$12)</f>
        <v>0</v>
      </c>
      <c r="I317" s="5">
        <f>0</f>
        <v>0</v>
      </c>
      <c r="J317" s="5">
        <f t="shared" si="21"/>
        <v>0</v>
      </c>
      <c r="K317" s="5">
        <f t="shared" si="22"/>
        <v>0</v>
      </c>
      <c r="L317" s="5">
        <f t="shared" si="23"/>
        <v>1532.606035078546</v>
      </c>
      <c r="M317" s="5">
        <f>IF(ISNUMBER(Inputs!$L$5),(IF(Inputs!$L$9="Actual flat rate",((D317+E317)*C317)*Inputs!$L$10,IF(Inputs!$C$9="Residential",IF(((D317+E317)*C317)&lt;='Assumptions and Catalog'!$C$50,((D317+E317)*C317)*'Assumptions and Catalog'!$H$50+'Assumptions and Catalog'!$E$50+'Assumptions and Catalog'!$F$50,IF(((D317+E317)*C317)&lt;='Assumptions and Catalog'!$C$51,((D317+E317)*C317)*'Assumptions and Catalog'!$H$51+'Assumptions and Catalog'!$E$51+'Assumptions and Catalog'!$F$51,IF(((D317+E317)*C317)&lt;='Assumptions and Catalog'!$C$52,((D317+E317)*C317)*'Assumptions and Catalog'!$H$52+'Assumptions and Catalog'!$E$52+'Assumptions and Catalog'!$F$52,IF(((D317+E317)*C317)&lt;='Assumptions and Catalog'!$C$53,((D317+E317)*C317)*'Assumptions and Catalog'!$H$53+'Assumptions and Catalog'!$E$53+'Assumptions and Catalog'!$F$53,IF(((D317+E317)*C317)&lt;='Assumptions and Catalog'!$C$54,((D317+E317)*C317)*'Assumptions and Catalog'!$H$54+'Assumptions and Catalog'!$E$54+'Assumptions and Catalog'!$F$54,IF(((D317+E317)*C317)&lt;='Assumptions and Catalog'!$C$55,((D317+E317)*C317)*'Assumptions and Catalog'!$H$55+'Assumptions and Catalog'!$E$55+'Assumptions and Catalog'!$F$55,IF(((D317+E317)*C317)&lt;='Assumptions and Catalog'!$C$56,((D317+E317)*C317)*'Assumptions and Catalog'!$H$56+'Assumptions and Catalog'!$E$56+'Assumptions and Catalog'!$F$56,IF(((D317+E317)*C317)&lt;='Assumptions and Catalog'!$C$57,((D317+E317)*C317)*'Assumptions and Catalog'!$H$57+'Assumptions and Catalog'!$E$57+'Assumptions and Catalog'!$F$57,"Out of range")))))))),IF(((D317+E317)*C317)&lt;='Assumptions and Catalog'!$C$60,((D317+E317)*C317)*'Assumptions and Catalog'!$H$60+'Assumptions and Catalog'!$E$60+'Assumptions and Catalog'!$F$60,IF(((D317+E317)*C317)&lt;='Assumptions and Catalog'!$C$61,((D317+E317)*C317)*'Assumptions and Catalog'!$H$61+'Assumptions and Catalog'!$E$61+'Assumptions and Catalog'!$F$61,IF(((D317+E317)*C317)&lt;='Assumptions and Catalog'!$C$62,((D317+E317)*C317)*'Assumptions and Catalog'!$H$62+'Assumptions and Catalog'!$E$62+'Assumptions and Catalog'!$F$62,IF(((D317+E317)*C317)&lt;='Assumptions and Catalog'!$C$63,((D317+E317)*C317)*'Assumptions and Catalog'!$H$63+'Assumptions and Catalog'!$E$63+'Assumptions and Catalog'!$F$63,IF(((D317+E317)*C317)&lt;='Assumptions and Catalog'!$C$64,((D317+E317)*C317)*'Assumptions and Catalog'!$H$64+'Assumptions and Catalog'!$E$64+'Assumptions and Catalog'!$F$64,IF(((D317+E317)*C317)&lt;='Assumptions and Catalog'!$C$65,((D317+E317)*C317)*'Assumptions and Catalog'!$H$65+'Assumptions and Catalog'!$E$65+'Assumptions and Catalog'!$F$65,"Out of range")))))))))*(1+'Assumptions and Catalog'!$C$8)^(A317-1),0)</f>
        <v>8554.9666666666672</v>
      </c>
      <c r="N317" s="5">
        <f>IF(ISNUMBER(Inputs!$L$5),(IF(Inputs!$L$9="Actual flat rate",L317*Inputs!$L$10,IF(Inputs!$C$9="Residential",IF(L317&lt;='Assumptions and Catalog'!$C$50,L317*'Assumptions and Catalog'!$H$50+'Assumptions and Catalog'!$E$50+'Assumptions and Catalog'!$F$50,IF(L317&lt;='Assumptions and Catalog'!$C$51,L317*'Assumptions and Catalog'!$H$51+'Assumptions and Catalog'!$E$51+'Assumptions and Catalog'!$F$51,IF(L317&lt;='Assumptions and Catalog'!$C$52,L317*'Assumptions and Catalog'!$H$52+'Assumptions and Catalog'!$E$52+'Assumptions and Catalog'!$F$52,IF(L317&lt;='Assumptions and Catalog'!$C$53,L317*'Assumptions and Catalog'!$H$53+'Assumptions and Catalog'!$E$53+'Assumptions and Catalog'!$F$53,IF(L317&lt;='Assumptions and Catalog'!$C$54,L317*'Assumptions and Catalog'!$H$54+'Assumptions and Catalog'!$E$54+'Assumptions and Catalog'!$F$54,IF(L317&lt;='Assumptions and Catalog'!$C$55,L317*'Assumptions and Catalog'!$H$55+'Assumptions and Catalog'!$E$55+'Assumptions and Catalog'!$F$55,IF(L317&lt;='Assumptions and Catalog'!$C$56,L317*'Assumptions and Catalog'!$H$56+'Assumptions and Catalog'!$E$56+'Assumptions and Catalog'!$F$56,IF(L317&lt;='Assumptions and Catalog'!$C$57,L317*'Assumptions and Catalog'!$H$57+'Assumptions and Catalog'!$E$57+'Assumptions and Catalog'!$F$57,"Out of range")))))))),IF(L317&lt;='Assumptions and Catalog'!$C$60,L317*'Assumptions and Catalog'!$H$60+'Assumptions and Catalog'!$E$60+'Assumptions and Catalog'!$F$60,IF(L317&lt;='Assumptions and Catalog'!$C$61,L317*'Assumptions and Catalog'!$H$61+'Assumptions and Catalog'!$E$61+'Assumptions and Catalog'!$F$61,IF(L317&lt;='Assumptions and Catalog'!$C$62,L317*'Assumptions and Catalog'!$H$62+'Assumptions and Catalog'!$E$62+'Assumptions and Catalog'!$F$62,IF(L317&lt;='Assumptions and Catalog'!$C$63,L317*'Assumptions and Catalog'!$H$63+'Assumptions and Catalog'!$E$63+'Assumptions and Catalog'!$F$63,IF(L317&lt;='Assumptions and Catalog'!$C$64,L317*'Assumptions and Catalog'!$H$64+'Assumptions and Catalog'!$E$64+'Assumptions and Catalog'!$F$64,IF(L317&lt;='Assumptions and Catalog'!$C$65,L317*'Assumptions and Catalog'!$H$65+'Assumptions and Catalog'!$E$65+'Assumptions and Catalog'!$F$65,"Out of range")))))))))*(1+'Assumptions and Catalog'!$C$8)^(A317-1),0)</f>
        <v>5240.993541683305</v>
      </c>
      <c r="O317" s="5">
        <f t="shared" si="24"/>
        <v>3313.9731249833621</v>
      </c>
      <c r="P317" s="5">
        <f>C$55*(1-J$14)*(1-'Assumptions and Catalog'!$C$23)^R317</f>
        <v>0</v>
      </c>
      <c r="Q317" s="5">
        <f>IF(ISNUMBER(Inputs!$L$5),(IF(Inputs!$L$9="Actual flat rate",((D317+E317)*C317-G317)*Inputs!$L$10,IF(Inputs!$C$9="Residential",IF(((D317+E317)*C317-G317)&lt;='Assumptions and Catalog'!$C$50,((D317+E317)*C317-G317)*'Assumptions and Catalog'!$H$50+'Assumptions and Catalog'!$E$50+'Assumptions and Catalog'!$F$50,IF(((D317+E317)*C317-G317)&lt;='Assumptions and Catalog'!$C$51,((D317+E317)*C317-G317)*'Assumptions and Catalog'!$H$51+'Assumptions and Catalog'!$E$51+'Assumptions and Catalog'!$F$51,IF(((D317+E317)*C317-G317)&lt;='Assumptions and Catalog'!$C$52,((D317+E317)*C317-G317)*'Assumptions and Catalog'!$H$52+'Assumptions and Catalog'!$E$52+'Assumptions and Catalog'!$F$52,IF(((D317+E317)*C317-G317)&lt;='Assumptions and Catalog'!$C$53,((D317+E317)*C317-G317)*'Assumptions and Catalog'!$H$53+'Assumptions and Catalog'!$E$53+'Assumptions and Catalog'!$F$53,IF(((D317+E317)*C317-G317)&lt;='Assumptions and Catalog'!$C$54,((D317+E317)*C317-G317)*'Assumptions and Catalog'!$H$54+'Assumptions and Catalog'!$E$54+'Assumptions and Catalog'!$F$54,IF(((D317+E317)*C317-G317)&lt;='Assumptions and Catalog'!$C$55,((D317+E317)*C317-G317)*'Assumptions and Catalog'!$H$55+'Assumptions and Catalog'!$E$55+'Assumptions and Catalog'!$F$55,IF(((D317+E317)*C317-G317)&lt;='Assumptions and Catalog'!$C$56,((D317+E317)*C317-G317)*'Assumptions and Catalog'!$H$56+'Assumptions and Catalog'!$E$56+'Assumptions and Catalog'!$F$56,IF(((D317+E317)*C317-G317)&lt;='Assumptions and Catalog'!$C$57,((D317+E317)*C317-G317)*'Assumptions and Catalog'!$H$57+'Assumptions and Catalog'!$E$57+'Assumptions and Catalog'!$F$57,"Out of range")))))))),IF(((D317+E317)*C317-G317)&lt;='Assumptions and Catalog'!$C$60,((D317+E317)*C317-G317)*'Assumptions and Catalog'!$H$60+'Assumptions and Catalog'!$E$60+'Assumptions and Catalog'!$F$60,IF(((D317+E317)*C317-G317)&lt;='Assumptions and Catalog'!$C$61,((D317+E317)*C317-G317)*'Assumptions and Catalog'!$H$61+'Assumptions and Catalog'!$E$61+'Assumptions and Catalog'!$F$61,IF(((D317+E317)*C317-G317)&lt;='Assumptions and Catalog'!$C$62,((D317+E317)*C317-G317)*'Assumptions and Catalog'!$H$62+'Assumptions and Catalog'!$E$62+'Assumptions and Catalog'!$F$62,IF(((D317+E317)*C317-G317)&lt;='Assumptions and Catalog'!$C$63,((D317+E317)*C317-G317)*'Assumptions and Catalog'!$H$63+'Assumptions and Catalog'!$E$63+'Assumptions and Catalog'!$F$63,IF(((D317+E317)*C317-G317)&lt;='Assumptions and Catalog'!$C$64,((D317+E317)*C317-G317)*'Assumptions and Catalog'!$H$64+'Assumptions and Catalog'!$E$64+'Assumptions and Catalog'!$F$64,IF(((D317+E317)*C317-G317)&lt;='Assumptions and Catalog'!$C$65,((D317+E317)*C317-G317)*'Assumptions and Catalog'!$H$65+'Assumptions and Catalog'!$E$65+'Assumptions and Catalog'!$F$65,"Out of range")))))))))*(1+'Assumptions and Catalog'!$C$8)^(A317-1),0)</f>
        <v>5240.993541683305</v>
      </c>
      <c r="R317" s="5">
        <f>IF(AND('Assumptions and Catalog'!$C$19&gt;0,A317&gt;='Assumptions and Catalog'!$C$19),A317-'Assumptions and Catalog'!$C$19,A317-1)</f>
        <v>3</v>
      </c>
      <c r="S317" s="5">
        <f t="shared" si="25"/>
        <v>0</v>
      </c>
      <c r="T317" s="5"/>
      <c r="U317" s="5"/>
    </row>
    <row r="318" spans="1:21" ht="23.1" customHeight="1" outlineLevel="1" x14ac:dyDescent="0.2">
      <c r="A318" s="5">
        <v>14</v>
      </c>
      <c r="B318" s="5">
        <v>2</v>
      </c>
      <c r="C318" s="5">
        <f>DAY(DATE('Assumptions and Catalog'!$C$24+A318-1,B318+1,0))</f>
        <v>29</v>
      </c>
      <c r="D318" s="5">
        <f>IF(ISNUMBER(Inputs!$L$5),Inputs!$L$5*Inputs!$L$6,0)</f>
        <v>40.35</v>
      </c>
      <c r="E318" s="5">
        <f>IF(ISNUMBER(Inputs!$L$5),Inputs!$L$5-D318,0)</f>
        <v>40.35</v>
      </c>
      <c r="F318" s="5">
        <f>C$51*'Assumptions and Catalog'!$C$31*C318*(1-'Assumptions and Catalog'!$C$10)^(A318-1)</f>
        <v>906.57177363619894</v>
      </c>
      <c r="G318" s="5">
        <f t="shared" si="20"/>
        <v>906.57177363619894</v>
      </c>
      <c r="H318" s="5">
        <f>I318/('Assumptions and Catalog'!$C$11*'Assumptions and Catalog'!$C$12)</f>
        <v>0</v>
      </c>
      <c r="I318" s="5">
        <f>0</f>
        <v>0</v>
      </c>
      <c r="J318" s="5">
        <f t="shared" si="21"/>
        <v>0</v>
      </c>
      <c r="K318" s="5">
        <f t="shared" si="22"/>
        <v>0</v>
      </c>
      <c r="L318" s="5">
        <f t="shared" si="23"/>
        <v>1433.7282263638012</v>
      </c>
      <c r="M318" s="5">
        <f>IF(ISNUMBER(Inputs!$L$5),(IF(Inputs!$L$9="Actual flat rate",((D318+E318)*C318)*Inputs!$L$10,IF(Inputs!$C$9="Residential",IF(((D318+E318)*C318)&lt;='Assumptions and Catalog'!$C$50,((D318+E318)*C318)*'Assumptions and Catalog'!$H$50+'Assumptions and Catalog'!$E$50+'Assumptions and Catalog'!$F$50,IF(((D318+E318)*C318)&lt;='Assumptions and Catalog'!$C$51,((D318+E318)*C318)*'Assumptions and Catalog'!$H$51+'Assumptions and Catalog'!$E$51+'Assumptions and Catalog'!$F$51,IF(((D318+E318)*C318)&lt;='Assumptions and Catalog'!$C$52,((D318+E318)*C318)*'Assumptions and Catalog'!$H$52+'Assumptions and Catalog'!$E$52+'Assumptions and Catalog'!$F$52,IF(((D318+E318)*C318)&lt;='Assumptions and Catalog'!$C$53,((D318+E318)*C318)*'Assumptions and Catalog'!$H$53+'Assumptions and Catalog'!$E$53+'Assumptions and Catalog'!$F$53,IF(((D318+E318)*C318)&lt;='Assumptions and Catalog'!$C$54,((D318+E318)*C318)*'Assumptions and Catalog'!$H$54+'Assumptions and Catalog'!$E$54+'Assumptions and Catalog'!$F$54,IF(((D318+E318)*C318)&lt;='Assumptions and Catalog'!$C$55,((D318+E318)*C318)*'Assumptions and Catalog'!$H$55+'Assumptions and Catalog'!$E$55+'Assumptions and Catalog'!$F$55,IF(((D318+E318)*C318)&lt;='Assumptions and Catalog'!$C$56,((D318+E318)*C318)*'Assumptions and Catalog'!$H$56+'Assumptions and Catalog'!$E$56+'Assumptions and Catalog'!$F$56,IF(((D318+E318)*C318)&lt;='Assumptions and Catalog'!$C$57,((D318+E318)*C318)*'Assumptions and Catalog'!$H$57+'Assumptions and Catalog'!$E$57+'Assumptions and Catalog'!$F$57,"Out of range")))))))),IF(((D318+E318)*C318)&lt;='Assumptions and Catalog'!$C$60,((D318+E318)*C318)*'Assumptions and Catalog'!$H$60+'Assumptions and Catalog'!$E$60+'Assumptions and Catalog'!$F$60,IF(((D318+E318)*C318)&lt;='Assumptions and Catalog'!$C$61,((D318+E318)*C318)*'Assumptions and Catalog'!$H$61+'Assumptions and Catalog'!$E$61+'Assumptions and Catalog'!$F$61,IF(((D318+E318)*C318)&lt;='Assumptions and Catalog'!$C$62,((D318+E318)*C318)*'Assumptions and Catalog'!$H$62+'Assumptions and Catalog'!$E$62+'Assumptions and Catalog'!$F$62,IF(((D318+E318)*C318)&lt;='Assumptions and Catalog'!$C$63,((D318+E318)*C318)*'Assumptions and Catalog'!$H$63+'Assumptions and Catalog'!$E$63+'Assumptions and Catalog'!$F$63,IF(((D318+E318)*C318)&lt;='Assumptions and Catalog'!$C$64,((D318+E318)*C318)*'Assumptions and Catalog'!$H$64+'Assumptions and Catalog'!$E$64+'Assumptions and Catalog'!$F$64,IF(((D318+E318)*C318)&lt;='Assumptions and Catalog'!$C$65,((D318+E318)*C318)*'Assumptions and Catalog'!$H$65+'Assumptions and Catalog'!$E$65+'Assumptions and Catalog'!$F$65,"Out of range")))))))))*(1+'Assumptions and Catalog'!$C$8)^(A318-1),0)</f>
        <v>8003.0333333333338</v>
      </c>
      <c r="N318" s="5">
        <f>IF(ISNUMBER(Inputs!$L$5),(IF(Inputs!$L$9="Actual flat rate",L318*Inputs!$L$10,IF(Inputs!$C$9="Residential",IF(L318&lt;='Assumptions and Catalog'!$C$50,L318*'Assumptions and Catalog'!$H$50+'Assumptions and Catalog'!$E$50+'Assumptions and Catalog'!$F$50,IF(L318&lt;='Assumptions and Catalog'!$C$51,L318*'Assumptions and Catalog'!$H$51+'Assumptions and Catalog'!$E$51+'Assumptions and Catalog'!$F$51,IF(L318&lt;='Assumptions and Catalog'!$C$52,L318*'Assumptions and Catalog'!$H$52+'Assumptions and Catalog'!$E$52+'Assumptions and Catalog'!$F$52,IF(L318&lt;='Assumptions and Catalog'!$C$53,L318*'Assumptions and Catalog'!$H$53+'Assumptions and Catalog'!$E$53+'Assumptions and Catalog'!$F$53,IF(L318&lt;='Assumptions and Catalog'!$C$54,L318*'Assumptions and Catalog'!$H$54+'Assumptions and Catalog'!$E$54+'Assumptions and Catalog'!$F$54,IF(L318&lt;='Assumptions and Catalog'!$C$55,L318*'Assumptions and Catalog'!$H$55+'Assumptions and Catalog'!$E$55+'Assumptions and Catalog'!$F$55,IF(L318&lt;='Assumptions and Catalog'!$C$56,L318*'Assumptions and Catalog'!$H$56+'Assumptions and Catalog'!$E$56+'Assumptions and Catalog'!$F$56,IF(L318&lt;='Assumptions and Catalog'!$C$57,L318*'Assumptions and Catalog'!$H$57+'Assumptions and Catalog'!$E$57+'Assumptions and Catalog'!$F$57,"Out of range")))))))),IF(L318&lt;='Assumptions and Catalog'!$C$60,L318*'Assumptions and Catalog'!$H$60+'Assumptions and Catalog'!$E$60+'Assumptions and Catalog'!$F$60,IF(L318&lt;='Assumptions and Catalog'!$C$61,L318*'Assumptions and Catalog'!$H$61+'Assumptions and Catalog'!$E$61+'Assumptions and Catalog'!$F$61,IF(L318&lt;='Assumptions and Catalog'!$C$62,L318*'Assumptions and Catalog'!$H$62+'Assumptions and Catalog'!$E$62+'Assumptions and Catalog'!$F$62,IF(L318&lt;='Assumptions and Catalog'!$C$63,L318*'Assumptions and Catalog'!$H$63+'Assumptions and Catalog'!$E$63+'Assumptions and Catalog'!$F$63,IF(L318&lt;='Assumptions and Catalog'!$C$64,L318*'Assumptions and Catalog'!$H$64+'Assumptions and Catalog'!$E$64+'Assumptions and Catalog'!$F$64,IF(L318&lt;='Assumptions and Catalog'!$C$65,L318*'Assumptions and Catalog'!$H$65+'Assumptions and Catalog'!$E$65+'Assumptions and Catalog'!$F$65,"Out of range")))))))))*(1+'Assumptions and Catalog'!$C$8)^(A318-1),0)</f>
        <v>4902.8649260908342</v>
      </c>
      <c r="O318" s="5">
        <f t="shared" si="24"/>
        <v>3100.1684072424996</v>
      </c>
      <c r="P318" s="5">
        <f>C$55*(1-J$14)*(1-'Assumptions and Catalog'!$C$23)^R318</f>
        <v>0</v>
      </c>
      <c r="Q318" s="5">
        <f>IF(ISNUMBER(Inputs!$L$5),(IF(Inputs!$L$9="Actual flat rate",((D318+E318)*C318-G318)*Inputs!$L$10,IF(Inputs!$C$9="Residential",IF(((D318+E318)*C318-G318)&lt;='Assumptions and Catalog'!$C$50,((D318+E318)*C318-G318)*'Assumptions and Catalog'!$H$50+'Assumptions and Catalog'!$E$50+'Assumptions and Catalog'!$F$50,IF(((D318+E318)*C318-G318)&lt;='Assumptions and Catalog'!$C$51,((D318+E318)*C318-G318)*'Assumptions and Catalog'!$H$51+'Assumptions and Catalog'!$E$51+'Assumptions and Catalog'!$F$51,IF(((D318+E318)*C318-G318)&lt;='Assumptions and Catalog'!$C$52,((D318+E318)*C318-G318)*'Assumptions and Catalog'!$H$52+'Assumptions and Catalog'!$E$52+'Assumptions and Catalog'!$F$52,IF(((D318+E318)*C318-G318)&lt;='Assumptions and Catalog'!$C$53,((D318+E318)*C318-G318)*'Assumptions and Catalog'!$H$53+'Assumptions and Catalog'!$E$53+'Assumptions and Catalog'!$F$53,IF(((D318+E318)*C318-G318)&lt;='Assumptions and Catalog'!$C$54,((D318+E318)*C318-G318)*'Assumptions and Catalog'!$H$54+'Assumptions and Catalog'!$E$54+'Assumptions and Catalog'!$F$54,IF(((D318+E318)*C318-G318)&lt;='Assumptions and Catalog'!$C$55,((D318+E318)*C318-G318)*'Assumptions and Catalog'!$H$55+'Assumptions and Catalog'!$E$55+'Assumptions and Catalog'!$F$55,IF(((D318+E318)*C318-G318)&lt;='Assumptions and Catalog'!$C$56,((D318+E318)*C318-G318)*'Assumptions and Catalog'!$H$56+'Assumptions and Catalog'!$E$56+'Assumptions and Catalog'!$F$56,IF(((D318+E318)*C318-G318)&lt;='Assumptions and Catalog'!$C$57,((D318+E318)*C318-G318)*'Assumptions and Catalog'!$H$57+'Assumptions and Catalog'!$E$57+'Assumptions and Catalog'!$F$57,"Out of range")))))))),IF(((D318+E318)*C318-G318)&lt;='Assumptions and Catalog'!$C$60,((D318+E318)*C318-G318)*'Assumptions and Catalog'!$H$60+'Assumptions and Catalog'!$E$60+'Assumptions and Catalog'!$F$60,IF(((D318+E318)*C318-G318)&lt;='Assumptions and Catalog'!$C$61,((D318+E318)*C318-G318)*'Assumptions and Catalog'!$H$61+'Assumptions and Catalog'!$E$61+'Assumptions and Catalog'!$F$61,IF(((D318+E318)*C318-G318)&lt;='Assumptions and Catalog'!$C$62,((D318+E318)*C318-G318)*'Assumptions and Catalog'!$H$62+'Assumptions and Catalog'!$E$62+'Assumptions and Catalog'!$F$62,IF(((D318+E318)*C318-G318)&lt;='Assumptions and Catalog'!$C$63,((D318+E318)*C318-G318)*'Assumptions and Catalog'!$H$63+'Assumptions and Catalog'!$E$63+'Assumptions and Catalog'!$F$63,IF(((D318+E318)*C318-G318)&lt;='Assumptions and Catalog'!$C$64,((D318+E318)*C318-G318)*'Assumptions and Catalog'!$H$64+'Assumptions and Catalog'!$E$64+'Assumptions and Catalog'!$F$64,IF(((D318+E318)*C318-G318)&lt;='Assumptions and Catalog'!$C$65,((D318+E318)*C318-G318)*'Assumptions and Catalog'!$H$65+'Assumptions and Catalog'!$E$65+'Assumptions and Catalog'!$F$65,"Out of range")))))))))*(1+'Assumptions and Catalog'!$C$8)^(A318-1),0)</f>
        <v>4902.8649260908342</v>
      </c>
      <c r="R318" s="5">
        <f>IF(AND('Assumptions and Catalog'!$C$19&gt;0,A318&gt;='Assumptions and Catalog'!$C$19),A318-'Assumptions and Catalog'!$C$19,A318-1)</f>
        <v>3</v>
      </c>
      <c r="S318" s="5">
        <f t="shared" si="25"/>
        <v>0</v>
      </c>
      <c r="T318" s="5"/>
      <c r="U318" s="5"/>
    </row>
    <row r="319" spans="1:21" ht="23.1" customHeight="1" outlineLevel="1" x14ac:dyDescent="0.2">
      <c r="A319" s="5">
        <v>14</v>
      </c>
      <c r="B319" s="5">
        <v>3</v>
      </c>
      <c r="C319" s="5">
        <f>DAY(DATE('Assumptions and Catalog'!$C$24+A319-1,B319+1,0))</f>
        <v>31</v>
      </c>
      <c r="D319" s="5">
        <f>IF(ISNUMBER(Inputs!$L$5),Inputs!$L$5*Inputs!$L$6,0)</f>
        <v>40.35</v>
      </c>
      <c r="E319" s="5">
        <f>IF(ISNUMBER(Inputs!$L$5),Inputs!$L$5-D319,0)</f>
        <v>40.35</v>
      </c>
      <c r="F319" s="5">
        <f>C$51*'Assumptions and Catalog'!$C$31*C319*(1-'Assumptions and Catalog'!$C$10)^(A319-1)</f>
        <v>969.09396492145413</v>
      </c>
      <c r="G319" s="5">
        <f t="shared" si="20"/>
        <v>969.09396492145413</v>
      </c>
      <c r="H319" s="5">
        <f>I319/('Assumptions and Catalog'!$C$11*'Assumptions and Catalog'!$C$12)</f>
        <v>0</v>
      </c>
      <c r="I319" s="5">
        <f>0</f>
        <v>0</v>
      </c>
      <c r="J319" s="5">
        <f t="shared" si="21"/>
        <v>0</v>
      </c>
      <c r="K319" s="5">
        <f t="shared" si="22"/>
        <v>0</v>
      </c>
      <c r="L319" s="5">
        <f t="shared" si="23"/>
        <v>1532.606035078546</v>
      </c>
      <c r="M319" s="5">
        <f>IF(ISNUMBER(Inputs!$L$5),(IF(Inputs!$L$9="Actual flat rate",((D319+E319)*C319)*Inputs!$L$10,IF(Inputs!$C$9="Residential",IF(((D319+E319)*C319)&lt;='Assumptions and Catalog'!$C$50,((D319+E319)*C319)*'Assumptions and Catalog'!$H$50+'Assumptions and Catalog'!$E$50+'Assumptions and Catalog'!$F$50,IF(((D319+E319)*C319)&lt;='Assumptions and Catalog'!$C$51,((D319+E319)*C319)*'Assumptions and Catalog'!$H$51+'Assumptions and Catalog'!$E$51+'Assumptions and Catalog'!$F$51,IF(((D319+E319)*C319)&lt;='Assumptions and Catalog'!$C$52,((D319+E319)*C319)*'Assumptions and Catalog'!$H$52+'Assumptions and Catalog'!$E$52+'Assumptions and Catalog'!$F$52,IF(((D319+E319)*C319)&lt;='Assumptions and Catalog'!$C$53,((D319+E319)*C319)*'Assumptions and Catalog'!$H$53+'Assumptions and Catalog'!$E$53+'Assumptions and Catalog'!$F$53,IF(((D319+E319)*C319)&lt;='Assumptions and Catalog'!$C$54,((D319+E319)*C319)*'Assumptions and Catalog'!$H$54+'Assumptions and Catalog'!$E$54+'Assumptions and Catalog'!$F$54,IF(((D319+E319)*C319)&lt;='Assumptions and Catalog'!$C$55,((D319+E319)*C319)*'Assumptions and Catalog'!$H$55+'Assumptions and Catalog'!$E$55+'Assumptions and Catalog'!$F$55,IF(((D319+E319)*C319)&lt;='Assumptions and Catalog'!$C$56,((D319+E319)*C319)*'Assumptions and Catalog'!$H$56+'Assumptions and Catalog'!$E$56+'Assumptions and Catalog'!$F$56,IF(((D319+E319)*C319)&lt;='Assumptions and Catalog'!$C$57,((D319+E319)*C319)*'Assumptions and Catalog'!$H$57+'Assumptions and Catalog'!$E$57+'Assumptions and Catalog'!$F$57,"Out of range")))))))),IF(((D319+E319)*C319)&lt;='Assumptions and Catalog'!$C$60,((D319+E319)*C319)*'Assumptions and Catalog'!$H$60+'Assumptions and Catalog'!$E$60+'Assumptions and Catalog'!$F$60,IF(((D319+E319)*C319)&lt;='Assumptions and Catalog'!$C$61,((D319+E319)*C319)*'Assumptions and Catalog'!$H$61+'Assumptions and Catalog'!$E$61+'Assumptions and Catalog'!$F$61,IF(((D319+E319)*C319)&lt;='Assumptions and Catalog'!$C$62,((D319+E319)*C319)*'Assumptions and Catalog'!$H$62+'Assumptions and Catalog'!$E$62+'Assumptions and Catalog'!$F$62,IF(((D319+E319)*C319)&lt;='Assumptions and Catalog'!$C$63,((D319+E319)*C319)*'Assumptions and Catalog'!$H$63+'Assumptions and Catalog'!$E$63+'Assumptions and Catalog'!$F$63,IF(((D319+E319)*C319)&lt;='Assumptions and Catalog'!$C$64,((D319+E319)*C319)*'Assumptions and Catalog'!$H$64+'Assumptions and Catalog'!$E$64+'Assumptions and Catalog'!$F$64,IF(((D319+E319)*C319)&lt;='Assumptions and Catalog'!$C$65,((D319+E319)*C319)*'Assumptions and Catalog'!$H$65+'Assumptions and Catalog'!$E$65+'Assumptions and Catalog'!$F$65,"Out of range")))))))))*(1+'Assumptions and Catalog'!$C$8)^(A319-1),0)</f>
        <v>8554.9666666666672</v>
      </c>
      <c r="N319" s="5">
        <f>IF(ISNUMBER(Inputs!$L$5),(IF(Inputs!$L$9="Actual flat rate",L319*Inputs!$L$10,IF(Inputs!$C$9="Residential",IF(L319&lt;='Assumptions and Catalog'!$C$50,L319*'Assumptions and Catalog'!$H$50+'Assumptions and Catalog'!$E$50+'Assumptions and Catalog'!$F$50,IF(L319&lt;='Assumptions and Catalog'!$C$51,L319*'Assumptions and Catalog'!$H$51+'Assumptions and Catalog'!$E$51+'Assumptions and Catalog'!$F$51,IF(L319&lt;='Assumptions and Catalog'!$C$52,L319*'Assumptions and Catalog'!$H$52+'Assumptions and Catalog'!$E$52+'Assumptions and Catalog'!$F$52,IF(L319&lt;='Assumptions and Catalog'!$C$53,L319*'Assumptions and Catalog'!$H$53+'Assumptions and Catalog'!$E$53+'Assumptions and Catalog'!$F$53,IF(L319&lt;='Assumptions and Catalog'!$C$54,L319*'Assumptions and Catalog'!$H$54+'Assumptions and Catalog'!$E$54+'Assumptions and Catalog'!$F$54,IF(L319&lt;='Assumptions and Catalog'!$C$55,L319*'Assumptions and Catalog'!$H$55+'Assumptions and Catalog'!$E$55+'Assumptions and Catalog'!$F$55,IF(L319&lt;='Assumptions and Catalog'!$C$56,L319*'Assumptions and Catalog'!$H$56+'Assumptions and Catalog'!$E$56+'Assumptions and Catalog'!$F$56,IF(L319&lt;='Assumptions and Catalog'!$C$57,L319*'Assumptions and Catalog'!$H$57+'Assumptions and Catalog'!$E$57+'Assumptions and Catalog'!$F$57,"Out of range")))))))),IF(L319&lt;='Assumptions and Catalog'!$C$60,L319*'Assumptions and Catalog'!$H$60+'Assumptions and Catalog'!$E$60+'Assumptions and Catalog'!$F$60,IF(L319&lt;='Assumptions and Catalog'!$C$61,L319*'Assumptions and Catalog'!$H$61+'Assumptions and Catalog'!$E$61+'Assumptions and Catalog'!$F$61,IF(L319&lt;='Assumptions and Catalog'!$C$62,L319*'Assumptions and Catalog'!$H$62+'Assumptions and Catalog'!$E$62+'Assumptions and Catalog'!$F$62,IF(L319&lt;='Assumptions and Catalog'!$C$63,L319*'Assumptions and Catalog'!$H$63+'Assumptions and Catalog'!$E$63+'Assumptions and Catalog'!$F$63,IF(L319&lt;='Assumptions and Catalog'!$C$64,L319*'Assumptions and Catalog'!$H$64+'Assumptions and Catalog'!$E$64+'Assumptions and Catalog'!$F$64,IF(L319&lt;='Assumptions and Catalog'!$C$65,L319*'Assumptions and Catalog'!$H$65+'Assumptions and Catalog'!$E$65+'Assumptions and Catalog'!$F$65,"Out of range")))))))))*(1+'Assumptions and Catalog'!$C$8)^(A319-1),0)</f>
        <v>5240.993541683305</v>
      </c>
      <c r="O319" s="5">
        <f t="shared" si="24"/>
        <v>3313.9731249833621</v>
      </c>
      <c r="P319" s="5">
        <f>C$55*(1-J$14)*(1-'Assumptions and Catalog'!$C$23)^R319</f>
        <v>0</v>
      </c>
      <c r="Q319" s="5">
        <f>IF(ISNUMBER(Inputs!$L$5),(IF(Inputs!$L$9="Actual flat rate",((D319+E319)*C319-G319)*Inputs!$L$10,IF(Inputs!$C$9="Residential",IF(((D319+E319)*C319-G319)&lt;='Assumptions and Catalog'!$C$50,((D319+E319)*C319-G319)*'Assumptions and Catalog'!$H$50+'Assumptions and Catalog'!$E$50+'Assumptions and Catalog'!$F$50,IF(((D319+E319)*C319-G319)&lt;='Assumptions and Catalog'!$C$51,((D319+E319)*C319-G319)*'Assumptions and Catalog'!$H$51+'Assumptions and Catalog'!$E$51+'Assumptions and Catalog'!$F$51,IF(((D319+E319)*C319-G319)&lt;='Assumptions and Catalog'!$C$52,((D319+E319)*C319-G319)*'Assumptions and Catalog'!$H$52+'Assumptions and Catalog'!$E$52+'Assumptions and Catalog'!$F$52,IF(((D319+E319)*C319-G319)&lt;='Assumptions and Catalog'!$C$53,((D319+E319)*C319-G319)*'Assumptions and Catalog'!$H$53+'Assumptions and Catalog'!$E$53+'Assumptions and Catalog'!$F$53,IF(((D319+E319)*C319-G319)&lt;='Assumptions and Catalog'!$C$54,((D319+E319)*C319-G319)*'Assumptions and Catalog'!$H$54+'Assumptions and Catalog'!$E$54+'Assumptions and Catalog'!$F$54,IF(((D319+E319)*C319-G319)&lt;='Assumptions and Catalog'!$C$55,((D319+E319)*C319-G319)*'Assumptions and Catalog'!$H$55+'Assumptions and Catalog'!$E$55+'Assumptions and Catalog'!$F$55,IF(((D319+E319)*C319-G319)&lt;='Assumptions and Catalog'!$C$56,((D319+E319)*C319-G319)*'Assumptions and Catalog'!$H$56+'Assumptions and Catalog'!$E$56+'Assumptions and Catalog'!$F$56,IF(((D319+E319)*C319-G319)&lt;='Assumptions and Catalog'!$C$57,((D319+E319)*C319-G319)*'Assumptions and Catalog'!$H$57+'Assumptions and Catalog'!$E$57+'Assumptions and Catalog'!$F$57,"Out of range")))))))),IF(((D319+E319)*C319-G319)&lt;='Assumptions and Catalog'!$C$60,((D319+E319)*C319-G319)*'Assumptions and Catalog'!$H$60+'Assumptions and Catalog'!$E$60+'Assumptions and Catalog'!$F$60,IF(((D319+E319)*C319-G319)&lt;='Assumptions and Catalog'!$C$61,((D319+E319)*C319-G319)*'Assumptions and Catalog'!$H$61+'Assumptions and Catalog'!$E$61+'Assumptions and Catalog'!$F$61,IF(((D319+E319)*C319-G319)&lt;='Assumptions and Catalog'!$C$62,((D319+E319)*C319-G319)*'Assumptions and Catalog'!$H$62+'Assumptions and Catalog'!$E$62+'Assumptions and Catalog'!$F$62,IF(((D319+E319)*C319-G319)&lt;='Assumptions and Catalog'!$C$63,((D319+E319)*C319-G319)*'Assumptions and Catalog'!$H$63+'Assumptions and Catalog'!$E$63+'Assumptions and Catalog'!$F$63,IF(((D319+E319)*C319-G319)&lt;='Assumptions and Catalog'!$C$64,((D319+E319)*C319-G319)*'Assumptions and Catalog'!$H$64+'Assumptions and Catalog'!$E$64+'Assumptions and Catalog'!$F$64,IF(((D319+E319)*C319-G319)&lt;='Assumptions and Catalog'!$C$65,((D319+E319)*C319-G319)*'Assumptions and Catalog'!$H$65+'Assumptions and Catalog'!$E$65+'Assumptions and Catalog'!$F$65,"Out of range")))))))))*(1+'Assumptions and Catalog'!$C$8)^(A319-1),0)</f>
        <v>5240.993541683305</v>
      </c>
      <c r="R319" s="5">
        <f>IF(AND('Assumptions and Catalog'!$C$19&gt;0,A319&gt;='Assumptions and Catalog'!$C$19),A319-'Assumptions and Catalog'!$C$19,A319-1)</f>
        <v>3</v>
      </c>
      <c r="S319" s="5">
        <f t="shared" si="25"/>
        <v>0</v>
      </c>
      <c r="T319" s="5"/>
      <c r="U319" s="5"/>
    </row>
    <row r="320" spans="1:21" ht="23.1" customHeight="1" outlineLevel="1" x14ac:dyDescent="0.2">
      <c r="A320" s="5">
        <v>14</v>
      </c>
      <c r="B320" s="5">
        <v>4</v>
      </c>
      <c r="C320" s="5">
        <f>DAY(DATE('Assumptions and Catalog'!$C$24+A320-1,B320+1,0))</f>
        <v>30</v>
      </c>
      <c r="D320" s="5">
        <f>IF(ISNUMBER(Inputs!$L$5),Inputs!$L$5*Inputs!$L$6,0)</f>
        <v>40.35</v>
      </c>
      <c r="E320" s="5">
        <f>IF(ISNUMBER(Inputs!$L$5),Inputs!$L$5-D320,0)</f>
        <v>40.35</v>
      </c>
      <c r="F320" s="5">
        <f>C$51*'Assumptions and Catalog'!$C$31*C320*(1-'Assumptions and Catalog'!$C$10)^(A320-1)</f>
        <v>937.83286927882659</v>
      </c>
      <c r="G320" s="5">
        <f t="shared" si="20"/>
        <v>937.83286927882659</v>
      </c>
      <c r="H320" s="5">
        <f>I320/('Assumptions and Catalog'!$C$11*'Assumptions and Catalog'!$C$12)</f>
        <v>0</v>
      </c>
      <c r="I320" s="5">
        <f>0</f>
        <v>0</v>
      </c>
      <c r="J320" s="5">
        <f t="shared" si="21"/>
        <v>0</v>
      </c>
      <c r="K320" s="5">
        <f t="shared" si="22"/>
        <v>0</v>
      </c>
      <c r="L320" s="5">
        <f t="shared" si="23"/>
        <v>1483.1671307211734</v>
      </c>
      <c r="M320" s="5">
        <f>IF(ISNUMBER(Inputs!$L$5),(IF(Inputs!$L$9="Actual flat rate",((D320+E320)*C320)*Inputs!$L$10,IF(Inputs!$C$9="Residential",IF(((D320+E320)*C320)&lt;='Assumptions and Catalog'!$C$50,((D320+E320)*C320)*'Assumptions and Catalog'!$H$50+'Assumptions and Catalog'!$E$50+'Assumptions and Catalog'!$F$50,IF(((D320+E320)*C320)&lt;='Assumptions and Catalog'!$C$51,((D320+E320)*C320)*'Assumptions and Catalog'!$H$51+'Assumptions and Catalog'!$E$51+'Assumptions and Catalog'!$F$51,IF(((D320+E320)*C320)&lt;='Assumptions and Catalog'!$C$52,((D320+E320)*C320)*'Assumptions and Catalog'!$H$52+'Assumptions and Catalog'!$E$52+'Assumptions and Catalog'!$F$52,IF(((D320+E320)*C320)&lt;='Assumptions and Catalog'!$C$53,((D320+E320)*C320)*'Assumptions and Catalog'!$H$53+'Assumptions and Catalog'!$E$53+'Assumptions and Catalog'!$F$53,IF(((D320+E320)*C320)&lt;='Assumptions and Catalog'!$C$54,((D320+E320)*C320)*'Assumptions and Catalog'!$H$54+'Assumptions and Catalog'!$E$54+'Assumptions and Catalog'!$F$54,IF(((D320+E320)*C320)&lt;='Assumptions and Catalog'!$C$55,((D320+E320)*C320)*'Assumptions and Catalog'!$H$55+'Assumptions and Catalog'!$E$55+'Assumptions and Catalog'!$F$55,IF(((D320+E320)*C320)&lt;='Assumptions and Catalog'!$C$56,((D320+E320)*C320)*'Assumptions and Catalog'!$H$56+'Assumptions and Catalog'!$E$56+'Assumptions and Catalog'!$F$56,IF(((D320+E320)*C320)&lt;='Assumptions and Catalog'!$C$57,((D320+E320)*C320)*'Assumptions and Catalog'!$H$57+'Assumptions and Catalog'!$E$57+'Assumptions and Catalog'!$F$57,"Out of range")))))))),IF(((D320+E320)*C320)&lt;='Assumptions and Catalog'!$C$60,((D320+E320)*C320)*'Assumptions and Catalog'!$H$60+'Assumptions and Catalog'!$E$60+'Assumptions and Catalog'!$F$60,IF(((D320+E320)*C320)&lt;='Assumptions and Catalog'!$C$61,((D320+E320)*C320)*'Assumptions and Catalog'!$H$61+'Assumptions and Catalog'!$E$61+'Assumptions and Catalog'!$F$61,IF(((D320+E320)*C320)&lt;='Assumptions and Catalog'!$C$62,((D320+E320)*C320)*'Assumptions and Catalog'!$H$62+'Assumptions and Catalog'!$E$62+'Assumptions and Catalog'!$F$62,IF(((D320+E320)*C320)&lt;='Assumptions and Catalog'!$C$63,((D320+E320)*C320)*'Assumptions and Catalog'!$H$63+'Assumptions and Catalog'!$E$63+'Assumptions and Catalog'!$F$63,IF(((D320+E320)*C320)&lt;='Assumptions and Catalog'!$C$64,((D320+E320)*C320)*'Assumptions and Catalog'!$H$64+'Assumptions and Catalog'!$E$64+'Assumptions and Catalog'!$F$64,IF(((D320+E320)*C320)&lt;='Assumptions and Catalog'!$C$65,((D320+E320)*C320)*'Assumptions and Catalog'!$H$65+'Assumptions and Catalog'!$E$65+'Assumptions and Catalog'!$F$65,"Out of range")))))))))*(1+'Assumptions and Catalog'!$C$8)^(A320-1),0)</f>
        <v>8279</v>
      </c>
      <c r="N320" s="5">
        <f>IF(ISNUMBER(Inputs!$L$5),(IF(Inputs!$L$9="Actual flat rate",L320*Inputs!$L$10,IF(Inputs!$C$9="Residential",IF(L320&lt;='Assumptions and Catalog'!$C$50,L320*'Assumptions and Catalog'!$H$50+'Assumptions and Catalog'!$E$50+'Assumptions and Catalog'!$F$50,IF(L320&lt;='Assumptions and Catalog'!$C$51,L320*'Assumptions and Catalog'!$H$51+'Assumptions and Catalog'!$E$51+'Assumptions and Catalog'!$F$51,IF(L320&lt;='Assumptions and Catalog'!$C$52,L320*'Assumptions and Catalog'!$H$52+'Assumptions and Catalog'!$E$52+'Assumptions and Catalog'!$F$52,IF(L320&lt;='Assumptions and Catalog'!$C$53,L320*'Assumptions and Catalog'!$H$53+'Assumptions and Catalog'!$E$53+'Assumptions and Catalog'!$F$53,IF(L320&lt;='Assumptions and Catalog'!$C$54,L320*'Assumptions and Catalog'!$H$54+'Assumptions and Catalog'!$E$54+'Assumptions and Catalog'!$F$54,IF(L320&lt;='Assumptions and Catalog'!$C$55,L320*'Assumptions and Catalog'!$H$55+'Assumptions and Catalog'!$E$55+'Assumptions and Catalog'!$F$55,IF(L320&lt;='Assumptions and Catalog'!$C$56,L320*'Assumptions and Catalog'!$H$56+'Assumptions and Catalog'!$E$56+'Assumptions and Catalog'!$F$56,IF(L320&lt;='Assumptions and Catalog'!$C$57,L320*'Assumptions and Catalog'!$H$57+'Assumptions and Catalog'!$E$57+'Assumptions and Catalog'!$F$57,"Out of range")))))))),IF(L320&lt;='Assumptions and Catalog'!$C$60,L320*'Assumptions and Catalog'!$H$60+'Assumptions and Catalog'!$E$60+'Assumptions and Catalog'!$F$60,IF(L320&lt;='Assumptions and Catalog'!$C$61,L320*'Assumptions and Catalog'!$H$61+'Assumptions and Catalog'!$E$61+'Assumptions and Catalog'!$F$61,IF(L320&lt;='Assumptions and Catalog'!$C$62,L320*'Assumptions and Catalog'!$H$62+'Assumptions and Catalog'!$E$62+'Assumptions and Catalog'!$F$62,IF(L320&lt;='Assumptions and Catalog'!$C$63,L320*'Assumptions and Catalog'!$H$63+'Assumptions and Catalog'!$E$63+'Assumptions and Catalog'!$F$63,IF(L320&lt;='Assumptions and Catalog'!$C$64,L320*'Assumptions and Catalog'!$H$64+'Assumptions and Catalog'!$E$64+'Assumptions and Catalog'!$F$64,IF(L320&lt;='Assumptions and Catalog'!$C$65,L320*'Assumptions and Catalog'!$H$65+'Assumptions and Catalog'!$E$65+'Assumptions and Catalog'!$F$65,"Out of range")))))))))*(1+'Assumptions and Catalog'!$C$8)^(A320-1),0)</f>
        <v>5071.9292338870691</v>
      </c>
      <c r="O320" s="5">
        <f t="shared" si="24"/>
        <v>3207.0707661129309</v>
      </c>
      <c r="P320" s="5">
        <f>C$55*(1-J$14)*(1-'Assumptions and Catalog'!$C$23)^R320</f>
        <v>0</v>
      </c>
      <c r="Q320" s="5">
        <f>IF(ISNUMBER(Inputs!$L$5),(IF(Inputs!$L$9="Actual flat rate",((D320+E320)*C320-G320)*Inputs!$L$10,IF(Inputs!$C$9="Residential",IF(((D320+E320)*C320-G320)&lt;='Assumptions and Catalog'!$C$50,((D320+E320)*C320-G320)*'Assumptions and Catalog'!$H$50+'Assumptions and Catalog'!$E$50+'Assumptions and Catalog'!$F$50,IF(((D320+E320)*C320-G320)&lt;='Assumptions and Catalog'!$C$51,((D320+E320)*C320-G320)*'Assumptions and Catalog'!$H$51+'Assumptions and Catalog'!$E$51+'Assumptions and Catalog'!$F$51,IF(((D320+E320)*C320-G320)&lt;='Assumptions and Catalog'!$C$52,((D320+E320)*C320-G320)*'Assumptions and Catalog'!$H$52+'Assumptions and Catalog'!$E$52+'Assumptions and Catalog'!$F$52,IF(((D320+E320)*C320-G320)&lt;='Assumptions and Catalog'!$C$53,((D320+E320)*C320-G320)*'Assumptions and Catalog'!$H$53+'Assumptions and Catalog'!$E$53+'Assumptions and Catalog'!$F$53,IF(((D320+E320)*C320-G320)&lt;='Assumptions and Catalog'!$C$54,((D320+E320)*C320-G320)*'Assumptions and Catalog'!$H$54+'Assumptions and Catalog'!$E$54+'Assumptions and Catalog'!$F$54,IF(((D320+E320)*C320-G320)&lt;='Assumptions and Catalog'!$C$55,((D320+E320)*C320-G320)*'Assumptions and Catalog'!$H$55+'Assumptions and Catalog'!$E$55+'Assumptions and Catalog'!$F$55,IF(((D320+E320)*C320-G320)&lt;='Assumptions and Catalog'!$C$56,((D320+E320)*C320-G320)*'Assumptions and Catalog'!$H$56+'Assumptions and Catalog'!$E$56+'Assumptions and Catalog'!$F$56,IF(((D320+E320)*C320-G320)&lt;='Assumptions and Catalog'!$C$57,((D320+E320)*C320-G320)*'Assumptions and Catalog'!$H$57+'Assumptions and Catalog'!$E$57+'Assumptions and Catalog'!$F$57,"Out of range")))))))),IF(((D320+E320)*C320-G320)&lt;='Assumptions and Catalog'!$C$60,((D320+E320)*C320-G320)*'Assumptions and Catalog'!$H$60+'Assumptions and Catalog'!$E$60+'Assumptions and Catalog'!$F$60,IF(((D320+E320)*C320-G320)&lt;='Assumptions and Catalog'!$C$61,((D320+E320)*C320-G320)*'Assumptions and Catalog'!$H$61+'Assumptions and Catalog'!$E$61+'Assumptions and Catalog'!$F$61,IF(((D320+E320)*C320-G320)&lt;='Assumptions and Catalog'!$C$62,((D320+E320)*C320-G320)*'Assumptions and Catalog'!$H$62+'Assumptions and Catalog'!$E$62+'Assumptions and Catalog'!$F$62,IF(((D320+E320)*C320-G320)&lt;='Assumptions and Catalog'!$C$63,((D320+E320)*C320-G320)*'Assumptions and Catalog'!$H$63+'Assumptions and Catalog'!$E$63+'Assumptions and Catalog'!$F$63,IF(((D320+E320)*C320-G320)&lt;='Assumptions and Catalog'!$C$64,((D320+E320)*C320-G320)*'Assumptions and Catalog'!$H$64+'Assumptions and Catalog'!$E$64+'Assumptions and Catalog'!$F$64,IF(((D320+E320)*C320-G320)&lt;='Assumptions and Catalog'!$C$65,((D320+E320)*C320-G320)*'Assumptions and Catalog'!$H$65+'Assumptions and Catalog'!$E$65+'Assumptions and Catalog'!$F$65,"Out of range")))))))))*(1+'Assumptions and Catalog'!$C$8)^(A320-1),0)</f>
        <v>5071.9292338870691</v>
      </c>
      <c r="R320" s="5">
        <f>IF(AND('Assumptions and Catalog'!$C$19&gt;0,A320&gt;='Assumptions and Catalog'!$C$19),A320-'Assumptions and Catalog'!$C$19,A320-1)</f>
        <v>3</v>
      </c>
      <c r="S320" s="5">
        <f t="shared" si="25"/>
        <v>0</v>
      </c>
      <c r="T320" s="5"/>
      <c r="U320" s="5"/>
    </row>
    <row r="321" spans="1:21" ht="23.1" customHeight="1" outlineLevel="1" x14ac:dyDescent="0.2">
      <c r="A321" s="5">
        <v>14</v>
      </c>
      <c r="B321" s="5">
        <v>5</v>
      </c>
      <c r="C321" s="5">
        <f>DAY(DATE('Assumptions and Catalog'!$C$24+A321-1,B321+1,0))</f>
        <v>31</v>
      </c>
      <c r="D321" s="5">
        <f>IF(ISNUMBER(Inputs!$L$5),Inputs!$L$5*Inputs!$L$6,0)</f>
        <v>40.35</v>
      </c>
      <c r="E321" s="5">
        <f>IF(ISNUMBER(Inputs!$L$5),Inputs!$L$5-D321,0)</f>
        <v>40.35</v>
      </c>
      <c r="F321" s="5">
        <f>C$51*'Assumptions and Catalog'!$C$31*C321*(1-'Assumptions and Catalog'!$C$10)^(A321-1)</f>
        <v>969.09396492145413</v>
      </c>
      <c r="G321" s="5">
        <f t="shared" si="20"/>
        <v>969.09396492145413</v>
      </c>
      <c r="H321" s="5">
        <f>I321/('Assumptions and Catalog'!$C$11*'Assumptions and Catalog'!$C$12)</f>
        <v>0</v>
      </c>
      <c r="I321" s="5">
        <f>0</f>
        <v>0</v>
      </c>
      <c r="J321" s="5">
        <f t="shared" si="21"/>
        <v>0</v>
      </c>
      <c r="K321" s="5">
        <f t="shared" si="22"/>
        <v>0</v>
      </c>
      <c r="L321" s="5">
        <f t="shared" si="23"/>
        <v>1532.606035078546</v>
      </c>
      <c r="M321" s="5">
        <f>IF(ISNUMBER(Inputs!$L$5),(IF(Inputs!$L$9="Actual flat rate",((D321+E321)*C321)*Inputs!$L$10,IF(Inputs!$C$9="Residential",IF(((D321+E321)*C321)&lt;='Assumptions and Catalog'!$C$50,((D321+E321)*C321)*'Assumptions and Catalog'!$H$50+'Assumptions and Catalog'!$E$50+'Assumptions and Catalog'!$F$50,IF(((D321+E321)*C321)&lt;='Assumptions and Catalog'!$C$51,((D321+E321)*C321)*'Assumptions and Catalog'!$H$51+'Assumptions and Catalog'!$E$51+'Assumptions and Catalog'!$F$51,IF(((D321+E321)*C321)&lt;='Assumptions and Catalog'!$C$52,((D321+E321)*C321)*'Assumptions and Catalog'!$H$52+'Assumptions and Catalog'!$E$52+'Assumptions and Catalog'!$F$52,IF(((D321+E321)*C321)&lt;='Assumptions and Catalog'!$C$53,((D321+E321)*C321)*'Assumptions and Catalog'!$H$53+'Assumptions and Catalog'!$E$53+'Assumptions and Catalog'!$F$53,IF(((D321+E321)*C321)&lt;='Assumptions and Catalog'!$C$54,((D321+E321)*C321)*'Assumptions and Catalog'!$H$54+'Assumptions and Catalog'!$E$54+'Assumptions and Catalog'!$F$54,IF(((D321+E321)*C321)&lt;='Assumptions and Catalog'!$C$55,((D321+E321)*C321)*'Assumptions and Catalog'!$H$55+'Assumptions and Catalog'!$E$55+'Assumptions and Catalog'!$F$55,IF(((D321+E321)*C321)&lt;='Assumptions and Catalog'!$C$56,((D321+E321)*C321)*'Assumptions and Catalog'!$H$56+'Assumptions and Catalog'!$E$56+'Assumptions and Catalog'!$F$56,IF(((D321+E321)*C321)&lt;='Assumptions and Catalog'!$C$57,((D321+E321)*C321)*'Assumptions and Catalog'!$H$57+'Assumptions and Catalog'!$E$57+'Assumptions and Catalog'!$F$57,"Out of range")))))))),IF(((D321+E321)*C321)&lt;='Assumptions and Catalog'!$C$60,((D321+E321)*C321)*'Assumptions and Catalog'!$H$60+'Assumptions and Catalog'!$E$60+'Assumptions and Catalog'!$F$60,IF(((D321+E321)*C321)&lt;='Assumptions and Catalog'!$C$61,((D321+E321)*C321)*'Assumptions and Catalog'!$H$61+'Assumptions and Catalog'!$E$61+'Assumptions and Catalog'!$F$61,IF(((D321+E321)*C321)&lt;='Assumptions and Catalog'!$C$62,((D321+E321)*C321)*'Assumptions and Catalog'!$H$62+'Assumptions and Catalog'!$E$62+'Assumptions and Catalog'!$F$62,IF(((D321+E321)*C321)&lt;='Assumptions and Catalog'!$C$63,((D321+E321)*C321)*'Assumptions and Catalog'!$H$63+'Assumptions and Catalog'!$E$63+'Assumptions and Catalog'!$F$63,IF(((D321+E321)*C321)&lt;='Assumptions and Catalog'!$C$64,((D321+E321)*C321)*'Assumptions and Catalog'!$H$64+'Assumptions and Catalog'!$E$64+'Assumptions and Catalog'!$F$64,IF(((D321+E321)*C321)&lt;='Assumptions and Catalog'!$C$65,((D321+E321)*C321)*'Assumptions and Catalog'!$H$65+'Assumptions and Catalog'!$E$65+'Assumptions and Catalog'!$F$65,"Out of range")))))))))*(1+'Assumptions and Catalog'!$C$8)^(A321-1),0)</f>
        <v>8554.9666666666672</v>
      </c>
      <c r="N321" s="5">
        <f>IF(ISNUMBER(Inputs!$L$5),(IF(Inputs!$L$9="Actual flat rate",L321*Inputs!$L$10,IF(Inputs!$C$9="Residential",IF(L321&lt;='Assumptions and Catalog'!$C$50,L321*'Assumptions and Catalog'!$H$50+'Assumptions and Catalog'!$E$50+'Assumptions and Catalog'!$F$50,IF(L321&lt;='Assumptions and Catalog'!$C$51,L321*'Assumptions and Catalog'!$H$51+'Assumptions and Catalog'!$E$51+'Assumptions and Catalog'!$F$51,IF(L321&lt;='Assumptions and Catalog'!$C$52,L321*'Assumptions and Catalog'!$H$52+'Assumptions and Catalog'!$E$52+'Assumptions and Catalog'!$F$52,IF(L321&lt;='Assumptions and Catalog'!$C$53,L321*'Assumptions and Catalog'!$H$53+'Assumptions and Catalog'!$E$53+'Assumptions and Catalog'!$F$53,IF(L321&lt;='Assumptions and Catalog'!$C$54,L321*'Assumptions and Catalog'!$H$54+'Assumptions and Catalog'!$E$54+'Assumptions and Catalog'!$F$54,IF(L321&lt;='Assumptions and Catalog'!$C$55,L321*'Assumptions and Catalog'!$H$55+'Assumptions and Catalog'!$E$55+'Assumptions and Catalog'!$F$55,IF(L321&lt;='Assumptions and Catalog'!$C$56,L321*'Assumptions and Catalog'!$H$56+'Assumptions and Catalog'!$E$56+'Assumptions and Catalog'!$F$56,IF(L321&lt;='Assumptions and Catalog'!$C$57,L321*'Assumptions and Catalog'!$H$57+'Assumptions and Catalog'!$E$57+'Assumptions and Catalog'!$F$57,"Out of range")))))))),IF(L321&lt;='Assumptions and Catalog'!$C$60,L321*'Assumptions and Catalog'!$H$60+'Assumptions and Catalog'!$E$60+'Assumptions and Catalog'!$F$60,IF(L321&lt;='Assumptions and Catalog'!$C$61,L321*'Assumptions and Catalog'!$H$61+'Assumptions and Catalog'!$E$61+'Assumptions and Catalog'!$F$61,IF(L321&lt;='Assumptions and Catalog'!$C$62,L321*'Assumptions and Catalog'!$H$62+'Assumptions and Catalog'!$E$62+'Assumptions and Catalog'!$F$62,IF(L321&lt;='Assumptions and Catalog'!$C$63,L321*'Assumptions and Catalog'!$H$63+'Assumptions and Catalog'!$E$63+'Assumptions and Catalog'!$F$63,IF(L321&lt;='Assumptions and Catalog'!$C$64,L321*'Assumptions and Catalog'!$H$64+'Assumptions and Catalog'!$E$64+'Assumptions and Catalog'!$F$64,IF(L321&lt;='Assumptions and Catalog'!$C$65,L321*'Assumptions and Catalog'!$H$65+'Assumptions and Catalog'!$E$65+'Assumptions and Catalog'!$F$65,"Out of range")))))))))*(1+'Assumptions and Catalog'!$C$8)^(A321-1),0)</f>
        <v>5240.993541683305</v>
      </c>
      <c r="O321" s="5">
        <f t="shared" si="24"/>
        <v>3313.9731249833621</v>
      </c>
      <c r="P321" s="5">
        <f>C$55*(1-J$14)*(1-'Assumptions and Catalog'!$C$23)^R321</f>
        <v>0</v>
      </c>
      <c r="Q321" s="5">
        <f>IF(ISNUMBER(Inputs!$L$5),(IF(Inputs!$L$9="Actual flat rate",((D321+E321)*C321-G321)*Inputs!$L$10,IF(Inputs!$C$9="Residential",IF(((D321+E321)*C321-G321)&lt;='Assumptions and Catalog'!$C$50,((D321+E321)*C321-G321)*'Assumptions and Catalog'!$H$50+'Assumptions and Catalog'!$E$50+'Assumptions and Catalog'!$F$50,IF(((D321+E321)*C321-G321)&lt;='Assumptions and Catalog'!$C$51,((D321+E321)*C321-G321)*'Assumptions and Catalog'!$H$51+'Assumptions and Catalog'!$E$51+'Assumptions and Catalog'!$F$51,IF(((D321+E321)*C321-G321)&lt;='Assumptions and Catalog'!$C$52,((D321+E321)*C321-G321)*'Assumptions and Catalog'!$H$52+'Assumptions and Catalog'!$E$52+'Assumptions and Catalog'!$F$52,IF(((D321+E321)*C321-G321)&lt;='Assumptions and Catalog'!$C$53,((D321+E321)*C321-G321)*'Assumptions and Catalog'!$H$53+'Assumptions and Catalog'!$E$53+'Assumptions and Catalog'!$F$53,IF(((D321+E321)*C321-G321)&lt;='Assumptions and Catalog'!$C$54,((D321+E321)*C321-G321)*'Assumptions and Catalog'!$H$54+'Assumptions and Catalog'!$E$54+'Assumptions and Catalog'!$F$54,IF(((D321+E321)*C321-G321)&lt;='Assumptions and Catalog'!$C$55,((D321+E321)*C321-G321)*'Assumptions and Catalog'!$H$55+'Assumptions and Catalog'!$E$55+'Assumptions and Catalog'!$F$55,IF(((D321+E321)*C321-G321)&lt;='Assumptions and Catalog'!$C$56,((D321+E321)*C321-G321)*'Assumptions and Catalog'!$H$56+'Assumptions and Catalog'!$E$56+'Assumptions and Catalog'!$F$56,IF(((D321+E321)*C321-G321)&lt;='Assumptions and Catalog'!$C$57,((D321+E321)*C321-G321)*'Assumptions and Catalog'!$H$57+'Assumptions and Catalog'!$E$57+'Assumptions and Catalog'!$F$57,"Out of range")))))))),IF(((D321+E321)*C321-G321)&lt;='Assumptions and Catalog'!$C$60,((D321+E321)*C321-G321)*'Assumptions and Catalog'!$H$60+'Assumptions and Catalog'!$E$60+'Assumptions and Catalog'!$F$60,IF(((D321+E321)*C321-G321)&lt;='Assumptions and Catalog'!$C$61,((D321+E321)*C321-G321)*'Assumptions and Catalog'!$H$61+'Assumptions and Catalog'!$E$61+'Assumptions and Catalog'!$F$61,IF(((D321+E321)*C321-G321)&lt;='Assumptions and Catalog'!$C$62,((D321+E321)*C321-G321)*'Assumptions and Catalog'!$H$62+'Assumptions and Catalog'!$E$62+'Assumptions and Catalog'!$F$62,IF(((D321+E321)*C321-G321)&lt;='Assumptions and Catalog'!$C$63,((D321+E321)*C321-G321)*'Assumptions and Catalog'!$H$63+'Assumptions and Catalog'!$E$63+'Assumptions and Catalog'!$F$63,IF(((D321+E321)*C321-G321)&lt;='Assumptions and Catalog'!$C$64,((D321+E321)*C321-G321)*'Assumptions and Catalog'!$H$64+'Assumptions and Catalog'!$E$64+'Assumptions and Catalog'!$F$64,IF(((D321+E321)*C321-G321)&lt;='Assumptions and Catalog'!$C$65,((D321+E321)*C321-G321)*'Assumptions and Catalog'!$H$65+'Assumptions and Catalog'!$E$65+'Assumptions and Catalog'!$F$65,"Out of range")))))))))*(1+'Assumptions and Catalog'!$C$8)^(A321-1),0)</f>
        <v>5240.993541683305</v>
      </c>
      <c r="R321" s="5">
        <f>IF(AND('Assumptions and Catalog'!$C$19&gt;0,A321&gt;='Assumptions and Catalog'!$C$19),A321-'Assumptions and Catalog'!$C$19,A321-1)</f>
        <v>3</v>
      </c>
      <c r="S321" s="5">
        <f t="shared" si="25"/>
        <v>0</v>
      </c>
      <c r="T321" s="5"/>
      <c r="U321" s="5"/>
    </row>
    <row r="322" spans="1:21" ht="23.1" customHeight="1" outlineLevel="1" x14ac:dyDescent="0.2">
      <c r="A322" s="5">
        <v>14</v>
      </c>
      <c r="B322" s="5">
        <v>6</v>
      </c>
      <c r="C322" s="5">
        <f>DAY(DATE('Assumptions and Catalog'!$C$24+A322-1,B322+1,0))</f>
        <v>30</v>
      </c>
      <c r="D322" s="5">
        <f>IF(ISNUMBER(Inputs!$L$5),Inputs!$L$5*Inputs!$L$6,0)</f>
        <v>40.35</v>
      </c>
      <c r="E322" s="5">
        <f>IF(ISNUMBER(Inputs!$L$5),Inputs!$L$5-D322,0)</f>
        <v>40.35</v>
      </c>
      <c r="F322" s="5">
        <f>C$51*'Assumptions and Catalog'!$C$31*C322*(1-'Assumptions and Catalog'!$C$10)^(A322-1)</f>
        <v>937.83286927882659</v>
      </c>
      <c r="G322" s="5">
        <f t="shared" si="20"/>
        <v>937.83286927882659</v>
      </c>
      <c r="H322" s="5">
        <f>I322/('Assumptions and Catalog'!$C$11*'Assumptions and Catalog'!$C$12)</f>
        <v>0</v>
      </c>
      <c r="I322" s="5">
        <f>0</f>
        <v>0</v>
      </c>
      <c r="J322" s="5">
        <f t="shared" si="21"/>
        <v>0</v>
      </c>
      <c r="K322" s="5">
        <f t="shared" si="22"/>
        <v>0</v>
      </c>
      <c r="L322" s="5">
        <f t="shared" si="23"/>
        <v>1483.1671307211734</v>
      </c>
      <c r="M322" s="5">
        <f>IF(ISNUMBER(Inputs!$L$5),(IF(Inputs!$L$9="Actual flat rate",((D322+E322)*C322)*Inputs!$L$10,IF(Inputs!$C$9="Residential",IF(((D322+E322)*C322)&lt;='Assumptions and Catalog'!$C$50,((D322+E322)*C322)*'Assumptions and Catalog'!$H$50+'Assumptions and Catalog'!$E$50+'Assumptions and Catalog'!$F$50,IF(((D322+E322)*C322)&lt;='Assumptions and Catalog'!$C$51,((D322+E322)*C322)*'Assumptions and Catalog'!$H$51+'Assumptions and Catalog'!$E$51+'Assumptions and Catalog'!$F$51,IF(((D322+E322)*C322)&lt;='Assumptions and Catalog'!$C$52,((D322+E322)*C322)*'Assumptions and Catalog'!$H$52+'Assumptions and Catalog'!$E$52+'Assumptions and Catalog'!$F$52,IF(((D322+E322)*C322)&lt;='Assumptions and Catalog'!$C$53,((D322+E322)*C322)*'Assumptions and Catalog'!$H$53+'Assumptions and Catalog'!$E$53+'Assumptions and Catalog'!$F$53,IF(((D322+E322)*C322)&lt;='Assumptions and Catalog'!$C$54,((D322+E322)*C322)*'Assumptions and Catalog'!$H$54+'Assumptions and Catalog'!$E$54+'Assumptions and Catalog'!$F$54,IF(((D322+E322)*C322)&lt;='Assumptions and Catalog'!$C$55,((D322+E322)*C322)*'Assumptions and Catalog'!$H$55+'Assumptions and Catalog'!$E$55+'Assumptions and Catalog'!$F$55,IF(((D322+E322)*C322)&lt;='Assumptions and Catalog'!$C$56,((D322+E322)*C322)*'Assumptions and Catalog'!$H$56+'Assumptions and Catalog'!$E$56+'Assumptions and Catalog'!$F$56,IF(((D322+E322)*C322)&lt;='Assumptions and Catalog'!$C$57,((D322+E322)*C322)*'Assumptions and Catalog'!$H$57+'Assumptions and Catalog'!$E$57+'Assumptions and Catalog'!$F$57,"Out of range")))))))),IF(((D322+E322)*C322)&lt;='Assumptions and Catalog'!$C$60,((D322+E322)*C322)*'Assumptions and Catalog'!$H$60+'Assumptions and Catalog'!$E$60+'Assumptions and Catalog'!$F$60,IF(((D322+E322)*C322)&lt;='Assumptions and Catalog'!$C$61,((D322+E322)*C322)*'Assumptions and Catalog'!$H$61+'Assumptions and Catalog'!$E$61+'Assumptions and Catalog'!$F$61,IF(((D322+E322)*C322)&lt;='Assumptions and Catalog'!$C$62,((D322+E322)*C322)*'Assumptions and Catalog'!$H$62+'Assumptions and Catalog'!$E$62+'Assumptions and Catalog'!$F$62,IF(((D322+E322)*C322)&lt;='Assumptions and Catalog'!$C$63,((D322+E322)*C322)*'Assumptions and Catalog'!$H$63+'Assumptions and Catalog'!$E$63+'Assumptions and Catalog'!$F$63,IF(((D322+E322)*C322)&lt;='Assumptions and Catalog'!$C$64,((D322+E322)*C322)*'Assumptions and Catalog'!$H$64+'Assumptions and Catalog'!$E$64+'Assumptions and Catalog'!$F$64,IF(((D322+E322)*C322)&lt;='Assumptions and Catalog'!$C$65,((D322+E322)*C322)*'Assumptions and Catalog'!$H$65+'Assumptions and Catalog'!$E$65+'Assumptions and Catalog'!$F$65,"Out of range")))))))))*(1+'Assumptions and Catalog'!$C$8)^(A322-1),0)</f>
        <v>8279</v>
      </c>
      <c r="N322" s="5">
        <f>IF(ISNUMBER(Inputs!$L$5),(IF(Inputs!$L$9="Actual flat rate",L322*Inputs!$L$10,IF(Inputs!$C$9="Residential",IF(L322&lt;='Assumptions and Catalog'!$C$50,L322*'Assumptions and Catalog'!$H$50+'Assumptions and Catalog'!$E$50+'Assumptions and Catalog'!$F$50,IF(L322&lt;='Assumptions and Catalog'!$C$51,L322*'Assumptions and Catalog'!$H$51+'Assumptions and Catalog'!$E$51+'Assumptions and Catalog'!$F$51,IF(L322&lt;='Assumptions and Catalog'!$C$52,L322*'Assumptions and Catalog'!$H$52+'Assumptions and Catalog'!$E$52+'Assumptions and Catalog'!$F$52,IF(L322&lt;='Assumptions and Catalog'!$C$53,L322*'Assumptions and Catalog'!$H$53+'Assumptions and Catalog'!$E$53+'Assumptions and Catalog'!$F$53,IF(L322&lt;='Assumptions and Catalog'!$C$54,L322*'Assumptions and Catalog'!$H$54+'Assumptions and Catalog'!$E$54+'Assumptions and Catalog'!$F$54,IF(L322&lt;='Assumptions and Catalog'!$C$55,L322*'Assumptions and Catalog'!$H$55+'Assumptions and Catalog'!$E$55+'Assumptions and Catalog'!$F$55,IF(L322&lt;='Assumptions and Catalog'!$C$56,L322*'Assumptions and Catalog'!$H$56+'Assumptions and Catalog'!$E$56+'Assumptions and Catalog'!$F$56,IF(L322&lt;='Assumptions and Catalog'!$C$57,L322*'Assumptions and Catalog'!$H$57+'Assumptions and Catalog'!$E$57+'Assumptions and Catalog'!$F$57,"Out of range")))))))),IF(L322&lt;='Assumptions and Catalog'!$C$60,L322*'Assumptions and Catalog'!$H$60+'Assumptions and Catalog'!$E$60+'Assumptions and Catalog'!$F$60,IF(L322&lt;='Assumptions and Catalog'!$C$61,L322*'Assumptions and Catalog'!$H$61+'Assumptions and Catalog'!$E$61+'Assumptions and Catalog'!$F$61,IF(L322&lt;='Assumptions and Catalog'!$C$62,L322*'Assumptions and Catalog'!$H$62+'Assumptions and Catalog'!$E$62+'Assumptions and Catalog'!$F$62,IF(L322&lt;='Assumptions and Catalog'!$C$63,L322*'Assumptions and Catalog'!$H$63+'Assumptions and Catalog'!$E$63+'Assumptions and Catalog'!$F$63,IF(L322&lt;='Assumptions and Catalog'!$C$64,L322*'Assumptions and Catalog'!$H$64+'Assumptions and Catalog'!$E$64+'Assumptions and Catalog'!$F$64,IF(L322&lt;='Assumptions and Catalog'!$C$65,L322*'Assumptions and Catalog'!$H$65+'Assumptions and Catalog'!$E$65+'Assumptions and Catalog'!$F$65,"Out of range")))))))))*(1+'Assumptions and Catalog'!$C$8)^(A322-1),0)</f>
        <v>5071.9292338870691</v>
      </c>
      <c r="O322" s="5">
        <f t="shared" si="24"/>
        <v>3207.0707661129309</v>
      </c>
      <c r="P322" s="5">
        <f>C$55*(1-J$14)*(1-'Assumptions and Catalog'!$C$23)^R322</f>
        <v>0</v>
      </c>
      <c r="Q322" s="5">
        <f>IF(ISNUMBER(Inputs!$L$5),(IF(Inputs!$L$9="Actual flat rate",((D322+E322)*C322-G322)*Inputs!$L$10,IF(Inputs!$C$9="Residential",IF(((D322+E322)*C322-G322)&lt;='Assumptions and Catalog'!$C$50,((D322+E322)*C322-G322)*'Assumptions and Catalog'!$H$50+'Assumptions and Catalog'!$E$50+'Assumptions and Catalog'!$F$50,IF(((D322+E322)*C322-G322)&lt;='Assumptions and Catalog'!$C$51,((D322+E322)*C322-G322)*'Assumptions and Catalog'!$H$51+'Assumptions and Catalog'!$E$51+'Assumptions and Catalog'!$F$51,IF(((D322+E322)*C322-G322)&lt;='Assumptions and Catalog'!$C$52,((D322+E322)*C322-G322)*'Assumptions and Catalog'!$H$52+'Assumptions and Catalog'!$E$52+'Assumptions and Catalog'!$F$52,IF(((D322+E322)*C322-G322)&lt;='Assumptions and Catalog'!$C$53,((D322+E322)*C322-G322)*'Assumptions and Catalog'!$H$53+'Assumptions and Catalog'!$E$53+'Assumptions and Catalog'!$F$53,IF(((D322+E322)*C322-G322)&lt;='Assumptions and Catalog'!$C$54,((D322+E322)*C322-G322)*'Assumptions and Catalog'!$H$54+'Assumptions and Catalog'!$E$54+'Assumptions and Catalog'!$F$54,IF(((D322+E322)*C322-G322)&lt;='Assumptions and Catalog'!$C$55,((D322+E322)*C322-G322)*'Assumptions and Catalog'!$H$55+'Assumptions and Catalog'!$E$55+'Assumptions and Catalog'!$F$55,IF(((D322+E322)*C322-G322)&lt;='Assumptions and Catalog'!$C$56,((D322+E322)*C322-G322)*'Assumptions and Catalog'!$H$56+'Assumptions and Catalog'!$E$56+'Assumptions and Catalog'!$F$56,IF(((D322+E322)*C322-G322)&lt;='Assumptions and Catalog'!$C$57,((D322+E322)*C322-G322)*'Assumptions and Catalog'!$H$57+'Assumptions and Catalog'!$E$57+'Assumptions and Catalog'!$F$57,"Out of range")))))))),IF(((D322+E322)*C322-G322)&lt;='Assumptions and Catalog'!$C$60,((D322+E322)*C322-G322)*'Assumptions and Catalog'!$H$60+'Assumptions and Catalog'!$E$60+'Assumptions and Catalog'!$F$60,IF(((D322+E322)*C322-G322)&lt;='Assumptions and Catalog'!$C$61,((D322+E322)*C322-G322)*'Assumptions and Catalog'!$H$61+'Assumptions and Catalog'!$E$61+'Assumptions and Catalog'!$F$61,IF(((D322+E322)*C322-G322)&lt;='Assumptions and Catalog'!$C$62,((D322+E322)*C322-G322)*'Assumptions and Catalog'!$H$62+'Assumptions and Catalog'!$E$62+'Assumptions and Catalog'!$F$62,IF(((D322+E322)*C322-G322)&lt;='Assumptions and Catalog'!$C$63,((D322+E322)*C322-G322)*'Assumptions and Catalog'!$H$63+'Assumptions and Catalog'!$E$63+'Assumptions and Catalog'!$F$63,IF(((D322+E322)*C322-G322)&lt;='Assumptions and Catalog'!$C$64,((D322+E322)*C322-G322)*'Assumptions and Catalog'!$H$64+'Assumptions and Catalog'!$E$64+'Assumptions and Catalog'!$F$64,IF(((D322+E322)*C322-G322)&lt;='Assumptions and Catalog'!$C$65,((D322+E322)*C322-G322)*'Assumptions and Catalog'!$H$65+'Assumptions and Catalog'!$E$65+'Assumptions and Catalog'!$F$65,"Out of range")))))))))*(1+'Assumptions and Catalog'!$C$8)^(A322-1),0)</f>
        <v>5071.9292338870691</v>
      </c>
      <c r="R322" s="5">
        <f>IF(AND('Assumptions and Catalog'!$C$19&gt;0,A322&gt;='Assumptions and Catalog'!$C$19),A322-'Assumptions and Catalog'!$C$19,A322-1)</f>
        <v>3</v>
      </c>
      <c r="S322" s="5">
        <f t="shared" si="25"/>
        <v>0</v>
      </c>
      <c r="T322" s="5"/>
      <c r="U322" s="5"/>
    </row>
    <row r="323" spans="1:21" ht="23.1" customHeight="1" outlineLevel="1" x14ac:dyDescent="0.2">
      <c r="A323" s="5">
        <v>14</v>
      </c>
      <c r="B323" s="5">
        <v>7</v>
      </c>
      <c r="C323" s="5">
        <f>DAY(DATE('Assumptions and Catalog'!$C$24+A323-1,B323+1,0))</f>
        <v>31</v>
      </c>
      <c r="D323" s="5">
        <f>IF(ISNUMBER(Inputs!$L$5),Inputs!$L$5*Inputs!$L$6,0)</f>
        <v>40.35</v>
      </c>
      <c r="E323" s="5">
        <f>IF(ISNUMBER(Inputs!$L$5),Inputs!$L$5-D323,0)</f>
        <v>40.35</v>
      </c>
      <c r="F323" s="5">
        <f>C$51*'Assumptions and Catalog'!$C$31*C323*(1-'Assumptions and Catalog'!$C$10)^(A323-1)</f>
        <v>969.09396492145413</v>
      </c>
      <c r="G323" s="5">
        <f t="shared" si="20"/>
        <v>969.09396492145413</v>
      </c>
      <c r="H323" s="5">
        <f>I323/('Assumptions and Catalog'!$C$11*'Assumptions and Catalog'!$C$12)</f>
        <v>0</v>
      </c>
      <c r="I323" s="5">
        <f>0</f>
        <v>0</v>
      </c>
      <c r="J323" s="5">
        <f t="shared" si="21"/>
        <v>0</v>
      </c>
      <c r="K323" s="5">
        <f t="shared" si="22"/>
        <v>0</v>
      </c>
      <c r="L323" s="5">
        <f t="shared" si="23"/>
        <v>1532.606035078546</v>
      </c>
      <c r="M323" s="5">
        <f>IF(ISNUMBER(Inputs!$L$5),(IF(Inputs!$L$9="Actual flat rate",((D323+E323)*C323)*Inputs!$L$10,IF(Inputs!$C$9="Residential",IF(((D323+E323)*C323)&lt;='Assumptions and Catalog'!$C$50,((D323+E323)*C323)*'Assumptions and Catalog'!$H$50+'Assumptions and Catalog'!$E$50+'Assumptions and Catalog'!$F$50,IF(((D323+E323)*C323)&lt;='Assumptions and Catalog'!$C$51,((D323+E323)*C323)*'Assumptions and Catalog'!$H$51+'Assumptions and Catalog'!$E$51+'Assumptions and Catalog'!$F$51,IF(((D323+E323)*C323)&lt;='Assumptions and Catalog'!$C$52,((D323+E323)*C323)*'Assumptions and Catalog'!$H$52+'Assumptions and Catalog'!$E$52+'Assumptions and Catalog'!$F$52,IF(((D323+E323)*C323)&lt;='Assumptions and Catalog'!$C$53,((D323+E323)*C323)*'Assumptions and Catalog'!$H$53+'Assumptions and Catalog'!$E$53+'Assumptions and Catalog'!$F$53,IF(((D323+E323)*C323)&lt;='Assumptions and Catalog'!$C$54,((D323+E323)*C323)*'Assumptions and Catalog'!$H$54+'Assumptions and Catalog'!$E$54+'Assumptions and Catalog'!$F$54,IF(((D323+E323)*C323)&lt;='Assumptions and Catalog'!$C$55,((D323+E323)*C323)*'Assumptions and Catalog'!$H$55+'Assumptions and Catalog'!$E$55+'Assumptions and Catalog'!$F$55,IF(((D323+E323)*C323)&lt;='Assumptions and Catalog'!$C$56,((D323+E323)*C323)*'Assumptions and Catalog'!$H$56+'Assumptions and Catalog'!$E$56+'Assumptions and Catalog'!$F$56,IF(((D323+E323)*C323)&lt;='Assumptions and Catalog'!$C$57,((D323+E323)*C323)*'Assumptions and Catalog'!$H$57+'Assumptions and Catalog'!$E$57+'Assumptions and Catalog'!$F$57,"Out of range")))))))),IF(((D323+E323)*C323)&lt;='Assumptions and Catalog'!$C$60,((D323+E323)*C323)*'Assumptions and Catalog'!$H$60+'Assumptions and Catalog'!$E$60+'Assumptions and Catalog'!$F$60,IF(((D323+E323)*C323)&lt;='Assumptions and Catalog'!$C$61,((D323+E323)*C323)*'Assumptions and Catalog'!$H$61+'Assumptions and Catalog'!$E$61+'Assumptions and Catalog'!$F$61,IF(((D323+E323)*C323)&lt;='Assumptions and Catalog'!$C$62,((D323+E323)*C323)*'Assumptions and Catalog'!$H$62+'Assumptions and Catalog'!$E$62+'Assumptions and Catalog'!$F$62,IF(((D323+E323)*C323)&lt;='Assumptions and Catalog'!$C$63,((D323+E323)*C323)*'Assumptions and Catalog'!$H$63+'Assumptions and Catalog'!$E$63+'Assumptions and Catalog'!$F$63,IF(((D323+E323)*C323)&lt;='Assumptions and Catalog'!$C$64,((D323+E323)*C323)*'Assumptions and Catalog'!$H$64+'Assumptions and Catalog'!$E$64+'Assumptions and Catalog'!$F$64,IF(((D323+E323)*C323)&lt;='Assumptions and Catalog'!$C$65,((D323+E323)*C323)*'Assumptions and Catalog'!$H$65+'Assumptions and Catalog'!$E$65+'Assumptions and Catalog'!$F$65,"Out of range")))))))))*(1+'Assumptions and Catalog'!$C$8)^(A323-1),0)</f>
        <v>8554.9666666666672</v>
      </c>
      <c r="N323" s="5">
        <f>IF(ISNUMBER(Inputs!$L$5),(IF(Inputs!$L$9="Actual flat rate",L323*Inputs!$L$10,IF(Inputs!$C$9="Residential",IF(L323&lt;='Assumptions and Catalog'!$C$50,L323*'Assumptions and Catalog'!$H$50+'Assumptions and Catalog'!$E$50+'Assumptions and Catalog'!$F$50,IF(L323&lt;='Assumptions and Catalog'!$C$51,L323*'Assumptions and Catalog'!$H$51+'Assumptions and Catalog'!$E$51+'Assumptions and Catalog'!$F$51,IF(L323&lt;='Assumptions and Catalog'!$C$52,L323*'Assumptions and Catalog'!$H$52+'Assumptions and Catalog'!$E$52+'Assumptions and Catalog'!$F$52,IF(L323&lt;='Assumptions and Catalog'!$C$53,L323*'Assumptions and Catalog'!$H$53+'Assumptions and Catalog'!$E$53+'Assumptions and Catalog'!$F$53,IF(L323&lt;='Assumptions and Catalog'!$C$54,L323*'Assumptions and Catalog'!$H$54+'Assumptions and Catalog'!$E$54+'Assumptions and Catalog'!$F$54,IF(L323&lt;='Assumptions and Catalog'!$C$55,L323*'Assumptions and Catalog'!$H$55+'Assumptions and Catalog'!$E$55+'Assumptions and Catalog'!$F$55,IF(L323&lt;='Assumptions and Catalog'!$C$56,L323*'Assumptions and Catalog'!$H$56+'Assumptions and Catalog'!$E$56+'Assumptions and Catalog'!$F$56,IF(L323&lt;='Assumptions and Catalog'!$C$57,L323*'Assumptions and Catalog'!$H$57+'Assumptions and Catalog'!$E$57+'Assumptions and Catalog'!$F$57,"Out of range")))))))),IF(L323&lt;='Assumptions and Catalog'!$C$60,L323*'Assumptions and Catalog'!$H$60+'Assumptions and Catalog'!$E$60+'Assumptions and Catalog'!$F$60,IF(L323&lt;='Assumptions and Catalog'!$C$61,L323*'Assumptions and Catalog'!$H$61+'Assumptions and Catalog'!$E$61+'Assumptions and Catalog'!$F$61,IF(L323&lt;='Assumptions and Catalog'!$C$62,L323*'Assumptions and Catalog'!$H$62+'Assumptions and Catalog'!$E$62+'Assumptions and Catalog'!$F$62,IF(L323&lt;='Assumptions and Catalog'!$C$63,L323*'Assumptions and Catalog'!$H$63+'Assumptions and Catalog'!$E$63+'Assumptions and Catalog'!$F$63,IF(L323&lt;='Assumptions and Catalog'!$C$64,L323*'Assumptions and Catalog'!$H$64+'Assumptions and Catalog'!$E$64+'Assumptions and Catalog'!$F$64,IF(L323&lt;='Assumptions and Catalog'!$C$65,L323*'Assumptions and Catalog'!$H$65+'Assumptions and Catalog'!$E$65+'Assumptions and Catalog'!$F$65,"Out of range")))))))))*(1+'Assumptions and Catalog'!$C$8)^(A323-1),0)</f>
        <v>5240.993541683305</v>
      </c>
      <c r="O323" s="5">
        <f t="shared" si="24"/>
        <v>3313.9731249833621</v>
      </c>
      <c r="P323" s="5">
        <f>C$55*(1-J$14)*(1-'Assumptions and Catalog'!$C$23)^R323</f>
        <v>0</v>
      </c>
      <c r="Q323" s="5">
        <f>IF(ISNUMBER(Inputs!$L$5),(IF(Inputs!$L$9="Actual flat rate",((D323+E323)*C323-G323)*Inputs!$L$10,IF(Inputs!$C$9="Residential",IF(((D323+E323)*C323-G323)&lt;='Assumptions and Catalog'!$C$50,((D323+E323)*C323-G323)*'Assumptions and Catalog'!$H$50+'Assumptions and Catalog'!$E$50+'Assumptions and Catalog'!$F$50,IF(((D323+E323)*C323-G323)&lt;='Assumptions and Catalog'!$C$51,((D323+E323)*C323-G323)*'Assumptions and Catalog'!$H$51+'Assumptions and Catalog'!$E$51+'Assumptions and Catalog'!$F$51,IF(((D323+E323)*C323-G323)&lt;='Assumptions and Catalog'!$C$52,((D323+E323)*C323-G323)*'Assumptions and Catalog'!$H$52+'Assumptions and Catalog'!$E$52+'Assumptions and Catalog'!$F$52,IF(((D323+E323)*C323-G323)&lt;='Assumptions and Catalog'!$C$53,((D323+E323)*C323-G323)*'Assumptions and Catalog'!$H$53+'Assumptions and Catalog'!$E$53+'Assumptions and Catalog'!$F$53,IF(((D323+E323)*C323-G323)&lt;='Assumptions and Catalog'!$C$54,((D323+E323)*C323-G323)*'Assumptions and Catalog'!$H$54+'Assumptions and Catalog'!$E$54+'Assumptions and Catalog'!$F$54,IF(((D323+E323)*C323-G323)&lt;='Assumptions and Catalog'!$C$55,((D323+E323)*C323-G323)*'Assumptions and Catalog'!$H$55+'Assumptions and Catalog'!$E$55+'Assumptions and Catalog'!$F$55,IF(((D323+E323)*C323-G323)&lt;='Assumptions and Catalog'!$C$56,((D323+E323)*C323-G323)*'Assumptions and Catalog'!$H$56+'Assumptions and Catalog'!$E$56+'Assumptions and Catalog'!$F$56,IF(((D323+E323)*C323-G323)&lt;='Assumptions and Catalog'!$C$57,((D323+E323)*C323-G323)*'Assumptions and Catalog'!$H$57+'Assumptions and Catalog'!$E$57+'Assumptions and Catalog'!$F$57,"Out of range")))))))),IF(((D323+E323)*C323-G323)&lt;='Assumptions and Catalog'!$C$60,((D323+E323)*C323-G323)*'Assumptions and Catalog'!$H$60+'Assumptions and Catalog'!$E$60+'Assumptions and Catalog'!$F$60,IF(((D323+E323)*C323-G323)&lt;='Assumptions and Catalog'!$C$61,((D323+E323)*C323-G323)*'Assumptions and Catalog'!$H$61+'Assumptions and Catalog'!$E$61+'Assumptions and Catalog'!$F$61,IF(((D323+E323)*C323-G323)&lt;='Assumptions and Catalog'!$C$62,((D323+E323)*C323-G323)*'Assumptions and Catalog'!$H$62+'Assumptions and Catalog'!$E$62+'Assumptions and Catalog'!$F$62,IF(((D323+E323)*C323-G323)&lt;='Assumptions and Catalog'!$C$63,((D323+E323)*C323-G323)*'Assumptions and Catalog'!$H$63+'Assumptions and Catalog'!$E$63+'Assumptions and Catalog'!$F$63,IF(((D323+E323)*C323-G323)&lt;='Assumptions and Catalog'!$C$64,((D323+E323)*C323-G323)*'Assumptions and Catalog'!$H$64+'Assumptions and Catalog'!$E$64+'Assumptions and Catalog'!$F$64,IF(((D323+E323)*C323-G323)&lt;='Assumptions and Catalog'!$C$65,((D323+E323)*C323-G323)*'Assumptions and Catalog'!$H$65+'Assumptions and Catalog'!$E$65+'Assumptions and Catalog'!$F$65,"Out of range")))))))))*(1+'Assumptions and Catalog'!$C$8)^(A323-1),0)</f>
        <v>5240.993541683305</v>
      </c>
      <c r="R323" s="5">
        <f>IF(AND('Assumptions and Catalog'!$C$19&gt;0,A323&gt;='Assumptions and Catalog'!$C$19),A323-'Assumptions and Catalog'!$C$19,A323-1)</f>
        <v>3</v>
      </c>
      <c r="S323" s="5">
        <f t="shared" si="25"/>
        <v>0</v>
      </c>
      <c r="T323" s="5"/>
      <c r="U323" s="5"/>
    </row>
    <row r="324" spans="1:21" ht="23.1" customHeight="1" outlineLevel="1" x14ac:dyDescent="0.2">
      <c r="A324" s="5">
        <v>14</v>
      </c>
      <c r="B324" s="5">
        <v>8</v>
      </c>
      <c r="C324" s="5">
        <f>DAY(DATE('Assumptions and Catalog'!$C$24+A324-1,B324+1,0))</f>
        <v>31</v>
      </c>
      <c r="D324" s="5">
        <f>IF(ISNUMBER(Inputs!$L$5),Inputs!$L$5*Inputs!$L$6,0)</f>
        <v>40.35</v>
      </c>
      <c r="E324" s="5">
        <f>IF(ISNUMBER(Inputs!$L$5),Inputs!$L$5-D324,0)</f>
        <v>40.35</v>
      </c>
      <c r="F324" s="5">
        <f>C$51*'Assumptions and Catalog'!$C$31*C324*(1-'Assumptions and Catalog'!$C$10)^(A324-1)</f>
        <v>969.09396492145413</v>
      </c>
      <c r="G324" s="5">
        <f t="shared" si="20"/>
        <v>969.09396492145413</v>
      </c>
      <c r="H324" s="5">
        <f>I324/('Assumptions and Catalog'!$C$11*'Assumptions and Catalog'!$C$12)</f>
        <v>0</v>
      </c>
      <c r="I324" s="5">
        <f>0</f>
        <v>0</v>
      </c>
      <c r="J324" s="5">
        <f t="shared" si="21"/>
        <v>0</v>
      </c>
      <c r="K324" s="5">
        <f t="shared" si="22"/>
        <v>0</v>
      </c>
      <c r="L324" s="5">
        <f t="shared" si="23"/>
        <v>1532.606035078546</v>
      </c>
      <c r="M324" s="5">
        <f>IF(ISNUMBER(Inputs!$L$5),(IF(Inputs!$L$9="Actual flat rate",((D324+E324)*C324)*Inputs!$L$10,IF(Inputs!$C$9="Residential",IF(((D324+E324)*C324)&lt;='Assumptions and Catalog'!$C$50,((D324+E324)*C324)*'Assumptions and Catalog'!$H$50+'Assumptions and Catalog'!$E$50+'Assumptions and Catalog'!$F$50,IF(((D324+E324)*C324)&lt;='Assumptions and Catalog'!$C$51,((D324+E324)*C324)*'Assumptions and Catalog'!$H$51+'Assumptions and Catalog'!$E$51+'Assumptions and Catalog'!$F$51,IF(((D324+E324)*C324)&lt;='Assumptions and Catalog'!$C$52,((D324+E324)*C324)*'Assumptions and Catalog'!$H$52+'Assumptions and Catalog'!$E$52+'Assumptions and Catalog'!$F$52,IF(((D324+E324)*C324)&lt;='Assumptions and Catalog'!$C$53,((D324+E324)*C324)*'Assumptions and Catalog'!$H$53+'Assumptions and Catalog'!$E$53+'Assumptions and Catalog'!$F$53,IF(((D324+E324)*C324)&lt;='Assumptions and Catalog'!$C$54,((D324+E324)*C324)*'Assumptions and Catalog'!$H$54+'Assumptions and Catalog'!$E$54+'Assumptions and Catalog'!$F$54,IF(((D324+E324)*C324)&lt;='Assumptions and Catalog'!$C$55,((D324+E324)*C324)*'Assumptions and Catalog'!$H$55+'Assumptions and Catalog'!$E$55+'Assumptions and Catalog'!$F$55,IF(((D324+E324)*C324)&lt;='Assumptions and Catalog'!$C$56,((D324+E324)*C324)*'Assumptions and Catalog'!$H$56+'Assumptions and Catalog'!$E$56+'Assumptions and Catalog'!$F$56,IF(((D324+E324)*C324)&lt;='Assumptions and Catalog'!$C$57,((D324+E324)*C324)*'Assumptions and Catalog'!$H$57+'Assumptions and Catalog'!$E$57+'Assumptions and Catalog'!$F$57,"Out of range")))))))),IF(((D324+E324)*C324)&lt;='Assumptions and Catalog'!$C$60,((D324+E324)*C324)*'Assumptions and Catalog'!$H$60+'Assumptions and Catalog'!$E$60+'Assumptions and Catalog'!$F$60,IF(((D324+E324)*C324)&lt;='Assumptions and Catalog'!$C$61,((D324+E324)*C324)*'Assumptions and Catalog'!$H$61+'Assumptions and Catalog'!$E$61+'Assumptions and Catalog'!$F$61,IF(((D324+E324)*C324)&lt;='Assumptions and Catalog'!$C$62,((D324+E324)*C324)*'Assumptions and Catalog'!$H$62+'Assumptions and Catalog'!$E$62+'Assumptions and Catalog'!$F$62,IF(((D324+E324)*C324)&lt;='Assumptions and Catalog'!$C$63,((D324+E324)*C324)*'Assumptions and Catalog'!$H$63+'Assumptions and Catalog'!$E$63+'Assumptions and Catalog'!$F$63,IF(((D324+E324)*C324)&lt;='Assumptions and Catalog'!$C$64,((D324+E324)*C324)*'Assumptions and Catalog'!$H$64+'Assumptions and Catalog'!$E$64+'Assumptions and Catalog'!$F$64,IF(((D324+E324)*C324)&lt;='Assumptions and Catalog'!$C$65,((D324+E324)*C324)*'Assumptions and Catalog'!$H$65+'Assumptions and Catalog'!$E$65+'Assumptions and Catalog'!$F$65,"Out of range")))))))))*(1+'Assumptions and Catalog'!$C$8)^(A324-1),0)</f>
        <v>8554.9666666666672</v>
      </c>
      <c r="N324" s="5">
        <f>IF(ISNUMBER(Inputs!$L$5),(IF(Inputs!$L$9="Actual flat rate",L324*Inputs!$L$10,IF(Inputs!$C$9="Residential",IF(L324&lt;='Assumptions and Catalog'!$C$50,L324*'Assumptions and Catalog'!$H$50+'Assumptions and Catalog'!$E$50+'Assumptions and Catalog'!$F$50,IF(L324&lt;='Assumptions and Catalog'!$C$51,L324*'Assumptions and Catalog'!$H$51+'Assumptions and Catalog'!$E$51+'Assumptions and Catalog'!$F$51,IF(L324&lt;='Assumptions and Catalog'!$C$52,L324*'Assumptions and Catalog'!$H$52+'Assumptions and Catalog'!$E$52+'Assumptions and Catalog'!$F$52,IF(L324&lt;='Assumptions and Catalog'!$C$53,L324*'Assumptions and Catalog'!$H$53+'Assumptions and Catalog'!$E$53+'Assumptions and Catalog'!$F$53,IF(L324&lt;='Assumptions and Catalog'!$C$54,L324*'Assumptions and Catalog'!$H$54+'Assumptions and Catalog'!$E$54+'Assumptions and Catalog'!$F$54,IF(L324&lt;='Assumptions and Catalog'!$C$55,L324*'Assumptions and Catalog'!$H$55+'Assumptions and Catalog'!$E$55+'Assumptions and Catalog'!$F$55,IF(L324&lt;='Assumptions and Catalog'!$C$56,L324*'Assumptions and Catalog'!$H$56+'Assumptions and Catalog'!$E$56+'Assumptions and Catalog'!$F$56,IF(L324&lt;='Assumptions and Catalog'!$C$57,L324*'Assumptions and Catalog'!$H$57+'Assumptions and Catalog'!$E$57+'Assumptions and Catalog'!$F$57,"Out of range")))))))),IF(L324&lt;='Assumptions and Catalog'!$C$60,L324*'Assumptions and Catalog'!$H$60+'Assumptions and Catalog'!$E$60+'Assumptions and Catalog'!$F$60,IF(L324&lt;='Assumptions and Catalog'!$C$61,L324*'Assumptions and Catalog'!$H$61+'Assumptions and Catalog'!$E$61+'Assumptions and Catalog'!$F$61,IF(L324&lt;='Assumptions and Catalog'!$C$62,L324*'Assumptions and Catalog'!$H$62+'Assumptions and Catalog'!$E$62+'Assumptions and Catalog'!$F$62,IF(L324&lt;='Assumptions and Catalog'!$C$63,L324*'Assumptions and Catalog'!$H$63+'Assumptions and Catalog'!$E$63+'Assumptions and Catalog'!$F$63,IF(L324&lt;='Assumptions and Catalog'!$C$64,L324*'Assumptions and Catalog'!$H$64+'Assumptions and Catalog'!$E$64+'Assumptions and Catalog'!$F$64,IF(L324&lt;='Assumptions and Catalog'!$C$65,L324*'Assumptions and Catalog'!$H$65+'Assumptions and Catalog'!$E$65+'Assumptions and Catalog'!$F$65,"Out of range")))))))))*(1+'Assumptions and Catalog'!$C$8)^(A324-1),0)</f>
        <v>5240.993541683305</v>
      </c>
      <c r="O324" s="5">
        <f t="shared" si="24"/>
        <v>3313.9731249833621</v>
      </c>
      <c r="P324" s="5">
        <f>C$55*(1-J$14)*(1-'Assumptions and Catalog'!$C$23)^R324</f>
        <v>0</v>
      </c>
      <c r="Q324" s="5">
        <f>IF(ISNUMBER(Inputs!$L$5),(IF(Inputs!$L$9="Actual flat rate",((D324+E324)*C324-G324)*Inputs!$L$10,IF(Inputs!$C$9="Residential",IF(((D324+E324)*C324-G324)&lt;='Assumptions and Catalog'!$C$50,((D324+E324)*C324-G324)*'Assumptions and Catalog'!$H$50+'Assumptions and Catalog'!$E$50+'Assumptions and Catalog'!$F$50,IF(((D324+E324)*C324-G324)&lt;='Assumptions and Catalog'!$C$51,((D324+E324)*C324-G324)*'Assumptions and Catalog'!$H$51+'Assumptions and Catalog'!$E$51+'Assumptions and Catalog'!$F$51,IF(((D324+E324)*C324-G324)&lt;='Assumptions and Catalog'!$C$52,((D324+E324)*C324-G324)*'Assumptions and Catalog'!$H$52+'Assumptions and Catalog'!$E$52+'Assumptions and Catalog'!$F$52,IF(((D324+E324)*C324-G324)&lt;='Assumptions and Catalog'!$C$53,((D324+E324)*C324-G324)*'Assumptions and Catalog'!$H$53+'Assumptions and Catalog'!$E$53+'Assumptions and Catalog'!$F$53,IF(((D324+E324)*C324-G324)&lt;='Assumptions and Catalog'!$C$54,((D324+E324)*C324-G324)*'Assumptions and Catalog'!$H$54+'Assumptions and Catalog'!$E$54+'Assumptions and Catalog'!$F$54,IF(((D324+E324)*C324-G324)&lt;='Assumptions and Catalog'!$C$55,((D324+E324)*C324-G324)*'Assumptions and Catalog'!$H$55+'Assumptions and Catalog'!$E$55+'Assumptions and Catalog'!$F$55,IF(((D324+E324)*C324-G324)&lt;='Assumptions and Catalog'!$C$56,((D324+E324)*C324-G324)*'Assumptions and Catalog'!$H$56+'Assumptions and Catalog'!$E$56+'Assumptions and Catalog'!$F$56,IF(((D324+E324)*C324-G324)&lt;='Assumptions and Catalog'!$C$57,((D324+E324)*C324-G324)*'Assumptions and Catalog'!$H$57+'Assumptions and Catalog'!$E$57+'Assumptions and Catalog'!$F$57,"Out of range")))))))),IF(((D324+E324)*C324-G324)&lt;='Assumptions and Catalog'!$C$60,((D324+E324)*C324-G324)*'Assumptions and Catalog'!$H$60+'Assumptions and Catalog'!$E$60+'Assumptions and Catalog'!$F$60,IF(((D324+E324)*C324-G324)&lt;='Assumptions and Catalog'!$C$61,((D324+E324)*C324-G324)*'Assumptions and Catalog'!$H$61+'Assumptions and Catalog'!$E$61+'Assumptions and Catalog'!$F$61,IF(((D324+E324)*C324-G324)&lt;='Assumptions and Catalog'!$C$62,((D324+E324)*C324-G324)*'Assumptions and Catalog'!$H$62+'Assumptions and Catalog'!$E$62+'Assumptions and Catalog'!$F$62,IF(((D324+E324)*C324-G324)&lt;='Assumptions and Catalog'!$C$63,((D324+E324)*C324-G324)*'Assumptions and Catalog'!$H$63+'Assumptions and Catalog'!$E$63+'Assumptions and Catalog'!$F$63,IF(((D324+E324)*C324-G324)&lt;='Assumptions and Catalog'!$C$64,((D324+E324)*C324-G324)*'Assumptions and Catalog'!$H$64+'Assumptions and Catalog'!$E$64+'Assumptions and Catalog'!$F$64,IF(((D324+E324)*C324-G324)&lt;='Assumptions and Catalog'!$C$65,((D324+E324)*C324-G324)*'Assumptions and Catalog'!$H$65+'Assumptions and Catalog'!$E$65+'Assumptions and Catalog'!$F$65,"Out of range")))))))))*(1+'Assumptions and Catalog'!$C$8)^(A324-1),0)</f>
        <v>5240.993541683305</v>
      </c>
      <c r="R324" s="5">
        <f>IF(AND('Assumptions and Catalog'!$C$19&gt;0,A324&gt;='Assumptions and Catalog'!$C$19),A324-'Assumptions and Catalog'!$C$19,A324-1)</f>
        <v>3</v>
      </c>
      <c r="S324" s="5">
        <f t="shared" si="25"/>
        <v>0</v>
      </c>
      <c r="T324" s="5"/>
      <c r="U324" s="5"/>
    </row>
    <row r="325" spans="1:21" ht="23.1" customHeight="1" outlineLevel="1" x14ac:dyDescent="0.2">
      <c r="A325" s="5">
        <v>14</v>
      </c>
      <c r="B325" s="5">
        <v>9</v>
      </c>
      <c r="C325" s="5">
        <f>DAY(DATE('Assumptions and Catalog'!$C$24+A325-1,B325+1,0))</f>
        <v>30</v>
      </c>
      <c r="D325" s="5">
        <f>IF(ISNUMBER(Inputs!$L$5),Inputs!$L$5*Inputs!$L$6,0)</f>
        <v>40.35</v>
      </c>
      <c r="E325" s="5">
        <f>IF(ISNUMBER(Inputs!$L$5),Inputs!$L$5-D325,0)</f>
        <v>40.35</v>
      </c>
      <c r="F325" s="5">
        <f>C$51*'Assumptions and Catalog'!$C$31*C325*(1-'Assumptions and Catalog'!$C$10)^(A325-1)</f>
        <v>937.83286927882659</v>
      </c>
      <c r="G325" s="5">
        <f t="shared" si="20"/>
        <v>937.83286927882659</v>
      </c>
      <c r="H325" s="5">
        <f>I325/('Assumptions and Catalog'!$C$11*'Assumptions and Catalog'!$C$12)</f>
        <v>0</v>
      </c>
      <c r="I325" s="5">
        <f>0</f>
        <v>0</v>
      </c>
      <c r="J325" s="5">
        <f t="shared" si="21"/>
        <v>0</v>
      </c>
      <c r="K325" s="5">
        <f t="shared" si="22"/>
        <v>0</v>
      </c>
      <c r="L325" s="5">
        <f t="shared" si="23"/>
        <v>1483.1671307211734</v>
      </c>
      <c r="M325" s="5">
        <f>IF(ISNUMBER(Inputs!$L$5),(IF(Inputs!$L$9="Actual flat rate",((D325+E325)*C325)*Inputs!$L$10,IF(Inputs!$C$9="Residential",IF(((D325+E325)*C325)&lt;='Assumptions and Catalog'!$C$50,((D325+E325)*C325)*'Assumptions and Catalog'!$H$50+'Assumptions and Catalog'!$E$50+'Assumptions and Catalog'!$F$50,IF(((D325+E325)*C325)&lt;='Assumptions and Catalog'!$C$51,((D325+E325)*C325)*'Assumptions and Catalog'!$H$51+'Assumptions and Catalog'!$E$51+'Assumptions and Catalog'!$F$51,IF(((D325+E325)*C325)&lt;='Assumptions and Catalog'!$C$52,((D325+E325)*C325)*'Assumptions and Catalog'!$H$52+'Assumptions and Catalog'!$E$52+'Assumptions and Catalog'!$F$52,IF(((D325+E325)*C325)&lt;='Assumptions and Catalog'!$C$53,((D325+E325)*C325)*'Assumptions and Catalog'!$H$53+'Assumptions and Catalog'!$E$53+'Assumptions and Catalog'!$F$53,IF(((D325+E325)*C325)&lt;='Assumptions and Catalog'!$C$54,((D325+E325)*C325)*'Assumptions and Catalog'!$H$54+'Assumptions and Catalog'!$E$54+'Assumptions and Catalog'!$F$54,IF(((D325+E325)*C325)&lt;='Assumptions and Catalog'!$C$55,((D325+E325)*C325)*'Assumptions and Catalog'!$H$55+'Assumptions and Catalog'!$E$55+'Assumptions and Catalog'!$F$55,IF(((D325+E325)*C325)&lt;='Assumptions and Catalog'!$C$56,((D325+E325)*C325)*'Assumptions and Catalog'!$H$56+'Assumptions and Catalog'!$E$56+'Assumptions and Catalog'!$F$56,IF(((D325+E325)*C325)&lt;='Assumptions and Catalog'!$C$57,((D325+E325)*C325)*'Assumptions and Catalog'!$H$57+'Assumptions and Catalog'!$E$57+'Assumptions and Catalog'!$F$57,"Out of range")))))))),IF(((D325+E325)*C325)&lt;='Assumptions and Catalog'!$C$60,((D325+E325)*C325)*'Assumptions and Catalog'!$H$60+'Assumptions and Catalog'!$E$60+'Assumptions and Catalog'!$F$60,IF(((D325+E325)*C325)&lt;='Assumptions and Catalog'!$C$61,((D325+E325)*C325)*'Assumptions and Catalog'!$H$61+'Assumptions and Catalog'!$E$61+'Assumptions and Catalog'!$F$61,IF(((D325+E325)*C325)&lt;='Assumptions and Catalog'!$C$62,((D325+E325)*C325)*'Assumptions and Catalog'!$H$62+'Assumptions and Catalog'!$E$62+'Assumptions and Catalog'!$F$62,IF(((D325+E325)*C325)&lt;='Assumptions and Catalog'!$C$63,((D325+E325)*C325)*'Assumptions and Catalog'!$H$63+'Assumptions and Catalog'!$E$63+'Assumptions and Catalog'!$F$63,IF(((D325+E325)*C325)&lt;='Assumptions and Catalog'!$C$64,((D325+E325)*C325)*'Assumptions and Catalog'!$H$64+'Assumptions and Catalog'!$E$64+'Assumptions and Catalog'!$F$64,IF(((D325+E325)*C325)&lt;='Assumptions and Catalog'!$C$65,((D325+E325)*C325)*'Assumptions and Catalog'!$H$65+'Assumptions and Catalog'!$E$65+'Assumptions and Catalog'!$F$65,"Out of range")))))))))*(1+'Assumptions and Catalog'!$C$8)^(A325-1),0)</f>
        <v>8279</v>
      </c>
      <c r="N325" s="5">
        <f>IF(ISNUMBER(Inputs!$L$5),(IF(Inputs!$L$9="Actual flat rate",L325*Inputs!$L$10,IF(Inputs!$C$9="Residential",IF(L325&lt;='Assumptions and Catalog'!$C$50,L325*'Assumptions and Catalog'!$H$50+'Assumptions and Catalog'!$E$50+'Assumptions and Catalog'!$F$50,IF(L325&lt;='Assumptions and Catalog'!$C$51,L325*'Assumptions and Catalog'!$H$51+'Assumptions and Catalog'!$E$51+'Assumptions and Catalog'!$F$51,IF(L325&lt;='Assumptions and Catalog'!$C$52,L325*'Assumptions and Catalog'!$H$52+'Assumptions and Catalog'!$E$52+'Assumptions and Catalog'!$F$52,IF(L325&lt;='Assumptions and Catalog'!$C$53,L325*'Assumptions and Catalog'!$H$53+'Assumptions and Catalog'!$E$53+'Assumptions and Catalog'!$F$53,IF(L325&lt;='Assumptions and Catalog'!$C$54,L325*'Assumptions and Catalog'!$H$54+'Assumptions and Catalog'!$E$54+'Assumptions and Catalog'!$F$54,IF(L325&lt;='Assumptions and Catalog'!$C$55,L325*'Assumptions and Catalog'!$H$55+'Assumptions and Catalog'!$E$55+'Assumptions and Catalog'!$F$55,IF(L325&lt;='Assumptions and Catalog'!$C$56,L325*'Assumptions and Catalog'!$H$56+'Assumptions and Catalog'!$E$56+'Assumptions and Catalog'!$F$56,IF(L325&lt;='Assumptions and Catalog'!$C$57,L325*'Assumptions and Catalog'!$H$57+'Assumptions and Catalog'!$E$57+'Assumptions and Catalog'!$F$57,"Out of range")))))))),IF(L325&lt;='Assumptions and Catalog'!$C$60,L325*'Assumptions and Catalog'!$H$60+'Assumptions and Catalog'!$E$60+'Assumptions and Catalog'!$F$60,IF(L325&lt;='Assumptions and Catalog'!$C$61,L325*'Assumptions and Catalog'!$H$61+'Assumptions and Catalog'!$E$61+'Assumptions and Catalog'!$F$61,IF(L325&lt;='Assumptions and Catalog'!$C$62,L325*'Assumptions and Catalog'!$H$62+'Assumptions and Catalog'!$E$62+'Assumptions and Catalog'!$F$62,IF(L325&lt;='Assumptions and Catalog'!$C$63,L325*'Assumptions and Catalog'!$H$63+'Assumptions and Catalog'!$E$63+'Assumptions and Catalog'!$F$63,IF(L325&lt;='Assumptions and Catalog'!$C$64,L325*'Assumptions and Catalog'!$H$64+'Assumptions and Catalog'!$E$64+'Assumptions and Catalog'!$F$64,IF(L325&lt;='Assumptions and Catalog'!$C$65,L325*'Assumptions and Catalog'!$H$65+'Assumptions and Catalog'!$E$65+'Assumptions and Catalog'!$F$65,"Out of range")))))))))*(1+'Assumptions and Catalog'!$C$8)^(A325-1),0)</f>
        <v>5071.9292338870691</v>
      </c>
      <c r="O325" s="5">
        <f t="shared" si="24"/>
        <v>3207.0707661129309</v>
      </c>
      <c r="P325" s="5">
        <f>C$55*(1-J$14)*(1-'Assumptions and Catalog'!$C$23)^R325</f>
        <v>0</v>
      </c>
      <c r="Q325" s="5">
        <f>IF(ISNUMBER(Inputs!$L$5),(IF(Inputs!$L$9="Actual flat rate",((D325+E325)*C325-G325)*Inputs!$L$10,IF(Inputs!$C$9="Residential",IF(((D325+E325)*C325-G325)&lt;='Assumptions and Catalog'!$C$50,((D325+E325)*C325-G325)*'Assumptions and Catalog'!$H$50+'Assumptions and Catalog'!$E$50+'Assumptions and Catalog'!$F$50,IF(((D325+E325)*C325-G325)&lt;='Assumptions and Catalog'!$C$51,((D325+E325)*C325-G325)*'Assumptions and Catalog'!$H$51+'Assumptions and Catalog'!$E$51+'Assumptions and Catalog'!$F$51,IF(((D325+E325)*C325-G325)&lt;='Assumptions and Catalog'!$C$52,((D325+E325)*C325-G325)*'Assumptions and Catalog'!$H$52+'Assumptions and Catalog'!$E$52+'Assumptions and Catalog'!$F$52,IF(((D325+E325)*C325-G325)&lt;='Assumptions and Catalog'!$C$53,((D325+E325)*C325-G325)*'Assumptions and Catalog'!$H$53+'Assumptions and Catalog'!$E$53+'Assumptions and Catalog'!$F$53,IF(((D325+E325)*C325-G325)&lt;='Assumptions and Catalog'!$C$54,((D325+E325)*C325-G325)*'Assumptions and Catalog'!$H$54+'Assumptions and Catalog'!$E$54+'Assumptions and Catalog'!$F$54,IF(((D325+E325)*C325-G325)&lt;='Assumptions and Catalog'!$C$55,((D325+E325)*C325-G325)*'Assumptions and Catalog'!$H$55+'Assumptions and Catalog'!$E$55+'Assumptions and Catalog'!$F$55,IF(((D325+E325)*C325-G325)&lt;='Assumptions and Catalog'!$C$56,((D325+E325)*C325-G325)*'Assumptions and Catalog'!$H$56+'Assumptions and Catalog'!$E$56+'Assumptions and Catalog'!$F$56,IF(((D325+E325)*C325-G325)&lt;='Assumptions and Catalog'!$C$57,((D325+E325)*C325-G325)*'Assumptions and Catalog'!$H$57+'Assumptions and Catalog'!$E$57+'Assumptions and Catalog'!$F$57,"Out of range")))))))),IF(((D325+E325)*C325-G325)&lt;='Assumptions and Catalog'!$C$60,((D325+E325)*C325-G325)*'Assumptions and Catalog'!$H$60+'Assumptions and Catalog'!$E$60+'Assumptions and Catalog'!$F$60,IF(((D325+E325)*C325-G325)&lt;='Assumptions and Catalog'!$C$61,((D325+E325)*C325-G325)*'Assumptions and Catalog'!$H$61+'Assumptions and Catalog'!$E$61+'Assumptions and Catalog'!$F$61,IF(((D325+E325)*C325-G325)&lt;='Assumptions and Catalog'!$C$62,((D325+E325)*C325-G325)*'Assumptions and Catalog'!$H$62+'Assumptions and Catalog'!$E$62+'Assumptions and Catalog'!$F$62,IF(((D325+E325)*C325-G325)&lt;='Assumptions and Catalog'!$C$63,((D325+E325)*C325-G325)*'Assumptions and Catalog'!$H$63+'Assumptions and Catalog'!$E$63+'Assumptions and Catalog'!$F$63,IF(((D325+E325)*C325-G325)&lt;='Assumptions and Catalog'!$C$64,((D325+E325)*C325-G325)*'Assumptions and Catalog'!$H$64+'Assumptions and Catalog'!$E$64+'Assumptions and Catalog'!$F$64,IF(((D325+E325)*C325-G325)&lt;='Assumptions and Catalog'!$C$65,((D325+E325)*C325-G325)*'Assumptions and Catalog'!$H$65+'Assumptions and Catalog'!$E$65+'Assumptions and Catalog'!$F$65,"Out of range")))))))))*(1+'Assumptions and Catalog'!$C$8)^(A325-1),0)</f>
        <v>5071.9292338870691</v>
      </c>
      <c r="R325" s="5">
        <f>IF(AND('Assumptions and Catalog'!$C$19&gt;0,A325&gt;='Assumptions and Catalog'!$C$19),A325-'Assumptions and Catalog'!$C$19,A325-1)</f>
        <v>3</v>
      </c>
      <c r="S325" s="5">
        <f t="shared" si="25"/>
        <v>0</v>
      </c>
      <c r="T325" s="5"/>
      <c r="U325" s="5"/>
    </row>
    <row r="326" spans="1:21" ht="23.1" customHeight="1" outlineLevel="1" x14ac:dyDescent="0.2">
      <c r="A326" s="5">
        <v>14</v>
      </c>
      <c r="B326" s="5">
        <v>10</v>
      </c>
      <c r="C326" s="5">
        <f>DAY(DATE('Assumptions and Catalog'!$C$24+A326-1,B326+1,0))</f>
        <v>31</v>
      </c>
      <c r="D326" s="5">
        <f>IF(ISNUMBER(Inputs!$L$5),Inputs!$L$5*Inputs!$L$6,0)</f>
        <v>40.35</v>
      </c>
      <c r="E326" s="5">
        <f>IF(ISNUMBER(Inputs!$L$5),Inputs!$L$5-D326,0)</f>
        <v>40.35</v>
      </c>
      <c r="F326" s="5">
        <f>C$51*'Assumptions and Catalog'!$C$31*C326*(1-'Assumptions and Catalog'!$C$10)^(A326-1)</f>
        <v>969.09396492145413</v>
      </c>
      <c r="G326" s="5">
        <f t="shared" si="20"/>
        <v>969.09396492145413</v>
      </c>
      <c r="H326" s="5">
        <f>I326/('Assumptions and Catalog'!$C$11*'Assumptions and Catalog'!$C$12)</f>
        <v>0</v>
      </c>
      <c r="I326" s="5">
        <f>0</f>
        <v>0</v>
      </c>
      <c r="J326" s="5">
        <f t="shared" si="21"/>
        <v>0</v>
      </c>
      <c r="K326" s="5">
        <f t="shared" si="22"/>
        <v>0</v>
      </c>
      <c r="L326" s="5">
        <f t="shared" si="23"/>
        <v>1532.606035078546</v>
      </c>
      <c r="M326" s="5">
        <f>IF(ISNUMBER(Inputs!$L$5),(IF(Inputs!$L$9="Actual flat rate",((D326+E326)*C326)*Inputs!$L$10,IF(Inputs!$C$9="Residential",IF(((D326+E326)*C326)&lt;='Assumptions and Catalog'!$C$50,((D326+E326)*C326)*'Assumptions and Catalog'!$H$50+'Assumptions and Catalog'!$E$50+'Assumptions and Catalog'!$F$50,IF(((D326+E326)*C326)&lt;='Assumptions and Catalog'!$C$51,((D326+E326)*C326)*'Assumptions and Catalog'!$H$51+'Assumptions and Catalog'!$E$51+'Assumptions and Catalog'!$F$51,IF(((D326+E326)*C326)&lt;='Assumptions and Catalog'!$C$52,((D326+E326)*C326)*'Assumptions and Catalog'!$H$52+'Assumptions and Catalog'!$E$52+'Assumptions and Catalog'!$F$52,IF(((D326+E326)*C326)&lt;='Assumptions and Catalog'!$C$53,((D326+E326)*C326)*'Assumptions and Catalog'!$H$53+'Assumptions and Catalog'!$E$53+'Assumptions and Catalog'!$F$53,IF(((D326+E326)*C326)&lt;='Assumptions and Catalog'!$C$54,((D326+E326)*C326)*'Assumptions and Catalog'!$H$54+'Assumptions and Catalog'!$E$54+'Assumptions and Catalog'!$F$54,IF(((D326+E326)*C326)&lt;='Assumptions and Catalog'!$C$55,((D326+E326)*C326)*'Assumptions and Catalog'!$H$55+'Assumptions and Catalog'!$E$55+'Assumptions and Catalog'!$F$55,IF(((D326+E326)*C326)&lt;='Assumptions and Catalog'!$C$56,((D326+E326)*C326)*'Assumptions and Catalog'!$H$56+'Assumptions and Catalog'!$E$56+'Assumptions and Catalog'!$F$56,IF(((D326+E326)*C326)&lt;='Assumptions and Catalog'!$C$57,((D326+E326)*C326)*'Assumptions and Catalog'!$H$57+'Assumptions and Catalog'!$E$57+'Assumptions and Catalog'!$F$57,"Out of range")))))))),IF(((D326+E326)*C326)&lt;='Assumptions and Catalog'!$C$60,((D326+E326)*C326)*'Assumptions and Catalog'!$H$60+'Assumptions and Catalog'!$E$60+'Assumptions and Catalog'!$F$60,IF(((D326+E326)*C326)&lt;='Assumptions and Catalog'!$C$61,((D326+E326)*C326)*'Assumptions and Catalog'!$H$61+'Assumptions and Catalog'!$E$61+'Assumptions and Catalog'!$F$61,IF(((D326+E326)*C326)&lt;='Assumptions and Catalog'!$C$62,((D326+E326)*C326)*'Assumptions and Catalog'!$H$62+'Assumptions and Catalog'!$E$62+'Assumptions and Catalog'!$F$62,IF(((D326+E326)*C326)&lt;='Assumptions and Catalog'!$C$63,((D326+E326)*C326)*'Assumptions and Catalog'!$H$63+'Assumptions and Catalog'!$E$63+'Assumptions and Catalog'!$F$63,IF(((D326+E326)*C326)&lt;='Assumptions and Catalog'!$C$64,((D326+E326)*C326)*'Assumptions and Catalog'!$H$64+'Assumptions and Catalog'!$E$64+'Assumptions and Catalog'!$F$64,IF(((D326+E326)*C326)&lt;='Assumptions and Catalog'!$C$65,((D326+E326)*C326)*'Assumptions and Catalog'!$H$65+'Assumptions and Catalog'!$E$65+'Assumptions and Catalog'!$F$65,"Out of range")))))))))*(1+'Assumptions and Catalog'!$C$8)^(A326-1),0)</f>
        <v>8554.9666666666672</v>
      </c>
      <c r="N326" s="5">
        <f>IF(ISNUMBER(Inputs!$L$5),(IF(Inputs!$L$9="Actual flat rate",L326*Inputs!$L$10,IF(Inputs!$C$9="Residential",IF(L326&lt;='Assumptions and Catalog'!$C$50,L326*'Assumptions and Catalog'!$H$50+'Assumptions and Catalog'!$E$50+'Assumptions and Catalog'!$F$50,IF(L326&lt;='Assumptions and Catalog'!$C$51,L326*'Assumptions and Catalog'!$H$51+'Assumptions and Catalog'!$E$51+'Assumptions and Catalog'!$F$51,IF(L326&lt;='Assumptions and Catalog'!$C$52,L326*'Assumptions and Catalog'!$H$52+'Assumptions and Catalog'!$E$52+'Assumptions and Catalog'!$F$52,IF(L326&lt;='Assumptions and Catalog'!$C$53,L326*'Assumptions and Catalog'!$H$53+'Assumptions and Catalog'!$E$53+'Assumptions and Catalog'!$F$53,IF(L326&lt;='Assumptions and Catalog'!$C$54,L326*'Assumptions and Catalog'!$H$54+'Assumptions and Catalog'!$E$54+'Assumptions and Catalog'!$F$54,IF(L326&lt;='Assumptions and Catalog'!$C$55,L326*'Assumptions and Catalog'!$H$55+'Assumptions and Catalog'!$E$55+'Assumptions and Catalog'!$F$55,IF(L326&lt;='Assumptions and Catalog'!$C$56,L326*'Assumptions and Catalog'!$H$56+'Assumptions and Catalog'!$E$56+'Assumptions and Catalog'!$F$56,IF(L326&lt;='Assumptions and Catalog'!$C$57,L326*'Assumptions and Catalog'!$H$57+'Assumptions and Catalog'!$E$57+'Assumptions and Catalog'!$F$57,"Out of range")))))))),IF(L326&lt;='Assumptions and Catalog'!$C$60,L326*'Assumptions and Catalog'!$H$60+'Assumptions and Catalog'!$E$60+'Assumptions and Catalog'!$F$60,IF(L326&lt;='Assumptions and Catalog'!$C$61,L326*'Assumptions and Catalog'!$H$61+'Assumptions and Catalog'!$E$61+'Assumptions and Catalog'!$F$61,IF(L326&lt;='Assumptions and Catalog'!$C$62,L326*'Assumptions and Catalog'!$H$62+'Assumptions and Catalog'!$E$62+'Assumptions and Catalog'!$F$62,IF(L326&lt;='Assumptions and Catalog'!$C$63,L326*'Assumptions and Catalog'!$H$63+'Assumptions and Catalog'!$E$63+'Assumptions and Catalog'!$F$63,IF(L326&lt;='Assumptions and Catalog'!$C$64,L326*'Assumptions and Catalog'!$H$64+'Assumptions and Catalog'!$E$64+'Assumptions and Catalog'!$F$64,IF(L326&lt;='Assumptions and Catalog'!$C$65,L326*'Assumptions and Catalog'!$H$65+'Assumptions and Catalog'!$E$65+'Assumptions and Catalog'!$F$65,"Out of range")))))))))*(1+'Assumptions and Catalog'!$C$8)^(A326-1),0)</f>
        <v>5240.993541683305</v>
      </c>
      <c r="O326" s="5">
        <f t="shared" si="24"/>
        <v>3313.9731249833621</v>
      </c>
      <c r="P326" s="5">
        <f>C$55*(1-J$14)*(1-'Assumptions and Catalog'!$C$23)^R326</f>
        <v>0</v>
      </c>
      <c r="Q326" s="5">
        <f>IF(ISNUMBER(Inputs!$L$5),(IF(Inputs!$L$9="Actual flat rate",((D326+E326)*C326-G326)*Inputs!$L$10,IF(Inputs!$C$9="Residential",IF(((D326+E326)*C326-G326)&lt;='Assumptions and Catalog'!$C$50,((D326+E326)*C326-G326)*'Assumptions and Catalog'!$H$50+'Assumptions and Catalog'!$E$50+'Assumptions and Catalog'!$F$50,IF(((D326+E326)*C326-G326)&lt;='Assumptions and Catalog'!$C$51,((D326+E326)*C326-G326)*'Assumptions and Catalog'!$H$51+'Assumptions and Catalog'!$E$51+'Assumptions and Catalog'!$F$51,IF(((D326+E326)*C326-G326)&lt;='Assumptions and Catalog'!$C$52,((D326+E326)*C326-G326)*'Assumptions and Catalog'!$H$52+'Assumptions and Catalog'!$E$52+'Assumptions and Catalog'!$F$52,IF(((D326+E326)*C326-G326)&lt;='Assumptions and Catalog'!$C$53,((D326+E326)*C326-G326)*'Assumptions and Catalog'!$H$53+'Assumptions and Catalog'!$E$53+'Assumptions and Catalog'!$F$53,IF(((D326+E326)*C326-G326)&lt;='Assumptions and Catalog'!$C$54,((D326+E326)*C326-G326)*'Assumptions and Catalog'!$H$54+'Assumptions and Catalog'!$E$54+'Assumptions and Catalog'!$F$54,IF(((D326+E326)*C326-G326)&lt;='Assumptions and Catalog'!$C$55,((D326+E326)*C326-G326)*'Assumptions and Catalog'!$H$55+'Assumptions and Catalog'!$E$55+'Assumptions and Catalog'!$F$55,IF(((D326+E326)*C326-G326)&lt;='Assumptions and Catalog'!$C$56,((D326+E326)*C326-G326)*'Assumptions and Catalog'!$H$56+'Assumptions and Catalog'!$E$56+'Assumptions and Catalog'!$F$56,IF(((D326+E326)*C326-G326)&lt;='Assumptions and Catalog'!$C$57,((D326+E326)*C326-G326)*'Assumptions and Catalog'!$H$57+'Assumptions and Catalog'!$E$57+'Assumptions and Catalog'!$F$57,"Out of range")))))))),IF(((D326+E326)*C326-G326)&lt;='Assumptions and Catalog'!$C$60,((D326+E326)*C326-G326)*'Assumptions and Catalog'!$H$60+'Assumptions and Catalog'!$E$60+'Assumptions and Catalog'!$F$60,IF(((D326+E326)*C326-G326)&lt;='Assumptions and Catalog'!$C$61,((D326+E326)*C326-G326)*'Assumptions and Catalog'!$H$61+'Assumptions and Catalog'!$E$61+'Assumptions and Catalog'!$F$61,IF(((D326+E326)*C326-G326)&lt;='Assumptions and Catalog'!$C$62,((D326+E326)*C326-G326)*'Assumptions and Catalog'!$H$62+'Assumptions and Catalog'!$E$62+'Assumptions and Catalog'!$F$62,IF(((D326+E326)*C326-G326)&lt;='Assumptions and Catalog'!$C$63,((D326+E326)*C326-G326)*'Assumptions and Catalog'!$H$63+'Assumptions and Catalog'!$E$63+'Assumptions and Catalog'!$F$63,IF(((D326+E326)*C326-G326)&lt;='Assumptions and Catalog'!$C$64,((D326+E326)*C326-G326)*'Assumptions and Catalog'!$H$64+'Assumptions and Catalog'!$E$64+'Assumptions and Catalog'!$F$64,IF(((D326+E326)*C326-G326)&lt;='Assumptions and Catalog'!$C$65,((D326+E326)*C326-G326)*'Assumptions and Catalog'!$H$65+'Assumptions and Catalog'!$E$65+'Assumptions and Catalog'!$F$65,"Out of range")))))))))*(1+'Assumptions and Catalog'!$C$8)^(A326-1),0)</f>
        <v>5240.993541683305</v>
      </c>
      <c r="R326" s="5">
        <f>IF(AND('Assumptions and Catalog'!$C$19&gt;0,A326&gt;='Assumptions and Catalog'!$C$19),A326-'Assumptions and Catalog'!$C$19,A326-1)</f>
        <v>3</v>
      </c>
      <c r="S326" s="5">
        <f t="shared" si="25"/>
        <v>0</v>
      </c>
      <c r="T326" s="5"/>
      <c r="U326" s="5"/>
    </row>
    <row r="327" spans="1:21" ht="23.1" customHeight="1" outlineLevel="1" x14ac:dyDescent="0.2">
      <c r="A327" s="5">
        <v>14</v>
      </c>
      <c r="B327" s="5">
        <v>11</v>
      </c>
      <c r="C327" s="5">
        <f>DAY(DATE('Assumptions and Catalog'!$C$24+A327-1,B327+1,0))</f>
        <v>30</v>
      </c>
      <c r="D327" s="5">
        <f>IF(ISNUMBER(Inputs!$L$5),Inputs!$L$5*Inputs!$L$6,0)</f>
        <v>40.35</v>
      </c>
      <c r="E327" s="5">
        <f>IF(ISNUMBER(Inputs!$L$5),Inputs!$L$5-D327,0)</f>
        <v>40.35</v>
      </c>
      <c r="F327" s="5">
        <f>C$51*'Assumptions and Catalog'!$C$31*C327*(1-'Assumptions and Catalog'!$C$10)^(A327-1)</f>
        <v>937.83286927882659</v>
      </c>
      <c r="G327" s="5">
        <f t="shared" si="20"/>
        <v>937.83286927882659</v>
      </c>
      <c r="H327" s="5">
        <f>I327/('Assumptions and Catalog'!$C$11*'Assumptions and Catalog'!$C$12)</f>
        <v>0</v>
      </c>
      <c r="I327" s="5">
        <f>0</f>
        <v>0</v>
      </c>
      <c r="J327" s="5">
        <f t="shared" si="21"/>
        <v>0</v>
      </c>
      <c r="K327" s="5">
        <f t="shared" si="22"/>
        <v>0</v>
      </c>
      <c r="L327" s="5">
        <f t="shared" si="23"/>
        <v>1483.1671307211734</v>
      </c>
      <c r="M327" s="5">
        <f>IF(ISNUMBER(Inputs!$L$5),(IF(Inputs!$L$9="Actual flat rate",((D327+E327)*C327)*Inputs!$L$10,IF(Inputs!$C$9="Residential",IF(((D327+E327)*C327)&lt;='Assumptions and Catalog'!$C$50,((D327+E327)*C327)*'Assumptions and Catalog'!$H$50+'Assumptions and Catalog'!$E$50+'Assumptions and Catalog'!$F$50,IF(((D327+E327)*C327)&lt;='Assumptions and Catalog'!$C$51,((D327+E327)*C327)*'Assumptions and Catalog'!$H$51+'Assumptions and Catalog'!$E$51+'Assumptions and Catalog'!$F$51,IF(((D327+E327)*C327)&lt;='Assumptions and Catalog'!$C$52,((D327+E327)*C327)*'Assumptions and Catalog'!$H$52+'Assumptions and Catalog'!$E$52+'Assumptions and Catalog'!$F$52,IF(((D327+E327)*C327)&lt;='Assumptions and Catalog'!$C$53,((D327+E327)*C327)*'Assumptions and Catalog'!$H$53+'Assumptions and Catalog'!$E$53+'Assumptions and Catalog'!$F$53,IF(((D327+E327)*C327)&lt;='Assumptions and Catalog'!$C$54,((D327+E327)*C327)*'Assumptions and Catalog'!$H$54+'Assumptions and Catalog'!$E$54+'Assumptions and Catalog'!$F$54,IF(((D327+E327)*C327)&lt;='Assumptions and Catalog'!$C$55,((D327+E327)*C327)*'Assumptions and Catalog'!$H$55+'Assumptions and Catalog'!$E$55+'Assumptions and Catalog'!$F$55,IF(((D327+E327)*C327)&lt;='Assumptions and Catalog'!$C$56,((D327+E327)*C327)*'Assumptions and Catalog'!$H$56+'Assumptions and Catalog'!$E$56+'Assumptions and Catalog'!$F$56,IF(((D327+E327)*C327)&lt;='Assumptions and Catalog'!$C$57,((D327+E327)*C327)*'Assumptions and Catalog'!$H$57+'Assumptions and Catalog'!$E$57+'Assumptions and Catalog'!$F$57,"Out of range")))))))),IF(((D327+E327)*C327)&lt;='Assumptions and Catalog'!$C$60,((D327+E327)*C327)*'Assumptions and Catalog'!$H$60+'Assumptions and Catalog'!$E$60+'Assumptions and Catalog'!$F$60,IF(((D327+E327)*C327)&lt;='Assumptions and Catalog'!$C$61,((D327+E327)*C327)*'Assumptions and Catalog'!$H$61+'Assumptions and Catalog'!$E$61+'Assumptions and Catalog'!$F$61,IF(((D327+E327)*C327)&lt;='Assumptions and Catalog'!$C$62,((D327+E327)*C327)*'Assumptions and Catalog'!$H$62+'Assumptions and Catalog'!$E$62+'Assumptions and Catalog'!$F$62,IF(((D327+E327)*C327)&lt;='Assumptions and Catalog'!$C$63,((D327+E327)*C327)*'Assumptions and Catalog'!$H$63+'Assumptions and Catalog'!$E$63+'Assumptions and Catalog'!$F$63,IF(((D327+E327)*C327)&lt;='Assumptions and Catalog'!$C$64,((D327+E327)*C327)*'Assumptions and Catalog'!$H$64+'Assumptions and Catalog'!$E$64+'Assumptions and Catalog'!$F$64,IF(((D327+E327)*C327)&lt;='Assumptions and Catalog'!$C$65,((D327+E327)*C327)*'Assumptions and Catalog'!$H$65+'Assumptions and Catalog'!$E$65+'Assumptions and Catalog'!$F$65,"Out of range")))))))))*(1+'Assumptions and Catalog'!$C$8)^(A327-1),0)</f>
        <v>8279</v>
      </c>
      <c r="N327" s="5">
        <f>IF(ISNUMBER(Inputs!$L$5),(IF(Inputs!$L$9="Actual flat rate",L327*Inputs!$L$10,IF(Inputs!$C$9="Residential",IF(L327&lt;='Assumptions and Catalog'!$C$50,L327*'Assumptions and Catalog'!$H$50+'Assumptions and Catalog'!$E$50+'Assumptions and Catalog'!$F$50,IF(L327&lt;='Assumptions and Catalog'!$C$51,L327*'Assumptions and Catalog'!$H$51+'Assumptions and Catalog'!$E$51+'Assumptions and Catalog'!$F$51,IF(L327&lt;='Assumptions and Catalog'!$C$52,L327*'Assumptions and Catalog'!$H$52+'Assumptions and Catalog'!$E$52+'Assumptions and Catalog'!$F$52,IF(L327&lt;='Assumptions and Catalog'!$C$53,L327*'Assumptions and Catalog'!$H$53+'Assumptions and Catalog'!$E$53+'Assumptions and Catalog'!$F$53,IF(L327&lt;='Assumptions and Catalog'!$C$54,L327*'Assumptions and Catalog'!$H$54+'Assumptions and Catalog'!$E$54+'Assumptions and Catalog'!$F$54,IF(L327&lt;='Assumptions and Catalog'!$C$55,L327*'Assumptions and Catalog'!$H$55+'Assumptions and Catalog'!$E$55+'Assumptions and Catalog'!$F$55,IF(L327&lt;='Assumptions and Catalog'!$C$56,L327*'Assumptions and Catalog'!$H$56+'Assumptions and Catalog'!$E$56+'Assumptions and Catalog'!$F$56,IF(L327&lt;='Assumptions and Catalog'!$C$57,L327*'Assumptions and Catalog'!$H$57+'Assumptions and Catalog'!$E$57+'Assumptions and Catalog'!$F$57,"Out of range")))))))),IF(L327&lt;='Assumptions and Catalog'!$C$60,L327*'Assumptions and Catalog'!$H$60+'Assumptions and Catalog'!$E$60+'Assumptions and Catalog'!$F$60,IF(L327&lt;='Assumptions and Catalog'!$C$61,L327*'Assumptions and Catalog'!$H$61+'Assumptions and Catalog'!$E$61+'Assumptions and Catalog'!$F$61,IF(L327&lt;='Assumptions and Catalog'!$C$62,L327*'Assumptions and Catalog'!$H$62+'Assumptions and Catalog'!$E$62+'Assumptions and Catalog'!$F$62,IF(L327&lt;='Assumptions and Catalog'!$C$63,L327*'Assumptions and Catalog'!$H$63+'Assumptions and Catalog'!$E$63+'Assumptions and Catalog'!$F$63,IF(L327&lt;='Assumptions and Catalog'!$C$64,L327*'Assumptions and Catalog'!$H$64+'Assumptions and Catalog'!$E$64+'Assumptions and Catalog'!$F$64,IF(L327&lt;='Assumptions and Catalog'!$C$65,L327*'Assumptions and Catalog'!$H$65+'Assumptions and Catalog'!$E$65+'Assumptions and Catalog'!$F$65,"Out of range")))))))))*(1+'Assumptions and Catalog'!$C$8)^(A327-1),0)</f>
        <v>5071.9292338870691</v>
      </c>
      <c r="O327" s="5">
        <f t="shared" si="24"/>
        <v>3207.0707661129309</v>
      </c>
      <c r="P327" s="5">
        <f>C$55*(1-J$14)*(1-'Assumptions and Catalog'!$C$23)^R327</f>
        <v>0</v>
      </c>
      <c r="Q327" s="5">
        <f>IF(ISNUMBER(Inputs!$L$5),(IF(Inputs!$L$9="Actual flat rate",((D327+E327)*C327-G327)*Inputs!$L$10,IF(Inputs!$C$9="Residential",IF(((D327+E327)*C327-G327)&lt;='Assumptions and Catalog'!$C$50,((D327+E327)*C327-G327)*'Assumptions and Catalog'!$H$50+'Assumptions and Catalog'!$E$50+'Assumptions and Catalog'!$F$50,IF(((D327+E327)*C327-G327)&lt;='Assumptions and Catalog'!$C$51,((D327+E327)*C327-G327)*'Assumptions and Catalog'!$H$51+'Assumptions and Catalog'!$E$51+'Assumptions and Catalog'!$F$51,IF(((D327+E327)*C327-G327)&lt;='Assumptions and Catalog'!$C$52,((D327+E327)*C327-G327)*'Assumptions and Catalog'!$H$52+'Assumptions and Catalog'!$E$52+'Assumptions and Catalog'!$F$52,IF(((D327+E327)*C327-G327)&lt;='Assumptions and Catalog'!$C$53,((D327+E327)*C327-G327)*'Assumptions and Catalog'!$H$53+'Assumptions and Catalog'!$E$53+'Assumptions and Catalog'!$F$53,IF(((D327+E327)*C327-G327)&lt;='Assumptions and Catalog'!$C$54,((D327+E327)*C327-G327)*'Assumptions and Catalog'!$H$54+'Assumptions and Catalog'!$E$54+'Assumptions and Catalog'!$F$54,IF(((D327+E327)*C327-G327)&lt;='Assumptions and Catalog'!$C$55,((D327+E327)*C327-G327)*'Assumptions and Catalog'!$H$55+'Assumptions and Catalog'!$E$55+'Assumptions and Catalog'!$F$55,IF(((D327+E327)*C327-G327)&lt;='Assumptions and Catalog'!$C$56,((D327+E327)*C327-G327)*'Assumptions and Catalog'!$H$56+'Assumptions and Catalog'!$E$56+'Assumptions and Catalog'!$F$56,IF(((D327+E327)*C327-G327)&lt;='Assumptions and Catalog'!$C$57,((D327+E327)*C327-G327)*'Assumptions and Catalog'!$H$57+'Assumptions and Catalog'!$E$57+'Assumptions and Catalog'!$F$57,"Out of range")))))))),IF(((D327+E327)*C327-G327)&lt;='Assumptions and Catalog'!$C$60,((D327+E327)*C327-G327)*'Assumptions and Catalog'!$H$60+'Assumptions and Catalog'!$E$60+'Assumptions and Catalog'!$F$60,IF(((D327+E327)*C327-G327)&lt;='Assumptions and Catalog'!$C$61,((D327+E327)*C327-G327)*'Assumptions and Catalog'!$H$61+'Assumptions and Catalog'!$E$61+'Assumptions and Catalog'!$F$61,IF(((D327+E327)*C327-G327)&lt;='Assumptions and Catalog'!$C$62,((D327+E327)*C327-G327)*'Assumptions and Catalog'!$H$62+'Assumptions and Catalog'!$E$62+'Assumptions and Catalog'!$F$62,IF(((D327+E327)*C327-G327)&lt;='Assumptions and Catalog'!$C$63,((D327+E327)*C327-G327)*'Assumptions and Catalog'!$H$63+'Assumptions and Catalog'!$E$63+'Assumptions and Catalog'!$F$63,IF(((D327+E327)*C327-G327)&lt;='Assumptions and Catalog'!$C$64,((D327+E327)*C327-G327)*'Assumptions and Catalog'!$H$64+'Assumptions and Catalog'!$E$64+'Assumptions and Catalog'!$F$64,IF(((D327+E327)*C327-G327)&lt;='Assumptions and Catalog'!$C$65,((D327+E327)*C327-G327)*'Assumptions and Catalog'!$H$65+'Assumptions and Catalog'!$E$65+'Assumptions and Catalog'!$F$65,"Out of range")))))))))*(1+'Assumptions and Catalog'!$C$8)^(A327-1),0)</f>
        <v>5071.9292338870691</v>
      </c>
      <c r="R327" s="5">
        <f>IF(AND('Assumptions and Catalog'!$C$19&gt;0,A327&gt;='Assumptions and Catalog'!$C$19),A327-'Assumptions and Catalog'!$C$19,A327-1)</f>
        <v>3</v>
      </c>
      <c r="S327" s="5">
        <f t="shared" si="25"/>
        <v>0</v>
      </c>
      <c r="T327" s="5"/>
      <c r="U327" s="5"/>
    </row>
    <row r="328" spans="1:21" ht="23.1" customHeight="1" outlineLevel="1" x14ac:dyDescent="0.2">
      <c r="A328" s="5">
        <v>14</v>
      </c>
      <c r="B328" s="5">
        <v>12</v>
      </c>
      <c r="C328" s="5">
        <f>DAY(DATE('Assumptions and Catalog'!$C$24+A328-1,B328+1,0))</f>
        <v>31</v>
      </c>
      <c r="D328" s="5">
        <f>IF(ISNUMBER(Inputs!$L$5),Inputs!$L$5*Inputs!$L$6,0)</f>
        <v>40.35</v>
      </c>
      <c r="E328" s="5">
        <f>IF(ISNUMBER(Inputs!$L$5),Inputs!$L$5-D328,0)</f>
        <v>40.35</v>
      </c>
      <c r="F328" s="5">
        <f>C$51*'Assumptions and Catalog'!$C$31*C328*(1-'Assumptions and Catalog'!$C$10)^(A328-1)</f>
        <v>969.09396492145413</v>
      </c>
      <c r="G328" s="5">
        <f t="shared" si="20"/>
        <v>969.09396492145413</v>
      </c>
      <c r="H328" s="5">
        <f>I328/('Assumptions and Catalog'!$C$11*'Assumptions and Catalog'!$C$12)</f>
        <v>0</v>
      </c>
      <c r="I328" s="5">
        <f>0</f>
        <v>0</v>
      </c>
      <c r="J328" s="5">
        <f t="shared" si="21"/>
        <v>0</v>
      </c>
      <c r="K328" s="5">
        <f t="shared" si="22"/>
        <v>0</v>
      </c>
      <c r="L328" s="5">
        <f t="shared" si="23"/>
        <v>1532.606035078546</v>
      </c>
      <c r="M328" s="5">
        <f>IF(ISNUMBER(Inputs!$L$5),(IF(Inputs!$L$9="Actual flat rate",((D328+E328)*C328)*Inputs!$L$10,IF(Inputs!$C$9="Residential",IF(((D328+E328)*C328)&lt;='Assumptions and Catalog'!$C$50,((D328+E328)*C328)*'Assumptions and Catalog'!$H$50+'Assumptions and Catalog'!$E$50+'Assumptions and Catalog'!$F$50,IF(((D328+E328)*C328)&lt;='Assumptions and Catalog'!$C$51,((D328+E328)*C328)*'Assumptions and Catalog'!$H$51+'Assumptions and Catalog'!$E$51+'Assumptions and Catalog'!$F$51,IF(((D328+E328)*C328)&lt;='Assumptions and Catalog'!$C$52,((D328+E328)*C328)*'Assumptions and Catalog'!$H$52+'Assumptions and Catalog'!$E$52+'Assumptions and Catalog'!$F$52,IF(((D328+E328)*C328)&lt;='Assumptions and Catalog'!$C$53,((D328+E328)*C328)*'Assumptions and Catalog'!$H$53+'Assumptions and Catalog'!$E$53+'Assumptions and Catalog'!$F$53,IF(((D328+E328)*C328)&lt;='Assumptions and Catalog'!$C$54,((D328+E328)*C328)*'Assumptions and Catalog'!$H$54+'Assumptions and Catalog'!$E$54+'Assumptions and Catalog'!$F$54,IF(((D328+E328)*C328)&lt;='Assumptions and Catalog'!$C$55,((D328+E328)*C328)*'Assumptions and Catalog'!$H$55+'Assumptions and Catalog'!$E$55+'Assumptions and Catalog'!$F$55,IF(((D328+E328)*C328)&lt;='Assumptions and Catalog'!$C$56,((D328+E328)*C328)*'Assumptions and Catalog'!$H$56+'Assumptions and Catalog'!$E$56+'Assumptions and Catalog'!$F$56,IF(((D328+E328)*C328)&lt;='Assumptions and Catalog'!$C$57,((D328+E328)*C328)*'Assumptions and Catalog'!$H$57+'Assumptions and Catalog'!$E$57+'Assumptions and Catalog'!$F$57,"Out of range")))))))),IF(((D328+E328)*C328)&lt;='Assumptions and Catalog'!$C$60,((D328+E328)*C328)*'Assumptions and Catalog'!$H$60+'Assumptions and Catalog'!$E$60+'Assumptions and Catalog'!$F$60,IF(((D328+E328)*C328)&lt;='Assumptions and Catalog'!$C$61,((D328+E328)*C328)*'Assumptions and Catalog'!$H$61+'Assumptions and Catalog'!$E$61+'Assumptions and Catalog'!$F$61,IF(((D328+E328)*C328)&lt;='Assumptions and Catalog'!$C$62,((D328+E328)*C328)*'Assumptions and Catalog'!$H$62+'Assumptions and Catalog'!$E$62+'Assumptions and Catalog'!$F$62,IF(((D328+E328)*C328)&lt;='Assumptions and Catalog'!$C$63,((D328+E328)*C328)*'Assumptions and Catalog'!$H$63+'Assumptions and Catalog'!$E$63+'Assumptions and Catalog'!$F$63,IF(((D328+E328)*C328)&lt;='Assumptions and Catalog'!$C$64,((D328+E328)*C328)*'Assumptions and Catalog'!$H$64+'Assumptions and Catalog'!$E$64+'Assumptions and Catalog'!$F$64,IF(((D328+E328)*C328)&lt;='Assumptions and Catalog'!$C$65,((D328+E328)*C328)*'Assumptions and Catalog'!$H$65+'Assumptions and Catalog'!$E$65+'Assumptions and Catalog'!$F$65,"Out of range")))))))))*(1+'Assumptions and Catalog'!$C$8)^(A328-1),0)</f>
        <v>8554.9666666666672</v>
      </c>
      <c r="N328" s="5">
        <f>IF(ISNUMBER(Inputs!$L$5),(IF(Inputs!$L$9="Actual flat rate",L328*Inputs!$L$10,IF(Inputs!$C$9="Residential",IF(L328&lt;='Assumptions and Catalog'!$C$50,L328*'Assumptions and Catalog'!$H$50+'Assumptions and Catalog'!$E$50+'Assumptions and Catalog'!$F$50,IF(L328&lt;='Assumptions and Catalog'!$C$51,L328*'Assumptions and Catalog'!$H$51+'Assumptions and Catalog'!$E$51+'Assumptions and Catalog'!$F$51,IF(L328&lt;='Assumptions and Catalog'!$C$52,L328*'Assumptions and Catalog'!$H$52+'Assumptions and Catalog'!$E$52+'Assumptions and Catalog'!$F$52,IF(L328&lt;='Assumptions and Catalog'!$C$53,L328*'Assumptions and Catalog'!$H$53+'Assumptions and Catalog'!$E$53+'Assumptions and Catalog'!$F$53,IF(L328&lt;='Assumptions and Catalog'!$C$54,L328*'Assumptions and Catalog'!$H$54+'Assumptions and Catalog'!$E$54+'Assumptions and Catalog'!$F$54,IF(L328&lt;='Assumptions and Catalog'!$C$55,L328*'Assumptions and Catalog'!$H$55+'Assumptions and Catalog'!$E$55+'Assumptions and Catalog'!$F$55,IF(L328&lt;='Assumptions and Catalog'!$C$56,L328*'Assumptions and Catalog'!$H$56+'Assumptions and Catalog'!$E$56+'Assumptions and Catalog'!$F$56,IF(L328&lt;='Assumptions and Catalog'!$C$57,L328*'Assumptions and Catalog'!$H$57+'Assumptions and Catalog'!$E$57+'Assumptions and Catalog'!$F$57,"Out of range")))))))),IF(L328&lt;='Assumptions and Catalog'!$C$60,L328*'Assumptions and Catalog'!$H$60+'Assumptions and Catalog'!$E$60+'Assumptions and Catalog'!$F$60,IF(L328&lt;='Assumptions and Catalog'!$C$61,L328*'Assumptions and Catalog'!$H$61+'Assumptions and Catalog'!$E$61+'Assumptions and Catalog'!$F$61,IF(L328&lt;='Assumptions and Catalog'!$C$62,L328*'Assumptions and Catalog'!$H$62+'Assumptions and Catalog'!$E$62+'Assumptions and Catalog'!$F$62,IF(L328&lt;='Assumptions and Catalog'!$C$63,L328*'Assumptions and Catalog'!$H$63+'Assumptions and Catalog'!$E$63+'Assumptions and Catalog'!$F$63,IF(L328&lt;='Assumptions and Catalog'!$C$64,L328*'Assumptions and Catalog'!$H$64+'Assumptions and Catalog'!$E$64+'Assumptions and Catalog'!$F$64,IF(L328&lt;='Assumptions and Catalog'!$C$65,L328*'Assumptions and Catalog'!$H$65+'Assumptions and Catalog'!$E$65+'Assumptions and Catalog'!$F$65,"Out of range")))))))))*(1+'Assumptions and Catalog'!$C$8)^(A328-1),0)</f>
        <v>5240.993541683305</v>
      </c>
      <c r="O328" s="5">
        <f t="shared" si="24"/>
        <v>3313.9731249833621</v>
      </c>
      <c r="P328" s="5">
        <f>C$55*(1-J$14)*(1-'Assumptions and Catalog'!$C$23)^R328</f>
        <v>0</v>
      </c>
      <c r="Q328" s="5">
        <f>IF(ISNUMBER(Inputs!$L$5),(IF(Inputs!$L$9="Actual flat rate",((D328+E328)*C328-G328)*Inputs!$L$10,IF(Inputs!$C$9="Residential",IF(((D328+E328)*C328-G328)&lt;='Assumptions and Catalog'!$C$50,((D328+E328)*C328-G328)*'Assumptions and Catalog'!$H$50+'Assumptions and Catalog'!$E$50+'Assumptions and Catalog'!$F$50,IF(((D328+E328)*C328-G328)&lt;='Assumptions and Catalog'!$C$51,((D328+E328)*C328-G328)*'Assumptions and Catalog'!$H$51+'Assumptions and Catalog'!$E$51+'Assumptions and Catalog'!$F$51,IF(((D328+E328)*C328-G328)&lt;='Assumptions and Catalog'!$C$52,((D328+E328)*C328-G328)*'Assumptions and Catalog'!$H$52+'Assumptions and Catalog'!$E$52+'Assumptions and Catalog'!$F$52,IF(((D328+E328)*C328-G328)&lt;='Assumptions and Catalog'!$C$53,((D328+E328)*C328-G328)*'Assumptions and Catalog'!$H$53+'Assumptions and Catalog'!$E$53+'Assumptions and Catalog'!$F$53,IF(((D328+E328)*C328-G328)&lt;='Assumptions and Catalog'!$C$54,((D328+E328)*C328-G328)*'Assumptions and Catalog'!$H$54+'Assumptions and Catalog'!$E$54+'Assumptions and Catalog'!$F$54,IF(((D328+E328)*C328-G328)&lt;='Assumptions and Catalog'!$C$55,((D328+E328)*C328-G328)*'Assumptions and Catalog'!$H$55+'Assumptions and Catalog'!$E$55+'Assumptions and Catalog'!$F$55,IF(((D328+E328)*C328-G328)&lt;='Assumptions and Catalog'!$C$56,((D328+E328)*C328-G328)*'Assumptions and Catalog'!$H$56+'Assumptions and Catalog'!$E$56+'Assumptions and Catalog'!$F$56,IF(((D328+E328)*C328-G328)&lt;='Assumptions and Catalog'!$C$57,((D328+E328)*C328-G328)*'Assumptions and Catalog'!$H$57+'Assumptions and Catalog'!$E$57+'Assumptions and Catalog'!$F$57,"Out of range")))))))),IF(((D328+E328)*C328-G328)&lt;='Assumptions and Catalog'!$C$60,((D328+E328)*C328-G328)*'Assumptions and Catalog'!$H$60+'Assumptions and Catalog'!$E$60+'Assumptions and Catalog'!$F$60,IF(((D328+E328)*C328-G328)&lt;='Assumptions and Catalog'!$C$61,((D328+E328)*C328-G328)*'Assumptions and Catalog'!$H$61+'Assumptions and Catalog'!$E$61+'Assumptions and Catalog'!$F$61,IF(((D328+E328)*C328-G328)&lt;='Assumptions and Catalog'!$C$62,((D328+E328)*C328-G328)*'Assumptions and Catalog'!$H$62+'Assumptions and Catalog'!$E$62+'Assumptions and Catalog'!$F$62,IF(((D328+E328)*C328-G328)&lt;='Assumptions and Catalog'!$C$63,((D328+E328)*C328-G328)*'Assumptions and Catalog'!$H$63+'Assumptions and Catalog'!$E$63+'Assumptions and Catalog'!$F$63,IF(((D328+E328)*C328-G328)&lt;='Assumptions and Catalog'!$C$64,((D328+E328)*C328-G328)*'Assumptions and Catalog'!$H$64+'Assumptions and Catalog'!$E$64+'Assumptions and Catalog'!$F$64,IF(((D328+E328)*C328-G328)&lt;='Assumptions and Catalog'!$C$65,((D328+E328)*C328-G328)*'Assumptions and Catalog'!$H$65+'Assumptions and Catalog'!$E$65+'Assumptions and Catalog'!$F$65,"Out of range")))))))))*(1+'Assumptions and Catalog'!$C$8)^(A328-1),0)</f>
        <v>5240.993541683305</v>
      </c>
      <c r="R328" s="5">
        <f>IF(AND('Assumptions and Catalog'!$C$19&gt;0,A328&gt;='Assumptions and Catalog'!$C$19),A328-'Assumptions and Catalog'!$C$19,A328-1)</f>
        <v>3</v>
      </c>
      <c r="S328" s="5">
        <f t="shared" si="25"/>
        <v>0</v>
      </c>
      <c r="T328" s="5"/>
      <c r="U328" s="5"/>
    </row>
    <row r="329" spans="1:21" ht="23.1" customHeight="1" outlineLevel="1" x14ac:dyDescent="0.2">
      <c r="A329" s="5">
        <v>15</v>
      </c>
      <c r="B329" s="5">
        <v>1</v>
      </c>
      <c r="C329" s="5">
        <f>DAY(DATE('Assumptions and Catalog'!$C$24+A329-1,B329+1,0))</f>
        <v>31</v>
      </c>
      <c r="D329" s="5">
        <f>IF(ISNUMBER(Inputs!$L$5),Inputs!$L$5*Inputs!$L$6,0)</f>
        <v>40.35</v>
      </c>
      <c r="E329" s="5">
        <f>IF(ISNUMBER(Inputs!$L$5),Inputs!$L$5-D329,0)</f>
        <v>40.35</v>
      </c>
      <c r="F329" s="5">
        <f>C$51*'Assumptions and Catalog'!$C$31*C329*(1-'Assumptions and Catalog'!$C$10)^(A329-1)</f>
        <v>964.2484950968468</v>
      </c>
      <c r="G329" s="5">
        <f t="shared" si="20"/>
        <v>964.2484950968468</v>
      </c>
      <c r="H329" s="5">
        <f>I329/('Assumptions and Catalog'!$C$11*'Assumptions and Catalog'!$C$12)</f>
        <v>0</v>
      </c>
      <c r="I329" s="5">
        <f>0</f>
        <v>0</v>
      </c>
      <c r="J329" s="5">
        <f t="shared" si="21"/>
        <v>0</v>
      </c>
      <c r="K329" s="5">
        <f t="shared" si="22"/>
        <v>0</v>
      </c>
      <c r="L329" s="5">
        <f t="shared" si="23"/>
        <v>1537.4515049031534</v>
      </c>
      <c r="M329" s="5">
        <f>IF(ISNUMBER(Inputs!$L$5),(IF(Inputs!$L$9="Actual flat rate",((D329+E329)*C329)*Inputs!$L$10,IF(Inputs!$C$9="Residential",IF(((D329+E329)*C329)&lt;='Assumptions and Catalog'!$C$50,((D329+E329)*C329)*'Assumptions and Catalog'!$H$50+'Assumptions and Catalog'!$E$50+'Assumptions and Catalog'!$F$50,IF(((D329+E329)*C329)&lt;='Assumptions and Catalog'!$C$51,((D329+E329)*C329)*'Assumptions and Catalog'!$H$51+'Assumptions and Catalog'!$E$51+'Assumptions and Catalog'!$F$51,IF(((D329+E329)*C329)&lt;='Assumptions and Catalog'!$C$52,((D329+E329)*C329)*'Assumptions and Catalog'!$H$52+'Assumptions and Catalog'!$E$52+'Assumptions and Catalog'!$F$52,IF(((D329+E329)*C329)&lt;='Assumptions and Catalog'!$C$53,((D329+E329)*C329)*'Assumptions and Catalog'!$H$53+'Assumptions and Catalog'!$E$53+'Assumptions and Catalog'!$F$53,IF(((D329+E329)*C329)&lt;='Assumptions and Catalog'!$C$54,((D329+E329)*C329)*'Assumptions and Catalog'!$H$54+'Assumptions and Catalog'!$E$54+'Assumptions and Catalog'!$F$54,IF(((D329+E329)*C329)&lt;='Assumptions and Catalog'!$C$55,((D329+E329)*C329)*'Assumptions and Catalog'!$H$55+'Assumptions and Catalog'!$E$55+'Assumptions and Catalog'!$F$55,IF(((D329+E329)*C329)&lt;='Assumptions and Catalog'!$C$56,((D329+E329)*C329)*'Assumptions and Catalog'!$H$56+'Assumptions and Catalog'!$E$56+'Assumptions and Catalog'!$F$56,IF(((D329+E329)*C329)&lt;='Assumptions and Catalog'!$C$57,((D329+E329)*C329)*'Assumptions and Catalog'!$H$57+'Assumptions and Catalog'!$E$57+'Assumptions and Catalog'!$F$57,"Out of range")))))))),IF(((D329+E329)*C329)&lt;='Assumptions and Catalog'!$C$60,((D329+E329)*C329)*'Assumptions and Catalog'!$H$60+'Assumptions and Catalog'!$E$60+'Assumptions and Catalog'!$F$60,IF(((D329+E329)*C329)&lt;='Assumptions and Catalog'!$C$61,((D329+E329)*C329)*'Assumptions and Catalog'!$H$61+'Assumptions and Catalog'!$E$61+'Assumptions and Catalog'!$F$61,IF(((D329+E329)*C329)&lt;='Assumptions and Catalog'!$C$62,((D329+E329)*C329)*'Assumptions and Catalog'!$H$62+'Assumptions and Catalog'!$E$62+'Assumptions and Catalog'!$F$62,IF(((D329+E329)*C329)&lt;='Assumptions and Catalog'!$C$63,((D329+E329)*C329)*'Assumptions and Catalog'!$H$63+'Assumptions and Catalog'!$E$63+'Assumptions and Catalog'!$F$63,IF(((D329+E329)*C329)&lt;='Assumptions and Catalog'!$C$64,((D329+E329)*C329)*'Assumptions and Catalog'!$H$64+'Assumptions and Catalog'!$E$64+'Assumptions and Catalog'!$F$64,IF(((D329+E329)*C329)&lt;='Assumptions and Catalog'!$C$65,((D329+E329)*C329)*'Assumptions and Catalog'!$H$65+'Assumptions and Catalog'!$E$65+'Assumptions and Catalog'!$F$65,"Out of range")))))))))*(1+'Assumptions and Catalog'!$C$8)^(A329-1),0)</f>
        <v>8554.9666666666672</v>
      </c>
      <c r="N329" s="5">
        <f>IF(ISNUMBER(Inputs!$L$5),(IF(Inputs!$L$9="Actual flat rate",L329*Inputs!$L$10,IF(Inputs!$C$9="Residential",IF(L329&lt;='Assumptions and Catalog'!$C$50,L329*'Assumptions and Catalog'!$H$50+'Assumptions and Catalog'!$E$50+'Assumptions and Catalog'!$F$50,IF(L329&lt;='Assumptions and Catalog'!$C$51,L329*'Assumptions and Catalog'!$H$51+'Assumptions and Catalog'!$E$51+'Assumptions and Catalog'!$F$51,IF(L329&lt;='Assumptions and Catalog'!$C$52,L329*'Assumptions and Catalog'!$H$52+'Assumptions and Catalog'!$E$52+'Assumptions and Catalog'!$F$52,IF(L329&lt;='Assumptions and Catalog'!$C$53,L329*'Assumptions and Catalog'!$H$53+'Assumptions and Catalog'!$E$53+'Assumptions and Catalog'!$F$53,IF(L329&lt;='Assumptions and Catalog'!$C$54,L329*'Assumptions and Catalog'!$H$54+'Assumptions and Catalog'!$E$54+'Assumptions and Catalog'!$F$54,IF(L329&lt;='Assumptions and Catalog'!$C$55,L329*'Assumptions and Catalog'!$H$55+'Assumptions and Catalog'!$E$55+'Assumptions and Catalog'!$F$55,IF(L329&lt;='Assumptions and Catalog'!$C$56,L329*'Assumptions and Catalog'!$H$56+'Assumptions and Catalog'!$E$56+'Assumptions and Catalog'!$F$56,IF(L329&lt;='Assumptions and Catalog'!$C$57,L329*'Assumptions and Catalog'!$H$57+'Assumptions and Catalog'!$E$57+'Assumptions and Catalog'!$F$57,"Out of range")))))))),IF(L329&lt;='Assumptions and Catalog'!$C$60,L329*'Assumptions and Catalog'!$H$60+'Assumptions and Catalog'!$E$60+'Assumptions and Catalog'!$F$60,IF(L329&lt;='Assumptions and Catalog'!$C$61,L329*'Assumptions and Catalog'!$H$61+'Assumptions and Catalog'!$E$61+'Assumptions and Catalog'!$F$61,IF(L329&lt;='Assumptions and Catalog'!$C$62,L329*'Assumptions and Catalog'!$H$62+'Assumptions and Catalog'!$E$62+'Assumptions and Catalog'!$F$62,IF(L329&lt;='Assumptions and Catalog'!$C$63,L329*'Assumptions and Catalog'!$H$63+'Assumptions and Catalog'!$E$63+'Assumptions and Catalog'!$F$63,IF(L329&lt;='Assumptions and Catalog'!$C$64,L329*'Assumptions and Catalog'!$H$64+'Assumptions and Catalog'!$E$64+'Assumptions and Catalog'!$F$64,IF(L329&lt;='Assumptions and Catalog'!$C$65,L329*'Assumptions and Catalog'!$H$65+'Assumptions and Catalog'!$E$65+'Assumptions and Catalog'!$F$65,"Out of range")))))))))*(1+'Assumptions and Catalog'!$C$8)^(A329-1),0)</f>
        <v>5257.5634073082219</v>
      </c>
      <c r="O329" s="5">
        <f t="shared" si="24"/>
        <v>3297.4032593584452</v>
      </c>
      <c r="P329" s="5">
        <f>C$55*(1-J$14)*(1-'Assumptions and Catalog'!$C$23)^R329</f>
        <v>0</v>
      </c>
      <c r="Q329" s="5">
        <f>IF(ISNUMBER(Inputs!$L$5),(IF(Inputs!$L$9="Actual flat rate",((D329+E329)*C329-G329)*Inputs!$L$10,IF(Inputs!$C$9="Residential",IF(((D329+E329)*C329-G329)&lt;='Assumptions and Catalog'!$C$50,((D329+E329)*C329-G329)*'Assumptions and Catalog'!$H$50+'Assumptions and Catalog'!$E$50+'Assumptions and Catalog'!$F$50,IF(((D329+E329)*C329-G329)&lt;='Assumptions and Catalog'!$C$51,((D329+E329)*C329-G329)*'Assumptions and Catalog'!$H$51+'Assumptions and Catalog'!$E$51+'Assumptions and Catalog'!$F$51,IF(((D329+E329)*C329-G329)&lt;='Assumptions and Catalog'!$C$52,((D329+E329)*C329-G329)*'Assumptions and Catalog'!$H$52+'Assumptions and Catalog'!$E$52+'Assumptions and Catalog'!$F$52,IF(((D329+E329)*C329-G329)&lt;='Assumptions and Catalog'!$C$53,((D329+E329)*C329-G329)*'Assumptions and Catalog'!$H$53+'Assumptions and Catalog'!$E$53+'Assumptions and Catalog'!$F$53,IF(((D329+E329)*C329-G329)&lt;='Assumptions and Catalog'!$C$54,((D329+E329)*C329-G329)*'Assumptions and Catalog'!$H$54+'Assumptions and Catalog'!$E$54+'Assumptions and Catalog'!$F$54,IF(((D329+E329)*C329-G329)&lt;='Assumptions and Catalog'!$C$55,((D329+E329)*C329-G329)*'Assumptions and Catalog'!$H$55+'Assumptions and Catalog'!$E$55+'Assumptions and Catalog'!$F$55,IF(((D329+E329)*C329-G329)&lt;='Assumptions and Catalog'!$C$56,((D329+E329)*C329-G329)*'Assumptions and Catalog'!$H$56+'Assumptions and Catalog'!$E$56+'Assumptions and Catalog'!$F$56,IF(((D329+E329)*C329-G329)&lt;='Assumptions and Catalog'!$C$57,((D329+E329)*C329-G329)*'Assumptions and Catalog'!$H$57+'Assumptions and Catalog'!$E$57+'Assumptions and Catalog'!$F$57,"Out of range")))))))),IF(((D329+E329)*C329-G329)&lt;='Assumptions and Catalog'!$C$60,((D329+E329)*C329-G329)*'Assumptions and Catalog'!$H$60+'Assumptions and Catalog'!$E$60+'Assumptions and Catalog'!$F$60,IF(((D329+E329)*C329-G329)&lt;='Assumptions and Catalog'!$C$61,((D329+E329)*C329-G329)*'Assumptions and Catalog'!$H$61+'Assumptions and Catalog'!$E$61+'Assumptions and Catalog'!$F$61,IF(((D329+E329)*C329-G329)&lt;='Assumptions and Catalog'!$C$62,((D329+E329)*C329-G329)*'Assumptions and Catalog'!$H$62+'Assumptions and Catalog'!$E$62+'Assumptions and Catalog'!$F$62,IF(((D329+E329)*C329-G329)&lt;='Assumptions and Catalog'!$C$63,((D329+E329)*C329-G329)*'Assumptions and Catalog'!$H$63+'Assumptions and Catalog'!$E$63+'Assumptions and Catalog'!$F$63,IF(((D329+E329)*C329-G329)&lt;='Assumptions and Catalog'!$C$64,((D329+E329)*C329-G329)*'Assumptions and Catalog'!$H$64+'Assumptions and Catalog'!$E$64+'Assumptions and Catalog'!$F$64,IF(((D329+E329)*C329-G329)&lt;='Assumptions and Catalog'!$C$65,((D329+E329)*C329-G329)*'Assumptions and Catalog'!$H$65+'Assumptions and Catalog'!$E$65+'Assumptions and Catalog'!$F$65,"Out of range")))))))))*(1+'Assumptions and Catalog'!$C$8)^(A329-1),0)</f>
        <v>5257.5634073082219</v>
      </c>
      <c r="R329" s="5">
        <f>IF(AND('Assumptions and Catalog'!$C$19&gt;0,A329&gt;='Assumptions and Catalog'!$C$19),A329-'Assumptions and Catalog'!$C$19,A329-1)</f>
        <v>4</v>
      </c>
      <c r="S329" s="5">
        <f t="shared" si="25"/>
        <v>0</v>
      </c>
      <c r="T329" s="5"/>
      <c r="U329" s="5"/>
    </row>
    <row r="330" spans="1:21" ht="23.1" customHeight="1" outlineLevel="1" x14ac:dyDescent="0.2">
      <c r="A330" s="5">
        <v>15</v>
      </c>
      <c r="B330" s="5">
        <v>2</v>
      </c>
      <c r="C330" s="5">
        <f>DAY(DATE('Assumptions and Catalog'!$C$24+A330-1,B330+1,0))</f>
        <v>28</v>
      </c>
      <c r="D330" s="5">
        <f>IF(ISNUMBER(Inputs!$L$5),Inputs!$L$5*Inputs!$L$6,0)</f>
        <v>40.35</v>
      </c>
      <c r="E330" s="5">
        <f>IF(ISNUMBER(Inputs!$L$5),Inputs!$L$5-D330,0)</f>
        <v>40.35</v>
      </c>
      <c r="F330" s="5">
        <f>C$51*'Assumptions and Catalog'!$C$31*C330*(1-'Assumptions and Catalog'!$C$10)^(A330-1)</f>
        <v>870.93412460360355</v>
      </c>
      <c r="G330" s="5">
        <f t="shared" si="20"/>
        <v>870.93412460360355</v>
      </c>
      <c r="H330" s="5">
        <f>I330/('Assumptions and Catalog'!$C$11*'Assumptions and Catalog'!$C$12)</f>
        <v>0</v>
      </c>
      <c r="I330" s="5">
        <f>0</f>
        <v>0</v>
      </c>
      <c r="J330" s="5">
        <f t="shared" si="21"/>
        <v>0</v>
      </c>
      <c r="K330" s="5">
        <f t="shared" si="22"/>
        <v>0</v>
      </c>
      <c r="L330" s="5">
        <f t="shared" si="23"/>
        <v>1388.6658753963964</v>
      </c>
      <c r="M330" s="5">
        <f>IF(ISNUMBER(Inputs!$L$5),(IF(Inputs!$L$9="Actual flat rate",((D330+E330)*C330)*Inputs!$L$10,IF(Inputs!$C$9="Residential",IF(((D330+E330)*C330)&lt;='Assumptions and Catalog'!$C$50,((D330+E330)*C330)*'Assumptions and Catalog'!$H$50+'Assumptions and Catalog'!$E$50+'Assumptions and Catalog'!$F$50,IF(((D330+E330)*C330)&lt;='Assumptions and Catalog'!$C$51,((D330+E330)*C330)*'Assumptions and Catalog'!$H$51+'Assumptions and Catalog'!$E$51+'Assumptions and Catalog'!$F$51,IF(((D330+E330)*C330)&lt;='Assumptions and Catalog'!$C$52,((D330+E330)*C330)*'Assumptions and Catalog'!$H$52+'Assumptions and Catalog'!$E$52+'Assumptions and Catalog'!$F$52,IF(((D330+E330)*C330)&lt;='Assumptions and Catalog'!$C$53,((D330+E330)*C330)*'Assumptions and Catalog'!$H$53+'Assumptions and Catalog'!$E$53+'Assumptions and Catalog'!$F$53,IF(((D330+E330)*C330)&lt;='Assumptions and Catalog'!$C$54,((D330+E330)*C330)*'Assumptions and Catalog'!$H$54+'Assumptions and Catalog'!$E$54+'Assumptions and Catalog'!$F$54,IF(((D330+E330)*C330)&lt;='Assumptions and Catalog'!$C$55,((D330+E330)*C330)*'Assumptions and Catalog'!$H$55+'Assumptions and Catalog'!$E$55+'Assumptions and Catalog'!$F$55,IF(((D330+E330)*C330)&lt;='Assumptions and Catalog'!$C$56,((D330+E330)*C330)*'Assumptions and Catalog'!$H$56+'Assumptions and Catalog'!$E$56+'Assumptions and Catalog'!$F$56,IF(((D330+E330)*C330)&lt;='Assumptions and Catalog'!$C$57,((D330+E330)*C330)*'Assumptions and Catalog'!$H$57+'Assumptions and Catalog'!$E$57+'Assumptions and Catalog'!$F$57,"Out of range")))))))),IF(((D330+E330)*C330)&lt;='Assumptions and Catalog'!$C$60,((D330+E330)*C330)*'Assumptions and Catalog'!$H$60+'Assumptions and Catalog'!$E$60+'Assumptions and Catalog'!$F$60,IF(((D330+E330)*C330)&lt;='Assumptions and Catalog'!$C$61,((D330+E330)*C330)*'Assumptions and Catalog'!$H$61+'Assumptions and Catalog'!$E$61+'Assumptions and Catalog'!$F$61,IF(((D330+E330)*C330)&lt;='Assumptions and Catalog'!$C$62,((D330+E330)*C330)*'Assumptions and Catalog'!$H$62+'Assumptions and Catalog'!$E$62+'Assumptions and Catalog'!$F$62,IF(((D330+E330)*C330)&lt;='Assumptions and Catalog'!$C$63,((D330+E330)*C330)*'Assumptions and Catalog'!$H$63+'Assumptions and Catalog'!$E$63+'Assumptions and Catalog'!$F$63,IF(((D330+E330)*C330)&lt;='Assumptions and Catalog'!$C$64,((D330+E330)*C330)*'Assumptions and Catalog'!$H$64+'Assumptions and Catalog'!$E$64+'Assumptions and Catalog'!$F$64,IF(((D330+E330)*C330)&lt;='Assumptions and Catalog'!$C$65,((D330+E330)*C330)*'Assumptions and Catalog'!$H$65+'Assumptions and Catalog'!$E$65+'Assumptions and Catalog'!$F$65,"Out of range")))))))))*(1+'Assumptions and Catalog'!$C$8)^(A330-1),0)</f>
        <v>7727.0666666666657</v>
      </c>
      <c r="N330" s="5">
        <f>IF(ISNUMBER(Inputs!$L$5),(IF(Inputs!$L$9="Actual flat rate",L330*Inputs!$L$10,IF(Inputs!$C$9="Residential",IF(L330&lt;='Assumptions and Catalog'!$C$50,L330*'Assumptions and Catalog'!$H$50+'Assumptions and Catalog'!$E$50+'Assumptions and Catalog'!$F$50,IF(L330&lt;='Assumptions and Catalog'!$C$51,L330*'Assumptions and Catalog'!$H$51+'Assumptions and Catalog'!$E$51+'Assumptions and Catalog'!$F$51,IF(L330&lt;='Assumptions and Catalog'!$C$52,L330*'Assumptions and Catalog'!$H$52+'Assumptions and Catalog'!$E$52+'Assumptions and Catalog'!$F$52,IF(L330&lt;='Assumptions and Catalog'!$C$53,L330*'Assumptions and Catalog'!$H$53+'Assumptions and Catalog'!$E$53+'Assumptions and Catalog'!$F$53,IF(L330&lt;='Assumptions and Catalog'!$C$54,L330*'Assumptions and Catalog'!$H$54+'Assumptions and Catalog'!$E$54+'Assumptions and Catalog'!$F$54,IF(L330&lt;='Assumptions and Catalog'!$C$55,L330*'Assumptions and Catalog'!$H$55+'Assumptions and Catalog'!$E$55+'Assumptions and Catalog'!$F$55,IF(L330&lt;='Assumptions and Catalog'!$C$56,L330*'Assumptions and Catalog'!$H$56+'Assumptions and Catalog'!$E$56+'Assumptions and Catalog'!$F$56,IF(L330&lt;='Assumptions and Catalog'!$C$57,L330*'Assumptions and Catalog'!$H$57+'Assumptions and Catalog'!$E$57+'Assumptions and Catalog'!$F$57,"Out of range")))))))),IF(L330&lt;='Assumptions and Catalog'!$C$60,L330*'Assumptions and Catalog'!$H$60+'Assumptions and Catalog'!$E$60+'Assumptions and Catalog'!$F$60,IF(L330&lt;='Assumptions and Catalog'!$C$61,L330*'Assumptions and Catalog'!$H$61+'Assumptions and Catalog'!$E$61+'Assumptions and Catalog'!$F$61,IF(L330&lt;='Assumptions and Catalog'!$C$62,L330*'Assumptions and Catalog'!$H$62+'Assumptions and Catalog'!$E$62+'Assumptions and Catalog'!$F$62,IF(L330&lt;='Assumptions and Catalog'!$C$63,L330*'Assumptions and Catalog'!$H$63+'Assumptions and Catalog'!$E$63+'Assumptions and Catalog'!$F$63,IF(L330&lt;='Assumptions and Catalog'!$C$64,L330*'Assumptions and Catalog'!$H$64+'Assumptions and Catalog'!$E$64+'Assumptions and Catalog'!$F$64,IF(L330&lt;='Assumptions and Catalog'!$C$65,L330*'Assumptions and Catalog'!$H$65+'Assumptions and Catalog'!$E$65+'Assumptions and Catalog'!$F$65,"Out of range")))))))))*(1+'Assumptions and Catalog'!$C$8)^(A330-1),0)</f>
        <v>4748.7669485364577</v>
      </c>
      <c r="O330" s="5">
        <f t="shared" si="24"/>
        <v>2978.299718130208</v>
      </c>
      <c r="P330" s="5">
        <f>C$55*(1-J$14)*(1-'Assumptions and Catalog'!$C$23)^R330</f>
        <v>0</v>
      </c>
      <c r="Q330" s="5">
        <f>IF(ISNUMBER(Inputs!$L$5),(IF(Inputs!$L$9="Actual flat rate",((D330+E330)*C330-G330)*Inputs!$L$10,IF(Inputs!$C$9="Residential",IF(((D330+E330)*C330-G330)&lt;='Assumptions and Catalog'!$C$50,((D330+E330)*C330-G330)*'Assumptions and Catalog'!$H$50+'Assumptions and Catalog'!$E$50+'Assumptions and Catalog'!$F$50,IF(((D330+E330)*C330-G330)&lt;='Assumptions and Catalog'!$C$51,((D330+E330)*C330-G330)*'Assumptions and Catalog'!$H$51+'Assumptions and Catalog'!$E$51+'Assumptions and Catalog'!$F$51,IF(((D330+E330)*C330-G330)&lt;='Assumptions and Catalog'!$C$52,((D330+E330)*C330-G330)*'Assumptions and Catalog'!$H$52+'Assumptions and Catalog'!$E$52+'Assumptions and Catalog'!$F$52,IF(((D330+E330)*C330-G330)&lt;='Assumptions and Catalog'!$C$53,((D330+E330)*C330-G330)*'Assumptions and Catalog'!$H$53+'Assumptions and Catalog'!$E$53+'Assumptions and Catalog'!$F$53,IF(((D330+E330)*C330-G330)&lt;='Assumptions and Catalog'!$C$54,((D330+E330)*C330-G330)*'Assumptions and Catalog'!$H$54+'Assumptions and Catalog'!$E$54+'Assumptions and Catalog'!$F$54,IF(((D330+E330)*C330-G330)&lt;='Assumptions and Catalog'!$C$55,((D330+E330)*C330-G330)*'Assumptions and Catalog'!$H$55+'Assumptions and Catalog'!$E$55+'Assumptions and Catalog'!$F$55,IF(((D330+E330)*C330-G330)&lt;='Assumptions and Catalog'!$C$56,((D330+E330)*C330-G330)*'Assumptions and Catalog'!$H$56+'Assumptions and Catalog'!$E$56+'Assumptions and Catalog'!$F$56,IF(((D330+E330)*C330-G330)&lt;='Assumptions and Catalog'!$C$57,((D330+E330)*C330-G330)*'Assumptions and Catalog'!$H$57+'Assumptions and Catalog'!$E$57+'Assumptions and Catalog'!$F$57,"Out of range")))))))),IF(((D330+E330)*C330-G330)&lt;='Assumptions and Catalog'!$C$60,((D330+E330)*C330-G330)*'Assumptions and Catalog'!$H$60+'Assumptions and Catalog'!$E$60+'Assumptions and Catalog'!$F$60,IF(((D330+E330)*C330-G330)&lt;='Assumptions and Catalog'!$C$61,((D330+E330)*C330-G330)*'Assumptions and Catalog'!$H$61+'Assumptions and Catalog'!$E$61+'Assumptions and Catalog'!$F$61,IF(((D330+E330)*C330-G330)&lt;='Assumptions and Catalog'!$C$62,((D330+E330)*C330-G330)*'Assumptions and Catalog'!$H$62+'Assumptions and Catalog'!$E$62+'Assumptions and Catalog'!$F$62,IF(((D330+E330)*C330-G330)&lt;='Assumptions and Catalog'!$C$63,((D330+E330)*C330-G330)*'Assumptions and Catalog'!$H$63+'Assumptions and Catalog'!$E$63+'Assumptions and Catalog'!$F$63,IF(((D330+E330)*C330-G330)&lt;='Assumptions and Catalog'!$C$64,((D330+E330)*C330-G330)*'Assumptions and Catalog'!$H$64+'Assumptions and Catalog'!$E$64+'Assumptions and Catalog'!$F$64,IF(((D330+E330)*C330-G330)&lt;='Assumptions and Catalog'!$C$65,((D330+E330)*C330-G330)*'Assumptions and Catalog'!$H$65+'Assumptions and Catalog'!$E$65+'Assumptions and Catalog'!$F$65,"Out of range")))))))))*(1+'Assumptions and Catalog'!$C$8)^(A330-1),0)</f>
        <v>4748.7669485364577</v>
      </c>
      <c r="R330" s="5">
        <f>IF(AND('Assumptions and Catalog'!$C$19&gt;0,A330&gt;='Assumptions and Catalog'!$C$19),A330-'Assumptions and Catalog'!$C$19,A330-1)</f>
        <v>4</v>
      </c>
      <c r="S330" s="5">
        <f t="shared" si="25"/>
        <v>0</v>
      </c>
      <c r="T330" s="5"/>
      <c r="U330" s="5"/>
    </row>
    <row r="331" spans="1:21" ht="23.1" customHeight="1" outlineLevel="1" x14ac:dyDescent="0.2">
      <c r="A331" s="5">
        <v>15</v>
      </c>
      <c r="B331" s="5">
        <v>3</v>
      </c>
      <c r="C331" s="5">
        <f>DAY(DATE('Assumptions and Catalog'!$C$24+A331-1,B331+1,0))</f>
        <v>31</v>
      </c>
      <c r="D331" s="5">
        <f>IF(ISNUMBER(Inputs!$L$5),Inputs!$L$5*Inputs!$L$6,0)</f>
        <v>40.35</v>
      </c>
      <c r="E331" s="5">
        <f>IF(ISNUMBER(Inputs!$L$5),Inputs!$L$5-D331,0)</f>
        <v>40.35</v>
      </c>
      <c r="F331" s="5">
        <f>C$51*'Assumptions and Catalog'!$C$31*C331*(1-'Assumptions and Catalog'!$C$10)^(A331-1)</f>
        <v>964.2484950968468</v>
      </c>
      <c r="G331" s="5">
        <f t="shared" si="20"/>
        <v>964.2484950968468</v>
      </c>
      <c r="H331" s="5">
        <f>I331/('Assumptions and Catalog'!$C$11*'Assumptions and Catalog'!$C$12)</f>
        <v>0</v>
      </c>
      <c r="I331" s="5">
        <f>0</f>
        <v>0</v>
      </c>
      <c r="J331" s="5">
        <f t="shared" si="21"/>
        <v>0</v>
      </c>
      <c r="K331" s="5">
        <f t="shared" si="22"/>
        <v>0</v>
      </c>
      <c r="L331" s="5">
        <f t="shared" si="23"/>
        <v>1537.4515049031534</v>
      </c>
      <c r="M331" s="5">
        <f>IF(ISNUMBER(Inputs!$L$5),(IF(Inputs!$L$9="Actual flat rate",((D331+E331)*C331)*Inputs!$L$10,IF(Inputs!$C$9="Residential",IF(((D331+E331)*C331)&lt;='Assumptions and Catalog'!$C$50,((D331+E331)*C331)*'Assumptions and Catalog'!$H$50+'Assumptions and Catalog'!$E$50+'Assumptions and Catalog'!$F$50,IF(((D331+E331)*C331)&lt;='Assumptions and Catalog'!$C$51,((D331+E331)*C331)*'Assumptions and Catalog'!$H$51+'Assumptions and Catalog'!$E$51+'Assumptions and Catalog'!$F$51,IF(((D331+E331)*C331)&lt;='Assumptions and Catalog'!$C$52,((D331+E331)*C331)*'Assumptions and Catalog'!$H$52+'Assumptions and Catalog'!$E$52+'Assumptions and Catalog'!$F$52,IF(((D331+E331)*C331)&lt;='Assumptions and Catalog'!$C$53,((D331+E331)*C331)*'Assumptions and Catalog'!$H$53+'Assumptions and Catalog'!$E$53+'Assumptions and Catalog'!$F$53,IF(((D331+E331)*C331)&lt;='Assumptions and Catalog'!$C$54,((D331+E331)*C331)*'Assumptions and Catalog'!$H$54+'Assumptions and Catalog'!$E$54+'Assumptions and Catalog'!$F$54,IF(((D331+E331)*C331)&lt;='Assumptions and Catalog'!$C$55,((D331+E331)*C331)*'Assumptions and Catalog'!$H$55+'Assumptions and Catalog'!$E$55+'Assumptions and Catalog'!$F$55,IF(((D331+E331)*C331)&lt;='Assumptions and Catalog'!$C$56,((D331+E331)*C331)*'Assumptions and Catalog'!$H$56+'Assumptions and Catalog'!$E$56+'Assumptions and Catalog'!$F$56,IF(((D331+E331)*C331)&lt;='Assumptions and Catalog'!$C$57,((D331+E331)*C331)*'Assumptions and Catalog'!$H$57+'Assumptions and Catalog'!$E$57+'Assumptions and Catalog'!$F$57,"Out of range")))))))),IF(((D331+E331)*C331)&lt;='Assumptions and Catalog'!$C$60,((D331+E331)*C331)*'Assumptions and Catalog'!$H$60+'Assumptions and Catalog'!$E$60+'Assumptions and Catalog'!$F$60,IF(((D331+E331)*C331)&lt;='Assumptions and Catalog'!$C$61,((D331+E331)*C331)*'Assumptions and Catalog'!$H$61+'Assumptions and Catalog'!$E$61+'Assumptions and Catalog'!$F$61,IF(((D331+E331)*C331)&lt;='Assumptions and Catalog'!$C$62,((D331+E331)*C331)*'Assumptions and Catalog'!$H$62+'Assumptions and Catalog'!$E$62+'Assumptions and Catalog'!$F$62,IF(((D331+E331)*C331)&lt;='Assumptions and Catalog'!$C$63,((D331+E331)*C331)*'Assumptions and Catalog'!$H$63+'Assumptions and Catalog'!$E$63+'Assumptions and Catalog'!$F$63,IF(((D331+E331)*C331)&lt;='Assumptions and Catalog'!$C$64,((D331+E331)*C331)*'Assumptions and Catalog'!$H$64+'Assumptions and Catalog'!$E$64+'Assumptions and Catalog'!$F$64,IF(((D331+E331)*C331)&lt;='Assumptions and Catalog'!$C$65,((D331+E331)*C331)*'Assumptions and Catalog'!$H$65+'Assumptions and Catalog'!$E$65+'Assumptions and Catalog'!$F$65,"Out of range")))))))))*(1+'Assumptions and Catalog'!$C$8)^(A331-1),0)</f>
        <v>8554.9666666666672</v>
      </c>
      <c r="N331" s="5">
        <f>IF(ISNUMBER(Inputs!$L$5),(IF(Inputs!$L$9="Actual flat rate",L331*Inputs!$L$10,IF(Inputs!$C$9="Residential",IF(L331&lt;='Assumptions and Catalog'!$C$50,L331*'Assumptions and Catalog'!$H$50+'Assumptions and Catalog'!$E$50+'Assumptions and Catalog'!$F$50,IF(L331&lt;='Assumptions and Catalog'!$C$51,L331*'Assumptions and Catalog'!$H$51+'Assumptions and Catalog'!$E$51+'Assumptions and Catalog'!$F$51,IF(L331&lt;='Assumptions and Catalog'!$C$52,L331*'Assumptions and Catalog'!$H$52+'Assumptions and Catalog'!$E$52+'Assumptions and Catalog'!$F$52,IF(L331&lt;='Assumptions and Catalog'!$C$53,L331*'Assumptions and Catalog'!$H$53+'Assumptions and Catalog'!$E$53+'Assumptions and Catalog'!$F$53,IF(L331&lt;='Assumptions and Catalog'!$C$54,L331*'Assumptions and Catalog'!$H$54+'Assumptions and Catalog'!$E$54+'Assumptions and Catalog'!$F$54,IF(L331&lt;='Assumptions and Catalog'!$C$55,L331*'Assumptions and Catalog'!$H$55+'Assumptions and Catalog'!$E$55+'Assumptions and Catalog'!$F$55,IF(L331&lt;='Assumptions and Catalog'!$C$56,L331*'Assumptions and Catalog'!$H$56+'Assumptions and Catalog'!$E$56+'Assumptions and Catalog'!$F$56,IF(L331&lt;='Assumptions and Catalog'!$C$57,L331*'Assumptions and Catalog'!$H$57+'Assumptions and Catalog'!$E$57+'Assumptions and Catalog'!$F$57,"Out of range")))))))),IF(L331&lt;='Assumptions and Catalog'!$C$60,L331*'Assumptions and Catalog'!$H$60+'Assumptions and Catalog'!$E$60+'Assumptions and Catalog'!$F$60,IF(L331&lt;='Assumptions and Catalog'!$C$61,L331*'Assumptions and Catalog'!$H$61+'Assumptions and Catalog'!$E$61+'Assumptions and Catalog'!$F$61,IF(L331&lt;='Assumptions and Catalog'!$C$62,L331*'Assumptions and Catalog'!$H$62+'Assumptions and Catalog'!$E$62+'Assumptions and Catalog'!$F$62,IF(L331&lt;='Assumptions and Catalog'!$C$63,L331*'Assumptions and Catalog'!$H$63+'Assumptions and Catalog'!$E$63+'Assumptions and Catalog'!$F$63,IF(L331&lt;='Assumptions and Catalog'!$C$64,L331*'Assumptions and Catalog'!$H$64+'Assumptions and Catalog'!$E$64+'Assumptions and Catalog'!$F$64,IF(L331&lt;='Assumptions and Catalog'!$C$65,L331*'Assumptions and Catalog'!$H$65+'Assumptions and Catalog'!$E$65+'Assumptions and Catalog'!$F$65,"Out of range")))))))))*(1+'Assumptions and Catalog'!$C$8)^(A331-1),0)</f>
        <v>5257.5634073082219</v>
      </c>
      <c r="O331" s="5">
        <f t="shared" si="24"/>
        <v>3297.4032593584452</v>
      </c>
      <c r="P331" s="5">
        <f>C$55*(1-J$14)*(1-'Assumptions and Catalog'!$C$23)^R331</f>
        <v>0</v>
      </c>
      <c r="Q331" s="5">
        <f>IF(ISNUMBER(Inputs!$L$5),(IF(Inputs!$L$9="Actual flat rate",((D331+E331)*C331-G331)*Inputs!$L$10,IF(Inputs!$C$9="Residential",IF(((D331+E331)*C331-G331)&lt;='Assumptions and Catalog'!$C$50,((D331+E331)*C331-G331)*'Assumptions and Catalog'!$H$50+'Assumptions and Catalog'!$E$50+'Assumptions and Catalog'!$F$50,IF(((D331+E331)*C331-G331)&lt;='Assumptions and Catalog'!$C$51,((D331+E331)*C331-G331)*'Assumptions and Catalog'!$H$51+'Assumptions and Catalog'!$E$51+'Assumptions and Catalog'!$F$51,IF(((D331+E331)*C331-G331)&lt;='Assumptions and Catalog'!$C$52,((D331+E331)*C331-G331)*'Assumptions and Catalog'!$H$52+'Assumptions and Catalog'!$E$52+'Assumptions and Catalog'!$F$52,IF(((D331+E331)*C331-G331)&lt;='Assumptions and Catalog'!$C$53,((D331+E331)*C331-G331)*'Assumptions and Catalog'!$H$53+'Assumptions and Catalog'!$E$53+'Assumptions and Catalog'!$F$53,IF(((D331+E331)*C331-G331)&lt;='Assumptions and Catalog'!$C$54,((D331+E331)*C331-G331)*'Assumptions and Catalog'!$H$54+'Assumptions and Catalog'!$E$54+'Assumptions and Catalog'!$F$54,IF(((D331+E331)*C331-G331)&lt;='Assumptions and Catalog'!$C$55,((D331+E331)*C331-G331)*'Assumptions and Catalog'!$H$55+'Assumptions and Catalog'!$E$55+'Assumptions and Catalog'!$F$55,IF(((D331+E331)*C331-G331)&lt;='Assumptions and Catalog'!$C$56,((D331+E331)*C331-G331)*'Assumptions and Catalog'!$H$56+'Assumptions and Catalog'!$E$56+'Assumptions and Catalog'!$F$56,IF(((D331+E331)*C331-G331)&lt;='Assumptions and Catalog'!$C$57,((D331+E331)*C331-G331)*'Assumptions and Catalog'!$H$57+'Assumptions and Catalog'!$E$57+'Assumptions and Catalog'!$F$57,"Out of range")))))))),IF(((D331+E331)*C331-G331)&lt;='Assumptions and Catalog'!$C$60,((D331+E331)*C331-G331)*'Assumptions and Catalog'!$H$60+'Assumptions and Catalog'!$E$60+'Assumptions and Catalog'!$F$60,IF(((D331+E331)*C331-G331)&lt;='Assumptions and Catalog'!$C$61,((D331+E331)*C331-G331)*'Assumptions and Catalog'!$H$61+'Assumptions and Catalog'!$E$61+'Assumptions and Catalog'!$F$61,IF(((D331+E331)*C331-G331)&lt;='Assumptions and Catalog'!$C$62,((D331+E331)*C331-G331)*'Assumptions and Catalog'!$H$62+'Assumptions and Catalog'!$E$62+'Assumptions and Catalog'!$F$62,IF(((D331+E331)*C331-G331)&lt;='Assumptions and Catalog'!$C$63,((D331+E331)*C331-G331)*'Assumptions and Catalog'!$H$63+'Assumptions and Catalog'!$E$63+'Assumptions and Catalog'!$F$63,IF(((D331+E331)*C331-G331)&lt;='Assumptions and Catalog'!$C$64,((D331+E331)*C331-G331)*'Assumptions and Catalog'!$H$64+'Assumptions and Catalog'!$E$64+'Assumptions and Catalog'!$F$64,IF(((D331+E331)*C331-G331)&lt;='Assumptions and Catalog'!$C$65,((D331+E331)*C331-G331)*'Assumptions and Catalog'!$H$65+'Assumptions and Catalog'!$E$65+'Assumptions and Catalog'!$F$65,"Out of range")))))))))*(1+'Assumptions and Catalog'!$C$8)^(A331-1),0)</f>
        <v>5257.5634073082219</v>
      </c>
      <c r="R331" s="5">
        <f>IF(AND('Assumptions and Catalog'!$C$19&gt;0,A331&gt;='Assumptions and Catalog'!$C$19),A331-'Assumptions and Catalog'!$C$19,A331-1)</f>
        <v>4</v>
      </c>
      <c r="S331" s="5">
        <f t="shared" si="25"/>
        <v>0</v>
      </c>
      <c r="T331" s="5"/>
      <c r="U331" s="5"/>
    </row>
    <row r="332" spans="1:21" ht="23.1" customHeight="1" outlineLevel="1" x14ac:dyDescent="0.2">
      <c r="A332" s="5">
        <v>15</v>
      </c>
      <c r="B332" s="5">
        <v>4</v>
      </c>
      <c r="C332" s="5">
        <f>DAY(DATE('Assumptions and Catalog'!$C$24+A332-1,B332+1,0))</f>
        <v>30</v>
      </c>
      <c r="D332" s="5">
        <f>IF(ISNUMBER(Inputs!$L$5),Inputs!$L$5*Inputs!$L$6,0)</f>
        <v>40.35</v>
      </c>
      <c r="E332" s="5">
        <f>IF(ISNUMBER(Inputs!$L$5),Inputs!$L$5-D332,0)</f>
        <v>40.35</v>
      </c>
      <c r="F332" s="5">
        <f>C$51*'Assumptions and Catalog'!$C$31*C332*(1-'Assumptions and Catalog'!$C$10)^(A332-1)</f>
        <v>933.14370493243246</v>
      </c>
      <c r="G332" s="5">
        <f t="shared" si="20"/>
        <v>933.14370493243246</v>
      </c>
      <c r="H332" s="5">
        <f>I332/('Assumptions and Catalog'!$C$11*'Assumptions and Catalog'!$C$12)</f>
        <v>0</v>
      </c>
      <c r="I332" s="5">
        <f>0</f>
        <v>0</v>
      </c>
      <c r="J332" s="5">
        <f t="shared" si="21"/>
        <v>0</v>
      </c>
      <c r="K332" s="5">
        <f t="shared" si="22"/>
        <v>0</v>
      </c>
      <c r="L332" s="5">
        <f t="shared" si="23"/>
        <v>1487.8562950675675</v>
      </c>
      <c r="M332" s="5">
        <f>IF(ISNUMBER(Inputs!$L$5),(IF(Inputs!$L$9="Actual flat rate",((D332+E332)*C332)*Inputs!$L$10,IF(Inputs!$C$9="Residential",IF(((D332+E332)*C332)&lt;='Assumptions and Catalog'!$C$50,((D332+E332)*C332)*'Assumptions and Catalog'!$H$50+'Assumptions and Catalog'!$E$50+'Assumptions and Catalog'!$F$50,IF(((D332+E332)*C332)&lt;='Assumptions and Catalog'!$C$51,((D332+E332)*C332)*'Assumptions and Catalog'!$H$51+'Assumptions and Catalog'!$E$51+'Assumptions and Catalog'!$F$51,IF(((D332+E332)*C332)&lt;='Assumptions and Catalog'!$C$52,((D332+E332)*C332)*'Assumptions and Catalog'!$H$52+'Assumptions and Catalog'!$E$52+'Assumptions and Catalog'!$F$52,IF(((D332+E332)*C332)&lt;='Assumptions and Catalog'!$C$53,((D332+E332)*C332)*'Assumptions and Catalog'!$H$53+'Assumptions and Catalog'!$E$53+'Assumptions and Catalog'!$F$53,IF(((D332+E332)*C332)&lt;='Assumptions and Catalog'!$C$54,((D332+E332)*C332)*'Assumptions and Catalog'!$H$54+'Assumptions and Catalog'!$E$54+'Assumptions and Catalog'!$F$54,IF(((D332+E332)*C332)&lt;='Assumptions and Catalog'!$C$55,((D332+E332)*C332)*'Assumptions and Catalog'!$H$55+'Assumptions and Catalog'!$E$55+'Assumptions and Catalog'!$F$55,IF(((D332+E332)*C332)&lt;='Assumptions and Catalog'!$C$56,((D332+E332)*C332)*'Assumptions and Catalog'!$H$56+'Assumptions and Catalog'!$E$56+'Assumptions and Catalog'!$F$56,IF(((D332+E332)*C332)&lt;='Assumptions and Catalog'!$C$57,((D332+E332)*C332)*'Assumptions and Catalog'!$H$57+'Assumptions and Catalog'!$E$57+'Assumptions and Catalog'!$F$57,"Out of range")))))))),IF(((D332+E332)*C332)&lt;='Assumptions and Catalog'!$C$60,((D332+E332)*C332)*'Assumptions and Catalog'!$H$60+'Assumptions and Catalog'!$E$60+'Assumptions and Catalog'!$F$60,IF(((D332+E332)*C332)&lt;='Assumptions and Catalog'!$C$61,((D332+E332)*C332)*'Assumptions and Catalog'!$H$61+'Assumptions and Catalog'!$E$61+'Assumptions and Catalog'!$F$61,IF(((D332+E332)*C332)&lt;='Assumptions and Catalog'!$C$62,((D332+E332)*C332)*'Assumptions and Catalog'!$H$62+'Assumptions and Catalog'!$E$62+'Assumptions and Catalog'!$F$62,IF(((D332+E332)*C332)&lt;='Assumptions and Catalog'!$C$63,((D332+E332)*C332)*'Assumptions and Catalog'!$H$63+'Assumptions and Catalog'!$E$63+'Assumptions and Catalog'!$F$63,IF(((D332+E332)*C332)&lt;='Assumptions and Catalog'!$C$64,((D332+E332)*C332)*'Assumptions and Catalog'!$H$64+'Assumptions and Catalog'!$E$64+'Assumptions and Catalog'!$F$64,IF(((D332+E332)*C332)&lt;='Assumptions and Catalog'!$C$65,((D332+E332)*C332)*'Assumptions and Catalog'!$H$65+'Assumptions and Catalog'!$E$65+'Assumptions and Catalog'!$F$65,"Out of range")))))))))*(1+'Assumptions and Catalog'!$C$8)^(A332-1),0)</f>
        <v>8279</v>
      </c>
      <c r="N332" s="5">
        <f>IF(ISNUMBER(Inputs!$L$5),(IF(Inputs!$L$9="Actual flat rate",L332*Inputs!$L$10,IF(Inputs!$C$9="Residential",IF(L332&lt;='Assumptions and Catalog'!$C$50,L332*'Assumptions and Catalog'!$H$50+'Assumptions and Catalog'!$E$50+'Assumptions and Catalog'!$F$50,IF(L332&lt;='Assumptions and Catalog'!$C$51,L332*'Assumptions and Catalog'!$H$51+'Assumptions and Catalog'!$E$51+'Assumptions and Catalog'!$F$51,IF(L332&lt;='Assumptions and Catalog'!$C$52,L332*'Assumptions and Catalog'!$H$52+'Assumptions and Catalog'!$E$52+'Assumptions and Catalog'!$F$52,IF(L332&lt;='Assumptions and Catalog'!$C$53,L332*'Assumptions and Catalog'!$H$53+'Assumptions and Catalog'!$E$53+'Assumptions and Catalog'!$F$53,IF(L332&lt;='Assumptions and Catalog'!$C$54,L332*'Assumptions and Catalog'!$H$54+'Assumptions and Catalog'!$E$54+'Assumptions and Catalog'!$F$54,IF(L332&lt;='Assumptions and Catalog'!$C$55,L332*'Assumptions and Catalog'!$H$55+'Assumptions and Catalog'!$E$55+'Assumptions and Catalog'!$F$55,IF(L332&lt;='Assumptions and Catalog'!$C$56,L332*'Assumptions and Catalog'!$H$56+'Assumptions and Catalog'!$E$56+'Assumptions and Catalog'!$F$56,IF(L332&lt;='Assumptions and Catalog'!$C$57,L332*'Assumptions and Catalog'!$H$57+'Assumptions and Catalog'!$E$57+'Assumptions and Catalog'!$F$57,"Out of range")))))))),IF(L332&lt;='Assumptions and Catalog'!$C$60,L332*'Assumptions and Catalog'!$H$60+'Assumptions and Catalog'!$E$60+'Assumptions and Catalog'!$F$60,IF(L332&lt;='Assumptions and Catalog'!$C$61,L332*'Assumptions and Catalog'!$H$61+'Assumptions and Catalog'!$E$61+'Assumptions and Catalog'!$F$61,IF(L332&lt;='Assumptions and Catalog'!$C$62,L332*'Assumptions and Catalog'!$H$62+'Assumptions and Catalog'!$E$62+'Assumptions and Catalog'!$F$62,IF(L332&lt;='Assumptions and Catalog'!$C$63,L332*'Assumptions and Catalog'!$H$63+'Assumptions and Catalog'!$E$63+'Assumptions and Catalog'!$F$63,IF(L332&lt;='Assumptions and Catalog'!$C$64,L332*'Assumptions and Catalog'!$H$64+'Assumptions and Catalog'!$E$64+'Assumptions and Catalog'!$F$64,IF(L332&lt;='Assumptions and Catalog'!$C$65,L332*'Assumptions and Catalog'!$H$65+'Assumptions and Catalog'!$E$65+'Assumptions and Catalog'!$F$65,"Out of range")))))))))*(1+'Assumptions and Catalog'!$C$8)^(A332-1),0)</f>
        <v>5087.9645877176335</v>
      </c>
      <c r="O332" s="5">
        <f t="shared" si="24"/>
        <v>3191.0354122823665</v>
      </c>
      <c r="P332" s="5">
        <f>C$55*(1-J$14)*(1-'Assumptions and Catalog'!$C$23)^R332</f>
        <v>0</v>
      </c>
      <c r="Q332" s="5">
        <f>IF(ISNUMBER(Inputs!$L$5),(IF(Inputs!$L$9="Actual flat rate",((D332+E332)*C332-G332)*Inputs!$L$10,IF(Inputs!$C$9="Residential",IF(((D332+E332)*C332-G332)&lt;='Assumptions and Catalog'!$C$50,((D332+E332)*C332-G332)*'Assumptions and Catalog'!$H$50+'Assumptions and Catalog'!$E$50+'Assumptions and Catalog'!$F$50,IF(((D332+E332)*C332-G332)&lt;='Assumptions and Catalog'!$C$51,((D332+E332)*C332-G332)*'Assumptions and Catalog'!$H$51+'Assumptions and Catalog'!$E$51+'Assumptions and Catalog'!$F$51,IF(((D332+E332)*C332-G332)&lt;='Assumptions and Catalog'!$C$52,((D332+E332)*C332-G332)*'Assumptions and Catalog'!$H$52+'Assumptions and Catalog'!$E$52+'Assumptions and Catalog'!$F$52,IF(((D332+E332)*C332-G332)&lt;='Assumptions and Catalog'!$C$53,((D332+E332)*C332-G332)*'Assumptions and Catalog'!$H$53+'Assumptions and Catalog'!$E$53+'Assumptions and Catalog'!$F$53,IF(((D332+E332)*C332-G332)&lt;='Assumptions and Catalog'!$C$54,((D332+E332)*C332-G332)*'Assumptions and Catalog'!$H$54+'Assumptions and Catalog'!$E$54+'Assumptions and Catalog'!$F$54,IF(((D332+E332)*C332-G332)&lt;='Assumptions and Catalog'!$C$55,((D332+E332)*C332-G332)*'Assumptions and Catalog'!$H$55+'Assumptions and Catalog'!$E$55+'Assumptions and Catalog'!$F$55,IF(((D332+E332)*C332-G332)&lt;='Assumptions and Catalog'!$C$56,((D332+E332)*C332-G332)*'Assumptions and Catalog'!$H$56+'Assumptions and Catalog'!$E$56+'Assumptions and Catalog'!$F$56,IF(((D332+E332)*C332-G332)&lt;='Assumptions and Catalog'!$C$57,((D332+E332)*C332-G332)*'Assumptions and Catalog'!$H$57+'Assumptions and Catalog'!$E$57+'Assumptions and Catalog'!$F$57,"Out of range")))))))),IF(((D332+E332)*C332-G332)&lt;='Assumptions and Catalog'!$C$60,((D332+E332)*C332-G332)*'Assumptions and Catalog'!$H$60+'Assumptions and Catalog'!$E$60+'Assumptions and Catalog'!$F$60,IF(((D332+E332)*C332-G332)&lt;='Assumptions and Catalog'!$C$61,((D332+E332)*C332-G332)*'Assumptions and Catalog'!$H$61+'Assumptions and Catalog'!$E$61+'Assumptions and Catalog'!$F$61,IF(((D332+E332)*C332-G332)&lt;='Assumptions and Catalog'!$C$62,((D332+E332)*C332-G332)*'Assumptions and Catalog'!$H$62+'Assumptions and Catalog'!$E$62+'Assumptions and Catalog'!$F$62,IF(((D332+E332)*C332-G332)&lt;='Assumptions and Catalog'!$C$63,((D332+E332)*C332-G332)*'Assumptions and Catalog'!$H$63+'Assumptions and Catalog'!$E$63+'Assumptions and Catalog'!$F$63,IF(((D332+E332)*C332-G332)&lt;='Assumptions and Catalog'!$C$64,((D332+E332)*C332-G332)*'Assumptions and Catalog'!$H$64+'Assumptions and Catalog'!$E$64+'Assumptions and Catalog'!$F$64,IF(((D332+E332)*C332-G332)&lt;='Assumptions and Catalog'!$C$65,((D332+E332)*C332-G332)*'Assumptions and Catalog'!$H$65+'Assumptions and Catalog'!$E$65+'Assumptions and Catalog'!$F$65,"Out of range")))))))))*(1+'Assumptions and Catalog'!$C$8)^(A332-1),0)</f>
        <v>5087.9645877176335</v>
      </c>
      <c r="R332" s="5">
        <f>IF(AND('Assumptions and Catalog'!$C$19&gt;0,A332&gt;='Assumptions and Catalog'!$C$19),A332-'Assumptions and Catalog'!$C$19,A332-1)</f>
        <v>4</v>
      </c>
      <c r="S332" s="5">
        <f t="shared" si="25"/>
        <v>0</v>
      </c>
      <c r="T332" s="5"/>
      <c r="U332" s="5"/>
    </row>
    <row r="333" spans="1:21" ht="23.1" customHeight="1" outlineLevel="1" x14ac:dyDescent="0.2">
      <c r="A333" s="5">
        <v>15</v>
      </c>
      <c r="B333" s="5">
        <v>5</v>
      </c>
      <c r="C333" s="5">
        <f>DAY(DATE('Assumptions and Catalog'!$C$24+A333-1,B333+1,0))</f>
        <v>31</v>
      </c>
      <c r="D333" s="5">
        <f>IF(ISNUMBER(Inputs!$L$5),Inputs!$L$5*Inputs!$L$6,0)</f>
        <v>40.35</v>
      </c>
      <c r="E333" s="5">
        <f>IF(ISNUMBER(Inputs!$L$5),Inputs!$L$5-D333,0)</f>
        <v>40.35</v>
      </c>
      <c r="F333" s="5">
        <f>C$51*'Assumptions and Catalog'!$C$31*C333*(1-'Assumptions and Catalog'!$C$10)^(A333-1)</f>
        <v>964.2484950968468</v>
      </c>
      <c r="G333" s="5">
        <f t="shared" si="20"/>
        <v>964.2484950968468</v>
      </c>
      <c r="H333" s="5">
        <f>I333/('Assumptions and Catalog'!$C$11*'Assumptions and Catalog'!$C$12)</f>
        <v>0</v>
      </c>
      <c r="I333" s="5">
        <f>0</f>
        <v>0</v>
      </c>
      <c r="J333" s="5">
        <f t="shared" si="21"/>
        <v>0</v>
      </c>
      <c r="K333" s="5">
        <f t="shared" si="22"/>
        <v>0</v>
      </c>
      <c r="L333" s="5">
        <f t="shared" si="23"/>
        <v>1537.4515049031534</v>
      </c>
      <c r="M333" s="5">
        <f>IF(ISNUMBER(Inputs!$L$5),(IF(Inputs!$L$9="Actual flat rate",((D333+E333)*C333)*Inputs!$L$10,IF(Inputs!$C$9="Residential",IF(((D333+E333)*C333)&lt;='Assumptions and Catalog'!$C$50,((D333+E333)*C333)*'Assumptions and Catalog'!$H$50+'Assumptions and Catalog'!$E$50+'Assumptions and Catalog'!$F$50,IF(((D333+E333)*C333)&lt;='Assumptions and Catalog'!$C$51,((D333+E333)*C333)*'Assumptions and Catalog'!$H$51+'Assumptions and Catalog'!$E$51+'Assumptions and Catalog'!$F$51,IF(((D333+E333)*C333)&lt;='Assumptions and Catalog'!$C$52,((D333+E333)*C333)*'Assumptions and Catalog'!$H$52+'Assumptions and Catalog'!$E$52+'Assumptions and Catalog'!$F$52,IF(((D333+E333)*C333)&lt;='Assumptions and Catalog'!$C$53,((D333+E333)*C333)*'Assumptions and Catalog'!$H$53+'Assumptions and Catalog'!$E$53+'Assumptions and Catalog'!$F$53,IF(((D333+E333)*C333)&lt;='Assumptions and Catalog'!$C$54,((D333+E333)*C333)*'Assumptions and Catalog'!$H$54+'Assumptions and Catalog'!$E$54+'Assumptions and Catalog'!$F$54,IF(((D333+E333)*C333)&lt;='Assumptions and Catalog'!$C$55,((D333+E333)*C333)*'Assumptions and Catalog'!$H$55+'Assumptions and Catalog'!$E$55+'Assumptions and Catalog'!$F$55,IF(((D333+E333)*C333)&lt;='Assumptions and Catalog'!$C$56,((D333+E333)*C333)*'Assumptions and Catalog'!$H$56+'Assumptions and Catalog'!$E$56+'Assumptions and Catalog'!$F$56,IF(((D333+E333)*C333)&lt;='Assumptions and Catalog'!$C$57,((D333+E333)*C333)*'Assumptions and Catalog'!$H$57+'Assumptions and Catalog'!$E$57+'Assumptions and Catalog'!$F$57,"Out of range")))))))),IF(((D333+E333)*C333)&lt;='Assumptions and Catalog'!$C$60,((D333+E333)*C333)*'Assumptions and Catalog'!$H$60+'Assumptions and Catalog'!$E$60+'Assumptions and Catalog'!$F$60,IF(((D333+E333)*C333)&lt;='Assumptions and Catalog'!$C$61,((D333+E333)*C333)*'Assumptions and Catalog'!$H$61+'Assumptions and Catalog'!$E$61+'Assumptions and Catalog'!$F$61,IF(((D333+E333)*C333)&lt;='Assumptions and Catalog'!$C$62,((D333+E333)*C333)*'Assumptions and Catalog'!$H$62+'Assumptions and Catalog'!$E$62+'Assumptions and Catalog'!$F$62,IF(((D333+E333)*C333)&lt;='Assumptions and Catalog'!$C$63,((D333+E333)*C333)*'Assumptions and Catalog'!$H$63+'Assumptions and Catalog'!$E$63+'Assumptions and Catalog'!$F$63,IF(((D333+E333)*C333)&lt;='Assumptions and Catalog'!$C$64,((D333+E333)*C333)*'Assumptions and Catalog'!$H$64+'Assumptions and Catalog'!$E$64+'Assumptions and Catalog'!$F$64,IF(((D333+E333)*C333)&lt;='Assumptions and Catalog'!$C$65,((D333+E333)*C333)*'Assumptions and Catalog'!$H$65+'Assumptions and Catalog'!$E$65+'Assumptions and Catalog'!$F$65,"Out of range")))))))))*(1+'Assumptions and Catalog'!$C$8)^(A333-1),0)</f>
        <v>8554.9666666666672</v>
      </c>
      <c r="N333" s="5">
        <f>IF(ISNUMBER(Inputs!$L$5),(IF(Inputs!$L$9="Actual flat rate",L333*Inputs!$L$10,IF(Inputs!$C$9="Residential",IF(L333&lt;='Assumptions and Catalog'!$C$50,L333*'Assumptions and Catalog'!$H$50+'Assumptions and Catalog'!$E$50+'Assumptions and Catalog'!$F$50,IF(L333&lt;='Assumptions and Catalog'!$C$51,L333*'Assumptions and Catalog'!$H$51+'Assumptions and Catalog'!$E$51+'Assumptions and Catalog'!$F$51,IF(L333&lt;='Assumptions and Catalog'!$C$52,L333*'Assumptions and Catalog'!$H$52+'Assumptions and Catalog'!$E$52+'Assumptions and Catalog'!$F$52,IF(L333&lt;='Assumptions and Catalog'!$C$53,L333*'Assumptions and Catalog'!$H$53+'Assumptions and Catalog'!$E$53+'Assumptions and Catalog'!$F$53,IF(L333&lt;='Assumptions and Catalog'!$C$54,L333*'Assumptions and Catalog'!$H$54+'Assumptions and Catalog'!$E$54+'Assumptions and Catalog'!$F$54,IF(L333&lt;='Assumptions and Catalog'!$C$55,L333*'Assumptions and Catalog'!$H$55+'Assumptions and Catalog'!$E$55+'Assumptions and Catalog'!$F$55,IF(L333&lt;='Assumptions and Catalog'!$C$56,L333*'Assumptions and Catalog'!$H$56+'Assumptions and Catalog'!$E$56+'Assumptions and Catalog'!$F$56,IF(L333&lt;='Assumptions and Catalog'!$C$57,L333*'Assumptions and Catalog'!$H$57+'Assumptions and Catalog'!$E$57+'Assumptions and Catalog'!$F$57,"Out of range")))))))),IF(L333&lt;='Assumptions and Catalog'!$C$60,L333*'Assumptions and Catalog'!$H$60+'Assumptions and Catalog'!$E$60+'Assumptions and Catalog'!$F$60,IF(L333&lt;='Assumptions and Catalog'!$C$61,L333*'Assumptions and Catalog'!$H$61+'Assumptions and Catalog'!$E$61+'Assumptions and Catalog'!$F$61,IF(L333&lt;='Assumptions and Catalog'!$C$62,L333*'Assumptions and Catalog'!$H$62+'Assumptions and Catalog'!$E$62+'Assumptions and Catalog'!$F$62,IF(L333&lt;='Assumptions and Catalog'!$C$63,L333*'Assumptions and Catalog'!$H$63+'Assumptions and Catalog'!$E$63+'Assumptions and Catalog'!$F$63,IF(L333&lt;='Assumptions and Catalog'!$C$64,L333*'Assumptions and Catalog'!$H$64+'Assumptions and Catalog'!$E$64+'Assumptions and Catalog'!$F$64,IF(L333&lt;='Assumptions and Catalog'!$C$65,L333*'Assumptions and Catalog'!$H$65+'Assumptions and Catalog'!$E$65+'Assumptions and Catalog'!$F$65,"Out of range")))))))))*(1+'Assumptions and Catalog'!$C$8)^(A333-1),0)</f>
        <v>5257.5634073082219</v>
      </c>
      <c r="O333" s="5">
        <f t="shared" si="24"/>
        <v>3297.4032593584452</v>
      </c>
      <c r="P333" s="5">
        <f>C$55*(1-J$14)*(1-'Assumptions and Catalog'!$C$23)^R333</f>
        <v>0</v>
      </c>
      <c r="Q333" s="5">
        <f>IF(ISNUMBER(Inputs!$L$5),(IF(Inputs!$L$9="Actual flat rate",((D333+E333)*C333-G333)*Inputs!$L$10,IF(Inputs!$C$9="Residential",IF(((D333+E333)*C333-G333)&lt;='Assumptions and Catalog'!$C$50,((D333+E333)*C333-G333)*'Assumptions and Catalog'!$H$50+'Assumptions and Catalog'!$E$50+'Assumptions and Catalog'!$F$50,IF(((D333+E333)*C333-G333)&lt;='Assumptions and Catalog'!$C$51,((D333+E333)*C333-G333)*'Assumptions and Catalog'!$H$51+'Assumptions and Catalog'!$E$51+'Assumptions and Catalog'!$F$51,IF(((D333+E333)*C333-G333)&lt;='Assumptions and Catalog'!$C$52,((D333+E333)*C333-G333)*'Assumptions and Catalog'!$H$52+'Assumptions and Catalog'!$E$52+'Assumptions and Catalog'!$F$52,IF(((D333+E333)*C333-G333)&lt;='Assumptions and Catalog'!$C$53,((D333+E333)*C333-G333)*'Assumptions and Catalog'!$H$53+'Assumptions and Catalog'!$E$53+'Assumptions and Catalog'!$F$53,IF(((D333+E333)*C333-G333)&lt;='Assumptions and Catalog'!$C$54,((D333+E333)*C333-G333)*'Assumptions and Catalog'!$H$54+'Assumptions and Catalog'!$E$54+'Assumptions and Catalog'!$F$54,IF(((D333+E333)*C333-G333)&lt;='Assumptions and Catalog'!$C$55,((D333+E333)*C333-G333)*'Assumptions and Catalog'!$H$55+'Assumptions and Catalog'!$E$55+'Assumptions and Catalog'!$F$55,IF(((D333+E333)*C333-G333)&lt;='Assumptions and Catalog'!$C$56,((D333+E333)*C333-G333)*'Assumptions and Catalog'!$H$56+'Assumptions and Catalog'!$E$56+'Assumptions and Catalog'!$F$56,IF(((D333+E333)*C333-G333)&lt;='Assumptions and Catalog'!$C$57,((D333+E333)*C333-G333)*'Assumptions and Catalog'!$H$57+'Assumptions and Catalog'!$E$57+'Assumptions and Catalog'!$F$57,"Out of range")))))))),IF(((D333+E333)*C333-G333)&lt;='Assumptions and Catalog'!$C$60,((D333+E333)*C333-G333)*'Assumptions and Catalog'!$H$60+'Assumptions and Catalog'!$E$60+'Assumptions and Catalog'!$F$60,IF(((D333+E333)*C333-G333)&lt;='Assumptions and Catalog'!$C$61,((D333+E333)*C333-G333)*'Assumptions and Catalog'!$H$61+'Assumptions and Catalog'!$E$61+'Assumptions and Catalog'!$F$61,IF(((D333+E333)*C333-G333)&lt;='Assumptions and Catalog'!$C$62,((D333+E333)*C333-G333)*'Assumptions and Catalog'!$H$62+'Assumptions and Catalog'!$E$62+'Assumptions and Catalog'!$F$62,IF(((D333+E333)*C333-G333)&lt;='Assumptions and Catalog'!$C$63,((D333+E333)*C333-G333)*'Assumptions and Catalog'!$H$63+'Assumptions and Catalog'!$E$63+'Assumptions and Catalog'!$F$63,IF(((D333+E333)*C333-G333)&lt;='Assumptions and Catalog'!$C$64,((D333+E333)*C333-G333)*'Assumptions and Catalog'!$H$64+'Assumptions and Catalog'!$E$64+'Assumptions and Catalog'!$F$64,IF(((D333+E333)*C333-G333)&lt;='Assumptions and Catalog'!$C$65,((D333+E333)*C333-G333)*'Assumptions and Catalog'!$H$65+'Assumptions and Catalog'!$E$65+'Assumptions and Catalog'!$F$65,"Out of range")))))))))*(1+'Assumptions and Catalog'!$C$8)^(A333-1),0)</f>
        <v>5257.5634073082219</v>
      </c>
      <c r="R333" s="5">
        <f>IF(AND('Assumptions and Catalog'!$C$19&gt;0,A333&gt;='Assumptions and Catalog'!$C$19),A333-'Assumptions and Catalog'!$C$19,A333-1)</f>
        <v>4</v>
      </c>
      <c r="S333" s="5">
        <f t="shared" si="25"/>
        <v>0</v>
      </c>
      <c r="T333" s="5"/>
      <c r="U333" s="5"/>
    </row>
    <row r="334" spans="1:21" ht="23.1" customHeight="1" outlineLevel="1" x14ac:dyDescent="0.2">
      <c r="A334" s="5">
        <v>15</v>
      </c>
      <c r="B334" s="5">
        <v>6</v>
      </c>
      <c r="C334" s="5">
        <f>DAY(DATE('Assumptions and Catalog'!$C$24+A334-1,B334+1,0))</f>
        <v>30</v>
      </c>
      <c r="D334" s="5">
        <f>IF(ISNUMBER(Inputs!$L$5),Inputs!$L$5*Inputs!$L$6,0)</f>
        <v>40.35</v>
      </c>
      <c r="E334" s="5">
        <f>IF(ISNUMBER(Inputs!$L$5),Inputs!$L$5-D334,0)</f>
        <v>40.35</v>
      </c>
      <c r="F334" s="5">
        <f>C$51*'Assumptions and Catalog'!$C$31*C334*(1-'Assumptions and Catalog'!$C$10)^(A334-1)</f>
        <v>933.14370493243246</v>
      </c>
      <c r="G334" s="5">
        <f t="shared" si="20"/>
        <v>933.14370493243246</v>
      </c>
      <c r="H334" s="5">
        <f>I334/('Assumptions and Catalog'!$C$11*'Assumptions and Catalog'!$C$12)</f>
        <v>0</v>
      </c>
      <c r="I334" s="5">
        <f>0</f>
        <v>0</v>
      </c>
      <c r="J334" s="5">
        <f t="shared" si="21"/>
        <v>0</v>
      </c>
      <c r="K334" s="5">
        <f t="shared" si="22"/>
        <v>0</v>
      </c>
      <c r="L334" s="5">
        <f t="shared" si="23"/>
        <v>1487.8562950675675</v>
      </c>
      <c r="M334" s="5">
        <f>IF(ISNUMBER(Inputs!$L$5),(IF(Inputs!$L$9="Actual flat rate",((D334+E334)*C334)*Inputs!$L$10,IF(Inputs!$C$9="Residential",IF(((D334+E334)*C334)&lt;='Assumptions and Catalog'!$C$50,((D334+E334)*C334)*'Assumptions and Catalog'!$H$50+'Assumptions and Catalog'!$E$50+'Assumptions and Catalog'!$F$50,IF(((D334+E334)*C334)&lt;='Assumptions and Catalog'!$C$51,((D334+E334)*C334)*'Assumptions and Catalog'!$H$51+'Assumptions and Catalog'!$E$51+'Assumptions and Catalog'!$F$51,IF(((D334+E334)*C334)&lt;='Assumptions and Catalog'!$C$52,((D334+E334)*C334)*'Assumptions and Catalog'!$H$52+'Assumptions and Catalog'!$E$52+'Assumptions and Catalog'!$F$52,IF(((D334+E334)*C334)&lt;='Assumptions and Catalog'!$C$53,((D334+E334)*C334)*'Assumptions and Catalog'!$H$53+'Assumptions and Catalog'!$E$53+'Assumptions and Catalog'!$F$53,IF(((D334+E334)*C334)&lt;='Assumptions and Catalog'!$C$54,((D334+E334)*C334)*'Assumptions and Catalog'!$H$54+'Assumptions and Catalog'!$E$54+'Assumptions and Catalog'!$F$54,IF(((D334+E334)*C334)&lt;='Assumptions and Catalog'!$C$55,((D334+E334)*C334)*'Assumptions and Catalog'!$H$55+'Assumptions and Catalog'!$E$55+'Assumptions and Catalog'!$F$55,IF(((D334+E334)*C334)&lt;='Assumptions and Catalog'!$C$56,((D334+E334)*C334)*'Assumptions and Catalog'!$H$56+'Assumptions and Catalog'!$E$56+'Assumptions and Catalog'!$F$56,IF(((D334+E334)*C334)&lt;='Assumptions and Catalog'!$C$57,((D334+E334)*C334)*'Assumptions and Catalog'!$H$57+'Assumptions and Catalog'!$E$57+'Assumptions and Catalog'!$F$57,"Out of range")))))))),IF(((D334+E334)*C334)&lt;='Assumptions and Catalog'!$C$60,((D334+E334)*C334)*'Assumptions and Catalog'!$H$60+'Assumptions and Catalog'!$E$60+'Assumptions and Catalog'!$F$60,IF(((D334+E334)*C334)&lt;='Assumptions and Catalog'!$C$61,((D334+E334)*C334)*'Assumptions and Catalog'!$H$61+'Assumptions and Catalog'!$E$61+'Assumptions and Catalog'!$F$61,IF(((D334+E334)*C334)&lt;='Assumptions and Catalog'!$C$62,((D334+E334)*C334)*'Assumptions and Catalog'!$H$62+'Assumptions and Catalog'!$E$62+'Assumptions and Catalog'!$F$62,IF(((D334+E334)*C334)&lt;='Assumptions and Catalog'!$C$63,((D334+E334)*C334)*'Assumptions and Catalog'!$H$63+'Assumptions and Catalog'!$E$63+'Assumptions and Catalog'!$F$63,IF(((D334+E334)*C334)&lt;='Assumptions and Catalog'!$C$64,((D334+E334)*C334)*'Assumptions and Catalog'!$H$64+'Assumptions and Catalog'!$E$64+'Assumptions and Catalog'!$F$64,IF(((D334+E334)*C334)&lt;='Assumptions and Catalog'!$C$65,((D334+E334)*C334)*'Assumptions and Catalog'!$H$65+'Assumptions and Catalog'!$E$65+'Assumptions and Catalog'!$F$65,"Out of range")))))))))*(1+'Assumptions and Catalog'!$C$8)^(A334-1),0)</f>
        <v>8279</v>
      </c>
      <c r="N334" s="5">
        <f>IF(ISNUMBER(Inputs!$L$5),(IF(Inputs!$L$9="Actual flat rate",L334*Inputs!$L$10,IF(Inputs!$C$9="Residential",IF(L334&lt;='Assumptions and Catalog'!$C$50,L334*'Assumptions and Catalog'!$H$50+'Assumptions and Catalog'!$E$50+'Assumptions and Catalog'!$F$50,IF(L334&lt;='Assumptions and Catalog'!$C$51,L334*'Assumptions and Catalog'!$H$51+'Assumptions and Catalog'!$E$51+'Assumptions and Catalog'!$F$51,IF(L334&lt;='Assumptions and Catalog'!$C$52,L334*'Assumptions and Catalog'!$H$52+'Assumptions and Catalog'!$E$52+'Assumptions and Catalog'!$F$52,IF(L334&lt;='Assumptions and Catalog'!$C$53,L334*'Assumptions and Catalog'!$H$53+'Assumptions and Catalog'!$E$53+'Assumptions and Catalog'!$F$53,IF(L334&lt;='Assumptions and Catalog'!$C$54,L334*'Assumptions and Catalog'!$H$54+'Assumptions and Catalog'!$E$54+'Assumptions and Catalog'!$F$54,IF(L334&lt;='Assumptions and Catalog'!$C$55,L334*'Assumptions and Catalog'!$H$55+'Assumptions and Catalog'!$E$55+'Assumptions and Catalog'!$F$55,IF(L334&lt;='Assumptions and Catalog'!$C$56,L334*'Assumptions and Catalog'!$H$56+'Assumptions and Catalog'!$E$56+'Assumptions and Catalog'!$F$56,IF(L334&lt;='Assumptions and Catalog'!$C$57,L334*'Assumptions and Catalog'!$H$57+'Assumptions and Catalog'!$E$57+'Assumptions and Catalog'!$F$57,"Out of range")))))))),IF(L334&lt;='Assumptions and Catalog'!$C$60,L334*'Assumptions and Catalog'!$H$60+'Assumptions and Catalog'!$E$60+'Assumptions and Catalog'!$F$60,IF(L334&lt;='Assumptions and Catalog'!$C$61,L334*'Assumptions and Catalog'!$H$61+'Assumptions and Catalog'!$E$61+'Assumptions and Catalog'!$F$61,IF(L334&lt;='Assumptions and Catalog'!$C$62,L334*'Assumptions and Catalog'!$H$62+'Assumptions and Catalog'!$E$62+'Assumptions and Catalog'!$F$62,IF(L334&lt;='Assumptions and Catalog'!$C$63,L334*'Assumptions and Catalog'!$H$63+'Assumptions and Catalog'!$E$63+'Assumptions and Catalog'!$F$63,IF(L334&lt;='Assumptions and Catalog'!$C$64,L334*'Assumptions and Catalog'!$H$64+'Assumptions and Catalog'!$E$64+'Assumptions and Catalog'!$F$64,IF(L334&lt;='Assumptions and Catalog'!$C$65,L334*'Assumptions and Catalog'!$H$65+'Assumptions and Catalog'!$E$65+'Assumptions and Catalog'!$F$65,"Out of range")))))))))*(1+'Assumptions and Catalog'!$C$8)^(A334-1),0)</f>
        <v>5087.9645877176335</v>
      </c>
      <c r="O334" s="5">
        <f t="shared" si="24"/>
        <v>3191.0354122823665</v>
      </c>
      <c r="P334" s="5">
        <f>C$55*(1-J$14)*(1-'Assumptions and Catalog'!$C$23)^R334</f>
        <v>0</v>
      </c>
      <c r="Q334" s="5">
        <f>IF(ISNUMBER(Inputs!$L$5),(IF(Inputs!$L$9="Actual flat rate",((D334+E334)*C334-G334)*Inputs!$L$10,IF(Inputs!$C$9="Residential",IF(((D334+E334)*C334-G334)&lt;='Assumptions and Catalog'!$C$50,((D334+E334)*C334-G334)*'Assumptions and Catalog'!$H$50+'Assumptions and Catalog'!$E$50+'Assumptions and Catalog'!$F$50,IF(((D334+E334)*C334-G334)&lt;='Assumptions and Catalog'!$C$51,((D334+E334)*C334-G334)*'Assumptions and Catalog'!$H$51+'Assumptions and Catalog'!$E$51+'Assumptions and Catalog'!$F$51,IF(((D334+E334)*C334-G334)&lt;='Assumptions and Catalog'!$C$52,((D334+E334)*C334-G334)*'Assumptions and Catalog'!$H$52+'Assumptions and Catalog'!$E$52+'Assumptions and Catalog'!$F$52,IF(((D334+E334)*C334-G334)&lt;='Assumptions and Catalog'!$C$53,((D334+E334)*C334-G334)*'Assumptions and Catalog'!$H$53+'Assumptions and Catalog'!$E$53+'Assumptions and Catalog'!$F$53,IF(((D334+E334)*C334-G334)&lt;='Assumptions and Catalog'!$C$54,((D334+E334)*C334-G334)*'Assumptions and Catalog'!$H$54+'Assumptions and Catalog'!$E$54+'Assumptions and Catalog'!$F$54,IF(((D334+E334)*C334-G334)&lt;='Assumptions and Catalog'!$C$55,((D334+E334)*C334-G334)*'Assumptions and Catalog'!$H$55+'Assumptions and Catalog'!$E$55+'Assumptions and Catalog'!$F$55,IF(((D334+E334)*C334-G334)&lt;='Assumptions and Catalog'!$C$56,((D334+E334)*C334-G334)*'Assumptions and Catalog'!$H$56+'Assumptions and Catalog'!$E$56+'Assumptions and Catalog'!$F$56,IF(((D334+E334)*C334-G334)&lt;='Assumptions and Catalog'!$C$57,((D334+E334)*C334-G334)*'Assumptions and Catalog'!$H$57+'Assumptions and Catalog'!$E$57+'Assumptions and Catalog'!$F$57,"Out of range")))))))),IF(((D334+E334)*C334-G334)&lt;='Assumptions and Catalog'!$C$60,((D334+E334)*C334-G334)*'Assumptions and Catalog'!$H$60+'Assumptions and Catalog'!$E$60+'Assumptions and Catalog'!$F$60,IF(((D334+E334)*C334-G334)&lt;='Assumptions and Catalog'!$C$61,((D334+E334)*C334-G334)*'Assumptions and Catalog'!$H$61+'Assumptions and Catalog'!$E$61+'Assumptions and Catalog'!$F$61,IF(((D334+E334)*C334-G334)&lt;='Assumptions and Catalog'!$C$62,((D334+E334)*C334-G334)*'Assumptions and Catalog'!$H$62+'Assumptions and Catalog'!$E$62+'Assumptions and Catalog'!$F$62,IF(((D334+E334)*C334-G334)&lt;='Assumptions and Catalog'!$C$63,((D334+E334)*C334-G334)*'Assumptions and Catalog'!$H$63+'Assumptions and Catalog'!$E$63+'Assumptions and Catalog'!$F$63,IF(((D334+E334)*C334-G334)&lt;='Assumptions and Catalog'!$C$64,((D334+E334)*C334-G334)*'Assumptions and Catalog'!$H$64+'Assumptions and Catalog'!$E$64+'Assumptions and Catalog'!$F$64,IF(((D334+E334)*C334-G334)&lt;='Assumptions and Catalog'!$C$65,((D334+E334)*C334-G334)*'Assumptions and Catalog'!$H$65+'Assumptions and Catalog'!$E$65+'Assumptions and Catalog'!$F$65,"Out of range")))))))))*(1+'Assumptions and Catalog'!$C$8)^(A334-1),0)</f>
        <v>5087.9645877176335</v>
      </c>
      <c r="R334" s="5">
        <f>IF(AND('Assumptions and Catalog'!$C$19&gt;0,A334&gt;='Assumptions and Catalog'!$C$19),A334-'Assumptions and Catalog'!$C$19,A334-1)</f>
        <v>4</v>
      </c>
      <c r="S334" s="5">
        <f t="shared" si="25"/>
        <v>0</v>
      </c>
      <c r="T334" s="5"/>
      <c r="U334" s="5"/>
    </row>
    <row r="335" spans="1:21" ht="23.1" customHeight="1" outlineLevel="1" x14ac:dyDescent="0.2">
      <c r="A335" s="5">
        <v>15</v>
      </c>
      <c r="B335" s="5">
        <v>7</v>
      </c>
      <c r="C335" s="5">
        <f>DAY(DATE('Assumptions and Catalog'!$C$24+A335-1,B335+1,0))</f>
        <v>31</v>
      </c>
      <c r="D335" s="5">
        <f>IF(ISNUMBER(Inputs!$L$5),Inputs!$L$5*Inputs!$L$6,0)</f>
        <v>40.35</v>
      </c>
      <c r="E335" s="5">
        <f>IF(ISNUMBER(Inputs!$L$5),Inputs!$L$5-D335,0)</f>
        <v>40.35</v>
      </c>
      <c r="F335" s="5">
        <f>C$51*'Assumptions and Catalog'!$C$31*C335*(1-'Assumptions and Catalog'!$C$10)^(A335-1)</f>
        <v>964.2484950968468</v>
      </c>
      <c r="G335" s="5">
        <f t="shared" si="20"/>
        <v>964.2484950968468</v>
      </c>
      <c r="H335" s="5">
        <f>I335/('Assumptions and Catalog'!$C$11*'Assumptions and Catalog'!$C$12)</f>
        <v>0</v>
      </c>
      <c r="I335" s="5">
        <f>0</f>
        <v>0</v>
      </c>
      <c r="J335" s="5">
        <f t="shared" si="21"/>
        <v>0</v>
      </c>
      <c r="K335" s="5">
        <f t="shared" si="22"/>
        <v>0</v>
      </c>
      <c r="L335" s="5">
        <f t="shared" si="23"/>
        <v>1537.4515049031534</v>
      </c>
      <c r="M335" s="5">
        <f>IF(ISNUMBER(Inputs!$L$5),(IF(Inputs!$L$9="Actual flat rate",((D335+E335)*C335)*Inputs!$L$10,IF(Inputs!$C$9="Residential",IF(((D335+E335)*C335)&lt;='Assumptions and Catalog'!$C$50,((D335+E335)*C335)*'Assumptions and Catalog'!$H$50+'Assumptions and Catalog'!$E$50+'Assumptions and Catalog'!$F$50,IF(((D335+E335)*C335)&lt;='Assumptions and Catalog'!$C$51,((D335+E335)*C335)*'Assumptions and Catalog'!$H$51+'Assumptions and Catalog'!$E$51+'Assumptions and Catalog'!$F$51,IF(((D335+E335)*C335)&lt;='Assumptions and Catalog'!$C$52,((D335+E335)*C335)*'Assumptions and Catalog'!$H$52+'Assumptions and Catalog'!$E$52+'Assumptions and Catalog'!$F$52,IF(((D335+E335)*C335)&lt;='Assumptions and Catalog'!$C$53,((D335+E335)*C335)*'Assumptions and Catalog'!$H$53+'Assumptions and Catalog'!$E$53+'Assumptions and Catalog'!$F$53,IF(((D335+E335)*C335)&lt;='Assumptions and Catalog'!$C$54,((D335+E335)*C335)*'Assumptions and Catalog'!$H$54+'Assumptions and Catalog'!$E$54+'Assumptions and Catalog'!$F$54,IF(((D335+E335)*C335)&lt;='Assumptions and Catalog'!$C$55,((D335+E335)*C335)*'Assumptions and Catalog'!$H$55+'Assumptions and Catalog'!$E$55+'Assumptions and Catalog'!$F$55,IF(((D335+E335)*C335)&lt;='Assumptions and Catalog'!$C$56,((D335+E335)*C335)*'Assumptions and Catalog'!$H$56+'Assumptions and Catalog'!$E$56+'Assumptions and Catalog'!$F$56,IF(((D335+E335)*C335)&lt;='Assumptions and Catalog'!$C$57,((D335+E335)*C335)*'Assumptions and Catalog'!$H$57+'Assumptions and Catalog'!$E$57+'Assumptions and Catalog'!$F$57,"Out of range")))))))),IF(((D335+E335)*C335)&lt;='Assumptions and Catalog'!$C$60,((D335+E335)*C335)*'Assumptions and Catalog'!$H$60+'Assumptions and Catalog'!$E$60+'Assumptions and Catalog'!$F$60,IF(((D335+E335)*C335)&lt;='Assumptions and Catalog'!$C$61,((D335+E335)*C335)*'Assumptions and Catalog'!$H$61+'Assumptions and Catalog'!$E$61+'Assumptions and Catalog'!$F$61,IF(((D335+E335)*C335)&lt;='Assumptions and Catalog'!$C$62,((D335+E335)*C335)*'Assumptions and Catalog'!$H$62+'Assumptions and Catalog'!$E$62+'Assumptions and Catalog'!$F$62,IF(((D335+E335)*C335)&lt;='Assumptions and Catalog'!$C$63,((D335+E335)*C335)*'Assumptions and Catalog'!$H$63+'Assumptions and Catalog'!$E$63+'Assumptions and Catalog'!$F$63,IF(((D335+E335)*C335)&lt;='Assumptions and Catalog'!$C$64,((D335+E335)*C335)*'Assumptions and Catalog'!$H$64+'Assumptions and Catalog'!$E$64+'Assumptions and Catalog'!$F$64,IF(((D335+E335)*C335)&lt;='Assumptions and Catalog'!$C$65,((D335+E335)*C335)*'Assumptions and Catalog'!$H$65+'Assumptions and Catalog'!$E$65+'Assumptions and Catalog'!$F$65,"Out of range")))))))))*(1+'Assumptions and Catalog'!$C$8)^(A335-1),0)</f>
        <v>8554.9666666666672</v>
      </c>
      <c r="N335" s="5">
        <f>IF(ISNUMBER(Inputs!$L$5),(IF(Inputs!$L$9="Actual flat rate",L335*Inputs!$L$10,IF(Inputs!$C$9="Residential",IF(L335&lt;='Assumptions and Catalog'!$C$50,L335*'Assumptions and Catalog'!$H$50+'Assumptions and Catalog'!$E$50+'Assumptions and Catalog'!$F$50,IF(L335&lt;='Assumptions and Catalog'!$C$51,L335*'Assumptions and Catalog'!$H$51+'Assumptions and Catalog'!$E$51+'Assumptions and Catalog'!$F$51,IF(L335&lt;='Assumptions and Catalog'!$C$52,L335*'Assumptions and Catalog'!$H$52+'Assumptions and Catalog'!$E$52+'Assumptions and Catalog'!$F$52,IF(L335&lt;='Assumptions and Catalog'!$C$53,L335*'Assumptions and Catalog'!$H$53+'Assumptions and Catalog'!$E$53+'Assumptions and Catalog'!$F$53,IF(L335&lt;='Assumptions and Catalog'!$C$54,L335*'Assumptions and Catalog'!$H$54+'Assumptions and Catalog'!$E$54+'Assumptions and Catalog'!$F$54,IF(L335&lt;='Assumptions and Catalog'!$C$55,L335*'Assumptions and Catalog'!$H$55+'Assumptions and Catalog'!$E$55+'Assumptions and Catalog'!$F$55,IF(L335&lt;='Assumptions and Catalog'!$C$56,L335*'Assumptions and Catalog'!$H$56+'Assumptions and Catalog'!$E$56+'Assumptions and Catalog'!$F$56,IF(L335&lt;='Assumptions and Catalog'!$C$57,L335*'Assumptions and Catalog'!$H$57+'Assumptions and Catalog'!$E$57+'Assumptions and Catalog'!$F$57,"Out of range")))))))),IF(L335&lt;='Assumptions and Catalog'!$C$60,L335*'Assumptions and Catalog'!$H$60+'Assumptions and Catalog'!$E$60+'Assumptions and Catalog'!$F$60,IF(L335&lt;='Assumptions and Catalog'!$C$61,L335*'Assumptions and Catalog'!$H$61+'Assumptions and Catalog'!$E$61+'Assumptions and Catalog'!$F$61,IF(L335&lt;='Assumptions and Catalog'!$C$62,L335*'Assumptions and Catalog'!$H$62+'Assumptions and Catalog'!$E$62+'Assumptions and Catalog'!$F$62,IF(L335&lt;='Assumptions and Catalog'!$C$63,L335*'Assumptions and Catalog'!$H$63+'Assumptions and Catalog'!$E$63+'Assumptions and Catalog'!$F$63,IF(L335&lt;='Assumptions and Catalog'!$C$64,L335*'Assumptions and Catalog'!$H$64+'Assumptions and Catalog'!$E$64+'Assumptions and Catalog'!$F$64,IF(L335&lt;='Assumptions and Catalog'!$C$65,L335*'Assumptions and Catalog'!$H$65+'Assumptions and Catalog'!$E$65+'Assumptions and Catalog'!$F$65,"Out of range")))))))))*(1+'Assumptions and Catalog'!$C$8)^(A335-1),0)</f>
        <v>5257.5634073082219</v>
      </c>
      <c r="O335" s="5">
        <f t="shared" si="24"/>
        <v>3297.4032593584452</v>
      </c>
      <c r="P335" s="5">
        <f>C$55*(1-J$14)*(1-'Assumptions and Catalog'!$C$23)^R335</f>
        <v>0</v>
      </c>
      <c r="Q335" s="5">
        <f>IF(ISNUMBER(Inputs!$L$5),(IF(Inputs!$L$9="Actual flat rate",((D335+E335)*C335-G335)*Inputs!$L$10,IF(Inputs!$C$9="Residential",IF(((D335+E335)*C335-G335)&lt;='Assumptions and Catalog'!$C$50,((D335+E335)*C335-G335)*'Assumptions and Catalog'!$H$50+'Assumptions and Catalog'!$E$50+'Assumptions and Catalog'!$F$50,IF(((D335+E335)*C335-G335)&lt;='Assumptions and Catalog'!$C$51,((D335+E335)*C335-G335)*'Assumptions and Catalog'!$H$51+'Assumptions and Catalog'!$E$51+'Assumptions and Catalog'!$F$51,IF(((D335+E335)*C335-G335)&lt;='Assumptions and Catalog'!$C$52,((D335+E335)*C335-G335)*'Assumptions and Catalog'!$H$52+'Assumptions and Catalog'!$E$52+'Assumptions and Catalog'!$F$52,IF(((D335+E335)*C335-G335)&lt;='Assumptions and Catalog'!$C$53,((D335+E335)*C335-G335)*'Assumptions and Catalog'!$H$53+'Assumptions and Catalog'!$E$53+'Assumptions and Catalog'!$F$53,IF(((D335+E335)*C335-G335)&lt;='Assumptions and Catalog'!$C$54,((D335+E335)*C335-G335)*'Assumptions and Catalog'!$H$54+'Assumptions and Catalog'!$E$54+'Assumptions and Catalog'!$F$54,IF(((D335+E335)*C335-G335)&lt;='Assumptions and Catalog'!$C$55,((D335+E335)*C335-G335)*'Assumptions and Catalog'!$H$55+'Assumptions and Catalog'!$E$55+'Assumptions and Catalog'!$F$55,IF(((D335+E335)*C335-G335)&lt;='Assumptions and Catalog'!$C$56,((D335+E335)*C335-G335)*'Assumptions and Catalog'!$H$56+'Assumptions and Catalog'!$E$56+'Assumptions and Catalog'!$F$56,IF(((D335+E335)*C335-G335)&lt;='Assumptions and Catalog'!$C$57,((D335+E335)*C335-G335)*'Assumptions and Catalog'!$H$57+'Assumptions and Catalog'!$E$57+'Assumptions and Catalog'!$F$57,"Out of range")))))))),IF(((D335+E335)*C335-G335)&lt;='Assumptions and Catalog'!$C$60,((D335+E335)*C335-G335)*'Assumptions and Catalog'!$H$60+'Assumptions and Catalog'!$E$60+'Assumptions and Catalog'!$F$60,IF(((D335+E335)*C335-G335)&lt;='Assumptions and Catalog'!$C$61,((D335+E335)*C335-G335)*'Assumptions and Catalog'!$H$61+'Assumptions and Catalog'!$E$61+'Assumptions and Catalog'!$F$61,IF(((D335+E335)*C335-G335)&lt;='Assumptions and Catalog'!$C$62,((D335+E335)*C335-G335)*'Assumptions and Catalog'!$H$62+'Assumptions and Catalog'!$E$62+'Assumptions and Catalog'!$F$62,IF(((D335+E335)*C335-G335)&lt;='Assumptions and Catalog'!$C$63,((D335+E335)*C335-G335)*'Assumptions and Catalog'!$H$63+'Assumptions and Catalog'!$E$63+'Assumptions and Catalog'!$F$63,IF(((D335+E335)*C335-G335)&lt;='Assumptions and Catalog'!$C$64,((D335+E335)*C335-G335)*'Assumptions and Catalog'!$H$64+'Assumptions and Catalog'!$E$64+'Assumptions and Catalog'!$F$64,IF(((D335+E335)*C335-G335)&lt;='Assumptions and Catalog'!$C$65,((D335+E335)*C335-G335)*'Assumptions and Catalog'!$H$65+'Assumptions and Catalog'!$E$65+'Assumptions and Catalog'!$F$65,"Out of range")))))))))*(1+'Assumptions and Catalog'!$C$8)^(A335-1),0)</f>
        <v>5257.5634073082219</v>
      </c>
      <c r="R335" s="5">
        <f>IF(AND('Assumptions and Catalog'!$C$19&gt;0,A335&gt;='Assumptions and Catalog'!$C$19),A335-'Assumptions and Catalog'!$C$19,A335-1)</f>
        <v>4</v>
      </c>
      <c r="S335" s="5">
        <f t="shared" si="25"/>
        <v>0</v>
      </c>
      <c r="T335" s="5"/>
      <c r="U335" s="5"/>
    </row>
    <row r="336" spans="1:21" ht="23.1" customHeight="1" outlineLevel="1" x14ac:dyDescent="0.2">
      <c r="A336" s="5">
        <v>15</v>
      </c>
      <c r="B336" s="5">
        <v>8</v>
      </c>
      <c r="C336" s="5">
        <f>DAY(DATE('Assumptions and Catalog'!$C$24+A336-1,B336+1,0))</f>
        <v>31</v>
      </c>
      <c r="D336" s="5">
        <f>IF(ISNUMBER(Inputs!$L$5),Inputs!$L$5*Inputs!$L$6,0)</f>
        <v>40.35</v>
      </c>
      <c r="E336" s="5">
        <f>IF(ISNUMBER(Inputs!$L$5),Inputs!$L$5-D336,0)</f>
        <v>40.35</v>
      </c>
      <c r="F336" s="5">
        <f>C$51*'Assumptions and Catalog'!$C$31*C336*(1-'Assumptions and Catalog'!$C$10)^(A336-1)</f>
        <v>964.2484950968468</v>
      </c>
      <c r="G336" s="5">
        <f t="shared" si="20"/>
        <v>964.2484950968468</v>
      </c>
      <c r="H336" s="5">
        <f>I336/('Assumptions and Catalog'!$C$11*'Assumptions and Catalog'!$C$12)</f>
        <v>0</v>
      </c>
      <c r="I336" s="5">
        <f>0</f>
        <v>0</v>
      </c>
      <c r="J336" s="5">
        <f t="shared" si="21"/>
        <v>0</v>
      </c>
      <c r="K336" s="5">
        <f t="shared" si="22"/>
        <v>0</v>
      </c>
      <c r="L336" s="5">
        <f t="shared" si="23"/>
        <v>1537.4515049031534</v>
      </c>
      <c r="M336" s="5">
        <f>IF(ISNUMBER(Inputs!$L$5),(IF(Inputs!$L$9="Actual flat rate",((D336+E336)*C336)*Inputs!$L$10,IF(Inputs!$C$9="Residential",IF(((D336+E336)*C336)&lt;='Assumptions and Catalog'!$C$50,((D336+E336)*C336)*'Assumptions and Catalog'!$H$50+'Assumptions and Catalog'!$E$50+'Assumptions and Catalog'!$F$50,IF(((D336+E336)*C336)&lt;='Assumptions and Catalog'!$C$51,((D336+E336)*C336)*'Assumptions and Catalog'!$H$51+'Assumptions and Catalog'!$E$51+'Assumptions and Catalog'!$F$51,IF(((D336+E336)*C336)&lt;='Assumptions and Catalog'!$C$52,((D336+E336)*C336)*'Assumptions and Catalog'!$H$52+'Assumptions and Catalog'!$E$52+'Assumptions and Catalog'!$F$52,IF(((D336+E336)*C336)&lt;='Assumptions and Catalog'!$C$53,((D336+E336)*C336)*'Assumptions and Catalog'!$H$53+'Assumptions and Catalog'!$E$53+'Assumptions and Catalog'!$F$53,IF(((D336+E336)*C336)&lt;='Assumptions and Catalog'!$C$54,((D336+E336)*C336)*'Assumptions and Catalog'!$H$54+'Assumptions and Catalog'!$E$54+'Assumptions and Catalog'!$F$54,IF(((D336+E336)*C336)&lt;='Assumptions and Catalog'!$C$55,((D336+E336)*C336)*'Assumptions and Catalog'!$H$55+'Assumptions and Catalog'!$E$55+'Assumptions and Catalog'!$F$55,IF(((D336+E336)*C336)&lt;='Assumptions and Catalog'!$C$56,((D336+E336)*C336)*'Assumptions and Catalog'!$H$56+'Assumptions and Catalog'!$E$56+'Assumptions and Catalog'!$F$56,IF(((D336+E336)*C336)&lt;='Assumptions and Catalog'!$C$57,((D336+E336)*C336)*'Assumptions and Catalog'!$H$57+'Assumptions and Catalog'!$E$57+'Assumptions and Catalog'!$F$57,"Out of range")))))))),IF(((D336+E336)*C336)&lt;='Assumptions and Catalog'!$C$60,((D336+E336)*C336)*'Assumptions and Catalog'!$H$60+'Assumptions and Catalog'!$E$60+'Assumptions and Catalog'!$F$60,IF(((D336+E336)*C336)&lt;='Assumptions and Catalog'!$C$61,((D336+E336)*C336)*'Assumptions and Catalog'!$H$61+'Assumptions and Catalog'!$E$61+'Assumptions and Catalog'!$F$61,IF(((D336+E336)*C336)&lt;='Assumptions and Catalog'!$C$62,((D336+E336)*C336)*'Assumptions and Catalog'!$H$62+'Assumptions and Catalog'!$E$62+'Assumptions and Catalog'!$F$62,IF(((D336+E336)*C336)&lt;='Assumptions and Catalog'!$C$63,((D336+E336)*C336)*'Assumptions and Catalog'!$H$63+'Assumptions and Catalog'!$E$63+'Assumptions and Catalog'!$F$63,IF(((D336+E336)*C336)&lt;='Assumptions and Catalog'!$C$64,((D336+E336)*C336)*'Assumptions and Catalog'!$H$64+'Assumptions and Catalog'!$E$64+'Assumptions and Catalog'!$F$64,IF(((D336+E336)*C336)&lt;='Assumptions and Catalog'!$C$65,((D336+E336)*C336)*'Assumptions and Catalog'!$H$65+'Assumptions and Catalog'!$E$65+'Assumptions and Catalog'!$F$65,"Out of range")))))))))*(1+'Assumptions and Catalog'!$C$8)^(A336-1),0)</f>
        <v>8554.9666666666672</v>
      </c>
      <c r="N336" s="5">
        <f>IF(ISNUMBER(Inputs!$L$5),(IF(Inputs!$L$9="Actual flat rate",L336*Inputs!$L$10,IF(Inputs!$C$9="Residential",IF(L336&lt;='Assumptions and Catalog'!$C$50,L336*'Assumptions and Catalog'!$H$50+'Assumptions and Catalog'!$E$50+'Assumptions and Catalog'!$F$50,IF(L336&lt;='Assumptions and Catalog'!$C$51,L336*'Assumptions and Catalog'!$H$51+'Assumptions and Catalog'!$E$51+'Assumptions and Catalog'!$F$51,IF(L336&lt;='Assumptions and Catalog'!$C$52,L336*'Assumptions and Catalog'!$H$52+'Assumptions and Catalog'!$E$52+'Assumptions and Catalog'!$F$52,IF(L336&lt;='Assumptions and Catalog'!$C$53,L336*'Assumptions and Catalog'!$H$53+'Assumptions and Catalog'!$E$53+'Assumptions and Catalog'!$F$53,IF(L336&lt;='Assumptions and Catalog'!$C$54,L336*'Assumptions and Catalog'!$H$54+'Assumptions and Catalog'!$E$54+'Assumptions and Catalog'!$F$54,IF(L336&lt;='Assumptions and Catalog'!$C$55,L336*'Assumptions and Catalog'!$H$55+'Assumptions and Catalog'!$E$55+'Assumptions and Catalog'!$F$55,IF(L336&lt;='Assumptions and Catalog'!$C$56,L336*'Assumptions and Catalog'!$H$56+'Assumptions and Catalog'!$E$56+'Assumptions and Catalog'!$F$56,IF(L336&lt;='Assumptions and Catalog'!$C$57,L336*'Assumptions and Catalog'!$H$57+'Assumptions and Catalog'!$E$57+'Assumptions and Catalog'!$F$57,"Out of range")))))))),IF(L336&lt;='Assumptions and Catalog'!$C$60,L336*'Assumptions and Catalog'!$H$60+'Assumptions and Catalog'!$E$60+'Assumptions and Catalog'!$F$60,IF(L336&lt;='Assumptions and Catalog'!$C$61,L336*'Assumptions and Catalog'!$H$61+'Assumptions and Catalog'!$E$61+'Assumptions and Catalog'!$F$61,IF(L336&lt;='Assumptions and Catalog'!$C$62,L336*'Assumptions and Catalog'!$H$62+'Assumptions and Catalog'!$E$62+'Assumptions and Catalog'!$F$62,IF(L336&lt;='Assumptions and Catalog'!$C$63,L336*'Assumptions and Catalog'!$H$63+'Assumptions and Catalog'!$E$63+'Assumptions and Catalog'!$F$63,IF(L336&lt;='Assumptions and Catalog'!$C$64,L336*'Assumptions and Catalog'!$H$64+'Assumptions and Catalog'!$E$64+'Assumptions and Catalog'!$F$64,IF(L336&lt;='Assumptions and Catalog'!$C$65,L336*'Assumptions and Catalog'!$H$65+'Assumptions and Catalog'!$E$65+'Assumptions and Catalog'!$F$65,"Out of range")))))))))*(1+'Assumptions and Catalog'!$C$8)^(A336-1),0)</f>
        <v>5257.5634073082219</v>
      </c>
      <c r="O336" s="5">
        <f t="shared" si="24"/>
        <v>3297.4032593584452</v>
      </c>
      <c r="P336" s="5">
        <f>C$55*(1-J$14)*(1-'Assumptions and Catalog'!$C$23)^R336</f>
        <v>0</v>
      </c>
      <c r="Q336" s="5">
        <f>IF(ISNUMBER(Inputs!$L$5),(IF(Inputs!$L$9="Actual flat rate",((D336+E336)*C336-G336)*Inputs!$L$10,IF(Inputs!$C$9="Residential",IF(((D336+E336)*C336-G336)&lt;='Assumptions and Catalog'!$C$50,((D336+E336)*C336-G336)*'Assumptions and Catalog'!$H$50+'Assumptions and Catalog'!$E$50+'Assumptions and Catalog'!$F$50,IF(((D336+E336)*C336-G336)&lt;='Assumptions and Catalog'!$C$51,((D336+E336)*C336-G336)*'Assumptions and Catalog'!$H$51+'Assumptions and Catalog'!$E$51+'Assumptions and Catalog'!$F$51,IF(((D336+E336)*C336-G336)&lt;='Assumptions and Catalog'!$C$52,((D336+E336)*C336-G336)*'Assumptions and Catalog'!$H$52+'Assumptions and Catalog'!$E$52+'Assumptions and Catalog'!$F$52,IF(((D336+E336)*C336-G336)&lt;='Assumptions and Catalog'!$C$53,((D336+E336)*C336-G336)*'Assumptions and Catalog'!$H$53+'Assumptions and Catalog'!$E$53+'Assumptions and Catalog'!$F$53,IF(((D336+E336)*C336-G336)&lt;='Assumptions and Catalog'!$C$54,((D336+E336)*C336-G336)*'Assumptions and Catalog'!$H$54+'Assumptions and Catalog'!$E$54+'Assumptions and Catalog'!$F$54,IF(((D336+E336)*C336-G336)&lt;='Assumptions and Catalog'!$C$55,((D336+E336)*C336-G336)*'Assumptions and Catalog'!$H$55+'Assumptions and Catalog'!$E$55+'Assumptions and Catalog'!$F$55,IF(((D336+E336)*C336-G336)&lt;='Assumptions and Catalog'!$C$56,((D336+E336)*C336-G336)*'Assumptions and Catalog'!$H$56+'Assumptions and Catalog'!$E$56+'Assumptions and Catalog'!$F$56,IF(((D336+E336)*C336-G336)&lt;='Assumptions and Catalog'!$C$57,((D336+E336)*C336-G336)*'Assumptions and Catalog'!$H$57+'Assumptions and Catalog'!$E$57+'Assumptions and Catalog'!$F$57,"Out of range")))))))),IF(((D336+E336)*C336-G336)&lt;='Assumptions and Catalog'!$C$60,((D336+E336)*C336-G336)*'Assumptions and Catalog'!$H$60+'Assumptions and Catalog'!$E$60+'Assumptions and Catalog'!$F$60,IF(((D336+E336)*C336-G336)&lt;='Assumptions and Catalog'!$C$61,((D336+E336)*C336-G336)*'Assumptions and Catalog'!$H$61+'Assumptions and Catalog'!$E$61+'Assumptions and Catalog'!$F$61,IF(((D336+E336)*C336-G336)&lt;='Assumptions and Catalog'!$C$62,((D336+E336)*C336-G336)*'Assumptions and Catalog'!$H$62+'Assumptions and Catalog'!$E$62+'Assumptions and Catalog'!$F$62,IF(((D336+E336)*C336-G336)&lt;='Assumptions and Catalog'!$C$63,((D336+E336)*C336-G336)*'Assumptions and Catalog'!$H$63+'Assumptions and Catalog'!$E$63+'Assumptions and Catalog'!$F$63,IF(((D336+E336)*C336-G336)&lt;='Assumptions and Catalog'!$C$64,((D336+E336)*C336-G336)*'Assumptions and Catalog'!$H$64+'Assumptions and Catalog'!$E$64+'Assumptions and Catalog'!$F$64,IF(((D336+E336)*C336-G336)&lt;='Assumptions and Catalog'!$C$65,((D336+E336)*C336-G336)*'Assumptions and Catalog'!$H$65+'Assumptions and Catalog'!$E$65+'Assumptions and Catalog'!$F$65,"Out of range")))))))))*(1+'Assumptions and Catalog'!$C$8)^(A336-1),0)</f>
        <v>5257.5634073082219</v>
      </c>
      <c r="R336" s="5">
        <f>IF(AND('Assumptions and Catalog'!$C$19&gt;0,A336&gt;='Assumptions and Catalog'!$C$19),A336-'Assumptions and Catalog'!$C$19,A336-1)</f>
        <v>4</v>
      </c>
      <c r="S336" s="5">
        <f t="shared" si="25"/>
        <v>0</v>
      </c>
      <c r="T336" s="5"/>
      <c r="U336" s="5"/>
    </row>
    <row r="337" spans="1:21" ht="23.1" customHeight="1" outlineLevel="1" x14ac:dyDescent="0.2">
      <c r="A337" s="5">
        <v>15</v>
      </c>
      <c r="B337" s="5">
        <v>9</v>
      </c>
      <c r="C337" s="5">
        <f>DAY(DATE('Assumptions and Catalog'!$C$24+A337-1,B337+1,0))</f>
        <v>30</v>
      </c>
      <c r="D337" s="5">
        <f>IF(ISNUMBER(Inputs!$L$5),Inputs!$L$5*Inputs!$L$6,0)</f>
        <v>40.35</v>
      </c>
      <c r="E337" s="5">
        <f>IF(ISNUMBER(Inputs!$L$5),Inputs!$L$5-D337,0)</f>
        <v>40.35</v>
      </c>
      <c r="F337" s="5">
        <f>C$51*'Assumptions and Catalog'!$C$31*C337*(1-'Assumptions and Catalog'!$C$10)^(A337-1)</f>
        <v>933.14370493243246</v>
      </c>
      <c r="G337" s="5">
        <f t="shared" si="20"/>
        <v>933.14370493243246</v>
      </c>
      <c r="H337" s="5">
        <f>I337/('Assumptions and Catalog'!$C$11*'Assumptions and Catalog'!$C$12)</f>
        <v>0</v>
      </c>
      <c r="I337" s="5">
        <f>0</f>
        <v>0</v>
      </c>
      <c r="J337" s="5">
        <f t="shared" si="21"/>
        <v>0</v>
      </c>
      <c r="K337" s="5">
        <f t="shared" si="22"/>
        <v>0</v>
      </c>
      <c r="L337" s="5">
        <f t="shared" si="23"/>
        <v>1487.8562950675675</v>
      </c>
      <c r="M337" s="5">
        <f>IF(ISNUMBER(Inputs!$L$5),(IF(Inputs!$L$9="Actual flat rate",((D337+E337)*C337)*Inputs!$L$10,IF(Inputs!$C$9="Residential",IF(((D337+E337)*C337)&lt;='Assumptions and Catalog'!$C$50,((D337+E337)*C337)*'Assumptions and Catalog'!$H$50+'Assumptions and Catalog'!$E$50+'Assumptions and Catalog'!$F$50,IF(((D337+E337)*C337)&lt;='Assumptions and Catalog'!$C$51,((D337+E337)*C337)*'Assumptions and Catalog'!$H$51+'Assumptions and Catalog'!$E$51+'Assumptions and Catalog'!$F$51,IF(((D337+E337)*C337)&lt;='Assumptions and Catalog'!$C$52,((D337+E337)*C337)*'Assumptions and Catalog'!$H$52+'Assumptions and Catalog'!$E$52+'Assumptions and Catalog'!$F$52,IF(((D337+E337)*C337)&lt;='Assumptions and Catalog'!$C$53,((D337+E337)*C337)*'Assumptions and Catalog'!$H$53+'Assumptions and Catalog'!$E$53+'Assumptions and Catalog'!$F$53,IF(((D337+E337)*C337)&lt;='Assumptions and Catalog'!$C$54,((D337+E337)*C337)*'Assumptions and Catalog'!$H$54+'Assumptions and Catalog'!$E$54+'Assumptions and Catalog'!$F$54,IF(((D337+E337)*C337)&lt;='Assumptions and Catalog'!$C$55,((D337+E337)*C337)*'Assumptions and Catalog'!$H$55+'Assumptions and Catalog'!$E$55+'Assumptions and Catalog'!$F$55,IF(((D337+E337)*C337)&lt;='Assumptions and Catalog'!$C$56,((D337+E337)*C337)*'Assumptions and Catalog'!$H$56+'Assumptions and Catalog'!$E$56+'Assumptions and Catalog'!$F$56,IF(((D337+E337)*C337)&lt;='Assumptions and Catalog'!$C$57,((D337+E337)*C337)*'Assumptions and Catalog'!$H$57+'Assumptions and Catalog'!$E$57+'Assumptions and Catalog'!$F$57,"Out of range")))))))),IF(((D337+E337)*C337)&lt;='Assumptions and Catalog'!$C$60,((D337+E337)*C337)*'Assumptions and Catalog'!$H$60+'Assumptions and Catalog'!$E$60+'Assumptions and Catalog'!$F$60,IF(((D337+E337)*C337)&lt;='Assumptions and Catalog'!$C$61,((D337+E337)*C337)*'Assumptions and Catalog'!$H$61+'Assumptions and Catalog'!$E$61+'Assumptions and Catalog'!$F$61,IF(((D337+E337)*C337)&lt;='Assumptions and Catalog'!$C$62,((D337+E337)*C337)*'Assumptions and Catalog'!$H$62+'Assumptions and Catalog'!$E$62+'Assumptions and Catalog'!$F$62,IF(((D337+E337)*C337)&lt;='Assumptions and Catalog'!$C$63,((D337+E337)*C337)*'Assumptions and Catalog'!$H$63+'Assumptions and Catalog'!$E$63+'Assumptions and Catalog'!$F$63,IF(((D337+E337)*C337)&lt;='Assumptions and Catalog'!$C$64,((D337+E337)*C337)*'Assumptions and Catalog'!$H$64+'Assumptions and Catalog'!$E$64+'Assumptions and Catalog'!$F$64,IF(((D337+E337)*C337)&lt;='Assumptions and Catalog'!$C$65,((D337+E337)*C337)*'Assumptions and Catalog'!$H$65+'Assumptions and Catalog'!$E$65+'Assumptions and Catalog'!$F$65,"Out of range")))))))))*(1+'Assumptions and Catalog'!$C$8)^(A337-1),0)</f>
        <v>8279</v>
      </c>
      <c r="N337" s="5">
        <f>IF(ISNUMBER(Inputs!$L$5),(IF(Inputs!$L$9="Actual flat rate",L337*Inputs!$L$10,IF(Inputs!$C$9="Residential",IF(L337&lt;='Assumptions and Catalog'!$C$50,L337*'Assumptions and Catalog'!$H$50+'Assumptions and Catalog'!$E$50+'Assumptions and Catalog'!$F$50,IF(L337&lt;='Assumptions and Catalog'!$C$51,L337*'Assumptions and Catalog'!$H$51+'Assumptions and Catalog'!$E$51+'Assumptions and Catalog'!$F$51,IF(L337&lt;='Assumptions and Catalog'!$C$52,L337*'Assumptions and Catalog'!$H$52+'Assumptions and Catalog'!$E$52+'Assumptions and Catalog'!$F$52,IF(L337&lt;='Assumptions and Catalog'!$C$53,L337*'Assumptions and Catalog'!$H$53+'Assumptions and Catalog'!$E$53+'Assumptions and Catalog'!$F$53,IF(L337&lt;='Assumptions and Catalog'!$C$54,L337*'Assumptions and Catalog'!$H$54+'Assumptions and Catalog'!$E$54+'Assumptions and Catalog'!$F$54,IF(L337&lt;='Assumptions and Catalog'!$C$55,L337*'Assumptions and Catalog'!$H$55+'Assumptions and Catalog'!$E$55+'Assumptions and Catalog'!$F$55,IF(L337&lt;='Assumptions and Catalog'!$C$56,L337*'Assumptions and Catalog'!$H$56+'Assumptions and Catalog'!$E$56+'Assumptions and Catalog'!$F$56,IF(L337&lt;='Assumptions and Catalog'!$C$57,L337*'Assumptions and Catalog'!$H$57+'Assumptions and Catalog'!$E$57+'Assumptions and Catalog'!$F$57,"Out of range")))))))),IF(L337&lt;='Assumptions and Catalog'!$C$60,L337*'Assumptions and Catalog'!$H$60+'Assumptions and Catalog'!$E$60+'Assumptions and Catalog'!$F$60,IF(L337&lt;='Assumptions and Catalog'!$C$61,L337*'Assumptions and Catalog'!$H$61+'Assumptions and Catalog'!$E$61+'Assumptions and Catalog'!$F$61,IF(L337&lt;='Assumptions and Catalog'!$C$62,L337*'Assumptions and Catalog'!$H$62+'Assumptions and Catalog'!$E$62+'Assumptions and Catalog'!$F$62,IF(L337&lt;='Assumptions and Catalog'!$C$63,L337*'Assumptions and Catalog'!$H$63+'Assumptions and Catalog'!$E$63+'Assumptions and Catalog'!$F$63,IF(L337&lt;='Assumptions and Catalog'!$C$64,L337*'Assumptions and Catalog'!$H$64+'Assumptions and Catalog'!$E$64+'Assumptions and Catalog'!$F$64,IF(L337&lt;='Assumptions and Catalog'!$C$65,L337*'Assumptions and Catalog'!$H$65+'Assumptions and Catalog'!$E$65+'Assumptions and Catalog'!$F$65,"Out of range")))))))))*(1+'Assumptions and Catalog'!$C$8)^(A337-1),0)</f>
        <v>5087.9645877176335</v>
      </c>
      <c r="O337" s="5">
        <f t="shared" si="24"/>
        <v>3191.0354122823665</v>
      </c>
      <c r="P337" s="5">
        <f>C$55*(1-J$14)*(1-'Assumptions and Catalog'!$C$23)^R337</f>
        <v>0</v>
      </c>
      <c r="Q337" s="5">
        <f>IF(ISNUMBER(Inputs!$L$5),(IF(Inputs!$L$9="Actual flat rate",((D337+E337)*C337-G337)*Inputs!$L$10,IF(Inputs!$C$9="Residential",IF(((D337+E337)*C337-G337)&lt;='Assumptions and Catalog'!$C$50,((D337+E337)*C337-G337)*'Assumptions and Catalog'!$H$50+'Assumptions and Catalog'!$E$50+'Assumptions and Catalog'!$F$50,IF(((D337+E337)*C337-G337)&lt;='Assumptions and Catalog'!$C$51,((D337+E337)*C337-G337)*'Assumptions and Catalog'!$H$51+'Assumptions and Catalog'!$E$51+'Assumptions and Catalog'!$F$51,IF(((D337+E337)*C337-G337)&lt;='Assumptions and Catalog'!$C$52,((D337+E337)*C337-G337)*'Assumptions and Catalog'!$H$52+'Assumptions and Catalog'!$E$52+'Assumptions and Catalog'!$F$52,IF(((D337+E337)*C337-G337)&lt;='Assumptions and Catalog'!$C$53,((D337+E337)*C337-G337)*'Assumptions and Catalog'!$H$53+'Assumptions and Catalog'!$E$53+'Assumptions and Catalog'!$F$53,IF(((D337+E337)*C337-G337)&lt;='Assumptions and Catalog'!$C$54,((D337+E337)*C337-G337)*'Assumptions and Catalog'!$H$54+'Assumptions and Catalog'!$E$54+'Assumptions and Catalog'!$F$54,IF(((D337+E337)*C337-G337)&lt;='Assumptions and Catalog'!$C$55,((D337+E337)*C337-G337)*'Assumptions and Catalog'!$H$55+'Assumptions and Catalog'!$E$55+'Assumptions and Catalog'!$F$55,IF(((D337+E337)*C337-G337)&lt;='Assumptions and Catalog'!$C$56,((D337+E337)*C337-G337)*'Assumptions and Catalog'!$H$56+'Assumptions and Catalog'!$E$56+'Assumptions and Catalog'!$F$56,IF(((D337+E337)*C337-G337)&lt;='Assumptions and Catalog'!$C$57,((D337+E337)*C337-G337)*'Assumptions and Catalog'!$H$57+'Assumptions and Catalog'!$E$57+'Assumptions and Catalog'!$F$57,"Out of range")))))))),IF(((D337+E337)*C337-G337)&lt;='Assumptions and Catalog'!$C$60,((D337+E337)*C337-G337)*'Assumptions and Catalog'!$H$60+'Assumptions and Catalog'!$E$60+'Assumptions and Catalog'!$F$60,IF(((D337+E337)*C337-G337)&lt;='Assumptions and Catalog'!$C$61,((D337+E337)*C337-G337)*'Assumptions and Catalog'!$H$61+'Assumptions and Catalog'!$E$61+'Assumptions and Catalog'!$F$61,IF(((D337+E337)*C337-G337)&lt;='Assumptions and Catalog'!$C$62,((D337+E337)*C337-G337)*'Assumptions and Catalog'!$H$62+'Assumptions and Catalog'!$E$62+'Assumptions and Catalog'!$F$62,IF(((D337+E337)*C337-G337)&lt;='Assumptions and Catalog'!$C$63,((D337+E337)*C337-G337)*'Assumptions and Catalog'!$H$63+'Assumptions and Catalog'!$E$63+'Assumptions and Catalog'!$F$63,IF(((D337+E337)*C337-G337)&lt;='Assumptions and Catalog'!$C$64,((D337+E337)*C337-G337)*'Assumptions and Catalog'!$H$64+'Assumptions and Catalog'!$E$64+'Assumptions and Catalog'!$F$64,IF(((D337+E337)*C337-G337)&lt;='Assumptions and Catalog'!$C$65,((D337+E337)*C337-G337)*'Assumptions and Catalog'!$H$65+'Assumptions and Catalog'!$E$65+'Assumptions and Catalog'!$F$65,"Out of range")))))))))*(1+'Assumptions and Catalog'!$C$8)^(A337-1),0)</f>
        <v>5087.9645877176335</v>
      </c>
      <c r="R337" s="5">
        <f>IF(AND('Assumptions and Catalog'!$C$19&gt;0,A337&gt;='Assumptions and Catalog'!$C$19),A337-'Assumptions and Catalog'!$C$19,A337-1)</f>
        <v>4</v>
      </c>
      <c r="S337" s="5">
        <f t="shared" si="25"/>
        <v>0</v>
      </c>
      <c r="T337" s="5"/>
      <c r="U337" s="5"/>
    </row>
    <row r="338" spans="1:21" ht="23.1" customHeight="1" outlineLevel="1" x14ac:dyDescent="0.2">
      <c r="A338" s="5">
        <v>15</v>
      </c>
      <c r="B338" s="5">
        <v>10</v>
      </c>
      <c r="C338" s="5">
        <f>DAY(DATE('Assumptions and Catalog'!$C$24+A338-1,B338+1,0))</f>
        <v>31</v>
      </c>
      <c r="D338" s="5">
        <f>IF(ISNUMBER(Inputs!$L$5),Inputs!$L$5*Inputs!$L$6,0)</f>
        <v>40.35</v>
      </c>
      <c r="E338" s="5">
        <f>IF(ISNUMBER(Inputs!$L$5),Inputs!$L$5-D338,0)</f>
        <v>40.35</v>
      </c>
      <c r="F338" s="5">
        <f>C$51*'Assumptions and Catalog'!$C$31*C338*(1-'Assumptions and Catalog'!$C$10)^(A338-1)</f>
        <v>964.2484950968468</v>
      </c>
      <c r="G338" s="5">
        <f t="shared" si="20"/>
        <v>964.2484950968468</v>
      </c>
      <c r="H338" s="5">
        <f>I338/('Assumptions and Catalog'!$C$11*'Assumptions and Catalog'!$C$12)</f>
        <v>0</v>
      </c>
      <c r="I338" s="5">
        <f>0</f>
        <v>0</v>
      </c>
      <c r="J338" s="5">
        <f t="shared" si="21"/>
        <v>0</v>
      </c>
      <c r="K338" s="5">
        <f t="shared" si="22"/>
        <v>0</v>
      </c>
      <c r="L338" s="5">
        <f t="shared" si="23"/>
        <v>1537.4515049031534</v>
      </c>
      <c r="M338" s="5">
        <f>IF(ISNUMBER(Inputs!$L$5),(IF(Inputs!$L$9="Actual flat rate",((D338+E338)*C338)*Inputs!$L$10,IF(Inputs!$C$9="Residential",IF(((D338+E338)*C338)&lt;='Assumptions and Catalog'!$C$50,((D338+E338)*C338)*'Assumptions and Catalog'!$H$50+'Assumptions and Catalog'!$E$50+'Assumptions and Catalog'!$F$50,IF(((D338+E338)*C338)&lt;='Assumptions and Catalog'!$C$51,((D338+E338)*C338)*'Assumptions and Catalog'!$H$51+'Assumptions and Catalog'!$E$51+'Assumptions and Catalog'!$F$51,IF(((D338+E338)*C338)&lt;='Assumptions and Catalog'!$C$52,((D338+E338)*C338)*'Assumptions and Catalog'!$H$52+'Assumptions and Catalog'!$E$52+'Assumptions and Catalog'!$F$52,IF(((D338+E338)*C338)&lt;='Assumptions and Catalog'!$C$53,((D338+E338)*C338)*'Assumptions and Catalog'!$H$53+'Assumptions and Catalog'!$E$53+'Assumptions and Catalog'!$F$53,IF(((D338+E338)*C338)&lt;='Assumptions and Catalog'!$C$54,((D338+E338)*C338)*'Assumptions and Catalog'!$H$54+'Assumptions and Catalog'!$E$54+'Assumptions and Catalog'!$F$54,IF(((D338+E338)*C338)&lt;='Assumptions and Catalog'!$C$55,((D338+E338)*C338)*'Assumptions and Catalog'!$H$55+'Assumptions and Catalog'!$E$55+'Assumptions and Catalog'!$F$55,IF(((D338+E338)*C338)&lt;='Assumptions and Catalog'!$C$56,((D338+E338)*C338)*'Assumptions and Catalog'!$H$56+'Assumptions and Catalog'!$E$56+'Assumptions and Catalog'!$F$56,IF(((D338+E338)*C338)&lt;='Assumptions and Catalog'!$C$57,((D338+E338)*C338)*'Assumptions and Catalog'!$H$57+'Assumptions and Catalog'!$E$57+'Assumptions and Catalog'!$F$57,"Out of range")))))))),IF(((D338+E338)*C338)&lt;='Assumptions and Catalog'!$C$60,((D338+E338)*C338)*'Assumptions and Catalog'!$H$60+'Assumptions and Catalog'!$E$60+'Assumptions and Catalog'!$F$60,IF(((D338+E338)*C338)&lt;='Assumptions and Catalog'!$C$61,((D338+E338)*C338)*'Assumptions and Catalog'!$H$61+'Assumptions and Catalog'!$E$61+'Assumptions and Catalog'!$F$61,IF(((D338+E338)*C338)&lt;='Assumptions and Catalog'!$C$62,((D338+E338)*C338)*'Assumptions and Catalog'!$H$62+'Assumptions and Catalog'!$E$62+'Assumptions and Catalog'!$F$62,IF(((D338+E338)*C338)&lt;='Assumptions and Catalog'!$C$63,((D338+E338)*C338)*'Assumptions and Catalog'!$H$63+'Assumptions and Catalog'!$E$63+'Assumptions and Catalog'!$F$63,IF(((D338+E338)*C338)&lt;='Assumptions and Catalog'!$C$64,((D338+E338)*C338)*'Assumptions and Catalog'!$H$64+'Assumptions and Catalog'!$E$64+'Assumptions and Catalog'!$F$64,IF(((D338+E338)*C338)&lt;='Assumptions and Catalog'!$C$65,((D338+E338)*C338)*'Assumptions and Catalog'!$H$65+'Assumptions and Catalog'!$E$65+'Assumptions and Catalog'!$F$65,"Out of range")))))))))*(1+'Assumptions and Catalog'!$C$8)^(A338-1),0)</f>
        <v>8554.9666666666672</v>
      </c>
      <c r="N338" s="5">
        <f>IF(ISNUMBER(Inputs!$L$5),(IF(Inputs!$L$9="Actual flat rate",L338*Inputs!$L$10,IF(Inputs!$C$9="Residential",IF(L338&lt;='Assumptions and Catalog'!$C$50,L338*'Assumptions and Catalog'!$H$50+'Assumptions and Catalog'!$E$50+'Assumptions and Catalog'!$F$50,IF(L338&lt;='Assumptions and Catalog'!$C$51,L338*'Assumptions and Catalog'!$H$51+'Assumptions and Catalog'!$E$51+'Assumptions and Catalog'!$F$51,IF(L338&lt;='Assumptions and Catalog'!$C$52,L338*'Assumptions and Catalog'!$H$52+'Assumptions and Catalog'!$E$52+'Assumptions and Catalog'!$F$52,IF(L338&lt;='Assumptions and Catalog'!$C$53,L338*'Assumptions and Catalog'!$H$53+'Assumptions and Catalog'!$E$53+'Assumptions and Catalog'!$F$53,IF(L338&lt;='Assumptions and Catalog'!$C$54,L338*'Assumptions and Catalog'!$H$54+'Assumptions and Catalog'!$E$54+'Assumptions and Catalog'!$F$54,IF(L338&lt;='Assumptions and Catalog'!$C$55,L338*'Assumptions and Catalog'!$H$55+'Assumptions and Catalog'!$E$55+'Assumptions and Catalog'!$F$55,IF(L338&lt;='Assumptions and Catalog'!$C$56,L338*'Assumptions and Catalog'!$H$56+'Assumptions and Catalog'!$E$56+'Assumptions and Catalog'!$F$56,IF(L338&lt;='Assumptions and Catalog'!$C$57,L338*'Assumptions and Catalog'!$H$57+'Assumptions and Catalog'!$E$57+'Assumptions and Catalog'!$F$57,"Out of range")))))))),IF(L338&lt;='Assumptions and Catalog'!$C$60,L338*'Assumptions and Catalog'!$H$60+'Assumptions and Catalog'!$E$60+'Assumptions and Catalog'!$F$60,IF(L338&lt;='Assumptions and Catalog'!$C$61,L338*'Assumptions and Catalog'!$H$61+'Assumptions and Catalog'!$E$61+'Assumptions and Catalog'!$F$61,IF(L338&lt;='Assumptions and Catalog'!$C$62,L338*'Assumptions and Catalog'!$H$62+'Assumptions and Catalog'!$E$62+'Assumptions and Catalog'!$F$62,IF(L338&lt;='Assumptions and Catalog'!$C$63,L338*'Assumptions and Catalog'!$H$63+'Assumptions and Catalog'!$E$63+'Assumptions and Catalog'!$F$63,IF(L338&lt;='Assumptions and Catalog'!$C$64,L338*'Assumptions and Catalog'!$H$64+'Assumptions and Catalog'!$E$64+'Assumptions and Catalog'!$F$64,IF(L338&lt;='Assumptions and Catalog'!$C$65,L338*'Assumptions and Catalog'!$H$65+'Assumptions and Catalog'!$E$65+'Assumptions and Catalog'!$F$65,"Out of range")))))))))*(1+'Assumptions and Catalog'!$C$8)^(A338-1),0)</f>
        <v>5257.5634073082219</v>
      </c>
      <c r="O338" s="5">
        <f t="shared" si="24"/>
        <v>3297.4032593584452</v>
      </c>
      <c r="P338" s="5">
        <f>C$55*(1-J$14)*(1-'Assumptions and Catalog'!$C$23)^R338</f>
        <v>0</v>
      </c>
      <c r="Q338" s="5">
        <f>IF(ISNUMBER(Inputs!$L$5),(IF(Inputs!$L$9="Actual flat rate",((D338+E338)*C338-G338)*Inputs!$L$10,IF(Inputs!$C$9="Residential",IF(((D338+E338)*C338-G338)&lt;='Assumptions and Catalog'!$C$50,((D338+E338)*C338-G338)*'Assumptions and Catalog'!$H$50+'Assumptions and Catalog'!$E$50+'Assumptions and Catalog'!$F$50,IF(((D338+E338)*C338-G338)&lt;='Assumptions and Catalog'!$C$51,((D338+E338)*C338-G338)*'Assumptions and Catalog'!$H$51+'Assumptions and Catalog'!$E$51+'Assumptions and Catalog'!$F$51,IF(((D338+E338)*C338-G338)&lt;='Assumptions and Catalog'!$C$52,((D338+E338)*C338-G338)*'Assumptions and Catalog'!$H$52+'Assumptions and Catalog'!$E$52+'Assumptions and Catalog'!$F$52,IF(((D338+E338)*C338-G338)&lt;='Assumptions and Catalog'!$C$53,((D338+E338)*C338-G338)*'Assumptions and Catalog'!$H$53+'Assumptions and Catalog'!$E$53+'Assumptions and Catalog'!$F$53,IF(((D338+E338)*C338-G338)&lt;='Assumptions and Catalog'!$C$54,((D338+E338)*C338-G338)*'Assumptions and Catalog'!$H$54+'Assumptions and Catalog'!$E$54+'Assumptions and Catalog'!$F$54,IF(((D338+E338)*C338-G338)&lt;='Assumptions and Catalog'!$C$55,((D338+E338)*C338-G338)*'Assumptions and Catalog'!$H$55+'Assumptions and Catalog'!$E$55+'Assumptions and Catalog'!$F$55,IF(((D338+E338)*C338-G338)&lt;='Assumptions and Catalog'!$C$56,((D338+E338)*C338-G338)*'Assumptions and Catalog'!$H$56+'Assumptions and Catalog'!$E$56+'Assumptions and Catalog'!$F$56,IF(((D338+E338)*C338-G338)&lt;='Assumptions and Catalog'!$C$57,((D338+E338)*C338-G338)*'Assumptions and Catalog'!$H$57+'Assumptions and Catalog'!$E$57+'Assumptions and Catalog'!$F$57,"Out of range")))))))),IF(((D338+E338)*C338-G338)&lt;='Assumptions and Catalog'!$C$60,((D338+E338)*C338-G338)*'Assumptions and Catalog'!$H$60+'Assumptions and Catalog'!$E$60+'Assumptions and Catalog'!$F$60,IF(((D338+E338)*C338-G338)&lt;='Assumptions and Catalog'!$C$61,((D338+E338)*C338-G338)*'Assumptions and Catalog'!$H$61+'Assumptions and Catalog'!$E$61+'Assumptions and Catalog'!$F$61,IF(((D338+E338)*C338-G338)&lt;='Assumptions and Catalog'!$C$62,((D338+E338)*C338-G338)*'Assumptions and Catalog'!$H$62+'Assumptions and Catalog'!$E$62+'Assumptions and Catalog'!$F$62,IF(((D338+E338)*C338-G338)&lt;='Assumptions and Catalog'!$C$63,((D338+E338)*C338-G338)*'Assumptions and Catalog'!$H$63+'Assumptions and Catalog'!$E$63+'Assumptions and Catalog'!$F$63,IF(((D338+E338)*C338-G338)&lt;='Assumptions and Catalog'!$C$64,((D338+E338)*C338-G338)*'Assumptions and Catalog'!$H$64+'Assumptions and Catalog'!$E$64+'Assumptions and Catalog'!$F$64,IF(((D338+E338)*C338-G338)&lt;='Assumptions and Catalog'!$C$65,((D338+E338)*C338-G338)*'Assumptions and Catalog'!$H$65+'Assumptions and Catalog'!$E$65+'Assumptions and Catalog'!$F$65,"Out of range")))))))))*(1+'Assumptions and Catalog'!$C$8)^(A338-1),0)</f>
        <v>5257.5634073082219</v>
      </c>
      <c r="R338" s="5">
        <f>IF(AND('Assumptions and Catalog'!$C$19&gt;0,A338&gt;='Assumptions and Catalog'!$C$19),A338-'Assumptions and Catalog'!$C$19,A338-1)</f>
        <v>4</v>
      </c>
      <c r="S338" s="5">
        <f t="shared" si="25"/>
        <v>0</v>
      </c>
      <c r="T338" s="5"/>
      <c r="U338" s="5"/>
    </row>
    <row r="339" spans="1:21" ht="23.1" customHeight="1" outlineLevel="1" x14ac:dyDescent="0.2">
      <c r="A339" s="5">
        <v>15</v>
      </c>
      <c r="B339" s="5">
        <v>11</v>
      </c>
      <c r="C339" s="5">
        <f>DAY(DATE('Assumptions and Catalog'!$C$24+A339-1,B339+1,0))</f>
        <v>30</v>
      </c>
      <c r="D339" s="5">
        <f>IF(ISNUMBER(Inputs!$L$5),Inputs!$L$5*Inputs!$L$6,0)</f>
        <v>40.35</v>
      </c>
      <c r="E339" s="5">
        <f>IF(ISNUMBER(Inputs!$L$5),Inputs!$L$5-D339,0)</f>
        <v>40.35</v>
      </c>
      <c r="F339" s="5">
        <f>C$51*'Assumptions and Catalog'!$C$31*C339*(1-'Assumptions and Catalog'!$C$10)^(A339-1)</f>
        <v>933.14370493243246</v>
      </c>
      <c r="G339" s="5">
        <f t="shared" si="20"/>
        <v>933.14370493243246</v>
      </c>
      <c r="H339" s="5">
        <f>I339/('Assumptions and Catalog'!$C$11*'Assumptions and Catalog'!$C$12)</f>
        <v>0</v>
      </c>
      <c r="I339" s="5">
        <f>0</f>
        <v>0</v>
      </c>
      <c r="J339" s="5">
        <f t="shared" si="21"/>
        <v>0</v>
      </c>
      <c r="K339" s="5">
        <f t="shared" si="22"/>
        <v>0</v>
      </c>
      <c r="L339" s="5">
        <f t="shared" si="23"/>
        <v>1487.8562950675675</v>
      </c>
      <c r="M339" s="5">
        <f>IF(ISNUMBER(Inputs!$L$5),(IF(Inputs!$L$9="Actual flat rate",((D339+E339)*C339)*Inputs!$L$10,IF(Inputs!$C$9="Residential",IF(((D339+E339)*C339)&lt;='Assumptions and Catalog'!$C$50,((D339+E339)*C339)*'Assumptions and Catalog'!$H$50+'Assumptions and Catalog'!$E$50+'Assumptions and Catalog'!$F$50,IF(((D339+E339)*C339)&lt;='Assumptions and Catalog'!$C$51,((D339+E339)*C339)*'Assumptions and Catalog'!$H$51+'Assumptions and Catalog'!$E$51+'Assumptions and Catalog'!$F$51,IF(((D339+E339)*C339)&lt;='Assumptions and Catalog'!$C$52,((D339+E339)*C339)*'Assumptions and Catalog'!$H$52+'Assumptions and Catalog'!$E$52+'Assumptions and Catalog'!$F$52,IF(((D339+E339)*C339)&lt;='Assumptions and Catalog'!$C$53,((D339+E339)*C339)*'Assumptions and Catalog'!$H$53+'Assumptions and Catalog'!$E$53+'Assumptions and Catalog'!$F$53,IF(((D339+E339)*C339)&lt;='Assumptions and Catalog'!$C$54,((D339+E339)*C339)*'Assumptions and Catalog'!$H$54+'Assumptions and Catalog'!$E$54+'Assumptions and Catalog'!$F$54,IF(((D339+E339)*C339)&lt;='Assumptions and Catalog'!$C$55,((D339+E339)*C339)*'Assumptions and Catalog'!$H$55+'Assumptions and Catalog'!$E$55+'Assumptions and Catalog'!$F$55,IF(((D339+E339)*C339)&lt;='Assumptions and Catalog'!$C$56,((D339+E339)*C339)*'Assumptions and Catalog'!$H$56+'Assumptions and Catalog'!$E$56+'Assumptions and Catalog'!$F$56,IF(((D339+E339)*C339)&lt;='Assumptions and Catalog'!$C$57,((D339+E339)*C339)*'Assumptions and Catalog'!$H$57+'Assumptions and Catalog'!$E$57+'Assumptions and Catalog'!$F$57,"Out of range")))))))),IF(((D339+E339)*C339)&lt;='Assumptions and Catalog'!$C$60,((D339+E339)*C339)*'Assumptions and Catalog'!$H$60+'Assumptions and Catalog'!$E$60+'Assumptions and Catalog'!$F$60,IF(((D339+E339)*C339)&lt;='Assumptions and Catalog'!$C$61,((D339+E339)*C339)*'Assumptions and Catalog'!$H$61+'Assumptions and Catalog'!$E$61+'Assumptions and Catalog'!$F$61,IF(((D339+E339)*C339)&lt;='Assumptions and Catalog'!$C$62,((D339+E339)*C339)*'Assumptions and Catalog'!$H$62+'Assumptions and Catalog'!$E$62+'Assumptions and Catalog'!$F$62,IF(((D339+E339)*C339)&lt;='Assumptions and Catalog'!$C$63,((D339+E339)*C339)*'Assumptions and Catalog'!$H$63+'Assumptions and Catalog'!$E$63+'Assumptions and Catalog'!$F$63,IF(((D339+E339)*C339)&lt;='Assumptions and Catalog'!$C$64,((D339+E339)*C339)*'Assumptions and Catalog'!$H$64+'Assumptions and Catalog'!$E$64+'Assumptions and Catalog'!$F$64,IF(((D339+E339)*C339)&lt;='Assumptions and Catalog'!$C$65,((D339+E339)*C339)*'Assumptions and Catalog'!$H$65+'Assumptions and Catalog'!$E$65+'Assumptions and Catalog'!$F$65,"Out of range")))))))))*(1+'Assumptions and Catalog'!$C$8)^(A339-1),0)</f>
        <v>8279</v>
      </c>
      <c r="N339" s="5">
        <f>IF(ISNUMBER(Inputs!$L$5),(IF(Inputs!$L$9="Actual flat rate",L339*Inputs!$L$10,IF(Inputs!$C$9="Residential",IF(L339&lt;='Assumptions and Catalog'!$C$50,L339*'Assumptions and Catalog'!$H$50+'Assumptions and Catalog'!$E$50+'Assumptions and Catalog'!$F$50,IF(L339&lt;='Assumptions and Catalog'!$C$51,L339*'Assumptions and Catalog'!$H$51+'Assumptions and Catalog'!$E$51+'Assumptions and Catalog'!$F$51,IF(L339&lt;='Assumptions and Catalog'!$C$52,L339*'Assumptions and Catalog'!$H$52+'Assumptions and Catalog'!$E$52+'Assumptions and Catalog'!$F$52,IF(L339&lt;='Assumptions and Catalog'!$C$53,L339*'Assumptions and Catalog'!$H$53+'Assumptions and Catalog'!$E$53+'Assumptions and Catalog'!$F$53,IF(L339&lt;='Assumptions and Catalog'!$C$54,L339*'Assumptions and Catalog'!$H$54+'Assumptions and Catalog'!$E$54+'Assumptions and Catalog'!$F$54,IF(L339&lt;='Assumptions and Catalog'!$C$55,L339*'Assumptions and Catalog'!$H$55+'Assumptions and Catalog'!$E$55+'Assumptions and Catalog'!$F$55,IF(L339&lt;='Assumptions and Catalog'!$C$56,L339*'Assumptions and Catalog'!$H$56+'Assumptions and Catalog'!$E$56+'Assumptions and Catalog'!$F$56,IF(L339&lt;='Assumptions and Catalog'!$C$57,L339*'Assumptions and Catalog'!$H$57+'Assumptions and Catalog'!$E$57+'Assumptions and Catalog'!$F$57,"Out of range")))))))),IF(L339&lt;='Assumptions and Catalog'!$C$60,L339*'Assumptions and Catalog'!$H$60+'Assumptions and Catalog'!$E$60+'Assumptions and Catalog'!$F$60,IF(L339&lt;='Assumptions and Catalog'!$C$61,L339*'Assumptions and Catalog'!$H$61+'Assumptions and Catalog'!$E$61+'Assumptions and Catalog'!$F$61,IF(L339&lt;='Assumptions and Catalog'!$C$62,L339*'Assumptions and Catalog'!$H$62+'Assumptions and Catalog'!$E$62+'Assumptions and Catalog'!$F$62,IF(L339&lt;='Assumptions and Catalog'!$C$63,L339*'Assumptions and Catalog'!$H$63+'Assumptions and Catalog'!$E$63+'Assumptions and Catalog'!$F$63,IF(L339&lt;='Assumptions and Catalog'!$C$64,L339*'Assumptions and Catalog'!$H$64+'Assumptions and Catalog'!$E$64+'Assumptions and Catalog'!$F$64,IF(L339&lt;='Assumptions and Catalog'!$C$65,L339*'Assumptions and Catalog'!$H$65+'Assumptions and Catalog'!$E$65+'Assumptions and Catalog'!$F$65,"Out of range")))))))))*(1+'Assumptions and Catalog'!$C$8)^(A339-1),0)</f>
        <v>5087.9645877176335</v>
      </c>
      <c r="O339" s="5">
        <f t="shared" si="24"/>
        <v>3191.0354122823665</v>
      </c>
      <c r="P339" s="5">
        <f>C$55*(1-J$14)*(1-'Assumptions and Catalog'!$C$23)^R339</f>
        <v>0</v>
      </c>
      <c r="Q339" s="5">
        <f>IF(ISNUMBER(Inputs!$L$5),(IF(Inputs!$L$9="Actual flat rate",((D339+E339)*C339-G339)*Inputs!$L$10,IF(Inputs!$C$9="Residential",IF(((D339+E339)*C339-G339)&lt;='Assumptions and Catalog'!$C$50,((D339+E339)*C339-G339)*'Assumptions and Catalog'!$H$50+'Assumptions and Catalog'!$E$50+'Assumptions and Catalog'!$F$50,IF(((D339+E339)*C339-G339)&lt;='Assumptions and Catalog'!$C$51,((D339+E339)*C339-G339)*'Assumptions and Catalog'!$H$51+'Assumptions and Catalog'!$E$51+'Assumptions and Catalog'!$F$51,IF(((D339+E339)*C339-G339)&lt;='Assumptions and Catalog'!$C$52,((D339+E339)*C339-G339)*'Assumptions and Catalog'!$H$52+'Assumptions and Catalog'!$E$52+'Assumptions and Catalog'!$F$52,IF(((D339+E339)*C339-G339)&lt;='Assumptions and Catalog'!$C$53,((D339+E339)*C339-G339)*'Assumptions and Catalog'!$H$53+'Assumptions and Catalog'!$E$53+'Assumptions and Catalog'!$F$53,IF(((D339+E339)*C339-G339)&lt;='Assumptions and Catalog'!$C$54,((D339+E339)*C339-G339)*'Assumptions and Catalog'!$H$54+'Assumptions and Catalog'!$E$54+'Assumptions and Catalog'!$F$54,IF(((D339+E339)*C339-G339)&lt;='Assumptions and Catalog'!$C$55,((D339+E339)*C339-G339)*'Assumptions and Catalog'!$H$55+'Assumptions and Catalog'!$E$55+'Assumptions and Catalog'!$F$55,IF(((D339+E339)*C339-G339)&lt;='Assumptions and Catalog'!$C$56,((D339+E339)*C339-G339)*'Assumptions and Catalog'!$H$56+'Assumptions and Catalog'!$E$56+'Assumptions and Catalog'!$F$56,IF(((D339+E339)*C339-G339)&lt;='Assumptions and Catalog'!$C$57,((D339+E339)*C339-G339)*'Assumptions and Catalog'!$H$57+'Assumptions and Catalog'!$E$57+'Assumptions and Catalog'!$F$57,"Out of range")))))))),IF(((D339+E339)*C339-G339)&lt;='Assumptions and Catalog'!$C$60,((D339+E339)*C339-G339)*'Assumptions and Catalog'!$H$60+'Assumptions and Catalog'!$E$60+'Assumptions and Catalog'!$F$60,IF(((D339+E339)*C339-G339)&lt;='Assumptions and Catalog'!$C$61,((D339+E339)*C339-G339)*'Assumptions and Catalog'!$H$61+'Assumptions and Catalog'!$E$61+'Assumptions and Catalog'!$F$61,IF(((D339+E339)*C339-G339)&lt;='Assumptions and Catalog'!$C$62,((D339+E339)*C339-G339)*'Assumptions and Catalog'!$H$62+'Assumptions and Catalog'!$E$62+'Assumptions and Catalog'!$F$62,IF(((D339+E339)*C339-G339)&lt;='Assumptions and Catalog'!$C$63,((D339+E339)*C339-G339)*'Assumptions and Catalog'!$H$63+'Assumptions and Catalog'!$E$63+'Assumptions and Catalog'!$F$63,IF(((D339+E339)*C339-G339)&lt;='Assumptions and Catalog'!$C$64,((D339+E339)*C339-G339)*'Assumptions and Catalog'!$H$64+'Assumptions and Catalog'!$E$64+'Assumptions and Catalog'!$F$64,IF(((D339+E339)*C339-G339)&lt;='Assumptions and Catalog'!$C$65,((D339+E339)*C339-G339)*'Assumptions and Catalog'!$H$65+'Assumptions and Catalog'!$E$65+'Assumptions and Catalog'!$F$65,"Out of range")))))))))*(1+'Assumptions and Catalog'!$C$8)^(A339-1),0)</f>
        <v>5087.9645877176335</v>
      </c>
      <c r="R339" s="5">
        <f>IF(AND('Assumptions and Catalog'!$C$19&gt;0,A339&gt;='Assumptions and Catalog'!$C$19),A339-'Assumptions and Catalog'!$C$19,A339-1)</f>
        <v>4</v>
      </c>
      <c r="S339" s="5">
        <f t="shared" si="25"/>
        <v>0</v>
      </c>
      <c r="T339" s="5"/>
      <c r="U339" s="5"/>
    </row>
    <row r="340" spans="1:21" ht="23.1" customHeight="1" outlineLevel="1" x14ac:dyDescent="0.2">
      <c r="A340" s="5">
        <v>15</v>
      </c>
      <c r="B340" s="5">
        <v>12</v>
      </c>
      <c r="C340" s="5">
        <f>DAY(DATE('Assumptions and Catalog'!$C$24+A340-1,B340+1,0))</f>
        <v>31</v>
      </c>
      <c r="D340" s="5">
        <f>IF(ISNUMBER(Inputs!$L$5),Inputs!$L$5*Inputs!$L$6,0)</f>
        <v>40.35</v>
      </c>
      <c r="E340" s="5">
        <f>IF(ISNUMBER(Inputs!$L$5),Inputs!$L$5-D340,0)</f>
        <v>40.35</v>
      </c>
      <c r="F340" s="5">
        <f>C$51*'Assumptions and Catalog'!$C$31*C340*(1-'Assumptions and Catalog'!$C$10)^(A340-1)</f>
        <v>964.2484950968468</v>
      </c>
      <c r="G340" s="5">
        <f t="shared" si="20"/>
        <v>964.2484950968468</v>
      </c>
      <c r="H340" s="5">
        <f>I340/('Assumptions and Catalog'!$C$11*'Assumptions and Catalog'!$C$12)</f>
        <v>0</v>
      </c>
      <c r="I340" s="5">
        <f>0</f>
        <v>0</v>
      </c>
      <c r="J340" s="5">
        <f t="shared" si="21"/>
        <v>0</v>
      </c>
      <c r="K340" s="5">
        <f t="shared" si="22"/>
        <v>0</v>
      </c>
      <c r="L340" s="5">
        <f t="shared" si="23"/>
        <v>1537.4515049031534</v>
      </c>
      <c r="M340" s="5">
        <f>IF(ISNUMBER(Inputs!$L$5),(IF(Inputs!$L$9="Actual flat rate",((D340+E340)*C340)*Inputs!$L$10,IF(Inputs!$C$9="Residential",IF(((D340+E340)*C340)&lt;='Assumptions and Catalog'!$C$50,((D340+E340)*C340)*'Assumptions and Catalog'!$H$50+'Assumptions and Catalog'!$E$50+'Assumptions and Catalog'!$F$50,IF(((D340+E340)*C340)&lt;='Assumptions and Catalog'!$C$51,((D340+E340)*C340)*'Assumptions and Catalog'!$H$51+'Assumptions and Catalog'!$E$51+'Assumptions and Catalog'!$F$51,IF(((D340+E340)*C340)&lt;='Assumptions and Catalog'!$C$52,((D340+E340)*C340)*'Assumptions and Catalog'!$H$52+'Assumptions and Catalog'!$E$52+'Assumptions and Catalog'!$F$52,IF(((D340+E340)*C340)&lt;='Assumptions and Catalog'!$C$53,((D340+E340)*C340)*'Assumptions and Catalog'!$H$53+'Assumptions and Catalog'!$E$53+'Assumptions and Catalog'!$F$53,IF(((D340+E340)*C340)&lt;='Assumptions and Catalog'!$C$54,((D340+E340)*C340)*'Assumptions and Catalog'!$H$54+'Assumptions and Catalog'!$E$54+'Assumptions and Catalog'!$F$54,IF(((D340+E340)*C340)&lt;='Assumptions and Catalog'!$C$55,((D340+E340)*C340)*'Assumptions and Catalog'!$H$55+'Assumptions and Catalog'!$E$55+'Assumptions and Catalog'!$F$55,IF(((D340+E340)*C340)&lt;='Assumptions and Catalog'!$C$56,((D340+E340)*C340)*'Assumptions and Catalog'!$H$56+'Assumptions and Catalog'!$E$56+'Assumptions and Catalog'!$F$56,IF(((D340+E340)*C340)&lt;='Assumptions and Catalog'!$C$57,((D340+E340)*C340)*'Assumptions and Catalog'!$H$57+'Assumptions and Catalog'!$E$57+'Assumptions and Catalog'!$F$57,"Out of range")))))))),IF(((D340+E340)*C340)&lt;='Assumptions and Catalog'!$C$60,((D340+E340)*C340)*'Assumptions and Catalog'!$H$60+'Assumptions and Catalog'!$E$60+'Assumptions and Catalog'!$F$60,IF(((D340+E340)*C340)&lt;='Assumptions and Catalog'!$C$61,((D340+E340)*C340)*'Assumptions and Catalog'!$H$61+'Assumptions and Catalog'!$E$61+'Assumptions and Catalog'!$F$61,IF(((D340+E340)*C340)&lt;='Assumptions and Catalog'!$C$62,((D340+E340)*C340)*'Assumptions and Catalog'!$H$62+'Assumptions and Catalog'!$E$62+'Assumptions and Catalog'!$F$62,IF(((D340+E340)*C340)&lt;='Assumptions and Catalog'!$C$63,((D340+E340)*C340)*'Assumptions and Catalog'!$H$63+'Assumptions and Catalog'!$E$63+'Assumptions and Catalog'!$F$63,IF(((D340+E340)*C340)&lt;='Assumptions and Catalog'!$C$64,((D340+E340)*C340)*'Assumptions and Catalog'!$H$64+'Assumptions and Catalog'!$E$64+'Assumptions and Catalog'!$F$64,IF(((D340+E340)*C340)&lt;='Assumptions and Catalog'!$C$65,((D340+E340)*C340)*'Assumptions and Catalog'!$H$65+'Assumptions and Catalog'!$E$65+'Assumptions and Catalog'!$F$65,"Out of range")))))))))*(1+'Assumptions and Catalog'!$C$8)^(A340-1),0)</f>
        <v>8554.9666666666672</v>
      </c>
      <c r="N340" s="5">
        <f>IF(ISNUMBER(Inputs!$L$5),(IF(Inputs!$L$9="Actual flat rate",L340*Inputs!$L$10,IF(Inputs!$C$9="Residential",IF(L340&lt;='Assumptions and Catalog'!$C$50,L340*'Assumptions and Catalog'!$H$50+'Assumptions and Catalog'!$E$50+'Assumptions and Catalog'!$F$50,IF(L340&lt;='Assumptions and Catalog'!$C$51,L340*'Assumptions and Catalog'!$H$51+'Assumptions and Catalog'!$E$51+'Assumptions and Catalog'!$F$51,IF(L340&lt;='Assumptions and Catalog'!$C$52,L340*'Assumptions and Catalog'!$H$52+'Assumptions and Catalog'!$E$52+'Assumptions and Catalog'!$F$52,IF(L340&lt;='Assumptions and Catalog'!$C$53,L340*'Assumptions and Catalog'!$H$53+'Assumptions and Catalog'!$E$53+'Assumptions and Catalog'!$F$53,IF(L340&lt;='Assumptions and Catalog'!$C$54,L340*'Assumptions and Catalog'!$H$54+'Assumptions and Catalog'!$E$54+'Assumptions and Catalog'!$F$54,IF(L340&lt;='Assumptions and Catalog'!$C$55,L340*'Assumptions and Catalog'!$H$55+'Assumptions and Catalog'!$E$55+'Assumptions and Catalog'!$F$55,IF(L340&lt;='Assumptions and Catalog'!$C$56,L340*'Assumptions and Catalog'!$H$56+'Assumptions and Catalog'!$E$56+'Assumptions and Catalog'!$F$56,IF(L340&lt;='Assumptions and Catalog'!$C$57,L340*'Assumptions and Catalog'!$H$57+'Assumptions and Catalog'!$E$57+'Assumptions and Catalog'!$F$57,"Out of range")))))))),IF(L340&lt;='Assumptions and Catalog'!$C$60,L340*'Assumptions and Catalog'!$H$60+'Assumptions and Catalog'!$E$60+'Assumptions and Catalog'!$F$60,IF(L340&lt;='Assumptions and Catalog'!$C$61,L340*'Assumptions and Catalog'!$H$61+'Assumptions and Catalog'!$E$61+'Assumptions and Catalog'!$F$61,IF(L340&lt;='Assumptions and Catalog'!$C$62,L340*'Assumptions and Catalog'!$H$62+'Assumptions and Catalog'!$E$62+'Assumptions and Catalog'!$F$62,IF(L340&lt;='Assumptions and Catalog'!$C$63,L340*'Assumptions and Catalog'!$H$63+'Assumptions and Catalog'!$E$63+'Assumptions and Catalog'!$F$63,IF(L340&lt;='Assumptions and Catalog'!$C$64,L340*'Assumptions and Catalog'!$H$64+'Assumptions and Catalog'!$E$64+'Assumptions and Catalog'!$F$64,IF(L340&lt;='Assumptions and Catalog'!$C$65,L340*'Assumptions and Catalog'!$H$65+'Assumptions and Catalog'!$E$65+'Assumptions and Catalog'!$F$65,"Out of range")))))))))*(1+'Assumptions and Catalog'!$C$8)^(A340-1),0)</f>
        <v>5257.5634073082219</v>
      </c>
      <c r="O340" s="5">
        <f t="shared" si="24"/>
        <v>3297.4032593584452</v>
      </c>
      <c r="P340" s="5">
        <f>C$55*(1-J$14)*(1-'Assumptions and Catalog'!$C$23)^R340</f>
        <v>0</v>
      </c>
      <c r="Q340" s="5">
        <f>IF(ISNUMBER(Inputs!$L$5),(IF(Inputs!$L$9="Actual flat rate",((D340+E340)*C340-G340)*Inputs!$L$10,IF(Inputs!$C$9="Residential",IF(((D340+E340)*C340-G340)&lt;='Assumptions and Catalog'!$C$50,((D340+E340)*C340-G340)*'Assumptions and Catalog'!$H$50+'Assumptions and Catalog'!$E$50+'Assumptions and Catalog'!$F$50,IF(((D340+E340)*C340-G340)&lt;='Assumptions and Catalog'!$C$51,((D340+E340)*C340-G340)*'Assumptions and Catalog'!$H$51+'Assumptions and Catalog'!$E$51+'Assumptions and Catalog'!$F$51,IF(((D340+E340)*C340-G340)&lt;='Assumptions and Catalog'!$C$52,((D340+E340)*C340-G340)*'Assumptions and Catalog'!$H$52+'Assumptions and Catalog'!$E$52+'Assumptions and Catalog'!$F$52,IF(((D340+E340)*C340-G340)&lt;='Assumptions and Catalog'!$C$53,((D340+E340)*C340-G340)*'Assumptions and Catalog'!$H$53+'Assumptions and Catalog'!$E$53+'Assumptions and Catalog'!$F$53,IF(((D340+E340)*C340-G340)&lt;='Assumptions and Catalog'!$C$54,((D340+E340)*C340-G340)*'Assumptions and Catalog'!$H$54+'Assumptions and Catalog'!$E$54+'Assumptions and Catalog'!$F$54,IF(((D340+E340)*C340-G340)&lt;='Assumptions and Catalog'!$C$55,((D340+E340)*C340-G340)*'Assumptions and Catalog'!$H$55+'Assumptions and Catalog'!$E$55+'Assumptions and Catalog'!$F$55,IF(((D340+E340)*C340-G340)&lt;='Assumptions and Catalog'!$C$56,((D340+E340)*C340-G340)*'Assumptions and Catalog'!$H$56+'Assumptions and Catalog'!$E$56+'Assumptions and Catalog'!$F$56,IF(((D340+E340)*C340-G340)&lt;='Assumptions and Catalog'!$C$57,((D340+E340)*C340-G340)*'Assumptions and Catalog'!$H$57+'Assumptions and Catalog'!$E$57+'Assumptions and Catalog'!$F$57,"Out of range")))))))),IF(((D340+E340)*C340-G340)&lt;='Assumptions and Catalog'!$C$60,((D340+E340)*C340-G340)*'Assumptions and Catalog'!$H$60+'Assumptions and Catalog'!$E$60+'Assumptions and Catalog'!$F$60,IF(((D340+E340)*C340-G340)&lt;='Assumptions and Catalog'!$C$61,((D340+E340)*C340-G340)*'Assumptions and Catalog'!$H$61+'Assumptions and Catalog'!$E$61+'Assumptions and Catalog'!$F$61,IF(((D340+E340)*C340-G340)&lt;='Assumptions and Catalog'!$C$62,((D340+E340)*C340-G340)*'Assumptions and Catalog'!$H$62+'Assumptions and Catalog'!$E$62+'Assumptions and Catalog'!$F$62,IF(((D340+E340)*C340-G340)&lt;='Assumptions and Catalog'!$C$63,((D340+E340)*C340-G340)*'Assumptions and Catalog'!$H$63+'Assumptions and Catalog'!$E$63+'Assumptions and Catalog'!$F$63,IF(((D340+E340)*C340-G340)&lt;='Assumptions and Catalog'!$C$64,((D340+E340)*C340-G340)*'Assumptions and Catalog'!$H$64+'Assumptions and Catalog'!$E$64+'Assumptions and Catalog'!$F$64,IF(((D340+E340)*C340-G340)&lt;='Assumptions and Catalog'!$C$65,((D340+E340)*C340-G340)*'Assumptions and Catalog'!$H$65+'Assumptions and Catalog'!$E$65+'Assumptions and Catalog'!$F$65,"Out of range")))))))))*(1+'Assumptions and Catalog'!$C$8)^(A340-1),0)</f>
        <v>5257.5634073082219</v>
      </c>
      <c r="R340" s="5">
        <f>IF(AND('Assumptions and Catalog'!$C$19&gt;0,A340&gt;='Assumptions and Catalog'!$C$19),A340-'Assumptions and Catalog'!$C$19,A340-1)</f>
        <v>4</v>
      </c>
      <c r="S340" s="5">
        <f t="shared" si="25"/>
        <v>0</v>
      </c>
      <c r="T340" s="5"/>
      <c r="U340" s="5"/>
    </row>
    <row r="341" spans="1:21" ht="23.1" customHeight="1" outlineLevel="1" x14ac:dyDescent="0.2">
      <c r="A341" s="5">
        <v>16</v>
      </c>
      <c r="B341" s="5">
        <v>1</v>
      </c>
      <c r="C341" s="5">
        <f>DAY(DATE('Assumptions and Catalog'!$C$24+A341-1,B341+1,0))</f>
        <v>31</v>
      </c>
      <c r="D341" s="5">
        <f>IF(ISNUMBER(Inputs!$L$5),Inputs!$L$5*Inputs!$L$6,0)</f>
        <v>40.35</v>
      </c>
      <c r="E341" s="5">
        <f>IF(ISNUMBER(Inputs!$L$5),Inputs!$L$5-D341,0)</f>
        <v>40.35</v>
      </c>
      <c r="F341" s="5">
        <f>C$51*'Assumptions and Catalog'!$C$31*C341*(1-'Assumptions and Catalog'!$C$10)^(A341-1)</f>
        <v>959.42725262136253</v>
      </c>
      <c r="G341" s="5">
        <f t="shared" si="20"/>
        <v>959.42725262136253</v>
      </c>
      <c r="H341" s="5">
        <f>I341/('Assumptions and Catalog'!$C$11*'Assumptions and Catalog'!$C$12)</f>
        <v>0</v>
      </c>
      <c r="I341" s="5">
        <f>0</f>
        <v>0</v>
      </c>
      <c r="J341" s="5">
        <f t="shared" si="21"/>
        <v>0</v>
      </c>
      <c r="K341" s="5">
        <f t="shared" si="22"/>
        <v>0</v>
      </c>
      <c r="L341" s="5">
        <f t="shared" si="23"/>
        <v>1542.2727473786376</v>
      </c>
      <c r="M341" s="5">
        <f>IF(ISNUMBER(Inputs!$L$5),(IF(Inputs!$L$9="Actual flat rate",((D341+E341)*C341)*Inputs!$L$10,IF(Inputs!$C$9="Residential",IF(((D341+E341)*C341)&lt;='Assumptions and Catalog'!$C$50,((D341+E341)*C341)*'Assumptions and Catalog'!$H$50+'Assumptions and Catalog'!$E$50+'Assumptions and Catalog'!$F$50,IF(((D341+E341)*C341)&lt;='Assumptions and Catalog'!$C$51,((D341+E341)*C341)*'Assumptions and Catalog'!$H$51+'Assumptions and Catalog'!$E$51+'Assumptions and Catalog'!$F$51,IF(((D341+E341)*C341)&lt;='Assumptions and Catalog'!$C$52,((D341+E341)*C341)*'Assumptions and Catalog'!$H$52+'Assumptions and Catalog'!$E$52+'Assumptions and Catalog'!$F$52,IF(((D341+E341)*C341)&lt;='Assumptions and Catalog'!$C$53,((D341+E341)*C341)*'Assumptions and Catalog'!$H$53+'Assumptions and Catalog'!$E$53+'Assumptions and Catalog'!$F$53,IF(((D341+E341)*C341)&lt;='Assumptions and Catalog'!$C$54,((D341+E341)*C341)*'Assumptions and Catalog'!$H$54+'Assumptions and Catalog'!$E$54+'Assumptions and Catalog'!$F$54,IF(((D341+E341)*C341)&lt;='Assumptions and Catalog'!$C$55,((D341+E341)*C341)*'Assumptions and Catalog'!$H$55+'Assumptions and Catalog'!$E$55+'Assumptions and Catalog'!$F$55,IF(((D341+E341)*C341)&lt;='Assumptions and Catalog'!$C$56,((D341+E341)*C341)*'Assumptions and Catalog'!$H$56+'Assumptions and Catalog'!$E$56+'Assumptions and Catalog'!$F$56,IF(((D341+E341)*C341)&lt;='Assumptions and Catalog'!$C$57,((D341+E341)*C341)*'Assumptions and Catalog'!$H$57+'Assumptions and Catalog'!$E$57+'Assumptions and Catalog'!$F$57,"Out of range")))))))),IF(((D341+E341)*C341)&lt;='Assumptions and Catalog'!$C$60,((D341+E341)*C341)*'Assumptions and Catalog'!$H$60+'Assumptions and Catalog'!$E$60+'Assumptions and Catalog'!$F$60,IF(((D341+E341)*C341)&lt;='Assumptions and Catalog'!$C$61,((D341+E341)*C341)*'Assumptions and Catalog'!$H$61+'Assumptions and Catalog'!$E$61+'Assumptions and Catalog'!$F$61,IF(((D341+E341)*C341)&lt;='Assumptions and Catalog'!$C$62,((D341+E341)*C341)*'Assumptions and Catalog'!$H$62+'Assumptions and Catalog'!$E$62+'Assumptions and Catalog'!$F$62,IF(((D341+E341)*C341)&lt;='Assumptions and Catalog'!$C$63,((D341+E341)*C341)*'Assumptions and Catalog'!$H$63+'Assumptions and Catalog'!$E$63+'Assumptions and Catalog'!$F$63,IF(((D341+E341)*C341)&lt;='Assumptions and Catalog'!$C$64,((D341+E341)*C341)*'Assumptions and Catalog'!$H$64+'Assumptions and Catalog'!$E$64+'Assumptions and Catalog'!$F$64,IF(((D341+E341)*C341)&lt;='Assumptions and Catalog'!$C$65,((D341+E341)*C341)*'Assumptions and Catalog'!$H$65+'Assumptions and Catalog'!$E$65+'Assumptions and Catalog'!$F$65,"Out of range")))))))))*(1+'Assumptions and Catalog'!$C$8)^(A341-1),0)</f>
        <v>8554.9666666666672</v>
      </c>
      <c r="N341" s="5">
        <f>IF(ISNUMBER(Inputs!$L$5),(IF(Inputs!$L$9="Actual flat rate",L341*Inputs!$L$10,IF(Inputs!$C$9="Residential",IF(L341&lt;='Assumptions and Catalog'!$C$50,L341*'Assumptions and Catalog'!$H$50+'Assumptions and Catalog'!$E$50+'Assumptions and Catalog'!$F$50,IF(L341&lt;='Assumptions and Catalog'!$C$51,L341*'Assumptions and Catalog'!$H$51+'Assumptions and Catalog'!$E$51+'Assumptions and Catalog'!$F$51,IF(L341&lt;='Assumptions and Catalog'!$C$52,L341*'Assumptions and Catalog'!$H$52+'Assumptions and Catalog'!$E$52+'Assumptions and Catalog'!$F$52,IF(L341&lt;='Assumptions and Catalog'!$C$53,L341*'Assumptions and Catalog'!$H$53+'Assumptions and Catalog'!$E$53+'Assumptions and Catalog'!$F$53,IF(L341&lt;='Assumptions and Catalog'!$C$54,L341*'Assumptions and Catalog'!$H$54+'Assumptions and Catalog'!$E$54+'Assumptions and Catalog'!$F$54,IF(L341&lt;='Assumptions and Catalog'!$C$55,L341*'Assumptions and Catalog'!$H$55+'Assumptions and Catalog'!$E$55+'Assumptions and Catalog'!$F$55,IF(L341&lt;='Assumptions and Catalog'!$C$56,L341*'Assumptions and Catalog'!$H$56+'Assumptions and Catalog'!$E$56+'Assumptions and Catalog'!$F$56,IF(L341&lt;='Assumptions and Catalog'!$C$57,L341*'Assumptions and Catalog'!$H$57+'Assumptions and Catalog'!$E$57+'Assumptions and Catalog'!$F$57,"Out of range")))))))),IF(L341&lt;='Assumptions and Catalog'!$C$60,L341*'Assumptions and Catalog'!$H$60+'Assumptions and Catalog'!$E$60+'Assumptions and Catalog'!$F$60,IF(L341&lt;='Assumptions and Catalog'!$C$61,L341*'Assumptions and Catalog'!$H$61+'Assumptions and Catalog'!$E$61+'Assumptions and Catalog'!$F$61,IF(L341&lt;='Assumptions and Catalog'!$C$62,L341*'Assumptions and Catalog'!$H$62+'Assumptions and Catalog'!$E$62+'Assumptions and Catalog'!$F$62,IF(L341&lt;='Assumptions and Catalog'!$C$63,L341*'Assumptions and Catalog'!$H$63+'Assumptions and Catalog'!$E$63+'Assumptions and Catalog'!$F$63,IF(L341&lt;='Assumptions and Catalog'!$C$64,L341*'Assumptions and Catalog'!$H$64+'Assumptions and Catalog'!$E$64+'Assumptions and Catalog'!$F$64,IF(L341&lt;='Assumptions and Catalog'!$C$65,L341*'Assumptions and Catalog'!$H$65+'Assumptions and Catalog'!$E$65+'Assumptions and Catalog'!$F$65,"Out of range")))))))))*(1+'Assumptions and Catalog'!$C$8)^(A341-1),0)</f>
        <v>5274.0504236050147</v>
      </c>
      <c r="O341" s="5">
        <f t="shared" si="24"/>
        <v>3280.9162430616525</v>
      </c>
      <c r="P341" s="5">
        <f>C$55*(1-J$14)*(1-'Assumptions and Catalog'!$C$23)^R341</f>
        <v>0</v>
      </c>
      <c r="Q341" s="5">
        <f>IF(ISNUMBER(Inputs!$L$5),(IF(Inputs!$L$9="Actual flat rate",((D341+E341)*C341-G341)*Inputs!$L$10,IF(Inputs!$C$9="Residential",IF(((D341+E341)*C341-G341)&lt;='Assumptions and Catalog'!$C$50,((D341+E341)*C341-G341)*'Assumptions and Catalog'!$H$50+'Assumptions and Catalog'!$E$50+'Assumptions and Catalog'!$F$50,IF(((D341+E341)*C341-G341)&lt;='Assumptions and Catalog'!$C$51,((D341+E341)*C341-G341)*'Assumptions and Catalog'!$H$51+'Assumptions and Catalog'!$E$51+'Assumptions and Catalog'!$F$51,IF(((D341+E341)*C341-G341)&lt;='Assumptions and Catalog'!$C$52,((D341+E341)*C341-G341)*'Assumptions and Catalog'!$H$52+'Assumptions and Catalog'!$E$52+'Assumptions and Catalog'!$F$52,IF(((D341+E341)*C341-G341)&lt;='Assumptions and Catalog'!$C$53,((D341+E341)*C341-G341)*'Assumptions and Catalog'!$H$53+'Assumptions and Catalog'!$E$53+'Assumptions and Catalog'!$F$53,IF(((D341+E341)*C341-G341)&lt;='Assumptions and Catalog'!$C$54,((D341+E341)*C341-G341)*'Assumptions and Catalog'!$H$54+'Assumptions and Catalog'!$E$54+'Assumptions and Catalog'!$F$54,IF(((D341+E341)*C341-G341)&lt;='Assumptions and Catalog'!$C$55,((D341+E341)*C341-G341)*'Assumptions and Catalog'!$H$55+'Assumptions and Catalog'!$E$55+'Assumptions and Catalog'!$F$55,IF(((D341+E341)*C341-G341)&lt;='Assumptions and Catalog'!$C$56,((D341+E341)*C341-G341)*'Assumptions and Catalog'!$H$56+'Assumptions and Catalog'!$E$56+'Assumptions and Catalog'!$F$56,IF(((D341+E341)*C341-G341)&lt;='Assumptions and Catalog'!$C$57,((D341+E341)*C341-G341)*'Assumptions and Catalog'!$H$57+'Assumptions and Catalog'!$E$57+'Assumptions and Catalog'!$F$57,"Out of range")))))))),IF(((D341+E341)*C341-G341)&lt;='Assumptions and Catalog'!$C$60,((D341+E341)*C341-G341)*'Assumptions and Catalog'!$H$60+'Assumptions and Catalog'!$E$60+'Assumptions and Catalog'!$F$60,IF(((D341+E341)*C341-G341)&lt;='Assumptions and Catalog'!$C$61,((D341+E341)*C341-G341)*'Assumptions and Catalog'!$H$61+'Assumptions and Catalog'!$E$61+'Assumptions and Catalog'!$F$61,IF(((D341+E341)*C341-G341)&lt;='Assumptions and Catalog'!$C$62,((D341+E341)*C341-G341)*'Assumptions and Catalog'!$H$62+'Assumptions and Catalog'!$E$62+'Assumptions and Catalog'!$F$62,IF(((D341+E341)*C341-G341)&lt;='Assumptions and Catalog'!$C$63,((D341+E341)*C341-G341)*'Assumptions and Catalog'!$H$63+'Assumptions and Catalog'!$E$63+'Assumptions and Catalog'!$F$63,IF(((D341+E341)*C341-G341)&lt;='Assumptions and Catalog'!$C$64,((D341+E341)*C341-G341)*'Assumptions and Catalog'!$H$64+'Assumptions and Catalog'!$E$64+'Assumptions and Catalog'!$F$64,IF(((D341+E341)*C341-G341)&lt;='Assumptions and Catalog'!$C$65,((D341+E341)*C341-G341)*'Assumptions and Catalog'!$H$65+'Assumptions and Catalog'!$E$65+'Assumptions and Catalog'!$F$65,"Out of range")))))))))*(1+'Assumptions and Catalog'!$C$8)^(A341-1),0)</f>
        <v>5274.0504236050147</v>
      </c>
      <c r="R341" s="5">
        <f>IF(AND('Assumptions and Catalog'!$C$19&gt;0,A341&gt;='Assumptions and Catalog'!$C$19),A341-'Assumptions and Catalog'!$C$19,A341-1)</f>
        <v>5</v>
      </c>
      <c r="S341" s="5">
        <f t="shared" si="25"/>
        <v>0</v>
      </c>
      <c r="T341" s="5"/>
      <c r="U341" s="5"/>
    </row>
    <row r="342" spans="1:21" ht="23.1" customHeight="1" outlineLevel="1" x14ac:dyDescent="0.2">
      <c r="A342" s="5">
        <v>16</v>
      </c>
      <c r="B342" s="5">
        <v>2</v>
      </c>
      <c r="C342" s="5">
        <f>DAY(DATE('Assumptions and Catalog'!$C$24+A342-1,B342+1,0))</f>
        <v>28</v>
      </c>
      <c r="D342" s="5">
        <f>IF(ISNUMBER(Inputs!$L$5),Inputs!$L$5*Inputs!$L$6,0)</f>
        <v>40.35</v>
      </c>
      <c r="E342" s="5">
        <f>IF(ISNUMBER(Inputs!$L$5),Inputs!$L$5-D342,0)</f>
        <v>40.35</v>
      </c>
      <c r="F342" s="5">
        <f>C$51*'Assumptions and Catalog'!$C$31*C342*(1-'Assumptions and Catalog'!$C$10)^(A342-1)</f>
        <v>866.57945398058553</v>
      </c>
      <c r="G342" s="5">
        <f t="shared" si="20"/>
        <v>866.57945398058553</v>
      </c>
      <c r="H342" s="5">
        <f>I342/('Assumptions and Catalog'!$C$11*'Assumptions and Catalog'!$C$12)</f>
        <v>0</v>
      </c>
      <c r="I342" s="5">
        <f>0</f>
        <v>0</v>
      </c>
      <c r="J342" s="5">
        <f t="shared" si="21"/>
        <v>0</v>
      </c>
      <c r="K342" s="5">
        <f t="shared" si="22"/>
        <v>0</v>
      </c>
      <c r="L342" s="5">
        <f t="shared" si="23"/>
        <v>1393.0205460194143</v>
      </c>
      <c r="M342" s="5">
        <f>IF(ISNUMBER(Inputs!$L$5),(IF(Inputs!$L$9="Actual flat rate",((D342+E342)*C342)*Inputs!$L$10,IF(Inputs!$C$9="Residential",IF(((D342+E342)*C342)&lt;='Assumptions and Catalog'!$C$50,((D342+E342)*C342)*'Assumptions and Catalog'!$H$50+'Assumptions and Catalog'!$E$50+'Assumptions and Catalog'!$F$50,IF(((D342+E342)*C342)&lt;='Assumptions and Catalog'!$C$51,((D342+E342)*C342)*'Assumptions and Catalog'!$H$51+'Assumptions and Catalog'!$E$51+'Assumptions and Catalog'!$F$51,IF(((D342+E342)*C342)&lt;='Assumptions and Catalog'!$C$52,((D342+E342)*C342)*'Assumptions and Catalog'!$H$52+'Assumptions and Catalog'!$E$52+'Assumptions and Catalog'!$F$52,IF(((D342+E342)*C342)&lt;='Assumptions and Catalog'!$C$53,((D342+E342)*C342)*'Assumptions and Catalog'!$H$53+'Assumptions and Catalog'!$E$53+'Assumptions and Catalog'!$F$53,IF(((D342+E342)*C342)&lt;='Assumptions and Catalog'!$C$54,((D342+E342)*C342)*'Assumptions and Catalog'!$H$54+'Assumptions and Catalog'!$E$54+'Assumptions and Catalog'!$F$54,IF(((D342+E342)*C342)&lt;='Assumptions and Catalog'!$C$55,((D342+E342)*C342)*'Assumptions and Catalog'!$H$55+'Assumptions and Catalog'!$E$55+'Assumptions and Catalog'!$F$55,IF(((D342+E342)*C342)&lt;='Assumptions and Catalog'!$C$56,((D342+E342)*C342)*'Assumptions and Catalog'!$H$56+'Assumptions and Catalog'!$E$56+'Assumptions and Catalog'!$F$56,IF(((D342+E342)*C342)&lt;='Assumptions and Catalog'!$C$57,((D342+E342)*C342)*'Assumptions and Catalog'!$H$57+'Assumptions and Catalog'!$E$57+'Assumptions and Catalog'!$F$57,"Out of range")))))))),IF(((D342+E342)*C342)&lt;='Assumptions and Catalog'!$C$60,((D342+E342)*C342)*'Assumptions and Catalog'!$H$60+'Assumptions and Catalog'!$E$60+'Assumptions and Catalog'!$F$60,IF(((D342+E342)*C342)&lt;='Assumptions and Catalog'!$C$61,((D342+E342)*C342)*'Assumptions and Catalog'!$H$61+'Assumptions and Catalog'!$E$61+'Assumptions and Catalog'!$F$61,IF(((D342+E342)*C342)&lt;='Assumptions and Catalog'!$C$62,((D342+E342)*C342)*'Assumptions and Catalog'!$H$62+'Assumptions and Catalog'!$E$62+'Assumptions and Catalog'!$F$62,IF(((D342+E342)*C342)&lt;='Assumptions and Catalog'!$C$63,((D342+E342)*C342)*'Assumptions and Catalog'!$H$63+'Assumptions and Catalog'!$E$63+'Assumptions and Catalog'!$F$63,IF(((D342+E342)*C342)&lt;='Assumptions and Catalog'!$C$64,((D342+E342)*C342)*'Assumptions and Catalog'!$H$64+'Assumptions and Catalog'!$E$64+'Assumptions and Catalog'!$F$64,IF(((D342+E342)*C342)&lt;='Assumptions and Catalog'!$C$65,((D342+E342)*C342)*'Assumptions and Catalog'!$H$65+'Assumptions and Catalog'!$E$65+'Assumptions and Catalog'!$F$65,"Out of range")))))))))*(1+'Assumptions and Catalog'!$C$8)^(A342-1),0)</f>
        <v>7727.0666666666657</v>
      </c>
      <c r="N342" s="5">
        <f>IF(ISNUMBER(Inputs!$L$5),(IF(Inputs!$L$9="Actual flat rate",L342*Inputs!$L$10,IF(Inputs!$C$9="Residential",IF(L342&lt;='Assumptions and Catalog'!$C$50,L342*'Assumptions and Catalog'!$H$50+'Assumptions and Catalog'!$E$50+'Assumptions and Catalog'!$F$50,IF(L342&lt;='Assumptions and Catalog'!$C$51,L342*'Assumptions and Catalog'!$H$51+'Assumptions and Catalog'!$E$51+'Assumptions and Catalog'!$F$51,IF(L342&lt;='Assumptions and Catalog'!$C$52,L342*'Assumptions and Catalog'!$H$52+'Assumptions and Catalog'!$E$52+'Assumptions and Catalog'!$F$52,IF(L342&lt;='Assumptions and Catalog'!$C$53,L342*'Assumptions and Catalog'!$H$53+'Assumptions and Catalog'!$E$53+'Assumptions and Catalog'!$F$53,IF(L342&lt;='Assumptions and Catalog'!$C$54,L342*'Assumptions and Catalog'!$H$54+'Assumptions and Catalog'!$E$54+'Assumptions and Catalog'!$F$54,IF(L342&lt;='Assumptions and Catalog'!$C$55,L342*'Assumptions and Catalog'!$H$55+'Assumptions and Catalog'!$E$55+'Assumptions and Catalog'!$F$55,IF(L342&lt;='Assumptions and Catalog'!$C$56,L342*'Assumptions and Catalog'!$H$56+'Assumptions and Catalog'!$E$56+'Assumptions and Catalog'!$F$56,IF(L342&lt;='Assumptions and Catalog'!$C$57,L342*'Assumptions and Catalog'!$H$57+'Assumptions and Catalog'!$E$57+'Assumptions and Catalog'!$F$57,"Out of range")))))))),IF(L342&lt;='Assumptions and Catalog'!$C$60,L342*'Assumptions and Catalog'!$H$60+'Assumptions and Catalog'!$E$60+'Assumptions and Catalog'!$F$60,IF(L342&lt;='Assumptions and Catalog'!$C$61,L342*'Assumptions and Catalog'!$H$61+'Assumptions and Catalog'!$E$61+'Assumptions and Catalog'!$F$61,IF(L342&lt;='Assumptions and Catalog'!$C$62,L342*'Assumptions and Catalog'!$H$62+'Assumptions and Catalog'!$E$62+'Assumptions and Catalog'!$F$62,IF(L342&lt;='Assumptions and Catalog'!$C$63,L342*'Assumptions and Catalog'!$H$63+'Assumptions and Catalog'!$E$63+'Assumptions and Catalog'!$F$63,IF(L342&lt;='Assumptions and Catalog'!$C$64,L342*'Assumptions and Catalog'!$H$64+'Assumptions and Catalog'!$E$64+'Assumptions and Catalog'!$F$64,IF(L342&lt;='Assumptions and Catalog'!$C$65,L342*'Assumptions and Catalog'!$H$65+'Assumptions and Catalog'!$E$65+'Assumptions and Catalog'!$F$65,"Out of range")))))))))*(1+'Assumptions and Catalog'!$C$8)^(A342-1),0)</f>
        <v>4763.658447127109</v>
      </c>
      <c r="O342" s="5">
        <f t="shared" si="24"/>
        <v>2963.4082195395567</v>
      </c>
      <c r="P342" s="5">
        <f>C$55*(1-J$14)*(1-'Assumptions and Catalog'!$C$23)^R342</f>
        <v>0</v>
      </c>
      <c r="Q342" s="5">
        <f>IF(ISNUMBER(Inputs!$L$5),(IF(Inputs!$L$9="Actual flat rate",((D342+E342)*C342-G342)*Inputs!$L$10,IF(Inputs!$C$9="Residential",IF(((D342+E342)*C342-G342)&lt;='Assumptions and Catalog'!$C$50,((D342+E342)*C342-G342)*'Assumptions and Catalog'!$H$50+'Assumptions and Catalog'!$E$50+'Assumptions and Catalog'!$F$50,IF(((D342+E342)*C342-G342)&lt;='Assumptions and Catalog'!$C$51,((D342+E342)*C342-G342)*'Assumptions and Catalog'!$H$51+'Assumptions and Catalog'!$E$51+'Assumptions and Catalog'!$F$51,IF(((D342+E342)*C342-G342)&lt;='Assumptions and Catalog'!$C$52,((D342+E342)*C342-G342)*'Assumptions and Catalog'!$H$52+'Assumptions and Catalog'!$E$52+'Assumptions and Catalog'!$F$52,IF(((D342+E342)*C342-G342)&lt;='Assumptions and Catalog'!$C$53,((D342+E342)*C342-G342)*'Assumptions and Catalog'!$H$53+'Assumptions and Catalog'!$E$53+'Assumptions and Catalog'!$F$53,IF(((D342+E342)*C342-G342)&lt;='Assumptions and Catalog'!$C$54,((D342+E342)*C342-G342)*'Assumptions and Catalog'!$H$54+'Assumptions and Catalog'!$E$54+'Assumptions and Catalog'!$F$54,IF(((D342+E342)*C342-G342)&lt;='Assumptions and Catalog'!$C$55,((D342+E342)*C342-G342)*'Assumptions and Catalog'!$H$55+'Assumptions and Catalog'!$E$55+'Assumptions and Catalog'!$F$55,IF(((D342+E342)*C342-G342)&lt;='Assumptions and Catalog'!$C$56,((D342+E342)*C342-G342)*'Assumptions and Catalog'!$H$56+'Assumptions and Catalog'!$E$56+'Assumptions and Catalog'!$F$56,IF(((D342+E342)*C342-G342)&lt;='Assumptions and Catalog'!$C$57,((D342+E342)*C342-G342)*'Assumptions and Catalog'!$H$57+'Assumptions and Catalog'!$E$57+'Assumptions and Catalog'!$F$57,"Out of range")))))))),IF(((D342+E342)*C342-G342)&lt;='Assumptions and Catalog'!$C$60,((D342+E342)*C342-G342)*'Assumptions and Catalog'!$H$60+'Assumptions and Catalog'!$E$60+'Assumptions and Catalog'!$F$60,IF(((D342+E342)*C342-G342)&lt;='Assumptions and Catalog'!$C$61,((D342+E342)*C342-G342)*'Assumptions and Catalog'!$H$61+'Assumptions and Catalog'!$E$61+'Assumptions and Catalog'!$F$61,IF(((D342+E342)*C342-G342)&lt;='Assumptions and Catalog'!$C$62,((D342+E342)*C342-G342)*'Assumptions and Catalog'!$H$62+'Assumptions and Catalog'!$E$62+'Assumptions and Catalog'!$F$62,IF(((D342+E342)*C342-G342)&lt;='Assumptions and Catalog'!$C$63,((D342+E342)*C342-G342)*'Assumptions and Catalog'!$H$63+'Assumptions and Catalog'!$E$63+'Assumptions and Catalog'!$F$63,IF(((D342+E342)*C342-G342)&lt;='Assumptions and Catalog'!$C$64,((D342+E342)*C342-G342)*'Assumptions and Catalog'!$H$64+'Assumptions and Catalog'!$E$64+'Assumptions and Catalog'!$F$64,IF(((D342+E342)*C342-G342)&lt;='Assumptions and Catalog'!$C$65,((D342+E342)*C342-G342)*'Assumptions and Catalog'!$H$65+'Assumptions and Catalog'!$E$65+'Assumptions and Catalog'!$F$65,"Out of range")))))))))*(1+'Assumptions and Catalog'!$C$8)^(A342-1),0)</f>
        <v>4763.658447127109</v>
      </c>
      <c r="R342" s="5">
        <f>IF(AND('Assumptions and Catalog'!$C$19&gt;0,A342&gt;='Assumptions and Catalog'!$C$19),A342-'Assumptions and Catalog'!$C$19,A342-1)</f>
        <v>5</v>
      </c>
      <c r="S342" s="5">
        <f t="shared" si="25"/>
        <v>0</v>
      </c>
      <c r="T342" s="5"/>
      <c r="U342" s="5"/>
    </row>
    <row r="343" spans="1:21" ht="23.1" customHeight="1" outlineLevel="1" x14ac:dyDescent="0.2">
      <c r="A343" s="5">
        <v>16</v>
      </c>
      <c r="B343" s="5">
        <v>3</v>
      </c>
      <c r="C343" s="5">
        <f>DAY(DATE('Assumptions and Catalog'!$C$24+A343-1,B343+1,0))</f>
        <v>31</v>
      </c>
      <c r="D343" s="5">
        <f>IF(ISNUMBER(Inputs!$L$5),Inputs!$L$5*Inputs!$L$6,0)</f>
        <v>40.35</v>
      </c>
      <c r="E343" s="5">
        <f>IF(ISNUMBER(Inputs!$L$5),Inputs!$L$5-D343,0)</f>
        <v>40.35</v>
      </c>
      <c r="F343" s="5">
        <f>C$51*'Assumptions and Catalog'!$C$31*C343*(1-'Assumptions and Catalog'!$C$10)^(A343-1)</f>
        <v>959.42725262136253</v>
      </c>
      <c r="G343" s="5">
        <f t="shared" si="20"/>
        <v>959.42725262136253</v>
      </c>
      <c r="H343" s="5">
        <f>I343/('Assumptions and Catalog'!$C$11*'Assumptions and Catalog'!$C$12)</f>
        <v>0</v>
      </c>
      <c r="I343" s="5">
        <f>0</f>
        <v>0</v>
      </c>
      <c r="J343" s="5">
        <f t="shared" si="21"/>
        <v>0</v>
      </c>
      <c r="K343" s="5">
        <f t="shared" si="22"/>
        <v>0</v>
      </c>
      <c r="L343" s="5">
        <f t="shared" si="23"/>
        <v>1542.2727473786376</v>
      </c>
      <c r="M343" s="5">
        <f>IF(ISNUMBER(Inputs!$L$5),(IF(Inputs!$L$9="Actual flat rate",((D343+E343)*C343)*Inputs!$L$10,IF(Inputs!$C$9="Residential",IF(((D343+E343)*C343)&lt;='Assumptions and Catalog'!$C$50,((D343+E343)*C343)*'Assumptions and Catalog'!$H$50+'Assumptions and Catalog'!$E$50+'Assumptions and Catalog'!$F$50,IF(((D343+E343)*C343)&lt;='Assumptions and Catalog'!$C$51,((D343+E343)*C343)*'Assumptions and Catalog'!$H$51+'Assumptions and Catalog'!$E$51+'Assumptions and Catalog'!$F$51,IF(((D343+E343)*C343)&lt;='Assumptions and Catalog'!$C$52,((D343+E343)*C343)*'Assumptions and Catalog'!$H$52+'Assumptions and Catalog'!$E$52+'Assumptions and Catalog'!$F$52,IF(((D343+E343)*C343)&lt;='Assumptions and Catalog'!$C$53,((D343+E343)*C343)*'Assumptions and Catalog'!$H$53+'Assumptions and Catalog'!$E$53+'Assumptions and Catalog'!$F$53,IF(((D343+E343)*C343)&lt;='Assumptions and Catalog'!$C$54,((D343+E343)*C343)*'Assumptions and Catalog'!$H$54+'Assumptions and Catalog'!$E$54+'Assumptions and Catalog'!$F$54,IF(((D343+E343)*C343)&lt;='Assumptions and Catalog'!$C$55,((D343+E343)*C343)*'Assumptions and Catalog'!$H$55+'Assumptions and Catalog'!$E$55+'Assumptions and Catalog'!$F$55,IF(((D343+E343)*C343)&lt;='Assumptions and Catalog'!$C$56,((D343+E343)*C343)*'Assumptions and Catalog'!$H$56+'Assumptions and Catalog'!$E$56+'Assumptions and Catalog'!$F$56,IF(((D343+E343)*C343)&lt;='Assumptions and Catalog'!$C$57,((D343+E343)*C343)*'Assumptions and Catalog'!$H$57+'Assumptions and Catalog'!$E$57+'Assumptions and Catalog'!$F$57,"Out of range")))))))),IF(((D343+E343)*C343)&lt;='Assumptions and Catalog'!$C$60,((D343+E343)*C343)*'Assumptions and Catalog'!$H$60+'Assumptions and Catalog'!$E$60+'Assumptions and Catalog'!$F$60,IF(((D343+E343)*C343)&lt;='Assumptions and Catalog'!$C$61,((D343+E343)*C343)*'Assumptions and Catalog'!$H$61+'Assumptions and Catalog'!$E$61+'Assumptions and Catalog'!$F$61,IF(((D343+E343)*C343)&lt;='Assumptions and Catalog'!$C$62,((D343+E343)*C343)*'Assumptions and Catalog'!$H$62+'Assumptions and Catalog'!$E$62+'Assumptions and Catalog'!$F$62,IF(((D343+E343)*C343)&lt;='Assumptions and Catalog'!$C$63,((D343+E343)*C343)*'Assumptions and Catalog'!$H$63+'Assumptions and Catalog'!$E$63+'Assumptions and Catalog'!$F$63,IF(((D343+E343)*C343)&lt;='Assumptions and Catalog'!$C$64,((D343+E343)*C343)*'Assumptions and Catalog'!$H$64+'Assumptions and Catalog'!$E$64+'Assumptions and Catalog'!$F$64,IF(((D343+E343)*C343)&lt;='Assumptions and Catalog'!$C$65,((D343+E343)*C343)*'Assumptions and Catalog'!$H$65+'Assumptions and Catalog'!$E$65+'Assumptions and Catalog'!$F$65,"Out of range")))))))))*(1+'Assumptions and Catalog'!$C$8)^(A343-1),0)</f>
        <v>8554.9666666666672</v>
      </c>
      <c r="N343" s="5">
        <f>IF(ISNUMBER(Inputs!$L$5),(IF(Inputs!$L$9="Actual flat rate",L343*Inputs!$L$10,IF(Inputs!$C$9="Residential",IF(L343&lt;='Assumptions and Catalog'!$C$50,L343*'Assumptions and Catalog'!$H$50+'Assumptions and Catalog'!$E$50+'Assumptions and Catalog'!$F$50,IF(L343&lt;='Assumptions and Catalog'!$C$51,L343*'Assumptions and Catalog'!$H$51+'Assumptions and Catalog'!$E$51+'Assumptions and Catalog'!$F$51,IF(L343&lt;='Assumptions and Catalog'!$C$52,L343*'Assumptions and Catalog'!$H$52+'Assumptions and Catalog'!$E$52+'Assumptions and Catalog'!$F$52,IF(L343&lt;='Assumptions and Catalog'!$C$53,L343*'Assumptions and Catalog'!$H$53+'Assumptions and Catalog'!$E$53+'Assumptions and Catalog'!$F$53,IF(L343&lt;='Assumptions and Catalog'!$C$54,L343*'Assumptions and Catalog'!$H$54+'Assumptions and Catalog'!$E$54+'Assumptions and Catalog'!$F$54,IF(L343&lt;='Assumptions and Catalog'!$C$55,L343*'Assumptions and Catalog'!$H$55+'Assumptions and Catalog'!$E$55+'Assumptions and Catalog'!$F$55,IF(L343&lt;='Assumptions and Catalog'!$C$56,L343*'Assumptions and Catalog'!$H$56+'Assumptions and Catalog'!$E$56+'Assumptions and Catalog'!$F$56,IF(L343&lt;='Assumptions and Catalog'!$C$57,L343*'Assumptions and Catalog'!$H$57+'Assumptions and Catalog'!$E$57+'Assumptions and Catalog'!$F$57,"Out of range")))))))),IF(L343&lt;='Assumptions and Catalog'!$C$60,L343*'Assumptions and Catalog'!$H$60+'Assumptions and Catalog'!$E$60+'Assumptions and Catalog'!$F$60,IF(L343&lt;='Assumptions and Catalog'!$C$61,L343*'Assumptions and Catalog'!$H$61+'Assumptions and Catalog'!$E$61+'Assumptions and Catalog'!$F$61,IF(L343&lt;='Assumptions and Catalog'!$C$62,L343*'Assumptions and Catalog'!$H$62+'Assumptions and Catalog'!$E$62+'Assumptions and Catalog'!$F$62,IF(L343&lt;='Assumptions and Catalog'!$C$63,L343*'Assumptions and Catalog'!$H$63+'Assumptions and Catalog'!$E$63+'Assumptions and Catalog'!$F$63,IF(L343&lt;='Assumptions and Catalog'!$C$64,L343*'Assumptions and Catalog'!$H$64+'Assumptions and Catalog'!$E$64+'Assumptions and Catalog'!$F$64,IF(L343&lt;='Assumptions and Catalog'!$C$65,L343*'Assumptions and Catalog'!$H$65+'Assumptions and Catalog'!$E$65+'Assumptions and Catalog'!$F$65,"Out of range")))))))))*(1+'Assumptions and Catalog'!$C$8)^(A343-1),0)</f>
        <v>5274.0504236050147</v>
      </c>
      <c r="O343" s="5">
        <f t="shared" si="24"/>
        <v>3280.9162430616525</v>
      </c>
      <c r="P343" s="5">
        <f>C$55*(1-J$14)*(1-'Assumptions and Catalog'!$C$23)^R343</f>
        <v>0</v>
      </c>
      <c r="Q343" s="5">
        <f>IF(ISNUMBER(Inputs!$L$5),(IF(Inputs!$L$9="Actual flat rate",((D343+E343)*C343-G343)*Inputs!$L$10,IF(Inputs!$C$9="Residential",IF(((D343+E343)*C343-G343)&lt;='Assumptions and Catalog'!$C$50,((D343+E343)*C343-G343)*'Assumptions and Catalog'!$H$50+'Assumptions and Catalog'!$E$50+'Assumptions and Catalog'!$F$50,IF(((D343+E343)*C343-G343)&lt;='Assumptions and Catalog'!$C$51,((D343+E343)*C343-G343)*'Assumptions and Catalog'!$H$51+'Assumptions and Catalog'!$E$51+'Assumptions and Catalog'!$F$51,IF(((D343+E343)*C343-G343)&lt;='Assumptions and Catalog'!$C$52,((D343+E343)*C343-G343)*'Assumptions and Catalog'!$H$52+'Assumptions and Catalog'!$E$52+'Assumptions and Catalog'!$F$52,IF(((D343+E343)*C343-G343)&lt;='Assumptions and Catalog'!$C$53,((D343+E343)*C343-G343)*'Assumptions and Catalog'!$H$53+'Assumptions and Catalog'!$E$53+'Assumptions and Catalog'!$F$53,IF(((D343+E343)*C343-G343)&lt;='Assumptions and Catalog'!$C$54,((D343+E343)*C343-G343)*'Assumptions and Catalog'!$H$54+'Assumptions and Catalog'!$E$54+'Assumptions and Catalog'!$F$54,IF(((D343+E343)*C343-G343)&lt;='Assumptions and Catalog'!$C$55,((D343+E343)*C343-G343)*'Assumptions and Catalog'!$H$55+'Assumptions and Catalog'!$E$55+'Assumptions and Catalog'!$F$55,IF(((D343+E343)*C343-G343)&lt;='Assumptions and Catalog'!$C$56,((D343+E343)*C343-G343)*'Assumptions and Catalog'!$H$56+'Assumptions and Catalog'!$E$56+'Assumptions and Catalog'!$F$56,IF(((D343+E343)*C343-G343)&lt;='Assumptions and Catalog'!$C$57,((D343+E343)*C343-G343)*'Assumptions and Catalog'!$H$57+'Assumptions and Catalog'!$E$57+'Assumptions and Catalog'!$F$57,"Out of range")))))))),IF(((D343+E343)*C343-G343)&lt;='Assumptions and Catalog'!$C$60,((D343+E343)*C343-G343)*'Assumptions and Catalog'!$H$60+'Assumptions and Catalog'!$E$60+'Assumptions and Catalog'!$F$60,IF(((D343+E343)*C343-G343)&lt;='Assumptions and Catalog'!$C$61,((D343+E343)*C343-G343)*'Assumptions and Catalog'!$H$61+'Assumptions and Catalog'!$E$61+'Assumptions and Catalog'!$F$61,IF(((D343+E343)*C343-G343)&lt;='Assumptions and Catalog'!$C$62,((D343+E343)*C343-G343)*'Assumptions and Catalog'!$H$62+'Assumptions and Catalog'!$E$62+'Assumptions and Catalog'!$F$62,IF(((D343+E343)*C343-G343)&lt;='Assumptions and Catalog'!$C$63,((D343+E343)*C343-G343)*'Assumptions and Catalog'!$H$63+'Assumptions and Catalog'!$E$63+'Assumptions and Catalog'!$F$63,IF(((D343+E343)*C343-G343)&lt;='Assumptions and Catalog'!$C$64,((D343+E343)*C343-G343)*'Assumptions and Catalog'!$H$64+'Assumptions and Catalog'!$E$64+'Assumptions and Catalog'!$F$64,IF(((D343+E343)*C343-G343)&lt;='Assumptions and Catalog'!$C$65,((D343+E343)*C343-G343)*'Assumptions and Catalog'!$H$65+'Assumptions and Catalog'!$E$65+'Assumptions and Catalog'!$F$65,"Out of range")))))))))*(1+'Assumptions and Catalog'!$C$8)^(A343-1),0)</f>
        <v>5274.0504236050147</v>
      </c>
      <c r="R343" s="5">
        <f>IF(AND('Assumptions and Catalog'!$C$19&gt;0,A343&gt;='Assumptions and Catalog'!$C$19),A343-'Assumptions and Catalog'!$C$19,A343-1)</f>
        <v>5</v>
      </c>
      <c r="S343" s="5">
        <f t="shared" si="25"/>
        <v>0</v>
      </c>
      <c r="T343" s="5"/>
      <c r="U343" s="5"/>
    </row>
    <row r="344" spans="1:21" ht="23.1" customHeight="1" outlineLevel="1" x14ac:dyDescent="0.2">
      <c r="A344" s="5">
        <v>16</v>
      </c>
      <c r="B344" s="5">
        <v>4</v>
      </c>
      <c r="C344" s="5">
        <f>DAY(DATE('Assumptions and Catalog'!$C$24+A344-1,B344+1,0))</f>
        <v>30</v>
      </c>
      <c r="D344" s="5">
        <f>IF(ISNUMBER(Inputs!$L$5),Inputs!$L$5*Inputs!$L$6,0)</f>
        <v>40.35</v>
      </c>
      <c r="E344" s="5">
        <f>IF(ISNUMBER(Inputs!$L$5),Inputs!$L$5-D344,0)</f>
        <v>40.35</v>
      </c>
      <c r="F344" s="5">
        <f>C$51*'Assumptions and Catalog'!$C$31*C344*(1-'Assumptions and Catalog'!$C$10)^(A344-1)</f>
        <v>928.47798640777023</v>
      </c>
      <c r="G344" s="5">
        <f t="shared" si="20"/>
        <v>928.47798640777023</v>
      </c>
      <c r="H344" s="5">
        <f>I344/('Assumptions and Catalog'!$C$11*'Assumptions and Catalog'!$C$12)</f>
        <v>0</v>
      </c>
      <c r="I344" s="5">
        <f>0</f>
        <v>0</v>
      </c>
      <c r="J344" s="5">
        <f t="shared" si="21"/>
        <v>0</v>
      </c>
      <c r="K344" s="5">
        <f t="shared" si="22"/>
        <v>0</v>
      </c>
      <c r="L344" s="5">
        <f t="shared" si="23"/>
        <v>1492.5220135922298</v>
      </c>
      <c r="M344" s="5">
        <f>IF(ISNUMBER(Inputs!$L$5),(IF(Inputs!$L$9="Actual flat rate",((D344+E344)*C344)*Inputs!$L$10,IF(Inputs!$C$9="Residential",IF(((D344+E344)*C344)&lt;='Assumptions and Catalog'!$C$50,((D344+E344)*C344)*'Assumptions and Catalog'!$H$50+'Assumptions and Catalog'!$E$50+'Assumptions and Catalog'!$F$50,IF(((D344+E344)*C344)&lt;='Assumptions and Catalog'!$C$51,((D344+E344)*C344)*'Assumptions and Catalog'!$H$51+'Assumptions and Catalog'!$E$51+'Assumptions and Catalog'!$F$51,IF(((D344+E344)*C344)&lt;='Assumptions and Catalog'!$C$52,((D344+E344)*C344)*'Assumptions and Catalog'!$H$52+'Assumptions and Catalog'!$E$52+'Assumptions and Catalog'!$F$52,IF(((D344+E344)*C344)&lt;='Assumptions and Catalog'!$C$53,((D344+E344)*C344)*'Assumptions and Catalog'!$H$53+'Assumptions and Catalog'!$E$53+'Assumptions and Catalog'!$F$53,IF(((D344+E344)*C344)&lt;='Assumptions and Catalog'!$C$54,((D344+E344)*C344)*'Assumptions and Catalog'!$H$54+'Assumptions and Catalog'!$E$54+'Assumptions and Catalog'!$F$54,IF(((D344+E344)*C344)&lt;='Assumptions and Catalog'!$C$55,((D344+E344)*C344)*'Assumptions and Catalog'!$H$55+'Assumptions and Catalog'!$E$55+'Assumptions and Catalog'!$F$55,IF(((D344+E344)*C344)&lt;='Assumptions and Catalog'!$C$56,((D344+E344)*C344)*'Assumptions and Catalog'!$H$56+'Assumptions and Catalog'!$E$56+'Assumptions and Catalog'!$F$56,IF(((D344+E344)*C344)&lt;='Assumptions and Catalog'!$C$57,((D344+E344)*C344)*'Assumptions and Catalog'!$H$57+'Assumptions and Catalog'!$E$57+'Assumptions and Catalog'!$F$57,"Out of range")))))))),IF(((D344+E344)*C344)&lt;='Assumptions and Catalog'!$C$60,((D344+E344)*C344)*'Assumptions and Catalog'!$H$60+'Assumptions and Catalog'!$E$60+'Assumptions and Catalog'!$F$60,IF(((D344+E344)*C344)&lt;='Assumptions and Catalog'!$C$61,((D344+E344)*C344)*'Assumptions and Catalog'!$H$61+'Assumptions and Catalog'!$E$61+'Assumptions and Catalog'!$F$61,IF(((D344+E344)*C344)&lt;='Assumptions and Catalog'!$C$62,((D344+E344)*C344)*'Assumptions and Catalog'!$H$62+'Assumptions and Catalog'!$E$62+'Assumptions and Catalog'!$F$62,IF(((D344+E344)*C344)&lt;='Assumptions and Catalog'!$C$63,((D344+E344)*C344)*'Assumptions and Catalog'!$H$63+'Assumptions and Catalog'!$E$63+'Assumptions and Catalog'!$F$63,IF(((D344+E344)*C344)&lt;='Assumptions and Catalog'!$C$64,((D344+E344)*C344)*'Assumptions and Catalog'!$H$64+'Assumptions and Catalog'!$E$64+'Assumptions and Catalog'!$F$64,IF(((D344+E344)*C344)&lt;='Assumptions and Catalog'!$C$65,((D344+E344)*C344)*'Assumptions and Catalog'!$H$65+'Assumptions and Catalog'!$E$65+'Assumptions and Catalog'!$F$65,"Out of range")))))))))*(1+'Assumptions and Catalog'!$C$8)^(A344-1),0)</f>
        <v>8279</v>
      </c>
      <c r="N344" s="5">
        <f>IF(ISNUMBER(Inputs!$L$5),(IF(Inputs!$L$9="Actual flat rate",L344*Inputs!$L$10,IF(Inputs!$C$9="Residential",IF(L344&lt;='Assumptions and Catalog'!$C$50,L344*'Assumptions and Catalog'!$H$50+'Assumptions and Catalog'!$E$50+'Assumptions and Catalog'!$F$50,IF(L344&lt;='Assumptions and Catalog'!$C$51,L344*'Assumptions and Catalog'!$H$51+'Assumptions and Catalog'!$E$51+'Assumptions and Catalog'!$F$51,IF(L344&lt;='Assumptions and Catalog'!$C$52,L344*'Assumptions and Catalog'!$H$52+'Assumptions and Catalog'!$E$52+'Assumptions and Catalog'!$F$52,IF(L344&lt;='Assumptions and Catalog'!$C$53,L344*'Assumptions and Catalog'!$H$53+'Assumptions and Catalog'!$E$53+'Assumptions and Catalog'!$F$53,IF(L344&lt;='Assumptions and Catalog'!$C$54,L344*'Assumptions and Catalog'!$H$54+'Assumptions and Catalog'!$E$54+'Assumptions and Catalog'!$F$54,IF(L344&lt;='Assumptions and Catalog'!$C$55,L344*'Assumptions and Catalog'!$H$55+'Assumptions and Catalog'!$E$55+'Assumptions and Catalog'!$F$55,IF(L344&lt;='Assumptions and Catalog'!$C$56,L344*'Assumptions and Catalog'!$H$56+'Assumptions and Catalog'!$E$56+'Assumptions and Catalog'!$F$56,IF(L344&lt;='Assumptions and Catalog'!$C$57,L344*'Assumptions and Catalog'!$H$57+'Assumptions and Catalog'!$E$57+'Assumptions and Catalog'!$F$57,"Out of range")))))))),IF(L344&lt;='Assumptions and Catalog'!$C$60,L344*'Assumptions and Catalog'!$H$60+'Assumptions and Catalog'!$E$60+'Assumptions and Catalog'!$F$60,IF(L344&lt;='Assumptions and Catalog'!$C$61,L344*'Assumptions and Catalog'!$H$61+'Assumptions and Catalog'!$E$61+'Assumptions and Catalog'!$F$61,IF(L344&lt;='Assumptions and Catalog'!$C$62,L344*'Assumptions and Catalog'!$H$62+'Assumptions and Catalog'!$E$62+'Assumptions and Catalog'!$F$62,IF(L344&lt;='Assumptions and Catalog'!$C$63,L344*'Assumptions and Catalog'!$H$63+'Assumptions and Catalog'!$E$63+'Assumptions and Catalog'!$F$63,IF(L344&lt;='Assumptions and Catalog'!$C$64,L344*'Assumptions and Catalog'!$H$64+'Assumptions and Catalog'!$E$64+'Assumptions and Catalog'!$F$64,IF(L344&lt;='Assumptions and Catalog'!$C$65,L344*'Assumptions and Catalog'!$H$65+'Assumptions and Catalog'!$E$65+'Assumptions and Catalog'!$F$65,"Out of range")))))))))*(1+'Assumptions and Catalog'!$C$8)^(A344-1),0)</f>
        <v>5103.9197647790461</v>
      </c>
      <c r="O344" s="5">
        <f t="shared" si="24"/>
        <v>3175.0802352209539</v>
      </c>
      <c r="P344" s="5">
        <f>C$55*(1-J$14)*(1-'Assumptions and Catalog'!$C$23)^R344</f>
        <v>0</v>
      </c>
      <c r="Q344" s="5">
        <f>IF(ISNUMBER(Inputs!$L$5),(IF(Inputs!$L$9="Actual flat rate",((D344+E344)*C344-G344)*Inputs!$L$10,IF(Inputs!$C$9="Residential",IF(((D344+E344)*C344-G344)&lt;='Assumptions and Catalog'!$C$50,((D344+E344)*C344-G344)*'Assumptions and Catalog'!$H$50+'Assumptions and Catalog'!$E$50+'Assumptions and Catalog'!$F$50,IF(((D344+E344)*C344-G344)&lt;='Assumptions and Catalog'!$C$51,((D344+E344)*C344-G344)*'Assumptions and Catalog'!$H$51+'Assumptions and Catalog'!$E$51+'Assumptions and Catalog'!$F$51,IF(((D344+E344)*C344-G344)&lt;='Assumptions and Catalog'!$C$52,((D344+E344)*C344-G344)*'Assumptions and Catalog'!$H$52+'Assumptions and Catalog'!$E$52+'Assumptions and Catalog'!$F$52,IF(((D344+E344)*C344-G344)&lt;='Assumptions and Catalog'!$C$53,((D344+E344)*C344-G344)*'Assumptions and Catalog'!$H$53+'Assumptions and Catalog'!$E$53+'Assumptions and Catalog'!$F$53,IF(((D344+E344)*C344-G344)&lt;='Assumptions and Catalog'!$C$54,((D344+E344)*C344-G344)*'Assumptions and Catalog'!$H$54+'Assumptions and Catalog'!$E$54+'Assumptions and Catalog'!$F$54,IF(((D344+E344)*C344-G344)&lt;='Assumptions and Catalog'!$C$55,((D344+E344)*C344-G344)*'Assumptions and Catalog'!$H$55+'Assumptions and Catalog'!$E$55+'Assumptions and Catalog'!$F$55,IF(((D344+E344)*C344-G344)&lt;='Assumptions and Catalog'!$C$56,((D344+E344)*C344-G344)*'Assumptions and Catalog'!$H$56+'Assumptions and Catalog'!$E$56+'Assumptions and Catalog'!$F$56,IF(((D344+E344)*C344-G344)&lt;='Assumptions and Catalog'!$C$57,((D344+E344)*C344-G344)*'Assumptions and Catalog'!$H$57+'Assumptions and Catalog'!$E$57+'Assumptions and Catalog'!$F$57,"Out of range")))))))),IF(((D344+E344)*C344-G344)&lt;='Assumptions and Catalog'!$C$60,((D344+E344)*C344-G344)*'Assumptions and Catalog'!$H$60+'Assumptions and Catalog'!$E$60+'Assumptions and Catalog'!$F$60,IF(((D344+E344)*C344-G344)&lt;='Assumptions and Catalog'!$C$61,((D344+E344)*C344-G344)*'Assumptions and Catalog'!$H$61+'Assumptions and Catalog'!$E$61+'Assumptions and Catalog'!$F$61,IF(((D344+E344)*C344-G344)&lt;='Assumptions and Catalog'!$C$62,((D344+E344)*C344-G344)*'Assumptions and Catalog'!$H$62+'Assumptions and Catalog'!$E$62+'Assumptions and Catalog'!$F$62,IF(((D344+E344)*C344-G344)&lt;='Assumptions and Catalog'!$C$63,((D344+E344)*C344-G344)*'Assumptions and Catalog'!$H$63+'Assumptions and Catalog'!$E$63+'Assumptions and Catalog'!$F$63,IF(((D344+E344)*C344-G344)&lt;='Assumptions and Catalog'!$C$64,((D344+E344)*C344-G344)*'Assumptions and Catalog'!$H$64+'Assumptions and Catalog'!$E$64+'Assumptions and Catalog'!$F$64,IF(((D344+E344)*C344-G344)&lt;='Assumptions and Catalog'!$C$65,((D344+E344)*C344-G344)*'Assumptions and Catalog'!$H$65+'Assumptions and Catalog'!$E$65+'Assumptions and Catalog'!$F$65,"Out of range")))))))))*(1+'Assumptions and Catalog'!$C$8)^(A344-1),0)</f>
        <v>5103.9197647790461</v>
      </c>
      <c r="R344" s="5">
        <f>IF(AND('Assumptions and Catalog'!$C$19&gt;0,A344&gt;='Assumptions and Catalog'!$C$19),A344-'Assumptions and Catalog'!$C$19,A344-1)</f>
        <v>5</v>
      </c>
      <c r="S344" s="5">
        <f t="shared" si="25"/>
        <v>0</v>
      </c>
      <c r="T344" s="5"/>
      <c r="U344" s="5"/>
    </row>
    <row r="345" spans="1:21" ht="23.1" customHeight="1" outlineLevel="1" x14ac:dyDescent="0.2">
      <c r="A345" s="5">
        <v>16</v>
      </c>
      <c r="B345" s="5">
        <v>5</v>
      </c>
      <c r="C345" s="5">
        <f>DAY(DATE('Assumptions and Catalog'!$C$24+A345-1,B345+1,0))</f>
        <v>31</v>
      </c>
      <c r="D345" s="5">
        <f>IF(ISNUMBER(Inputs!$L$5),Inputs!$L$5*Inputs!$L$6,0)</f>
        <v>40.35</v>
      </c>
      <c r="E345" s="5">
        <f>IF(ISNUMBER(Inputs!$L$5),Inputs!$L$5-D345,0)</f>
        <v>40.35</v>
      </c>
      <c r="F345" s="5">
        <f>C$51*'Assumptions and Catalog'!$C$31*C345*(1-'Assumptions and Catalog'!$C$10)^(A345-1)</f>
        <v>959.42725262136253</v>
      </c>
      <c r="G345" s="5">
        <f t="shared" si="20"/>
        <v>959.42725262136253</v>
      </c>
      <c r="H345" s="5">
        <f>I345/('Assumptions and Catalog'!$C$11*'Assumptions and Catalog'!$C$12)</f>
        <v>0</v>
      </c>
      <c r="I345" s="5">
        <f>0</f>
        <v>0</v>
      </c>
      <c r="J345" s="5">
        <f t="shared" si="21"/>
        <v>0</v>
      </c>
      <c r="K345" s="5">
        <f t="shared" si="22"/>
        <v>0</v>
      </c>
      <c r="L345" s="5">
        <f t="shared" si="23"/>
        <v>1542.2727473786376</v>
      </c>
      <c r="M345" s="5">
        <f>IF(ISNUMBER(Inputs!$L$5),(IF(Inputs!$L$9="Actual flat rate",((D345+E345)*C345)*Inputs!$L$10,IF(Inputs!$C$9="Residential",IF(((D345+E345)*C345)&lt;='Assumptions and Catalog'!$C$50,((D345+E345)*C345)*'Assumptions and Catalog'!$H$50+'Assumptions and Catalog'!$E$50+'Assumptions and Catalog'!$F$50,IF(((D345+E345)*C345)&lt;='Assumptions and Catalog'!$C$51,((D345+E345)*C345)*'Assumptions and Catalog'!$H$51+'Assumptions and Catalog'!$E$51+'Assumptions and Catalog'!$F$51,IF(((D345+E345)*C345)&lt;='Assumptions and Catalog'!$C$52,((D345+E345)*C345)*'Assumptions and Catalog'!$H$52+'Assumptions and Catalog'!$E$52+'Assumptions and Catalog'!$F$52,IF(((D345+E345)*C345)&lt;='Assumptions and Catalog'!$C$53,((D345+E345)*C345)*'Assumptions and Catalog'!$H$53+'Assumptions and Catalog'!$E$53+'Assumptions and Catalog'!$F$53,IF(((D345+E345)*C345)&lt;='Assumptions and Catalog'!$C$54,((D345+E345)*C345)*'Assumptions and Catalog'!$H$54+'Assumptions and Catalog'!$E$54+'Assumptions and Catalog'!$F$54,IF(((D345+E345)*C345)&lt;='Assumptions and Catalog'!$C$55,((D345+E345)*C345)*'Assumptions and Catalog'!$H$55+'Assumptions and Catalog'!$E$55+'Assumptions and Catalog'!$F$55,IF(((D345+E345)*C345)&lt;='Assumptions and Catalog'!$C$56,((D345+E345)*C345)*'Assumptions and Catalog'!$H$56+'Assumptions and Catalog'!$E$56+'Assumptions and Catalog'!$F$56,IF(((D345+E345)*C345)&lt;='Assumptions and Catalog'!$C$57,((D345+E345)*C345)*'Assumptions and Catalog'!$H$57+'Assumptions and Catalog'!$E$57+'Assumptions and Catalog'!$F$57,"Out of range")))))))),IF(((D345+E345)*C345)&lt;='Assumptions and Catalog'!$C$60,((D345+E345)*C345)*'Assumptions and Catalog'!$H$60+'Assumptions and Catalog'!$E$60+'Assumptions and Catalog'!$F$60,IF(((D345+E345)*C345)&lt;='Assumptions and Catalog'!$C$61,((D345+E345)*C345)*'Assumptions and Catalog'!$H$61+'Assumptions and Catalog'!$E$61+'Assumptions and Catalog'!$F$61,IF(((D345+E345)*C345)&lt;='Assumptions and Catalog'!$C$62,((D345+E345)*C345)*'Assumptions and Catalog'!$H$62+'Assumptions and Catalog'!$E$62+'Assumptions and Catalog'!$F$62,IF(((D345+E345)*C345)&lt;='Assumptions and Catalog'!$C$63,((D345+E345)*C345)*'Assumptions and Catalog'!$H$63+'Assumptions and Catalog'!$E$63+'Assumptions and Catalog'!$F$63,IF(((D345+E345)*C345)&lt;='Assumptions and Catalog'!$C$64,((D345+E345)*C345)*'Assumptions and Catalog'!$H$64+'Assumptions and Catalog'!$E$64+'Assumptions and Catalog'!$F$64,IF(((D345+E345)*C345)&lt;='Assumptions and Catalog'!$C$65,((D345+E345)*C345)*'Assumptions and Catalog'!$H$65+'Assumptions and Catalog'!$E$65+'Assumptions and Catalog'!$F$65,"Out of range")))))))))*(1+'Assumptions and Catalog'!$C$8)^(A345-1),0)</f>
        <v>8554.9666666666672</v>
      </c>
      <c r="N345" s="5">
        <f>IF(ISNUMBER(Inputs!$L$5),(IF(Inputs!$L$9="Actual flat rate",L345*Inputs!$L$10,IF(Inputs!$C$9="Residential",IF(L345&lt;='Assumptions and Catalog'!$C$50,L345*'Assumptions and Catalog'!$H$50+'Assumptions and Catalog'!$E$50+'Assumptions and Catalog'!$F$50,IF(L345&lt;='Assumptions and Catalog'!$C$51,L345*'Assumptions and Catalog'!$H$51+'Assumptions and Catalog'!$E$51+'Assumptions and Catalog'!$F$51,IF(L345&lt;='Assumptions and Catalog'!$C$52,L345*'Assumptions and Catalog'!$H$52+'Assumptions and Catalog'!$E$52+'Assumptions and Catalog'!$F$52,IF(L345&lt;='Assumptions and Catalog'!$C$53,L345*'Assumptions and Catalog'!$H$53+'Assumptions and Catalog'!$E$53+'Assumptions and Catalog'!$F$53,IF(L345&lt;='Assumptions and Catalog'!$C$54,L345*'Assumptions and Catalog'!$H$54+'Assumptions and Catalog'!$E$54+'Assumptions and Catalog'!$F$54,IF(L345&lt;='Assumptions and Catalog'!$C$55,L345*'Assumptions and Catalog'!$H$55+'Assumptions and Catalog'!$E$55+'Assumptions and Catalog'!$F$55,IF(L345&lt;='Assumptions and Catalog'!$C$56,L345*'Assumptions and Catalog'!$H$56+'Assumptions and Catalog'!$E$56+'Assumptions and Catalog'!$F$56,IF(L345&lt;='Assumptions and Catalog'!$C$57,L345*'Assumptions and Catalog'!$H$57+'Assumptions and Catalog'!$E$57+'Assumptions and Catalog'!$F$57,"Out of range")))))))),IF(L345&lt;='Assumptions and Catalog'!$C$60,L345*'Assumptions and Catalog'!$H$60+'Assumptions and Catalog'!$E$60+'Assumptions and Catalog'!$F$60,IF(L345&lt;='Assumptions and Catalog'!$C$61,L345*'Assumptions and Catalog'!$H$61+'Assumptions and Catalog'!$E$61+'Assumptions and Catalog'!$F$61,IF(L345&lt;='Assumptions and Catalog'!$C$62,L345*'Assumptions and Catalog'!$H$62+'Assumptions and Catalog'!$E$62+'Assumptions and Catalog'!$F$62,IF(L345&lt;='Assumptions and Catalog'!$C$63,L345*'Assumptions and Catalog'!$H$63+'Assumptions and Catalog'!$E$63+'Assumptions and Catalog'!$F$63,IF(L345&lt;='Assumptions and Catalog'!$C$64,L345*'Assumptions and Catalog'!$H$64+'Assumptions and Catalog'!$E$64+'Assumptions and Catalog'!$F$64,IF(L345&lt;='Assumptions and Catalog'!$C$65,L345*'Assumptions and Catalog'!$H$65+'Assumptions and Catalog'!$E$65+'Assumptions and Catalog'!$F$65,"Out of range")))))))))*(1+'Assumptions and Catalog'!$C$8)^(A345-1),0)</f>
        <v>5274.0504236050147</v>
      </c>
      <c r="O345" s="5">
        <f t="shared" si="24"/>
        <v>3280.9162430616525</v>
      </c>
      <c r="P345" s="5">
        <f>C$55*(1-J$14)*(1-'Assumptions and Catalog'!$C$23)^R345</f>
        <v>0</v>
      </c>
      <c r="Q345" s="5">
        <f>IF(ISNUMBER(Inputs!$L$5),(IF(Inputs!$L$9="Actual flat rate",((D345+E345)*C345-G345)*Inputs!$L$10,IF(Inputs!$C$9="Residential",IF(((D345+E345)*C345-G345)&lt;='Assumptions and Catalog'!$C$50,((D345+E345)*C345-G345)*'Assumptions and Catalog'!$H$50+'Assumptions and Catalog'!$E$50+'Assumptions and Catalog'!$F$50,IF(((D345+E345)*C345-G345)&lt;='Assumptions and Catalog'!$C$51,((D345+E345)*C345-G345)*'Assumptions and Catalog'!$H$51+'Assumptions and Catalog'!$E$51+'Assumptions and Catalog'!$F$51,IF(((D345+E345)*C345-G345)&lt;='Assumptions and Catalog'!$C$52,((D345+E345)*C345-G345)*'Assumptions and Catalog'!$H$52+'Assumptions and Catalog'!$E$52+'Assumptions and Catalog'!$F$52,IF(((D345+E345)*C345-G345)&lt;='Assumptions and Catalog'!$C$53,((D345+E345)*C345-G345)*'Assumptions and Catalog'!$H$53+'Assumptions and Catalog'!$E$53+'Assumptions and Catalog'!$F$53,IF(((D345+E345)*C345-G345)&lt;='Assumptions and Catalog'!$C$54,((D345+E345)*C345-G345)*'Assumptions and Catalog'!$H$54+'Assumptions and Catalog'!$E$54+'Assumptions and Catalog'!$F$54,IF(((D345+E345)*C345-G345)&lt;='Assumptions and Catalog'!$C$55,((D345+E345)*C345-G345)*'Assumptions and Catalog'!$H$55+'Assumptions and Catalog'!$E$55+'Assumptions and Catalog'!$F$55,IF(((D345+E345)*C345-G345)&lt;='Assumptions and Catalog'!$C$56,((D345+E345)*C345-G345)*'Assumptions and Catalog'!$H$56+'Assumptions and Catalog'!$E$56+'Assumptions and Catalog'!$F$56,IF(((D345+E345)*C345-G345)&lt;='Assumptions and Catalog'!$C$57,((D345+E345)*C345-G345)*'Assumptions and Catalog'!$H$57+'Assumptions and Catalog'!$E$57+'Assumptions and Catalog'!$F$57,"Out of range")))))))),IF(((D345+E345)*C345-G345)&lt;='Assumptions and Catalog'!$C$60,((D345+E345)*C345-G345)*'Assumptions and Catalog'!$H$60+'Assumptions and Catalog'!$E$60+'Assumptions and Catalog'!$F$60,IF(((D345+E345)*C345-G345)&lt;='Assumptions and Catalog'!$C$61,((D345+E345)*C345-G345)*'Assumptions and Catalog'!$H$61+'Assumptions and Catalog'!$E$61+'Assumptions and Catalog'!$F$61,IF(((D345+E345)*C345-G345)&lt;='Assumptions and Catalog'!$C$62,((D345+E345)*C345-G345)*'Assumptions and Catalog'!$H$62+'Assumptions and Catalog'!$E$62+'Assumptions and Catalog'!$F$62,IF(((D345+E345)*C345-G345)&lt;='Assumptions and Catalog'!$C$63,((D345+E345)*C345-G345)*'Assumptions and Catalog'!$H$63+'Assumptions and Catalog'!$E$63+'Assumptions and Catalog'!$F$63,IF(((D345+E345)*C345-G345)&lt;='Assumptions and Catalog'!$C$64,((D345+E345)*C345-G345)*'Assumptions and Catalog'!$H$64+'Assumptions and Catalog'!$E$64+'Assumptions and Catalog'!$F$64,IF(((D345+E345)*C345-G345)&lt;='Assumptions and Catalog'!$C$65,((D345+E345)*C345-G345)*'Assumptions and Catalog'!$H$65+'Assumptions and Catalog'!$E$65+'Assumptions and Catalog'!$F$65,"Out of range")))))))))*(1+'Assumptions and Catalog'!$C$8)^(A345-1),0)</f>
        <v>5274.0504236050147</v>
      </c>
      <c r="R345" s="5">
        <f>IF(AND('Assumptions and Catalog'!$C$19&gt;0,A345&gt;='Assumptions and Catalog'!$C$19),A345-'Assumptions and Catalog'!$C$19,A345-1)</f>
        <v>5</v>
      </c>
      <c r="S345" s="5">
        <f t="shared" si="25"/>
        <v>0</v>
      </c>
      <c r="T345" s="5"/>
      <c r="U345" s="5"/>
    </row>
    <row r="346" spans="1:21" ht="23.1" customHeight="1" outlineLevel="1" x14ac:dyDescent="0.2">
      <c r="A346" s="5">
        <v>16</v>
      </c>
      <c r="B346" s="5">
        <v>6</v>
      </c>
      <c r="C346" s="5">
        <f>DAY(DATE('Assumptions and Catalog'!$C$24+A346-1,B346+1,0))</f>
        <v>30</v>
      </c>
      <c r="D346" s="5">
        <f>IF(ISNUMBER(Inputs!$L$5),Inputs!$L$5*Inputs!$L$6,0)</f>
        <v>40.35</v>
      </c>
      <c r="E346" s="5">
        <f>IF(ISNUMBER(Inputs!$L$5),Inputs!$L$5-D346,0)</f>
        <v>40.35</v>
      </c>
      <c r="F346" s="5">
        <f>C$51*'Assumptions and Catalog'!$C$31*C346*(1-'Assumptions and Catalog'!$C$10)^(A346-1)</f>
        <v>928.47798640777023</v>
      </c>
      <c r="G346" s="5">
        <f t="shared" si="20"/>
        <v>928.47798640777023</v>
      </c>
      <c r="H346" s="5">
        <f>I346/('Assumptions and Catalog'!$C$11*'Assumptions and Catalog'!$C$12)</f>
        <v>0</v>
      </c>
      <c r="I346" s="5">
        <f>0</f>
        <v>0</v>
      </c>
      <c r="J346" s="5">
        <f t="shared" si="21"/>
        <v>0</v>
      </c>
      <c r="K346" s="5">
        <f t="shared" si="22"/>
        <v>0</v>
      </c>
      <c r="L346" s="5">
        <f t="shared" si="23"/>
        <v>1492.5220135922298</v>
      </c>
      <c r="M346" s="5">
        <f>IF(ISNUMBER(Inputs!$L$5),(IF(Inputs!$L$9="Actual flat rate",((D346+E346)*C346)*Inputs!$L$10,IF(Inputs!$C$9="Residential",IF(((D346+E346)*C346)&lt;='Assumptions and Catalog'!$C$50,((D346+E346)*C346)*'Assumptions and Catalog'!$H$50+'Assumptions and Catalog'!$E$50+'Assumptions and Catalog'!$F$50,IF(((D346+E346)*C346)&lt;='Assumptions and Catalog'!$C$51,((D346+E346)*C346)*'Assumptions and Catalog'!$H$51+'Assumptions and Catalog'!$E$51+'Assumptions and Catalog'!$F$51,IF(((D346+E346)*C346)&lt;='Assumptions and Catalog'!$C$52,((D346+E346)*C346)*'Assumptions and Catalog'!$H$52+'Assumptions and Catalog'!$E$52+'Assumptions and Catalog'!$F$52,IF(((D346+E346)*C346)&lt;='Assumptions and Catalog'!$C$53,((D346+E346)*C346)*'Assumptions and Catalog'!$H$53+'Assumptions and Catalog'!$E$53+'Assumptions and Catalog'!$F$53,IF(((D346+E346)*C346)&lt;='Assumptions and Catalog'!$C$54,((D346+E346)*C346)*'Assumptions and Catalog'!$H$54+'Assumptions and Catalog'!$E$54+'Assumptions and Catalog'!$F$54,IF(((D346+E346)*C346)&lt;='Assumptions and Catalog'!$C$55,((D346+E346)*C346)*'Assumptions and Catalog'!$H$55+'Assumptions and Catalog'!$E$55+'Assumptions and Catalog'!$F$55,IF(((D346+E346)*C346)&lt;='Assumptions and Catalog'!$C$56,((D346+E346)*C346)*'Assumptions and Catalog'!$H$56+'Assumptions and Catalog'!$E$56+'Assumptions and Catalog'!$F$56,IF(((D346+E346)*C346)&lt;='Assumptions and Catalog'!$C$57,((D346+E346)*C346)*'Assumptions and Catalog'!$H$57+'Assumptions and Catalog'!$E$57+'Assumptions and Catalog'!$F$57,"Out of range")))))))),IF(((D346+E346)*C346)&lt;='Assumptions and Catalog'!$C$60,((D346+E346)*C346)*'Assumptions and Catalog'!$H$60+'Assumptions and Catalog'!$E$60+'Assumptions and Catalog'!$F$60,IF(((D346+E346)*C346)&lt;='Assumptions and Catalog'!$C$61,((D346+E346)*C346)*'Assumptions and Catalog'!$H$61+'Assumptions and Catalog'!$E$61+'Assumptions and Catalog'!$F$61,IF(((D346+E346)*C346)&lt;='Assumptions and Catalog'!$C$62,((D346+E346)*C346)*'Assumptions and Catalog'!$H$62+'Assumptions and Catalog'!$E$62+'Assumptions and Catalog'!$F$62,IF(((D346+E346)*C346)&lt;='Assumptions and Catalog'!$C$63,((D346+E346)*C346)*'Assumptions and Catalog'!$H$63+'Assumptions and Catalog'!$E$63+'Assumptions and Catalog'!$F$63,IF(((D346+E346)*C346)&lt;='Assumptions and Catalog'!$C$64,((D346+E346)*C346)*'Assumptions and Catalog'!$H$64+'Assumptions and Catalog'!$E$64+'Assumptions and Catalog'!$F$64,IF(((D346+E346)*C346)&lt;='Assumptions and Catalog'!$C$65,((D346+E346)*C346)*'Assumptions and Catalog'!$H$65+'Assumptions and Catalog'!$E$65+'Assumptions and Catalog'!$F$65,"Out of range")))))))))*(1+'Assumptions and Catalog'!$C$8)^(A346-1),0)</f>
        <v>8279</v>
      </c>
      <c r="N346" s="5">
        <f>IF(ISNUMBER(Inputs!$L$5),(IF(Inputs!$L$9="Actual flat rate",L346*Inputs!$L$10,IF(Inputs!$C$9="Residential",IF(L346&lt;='Assumptions and Catalog'!$C$50,L346*'Assumptions and Catalog'!$H$50+'Assumptions and Catalog'!$E$50+'Assumptions and Catalog'!$F$50,IF(L346&lt;='Assumptions and Catalog'!$C$51,L346*'Assumptions and Catalog'!$H$51+'Assumptions and Catalog'!$E$51+'Assumptions and Catalog'!$F$51,IF(L346&lt;='Assumptions and Catalog'!$C$52,L346*'Assumptions and Catalog'!$H$52+'Assumptions and Catalog'!$E$52+'Assumptions and Catalog'!$F$52,IF(L346&lt;='Assumptions and Catalog'!$C$53,L346*'Assumptions and Catalog'!$H$53+'Assumptions and Catalog'!$E$53+'Assumptions and Catalog'!$F$53,IF(L346&lt;='Assumptions and Catalog'!$C$54,L346*'Assumptions and Catalog'!$H$54+'Assumptions and Catalog'!$E$54+'Assumptions and Catalog'!$F$54,IF(L346&lt;='Assumptions and Catalog'!$C$55,L346*'Assumptions and Catalog'!$H$55+'Assumptions and Catalog'!$E$55+'Assumptions and Catalog'!$F$55,IF(L346&lt;='Assumptions and Catalog'!$C$56,L346*'Assumptions and Catalog'!$H$56+'Assumptions and Catalog'!$E$56+'Assumptions and Catalog'!$F$56,IF(L346&lt;='Assumptions and Catalog'!$C$57,L346*'Assumptions and Catalog'!$H$57+'Assumptions and Catalog'!$E$57+'Assumptions and Catalog'!$F$57,"Out of range")))))))),IF(L346&lt;='Assumptions and Catalog'!$C$60,L346*'Assumptions and Catalog'!$H$60+'Assumptions and Catalog'!$E$60+'Assumptions and Catalog'!$F$60,IF(L346&lt;='Assumptions and Catalog'!$C$61,L346*'Assumptions and Catalog'!$H$61+'Assumptions and Catalog'!$E$61+'Assumptions and Catalog'!$F$61,IF(L346&lt;='Assumptions and Catalog'!$C$62,L346*'Assumptions and Catalog'!$H$62+'Assumptions and Catalog'!$E$62+'Assumptions and Catalog'!$F$62,IF(L346&lt;='Assumptions and Catalog'!$C$63,L346*'Assumptions and Catalog'!$H$63+'Assumptions and Catalog'!$E$63+'Assumptions and Catalog'!$F$63,IF(L346&lt;='Assumptions and Catalog'!$C$64,L346*'Assumptions and Catalog'!$H$64+'Assumptions and Catalog'!$E$64+'Assumptions and Catalog'!$F$64,IF(L346&lt;='Assumptions and Catalog'!$C$65,L346*'Assumptions and Catalog'!$H$65+'Assumptions and Catalog'!$E$65+'Assumptions and Catalog'!$F$65,"Out of range")))))))))*(1+'Assumptions and Catalog'!$C$8)^(A346-1),0)</f>
        <v>5103.9197647790461</v>
      </c>
      <c r="O346" s="5">
        <f t="shared" si="24"/>
        <v>3175.0802352209539</v>
      </c>
      <c r="P346" s="5">
        <f>C$55*(1-J$14)*(1-'Assumptions and Catalog'!$C$23)^R346</f>
        <v>0</v>
      </c>
      <c r="Q346" s="5">
        <f>IF(ISNUMBER(Inputs!$L$5),(IF(Inputs!$L$9="Actual flat rate",((D346+E346)*C346-G346)*Inputs!$L$10,IF(Inputs!$C$9="Residential",IF(((D346+E346)*C346-G346)&lt;='Assumptions and Catalog'!$C$50,((D346+E346)*C346-G346)*'Assumptions and Catalog'!$H$50+'Assumptions and Catalog'!$E$50+'Assumptions and Catalog'!$F$50,IF(((D346+E346)*C346-G346)&lt;='Assumptions and Catalog'!$C$51,((D346+E346)*C346-G346)*'Assumptions and Catalog'!$H$51+'Assumptions and Catalog'!$E$51+'Assumptions and Catalog'!$F$51,IF(((D346+E346)*C346-G346)&lt;='Assumptions and Catalog'!$C$52,((D346+E346)*C346-G346)*'Assumptions and Catalog'!$H$52+'Assumptions and Catalog'!$E$52+'Assumptions and Catalog'!$F$52,IF(((D346+E346)*C346-G346)&lt;='Assumptions and Catalog'!$C$53,((D346+E346)*C346-G346)*'Assumptions and Catalog'!$H$53+'Assumptions and Catalog'!$E$53+'Assumptions and Catalog'!$F$53,IF(((D346+E346)*C346-G346)&lt;='Assumptions and Catalog'!$C$54,((D346+E346)*C346-G346)*'Assumptions and Catalog'!$H$54+'Assumptions and Catalog'!$E$54+'Assumptions and Catalog'!$F$54,IF(((D346+E346)*C346-G346)&lt;='Assumptions and Catalog'!$C$55,((D346+E346)*C346-G346)*'Assumptions and Catalog'!$H$55+'Assumptions and Catalog'!$E$55+'Assumptions and Catalog'!$F$55,IF(((D346+E346)*C346-G346)&lt;='Assumptions and Catalog'!$C$56,((D346+E346)*C346-G346)*'Assumptions and Catalog'!$H$56+'Assumptions and Catalog'!$E$56+'Assumptions and Catalog'!$F$56,IF(((D346+E346)*C346-G346)&lt;='Assumptions and Catalog'!$C$57,((D346+E346)*C346-G346)*'Assumptions and Catalog'!$H$57+'Assumptions and Catalog'!$E$57+'Assumptions and Catalog'!$F$57,"Out of range")))))))),IF(((D346+E346)*C346-G346)&lt;='Assumptions and Catalog'!$C$60,((D346+E346)*C346-G346)*'Assumptions and Catalog'!$H$60+'Assumptions and Catalog'!$E$60+'Assumptions and Catalog'!$F$60,IF(((D346+E346)*C346-G346)&lt;='Assumptions and Catalog'!$C$61,((D346+E346)*C346-G346)*'Assumptions and Catalog'!$H$61+'Assumptions and Catalog'!$E$61+'Assumptions and Catalog'!$F$61,IF(((D346+E346)*C346-G346)&lt;='Assumptions and Catalog'!$C$62,((D346+E346)*C346-G346)*'Assumptions and Catalog'!$H$62+'Assumptions and Catalog'!$E$62+'Assumptions and Catalog'!$F$62,IF(((D346+E346)*C346-G346)&lt;='Assumptions and Catalog'!$C$63,((D346+E346)*C346-G346)*'Assumptions and Catalog'!$H$63+'Assumptions and Catalog'!$E$63+'Assumptions and Catalog'!$F$63,IF(((D346+E346)*C346-G346)&lt;='Assumptions and Catalog'!$C$64,((D346+E346)*C346-G346)*'Assumptions and Catalog'!$H$64+'Assumptions and Catalog'!$E$64+'Assumptions and Catalog'!$F$64,IF(((D346+E346)*C346-G346)&lt;='Assumptions and Catalog'!$C$65,((D346+E346)*C346-G346)*'Assumptions and Catalog'!$H$65+'Assumptions and Catalog'!$E$65+'Assumptions and Catalog'!$F$65,"Out of range")))))))))*(1+'Assumptions and Catalog'!$C$8)^(A346-1),0)</f>
        <v>5103.9197647790461</v>
      </c>
      <c r="R346" s="5">
        <f>IF(AND('Assumptions and Catalog'!$C$19&gt;0,A346&gt;='Assumptions and Catalog'!$C$19),A346-'Assumptions and Catalog'!$C$19,A346-1)</f>
        <v>5</v>
      </c>
      <c r="S346" s="5">
        <f t="shared" si="25"/>
        <v>0</v>
      </c>
      <c r="T346" s="5"/>
      <c r="U346" s="5"/>
    </row>
    <row r="347" spans="1:21" ht="23.1" customHeight="1" outlineLevel="1" x14ac:dyDescent="0.2">
      <c r="A347" s="5">
        <v>16</v>
      </c>
      <c r="B347" s="5">
        <v>7</v>
      </c>
      <c r="C347" s="5">
        <f>DAY(DATE('Assumptions and Catalog'!$C$24+A347-1,B347+1,0))</f>
        <v>31</v>
      </c>
      <c r="D347" s="5">
        <f>IF(ISNUMBER(Inputs!$L$5),Inputs!$L$5*Inputs!$L$6,0)</f>
        <v>40.35</v>
      </c>
      <c r="E347" s="5">
        <f>IF(ISNUMBER(Inputs!$L$5),Inputs!$L$5-D347,0)</f>
        <v>40.35</v>
      </c>
      <c r="F347" s="5">
        <f>C$51*'Assumptions and Catalog'!$C$31*C347*(1-'Assumptions and Catalog'!$C$10)^(A347-1)</f>
        <v>959.42725262136253</v>
      </c>
      <c r="G347" s="5">
        <f t="shared" si="20"/>
        <v>959.42725262136253</v>
      </c>
      <c r="H347" s="5">
        <f>I347/('Assumptions and Catalog'!$C$11*'Assumptions and Catalog'!$C$12)</f>
        <v>0</v>
      </c>
      <c r="I347" s="5">
        <f>0</f>
        <v>0</v>
      </c>
      <c r="J347" s="5">
        <f t="shared" si="21"/>
        <v>0</v>
      </c>
      <c r="K347" s="5">
        <f t="shared" si="22"/>
        <v>0</v>
      </c>
      <c r="L347" s="5">
        <f t="shared" si="23"/>
        <v>1542.2727473786376</v>
      </c>
      <c r="M347" s="5">
        <f>IF(ISNUMBER(Inputs!$L$5),(IF(Inputs!$L$9="Actual flat rate",((D347+E347)*C347)*Inputs!$L$10,IF(Inputs!$C$9="Residential",IF(((D347+E347)*C347)&lt;='Assumptions and Catalog'!$C$50,((D347+E347)*C347)*'Assumptions and Catalog'!$H$50+'Assumptions and Catalog'!$E$50+'Assumptions and Catalog'!$F$50,IF(((D347+E347)*C347)&lt;='Assumptions and Catalog'!$C$51,((D347+E347)*C347)*'Assumptions and Catalog'!$H$51+'Assumptions and Catalog'!$E$51+'Assumptions and Catalog'!$F$51,IF(((D347+E347)*C347)&lt;='Assumptions and Catalog'!$C$52,((D347+E347)*C347)*'Assumptions and Catalog'!$H$52+'Assumptions and Catalog'!$E$52+'Assumptions and Catalog'!$F$52,IF(((D347+E347)*C347)&lt;='Assumptions and Catalog'!$C$53,((D347+E347)*C347)*'Assumptions and Catalog'!$H$53+'Assumptions and Catalog'!$E$53+'Assumptions and Catalog'!$F$53,IF(((D347+E347)*C347)&lt;='Assumptions and Catalog'!$C$54,((D347+E347)*C347)*'Assumptions and Catalog'!$H$54+'Assumptions and Catalog'!$E$54+'Assumptions and Catalog'!$F$54,IF(((D347+E347)*C347)&lt;='Assumptions and Catalog'!$C$55,((D347+E347)*C347)*'Assumptions and Catalog'!$H$55+'Assumptions and Catalog'!$E$55+'Assumptions and Catalog'!$F$55,IF(((D347+E347)*C347)&lt;='Assumptions and Catalog'!$C$56,((D347+E347)*C347)*'Assumptions and Catalog'!$H$56+'Assumptions and Catalog'!$E$56+'Assumptions and Catalog'!$F$56,IF(((D347+E347)*C347)&lt;='Assumptions and Catalog'!$C$57,((D347+E347)*C347)*'Assumptions and Catalog'!$H$57+'Assumptions and Catalog'!$E$57+'Assumptions and Catalog'!$F$57,"Out of range")))))))),IF(((D347+E347)*C347)&lt;='Assumptions and Catalog'!$C$60,((D347+E347)*C347)*'Assumptions and Catalog'!$H$60+'Assumptions and Catalog'!$E$60+'Assumptions and Catalog'!$F$60,IF(((D347+E347)*C347)&lt;='Assumptions and Catalog'!$C$61,((D347+E347)*C347)*'Assumptions and Catalog'!$H$61+'Assumptions and Catalog'!$E$61+'Assumptions and Catalog'!$F$61,IF(((D347+E347)*C347)&lt;='Assumptions and Catalog'!$C$62,((D347+E347)*C347)*'Assumptions and Catalog'!$H$62+'Assumptions and Catalog'!$E$62+'Assumptions and Catalog'!$F$62,IF(((D347+E347)*C347)&lt;='Assumptions and Catalog'!$C$63,((D347+E347)*C347)*'Assumptions and Catalog'!$H$63+'Assumptions and Catalog'!$E$63+'Assumptions and Catalog'!$F$63,IF(((D347+E347)*C347)&lt;='Assumptions and Catalog'!$C$64,((D347+E347)*C347)*'Assumptions and Catalog'!$H$64+'Assumptions and Catalog'!$E$64+'Assumptions and Catalog'!$F$64,IF(((D347+E347)*C347)&lt;='Assumptions and Catalog'!$C$65,((D347+E347)*C347)*'Assumptions and Catalog'!$H$65+'Assumptions and Catalog'!$E$65+'Assumptions and Catalog'!$F$65,"Out of range")))))))))*(1+'Assumptions and Catalog'!$C$8)^(A347-1),0)</f>
        <v>8554.9666666666672</v>
      </c>
      <c r="N347" s="5">
        <f>IF(ISNUMBER(Inputs!$L$5),(IF(Inputs!$L$9="Actual flat rate",L347*Inputs!$L$10,IF(Inputs!$C$9="Residential",IF(L347&lt;='Assumptions and Catalog'!$C$50,L347*'Assumptions and Catalog'!$H$50+'Assumptions and Catalog'!$E$50+'Assumptions and Catalog'!$F$50,IF(L347&lt;='Assumptions and Catalog'!$C$51,L347*'Assumptions and Catalog'!$H$51+'Assumptions and Catalog'!$E$51+'Assumptions and Catalog'!$F$51,IF(L347&lt;='Assumptions and Catalog'!$C$52,L347*'Assumptions and Catalog'!$H$52+'Assumptions and Catalog'!$E$52+'Assumptions and Catalog'!$F$52,IF(L347&lt;='Assumptions and Catalog'!$C$53,L347*'Assumptions and Catalog'!$H$53+'Assumptions and Catalog'!$E$53+'Assumptions and Catalog'!$F$53,IF(L347&lt;='Assumptions and Catalog'!$C$54,L347*'Assumptions and Catalog'!$H$54+'Assumptions and Catalog'!$E$54+'Assumptions and Catalog'!$F$54,IF(L347&lt;='Assumptions and Catalog'!$C$55,L347*'Assumptions and Catalog'!$H$55+'Assumptions and Catalog'!$E$55+'Assumptions and Catalog'!$F$55,IF(L347&lt;='Assumptions and Catalog'!$C$56,L347*'Assumptions and Catalog'!$H$56+'Assumptions and Catalog'!$E$56+'Assumptions and Catalog'!$F$56,IF(L347&lt;='Assumptions and Catalog'!$C$57,L347*'Assumptions and Catalog'!$H$57+'Assumptions and Catalog'!$E$57+'Assumptions and Catalog'!$F$57,"Out of range")))))))),IF(L347&lt;='Assumptions and Catalog'!$C$60,L347*'Assumptions and Catalog'!$H$60+'Assumptions and Catalog'!$E$60+'Assumptions and Catalog'!$F$60,IF(L347&lt;='Assumptions and Catalog'!$C$61,L347*'Assumptions and Catalog'!$H$61+'Assumptions and Catalog'!$E$61+'Assumptions and Catalog'!$F$61,IF(L347&lt;='Assumptions and Catalog'!$C$62,L347*'Assumptions and Catalog'!$H$62+'Assumptions and Catalog'!$E$62+'Assumptions and Catalog'!$F$62,IF(L347&lt;='Assumptions and Catalog'!$C$63,L347*'Assumptions and Catalog'!$H$63+'Assumptions and Catalog'!$E$63+'Assumptions and Catalog'!$F$63,IF(L347&lt;='Assumptions and Catalog'!$C$64,L347*'Assumptions and Catalog'!$H$64+'Assumptions and Catalog'!$E$64+'Assumptions and Catalog'!$F$64,IF(L347&lt;='Assumptions and Catalog'!$C$65,L347*'Assumptions and Catalog'!$H$65+'Assumptions and Catalog'!$E$65+'Assumptions and Catalog'!$F$65,"Out of range")))))))))*(1+'Assumptions and Catalog'!$C$8)^(A347-1),0)</f>
        <v>5274.0504236050147</v>
      </c>
      <c r="O347" s="5">
        <f t="shared" si="24"/>
        <v>3280.9162430616525</v>
      </c>
      <c r="P347" s="5">
        <f>C$55*(1-J$14)*(1-'Assumptions and Catalog'!$C$23)^R347</f>
        <v>0</v>
      </c>
      <c r="Q347" s="5">
        <f>IF(ISNUMBER(Inputs!$L$5),(IF(Inputs!$L$9="Actual flat rate",((D347+E347)*C347-G347)*Inputs!$L$10,IF(Inputs!$C$9="Residential",IF(((D347+E347)*C347-G347)&lt;='Assumptions and Catalog'!$C$50,((D347+E347)*C347-G347)*'Assumptions and Catalog'!$H$50+'Assumptions and Catalog'!$E$50+'Assumptions and Catalog'!$F$50,IF(((D347+E347)*C347-G347)&lt;='Assumptions and Catalog'!$C$51,((D347+E347)*C347-G347)*'Assumptions and Catalog'!$H$51+'Assumptions and Catalog'!$E$51+'Assumptions and Catalog'!$F$51,IF(((D347+E347)*C347-G347)&lt;='Assumptions and Catalog'!$C$52,((D347+E347)*C347-G347)*'Assumptions and Catalog'!$H$52+'Assumptions and Catalog'!$E$52+'Assumptions and Catalog'!$F$52,IF(((D347+E347)*C347-G347)&lt;='Assumptions and Catalog'!$C$53,((D347+E347)*C347-G347)*'Assumptions and Catalog'!$H$53+'Assumptions and Catalog'!$E$53+'Assumptions and Catalog'!$F$53,IF(((D347+E347)*C347-G347)&lt;='Assumptions and Catalog'!$C$54,((D347+E347)*C347-G347)*'Assumptions and Catalog'!$H$54+'Assumptions and Catalog'!$E$54+'Assumptions and Catalog'!$F$54,IF(((D347+E347)*C347-G347)&lt;='Assumptions and Catalog'!$C$55,((D347+E347)*C347-G347)*'Assumptions and Catalog'!$H$55+'Assumptions and Catalog'!$E$55+'Assumptions and Catalog'!$F$55,IF(((D347+E347)*C347-G347)&lt;='Assumptions and Catalog'!$C$56,((D347+E347)*C347-G347)*'Assumptions and Catalog'!$H$56+'Assumptions and Catalog'!$E$56+'Assumptions and Catalog'!$F$56,IF(((D347+E347)*C347-G347)&lt;='Assumptions and Catalog'!$C$57,((D347+E347)*C347-G347)*'Assumptions and Catalog'!$H$57+'Assumptions and Catalog'!$E$57+'Assumptions and Catalog'!$F$57,"Out of range")))))))),IF(((D347+E347)*C347-G347)&lt;='Assumptions and Catalog'!$C$60,((D347+E347)*C347-G347)*'Assumptions and Catalog'!$H$60+'Assumptions and Catalog'!$E$60+'Assumptions and Catalog'!$F$60,IF(((D347+E347)*C347-G347)&lt;='Assumptions and Catalog'!$C$61,((D347+E347)*C347-G347)*'Assumptions and Catalog'!$H$61+'Assumptions and Catalog'!$E$61+'Assumptions and Catalog'!$F$61,IF(((D347+E347)*C347-G347)&lt;='Assumptions and Catalog'!$C$62,((D347+E347)*C347-G347)*'Assumptions and Catalog'!$H$62+'Assumptions and Catalog'!$E$62+'Assumptions and Catalog'!$F$62,IF(((D347+E347)*C347-G347)&lt;='Assumptions and Catalog'!$C$63,((D347+E347)*C347-G347)*'Assumptions and Catalog'!$H$63+'Assumptions and Catalog'!$E$63+'Assumptions and Catalog'!$F$63,IF(((D347+E347)*C347-G347)&lt;='Assumptions and Catalog'!$C$64,((D347+E347)*C347-G347)*'Assumptions and Catalog'!$H$64+'Assumptions and Catalog'!$E$64+'Assumptions and Catalog'!$F$64,IF(((D347+E347)*C347-G347)&lt;='Assumptions and Catalog'!$C$65,((D347+E347)*C347-G347)*'Assumptions and Catalog'!$H$65+'Assumptions and Catalog'!$E$65+'Assumptions and Catalog'!$F$65,"Out of range")))))))))*(1+'Assumptions and Catalog'!$C$8)^(A347-1),0)</f>
        <v>5274.0504236050147</v>
      </c>
      <c r="R347" s="5">
        <f>IF(AND('Assumptions and Catalog'!$C$19&gt;0,A347&gt;='Assumptions and Catalog'!$C$19),A347-'Assumptions and Catalog'!$C$19,A347-1)</f>
        <v>5</v>
      </c>
      <c r="S347" s="5">
        <f t="shared" si="25"/>
        <v>0</v>
      </c>
      <c r="T347" s="5"/>
      <c r="U347" s="5"/>
    </row>
    <row r="348" spans="1:21" ht="23.1" customHeight="1" outlineLevel="1" x14ac:dyDescent="0.2">
      <c r="A348" s="5">
        <v>16</v>
      </c>
      <c r="B348" s="5">
        <v>8</v>
      </c>
      <c r="C348" s="5">
        <f>DAY(DATE('Assumptions and Catalog'!$C$24+A348-1,B348+1,0))</f>
        <v>31</v>
      </c>
      <c r="D348" s="5">
        <f>IF(ISNUMBER(Inputs!$L$5),Inputs!$L$5*Inputs!$L$6,0)</f>
        <v>40.35</v>
      </c>
      <c r="E348" s="5">
        <f>IF(ISNUMBER(Inputs!$L$5),Inputs!$L$5-D348,0)</f>
        <v>40.35</v>
      </c>
      <c r="F348" s="5">
        <f>C$51*'Assumptions and Catalog'!$C$31*C348*(1-'Assumptions and Catalog'!$C$10)^(A348-1)</f>
        <v>959.42725262136253</v>
      </c>
      <c r="G348" s="5">
        <f t="shared" si="20"/>
        <v>959.42725262136253</v>
      </c>
      <c r="H348" s="5">
        <f>I348/('Assumptions and Catalog'!$C$11*'Assumptions and Catalog'!$C$12)</f>
        <v>0</v>
      </c>
      <c r="I348" s="5">
        <f>0</f>
        <v>0</v>
      </c>
      <c r="J348" s="5">
        <f t="shared" si="21"/>
        <v>0</v>
      </c>
      <c r="K348" s="5">
        <f t="shared" si="22"/>
        <v>0</v>
      </c>
      <c r="L348" s="5">
        <f t="shared" si="23"/>
        <v>1542.2727473786376</v>
      </c>
      <c r="M348" s="5">
        <f>IF(ISNUMBER(Inputs!$L$5),(IF(Inputs!$L$9="Actual flat rate",((D348+E348)*C348)*Inputs!$L$10,IF(Inputs!$C$9="Residential",IF(((D348+E348)*C348)&lt;='Assumptions and Catalog'!$C$50,((D348+E348)*C348)*'Assumptions and Catalog'!$H$50+'Assumptions and Catalog'!$E$50+'Assumptions and Catalog'!$F$50,IF(((D348+E348)*C348)&lt;='Assumptions and Catalog'!$C$51,((D348+E348)*C348)*'Assumptions and Catalog'!$H$51+'Assumptions and Catalog'!$E$51+'Assumptions and Catalog'!$F$51,IF(((D348+E348)*C348)&lt;='Assumptions and Catalog'!$C$52,((D348+E348)*C348)*'Assumptions and Catalog'!$H$52+'Assumptions and Catalog'!$E$52+'Assumptions and Catalog'!$F$52,IF(((D348+E348)*C348)&lt;='Assumptions and Catalog'!$C$53,((D348+E348)*C348)*'Assumptions and Catalog'!$H$53+'Assumptions and Catalog'!$E$53+'Assumptions and Catalog'!$F$53,IF(((D348+E348)*C348)&lt;='Assumptions and Catalog'!$C$54,((D348+E348)*C348)*'Assumptions and Catalog'!$H$54+'Assumptions and Catalog'!$E$54+'Assumptions and Catalog'!$F$54,IF(((D348+E348)*C348)&lt;='Assumptions and Catalog'!$C$55,((D348+E348)*C348)*'Assumptions and Catalog'!$H$55+'Assumptions and Catalog'!$E$55+'Assumptions and Catalog'!$F$55,IF(((D348+E348)*C348)&lt;='Assumptions and Catalog'!$C$56,((D348+E348)*C348)*'Assumptions and Catalog'!$H$56+'Assumptions and Catalog'!$E$56+'Assumptions and Catalog'!$F$56,IF(((D348+E348)*C348)&lt;='Assumptions and Catalog'!$C$57,((D348+E348)*C348)*'Assumptions and Catalog'!$H$57+'Assumptions and Catalog'!$E$57+'Assumptions and Catalog'!$F$57,"Out of range")))))))),IF(((D348+E348)*C348)&lt;='Assumptions and Catalog'!$C$60,((D348+E348)*C348)*'Assumptions and Catalog'!$H$60+'Assumptions and Catalog'!$E$60+'Assumptions and Catalog'!$F$60,IF(((D348+E348)*C348)&lt;='Assumptions and Catalog'!$C$61,((D348+E348)*C348)*'Assumptions and Catalog'!$H$61+'Assumptions and Catalog'!$E$61+'Assumptions and Catalog'!$F$61,IF(((D348+E348)*C348)&lt;='Assumptions and Catalog'!$C$62,((D348+E348)*C348)*'Assumptions and Catalog'!$H$62+'Assumptions and Catalog'!$E$62+'Assumptions and Catalog'!$F$62,IF(((D348+E348)*C348)&lt;='Assumptions and Catalog'!$C$63,((D348+E348)*C348)*'Assumptions and Catalog'!$H$63+'Assumptions and Catalog'!$E$63+'Assumptions and Catalog'!$F$63,IF(((D348+E348)*C348)&lt;='Assumptions and Catalog'!$C$64,((D348+E348)*C348)*'Assumptions and Catalog'!$H$64+'Assumptions and Catalog'!$E$64+'Assumptions and Catalog'!$F$64,IF(((D348+E348)*C348)&lt;='Assumptions and Catalog'!$C$65,((D348+E348)*C348)*'Assumptions and Catalog'!$H$65+'Assumptions and Catalog'!$E$65+'Assumptions and Catalog'!$F$65,"Out of range")))))))))*(1+'Assumptions and Catalog'!$C$8)^(A348-1),0)</f>
        <v>8554.9666666666672</v>
      </c>
      <c r="N348" s="5">
        <f>IF(ISNUMBER(Inputs!$L$5),(IF(Inputs!$L$9="Actual flat rate",L348*Inputs!$L$10,IF(Inputs!$C$9="Residential",IF(L348&lt;='Assumptions and Catalog'!$C$50,L348*'Assumptions and Catalog'!$H$50+'Assumptions and Catalog'!$E$50+'Assumptions and Catalog'!$F$50,IF(L348&lt;='Assumptions and Catalog'!$C$51,L348*'Assumptions and Catalog'!$H$51+'Assumptions and Catalog'!$E$51+'Assumptions and Catalog'!$F$51,IF(L348&lt;='Assumptions and Catalog'!$C$52,L348*'Assumptions and Catalog'!$H$52+'Assumptions and Catalog'!$E$52+'Assumptions and Catalog'!$F$52,IF(L348&lt;='Assumptions and Catalog'!$C$53,L348*'Assumptions and Catalog'!$H$53+'Assumptions and Catalog'!$E$53+'Assumptions and Catalog'!$F$53,IF(L348&lt;='Assumptions and Catalog'!$C$54,L348*'Assumptions and Catalog'!$H$54+'Assumptions and Catalog'!$E$54+'Assumptions and Catalog'!$F$54,IF(L348&lt;='Assumptions and Catalog'!$C$55,L348*'Assumptions and Catalog'!$H$55+'Assumptions and Catalog'!$E$55+'Assumptions and Catalog'!$F$55,IF(L348&lt;='Assumptions and Catalog'!$C$56,L348*'Assumptions and Catalog'!$H$56+'Assumptions and Catalog'!$E$56+'Assumptions and Catalog'!$F$56,IF(L348&lt;='Assumptions and Catalog'!$C$57,L348*'Assumptions and Catalog'!$H$57+'Assumptions and Catalog'!$E$57+'Assumptions and Catalog'!$F$57,"Out of range")))))))),IF(L348&lt;='Assumptions and Catalog'!$C$60,L348*'Assumptions and Catalog'!$H$60+'Assumptions and Catalog'!$E$60+'Assumptions and Catalog'!$F$60,IF(L348&lt;='Assumptions and Catalog'!$C$61,L348*'Assumptions and Catalog'!$H$61+'Assumptions and Catalog'!$E$61+'Assumptions and Catalog'!$F$61,IF(L348&lt;='Assumptions and Catalog'!$C$62,L348*'Assumptions and Catalog'!$H$62+'Assumptions and Catalog'!$E$62+'Assumptions and Catalog'!$F$62,IF(L348&lt;='Assumptions and Catalog'!$C$63,L348*'Assumptions and Catalog'!$H$63+'Assumptions and Catalog'!$E$63+'Assumptions and Catalog'!$F$63,IF(L348&lt;='Assumptions and Catalog'!$C$64,L348*'Assumptions and Catalog'!$H$64+'Assumptions and Catalog'!$E$64+'Assumptions and Catalog'!$F$64,IF(L348&lt;='Assumptions and Catalog'!$C$65,L348*'Assumptions and Catalog'!$H$65+'Assumptions and Catalog'!$E$65+'Assumptions and Catalog'!$F$65,"Out of range")))))))))*(1+'Assumptions and Catalog'!$C$8)^(A348-1),0)</f>
        <v>5274.0504236050147</v>
      </c>
      <c r="O348" s="5">
        <f t="shared" si="24"/>
        <v>3280.9162430616525</v>
      </c>
      <c r="P348" s="5">
        <f>C$55*(1-J$14)*(1-'Assumptions and Catalog'!$C$23)^R348</f>
        <v>0</v>
      </c>
      <c r="Q348" s="5">
        <f>IF(ISNUMBER(Inputs!$L$5),(IF(Inputs!$L$9="Actual flat rate",((D348+E348)*C348-G348)*Inputs!$L$10,IF(Inputs!$C$9="Residential",IF(((D348+E348)*C348-G348)&lt;='Assumptions and Catalog'!$C$50,((D348+E348)*C348-G348)*'Assumptions and Catalog'!$H$50+'Assumptions and Catalog'!$E$50+'Assumptions and Catalog'!$F$50,IF(((D348+E348)*C348-G348)&lt;='Assumptions and Catalog'!$C$51,((D348+E348)*C348-G348)*'Assumptions and Catalog'!$H$51+'Assumptions and Catalog'!$E$51+'Assumptions and Catalog'!$F$51,IF(((D348+E348)*C348-G348)&lt;='Assumptions and Catalog'!$C$52,((D348+E348)*C348-G348)*'Assumptions and Catalog'!$H$52+'Assumptions and Catalog'!$E$52+'Assumptions and Catalog'!$F$52,IF(((D348+E348)*C348-G348)&lt;='Assumptions and Catalog'!$C$53,((D348+E348)*C348-G348)*'Assumptions and Catalog'!$H$53+'Assumptions and Catalog'!$E$53+'Assumptions and Catalog'!$F$53,IF(((D348+E348)*C348-G348)&lt;='Assumptions and Catalog'!$C$54,((D348+E348)*C348-G348)*'Assumptions and Catalog'!$H$54+'Assumptions and Catalog'!$E$54+'Assumptions and Catalog'!$F$54,IF(((D348+E348)*C348-G348)&lt;='Assumptions and Catalog'!$C$55,((D348+E348)*C348-G348)*'Assumptions and Catalog'!$H$55+'Assumptions and Catalog'!$E$55+'Assumptions and Catalog'!$F$55,IF(((D348+E348)*C348-G348)&lt;='Assumptions and Catalog'!$C$56,((D348+E348)*C348-G348)*'Assumptions and Catalog'!$H$56+'Assumptions and Catalog'!$E$56+'Assumptions and Catalog'!$F$56,IF(((D348+E348)*C348-G348)&lt;='Assumptions and Catalog'!$C$57,((D348+E348)*C348-G348)*'Assumptions and Catalog'!$H$57+'Assumptions and Catalog'!$E$57+'Assumptions and Catalog'!$F$57,"Out of range")))))))),IF(((D348+E348)*C348-G348)&lt;='Assumptions and Catalog'!$C$60,((D348+E348)*C348-G348)*'Assumptions and Catalog'!$H$60+'Assumptions and Catalog'!$E$60+'Assumptions and Catalog'!$F$60,IF(((D348+E348)*C348-G348)&lt;='Assumptions and Catalog'!$C$61,((D348+E348)*C348-G348)*'Assumptions and Catalog'!$H$61+'Assumptions and Catalog'!$E$61+'Assumptions and Catalog'!$F$61,IF(((D348+E348)*C348-G348)&lt;='Assumptions and Catalog'!$C$62,((D348+E348)*C348-G348)*'Assumptions and Catalog'!$H$62+'Assumptions and Catalog'!$E$62+'Assumptions and Catalog'!$F$62,IF(((D348+E348)*C348-G348)&lt;='Assumptions and Catalog'!$C$63,((D348+E348)*C348-G348)*'Assumptions and Catalog'!$H$63+'Assumptions and Catalog'!$E$63+'Assumptions and Catalog'!$F$63,IF(((D348+E348)*C348-G348)&lt;='Assumptions and Catalog'!$C$64,((D348+E348)*C348-G348)*'Assumptions and Catalog'!$H$64+'Assumptions and Catalog'!$E$64+'Assumptions and Catalog'!$F$64,IF(((D348+E348)*C348-G348)&lt;='Assumptions and Catalog'!$C$65,((D348+E348)*C348-G348)*'Assumptions and Catalog'!$H$65+'Assumptions and Catalog'!$E$65+'Assumptions and Catalog'!$F$65,"Out of range")))))))))*(1+'Assumptions and Catalog'!$C$8)^(A348-1),0)</f>
        <v>5274.0504236050147</v>
      </c>
      <c r="R348" s="5">
        <f>IF(AND('Assumptions and Catalog'!$C$19&gt;0,A348&gt;='Assumptions and Catalog'!$C$19),A348-'Assumptions and Catalog'!$C$19,A348-1)</f>
        <v>5</v>
      </c>
      <c r="S348" s="5">
        <f t="shared" si="25"/>
        <v>0</v>
      </c>
      <c r="T348" s="5"/>
      <c r="U348" s="5"/>
    </row>
    <row r="349" spans="1:21" ht="23.1" customHeight="1" outlineLevel="1" x14ac:dyDescent="0.2">
      <c r="A349" s="5">
        <v>16</v>
      </c>
      <c r="B349" s="5">
        <v>9</v>
      </c>
      <c r="C349" s="5">
        <f>DAY(DATE('Assumptions and Catalog'!$C$24+A349-1,B349+1,0))</f>
        <v>30</v>
      </c>
      <c r="D349" s="5">
        <f>IF(ISNUMBER(Inputs!$L$5),Inputs!$L$5*Inputs!$L$6,0)</f>
        <v>40.35</v>
      </c>
      <c r="E349" s="5">
        <f>IF(ISNUMBER(Inputs!$L$5),Inputs!$L$5-D349,0)</f>
        <v>40.35</v>
      </c>
      <c r="F349" s="5">
        <f>C$51*'Assumptions and Catalog'!$C$31*C349*(1-'Assumptions and Catalog'!$C$10)^(A349-1)</f>
        <v>928.47798640777023</v>
      </c>
      <c r="G349" s="5">
        <f t="shared" si="20"/>
        <v>928.47798640777023</v>
      </c>
      <c r="H349" s="5">
        <f>I349/('Assumptions and Catalog'!$C$11*'Assumptions and Catalog'!$C$12)</f>
        <v>0</v>
      </c>
      <c r="I349" s="5">
        <f>0</f>
        <v>0</v>
      </c>
      <c r="J349" s="5">
        <f t="shared" si="21"/>
        <v>0</v>
      </c>
      <c r="K349" s="5">
        <f t="shared" si="22"/>
        <v>0</v>
      </c>
      <c r="L349" s="5">
        <f t="shared" si="23"/>
        <v>1492.5220135922298</v>
      </c>
      <c r="M349" s="5">
        <f>IF(ISNUMBER(Inputs!$L$5),(IF(Inputs!$L$9="Actual flat rate",((D349+E349)*C349)*Inputs!$L$10,IF(Inputs!$C$9="Residential",IF(((D349+E349)*C349)&lt;='Assumptions and Catalog'!$C$50,((D349+E349)*C349)*'Assumptions and Catalog'!$H$50+'Assumptions and Catalog'!$E$50+'Assumptions and Catalog'!$F$50,IF(((D349+E349)*C349)&lt;='Assumptions and Catalog'!$C$51,((D349+E349)*C349)*'Assumptions and Catalog'!$H$51+'Assumptions and Catalog'!$E$51+'Assumptions and Catalog'!$F$51,IF(((D349+E349)*C349)&lt;='Assumptions and Catalog'!$C$52,((D349+E349)*C349)*'Assumptions and Catalog'!$H$52+'Assumptions and Catalog'!$E$52+'Assumptions and Catalog'!$F$52,IF(((D349+E349)*C349)&lt;='Assumptions and Catalog'!$C$53,((D349+E349)*C349)*'Assumptions and Catalog'!$H$53+'Assumptions and Catalog'!$E$53+'Assumptions and Catalog'!$F$53,IF(((D349+E349)*C349)&lt;='Assumptions and Catalog'!$C$54,((D349+E349)*C349)*'Assumptions and Catalog'!$H$54+'Assumptions and Catalog'!$E$54+'Assumptions and Catalog'!$F$54,IF(((D349+E349)*C349)&lt;='Assumptions and Catalog'!$C$55,((D349+E349)*C349)*'Assumptions and Catalog'!$H$55+'Assumptions and Catalog'!$E$55+'Assumptions and Catalog'!$F$55,IF(((D349+E349)*C349)&lt;='Assumptions and Catalog'!$C$56,((D349+E349)*C349)*'Assumptions and Catalog'!$H$56+'Assumptions and Catalog'!$E$56+'Assumptions and Catalog'!$F$56,IF(((D349+E349)*C349)&lt;='Assumptions and Catalog'!$C$57,((D349+E349)*C349)*'Assumptions and Catalog'!$H$57+'Assumptions and Catalog'!$E$57+'Assumptions and Catalog'!$F$57,"Out of range")))))))),IF(((D349+E349)*C349)&lt;='Assumptions and Catalog'!$C$60,((D349+E349)*C349)*'Assumptions and Catalog'!$H$60+'Assumptions and Catalog'!$E$60+'Assumptions and Catalog'!$F$60,IF(((D349+E349)*C349)&lt;='Assumptions and Catalog'!$C$61,((D349+E349)*C349)*'Assumptions and Catalog'!$H$61+'Assumptions and Catalog'!$E$61+'Assumptions and Catalog'!$F$61,IF(((D349+E349)*C349)&lt;='Assumptions and Catalog'!$C$62,((D349+E349)*C349)*'Assumptions and Catalog'!$H$62+'Assumptions and Catalog'!$E$62+'Assumptions and Catalog'!$F$62,IF(((D349+E349)*C349)&lt;='Assumptions and Catalog'!$C$63,((D349+E349)*C349)*'Assumptions and Catalog'!$H$63+'Assumptions and Catalog'!$E$63+'Assumptions and Catalog'!$F$63,IF(((D349+E349)*C349)&lt;='Assumptions and Catalog'!$C$64,((D349+E349)*C349)*'Assumptions and Catalog'!$H$64+'Assumptions and Catalog'!$E$64+'Assumptions and Catalog'!$F$64,IF(((D349+E349)*C349)&lt;='Assumptions and Catalog'!$C$65,((D349+E349)*C349)*'Assumptions and Catalog'!$H$65+'Assumptions and Catalog'!$E$65+'Assumptions and Catalog'!$F$65,"Out of range")))))))))*(1+'Assumptions and Catalog'!$C$8)^(A349-1),0)</f>
        <v>8279</v>
      </c>
      <c r="N349" s="5">
        <f>IF(ISNUMBER(Inputs!$L$5),(IF(Inputs!$L$9="Actual flat rate",L349*Inputs!$L$10,IF(Inputs!$C$9="Residential",IF(L349&lt;='Assumptions and Catalog'!$C$50,L349*'Assumptions and Catalog'!$H$50+'Assumptions and Catalog'!$E$50+'Assumptions and Catalog'!$F$50,IF(L349&lt;='Assumptions and Catalog'!$C$51,L349*'Assumptions and Catalog'!$H$51+'Assumptions and Catalog'!$E$51+'Assumptions and Catalog'!$F$51,IF(L349&lt;='Assumptions and Catalog'!$C$52,L349*'Assumptions and Catalog'!$H$52+'Assumptions and Catalog'!$E$52+'Assumptions and Catalog'!$F$52,IF(L349&lt;='Assumptions and Catalog'!$C$53,L349*'Assumptions and Catalog'!$H$53+'Assumptions and Catalog'!$E$53+'Assumptions and Catalog'!$F$53,IF(L349&lt;='Assumptions and Catalog'!$C$54,L349*'Assumptions and Catalog'!$H$54+'Assumptions and Catalog'!$E$54+'Assumptions and Catalog'!$F$54,IF(L349&lt;='Assumptions and Catalog'!$C$55,L349*'Assumptions and Catalog'!$H$55+'Assumptions and Catalog'!$E$55+'Assumptions and Catalog'!$F$55,IF(L349&lt;='Assumptions and Catalog'!$C$56,L349*'Assumptions and Catalog'!$H$56+'Assumptions and Catalog'!$E$56+'Assumptions and Catalog'!$F$56,IF(L349&lt;='Assumptions and Catalog'!$C$57,L349*'Assumptions and Catalog'!$H$57+'Assumptions and Catalog'!$E$57+'Assumptions and Catalog'!$F$57,"Out of range")))))))),IF(L349&lt;='Assumptions and Catalog'!$C$60,L349*'Assumptions and Catalog'!$H$60+'Assumptions and Catalog'!$E$60+'Assumptions and Catalog'!$F$60,IF(L349&lt;='Assumptions and Catalog'!$C$61,L349*'Assumptions and Catalog'!$H$61+'Assumptions and Catalog'!$E$61+'Assumptions and Catalog'!$F$61,IF(L349&lt;='Assumptions and Catalog'!$C$62,L349*'Assumptions and Catalog'!$H$62+'Assumptions and Catalog'!$E$62+'Assumptions and Catalog'!$F$62,IF(L349&lt;='Assumptions and Catalog'!$C$63,L349*'Assumptions and Catalog'!$H$63+'Assumptions and Catalog'!$E$63+'Assumptions and Catalog'!$F$63,IF(L349&lt;='Assumptions and Catalog'!$C$64,L349*'Assumptions and Catalog'!$H$64+'Assumptions and Catalog'!$E$64+'Assumptions and Catalog'!$F$64,IF(L349&lt;='Assumptions and Catalog'!$C$65,L349*'Assumptions and Catalog'!$H$65+'Assumptions and Catalog'!$E$65+'Assumptions and Catalog'!$F$65,"Out of range")))))))))*(1+'Assumptions and Catalog'!$C$8)^(A349-1),0)</f>
        <v>5103.9197647790461</v>
      </c>
      <c r="O349" s="5">
        <f t="shared" si="24"/>
        <v>3175.0802352209539</v>
      </c>
      <c r="P349" s="5">
        <f>C$55*(1-J$14)*(1-'Assumptions and Catalog'!$C$23)^R349</f>
        <v>0</v>
      </c>
      <c r="Q349" s="5">
        <f>IF(ISNUMBER(Inputs!$L$5),(IF(Inputs!$L$9="Actual flat rate",((D349+E349)*C349-G349)*Inputs!$L$10,IF(Inputs!$C$9="Residential",IF(((D349+E349)*C349-G349)&lt;='Assumptions and Catalog'!$C$50,((D349+E349)*C349-G349)*'Assumptions and Catalog'!$H$50+'Assumptions and Catalog'!$E$50+'Assumptions and Catalog'!$F$50,IF(((D349+E349)*C349-G349)&lt;='Assumptions and Catalog'!$C$51,((D349+E349)*C349-G349)*'Assumptions and Catalog'!$H$51+'Assumptions and Catalog'!$E$51+'Assumptions and Catalog'!$F$51,IF(((D349+E349)*C349-G349)&lt;='Assumptions and Catalog'!$C$52,((D349+E349)*C349-G349)*'Assumptions and Catalog'!$H$52+'Assumptions and Catalog'!$E$52+'Assumptions and Catalog'!$F$52,IF(((D349+E349)*C349-G349)&lt;='Assumptions and Catalog'!$C$53,((D349+E349)*C349-G349)*'Assumptions and Catalog'!$H$53+'Assumptions and Catalog'!$E$53+'Assumptions and Catalog'!$F$53,IF(((D349+E349)*C349-G349)&lt;='Assumptions and Catalog'!$C$54,((D349+E349)*C349-G349)*'Assumptions and Catalog'!$H$54+'Assumptions and Catalog'!$E$54+'Assumptions and Catalog'!$F$54,IF(((D349+E349)*C349-G349)&lt;='Assumptions and Catalog'!$C$55,((D349+E349)*C349-G349)*'Assumptions and Catalog'!$H$55+'Assumptions and Catalog'!$E$55+'Assumptions and Catalog'!$F$55,IF(((D349+E349)*C349-G349)&lt;='Assumptions and Catalog'!$C$56,((D349+E349)*C349-G349)*'Assumptions and Catalog'!$H$56+'Assumptions and Catalog'!$E$56+'Assumptions and Catalog'!$F$56,IF(((D349+E349)*C349-G349)&lt;='Assumptions and Catalog'!$C$57,((D349+E349)*C349-G349)*'Assumptions and Catalog'!$H$57+'Assumptions and Catalog'!$E$57+'Assumptions and Catalog'!$F$57,"Out of range")))))))),IF(((D349+E349)*C349-G349)&lt;='Assumptions and Catalog'!$C$60,((D349+E349)*C349-G349)*'Assumptions and Catalog'!$H$60+'Assumptions and Catalog'!$E$60+'Assumptions and Catalog'!$F$60,IF(((D349+E349)*C349-G349)&lt;='Assumptions and Catalog'!$C$61,((D349+E349)*C349-G349)*'Assumptions and Catalog'!$H$61+'Assumptions and Catalog'!$E$61+'Assumptions and Catalog'!$F$61,IF(((D349+E349)*C349-G349)&lt;='Assumptions and Catalog'!$C$62,((D349+E349)*C349-G349)*'Assumptions and Catalog'!$H$62+'Assumptions and Catalog'!$E$62+'Assumptions and Catalog'!$F$62,IF(((D349+E349)*C349-G349)&lt;='Assumptions and Catalog'!$C$63,((D349+E349)*C349-G349)*'Assumptions and Catalog'!$H$63+'Assumptions and Catalog'!$E$63+'Assumptions and Catalog'!$F$63,IF(((D349+E349)*C349-G349)&lt;='Assumptions and Catalog'!$C$64,((D349+E349)*C349-G349)*'Assumptions and Catalog'!$H$64+'Assumptions and Catalog'!$E$64+'Assumptions and Catalog'!$F$64,IF(((D349+E349)*C349-G349)&lt;='Assumptions and Catalog'!$C$65,((D349+E349)*C349-G349)*'Assumptions and Catalog'!$H$65+'Assumptions and Catalog'!$E$65+'Assumptions and Catalog'!$F$65,"Out of range")))))))))*(1+'Assumptions and Catalog'!$C$8)^(A349-1),0)</f>
        <v>5103.9197647790461</v>
      </c>
      <c r="R349" s="5">
        <f>IF(AND('Assumptions and Catalog'!$C$19&gt;0,A349&gt;='Assumptions and Catalog'!$C$19),A349-'Assumptions and Catalog'!$C$19,A349-1)</f>
        <v>5</v>
      </c>
      <c r="S349" s="5">
        <f t="shared" si="25"/>
        <v>0</v>
      </c>
      <c r="T349" s="5"/>
      <c r="U349" s="5"/>
    </row>
    <row r="350" spans="1:21" ht="23.1" customHeight="1" outlineLevel="1" x14ac:dyDescent="0.2">
      <c r="A350" s="5">
        <v>16</v>
      </c>
      <c r="B350" s="5">
        <v>10</v>
      </c>
      <c r="C350" s="5">
        <f>DAY(DATE('Assumptions and Catalog'!$C$24+A350-1,B350+1,0))</f>
        <v>31</v>
      </c>
      <c r="D350" s="5">
        <f>IF(ISNUMBER(Inputs!$L$5),Inputs!$L$5*Inputs!$L$6,0)</f>
        <v>40.35</v>
      </c>
      <c r="E350" s="5">
        <f>IF(ISNUMBER(Inputs!$L$5),Inputs!$L$5-D350,0)</f>
        <v>40.35</v>
      </c>
      <c r="F350" s="5">
        <f>C$51*'Assumptions and Catalog'!$C$31*C350*(1-'Assumptions and Catalog'!$C$10)^(A350-1)</f>
        <v>959.42725262136253</v>
      </c>
      <c r="G350" s="5">
        <f t="shared" si="20"/>
        <v>959.42725262136253</v>
      </c>
      <c r="H350" s="5">
        <f>I350/('Assumptions and Catalog'!$C$11*'Assumptions and Catalog'!$C$12)</f>
        <v>0</v>
      </c>
      <c r="I350" s="5">
        <f>0</f>
        <v>0</v>
      </c>
      <c r="J350" s="5">
        <f t="shared" si="21"/>
        <v>0</v>
      </c>
      <c r="K350" s="5">
        <f t="shared" si="22"/>
        <v>0</v>
      </c>
      <c r="L350" s="5">
        <f t="shared" si="23"/>
        <v>1542.2727473786376</v>
      </c>
      <c r="M350" s="5">
        <f>IF(ISNUMBER(Inputs!$L$5),(IF(Inputs!$L$9="Actual flat rate",((D350+E350)*C350)*Inputs!$L$10,IF(Inputs!$C$9="Residential",IF(((D350+E350)*C350)&lt;='Assumptions and Catalog'!$C$50,((D350+E350)*C350)*'Assumptions and Catalog'!$H$50+'Assumptions and Catalog'!$E$50+'Assumptions and Catalog'!$F$50,IF(((D350+E350)*C350)&lt;='Assumptions and Catalog'!$C$51,((D350+E350)*C350)*'Assumptions and Catalog'!$H$51+'Assumptions and Catalog'!$E$51+'Assumptions and Catalog'!$F$51,IF(((D350+E350)*C350)&lt;='Assumptions and Catalog'!$C$52,((D350+E350)*C350)*'Assumptions and Catalog'!$H$52+'Assumptions and Catalog'!$E$52+'Assumptions and Catalog'!$F$52,IF(((D350+E350)*C350)&lt;='Assumptions and Catalog'!$C$53,((D350+E350)*C350)*'Assumptions and Catalog'!$H$53+'Assumptions and Catalog'!$E$53+'Assumptions and Catalog'!$F$53,IF(((D350+E350)*C350)&lt;='Assumptions and Catalog'!$C$54,((D350+E350)*C350)*'Assumptions and Catalog'!$H$54+'Assumptions and Catalog'!$E$54+'Assumptions and Catalog'!$F$54,IF(((D350+E350)*C350)&lt;='Assumptions and Catalog'!$C$55,((D350+E350)*C350)*'Assumptions and Catalog'!$H$55+'Assumptions and Catalog'!$E$55+'Assumptions and Catalog'!$F$55,IF(((D350+E350)*C350)&lt;='Assumptions and Catalog'!$C$56,((D350+E350)*C350)*'Assumptions and Catalog'!$H$56+'Assumptions and Catalog'!$E$56+'Assumptions and Catalog'!$F$56,IF(((D350+E350)*C350)&lt;='Assumptions and Catalog'!$C$57,((D350+E350)*C350)*'Assumptions and Catalog'!$H$57+'Assumptions and Catalog'!$E$57+'Assumptions and Catalog'!$F$57,"Out of range")))))))),IF(((D350+E350)*C350)&lt;='Assumptions and Catalog'!$C$60,((D350+E350)*C350)*'Assumptions and Catalog'!$H$60+'Assumptions and Catalog'!$E$60+'Assumptions and Catalog'!$F$60,IF(((D350+E350)*C350)&lt;='Assumptions and Catalog'!$C$61,((D350+E350)*C350)*'Assumptions and Catalog'!$H$61+'Assumptions and Catalog'!$E$61+'Assumptions and Catalog'!$F$61,IF(((D350+E350)*C350)&lt;='Assumptions and Catalog'!$C$62,((D350+E350)*C350)*'Assumptions and Catalog'!$H$62+'Assumptions and Catalog'!$E$62+'Assumptions and Catalog'!$F$62,IF(((D350+E350)*C350)&lt;='Assumptions and Catalog'!$C$63,((D350+E350)*C350)*'Assumptions and Catalog'!$H$63+'Assumptions and Catalog'!$E$63+'Assumptions and Catalog'!$F$63,IF(((D350+E350)*C350)&lt;='Assumptions and Catalog'!$C$64,((D350+E350)*C350)*'Assumptions and Catalog'!$H$64+'Assumptions and Catalog'!$E$64+'Assumptions and Catalog'!$F$64,IF(((D350+E350)*C350)&lt;='Assumptions and Catalog'!$C$65,((D350+E350)*C350)*'Assumptions and Catalog'!$H$65+'Assumptions and Catalog'!$E$65+'Assumptions and Catalog'!$F$65,"Out of range")))))))))*(1+'Assumptions and Catalog'!$C$8)^(A350-1),0)</f>
        <v>8554.9666666666672</v>
      </c>
      <c r="N350" s="5">
        <f>IF(ISNUMBER(Inputs!$L$5),(IF(Inputs!$L$9="Actual flat rate",L350*Inputs!$L$10,IF(Inputs!$C$9="Residential",IF(L350&lt;='Assumptions and Catalog'!$C$50,L350*'Assumptions and Catalog'!$H$50+'Assumptions and Catalog'!$E$50+'Assumptions and Catalog'!$F$50,IF(L350&lt;='Assumptions and Catalog'!$C$51,L350*'Assumptions and Catalog'!$H$51+'Assumptions and Catalog'!$E$51+'Assumptions and Catalog'!$F$51,IF(L350&lt;='Assumptions and Catalog'!$C$52,L350*'Assumptions and Catalog'!$H$52+'Assumptions and Catalog'!$E$52+'Assumptions and Catalog'!$F$52,IF(L350&lt;='Assumptions and Catalog'!$C$53,L350*'Assumptions and Catalog'!$H$53+'Assumptions and Catalog'!$E$53+'Assumptions and Catalog'!$F$53,IF(L350&lt;='Assumptions and Catalog'!$C$54,L350*'Assumptions and Catalog'!$H$54+'Assumptions and Catalog'!$E$54+'Assumptions and Catalog'!$F$54,IF(L350&lt;='Assumptions and Catalog'!$C$55,L350*'Assumptions and Catalog'!$H$55+'Assumptions and Catalog'!$E$55+'Assumptions and Catalog'!$F$55,IF(L350&lt;='Assumptions and Catalog'!$C$56,L350*'Assumptions and Catalog'!$H$56+'Assumptions and Catalog'!$E$56+'Assumptions and Catalog'!$F$56,IF(L350&lt;='Assumptions and Catalog'!$C$57,L350*'Assumptions and Catalog'!$H$57+'Assumptions and Catalog'!$E$57+'Assumptions and Catalog'!$F$57,"Out of range")))))))),IF(L350&lt;='Assumptions and Catalog'!$C$60,L350*'Assumptions and Catalog'!$H$60+'Assumptions and Catalog'!$E$60+'Assumptions and Catalog'!$F$60,IF(L350&lt;='Assumptions and Catalog'!$C$61,L350*'Assumptions and Catalog'!$H$61+'Assumptions and Catalog'!$E$61+'Assumptions and Catalog'!$F$61,IF(L350&lt;='Assumptions and Catalog'!$C$62,L350*'Assumptions and Catalog'!$H$62+'Assumptions and Catalog'!$E$62+'Assumptions and Catalog'!$F$62,IF(L350&lt;='Assumptions and Catalog'!$C$63,L350*'Assumptions and Catalog'!$H$63+'Assumptions and Catalog'!$E$63+'Assumptions and Catalog'!$F$63,IF(L350&lt;='Assumptions and Catalog'!$C$64,L350*'Assumptions and Catalog'!$H$64+'Assumptions and Catalog'!$E$64+'Assumptions and Catalog'!$F$64,IF(L350&lt;='Assumptions and Catalog'!$C$65,L350*'Assumptions and Catalog'!$H$65+'Assumptions and Catalog'!$E$65+'Assumptions and Catalog'!$F$65,"Out of range")))))))))*(1+'Assumptions and Catalog'!$C$8)^(A350-1),0)</f>
        <v>5274.0504236050147</v>
      </c>
      <c r="O350" s="5">
        <f t="shared" si="24"/>
        <v>3280.9162430616525</v>
      </c>
      <c r="P350" s="5">
        <f>C$55*(1-J$14)*(1-'Assumptions and Catalog'!$C$23)^R350</f>
        <v>0</v>
      </c>
      <c r="Q350" s="5">
        <f>IF(ISNUMBER(Inputs!$L$5),(IF(Inputs!$L$9="Actual flat rate",((D350+E350)*C350-G350)*Inputs!$L$10,IF(Inputs!$C$9="Residential",IF(((D350+E350)*C350-G350)&lt;='Assumptions and Catalog'!$C$50,((D350+E350)*C350-G350)*'Assumptions and Catalog'!$H$50+'Assumptions and Catalog'!$E$50+'Assumptions and Catalog'!$F$50,IF(((D350+E350)*C350-G350)&lt;='Assumptions and Catalog'!$C$51,((D350+E350)*C350-G350)*'Assumptions and Catalog'!$H$51+'Assumptions and Catalog'!$E$51+'Assumptions and Catalog'!$F$51,IF(((D350+E350)*C350-G350)&lt;='Assumptions and Catalog'!$C$52,((D350+E350)*C350-G350)*'Assumptions and Catalog'!$H$52+'Assumptions and Catalog'!$E$52+'Assumptions and Catalog'!$F$52,IF(((D350+E350)*C350-G350)&lt;='Assumptions and Catalog'!$C$53,((D350+E350)*C350-G350)*'Assumptions and Catalog'!$H$53+'Assumptions and Catalog'!$E$53+'Assumptions and Catalog'!$F$53,IF(((D350+E350)*C350-G350)&lt;='Assumptions and Catalog'!$C$54,((D350+E350)*C350-G350)*'Assumptions and Catalog'!$H$54+'Assumptions and Catalog'!$E$54+'Assumptions and Catalog'!$F$54,IF(((D350+E350)*C350-G350)&lt;='Assumptions and Catalog'!$C$55,((D350+E350)*C350-G350)*'Assumptions and Catalog'!$H$55+'Assumptions and Catalog'!$E$55+'Assumptions and Catalog'!$F$55,IF(((D350+E350)*C350-G350)&lt;='Assumptions and Catalog'!$C$56,((D350+E350)*C350-G350)*'Assumptions and Catalog'!$H$56+'Assumptions and Catalog'!$E$56+'Assumptions and Catalog'!$F$56,IF(((D350+E350)*C350-G350)&lt;='Assumptions and Catalog'!$C$57,((D350+E350)*C350-G350)*'Assumptions and Catalog'!$H$57+'Assumptions and Catalog'!$E$57+'Assumptions and Catalog'!$F$57,"Out of range")))))))),IF(((D350+E350)*C350-G350)&lt;='Assumptions and Catalog'!$C$60,((D350+E350)*C350-G350)*'Assumptions and Catalog'!$H$60+'Assumptions and Catalog'!$E$60+'Assumptions and Catalog'!$F$60,IF(((D350+E350)*C350-G350)&lt;='Assumptions and Catalog'!$C$61,((D350+E350)*C350-G350)*'Assumptions and Catalog'!$H$61+'Assumptions and Catalog'!$E$61+'Assumptions and Catalog'!$F$61,IF(((D350+E350)*C350-G350)&lt;='Assumptions and Catalog'!$C$62,((D350+E350)*C350-G350)*'Assumptions and Catalog'!$H$62+'Assumptions and Catalog'!$E$62+'Assumptions and Catalog'!$F$62,IF(((D350+E350)*C350-G350)&lt;='Assumptions and Catalog'!$C$63,((D350+E350)*C350-G350)*'Assumptions and Catalog'!$H$63+'Assumptions and Catalog'!$E$63+'Assumptions and Catalog'!$F$63,IF(((D350+E350)*C350-G350)&lt;='Assumptions and Catalog'!$C$64,((D350+E350)*C350-G350)*'Assumptions and Catalog'!$H$64+'Assumptions and Catalog'!$E$64+'Assumptions and Catalog'!$F$64,IF(((D350+E350)*C350-G350)&lt;='Assumptions and Catalog'!$C$65,((D350+E350)*C350-G350)*'Assumptions and Catalog'!$H$65+'Assumptions and Catalog'!$E$65+'Assumptions and Catalog'!$F$65,"Out of range")))))))))*(1+'Assumptions and Catalog'!$C$8)^(A350-1),0)</f>
        <v>5274.0504236050147</v>
      </c>
      <c r="R350" s="5">
        <f>IF(AND('Assumptions and Catalog'!$C$19&gt;0,A350&gt;='Assumptions and Catalog'!$C$19),A350-'Assumptions and Catalog'!$C$19,A350-1)</f>
        <v>5</v>
      </c>
      <c r="S350" s="5">
        <f t="shared" si="25"/>
        <v>0</v>
      </c>
      <c r="T350" s="5"/>
      <c r="U350" s="5"/>
    </row>
    <row r="351" spans="1:21" ht="23.1" customHeight="1" outlineLevel="1" x14ac:dyDescent="0.2">
      <c r="A351" s="5">
        <v>16</v>
      </c>
      <c r="B351" s="5">
        <v>11</v>
      </c>
      <c r="C351" s="5">
        <f>DAY(DATE('Assumptions and Catalog'!$C$24+A351-1,B351+1,0))</f>
        <v>30</v>
      </c>
      <c r="D351" s="5">
        <f>IF(ISNUMBER(Inputs!$L$5),Inputs!$L$5*Inputs!$L$6,0)</f>
        <v>40.35</v>
      </c>
      <c r="E351" s="5">
        <f>IF(ISNUMBER(Inputs!$L$5),Inputs!$L$5-D351,0)</f>
        <v>40.35</v>
      </c>
      <c r="F351" s="5">
        <f>C$51*'Assumptions and Catalog'!$C$31*C351*(1-'Assumptions and Catalog'!$C$10)^(A351-1)</f>
        <v>928.47798640777023</v>
      </c>
      <c r="G351" s="5">
        <f t="shared" si="20"/>
        <v>928.47798640777023</v>
      </c>
      <c r="H351" s="5">
        <f>I351/('Assumptions and Catalog'!$C$11*'Assumptions and Catalog'!$C$12)</f>
        <v>0</v>
      </c>
      <c r="I351" s="5">
        <f>0</f>
        <v>0</v>
      </c>
      <c r="J351" s="5">
        <f t="shared" si="21"/>
        <v>0</v>
      </c>
      <c r="K351" s="5">
        <f t="shared" si="22"/>
        <v>0</v>
      </c>
      <c r="L351" s="5">
        <f t="shared" si="23"/>
        <v>1492.5220135922298</v>
      </c>
      <c r="M351" s="5">
        <f>IF(ISNUMBER(Inputs!$L$5),(IF(Inputs!$L$9="Actual flat rate",((D351+E351)*C351)*Inputs!$L$10,IF(Inputs!$C$9="Residential",IF(((D351+E351)*C351)&lt;='Assumptions and Catalog'!$C$50,((D351+E351)*C351)*'Assumptions and Catalog'!$H$50+'Assumptions and Catalog'!$E$50+'Assumptions and Catalog'!$F$50,IF(((D351+E351)*C351)&lt;='Assumptions and Catalog'!$C$51,((D351+E351)*C351)*'Assumptions and Catalog'!$H$51+'Assumptions and Catalog'!$E$51+'Assumptions and Catalog'!$F$51,IF(((D351+E351)*C351)&lt;='Assumptions and Catalog'!$C$52,((D351+E351)*C351)*'Assumptions and Catalog'!$H$52+'Assumptions and Catalog'!$E$52+'Assumptions and Catalog'!$F$52,IF(((D351+E351)*C351)&lt;='Assumptions and Catalog'!$C$53,((D351+E351)*C351)*'Assumptions and Catalog'!$H$53+'Assumptions and Catalog'!$E$53+'Assumptions and Catalog'!$F$53,IF(((D351+E351)*C351)&lt;='Assumptions and Catalog'!$C$54,((D351+E351)*C351)*'Assumptions and Catalog'!$H$54+'Assumptions and Catalog'!$E$54+'Assumptions and Catalog'!$F$54,IF(((D351+E351)*C351)&lt;='Assumptions and Catalog'!$C$55,((D351+E351)*C351)*'Assumptions and Catalog'!$H$55+'Assumptions and Catalog'!$E$55+'Assumptions and Catalog'!$F$55,IF(((D351+E351)*C351)&lt;='Assumptions and Catalog'!$C$56,((D351+E351)*C351)*'Assumptions and Catalog'!$H$56+'Assumptions and Catalog'!$E$56+'Assumptions and Catalog'!$F$56,IF(((D351+E351)*C351)&lt;='Assumptions and Catalog'!$C$57,((D351+E351)*C351)*'Assumptions and Catalog'!$H$57+'Assumptions and Catalog'!$E$57+'Assumptions and Catalog'!$F$57,"Out of range")))))))),IF(((D351+E351)*C351)&lt;='Assumptions and Catalog'!$C$60,((D351+E351)*C351)*'Assumptions and Catalog'!$H$60+'Assumptions and Catalog'!$E$60+'Assumptions and Catalog'!$F$60,IF(((D351+E351)*C351)&lt;='Assumptions and Catalog'!$C$61,((D351+E351)*C351)*'Assumptions and Catalog'!$H$61+'Assumptions and Catalog'!$E$61+'Assumptions and Catalog'!$F$61,IF(((D351+E351)*C351)&lt;='Assumptions and Catalog'!$C$62,((D351+E351)*C351)*'Assumptions and Catalog'!$H$62+'Assumptions and Catalog'!$E$62+'Assumptions and Catalog'!$F$62,IF(((D351+E351)*C351)&lt;='Assumptions and Catalog'!$C$63,((D351+E351)*C351)*'Assumptions and Catalog'!$H$63+'Assumptions and Catalog'!$E$63+'Assumptions and Catalog'!$F$63,IF(((D351+E351)*C351)&lt;='Assumptions and Catalog'!$C$64,((D351+E351)*C351)*'Assumptions and Catalog'!$H$64+'Assumptions and Catalog'!$E$64+'Assumptions and Catalog'!$F$64,IF(((D351+E351)*C351)&lt;='Assumptions and Catalog'!$C$65,((D351+E351)*C351)*'Assumptions and Catalog'!$H$65+'Assumptions and Catalog'!$E$65+'Assumptions and Catalog'!$F$65,"Out of range")))))))))*(1+'Assumptions and Catalog'!$C$8)^(A351-1),0)</f>
        <v>8279</v>
      </c>
      <c r="N351" s="5">
        <f>IF(ISNUMBER(Inputs!$L$5),(IF(Inputs!$L$9="Actual flat rate",L351*Inputs!$L$10,IF(Inputs!$C$9="Residential",IF(L351&lt;='Assumptions and Catalog'!$C$50,L351*'Assumptions and Catalog'!$H$50+'Assumptions and Catalog'!$E$50+'Assumptions and Catalog'!$F$50,IF(L351&lt;='Assumptions and Catalog'!$C$51,L351*'Assumptions and Catalog'!$H$51+'Assumptions and Catalog'!$E$51+'Assumptions and Catalog'!$F$51,IF(L351&lt;='Assumptions and Catalog'!$C$52,L351*'Assumptions and Catalog'!$H$52+'Assumptions and Catalog'!$E$52+'Assumptions and Catalog'!$F$52,IF(L351&lt;='Assumptions and Catalog'!$C$53,L351*'Assumptions and Catalog'!$H$53+'Assumptions and Catalog'!$E$53+'Assumptions and Catalog'!$F$53,IF(L351&lt;='Assumptions and Catalog'!$C$54,L351*'Assumptions and Catalog'!$H$54+'Assumptions and Catalog'!$E$54+'Assumptions and Catalog'!$F$54,IF(L351&lt;='Assumptions and Catalog'!$C$55,L351*'Assumptions and Catalog'!$H$55+'Assumptions and Catalog'!$E$55+'Assumptions and Catalog'!$F$55,IF(L351&lt;='Assumptions and Catalog'!$C$56,L351*'Assumptions and Catalog'!$H$56+'Assumptions and Catalog'!$E$56+'Assumptions and Catalog'!$F$56,IF(L351&lt;='Assumptions and Catalog'!$C$57,L351*'Assumptions and Catalog'!$H$57+'Assumptions and Catalog'!$E$57+'Assumptions and Catalog'!$F$57,"Out of range")))))))),IF(L351&lt;='Assumptions and Catalog'!$C$60,L351*'Assumptions and Catalog'!$H$60+'Assumptions and Catalog'!$E$60+'Assumptions and Catalog'!$F$60,IF(L351&lt;='Assumptions and Catalog'!$C$61,L351*'Assumptions and Catalog'!$H$61+'Assumptions and Catalog'!$E$61+'Assumptions and Catalog'!$F$61,IF(L351&lt;='Assumptions and Catalog'!$C$62,L351*'Assumptions and Catalog'!$H$62+'Assumptions and Catalog'!$E$62+'Assumptions and Catalog'!$F$62,IF(L351&lt;='Assumptions and Catalog'!$C$63,L351*'Assumptions and Catalog'!$H$63+'Assumptions and Catalog'!$E$63+'Assumptions and Catalog'!$F$63,IF(L351&lt;='Assumptions and Catalog'!$C$64,L351*'Assumptions and Catalog'!$H$64+'Assumptions and Catalog'!$E$64+'Assumptions and Catalog'!$F$64,IF(L351&lt;='Assumptions and Catalog'!$C$65,L351*'Assumptions and Catalog'!$H$65+'Assumptions and Catalog'!$E$65+'Assumptions and Catalog'!$F$65,"Out of range")))))))))*(1+'Assumptions and Catalog'!$C$8)^(A351-1),0)</f>
        <v>5103.9197647790461</v>
      </c>
      <c r="O351" s="5">
        <f t="shared" si="24"/>
        <v>3175.0802352209539</v>
      </c>
      <c r="P351" s="5">
        <f>C$55*(1-J$14)*(1-'Assumptions and Catalog'!$C$23)^R351</f>
        <v>0</v>
      </c>
      <c r="Q351" s="5">
        <f>IF(ISNUMBER(Inputs!$L$5),(IF(Inputs!$L$9="Actual flat rate",((D351+E351)*C351-G351)*Inputs!$L$10,IF(Inputs!$C$9="Residential",IF(((D351+E351)*C351-G351)&lt;='Assumptions and Catalog'!$C$50,((D351+E351)*C351-G351)*'Assumptions and Catalog'!$H$50+'Assumptions and Catalog'!$E$50+'Assumptions and Catalog'!$F$50,IF(((D351+E351)*C351-G351)&lt;='Assumptions and Catalog'!$C$51,((D351+E351)*C351-G351)*'Assumptions and Catalog'!$H$51+'Assumptions and Catalog'!$E$51+'Assumptions and Catalog'!$F$51,IF(((D351+E351)*C351-G351)&lt;='Assumptions and Catalog'!$C$52,((D351+E351)*C351-G351)*'Assumptions and Catalog'!$H$52+'Assumptions and Catalog'!$E$52+'Assumptions and Catalog'!$F$52,IF(((D351+E351)*C351-G351)&lt;='Assumptions and Catalog'!$C$53,((D351+E351)*C351-G351)*'Assumptions and Catalog'!$H$53+'Assumptions and Catalog'!$E$53+'Assumptions and Catalog'!$F$53,IF(((D351+E351)*C351-G351)&lt;='Assumptions and Catalog'!$C$54,((D351+E351)*C351-G351)*'Assumptions and Catalog'!$H$54+'Assumptions and Catalog'!$E$54+'Assumptions and Catalog'!$F$54,IF(((D351+E351)*C351-G351)&lt;='Assumptions and Catalog'!$C$55,((D351+E351)*C351-G351)*'Assumptions and Catalog'!$H$55+'Assumptions and Catalog'!$E$55+'Assumptions and Catalog'!$F$55,IF(((D351+E351)*C351-G351)&lt;='Assumptions and Catalog'!$C$56,((D351+E351)*C351-G351)*'Assumptions and Catalog'!$H$56+'Assumptions and Catalog'!$E$56+'Assumptions and Catalog'!$F$56,IF(((D351+E351)*C351-G351)&lt;='Assumptions and Catalog'!$C$57,((D351+E351)*C351-G351)*'Assumptions and Catalog'!$H$57+'Assumptions and Catalog'!$E$57+'Assumptions and Catalog'!$F$57,"Out of range")))))))),IF(((D351+E351)*C351-G351)&lt;='Assumptions and Catalog'!$C$60,((D351+E351)*C351-G351)*'Assumptions and Catalog'!$H$60+'Assumptions and Catalog'!$E$60+'Assumptions and Catalog'!$F$60,IF(((D351+E351)*C351-G351)&lt;='Assumptions and Catalog'!$C$61,((D351+E351)*C351-G351)*'Assumptions and Catalog'!$H$61+'Assumptions and Catalog'!$E$61+'Assumptions and Catalog'!$F$61,IF(((D351+E351)*C351-G351)&lt;='Assumptions and Catalog'!$C$62,((D351+E351)*C351-G351)*'Assumptions and Catalog'!$H$62+'Assumptions and Catalog'!$E$62+'Assumptions and Catalog'!$F$62,IF(((D351+E351)*C351-G351)&lt;='Assumptions and Catalog'!$C$63,((D351+E351)*C351-G351)*'Assumptions and Catalog'!$H$63+'Assumptions and Catalog'!$E$63+'Assumptions and Catalog'!$F$63,IF(((D351+E351)*C351-G351)&lt;='Assumptions and Catalog'!$C$64,((D351+E351)*C351-G351)*'Assumptions and Catalog'!$H$64+'Assumptions and Catalog'!$E$64+'Assumptions and Catalog'!$F$64,IF(((D351+E351)*C351-G351)&lt;='Assumptions and Catalog'!$C$65,((D351+E351)*C351-G351)*'Assumptions and Catalog'!$H$65+'Assumptions and Catalog'!$E$65+'Assumptions and Catalog'!$F$65,"Out of range")))))))))*(1+'Assumptions and Catalog'!$C$8)^(A351-1),0)</f>
        <v>5103.9197647790461</v>
      </c>
      <c r="R351" s="5">
        <f>IF(AND('Assumptions and Catalog'!$C$19&gt;0,A351&gt;='Assumptions and Catalog'!$C$19),A351-'Assumptions and Catalog'!$C$19,A351-1)</f>
        <v>5</v>
      </c>
      <c r="S351" s="5">
        <f t="shared" si="25"/>
        <v>0</v>
      </c>
      <c r="T351" s="5"/>
      <c r="U351" s="5"/>
    </row>
    <row r="352" spans="1:21" ht="23.1" customHeight="1" outlineLevel="1" x14ac:dyDescent="0.2">
      <c r="A352" s="5">
        <v>16</v>
      </c>
      <c r="B352" s="5">
        <v>12</v>
      </c>
      <c r="C352" s="5">
        <f>DAY(DATE('Assumptions and Catalog'!$C$24+A352-1,B352+1,0))</f>
        <v>31</v>
      </c>
      <c r="D352" s="5">
        <f>IF(ISNUMBER(Inputs!$L$5),Inputs!$L$5*Inputs!$L$6,0)</f>
        <v>40.35</v>
      </c>
      <c r="E352" s="5">
        <f>IF(ISNUMBER(Inputs!$L$5),Inputs!$L$5-D352,0)</f>
        <v>40.35</v>
      </c>
      <c r="F352" s="5">
        <f>C$51*'Assumptions and Catalog'!$C$31*C352*(1-'Assumptions and Catalog'!$C$10)^(A352-1)</f>
        <v>959.42725262136253</v>
      </c>
      <c r="G352" s="5">
        <f t="shared" si="20"/>
        <v>959.42725262136253</v>
      </c>
      <c r="H352" s="5">
        <f>I352/('Assumptions and Catalog'!$C$11*'Assumptions and Catalog'!$C$12)</f>
        <v>0</v>
      </c>
      <c r="I352" s="5">
        <f>0</f>
        <v>0</v>
      </c>
      <c r="J352" s="5">
        <f t="shared" si="21"/>
        <v>0</v>
      </c>
      <c r="K352" s="5">
        <f t="shared" si="22"/>
        <v>0</v>
      </c>
      <c r="L352" s="5">
        <f t="shared" si="23"/>
        <v>1542.2727473786376</v>
      </c>
      <c r="M352" s="5">
        <f>IF(ISNUMBER(Inputs!$L$5),(IF(Inputs!$L$9="Actual flat rate",((D352+E352)*C352)*Inputs!$L$10,IF(Inputs!$C$9="Residential",IF(((D352+E352)*C352)&lt;='Assumptions and Catalog'!$C$50,((D352+E352)*C352)*'Assumptions and Catalog'!$H$50+'Assumptions and Catalog'!$E$50+'Assumptions and Catalog'!$F$50,IF(((D352+E352)*C352)&lt;='Assumptions and Catalog'!$C$51,((D352+E352)*C352)*'Assumptions and Catalog'!$H$51+'Assumptions and Catalog'!$E$51+'Assumptions and Catalog'!$F$51,IF(((D352+E352)*C352)&lt;='Assumptions and Catalog'!$C$52,((D352+E352)*C352)*'Assumptions and Catalog'!$H$52+'Assumptions and Catalog'!$E$52+'Assumptions and Catalog'!$F$52,IF(((D352+E352)*C352)&lt;='Assumptions and Catalog'!$C$53,((D352+E352)*C352)*'Assumptions and Catalog'!$H$53+'Assumptions and Catalog'!$E$53+'Assumptions and Catalog'!$F$53,IF(((D352+E352)*C352)&lt;='Assumptions and Catalog'!$C$54,((D352+E352)*C352)*'Assumptions and Catalog'!$H$54+'Assumptions and Catalog'!$E$54+'Assumptions and Catalog'!$F$54,IF(((D352+E352)*C352)&lt;='Assumptions and Catalog'!$C$55,((D352+E352)*C352)*'Assumptions and Catalog'!$H$55+'Assumptions and Catalog'!$E$55+'Assumptions and Catalog'!$F$55,IF(((D352+E352)*C352)&lt;='Assumptions and Catalog'!$C$56,((D352+E352)*C352)*'Assumptions and Catalog'!$H$56+'Assumptions and Catalog'!$E$56+'Assumptions and Catalog'!$F$56,IF(((D352+E352)*C352)&lt;='Assumptions and Catalog'!$C$57,((D352+E352)*C352)*'Assumptions and Catalog'!$H$57+'Assumptions and Catalog'!$E$57+'Assumptions and Catalog'!$F$57,"Out of range")))))))),IF(((D352+E352)*C352)&lt;='Assumptions and Catalog'!$C$60,((D352+E352)*C352)*'Assumptions and Catalog'!$H$60+'Assumptions and Catalog'!$E$60+'Assumptions and Catalog'!$F$60,IF(((D352+E352)*C352)&lt;='Assumptions and Catalog'!$C$61,((D352+E352)*C352)*'Assumptions and Catalog'!$H$61+'Assumptions and Catalog'!$E$61+'Assumptions and Catalog'!$F$61,IF(((D352+E352)*C352)&lt;='Assumptions and Catalog'!$C$62,((D352+E352)*C352)*'Assumptions and Catalog'!$H$62+'Assumptions and Catalog'!$E$62+'Assumptions and Catalog'!$F$62,IF(((D352+E352)*C352)&lt;='Assumptions and Catalog'!$C$63,((D352+E352)*C352)*'Assumptions and Catalog'!$H$63+'Assumptions and Catalog'!$E$63+'Assumptions and Catalog'!$F$63,IF(((D352+E352)*C352)&lt;='Assumptions and Catalog'!$C$64,((D352+E352)*C352)*'Assumptions and Catalog'!$H$64+'Assumptions and Catalog'!$E$64+'Assumptions and Catalog'!$F$64,IF(((D352+E352)*C352)&lt;='Assumptions and Catalog'!$C$65,((D352+E352)*C352)*'Assumptions and Catalog'!$H$65+'Assumptions and Catalog'!$E$65+'Assumptions and Catalog'!$F$65,"Out of range")))))))))*(1+'Assumptions and Catalog'!$C$8)^(A352-1),0)</f>
        <v>8554.9666666666672</v>
      </c>
      <c r="N352" s="5">
        <f>IF(ISNUMBER(Inputs!$L$5),(IF(Inputs!$L$9="Actual flat rate",L352*Inputs!$L$10,IF(Inputs!$C$9="Residential",IF(L352&lt;='Assumptions and Catalog'!$C$50,L352*'Assumptions and Catalog'!$H$50+'Assumptions and Catalog'!$E$50+'Assumptions and Catalog'!$F$50,IF(L352&lt;='Assumptions and Catalog'!$C$51,L352*'Assumptions and Catalog'!$H$51+'Assumptions and Catalog'!$E$51+'Assumptions and Catalog'!$F$51,IF(L352&lt;='Assumptions and Catalog'!$C$52,L352*'Assumptions and Catalog'!$H$52+'Assumptions and Catalog'!$E$52+'Assumptions and Catalog'!$F$52,IF(L352&lt;='Assumptions and Catalog'!$C$53,L352*'Assumptions and Catalog'!$H$53+'Assumptions and Catalog'!$E$53+'Assumptions and Catalog'!$F$53,IF(L352&lt;='Assumptions and Catalog'!$C$54,L352*'Assumptions and Catalog'!$H$54+'Assumptions and Catalog'!$E$54+'Assumptions and Catalog'!$F$54,IF(L352&lt;='Assumptions and Catalog'!$C$55,L352*'Assumptions and Catalog'!$H$55+'Assumptions and Catalog'!$E$55+'Assumptions and Catalog'!$F$55,IF(L352&lt;='Assumptions and Catalog'!$C$56,L352*'Assumptions and Catalog'!$H$56+'Assumptions and Catalog'!$E$56+'Assumptions and Catalog'!$F$56,IF(L352&lt;='Assumptions and Catalog'!$C$57,L352*'Assumptions and Catalog'!$H$57+'Assumptions and Catalog'!$E$57+'Assumptions and Catalog'!$F$57,"Out of range")))))))),IF(L352&lt;='Assumptions and Catalog'!$C$60,L352*'Assumptions and Catalog'!$H$60+'Assumptions and Catalog'!$E$60+'Assumptions and Catalog'!$F$60,IF(L352&lt;='Assumptions and Catalog'!$C$61,L352*'Assumptions and Catalog'!$H$61+'Assumptions and Catalog'!$E$61+'Assumptions and Catalog'!$F$61,IF(L352&lt;='Assumptions and Catalog'!$C$62,L352*'Assumptions and Catalog'!$H$62+'Assumptions and Catalog'!$E$62+'Assumptions and Catalog'!$F$62,IF(L352&lt;='Assumptions and Catalog'!$C$63,L352*'Assumptions and Catalog'!$H$63+'Assumptions and Catalog'!$E$63+'Assumptions and Catalog'!$F$63,IF(L352&lt;='Assumptions and Catalog'!$C$64,L352*'Assumptions and Catalog'!$H$64+'Assumptions and Catalog'!$E$64+'Assumptions and Catalog'!$F$64,IF(L352&lt;='Assumptions and Catalog'!$C$65,L352*'Assumptions and Catalog'!$H$65+'Assumptions and Catalog'!$E$65+'Assumptions and Catalog'!$F$65,"Out of range")))))))))*(1+'Assumptions and Catalog'!$C$8)^(A352-1),0)</f>
        <v>5274.0504236050147</v>
      </c>
      <c r="O352" s="5">
        <f t="shared" si="24"/>
        <v>3280.9162430616525</v>
      </c>
      <c r="P352" s="5">
        <f>C$55*(1-J$14)*(1-'Assumptions and Catalog'!$C$23)^R352</f>
        <v>0</v>
      </c>
      <c r="Q352" s="5">
        <f>IF(ISNUMBER(Inputs!$L$5),(IF(Inputs!$L$9="Actual flat rate",((D352+E352)*C352-G352)*Inputs!$L$10,IF(Inputs!$C$9="Residential",IF(((D352+E352)*C352-G352)&lt;='Assumptions and Catalog'!$C$50,((D352+E352)*C352-G352)*'Assumptions and Catalog'!$H$50+'Assumptions and Catalog'!$E$50+'Assumptions and Catalog'!$F$50,IF(((D352+E352)*C352-G352)&lt;='Assumptions and Catalog'!$C$51,((D352+E352)*C352-G352)*'Assumptions and Catalog'!$H$51+'Assumptions and Catalog'!$E$51+'Assumptions and Catalog'!$F$51,IF(((D352+E352)*C352-G352)&lt;='Assumptions and Catalog'!$C$52,((D352+E352)*C352-G352)*'Assumptions and Catalog'!$H$52+'Assumptions and Catalog'!$E$52+'Assumptions and Catalog'!$F$52,IF(((D352+E352)*C352-G352)&lt;='Assumptions and Catalog'!$C$53,((D352+E352)*C352-G352)*'Assumptions and Catalog'!$H$53+'Assumptions and Catalog'!$E$53+'Assumptions and Catalog'!$F$53,IF(((D352+E352)*C352-G352)&lt;='Assumptions and Catalog'!$C$54,((D352+E352)*C352-G352)*'Assumptions and Catalog'!$H$54+'Assumptions and Catalog'!$E$54+'Assumptions and Catalog'!$F$54,IF(((D352+E352)*C352-G352)&lt;='Assumptions and Catalog'!$C$55,((D352+E352)*C352-G352)*'Assumptions and Catalog'!$H$55+'Assumptions and Catalog'!$E$55+'Assumptions and Catalog'!$F$55,IF(((D352+E352)*C352-G352)&lt;='Assumptions and Catalog'!$C$56,((D352+E352)*C352-G352)*'Assumptions and Catalog'!$H$56+'Assumptions and Catalog'!$E$56+'Assumptions and Catalog'!$F$56,IF(((D352+E352)*C352-G352)&lt;='Assumptions and Catalog'!$C$57,((D352+E352)*C352-G352)*'Assumptions and Catalog'!$H$57+'Assumptions and Catalog'!$E$57+'Assumptions and Catalog'!$F$57,"Out of range")))))))),IF(((D352+E352)*C352-G352)&lt;='Assumptions and Catalog'!$C$60,((D352+E352)*C352-G352)*'Assumptions and Catalog'!$H$60+'Assumptions and Catalog'!$E$60+'Assumptions and Catalog'!$F$60,IF(((D352+E352)*C352-G352)&lt;='Assumptions and Catalog'!$C$61,((D352+E352)*C352-G352)*'Assumptions and Catalog'!$H$61+'Assumptions and Catalog'!$E$61+'Assumptions and Catalog'!$F$61,IF(((D352+E352)*C352-G352)&lt;='Assumptions and Catalog'!$C$62,((D352+E352)*C352-G352)*'Assumptions and Catalog'!$H$62+'Assumptions and Catalog'!$E$62+'Assumptions and Catalog'!$F$62,IF(((D352+E352)*C352-G352)&lt;='Assumptions and Catalog'!$C$63,((D352+E352)*C352-G352)*'Assumptions and Catalog'!$H$63+'Assumptions and Catalog'!$E$63+'Assumptions and Catalog'!$F$63,IF(((D352+E352)*C352-G352)&lt;='Assumptions and Catalog'!$C$64,((D352+E352)*C352-G352)*'Assumptions and Catalog'!$H$64+'Assumptions and Catalog'!$E$64+'Assumptions and Catalog'!$F$64,IF(((D352+E352)*C352-G352)&lt;='Assumptions and Catalog'!$C$65,((D352+E352)*C352-G352)*'Assumptions and Catalog'!$H$65+'Assumptions and Catalog'!$E$65+'Assumptions and Catalog'!$F$65,"Out of range")))))))))*(1+'Assumptions and Catalog'!$C$8)^(A352-1),0)</f>
        <v>5274.0504236050147</v>
      </c>
      <c r="R352" s="5">
        <f>IF(AND('Assumptions and Catalog'!$C$19&gt;0,A352&gt;='Assumptions and Catalog'!$C$19),A352-'Assumptions and Catalog'!$C$19,A352-1)</f>
        <v>5</v>
      </c>
      <c r="S352" s="5">
        <f t="shared" si="25"/>
        <v>0</v>
      </c>
      <c r="T352" s="5"/>
      <c r="U352" s="5"/>
    </row>
    <row r="353" spans="1:21" ht="23.1" customHeight="1" outlineLevel="1" x14ac:dyDescent="0.2">
      <c r="A353" s="5">
        <v>17</v>
      </c>
      <c r="B353" s="5">
        <v>1</v>
      </c>
      <c r="C353" s="5">
        <f>DAY(DATE('Assumptions and Catalog'!$C$24+A353-1,B353+1,0))</f>
        <v>31</v>
      </c>
      <c r="D353" s="5">
        <f>IF(ISNUMBER(Inputs!$L$5),Inputs!$L$5*Inputs!$L$6,0)</f>
        <v>40.35</v>
      </c>
      <c r="E353" s="5">
        <f>IF(ISNUMBER(Inputs!$L$5),Inputs!$L$5-D353,0)</f>
        <v>40.35</v>
      </c>
      <c r="F353" s="5">
        <f>C$51*'Assumptions and Catalog'!$C$31*C353*(1-'Assumptions and Catalog'!$C$10)^(A353-1)</f>
        <v>954.63011635825569</v>
      </c>
      <c r="G353" s="5">
        <f t="shared" ref="G353:G400" si="26">MIN(F353,D353*C353)</f>
        <v>954.63011635825569</v>
      </c>
      <c r="H353" s="5">
        <f>I353/('Assumptions and Catalog'!$C$11*'Assumptions and Catalog'!$C$12)</f>
        <v>0</v>
      </c>
      <c r="I353" s="5">
        <f>0</f>
        <v>0</v>
      </c>
      <c r="J353" s="5">
        <f t="shared" ref="J353:J400" si="27">MAX(F353-G353-H353,0)</f>
        <v>0</v>
      </c>
      <c r="K353" s="5">
        <f t="shared" ref="K353:K400" si="28">H353-I353</f>
        <v>0</v>
      </c>
      <c r="L353" s="5">
        <f t="shared" ref="L353:L400" si="29">(D353+E353)*C353-G353-I353+0+0</f>
        <v>1547.0698836417446</v>
      </c>
      <c r="M353" s="5">
        <f>IF(ISNUMBER(Inputs!$L$5),(IF(Inputs!$L$9="Actual flat rate",((D353+E353)*C353)*Inputs!$L$10,IF(Inputs!$C$9="Residential",IF(((D353+E353)*C353)&lt;='Assumptions and Catalog'!$C$50,((D353+E353)*C353)*'Assumptions and Catalog'!$H$50+'Assumptions and Catalog'!$E$50+'Assumptions and Catalog'!$F$50,IF(((D353+E353)*C353)&lt;='Assumptions and Catalog'!$C$51,((D353+E353)*C353)*'Assumptions and Catalog'!$H$51+'Assumptions and Catalog'!$E$51+'Assumptions and Catalog'!$F$51,IF(((D353+E353)*C353)&lt;='Assumptions and Catalog'!$C$52,((D353+E353)*C353)*'Assumptions and Catalog'!$H$52+'Assumptions and Catalog'!$E$52+'Assumptions and Catalog'!$F$52,IF(((D353+E353)*C353)&lt;='Assumptions and Catalog'!$C$53,((D353+E353)*C353)*'Assumptions and Catalog'!$H$53+'Assumptions and Catalog'!$E$53+'Assumptions and Catalog'!$F$53,IF(((D353+E353)*C353)&lt;='Assumptions and Catalog'!$C$54,((D353+E353)*C353)*'Assumptions and Catalog'!$H$54+'Assumptions and Catalog'!$E$54+'Assumptions and Catalog'!$F$54,IF(((D353+E353)*C353)&lt;='Assumptions and Catalog'!$C$55,((D353+E353)*C353)*'Assumptions and Catalog'!$H$55+'Assumptions and Catalog'!$E$55+'Assumptions and Catalog'!$F$55,IF(((D353+E353)*C353)&lt;='Assumptions and Catalog'!$C$56,((D353+E353)*C353)*'Assumptions and Catalog'!$H$56+'Assumptions and Catalog'!$E$56+'Assumptions and Catalog'!$F$56,IF(((D353+E353)*C353)&lt;='Assumptions and Catalog'!$C$57,((D353+E353)*C353)*'Assumptions and Catalog'!$H$57+'Assumptions and Catalog'!$E$57+'Assumptions and Catalog'!$F$57,"Out of range")))))))),IF(((D353+E353)*C353)&lt;='Assumptions and Catalog'!$C$60,((D353+E353)*C353)*'Assumptions and Catalog'!$H$60+'Assumptions and Catalog'!$E$60+'Assumptions and Catalog'!$F$60,IF(((D353+E353)*C353)&lt;='Assumptions and Catalog'!$C$61,((D353+E353)*C353)*'Assumptions and Catalog'!$H$61+'Assumptions and Catalog'!$E$61+'Assumptions and Catalog'!$F$61,IF(((D353+E353)*C353)&lt;='Assumptions and Catalog'!$C$62,((D353+E353)*C353)*'Assumptions and Catalog'!$H$62+'Assumptions and Catalog'!$E$62+'Assumptions and Catalog'!$F$62,IF(((D353+E353)*C353)&lt;='Assumptions and Catalog'!$C$63,((D353+E353)*C353)*'Assumptions and Catalog'!$H$63+'Assumptions and Catalog'!$E$63+'Assumptions and Catalog'!$F$63,IF(((D353+E353)*C353)&lt;='Assumptions and Catalog'!$C$64,((D353+E353)*C353)*'Assumptions and Catalog'!$H$64+'Assumptions and Catalog'!$E$64+'Assumptions and Catalog'!$F$64,IF(((D353+E353)*C353)&lt;='Assumptions and Catalog'!$C$65,((D353+E353)*C353)*'Assumptions and Catalog'!$H$65+'Assumptions and Catalog'!$E$65+'Assumptions and Catalog'!$F$65,"Out of range")))))))))*(1+'Assumptions and Catalog'!$C$8)^(A353-1),0)</f>
        <v>8554.9666666666672</v>
      </c>
      <c r="N353" s="5">
        <f>IF(ISNUMBER(Inputs!$L$5),(IF(Inputs!$L$9="Actual flat rate",L353*Inputs!$L$10,IF(Inputs!$C$9="Residential",IF(L353&lt;='Assumptions and Catalog'!$C$50,L353*'Assumptions and Catalog'!$H$50+'Assumptions and Catalog'!$E$50+'Assumptions and Catalog'!$F$50,IF(L353&lt;='Assumptions and Catalog'!$C$51,L353*'Assumptions and Catalog'!$H$51+'Assumptions and Catalog'!$E$51+'Assumptions and Catalog'!$F$51,IF(L353&lt;='Assumptions and Catalog'!$C$52,L353*'Assumptions and Catalog'!$H$52+'Assumptions and Catalog'!$E$52+'Assumptions and Catalog'!$F$52,IF(L353&lt;='Assumptions and Catalog'!$C$53,L353*'Assumptions and Catalog'!$H$53+'Assumptions and Catalog'!$E$53+'Assumptions and Catalog'!$F$53,IF(L353&lt;='Assumptions and Catalog'!$C$54,L353*'Assumptions and Catalog'!$H$54+'Assumptions and Catalog'!$E$54+'Assumptions and Catalog'!$F$54,IF(L353&lt;='Assumptions and Catalog'!$C$55,L353*'Assumptions and Catalog'!$H$55+'Assumptions and Catalog'!$E$55+'Assumptions and Catalog'!$F$55,IF(L353&lt;='Assumptions and Catalog'!$C$56,L353*'Assumptions and Catalog'!$H$56+'Assumptions and Catalog'!$E$56+'Assumptions and Catalog'!$F$56,IF(L353&lt;='Assumptions and Catalog'!$C$57,L353*'Assumptions and Catalog'!$H$57+'Assumptions and Catalog'!$E$57+'Assumptions and Catalog'!$F$57,"Out of range")))))))),IF(L353&lt;='Assumptions and Catalog'!$C$60,L353*'Assumptions and Catalog'!$H$60+'Assumptions and Catalog'!$E$60+'Assumptions and Catalog'!$F$60,IF(L353&lt;='Assumptions and Catalog'!$C$61,L353*'Assumptions and Catalog'!$H$61+'Assumptions and Catalog'!$E$61+'Assumptions and Catalog'!$F$61,IF(L353&lt;='Assumptions and Catalog'!$C$62,L353*'Assumptions and Catalog'!$H$62+'Assumptions and Catalog'!$E$62+'Assumptions and Catalog'!$F$62,IF(L353&lt;='Assumptions and Catalog'!$C$63,L353*'Assumptions and Catalog'!$H$63+'Assumptions and Catalog'!$E$63+'Assumptions and Catalog'!$F$63,IF(L353&lt;='Assumptions and Catalog'!$C$64,L353*'Assumptions and Catalog'!$H$64+'Assumptions and Catalog'!$E$64+'Assumptions and Catalog'!$F$64,IF(L353&lt;='Assumptions and Catalog'!$C$65,L353*'Assumptions and Catalog'!$H$65+'Assumptions and Catalog'!$E$65+'Assumptions and Catalog'!$F$65,"Out of range")))))))))*(1+'Assumptions and Catalog'!$C$8)^(A353-1),0)</f>
        <v>5290.4550048203237</v>
      </c>
      <c r="O353" s="5">
        <f t="shared" ref="O353:O400" si="30">M353-N353</f>
        <v>3264.5116618463435</v>
      </c>
      <c r="P353" s="5">
        <f>C$55*(1-J$14)*(1-'Assumptions and Catalog'!$C$23)^R353</f>
        <v>0</v>
      </c>
      <c r="Q353" s="5">
        <f>IF(ISNUMBER(Inputs!$L$5),(IF(Inputs!$L$9="Actual flat rate",((D353+E353)*C353-G353)*Inputs!$L$10,IF(Inputs!$C$9="Residential",IF(((D353+E353)*C353-G353)&lt;='Assumptions and Catalog'!$C$50,((D353+E353)*C353-G353)*'Assumptions and Catalog'!$H$50+'Assumptions and Catalog'!$E$50+'Assumptions and Catalog'!$F$50,IF(((D353+E353)*C353-G353)&lt;='Assumptions and Catalog'!$C$51,((D353+E353)*C353-G353)*'Assumptions and Catalog'!$H$51+'Assumptions and Catalog'!$E$51+'Assumptions and Catalog'!$F$51,IF(((D353+E353)*C353-G353)&lt;='Assumptions and Catalog'!$C$52,((D353+E353)*C353-G353)*'Assumptions and Catalog'!$H$52+'Assumptions and Catalog'!$E$52+'Assumptions and Catalog'!$F$52,IF(((D353+E353)*C353-G353)&lt;='Assumptions and Catalog'!$C$53,((D353+E353)*C353-G353)*'Assumptions and Catalog'!$H$53+'Assumptions and Catalog'!$E$53+'Assumptions and Catalog'!$F$53,IF(((D353+E353)*C353-G353)&lt;='Assumptions and Catalog'!$C$54,((D353+E353)*C353-G353)*'Assumptions and Catalog'!$H$54+'Assumptions and Catalog'!$E$54+'Assumptions and Catalog'!$F$54,IF(((D353+E353)*C353-G353)&lt;='Assumptions and Catalog'!$C$55,((D353+E353)*C353-G353)*'Assumptions and Catalog'!$H$55+'Assumptions and Catalog'!$E$55+'Assumptions and Catalog'!$F$55,IF(((D353+E353)*C353-G353)&lt;='Assumptions and Catalog'!$C$56,((D353+E353)*C353-G353)*'Assumptions and Catalog'!$H$56+'Assumptions and Catalog'!$E$56+'Assumptions and Catalog'!$F$56,IF(((D353+E353)*C353-G353)&lt;='Assumptions and Catalog'!$C$57,((D353+E353)*C353-G353)*'Assumptions and Catalog'!$H$57+'Assumptions and Catalog'!$E$57+'Assumptions and Catalog'!$F$57,"Out of range")))))))),IF(((D353+E353)*C353-G353)&lt;='Assumptions and Catalog'!$C$60,((D353+E353)*C353-G353)*'Assumptions and Catalog'!$H$60+'Assumptions and Catalog'!$E$60+'Assumptions and Catalog'!$F$60,IF(((D353+E353)*C353-G353)&lt;='Assumptions and Catalog'!$C$61,((D353+E353)*C353-G353)*'Assumptions and Catalog'!$H$61+'Assumptions and Catalog'!$E$61+'Assumptions and Catalog'!$F$61,IF(((D353+E353)*C353-G353)&lt;='Assumptions and Catalog'!$C$62,((D353+E353)*C353-G353)*'Assumptions and Catalog'!$H$62+'Assumptions and Catalog'!$E$62+'Assumptions and Catalog'!$F$62,IF(((D353+E353)*C353-G353)&lt;='Assumptions and Catalog'!$C$63,((D353+E353)*C353-G353)*'Assumptions and Catalog'!$H$63+'Assumptions and Catalog'!$E$63+'Assumptions and Catalog'!$F$63,IF(((D353+E353)*C353-G353)&lt;='Assumptions and Catalog'!$C$64,((D353+E353)*C353-G353)*'Assumptions and Catalog'!$H$64+'Assumptions and Catalog'!$E$64+'Assumptions and Catalog'!$F$64,IF(((D353+E353)*C353-G353)&lt;='Assumptions and Catalog'!$C$65,((D353+E353)*C353-G353)*'Assumptions and Catalog'!$H$65+'Assumptions and Catalog'!$E$65+'Assumptions and Catalog'!$F$65,"Out of range")))))))))*(1+'Assumptions and Catalog'!$C$8)^(A353-1),0)</f>
        <v>5290.4550048203237</v>
      </c>
      <c r="R353" s="5">
        <f>IF(AND('Assumptions and Catalog'!$C$19&gt;0,A353&gt;='Assumptions and Catalog'!$C$19),A353-'Assumptions and Catalog'!$C$19,A353-1)</f>
        <v>6</v>
      </c>
      <c r="S353" s="5">
        <f t="shared" ref="S353:S400" si="31">F353+L353-(D353+E353)*C353-J353-K353-0</f>
        <v>0</v>
      </c>
      <c r="T353" s="5"/>
      <c r="U353" s="5"/>
    </row>
    <row r="354" spans="1:21" ht="23.1" customHeight="1" outlineLevel="1" x14ac:dyDescent="0.2">
      <c r="A354" s="5">
        <v>17</v>
      </c>
      <c r="B354" s="5">
        <v>2</v>
      </c>
      <c r="C354" s="5">
        <f>DAY(DATE('Assumptions and Catalog'!$C$24+A354-1,B354+1,0))</f>
        <v>28</v>
      </c>
      <c r="D354" s="5">
        <f>IF(ISNUMBER(Inputs!$L$5),Inputs!$L$5*Inputs!$L$6,0)</f>
        <v>40.35</v>
      </c>
      <c r="E354" s="5">
        <f>IF(ISNUMBER(Inputs!$L$5),Inputs!$L$5-D354,0)</f>
        <v>40.35</v>
      </c>
      <c r="F354" s="5">
        <f>C$51*'Assumptions and Catalog'!$C$31*C354*(1-'Assumptions and Catalog'!$C$10)^(A354-1)</f>
        <v>862.24655671068251</v>
      </c>
      <c r="G354" s="5">
        <f t="shared" si="26"/>
        <v>862.24655671068251</v>
      </c>
      <c r="H354" s="5">
        <f>I354/('Assumptions and Catalog'!$C$11*'Assumptions and Catalog'!$C$12)</f>
        <v>0</v>
      </c>
      <c r="I354" s="5">
        <f>0</f>
        <v>0</v>
      </c>
      <c r="J354" s="5">
        <f t="shared" si="27"/>
        <v>0</v>
      </c>
      <c r="K354" s="5">
        <f t="shared" si="28"/>
        <v>0</v>
      </c>
      <c r="L354" s="5">
        <f t="shared" si="29"/>
        <v>1397.3534432893175</v>
      </c>
      <c r="M354" s="5">
        <f>IF(ISNUMBER(Inputs!$L$5),(IF(Inputs!$L$9="Actual flat rate",((D354+E354)*C354)*Inputs!$L$10,IF(Inputs!$C$9="Residential",IF(((D354+E354)*C354)&lt;='Assumptions and Catalog'!$C$50,((D354+E354)*C354)*'Assumptions and Catalog'!$H$50+'Assumptions and Catalog'!$E$50+'Assumptions and Catalog'!$F$50,IF(((D354+E354)*C354)&lt;='Assumptions and Catalog'!$C$51,((D354+E354)*C354)*'Assumptions and Catalog'!$H$51+'Assumptions and Catalog'!$E$51+'Assumptions and Catalog'!$F$51,IF(((D354+E354)*C354)&lt;='Assumptions and Catalog'!$C$52,((D354+E354)*C354)*'Assumptions and Catalog'!$H$52+'Assumptions and Catalog'!$E$52+'Assumptions and Catalog'!$F$52,IF(((D354+E354)*C354)&lt;='Assumptions and Catalog'!$C$53,((D354+E354)*C354)*'Assumptions and Catalog'!$H$53+'Assumptions and Catalog'!$E$53+'Assumptions and Catalog'!$F$53,IF(((D354+E354)*C354)&lt;='Assumptions and Catalog'!$C$54,((D354+E354)*C354)*'Assumptions and Catalog'!$H$54+'Assumptions and Catalog'!$E$54+'Assumptions and Catalog'!$F$54,IF(((D354+E354)*C354)&lt;='Assumptions and Catalog'!$C$55,((D354+E354)*C354)*'Assumptions and Catalog'!$H$55+'Assumptions and Catalog'!$E$55+'Assumptions and Catalog'!$F$55,IF(((D354+E354)*C354)&lt;='Assumptions and Catalog'!$C$56,((D354+E354)*C354)*'Assumptions and Catalog'!$H$56+'Assumptions and Catalog'!$E$56+'Assumptions and Catalog'!$F$56,IF(((D354+E354)*C354)&lt;='Assumptions and Catalog'!$C$57,((D354+E354)*C354)*'Assumptions and Catalog'!$H$57+'Assumptions and Catalog'!$E$57+'Assumptions and Catalog'!$F$57,"Out of range")))))))),IF(((D354+E354)*C354)&lt;='Assumptions and Catalog'!$C$60,((D354+E354)*C354)*'Assumptions and Catalog'!$H$60+'Assumptions and Catalog'!$E$60+'Assumptions and Catalog'!$F$60,IF(((D354+E354)*C354)&lt;='Assumptions and Catalog'!$C$61,((D354+E354)*C354)*'Assumptions and Catalog'!$H$61+'Assumptions and Catalog'!$E$61+'Assumptions and Catalog'!$F$61,IF(((D354+E354)*C354)&lt;='Assumptions and Catalog'!$C$62,((D354+E354)*C354)*'Assumptions and Catalog'!$H$62+'Assumptions and Catalog'!$E$62+'Assumptions and Catalog'!$F$62,IF(((D354+E354)*C354)&lt;='Assumptions and Catalog'!$C$63,((D354+E354)*C354)*'Assumptions and Catalog'!$H$63+'Assumptions and Catalog'!$E$63+'Assumptions and Catalog'!$F$63,IF(((D354+E354)*C354)&lt;='Assumptions and Catalog'!$C$64,((D354+E354)*C354)*'Assumptions and Catalog'!$H$64+'Assumptions and Catalog'!$E$64+'Assumptions and Catalog'!$F$64,IF(((D354+E354)*C354)&lt;='Assumptions and Catalog'!$C$65,((D354+E354)*C354)*'Assumptions and Catalog'!$H$65+'Assumptions and Catalog'!$E$65+'Assumptions and Catalog'!$F$65,"Out of range")))))))))*(1+'Assumptions and Catalog'!$C$8)^(A354-1),0)</f>
        <v>7727.0666666666657</v>
      </c>
      <c r="N354" s="5">
        <f>IF(ISNUMBER(Inputs!$L$5),(IF(Inputs!$L$9="Actual flat rate",L354*Inputs!$L$10,IF(Inputs!$C$9="Residential",IF(L354&lt;='Assumptions and Catalog'!$C$50,L354*'Assumptions and Catalog'!$H$50+'Assumptions and Catalog'!$E$50+'Assumptions and Catalog'!$F$50,IF(L354&lt;='Assumptions and Catalog'!$C$51,L354*'Assumptions and Catalog'!$H$51+'Assumptions and Catalog'!$E$51+'Assumptions and Catalog'!$F$51,IF(L354&lt;='Assumptions and Catalog'!$C$52,L354*'Assumptions and Catalog'!$H$52+'Assumptions and Catalog'!$E$52+'Assumptions and Catalog'!$F$52,IF(L354&lt;='Assumptions and Catalog'!$C$53,L354*'Assumptions and Catalog'!$H$53+'Assumptions and Catalog'!$E$53+'Assumptions and Catalog'!$F$53,IF(L354&lt;='Assumptions and Catalog'!$C$54,L354*'Assumptions and Catalog'!$H$54+'Assumptions and Catalog'!$E$54+'Assumptions and Catalog'!$F$54,IF(L354&lt;='Assumptions and Catalog'!$C$55,L354*'Assumptions and Catalog'!$H$55+'Assumptions and Catalog'!$E$55+'Assumptions and Catalog'!$F$55,IF(L354&lt;='Assumptions and Catalog'!$C$56,L354*'Assumptions and Catalog'!$H$56+'Assumptions and Catalog'!$E$56+'Assumptions and Catalog'!$F$56,IF(L354&lt;='Assumptions and Catalog'!$C$57,L354*'Assumptions and Catalog'!$H$57+'Assumptions and Catalog'!$E$57+'Assumptions and Catalog'!$F$57,"Out of range")))))))),IF(L354&lt;='Assumptions and Catalog'!$C$60,L354*'Assumptions and Catalog'!$H$60+'Assumptions and Catalog'!$E$60+'Assumptions and Catalog'!$F$60,IF(L354&lt;='Assumptions and Catalog'!$C$61,L354*'Assumptions and Catalog'!$H$61+'Assumptions and Catalog'!$E$61+'Assumptions and Catalog'!$F$61,IF(L354&lt;='Assumptions and Catalog'!$C$62,L354*'Assumptions and Catalog'!$H$62+'Assumptions and Catalog'!$E$62+'Assumptions and Catalog'!$F$62,IF(L354&lt;='Assumptions and Catalog'!$C$63,L354*'Assumptions and Catalog'!$H$63+'Assumptions and Catalog'!$E$63+'Assumptions and Catalog'!$F$63,IF(L354&lt;='Assumptions and Catalog'!$C$64,L354*'Assumptions and Catalog'!$H$64+'Assumptions and Catalog'!$E$64+'Assumptions and Catalog'!$F$64,IF(L354&lt;='Assumptions and Catalog'!$C$65,L354*'Assumptions and Catalog'!$H$65+'Assumptions and Catalog'!$E$65+'Assumptions and Catalog'!$F$65,"Out of range")))))))))*(1+'Assumptions and Catalog'!$C$8)^(A354-1),0)</f>
        <v>4778.4754882248071</v>
      </c>
      <c r="O354" s="5">
        <f t="shared" si="30"/>
        <v>2948.5911784418586</v>
      </c>
      <c r="P354" s="5">
        <f>C$55*(1-J$14)*(1-'Assumptions and Catalog'!$C$23)^R354</f>
        <v>0</v>
      </c>
      <c r="Q354" s="5">
        <f>IF(ISNUMBER(Inputs!$L$5),(IF(Inputs!$L$9="Actual flat rate",((D354+E354)*C354-G354)*Inputs!$L$10,IF(Inputs!$C$9="Residential",IF(((D354+E354)*C354-G354)&lt;='Assumptions and Catalog'!$C$50,((D354+E354)*C354-G354)*'Assumptions and Catalog'!$H$50+'Assumptions and Catalog'!$E$50+'Assumptions and Catalog'!$F$50,IF(((D354+E354)*C354-G354)&lt;='Assumptions and Catalog'!$C$51,((D354+E354)*C354-G354)*'Assumptions and Catalog'!$H$51+'Assumptions and Catalog'!$E$51+'Assumptions and Catalog'!$F$51,IF(((D354+E354)*C354-G354)&lt;='Assumptions and Catalog'!$C$52,((D354+E354)*C354-G354)*'Assumptions and Catalog'!$H$52+'Assumptions and Catalog'!$E$52+'Assumptions and Catalog'!$F$52,IF(((D354+E354)*C354-G354)&lt;='Assumptions and Catalog'!$C$53,((D354+E354)*C354-G354)*'Assumptions and Catalog'!$H$53+'Assumptions and Catalog'!$E$53+'Assumptions and Catalog'!$F$53,IF(((D354+E354)*C354-G354)&lt;='Assumptions and Catalog'!$C$54,((D354+E354)*C354-G354)*'Assumptions and Catalog'!$H$54+'Assumptions and Catalog'!$E$54+'Assumptions and Catalog'!$F$54,IF(((D354+E354)*C354-G354)&lt;='Assumptions and Catalog'!$C$55,((D354+E354)*C354-G354)*'Assumptions and Catalog'!$H$55+'Assumptions and Catalog'!$E$55+'Assumptions and Catalog'!$F$55,IF(((D354+E354)*C354-G354)&lt;='Assumptions and Catalog'!$C$56,((D354+E354)*C354-G354)*'Assumptions and Catalog'!$H$56+'Assumptions and Catalog'!$E$56+'Assumptions and Catalog'!$F$56,IF(((D354+E354)*C354-G354)&lt;='Assumptions and Catalog'!$C$57,((D354+E354)*C354-G354)*'Assumptions and Catalog'!$H$57+'Assumptions and Catalog'!$E$57+'Assumptions and Catalog'!$F$57,"Out of range")))))))),IF(((D354+E354)*C354-G354)&lt;='Assumptions and Catalog'!$C$60,((D354+E354)*C354-G354)*'Assumptions and Catalog'!$H$60+'Assumptions and Catalog'!$E$60+'Assumptions and Catalog'!$F$60,IF(((D354+E354)*C354-G354)&lt;='Assumptions and Catalog'!$C$61,((D354+E354)*C354-G354)*'Assumptions and Catalog'!$H$61+'Assumptions and Catalog'!$E$61+'Assumptions and Catalog'!$F$61,IF(((D354+E354)*C354-G354)&lt;='Assumptions and Catalog'!$C$62,((D354+E354)*C354-G354)*'Assumptions and Catalog'!$H$62+'Assumptions and Catalog'!$E$62+'Assumptions and Catalog'!$F$62,IF(((D354+E354)*C354-G354)&lt;='Assumptions and Catalog'!$C$63,((D354+E354)*C354-G354)*'Assumptions and Catalog'!$H$63+'Assumptions and Catalog'!$E$63+'Assumptions and Catalog'!$F$63,IF(((D354+E354)*C354-G354)&lt;='Assumptions and Catalog'!$C$64,((D354+E354)*C354-G354)*'Assumptions and Catalog'!$H$64+'Assumptions and Catalog'!$E$64+'Assumptions and Catalog'!$F$64,IF(((D354+E354)*C354-G354)&lt;='Assumptions and Catalog'!$C$65,((D354+E354)*C354-G354)*'Assumptions and Catalog'!$H$65+'Assumptions and Catalog'!$E$65+'Assumptions and Catalog'!$F$65,"Out of range")))))))))*(1+'Assumptions and Catalog'!$C$8)^(A354-1),0)</f>
        <v>4778.4754882248071</v>
      </c>
      <c r="R354" s="5">
        <f>IF(AND('Assumptions and Catalog'!$C$19&gt;0,A354&gt;='Assumptions and Catalog'!$C$19),A354-'Assumptions and Catalog'!$C$19,A354-1)</f>
        <v>6</v>
      </c>
      <c r="S354" s="5">
        <f t="shared" si="31"/>
        <v>0</v>
      </c>
      <c r="T354" s="5"/>
      <c r="U354" s="5"/>
    </row>
    <row r="355" spans="1:21" ht="23.1" customHeight="1" outlineLevel="1" x14ac:dyDescent="0.2">
      <c r="A355" s="5">
        <v>17</v>
      </c>
      <c r="B355" s="5">
        <v>3</v>
      </c>
      <c r="C355" s="5">
        <f>DAY(DATE('Assumptions and Catalog'!$C$24+A355-1,B355+1,0))</f>
        <v>31</v>
      </c>
      <c r="D355" s="5">
        <f>IF(ISNUMBER(Inputs!$L$5),Inputs!$L$5*Inputs!$L$6,0)</f>
        <v>40.35</v>
      </c>
      <c r="E355" s="5">
        <f>IF(ISNUMBER(Inputs!$L$5),Inputs!$L$5-D355,0)</f>
        <v>40.35</v>
      </c>
      <c r="F355" s="5">
        <f>C$51*'Assumptions and Catalog'!$C$31*C355*(1-'Assumptions and Catalog'!$C$10)^(A355-1)</f>
        <v>954.63011635825569</v>
      </c>
      <c r="G355" s="5">
        <f t="shared" si="26"/>
        <v>954.63011635825569</v>
      </c>
      <c r="H355" s="5">
        <f>I355/('Assumptions and Catalog'!$C$11*'Assumptions and Catalog'!$C$12)</f>
        <v>0</v>
      </c>
      <c r="I355" s="5">
        <f>0</f>
        <v>0</v>
      </c>
      <c r="J355" s="5">
        <f t="shared" si="27"/>
        <v>0</v>
      </c>
      <c r="K355" s="5">
        <f t="shared" si="28"/>
        <v>0</v>
      </c>
      <c r="L355" s="5">
        <f t="shared" si="29"/>
        <v>1547.0698836417446</v>
      </c>
      <c r="M355" s="5">
        <f>IF(ISNUMBER(Inputs!$L$5),(IF(Inputs!$L$9="Actual flat rate",((D355+E355)*C355)*Inputs!$L$10,IF(Inputs!$C$9="Residential",IF(((D355+E355)*C355)&lt;='Assumptions and Catalog'!$C$50,((D355+E355)*C355)*'Assumptions and Catalog'!$H$50+'Assumptions and Catalog'!$E$50+'Assumptions and Catalog'!$F$50,IF(((D355+E355)*C355)&lt;='Assumptions and Catalog'!$C$51,((D355+E355)*C355)*'Assumptions and Catalog'!$H$51+'Assumptions and Catalog'!$E$51+'Assumptions and Catalog'!$F$51,IF(((D355+E355)*C355)&lt;='Assumptions and Catalog'!$C$52,((D355+E355)*C355)*'Assumptions and Catalog'!$H$52+'Assumptions and Catalog'!$E$52+'Assumptions and Catalog'!$F$52,IF(((D355+E355)*C355)&lt;='Assumptions and Catalog'!$C$53,((D355+E355)*C355)*'Assumptions and Catalog'!$H$53+'Assumptions and Catalog'!$E$53+'Assumptions and Catalog'!$F$53,IF(((D355+E355)*C355)&lt;='Assumptions and Catalog'!$C$54,((D355+E355)*C355)*'Assumptions and Catalog'!$H$54+'Assumptions and Catalog'!$E$54+'Assumptions and Catalog'!$F$54,IF(((D355+E355)*C355)&lt;='Assumptions and Catalog'!$C$55,((D355+E355)*C355)*'Assumptions and Catalog'!$H$55+'Assumptions and Catalog'!$E$55+'Assumptions and Catalog'!$F$55,IF(((D355+E355)*C355)&lt;='Assumptions and Catalog'!$C$56,((D355+E355)*C355)*'Assumptions and Catalog'!$H$56+'Assumptions and Catalog'!$E$56+'Assumptions and Catalog'!$F$56,IF(((D355+E355)*C355)&lt;='Assumptions and Catalog'!$C$57,((D355+E355)*C355)*'Assumptions and Catalog'!$H$57+'Assumptions and Catalog'!$E$57+'Assumptions and Catalog'!$F$57,"Out of range")))))))),IF(((D355+E355)*C355)&lt;='Assumptions and Catalog'!$C$60,((D355+E355)*C355)*'Assumptions and Catalog'!$H$60+'Assumptions and Catalog'!$E$60+'Assumptions and Catalog'!$F$60,IF(((D355+E355)*C355)&lt;='Assumptions and Catalog'!$C$61,((D355+E355)*C355)*'Assumptions and Catalog'!$H$61+'Assumptions and Catalog'!$E$61+'Assumptions and Catalog'!$F$61,IF(((D355+E355)*C355)&lt;='Assumptions and Catalog'!$C$62,((D355+E355)*C355)*'Assumptions and Catalog'!$H$62+'Assumptions and Catalog'!$E$62+'Assumptions and Catalog'!$F$62,IF(((D355+E355)*C355)&lt;='Assumptions and Catalog'!$C$63,((D355+E355)*C355)*'Assumptions and Catalog'!$H$63+'Assumptions and Catalog'!$E$63+'Assumptions and Catalog'!$F$63,IF(((D355+E355)*C355)&lt;='Assumptions and Catalog'!$C$64,((D355+E355)*C355)*'Assumptions and Catalog'!$H$64+'Assumptions and Catalog'!$E$64+'Assumptions and Catalog'!$F$64,IF(((D355+E355)*C355)&lt;='Assumptions and Catalog'!$C$65,((D355+E355)*C355)*'Assumptions and Catalog'!$H$65+'Assumptions and Catalog'!$E$65+'Assumptions and Catalog'!$F$65,"Out of range")))))))))*(1+'Assumptions and Catalog'!$C$8)^(A355-1),0)</f>
        <v>8554.9666666666672</v>
      </c>
      <c r="N355" s="5">
        <f>IF(ISNUMBER(Inputs!$L$5),(IF(Inputs!$L$9="Actual flat rate",L355*Inputs!$L$10,IF(Inputs!$C$9="Residential",IF(L355&lt;='Assumptions and Catalog'!$C$50,L355*'Assumptions and Catalog'!$H$50+'Assumptions and Catalog'!$E$50+'Assumptions and Catalog'!$F$50,IF(L355&lt;='Assumptions and Catalog'!$C$51,L355*'Assumptions and Catalog'!$H$51+'Assumptions and Catalog'!$E$51+'Assumptions and Catalog'!$F$51,IF(L355&lt;='Assumptions and Catalog'!$C$52,L355*'Assumptions and Catalog'!$H$52+'Assumptions and Catalog'!$E$52+'Assumptions and Catalog'!$F$52,IF(L355&lt;='Assumptions and Catalog'!$C$53,L355*'Assumptions and Catalog'!$H$53+'Assumptions and Catalog'!$E$53+'Assumptions and Catalog'!$F$53,IF(L355&lt;='Assumptions and Catalog'!$C$54,L355*'Assumptions and Catalog'!$H$54+'Assumptions and Catalog'!$E$54+'Assumptions and Catalog'!$F$54,IF(L355&lt;='Assumptions and Catalog'!$C$55,L355*'Assumptions and Catalog'!$H$55+'Assumptions and Catalog'!$E$55+'Assumptions and Catalog'!$F$55,IF(L355&lt;='Assumptions and Catalog'!$C$56,L355*'Assumptions and Catalog'!$H$56+'Assumptions and Catalog'!$E$56+'Assumptions and Catalog'!$F$56,IF(L355&lt;='Assumptions and Catalog'!$C$57,L355*'Assumptions and Catalog'!$H$57+'Assumptions and Catalog'!$E$57+'Assumptions and Catalog'!$F$57,"Out of range")))))))),IF(L355&lt;='Assumptions and Catalog'!$C$60,L355*'Assumptions and Catalog'!$H$60+'Assumptions and Catalog'!$E$60+'Assumptions and Catalog'!$F$60,IF(L355&lt;='Assumptions and Catalog'!$C$61,L355*'Assumptions and Catalog'!$H$61+'Assumptions and Catalog'!$E$61+'Assumptions and Catalog'!$F$61,IF(L355&lt;='Assumptions and Catalog'!$C$62,L355*'Assumptions and Catalog'!$H$62+'Assumptions and Catalog'!$E$62+'Assumptions and Catalog'!$F$62,IF(L355&lt;='Assumptions and Catalog'!$C$63,L355*'Assumptions and Catalog'!$H$63+'Assumptions and Catalog'!$E$63+'Assumptions and Catalog'!$F$63,IF(L355&lt;='Assumptions and Catalog'!$C$64,L355*'Assumptions and Catalog'!$H$64+'Assumptions and Catalog'!$E$64+'Assumptions and Catalog'!$F$64,IF(L355&lt;='Assumptions and Catalog'!$C$65,L355*'Assumptions and Catalog'!$H$65+'Assumptions and Catalog'!$E$65+'Assumptions and Catalog'!$F$65,"Out of range")))))))))*(1+'Assumptions and Catalog'!$C$8)^(A355-1),0)</f>
        <v>5290.4550048203237</v>
      </c>
      <c r="O355" s="5">
        <f t="shared" si="30"/>
        <v>3264.5116618463435</v>
      </c>
      <c r="P355" s="5">
        <f>C$55*(1-J$14)*(1-'Assumptions and Catalog'!$C$23)^R355</f>
        <v>0</v>
      </c>
      <c r="Q355" s="5">
        <f>IF(ISNUMBER(Inputs!$L$5),(IF(Inputs!$L$9="Actual flat rate",((D355+E355)*C355-G355)*Inputs!$L$10,IF(Inputs!$C$9="Residential",IF(((D355+E355)*C355-G355)&lt;='Assumptions and Catalog'!$C$50,((D355+E355)*C355-G355)*'Assumptions and Catalog'!$H$50+'Assumptions and Catalog'!$E$50+'Assumptions and Catalog'!$F$50,IF(((D355+E355)*C355-G355)&lt;='Assumptions and Catalog'!$C$51,((D355+E355)*C355-G355)*'Assumptions and Catalog'!$H$51+'Assumptions and Catalog'!$E$51+'Assumptions and Catalog'!$F$51,IF(((D355+E355)*C355-G355)&lt;='Assumptions and Catalog'!$C$52,((D355+E355)*C355-G355)*'Assumptions and Catalog'!$H$52+'Assumptions and Catalog'!$E$52+'Assumptions and Catalog'!$F$52,IF(((D355+E355)*C355-G355)&lt;='Assumptions and Catalog'!$C$53,((D355+E355)*C355-G355)*'Assumptions and Catalog'!$H$53+'Assumptions and Catalog'!$E$53+'Assumptions and Catalog'!$F$53,IF(((D355+E355)*C355-G355)&lt;='Assumptions and Catalog'!$C$54,((D355+E355)*C355-G355)*'Assumptions and Catalog'!$H$54+'Assumptions and Catalog'!$E$54+'Assumptions and Catalog'!$F$54,IF(((D355+E355)*C355-G355)&lt;='Assumptions and Catalog'!$C$55,((D355+E355)*C355-G355)*'Assumptions and Catalog'!$H$55+'Assumptions and Catalog'!$E$55+'Assumptions and Catalog'!$F$55,IF(((D355+E355)*C355-G355)&lt;='Assumptions and Catalog'!$C$56,((D355+E355)*C355-G355)*'Assumptions and Catalog'!$H$56+'Assumptions and Catalog'!$E$56+'Assumptions and Catalog'!$F$56,IF(((D355+E355)*C355-G355)&lt;='Assumptions and Catalog'!$C$57,((D355+E355)*C355-G355)*'Assumptions and Catalog'!$H$57+'Assumptions and Catalog'!$E$57+'Assumptions and Catalog'!$F$57,"Out of range")))))))),IF(((D355+E355)*C355-G355)&lt;='Assumptions and Catalog'!$C$60,((D355+E355)*C355-G355)*'Assumptions and Catalog'!$H$60+'Assumptions and Catalog'!$E$60+'Assumptions and Catalog'!$F$60,IF(((D355+E355)*C355-G355)&lt;='Assumptions and Catalog'!$C$61,((D355+E355)*C355-G355)*'Assumptions and Catalog'!$H$61+'Assumptions and Catalog'!$E$61+'Assumptions and Catalog'!$F$61,IF(((D355+E355)*C355-G355)&lt;='Assumptions and Catalog'!$C$62,((D355+E355)*C355-G355)*'Assumptions and Catalog'!$H$62+'Assumptions and Catalog'!$E$62+'Assumptions and Catalog'!$F$62,IF(((D355+E355)*C355-G355)&lt;='Assumptions and Catalog'!$C$63,((D355+E355)*C355-G355)*'Assumptions and Catalog'!$H$63+'Assumptions and Catalog'!$E$63+'Assumptions and Catalog'!$F$63,IF(((D355+E355)*C355-G355)&lt;='Assumptions and Catalog'!$C$64,((D355+E355)*C355-G355)*'Assumptions and Catalog'!$H$64+'Assumptions and Catalog'!$E$64+'Assumptions and Catalog'!$F$64,IF(((D355+E355)*C355-G355)&lt;='Assumptions and Catalog'!$C$65,((D355+E355)*C355-G355)*'Assumptions and Catalog'!$H$65+'Assumptions and Catalog'!$E$65+'Assumptions and Catalog'!$F$65,"Out of range")))))))))*(1+'Assumptions and Catalog'!$C$8)^(A355-1),0)</f>
        <v>5290.4550048203237</v>
      </c>
      <c r="R355" s="5">
        <f>IF(AND('Assumptions and Catalog'!$C$19&gt;0,A355&gt;='Assumptions and Catalog'!$C$19),A355-'Assumptions and Catalog'!$C$19,A355-1)</f>
        <v>6</v>
      </c>
      <c r="S355" s="5">
        <f t="shared" si="31"/>
        <v>0</v>
      </c>
      <c r="T355" s="5"/>
      <c r="U355" s="5"/>
    </row>
    <row r="356" spans="1:21" ht="23.1" customHeight="1" outlineLevel="1" x14ac:dyDescent="0.2">
      <c r="A356" s="5">
        <v>17</v>
      </c>
      <c r="B356" s="5">
        <v>4</v>
      </c>
      <c r="C356" s="5">
        <f>DAY(DATE('Assumptions and Catalog'!$C$24+A356-1,B356+1,0))</f>
        <v>30</v>
      </c>
      <c r="D356" s="5">
        <f>IF(ISNUMBER(Inputs!$L$5),Inputs!$L$5*Inputs!$L$6,0)</f>
        <v>40.35</v>
      </c>
      <c r="E356" s="5">
        <f>IF(ISNUMBER(Inputs!$L$5),Inputs!$L$5-D356,0)</f>
        <v>40.35</v>
      </c>
      <c r="F356" s="5">
        <f>C$51*'Assumptions and Catalog'!$C$31*C356*(1-'Assumptions and Catalog'!$C$10)^(A356-1)</f>
        <v>923.83559647573134</v>
      </c>
      <c r="G356" s="5">
        <f t="shared" si="26"/>
        <v>923.83559647573134</v>
      </c>
      <c r="H356" s="5">
        <f>I356/('Assumptions and Catalog'!$C$11*'Assumptions and Catalog'!$C$12)</f>
        <v>0</v>
      </c>
      <c r="I356" s="5">
        <f>0</f>
        <v>0</v>
      </c>
      <c r="J356" s="5">
        <f t="shared" si="27"/>
        <v>0</v>
      </c>
      <c r="K356" s="5">
        <f t="shared" si="28"/>
        <v>0</v>
      </c>
      <c r="L356" s="5">
        <f t="shared" si="29"/>
        <v>1497.1644035242687</v>
      </c>
      <c r="M356" s="5">
        <f>IF(ISNUMBER(Inputs!$L$5),(IF(Inputs!$L$9="Actual flat rate",((D356+E356)*C356)*Inputs!$L$10,IF(Inputs!$C$9="Residential",IF(((D356+E356)*C356)&lt;='Assumptions and Catalog'!$C$50,((D356+E356)*C356)*'Assumptions and Catalog'!$H$50+'Assumptions and Catalog'!$E$50+'Assumptions and Catalog'!$F$50,IF(((D356+E356)*C356)&lt;='Assumptions and Catalog'!$C$51,((D356+E356)*C356)*'Assumptions and Catalog'!$H$51+'Assumptions and Catalog'!$E$51+'Assumptions and Catalog'!$F$51,IF(((D356+E356)*C356)&lt;='Assumptions and Catalog'!$C$52,((D356+E356)*C356)*'Assumptions and Catalog'!$H$52+'Assumptions and Catalog'!$E$52+'Assumptions and Catalog'!$F$52,IF(((D356+E356)*C356)&lt;='Assumptions and Catalog'!$C$53,((D356+E356)*C356)*'Assumptions and Catalog'!$H$53+'Assumptions and Catalog'!$E$53+'Assumptions and Catalog'!$F$53,IF(((D356+E356)*C356)&lt;='Assumptions and Catalog'!$C$54,((D356+E356)*C356)*'Assumptions and Catalog'!$H$54+'Assumptions and Catalog'!$E$54+'Assumptions and Catalog'!$F$54,IF(((D356+E356)*C356)&lt;='Assumptions and Catalog'!$C$55,((D356+E356)*C356)*'Assumptions and Catalog'!$H$55+'Assumptions and Catalog'!$E$55+'Assumptions and Catalog'!$F$55,IF(((D356+E356)*C356)&lt;='Assumptions and Catalog'!$C$56,((D356+E356)*C356)*'Assumptions and Catalog'!$H$56+'Assumptions and Catalog'!$E$56+'Assumptions and Catalog'!$F$56,IF(((D356+E356)*C356)&lt;='Assumptions and Catalog'!$C$57,((D356+E356)*C356)*'Assumptions and Catalog'!$H$57+'Assumptions and Catalog'!$E$57+'Assumptions and Catalog'!$F$57,"Out of range")))))))),IF(((D356+E356)*C356)&lt;='Assumptions and Catalog'!$C$60,((D356+E356)*C356)*'Assumptions and Catalog'!$H$60+'Assumptions and Catalog'!$E$60+'Assumptions and Catalog'!$F$60,IF(((D356+E356)*C356)&lt;='Assumptions and Catalog'!$C$61,((D356+E356)*C356)*'Assumptions and Catalog'!$H$61+'Assumptions and Catalog'!$E$61+'Assumptions and Catalog'!$F$61,IF(((D356+E356)*C356)&lt;='Assumptions and Catalog'!$C$62,((D356+E356)*C356)*'Assumptions and Catalog'!$H$62+'Assumptions and Catalog'!$E$62+'Assumptions and Catalog'!$F$62,IF(((D356+E356)*C356)&lt;='Assumptions and Catalog'!$C$63,((D356+E356)*C356)*'Assumptions and Catalog'!$H$63+'Assumptions and Catalog'!$E$63+'Assumptions and Catalog'!$F$63,IF(((D356+E356)*C356)&lt;='Assumptions and Catalog'!$C$64,((D356+E356)*C356)*'Assumptions and Catalog'!$H$64+'Assumptions and Catalog'!$E$64+'Assumptions and Catalog'!$F$64,IF(((D356+E356)*C356)&lt;='Assumptions and Catalog'!$C$65,((D356+E356)*C356)*'Assumptions and Catalog'!$H$65+'Assumptions and Catalog'!$E$65+'Assumptions and Catalog'!$F$65,"Out of range")))))))))*(1+'Assumptions and Catalog'!$C$8)^(A356-1),0)</f>
        <v>8279</v>
      </c>
      <c r="N356" s="5">
        <f>IF(ISNUMBER(Inputs!$L$5),(IF(Inputs!$L$9="Actual flat rate",L356*Inputs!$L$10,IF(Inputs!$C$9="Residential",IF(L356&lt;='Assumptions and Catalog'!$C$50,L356*'Assumptions and Catalog'!$H$50+'Assumptions and Catalog'!$E$50+'Assumptions and Catalog'!$F$50,IF(L356&lt;='Assumptions and Catalog'!$C$51,L356*'Assumptions and Catalog'!$H$51+'Assumptions and Catalog'!$E$51+'Assumptions and Catalog'!$F$51,IF(L356&lt;='Assumptions and Catalog'!$C$52,L356*'Assumptions and Catalog'!$H$52+'Assumptions and Catalog'!$E$52+'Assumptions and Catalog'!$F$52,IF(L356&lt;='Assumptions and Catalog'!$C$53,L356*'Assumptions and Catalog'!$H$53+'Assumptions and Catalog'!$E$53+'Assumptions and Catalog'!$F$53,IF(L356&lt;='Assumptions and Catalog'!$C$54,L356*'Assumptions and Catalog'!$H$54+'Assumptions and Catalog'!$E$54+'Assumptions and Catalog'!$F$54,IF(L356&lt;='Assumptions and Catalog'!$C$55,L356*'Assumptions and Catalog'!$H$55+'Assumptions and Catalog'!$E$55+'Assumptions and Catalog'!$F$55,IF(L356&lt;='Assumptions and Catalog'!$C$56,L356*'Assumptions and Catalog'!$H$56+'Assumptions and Catalog'!$E$56+'Assumptions and Catalog'!$F$56,IF(L356&lt;='Assumptions and Catalog'!$C$57,L356*'Assumptions and Catalog'!$H$57+'Assumptions and Catalog'!$E$57+'Assumptions and Catalog'!$F$57,"Out of range")))))))),IF(L356&lt;='Assumptions and Catalog'!$C$60,L356*'Assumptions and Catalog'!$H$60+'Assumptions and Catalog'!$E$60+'Assumptions and Catalog'!$F$60,IF(L356&lt;='Assumptions and Catalog'!$C$61,L356*'Assumptions and Catalog'!$H$61+'Assumptions and Catalog'!$E$61+'Assumptions and Catalog'!$F$61,IF(L356&lt;='Assumptions and Catalog'!$C$62,L356*'Assumptions and Catalog'!$H$62+'Assumptions and Catalog'!$E$62+'Assumptions and Catalog'!$F$62,IF(L356&lt;='Assumptions and Catalog'!$C$63,L356*'Assumptions and Catalog'!$H$63+'Assumptions and Catalog'!$E$63+'Assumptions and Catalog'!$F$63,IF(L356&lt;='Assumptions and Catalog'!$C$64,L356*'Assumptions and Catalog'!$H$64+'Assumptions and Catalog'!$E$64+'Assumptions and Catalog'!$F$64,IF(L356&lt;='Assumptions and Catalog'!$C$65,L356*'Assumptions and Catalog'!$H$65+'Assumptions and Catalog'!$E$65+'Assumptions and Catalog'!$F$65,"Out of range")))))))))*(1+'Assumptions and Catalog'!$C$8)^(A356-1),0)</f>
        <v>5119.7951659551509</v>
      </c>
      <c r="O356" s="5">
        <f t="shared" si="30"/>
        <v>3159.2048340448491</v>
      </c>
      <c r="P356" s="5">
        <f>C$55*(1-J$14)*(1-'Assumptions and Catalog'!$C$23)^R356</f>
        <v>0</v>
      </c>
      <c r="Q356" s="5">
        <f>IF(ISNUMBER(Inputs!$L$5),(IF(Inputs!$L$9="Actual flat rate",((D356+E356)*C356-G356)*Inputs!$L$10,IF(Inputs!$C$9="Residential",IF(((D356+E356)*C356-G356)&lt;='Assumptions and Catalog'!$C$50,((D356+E356)*C356-G356)*'Assumptions and Catalog'!$H$50+'Assumptions and Catalog'!$E$50+'Assumptions and Catalog'!$F$50,IF(((D356+E356)*C356-G356)&lt;='Assumptions and Catalog'!$C$51,((D356+E356)*C356-G356)*'Assumptions and Catalog'!$H$51+'Assumptions and Catalog'!$E$51+'Assumptions and Catalog'!$F$51,IF(((D356+E356)*C356-G356)&lt;='Assumptions and Catalog'!$C$52,((D356+E356)*C356-G356)*'Assumptions and Catalog'!$H$52+'Assumptions and Catalog'!$E$52+'Assumptions and Catalog'!$F$52,IF(((D356+E356)*C356-G356)&lt;='Assumptions and Catalog'!$C$53,((D356+E356)*C356-G356)*'Assumptions and Catalog'!$H$53+'Assumptions and Catalog'!$E$53+'Assumptions and Catalog'!$F$53,IF(((D356+E356)*C356-G356)&lt;='Assumptions and Catalog'!$C$54,((D356+E356)*C356-G356)*'Assumptions and Catalog'!$H$54+'Assumptions and Catalog'!$E$54+'Assumptions and Catalog'!$F$54,IF(((D356+E356)*C356-G356)&lt;='Assumptions and Catalog'!$C$55,((D356+E356)*C356-G356)*'Assumptions and Catalog'!$H$55+'Assumptions and Catalog'!$E$55+'Assumptions and Catalog'!$F$55,IF(((D356+E356)*C356-G356)&lt;='Assumptions and Catalog'!$C$56,((D356+E356)*C356-G356)*'Assumptions and Catalog'!$H$56+'Assumptions and Catalog'!$E$56+'Assumptions and Catalog'!$F$56,IF(((D356+E356)*C356-G356)&lt;='Assumptions and Catalog'!$C$57,((D356+E356)*C356-G356)*'Assumptions and Catalog'!$H$57+'Assumptions and Catalog'!$E$57+'Assumptions and Catalog'!$F$57,"Out of range")))))))),IF(((D356+E356)*C356-G356)&lt;='Assumptions and Catalog'!$C$60,((D356+E356)*C356-G356)*'Assumptions and Catalog'!$H$60+'Assumptions and Catalog'!$E$60+'Assumptions and Catalog'!$F$60,IF(((D356+E356)*C356-G356)&lt;='Assumptions and Catalog'!$C$61,((D356+E356)*C356-G356)*'Assumptions and Catalog'!$H$61+'Assumptions and Catalog'!$E$61+'Assumptions and Catalog'!$F$61,IF(((D356+E356)*C356-G356)&lt;='Assumptions and Catalog'!$C$62,((D356+E356)*C356-G356)*'Assumptions and Catalog'!$H$62+'Assumptions and Catalog'!$E$62+'Assumptions and Catalog'!$F$62,IF(((D356+E356)*C356-G356)&lt;='Assumptions and Catalog'!$C$63,((D356+E356)*C356-G356)*'Assumptions and Catalog'!$H$63+'Assumptions and Catalog'!$E$63+'Assumptions and Catalog'!$F$63,IF(((D356+E356)*C356-G356)&lt;='Assumptions and Catalog'!$C$64,((D356+E356)*C356-G356)*'Assumptions and Catalog'!$H$64+'Assumptions and Catalog'!$E$64+'Assumptions and Catalog'!$F$64,IF(((D356+E356)*C356-G356)&lt;='Assumptions and Catalog'!$C$65,((D356+E356)*C356-G356)*'Assumptions and Catalog'!$H$65+'Assumptions and Catalog'!$E$65+'Assumptions and Catalog'!$F$65,"Out of range")))))))))*(1+'Assumptions and Catalog'!$C$8)^(A356-1),0)</f>
        <v>5119.7951659551509</v>
      </c>
      <c r="R356" s="5">
        <f>IF(AND('Assumptions and Catalog'!$C$19&gt;0,A356&gt;='Assumptions and Catalog'!$C$19),A356-'Assumptions and Catalog'!$C$19,A356-1)</f>
        <v>6</v>
      </c>
      <c r="S356" s="5">
        <f t="shared" si="31"/>
        <v>0</v>
      </c>
      <c r="T356" s="5"/>
      <c r="U356" s="5"/>
    </row>
    <row r="357" spans="1:21" ht="23.1" customHeight="1" outlineLevel="1" x14ac:dyDescent="0.2">
      <c r="A357" s="5">
        <v>17</v>
      </c>
      <c r="B357" s="5">
        <v>5</v>
      </c>
      <c r="C357" s="5">
        <f>DAY(DATE('Assumptions and Catalog'!$C$24+A357-1,B357+1,0))</f>
        <v>31</v>
      </c>
      <c r="D357" s="5">
        <f>IF(ISNUMBER(Inputs!$L$5),Inputs!$L$5*Inputs!$L$6,0)</f>
        <v>40.35</v>
      </c>
      <c r="E357" s="5">
        <f>IF(ISNUMBER(Inputs!$L$5),Inputs!$L$5-D357,0)</f>
        <v>40.35</v>
      </c>
      <c r="F357" s="5">
        <f>C$51*'Assumptions and Catalog'!$C$31*C357*(1-'Assumptions and Catalog'!$C$10)^(A357-1)</f>
        <v>954.63011635825569</v>
      </c>
      <c r="G357" s="5">
        <f t="shared" si="26"/>
        <v>954.63011635825569</v>
      </c>
      <c r="H357" s="5">
        <f>I357/('Assumptions and Catalog'!$C$11*'Assumptions and Catalog'!$C$12)</f>
        <v>0</v>
      </c>
      <c r="I357" s="5">
        <f>0</f>
        <v>0</v>
      </c>
      <c r="J357" s="5">
        <f t="shared" si="27"/>
        <v>0</v>
      </c>
      <c r="K357" s="5">
        <f t="shared" si="28"/>
        <v>0</v>
      </c>
      <c r="L357" s="5">
        <f t="shared" si="29"/>
        <v>1547.0698836417446</v>
      </c>
      <c r="M357" s="5">
        <f>IF(ISNUMBER(Inputs!$L$5),(IF(Inputs!$L$9="Actual flat rate",((D357+E357)*C357)*Inputs!$L$10,IF(Inputs!$C$9="Residential",IF(((D357+E357)*C357)&lt;='Assumptions and Catalog'!$C$50,((D357+E357)*C357)*'Assumptions and Catalog'!$H$50+'Assumptions and Catalog'!$E$50+'Assumptions and Catalog'!$F$50,IF(((D357+E357)*C357)&lt;='Assumptions and Catalog'!$C$51,((D357+E357)*C357)*'Assumptions and Catalog'!$H$51+'Assumptions and Catalog'!$E$51+'Assumptions and Catalog'!$F$51,IF(((D357+E357)*C357)&lt;='Assumptions and Catalog'!$C$52,((D357+E357)*C357)*'Assumptions and Catalog'!$H$52+'Assumptions and Catalog'!$E$52+'Assumptions and Catalog'!$F$52,IF(((D357+E357)*C357)&lt;='Assumptions and Catalog'!$C$53,((D357+E357)*C357)*'Assumptions and Catalog'!$H$53+'Assumptions and Catalog'!$E$53+'Assumptions and Catalog'!$F$53,IF(((D357+E357)*C357)&lt;='Assumptions and Catalog'!$C$54,((D357+E357)*C357)*'Assumptions and Catalog'!$H$54+'Assumptions and Catalog'!$E$54+'Assumptions and Catalog'!$F$54,IF(((D357+E357)*C357)&lt;='Assumptions and Catalog'!$C$55,((D357+E357)*C357)*'Assumptions and Catalog'!$H$55+'Assumptions and Catalog'!$E$55+'Assumptions and Catalog'!$F$55,IF(((D357+E357)*C357)&lt;='Assumptions and Catalog'!$C$56,((D357+E357)*C357)*'Assumptions and Catalog'!$H$56+'Assumptions and Catalog'!$E$56+'Assumptions and Catalog'!$F$56,IF(((D357+E357)*C357)&lt;='Assumptions and Catalog'!$C$57,((D357+E357)*C357)*'Assumptions and Catalog'!$H$57+'Assumptions and Catalog'!$E$57+'Assumptions and Catalog'!$F$57,"Out of range")))))))),IF(((D357+E357)*C357)&lt;='Assumptions and Catalog'!$C$60,((D357+E357)*C357)*'Assumptions and Catalog'!$H$60+'Assumptions and Catalog'!$E$60+'Assumptions and Catalog'!$F$60,IF(((D357+E357)*C357)&lt;='Assumptions and Catalog'!$C$61,((D357+E357)*C357)*'Assumptions and Catalog'!$H$61+'Assumptions and Catalog'!$E$61+'Assumptions and Catalog'!$F$61,IF(((D357+E357)*C357)&lt;='Assumptions and Catalog'!$C$62,((D357+E357)*C357)*'Assumptions and Catalog'!$H$62+'Assumptions and Catalog'!$E$62+'Assumptions and Catalog'!$F$62,IF(((D357+E357)*C357)&lt;='Assumptions and Catalog'!$C$63,((D357+E357)*C357)*'Assumptions and Catalog'!$H$63+'Assumptions and Catalog'!$E$63+'Assumptions and Catalog'!$F$63,IF(((D357+E357)*C357)&lt;='Assumptions and Catalog'!$C$64,((D357+E357)*C357)*'Assumptions and Catalog'!$H$64+'Assumptions and Catalog'!$E$64+'Assumptions and Catalog'!$F$64,IF(((D357+E357)*C357)&lt;='Assumptions and Catalog'!$C$65,((D357+E357)*C357)*'Assumptions and Catalog'!$H$65+'Assumptions and Catalog'!$E$65+'Assumptions and Catalog'!$F$65,"Out of range")))))))))*(1+'Assumptions and Catalog'!$C$8)^(A357-1),0)</f>
        <v>8554.9666666666672</v>
      </c>
      <c r="N357" s="5">
        <f>IF(ISNUMBER(Inputs!$L$5),(IF(Inputs!$L$9="Actual flat rate",L357*Inputs!$L$10,IF(Inputs!$C$9="Residential",IF(L357&lt;='Assumptions and Catalog'!$C$50,L357*'Assumptions and Catalog'!$H$50+'Assumptions and Catalog'!$E$50+'Assumptions and Catalog'!$F$50,IF(L357&lt;='Assumptions and Catalog'!$C$51,L357*'Assumptions and Catalog'!$H$51+'Assumptions and Catalog'!$E$51+'Assumptions and Catalog'!$F$51,IF(L357&lt;='Assumptions and Catalog'!$C$52,L357*'Assumptions and Catalog'!$H$52+'Assumptions and Catalog'!$E$52+'Assumptions and Catalog'!$F$52,IF(L357&lt;='Assumptions and Catalog'!$C$53,L357*'Assumptions and Catalog'!$H$53+'Assumptions and Catalog'!$E$53+'Assumptions and Catalog'!$F$53,IF(L357&lt;='Assumptions and Catalog'!$C$54,L357*'Assumptions and Catalog'!$H$54+'Assumptions and Catalog'!$E$54+'Assumptions and Catalog'!$F$54,IF(L357&lt;='Assumptions and Catalog'!$C$55,L357*'Assumptions and Catalog'!$H$55+'Assumptions and Catalog'!$E$55+'Assumptions and Catalog'!$F$55,IF(L357&lt;='Assumptions and Catalog'!$C$56,L357*'Assumptions and Catalog'!$H$56+'Assumptions and Catalog'!$E$56+'Assumptions and Catalog'!$F$56,IF(L357&lt;='Assumptions and Catalog'!$C$57,L357*'Assumptions and Catalog'!$H$57+'Assumptions and Catalog'!$E$57+'Assumptions and Catalog'!$F$57,"Out of range")))))))),IF(L357&lt;='Assumptions and Catalog'!$C$60,L357*'Assumptions and Catalog'!$H$60+'Assumptions and Catalog'!$E$60+'Assumptions and Catalog'!$F$60,IF(L357&lt;='Assumptions and Catalog'!$C$61,L357*'Assumptions and Catalog'!$H$61+'Assumptions and Catalog'!$E$61+'Assumptions and Catalog'!$F$61,IF(L357&lt;='Assumptions and Catalog'!$C$62,L357*'Assumptions and Catalog'!$H$62+'Assumptions and Catalog'!$E$62+'Assumptions and Catalog'!$F$62,IF(L357&lt;='Assumptions and Catalog'!$C$63,L357*'Assumptions and Catalog'!$H$63+'Assumptions and Catalog'!$E$63+'Assumptions and Catalog'!$F$63,IF(L357&lt;='Assumptions and Catalog'!$C$64,L357*'Assumptions and Catalog'!$H$64+'Assumptions and Catalog'!$E$64+'Assumptions and Catalog'!$F$64,IF(L357&lt;='Assumptions and Catalog'!$C$65,L357*'Assumptions and Catalog'!$H$65+'Assumptions and Catalog'!$E$65+'Assumptions and Catalog'!$F$65,"Out of range")))))))))*(1+'Assumptions and Catalog'!$C$8)^(A357-1),0)</f>
        <v>5290.4550048203237</v>
      </c>
      <c r="O357" s="5">
        <f t="shared" si="30"/>
        <v>3264.5116618463435</v>
      </c>
      <c r="P357" s="5">
        <f>C$55*(1-J$14)*(1-'Assumptions and Catalog'!$C$23)^R357</f>
        <v>0</v>
      </c>
      <c r="Q357" s="5">
        <f>IF(ISNUMBER(Inputs!$L$5),(IF(Inputs!$L$9="Actual flat rate",((D357+E357)*C357-G357)*Inputs!$L$10,IF(Inputs!$C$9="Residential",IF(((D357+E357)*C357-G357)&lt;='Assumptions and Catalog'!$C$50,((D357+E357)*C357-G357)*'Assumptions and Catalog'!$H$50+'Assumptions and Catalog'!$E$50+'Assumptions and Catalog'!$F$50,IF(((D357+E357)*C357-G357)&lt;='Assumptions and Catalog'!$C$51,((D357+E357)*C357-G357)*'Assumptions and Catalog'!$H$51+'Assumptions and Catalog'!$E$51+'Assumptions and Catalog'!$F$51,IF(((D357+E357)*C357-G357)&lt;='Assumptions and Catalog'!$C$52,((D357+E357)*C357-G357)*'Assumptions and Catalog'!$H$52+'Assumptions and Catalog'!$E$52+'Assumptions and Catalog'!$F$52,IF(((D357+E357)*C357-G357)&lt;='Assumptions and Catalog'!$C$53,((D357+E357)*C357-G357)*'Assumptions and Catalog'!$H$53+'Assumptions and Catalog'!$E$53+'Assumptions and Catalog'!$F$53,IF(((D357+E357)*C357-G357)&lt;='Assumptions and Catalog'!$C$54,((D357+E357)*C357-G357)*'Assumptions and Catalog'!$H$54+'Assumptions and Catalog'!$E$54+'Assumptions and Catalog'!$F$54,IF(((D357+E357)*C357-G357)&lt;='Assumptions and Catalog'!$C$55,((D357+E357)*C357-G357)*'Assumptions and Catalog'!$H$55+'Assumptions and Catalog'!$E$55+'Assumptions and Catalog'!$F$55,IF(((D357+E357)*C357-G357)&lt;='Assumptions and Catalog'!$C$56,((D357+E357)*C357-G357)*'Assumptions and Catalog'!$H$56+'Assumptions and Catalog'!$E$56+'Assumptions and Catalog'!$F$56,IF(((D357+E357)*C357-G357)&lt;='Assumptions and Catalog'!$C$57,((D357+E357)*C357-G357)*'Assumptions and Catalog'!$H$57+'Assumptions and Catalog'!$E$57+'Assumptions and Catalog'!$F$57,"Out of range")))))))),IF(((D357+E357)*C357-G357)&lt;='Assumptions and Catalog'!$C$60,((D357+E357)*C357-G357)*'Assumptions and Catalog'!$H$60+'Assumptions and Catalog'!$E$60+'Assumptions and Catalog'!$F$60,IF(((D357+E357)*C357-G357)&lt;='Assumptions and Catalog'!$C$61,((D357+E357)*C357-G357)*'Assumptions and Catalog'!$H$61+'Assumptions and Catalog'!$E$61+'Assumptions and Catalog'!$F$61,IF(((D357+E357)*C357-G357)&lt;='Assumptions and Catalog'!$C$62,((D357+E357)*C357-G357)*'Assumptions and Catalog'!$H$62+'Assumptions and Catalog'!$E$62+'Assumptions and Catalog'!$F$62,IF(((D357+E357)*C357-G357)&lt;='Assumptions and Catalog'!$C$63,((D357+E357)*C357-G357)*'Assumptions and Catalog'!$H$63+'Assumptions and Catalog'!$E$63+'Assumptions and Catalog'!$F$63,IF(((D357+E357)*C357-G357)&lt;='Assumptions and Catalog'!$C$64,((D357+E357)*C357-G357)*'Assumptions and Catalog'!$H$64+'Assumptions and Catalog'!$E$64+'Assumptions and Catalog'!$F$64,IF(((D357+E357)*C357-G357)&lt;='Assumptions and Catalog'!$C$65,((D357+E357)*C357-G357)*'Assumptions and Catalog'!$H$65+'Assumptions and Catalog'!$E$65+'Assumptions and Catalog'!$F$65,"Out of range")))))))))*(1+'Assumptions and Catalog'!$C$8)^(A357-1),0)</f>
        <v>5290.4550048203237</v>
      </c>
      <c r="R357" s="5">
        <f>IF(AND('Assumptions and Catalog'!$C$19&gt;0,A357&gt;='Assumptions and Catalog'!$C$19),A357-'Assumptions and Catalog'!$C$19,A357-1)</f>
        <v>6</v>
      </c>
      <c r="S357" s="5">
        <f t="shared" si="31"/>
        <v>0</v>
      </c>
      <c r="T357" s="5"/>
      <c r="U357" s="5"/>
    </row>
    <row r="358" spans="1:21" ht="23.1" customHeight="1" outlineLevel="1" x14ac:dyDescent="0.2">
      <c r="A358" s="5">
        <v>17</v>
      </c>
      <c r="B358" s="5">
        <v>6</v>
      </c>
      <c r="C358" s="5">
        <f>DAY(DATE('Assumptions and Catalog'!$C$24+A358-1,B358+1,0))</f>
        <v>30</v>
      </c>
      <c r="D358" s="5">
        <f>IF(ISNUMBER(Inputs!$L$5),Inputs!$L$5*Inputs!$L$6,0)</f>
        <v>40.35</v>
      </c>
      <c r="E358" s="5">
        <f>IF(ISNUMBER(Inputs!$L$5),Inputs!$L$5-D358,0)</f>
        <v>40.35</v>
      </c>
      <c r="F358" s="5">
        <f>C$51*'Assumptions and Catalog'!$C$31*C358*(1-'Assumptions and Catalog'!$C$10)^(A358-1)</f>
        <v>923.83559647573134</v>
      </c>
      <c r="G358" s="5">
        <f t="shared" si="26"/>
        <v>923.83559647573134</v>
      </c>
      <c r="H358" s="5">
        <f>I358/('Assumptions and Catalog'!$C$11*'Assumptions and Catalog'!$C$12)</f>
        <v>0</v>
      </c>
      <c r="I358" s="5">
        <f>0</f>
        <v>0</v>
      </c>
      <c r="J358" s="5">
        <f t="shared" si="27"/>
        <v>0</v>
      </c>
      <c r="K358" s="5">
        <f t="shared" si="28"/>
        <v>0</v>
      </c>
      <c r="L358" s="5">
        <f t="shared" si="29"/>
        <v>1497.1644035242687</v>
      </c>
      <c r="M358" s="5">
        <f>IF(ISNUMBER(Inputs!$L$5),(IF(Inputs!$L$9="Actual flat rate",((D358+E358)*C358)*Inputs!$L$10,IF(Inputs!$C$9="Residential",IF(((D358+E358)*C358)&lt;='Assumptions and Catalog'!$C$50,((D358+E358)*C358)*'Assumptions and Catalog'!$H$50+'Assumptions and Catalog'!$E$50+'Assumptions and Catalog'!$F$50,IF(((D358+E358)*C358)&lt;='Assumptions and Catalog'!$C$51,((D358+E358)*C358)*'Assumptions and Catalog'!$H$51+'Assumptions and Catalog'!$E$51+'Assumptions and Catalog'!$F$51,IF(((D358+E358)*C358)&lt;='Assumptions and Catalog'!$C$52,((D358+E358)*C358)*'Assumptions and Catalog'!$H$52+'Assumptions and Catalog'!$E$52+'Assumptions and Catalog'!$F$52,IF(((D358+E358)*C358)&lt;='Assumptions and Catalog'!$C$53,((D358+E358)*C358)*'Assumptions and Catalog'!$H$53+'Assumptions and Catalog'!$E$53+'Assumptions and Catalog'!$F$53,IF(((D358+E358)*C358)&lt;='Assumptions and Catalog'!$C$54,((D358+E358)*C358)*'Assumptions and Catalog'!$H$54+'Assumptions and Catalog'!$E$54+'Assumptions and Catalog'!$F$54,IF(((D358+E358)*C358)&lt;='Assumptions and Catalog'!$C$55,((D358+E358)*C358)*'Assumptions and Catalog'!$H$55+'Assumptions and Catalog'!$E$55+'Assumptions and Catalog'!$F$55,IF(((D358+E358)*C358)&lt;='Assumptions and Catalog'!$C$56,((D358+E358)*C358)*'Assumptions and Catalog'!$H$56+'Assumptions and Catalog'!$E$56+'Assumptions and Catalog'!$F$56,IF(((D358+E358)*C358)&lt;='Assumptions and Catalog'!$C$57,((D358+E358)*C358)*'Assumptions and Catalog'!$H$57+'Assumptions and Catalog'!$E$57+'Assumptions and Catalog'!$F$57,"Out of range")))))))),IF(((D358+E358)*C358)&lt;='Assumptions and Catalog'!$C$60,((D358+E358)*C358)*'Assumptions and Catalog'!$H$60+'Assumptions and Catalog'!$E$60+'Assumptions and Catalog'!$F$60,IF(((D358+E358)*C358)&lt;='Assumptions and Catalog'!$C$61,((D358+E358)*C358)*'Assumptions and Catalog'!$H$61+'Assumptions and Catalog'!$E$61+'Assumptions and Catalog'!$F$61,IF(((D358+E358)*C358)&lt;='Assumptions and Catalog'!$C$62,((D358+E358)*C358)*'Assumptions and Catalog'!$H$62+'Assumptions and Catalog'!$E$62+'Assumptions and Catalog'!$F$62,IF(((D358+E358)*C358)&lt;='Assumptions and Catalog'!$C$63,((D358+E358)*C358)*'Assumptions and Catalog'!$H$63+'Assumptions and Catalog'!$E$63+'Assumptions and Catalog'!$F$63,IF(((D358+E358)*C358)&lt;='Assumptions and Catalog'!$C$64,((D358+E358)*C358)*'Assumptions and Catalog'!$H$64+'Assumptions and Catalog'!$E$64+'Assumptions and Catalog'!$F$64,IF(((D358+E358)*C358)&lt;='Assumptions and Catalog'!$C$65,((D358+E358)*C358)*'Assumptions and Catalog'!$H$65+'Assumptions and Catalog'!$E$65+'Assumptions and Catalog'!$F$65,"Out of range")))))))))*(1+'Assumptions and Catalog'!$C$8)^(A358-1),0)</f>
        <v>8279</v>
      </c>
      <c r="N358" s="5">
        <f>IF(ISNUMBER(Inputs!$L$5),(IF(Inputs!$L$9="Actual flat rate",L358*Inputs!$L$10,IF(Inputs!$C$9="Residential",IF(L358&lt;='Assumptions and Catalog'!$C$50,L358*'Assumptions and Catalog'!$H$50+'Assumptions and Catalog'!$E$50+'Assumptions and Catalog'!$F$50,IF(L358&lt;='Assumptions and Catalog'!$C$51,L358*'Assumptions and Catalog'!$H$51+'Assumptions and Catalog'!$E$51+'Assumptions and Catalog'!$F$51,IF(L358&lt;='Assumptions and Catalog'!$C$52,L358*'Assumptions and Catalog'!$H$52+'Assumptions and Catalog'!$E$52+'Assumptions and Catalog'!$F$52,IF(L358&lt;='Assumptions and Catalog'!$C$53,L358*'Assumptions and Catalog'!$H$53+'Assumptions and Catalog'!$E$53+'Assumptions and Catalog'!$F$53,IF(L358&lt;='Assumptions and Catalog'!$C$54,L358*'Assumptions and Catalog'!$H$54+'Assumptions and Catalog'!$E$54+'Assumptions and Catalog'!$F$54,IF(L358&lt;='Assumptions and Catalog'!$C$55,L358*'Assumptions and Catalog'!$H$55+'Assumptions and Catalog'!$E$55+'Assumptions and Catalog'!$F$55,IF(L358&lt;='Assumptions and Catalog'!$C$56,L358*'Assumptions and Catalog'!$H$56+'Assumptions and Catalog'!$E$56+'Assumptions and Catalog'!$F$56,IF(L358&lt;='Assumptions and Catalog'!$C$57,L358*'Assumptions and Catalog'!$H$57+'Assumptions and Catalog'!$E$57+'Assumptions and Catalog'!$F$57,"Out of range")))))))),IF(L358&lt;='Assumptions and Catalog'!$C$60,L358*'Assumptions and Catalog'!$H$60+'Assumptions and Catalog'!$E$60+'Assumptions and Catalog'!$F$60,IF(L358&lt;='Assumptions and Catalog'!$C$61,L358*'Assumptions and Catalog'!$H$61+'Assumptions and Catalog'!$E$61+'Assumptions and Catalog'!$F$61,IF(L358&lt;='Assumptions and Catalog'!$C$62,L358*'Assumptions and Catalog'!$H$62+'Assumptions and Catalog'!$E$62+'Assumptions and Catalog'!$F$62,IF(L358&lt;='Assumptions and Catalog'!$C$63,L358*'Assumptions and Catalog'!$H$63+'Assumptions and Catalog'!$E$63+'Assumptions and Catalog'!$F$63,IF(L358&lt;='Assumptions and Catalog'!$C$64,L358*'Assumptions and Catalog'!$H$64+'Assumptions and Catalog'!$E$64+'Assumptions and Catalog'!$F$64,IF(L358&lt;='Assumptions and Catalog'!$C$65,L358*'Assumptions and Catalog'!$H$65+'Assumptions and Catalog'!$E$65+'Assumptions and Catalog'!$F$65,"Out of range")))))))))*(1+'Assumptions and Catalog'!$C$8)^(A358-1),0)</f>
        <v>5119.7951659551509</v>
      </c>
      <c r="O358" s="5">
        <f t="shared" si="30"/>
        <v>3159.2048340448491</v>
      </c>
      <c r="P358" s="5">
        <f>C$55*(1-J$14)*(1-'Assumptions and Catalog'!$C$23)^R358</f>
        <v>0</v>
      </c>
      <c r="Q358" s="5">
        <f>IF(ISNUMBER(Inputs!$L$5),(IF(Inputs!$L$9="Actual flat rate",((D358+E358)*C358-G358)*Inputs!$L$10,IF(Inputs!$C$9="Residential",IF(((D358+E358)*C358-G358)&lt;='Assumptions and Catalog'!$C$50,((D358+E358)*C358-G358)*'Assumptions and Catalog'!$H$50+'Assumptions and Catalog'!$E$50+'Assumptions and Catalog'!$F$50,IF(((D358+E358)*C358-G358)&lt;='Assumptions and Catalog'!$C$51,((D358+E358)*C358-G358)*'Assumptions and Catalog'!$H$51+'Assumptions and Catalog'!$E$51+'Assumptions and Catalog'!$F$51,IF(((D358+E358)*C358-G358)&lt;='Assumptions and Catalog'!$C$52,((D358+E358)*C358-G358)*'Assumptions and Catalog'!$H$52+'Assumptions and Catalog'!$E$52+'Assumptions and Catalog'!$F$52,IF(((D358+E358)*C358-G358)&lt;='Assumptions and Catalog'!$C$53,((D358+E358)*C358-G358)*'Assumptions and Catalog'!$H$53+'Assumptions and Catalog'!$E$53+'Assumptions and Catalog'!$F$53,IF(((D358+E358)*C358-G358)&lt;='Assumptions and Catalog'!$C$54,((D358+E358)*C358-G358)*'Assumptions and Catalog'!$H$54+'Assumptions and Catalog'!$E$54+'Assumptions and Catalog'!$F$54,IF(((D358+E358)*C358-G358)&lt;='Assumptions and Catalog'!$C$55,((D358+E358)*C358-G358)*'Assumptions and Catalog'!$H$55+'Assumptions and Catalog'!$E$55+'Assumptions and Catalog'!$F$55,IF(((D358+E358)*C358-G358)&lt;='Assumptions and Catalog'!$C$56,((D358+E358)*C358-G358)*'Assumptions and Catalog'!$H$56+'Assumptions and Catalog'!$E$56+'Assumptions and Catalog'!$F$56,IF(((D358+E358)*C358-G358)&lt;='Assumptions and Catalog'!$C$57,((D358+E358)*C358-G358)*'Assumptions and Catalog'!$H$57+'Assumptions and Catalog'!$E$57+'Assumptions and Catalog'!$F$57,"Out of range")))))))),IF(((D358+E358)*C358-G358)&lt;='Assumptions and Catalog'!$C$60,((D358+E358)*C358-G358)*'Assumptions and Catalog'!$H$60+'Assumptions and Catalog'!$E$60+'Assumptions and Catalog'!$F$60,IF(((D358+E358)*C358-G358)&lt;='Assumptions and Catalog'!$C$61,((D358+E358)*C358-G358)*'Assumptions and Catalog'!$H$61+'Assumptions and Catalog'!$E$61+'Assumptions and Catalog'!$F$61,IF(((D358+E358)*C358-G358)&lt;='Assumptions and Catalog'!$C$62,((D358+E358)*C358-G358)*'Assumptions and Catalog'!$H$62+'Assumptions and Catalog'!$E$62+'Assumptions and Catalog'!$F$62,IF(((D358+E358)*C358-G358)&lt;='Assumptions and Catalog'!$C$63,((D358+E358)*C358-G358)*'Assumptions and Catalog'!$H$63+'Assumptions and Catalog'!$E$63+'Assumptions and Catalog'!$F$63,IF(((D358+E358)*C358-G358)&lt;='Assumptions and Catalog'!$C$64,((D358+E358)*C358-G358)*'Assumptions and Catalog'!$H$64+'Assumptions and Catalog'!$E$64+'Assumptions and Catalog'!$F$64,IF(((D358+E358)*C358-G358)&lt;='Assumptions and Catalog'!$C$65,((D358+E358)*C358-G358)*'Assumptions and Catalog'!$H$65+'Assumptions and Catalog'!$E$65+'Assumptions and Catalog'!$F$65,"Out of range")))))))))*(1+'Assumptions and Catalog'!$C$8)^(A358-1),0)</f>
        <v>5119.7951659551509</v>
      </c>
      <c r="R358" s="5">
        <f>IF(AND('Assumptions and Catalog'!$C$19&gt;0,A358&gt;='Assumptions and Catalog'!$C$19),A358-'Assumptions and Catalog'!$C$19,A358-1)</f>
        <v>6</v>
      </c>
      <c r="S358" s="5">
        <f t="shared" si="31"/>
        <v>0</v>
      </c>
      <c r="T358" s="5"/>
      <c r="U358" s="5"/>
    </row>
    <row r="359" spans="1:21" ht="23.1" customHeight="1" outlineLevel="1" x14ac:dyDescent="0.2">
      <c r="A359" s="5">
        <v>17</v>
      </c>
      <c r="B359" s="5">
        <v>7</v>
      </c>
      <c r="C359" s="5">
        <f>DAY(DATE('Assumptions and Catalog'!$C$24+A359-1,B359+1,0))</f>
        <v>31</v>
      </c>
      <c r="D359" s="5">
        <f>IF(ISNUMBER(Inputs!$L$5),Inputs!$L$5*Inputs!$L$6,0)</f>
        <v>40.35</v>
      </c>
      <c r="E359" s="5">
        <f>IF(ISNUMBER(Inputs!$L$5),Inputs!$L$5-D359,0)</f>
        <v>40.35</v>
      </c>
      <c r="F359" s="5">
        <f>C$51*'Assumptions and Catalog'!$C$31*C359*(1-'Assumptions and Catalog'!$C$10)^(A359-1)</f>
        <v>954.63011635825569</v>
      </c>
      <c r="G359" s="5">
        <f t="shared" si="26"/>
        <v>954.63011635825569</v>
      </c>
      <c r="H359" s="5">
        <f>I359/('Assumptions and Catalog'!$C$11*'Assumptions and Catalog'!$C$12)</f>
        <v>0</v>
      </c>
      <c r="I359" s="5">
        <f>0</f>
        <v>0</v>
      </c>
      <c r="J359" s="5">
        <f t="shared" si="27"/>
        <v>0</v>
      </c>
      <c r="K359" s="5">
        <f t="shared" si="28"/>
        <v>0</v>
      </c>
      <c r="L359" s="5">
        <f t="shared" si="29"/>
        <v>1547.0698836417446</v>
      </c>
      <c r="M359" s="5">
        <f>IF(ISNUMBER(Inputs!$L$5),(IF(Inputs!$L$9="Actual flat rate",((D359+E359)*C359)*Inputs!$L$10,IF(Inputs!$C$9="Residential",IF(((D359+E359)*C359)&lt;='Assumptions and Catalog'!$C$50,((D359+E359)*C359)*'Assumptions and Catalog'!$H$50+'Assumptions and Catalog'!$E$50+'Assumptions and Catalog'!$F$50,IF(((D359+E359)*C359)&lt;='Assumptions and Catalog'!$C$51,((D359+E359)*C359)*'Assumptions and Catalog'!$H$51+'Assumptions and Catalog'!$E$51+'Assumptions and Catalog'!$F$51,IF(((D359+E359)*C359)&lt;='Assumptions and Catalog'!$C$52,((D359+E359)*C359)*'Assumptions and Catalog'!$H$52+'Assumptions and Catalog'!$E$52+'Assumptions and Catalog'!$F$52,IF(((D359+E359)*C359)&lt;='Assumptions and Catalog'!$C$53,((D359+E359)*C359)*'Assumptions and Catalog'!$H$53+'Assumptions and Catalog'!$E$53+'Assumptions and Catalog'!$F$53,IF(((D359+E359)*C359)&lt;='Assumptions and Catalog'!$C$54,((D359+E359)*C359)*'Assumptions and Catalog'!$H$54+'Assumptions and Catalog'!$E$54+'Assumptions and Catalog'!$F$54,IF(((D359+E359)*C359)&lt;='Assumptions and Catalog'!$C$55,((D359+E359)*C359)*'Assumptions and Catalog'!$H$55+'Assumptions and Catalog'!$E$55+'Assumptions and Catalog'!$F$55,IF(((D359+E359)*C359)&lt;='Assumptions and Catalog'!$C$56,((D359+E359)*C359)*'Assumptions and Catalog'!$H$56+'Assumptions and Catalog'!$E$56+'Assumptions and Catalog'!$F$56,IF(((D359+E359)*C359)&lt;='Assumptions and Catalog'!$C$57,((D359+E359)*C359)*'Assumptions and Catalog'!$H$57+'Assumptions and Catalog'!$E$57+'Assumptions and Catalog'!$F$57,"Out of range")))))))),IF(((D359+E359)*C359)&lt;='Assumptions and Catalog'!$C$60,((D359+E359)*C359)*'Assumptions and Catalog'!$H$60+'Assumptions and Catalog'!$E$60+'Assumptions and Catalog'!$F$60,IF(((D359+E359)*C359)&lt;='Assumptions and Catalog'!$C$61,((D359+E359)*C359)*'Assumptions and Catalog'!$H$61+'Assumptions and Catalog'!$E$61+'Assumptions and Catalog'!$F$61,IF(((D359+E359)*C359)&lt;='Assumptions and Catalog'!$C$62,((D359+E359)*C359)*'Assumptions and Catalog'!$H$62+'Assumptions and Catalog'!$E$62+'Assumptions and Catalog'!$F$62,IF(((D359+E359)*C359)&lt;='Assumptions and Catalog'!$C$63,((D359+E359)*C359)*'Assumptions and Catalog'!$H$63+'Assumptions and Catalog'!$E$63+'Assumptions and Catalog'!$F$63,IF(((D359+E359)*C359)&lt;='Assumptions and Catalog'!$C$64,((D359+E359)*C359)*'Assumptions and Catalog'!$H$64+'Assumptions and Catalog'!$E$64+'Assumptions and Catalog'!$F$64,IF(((D359+E359)*C359)&lt;='Assumptions and Catalog'!$C$65,((D359+E359)*C359)*'Assumptions and Catalog'!$H$65+'Assumptions and Catalog'!$E$65+'Assumptions and Catalog'!$F$65,"Out of range")))))))))*(1+'Assumptions and Catalog'!$C$8)^(A359-1),0)</f>
        <v>8554.9666666666672</v>
      </c>
      <c r="N359" s="5">
        <f>IF(ISNUMBER(Inputs!$L$5),(IF(Inputs!$L$9="Actual flat rate",L359*Inputs!$L$10,IF(Inputs!$C$9="Residential",IF(L359&lt;='Assumptions and Catalog'!$C$50,L359*'Assumptions and Catalog'!$H$50+'Assumptions and Catalog'!$E$50+'Assumptions and Catalog'!$F$50,IF(L359&lt;='Assumptions and Catalog'!$C$51,L359*'Assumptions and Catalog'!$H$51+'Assumptions and Catalog'!$E$51+'Assumptions and Catalog'!$F$51,IF(L359&lt;='Assumptions and Catalog'!$C$52,L359*'Assumptions and Catalog'!$H$52+'Assumptions and Catalog'!$E$52+'Assumptions and Catalog'!$F$52,IF(L359&lt;='Assumptions and Catalog'!$C$53,L359*'Assumptions and Catalog'!$H$53+'Assumptions and Catalog'!$E$53+'Assumptions and Catalog'!$F$53,IF(L359&lt;='Assumptions and Catalog'!$C$54,L359*'Assumptions and Catalog'!$H$54+'Assumptions and Catalog'!$E$54+'Assumptions and Catalog'!$F$54,IF(L359&lt;='Assumptions and Catalog'!$C$55,L359*'Assumptions and Catalog'!$H$55+'Assumptions and Catalog'!$E$55+'Assumptions and Catalog'!$F$55,IF(L359&lt;='Assumptions and Catalog'!$C$56,L359*'Assumptions and Catalog'!$H$56+'Assumptions and Catalog'!$E$56+'Assumptions and Catalog'!$F$56,IF(L359&lt;='Assumptions and Catalog'!$C$57,L359*'Assumptions and Catalog'!$H$57+'Assumptions and Catalog'!$E$57+'Assumptions and Catalog'!$F$57,"Out of range")))))))),IF(L359&lt;='Assumptions and Catalog'!$C$60,L359*'Assumptions and Catalog'!$H$60+'Assumptions and Catalog'!$E$60+'Assumptions and Catalog'!$F$60,IF(L359&lt;='Assumptions and Catalog'!$C$61,L359*'Assumptions and Catalog'!$H$61+'Assumptions and Catalog'!$E$61+'Assumptions and Catalog'!$F$61,IF(L359&lt;='Assumptions and Catalog'!$C$62,L359*'Assumptions and Catalog'!$H$62+'Assumptions and Catalog'!$E$62+'Assumptions and Catalog'!$F$62,IF(L359&lt;='Assumptions and Catalog'!$C$63,L359*'Assumptions and Catalog'!$H$63+'Assumptions and Catalog'!$E$63+'Assumptions and Catalog'!$F$63,IF(L359&lt;='Assumptions and Catalog'!$C$64,L359*'Assumptions and Catalog'!$H$64+'Assumptions and Catalog'!$E$64+'Assumptions and Catalog'!$F$64,IF(L359&lt;='Assumptions and Catalog'!$C$65,L359*'Assumptions and Catalog'!$H$65+'Assumptions and Catalog'!$E$65+'Assumptions and Catalog'!$F$65,"Out of range")))))))))*(1+'Assumptions and Catalog'!$C$8)^(A359-1),0)</f>
        <v>5290.4550048203237</v>
      </c>
      <c r="O359" s="5">
        <f t="shared" si="30"/>
        <v>3264.5116618463435</v>
      </c>
      <c r="P359" s="5">
        <f>C$55*(1-J$14)*(1-'Assumptions and Catalog'!$C$23)^R359</f>
        <v>0</v>
      </c>
      <c r="Q359" s="5">
        <f>IF(ISNUMBER(Inputs!$L$5),(IF(Inputs!$L$9="Actual flat rate",((D359+E359)*C359-G359)*Inputs!$L$10,IF(Inputs!$C$9="Residential",IF(((D359+E359)*C359-G359)&lt;='Assumptions and Catalog'!$C$50,((D359+E359)*C359-G359)*'Assumptions and Catalog'!$H$50+'Assumptions and Catalog'!$E$50+'Assumptions and Catalog'!$F$50,IF(((D359+E359)*C359-G359)&lt;='Assumptions and Catalog'!$C$51,((D359+E359)*C359-G359)*'Assumptions and Catalog'!$H$51+'Assumptions and Catalog'!$E$51+'Assumptions and Catalog'!$F$51,IF(((D359+E359)*C359-G359)&lt;='Assumptions and Catalog'!$C$52,((D359+E359)*C359-G359)*'Assumptions and Catalog'!$H$52+'Assumptions and Catalog'!$E$52+'Assumptions and Catalog'!$F$52,IF(((D359+E359)*C359-G359)&lt;='Assumptions and Catalog'!$C$53,((D359+E359)*C359-G359)*'Assumptions and Catalog'!$H$53+'Assumptions and Catalog'!$E$53+'Assumptions and Catalog'!$F$53,IF(((D359+E359)*C359-G359)&lt;='Assumptions and Catalog'!$C$54,((D359+E359)*C359-G359)*'Assumptions and Catalog'!$H$54+'Assumptions and Catalog'!$E$54+'Assumptions and Catalog'!$F$54,IF(((D359+E359)*C359-G359)&lt;='Assumptions and Catalog'!$C$55,((D359+E359)*C359-G359)*'Assumptions and Catalog'!$H$55+'Assumptions and Catalog'!$E$55+'Assumptions and Catalog'!$F$55,IF(((D359+E359)*C359-G359)&lt;='Assumptions and Catalog'!$C$56,((D359+E359)*C359-G359)*'Assumptions and Catalog'!$H$56+'Assumptions and Catalog'!$E$56+'Assumptions and Catalog'!$F$56,IF(((D359+E359)*C359-G359)&lt;='Assumptions and Catalog'!$C$57,((D359+E359)*C359-G359)*'Assumptions and Catalog'!$H$57+'Assumptions and Catalog'!$E$57+'Assumptions and Catalog'!$F$57,"Out of range")))))))),IF(((D359+E359)*C359-G359)&lt;='Assumptions and Catalog'!$C$60,((D359+E359)*C359-G359)*'Assumptions and Catalog'!$H$60+'Assumptions and Catalog'!$E$60+'Assumptions and Catalog'!$F$60,IF(((D359+E359)*C359-G359)&lt;='Assumptions and Catalog'!$C$61,((D359+E359)*C359-G359)*'Assumptions and Catalog'!$H$61+'Assumptions and Catalog'!$E$61+'Assumptions and Catalog'!$F$61,IF(((D359+E359)*C359-G359)&lt;='Assumptions and Catalog'!$C$62,((D359+E359)*C359-G359)*'Assumptions and Catalog'!$H$62+'Assumptions and Catalog'!$E$62+'Assumptions and Catalog'!$F$62,IF(((D359+E359)*C359-G359)&lt;='Assumptions and Catalog'!$C$63,((D359+E359)*C359-G359)*'Assumptions and Catalog'!$H$63+'Assumptions and Catalog'!$E$63+'Assumptions and Catalog'!$F$63,IF(((D359+E359)*C359-G359)&lt;='Assumptions and Catalog'!$C$64,((D359+E359)*C359-G359)*'Assumptions and Catalog'!$H$64+'Assumptions and Catalog'!$E$64+'Assumptions and Catalog'!$F$64,IF(((D359+E359)*C359-G359)&lt;='Assumptions and Catalog'!$C$65,((D359+E359)*C359-G359)*'Assumptions and Catalog'!$H$65+'Assumptions and Catalog'!$E$65+'Assumptions and Catalog'!$F$65,"Out of range")))))))))*(1+'Assumptions and Catalog'!$C$8)^(A359-1),0)</f>
        <v>5290.4550048203237</v>
      </c>
      <c r="R359" s="5">
        <f>IF(AND('Assumptions and Catalog'!$C$19&gt;0,A359&gt;='Assumptions and Catalog'!$C$19),A359-'Assumptions and Catalog'!$C$19,A359-1)</f>
        <v>6</v>
      </c>
      <c r="S359" s="5">
        <f t="shared" si="31"/>
        <v>0</v>
      </c>
      <c r="T359" s="5"/>
      <c r="U359" s="5"/>
    </row>
    <row r="360" spans="1:21" ht="23.1" customHeight="1" outlineLevel="1" x14ac:dyDescent="0.2">
      <c r="A360" s="5">
        <v>17</v>
      </c>
      <c r="B360" s="5">
        <v>8</v>
      </c>
      <c r="C360" s="5">
        <f>DAY(DATE('Assumptions and Catalog'!$C$24+A360-1,B360+1,0))</f>
        <v>31</v>
      </c>
      <c r="D360" s="5">
        <f>IF(ISNUMBER(Inputs!$L$5),Inputs!$L$5*Inputs!$L$6,0)</f>
        <v>40.35</v>
      </c>
      <c r="E360" s="5">
        <f>IF(ISNUMBER(Inputs!$L$5),Inputs!$L$5-D360,0)</f>
        <v>40.35</v>
      </c>
      <c r="F360" s="5">
        <f>C$51*'Assumptions and Catalog'!$C$31*C360*(1-'Assumptions and Catalog'!$C$10)^(A360-1)</f>
        <v>954.63011635825569</v>
      </c>
      <c r="G360" s="5">
        <f t="shared" si="26"/>
        <v>954.63011635825569</v>
      </c>
      <c r="H360" s="5">
        <f>I360/('Assumptions and Catalog'!$C$11*'Assumptions and Catalog'!$C$12)</f>
        <v>0</v>
      </c>
      <c r="I360" s="5">
        <f>0</f>
        <v>0</v>
      </c>
      <c r="J360" s="5">
        <f t="shared" si="27"/>
        <v>0</v>
      </c>
      <c r="K360" s="5">
        <f t="shared" si="28"/>
        <v>0</v>
      </c>
      <c r="L360" s="5">
        <f t="shared" si="29"/>
        <v>1547.0698836417446</v>
      </c>
      <c r="M360" s="5">
        <f>IF(ISNUMBER(Inputs!$L$5),(IF(Inputs!$L$9="Actual flat rate",((D360+E360)*C360)*Inputs!$L$10,IF(Inputs!$C$9="Residential",IF(((D360+E360)*C360)&lt;='Assumptions and Catalog'!$C$50,((D360+E360)*C360)*'Assumptions and Catalog'!$H$50+'Assumptions and Catalog'!$E$50+'Assumptions and Catalog'!$F$50,IF(((D360+E360)*C360)&lt;='Assumptions and Catalog'!$C$51,((D360+E360)*C360)*'Assumptions and Catalog'!$H$51+'Assumptions and Catalog'!$E$51+'Assumptions and Catalog'!$F$51,IF(((D360+E360)*C360)&lt;='Assumptions and Catalog'!$C$52,((D360+E360)*C360)*'Assumptions and Catalog'!$H$52+'Assumptions and Catalog'!$E$52+'Assumptions and Catalog'!$F$52,IF(((D360+E360)*C360)&lt;='Assumptions and Catalog'!$C$53,((D360+E360)*C360)*'Assumptions and Catalog'!$H$53+'Assumptions and Catalog'!$E$53+'Assumptions and Catalog'!$F$53,IF(((D360+E360)*C360)&lt;='Assumptions and Catalog'!$C$54,((D360+E360)*C360)*'Assumptions and Catalog'!$H$54+'Assumptions and Catalog'!$E$54+'Assumptions and Catalog'!$F$54,IF(((D360+E360)*C360)&lt;='Assumptions and Catalog'!$C$55,((D360+E360)*C360)*'Assumptions and Catalog'!$H$55+'Assumptions and Catalog'!$E$55+'Assumptions and Catalog'!$F$55,IF(((D360+E360)*C360)&lt;='Assumptions and Catalog'!$C$56,((D360+E360)*C360)*'Assumptions and Catalog'!$H$56+'Assumptions and Catalog'!$E$56+'Assumptions and Catalog'!$F$56,IF(((D360+E360)*C360)&lt;='Assumptions and Catalog'!$C$57,((D360+E360)*C360)*'Assumptions and Catalog'!$H$57+'Assumptions and Catalog'!$E$57+'Assumptions and Catalog'!$F$57,"Out of range")))))))),IF(((D360+E360)*C360)&lt;='Assumptions and Catalog'!$C$60,((D360+E360)*C360)*'Assumptions and Catalog'!$H$60+'Assumptions and Catalog'!$E$60+'Assumptions and Catalog'!$F$60,IF(((D360+E360)*C360)&lt;='Assumptions and Catalog'!$C$61,((D360+E360)*C360)*'Assumptions and Catalog'!$H$61+'Assumptions and Catalog'!$E$61+'Assumptions and Catalog'!$F$61,IF(((D360+E360)*C360)&lt;='Assumptions and Catalog'!$C$62,((D360+E360)*C360)*'Assumptions and Catalog'!$H$62+'Assumptions and Catalog'!$E$62+'Assumptions and Catalog'!$F$62,IF(((D360+E360)*C360)&lt;='Assumptions and Catalog'!$C$63,((D360+E360)*C360)*'Assumptions and Catalog'!$H$63+'Assumptions and Catalog'!$E$63+'Assumptions and Catalog'!$F$63,IF(((D360+E360)*C360)&lt;='Assumptions and Catalog'!$C$64,((D360+E360)*C360)*'Assumptions and Catalog'!$H$64+'Assumptions and Catalog'!$E$64+'Assumptions and Catalog'!$F$64,IF(((D360+E360)*C360)&lt;='Assumptions and Catalog'!$C$65,((D360+E360)*C360)*'Assumptions and Catalog'!$H$65+'Assumptions and Catalog'!$E$65+'Assumptions and Catalog'!$F$65,"Out of range")))))))))*(1+'Assumptions and Catalog'!$C$8)^(A360-1),0)</f>
        <v>8554.9666666666672</v>
      </c>
      <c r="N360" s="5">
        <f>IF(ISNUMBER(Inputs!$L$5),(IF(Inputs!$L$9="Actual flat rate",L360*Inputs!$L$10,IF(Inputs!$C$9="Residential",IF(L360&lt;='Assumptions and Catalog'!$C$50,L360*'Assumptions and Catalog'!$H$50+'Assumptions and Catalog'!$E$50+'Assumptions and Catalog'!$F$50,IF(L360&lt;='Assumptions and Catalog'!$C$51,L360*'Assumptions and Catalog'!$H$51+'Assumptions and Catalog'!$E$51+'Assumptions and Catalog'!$F$51,IF(L360&lt;='Assumptions and Catalog'!$C$52,L360*'Assumptions and Catalog'!$H$52+'Assumptions and Catalog'!$E$52+'Assumptions and Catalog'!$F$52,IF(L360&lt;='Assumptions and Catalog'!$C$53,L360*'Assumptions and Catalog'!$H$53+'Assumptions and Catalog'!$E$53+'Assumptions and Catalog'!$F$53,IF(L360&lt;='Assumptions and Catalog'!$C$54,L360*'Assumptions and Catalog'!$H$54+'Assumptions and Catalog'!$E$54+'Assumptions and Catalog'!$F$54,IF(L360&lt;='Assumptions and Catalog'!$C$55,L360*'Assumptions and Catalog'!$H$55+'Assumptions and Catalog'!$E$55+'Assumptions and Catalog'!$F$55,IF(L360&lt;='Assumptions and Catalog'!$C$56,L360*'Assumptions and Catalog'!$H$56+'Assumptions and Catalog'!$E$56+'Assumptions and Catalog'!$F$56,IF(L360&lt;='Assumptions and Catalog'!$C$57,L360*'Assumptions and Catalog'!$H$57+'Assumptions and Catalog'!$E$57+'Assumptions and Catalog'!$F$57,"Out of range")))))))),IF(L360&lt;='Assumptions and Catalog'!$C$60,L360*'Assumptions and Catalog'!$H$60+'Assumptions and Catalog'!$E$60+'Assumptions and Catalog'!$F$60,IF(L360&lt;='Assumptions and Catalog'!$C$61,L360*'Assumptions and Catalog'!$H$61+'Assumptions and Catalog'!$E$61+'Assumptions and Catalog'!$F$61,IF(L360&lt;='Assumptions and Catalog'!$C$62,L360*'Assumptions and Catalog'!$H$62+'Assumptions and Catalog'!$E$62+'Assumptions and Catalog'!$F$62,IF(L360&lt;='Assumptions and Catalog'!$C$63,L360*'Assumptions and Catalog'!$H$63+'Assumptions and Catalog'!$E$63+'Assumptions and Catalog'!$F$63,IF(L360&lt;='Assumptions and Catalog'!$C$64,L360*'Assumptions and Catalog'!$H$64+'Assumptions and Catalog'!$E$64+'Assumptions and Catalog'!$F$64,IF(L360&lt;='Assumptions and Catalog'!$C$65,L360*'Assumptions and Catalog'!$H$65+'Assumptions and Catalog'!$E$65+'Assumptions and Catalog'!$F$65,"Out of range")))))))))*(1+'Assumptions and Catalog'!$C$8)^(A360-1),0)</f>
        <v>5290.4550048203237</v>
      </c>
      <c r="O360" s="5">
        <f t="shared" si="30"/>
        <v>3264.5116618463435</v>
      </c>
      <c r="P360" s="5">
        <f>C$55*(1-J$14)*(1-'Assumptions and Catalog'!$C$23)^R360</f>
        <v>0</v>
      </c>
      <c r="Q360" s="5">
        <f>IF(ISNUMBER(Inputs!$L$5),(IF(Inputs!$L$9="Actual flat rate",((D360+E360)*C360-G360)*Inputs!$L$10,IF(Inputs!$C$9="Residential",IF(((D360+E360)*C360-G360)&lt;='Assumptions and Catalog'!$C$50,((D360+E360)*C360-G360)*'Assumptions and Catalog'!$H$50+'Assumptions and Catalog'!$E$50+'Assumptions and Catalog'!$F$50,IF(((D360+E360)*C360-G360)&lt;='Assumptions and Catalog'!$C$51,((D360+E360)*C360-G360)*'Assumptions and Catalog'!$H$51+'Assumptions and Catalog'!$E$51+'Assumptions and Catalog'!$F$51,IF(((D360+E360)*C360-G360)&lt;='Assumptions and Catalog'!$C$52,((D360+E360)*C360-G360)*'Assumptions and Catalog'!$H$52+'Assumptions and Catalog'!$E$52+'Assumptions and Catalog'!$F$52,IF(((D360+E360)*C360-G360)&lt;='Assumptions and Catalog'!$C$53,((D360+E360)*C360-G360)*'Assumptions and Catalog'!$H$53+'Assumptions and Catalog'!$E$53+'Assumptions and Catalog'!$F$53,IF(((D360+E360)*C360-G360)&lt;='Assumptions and Catalog'!$C$54,((D360+E360)*C360-G360)*'Assumptions and Catalog'!$H$54+'Assumptions and Catalog'!$E$54+'Assumptions and Catalog'!$F$54,IF(((D360+E360)*C360-G360)&lt;='Assumptions and Catalog'!$C$55,((D360+E360)*C360-G360)*'Assumptions and Catalog'!$H$55+'Assumptions and Catalog'!$E$55+'Assumptions and Catalog'!$F$55,IF(((D360+E360)*C360-G360)&lt;='Assumptions and Catalog'!$C$56,((D360+E360)*C360-G360)*'Assumptions and Catalog'!$H$56+'Assumptions and Catalog'!$E$56+'Assumptions and Catalog'!$F$56,IF(((D360+E360)*C360-G360)&lt;='Assumptions and Catalog'!$C$57,((D360+E360)*C360-G360)*'Assumptions and Catalog'!$H$57+'Assumptions and Catalog'!$E$57+'Assumptions and Catalog'!$F$57,"Out of range")))))))),IF(((D360+E360)*C360-G360)&lt;='Assumptions and Catalog'!$C$60,((D360+E360)*C360-G360)*'Assumptions and Catalog'!$H$60+'Assumptions and Catalog'!$E$60+'Assumptions and Catalog'!$F$60,IF(((D360+E360)*C360-G360)&lt;='Assumptions and Catalog'!$C$61,((D360+E360)*C360-G360)*'Assumptions and Catalog'!$H$61+'Assumptions and Catalog'!$E$61+'Assumptions and Catalog'!$F$61,IF(((D360+E360)*C360-G360)&lt;='Assumptions and Catalog'!$C$62,((D360+E360)*C360-G360)*'Assumptions and Catalog'!$H$62+'Assumptions and Catalog'!$E$62+'Assumptions and Catalog'!$F$62,IF(((D360+E360)*C360-G360)&lt;='Assumptions and Catalog'!$C$63,((D360+E360)*C360-G360)*'Assumptions and Catalog'!$H$63+'Assumptions and Catalog'!$E$63+'Assumptions and Catalog'!$F$63,IF(((D360+E360)*C360-G360)&lt;='Assumptions and Catalog'!$C$64,((D360+E360)*C360-G360)*'Assumptions and Catalog'!$H$64+'Assumptions and Catalog'!$E$64+'Assumptions and Catalog'!$F$64,IF(((D360+E360)*C360-G360)&lt;='Assumptions and Catalog'!$C$65,((D360+E360)*C360-G360)*'Assumptions and Catalog'!$H$65+'Assumptions and Catalog'!$E$65+'Assumptions and Catalog'!$F$65,"Out of range")))))))))*(1+'Assumptions and Catalog'!$C$8)^(A360-1),0)</f>
        <v>5290.4550048203237</v>
      </c>
      <c r="R360" s="5">
        <f>IF(AND('Assumptions and Catalog'!$C$19&gt;0,A360&gt;='Assumptions and Catalog'!$C$19),A360-'Assumptions and Catalog'!$C$19,A360-1)</f>
        <v>6</v>
      </c>
      <c r="S360" s="5">
        <f t="shared" si="31"/>
        <v>0</v>
      </c>
      <c r="T360" s="5"/>
      <c r="U360" s="5"/>
    </row>
    <row r="361" spans="1:21" ht="23.1" customHeight="1" outlineLevel="1" x14ac:dyDescent="0.2">
      <c r="A361" s="5">
        <v>17</v>
      </c>
      <c r="B361" s="5">
        <v>9</v>
      </c>
      <c r="C361" s="5">
        <f>DAY(DATE('Assumptions and Catalog'!$C$24+A361-1,B361+1,0))</f>
        <v>30</v>
      </c>
      <c r="D361" s="5">
        <f>IF(ISNUMBER(Inputs!$L$5),Inputs!$L$5*Inputs!$L$6,0)</f>
        <v>40.35</v>
      </c>
      <c r="E361" s="5">
        <f>IF(ISNUMBER(Inputs!$L$5),Inputs!$L$5-D361,0)</f>
        <v>40.35</v>
      </c>
      <c r="F361" s="5">
        <f>C$51*'Assumptions and Catalog'!$C$31*C361*(1-'Assumptions and Catalog'!$C$10)^(A361-1)</f>
        <v>923.83559647573134</v>
      </c>
      <c r="G361" s="5">
        <f t="shared" si="26"/>
        <v>923.83559647573134</v>
      </c>
      <c r="H361" s="5">
        <f>I361/('Assumptions and Catalog'!$C$11*'Assumptions and Catalog'!$C$12)</f>
        <v>0</v>
      </c>
      <c r="I361" s="5">
        <f>0</f>
        <v>0</v>
      </c>
      <c r="J361" s="5">
        <f t="shared" si="27"/>
        <v>0</v>
      </c>
      <c r="K361" s="5">
        <f t="shared" si="28"/>
        <v>0</v>
      </c>
      <c r="L361" s="5">
        <f t="shared" si="29"/>
        <v>1497.1644035242687</v>
      </c>
      <c r="M361" s="5">
        <f>IF(ISNUMBER(Inputs!$L$5),(IF(Inputs!$L$9="Actual flat rate",((D361+E361)*C361)*Inputs!$L$10,IF(Inputs!$C$9="Residential",IF(((D361+E361)*C361)&lt;='Assumptions and Catalog'!$C$50,((D361+E361)*C361)*'Assumptions and Catalog'!$H$50+'Assumptions and Catalog'!$E$50+'Assumptions and Catalog'!$F$50,IF(((D361+E361)*C361)&lt;='Assumptions and Catalog'!$C$51,((D361+E361)*C361)*'Assumptions and Catalog'!$H$51+'Assumptions and Catalog'!$E$51+'Assumptions and Catalog'!$F$51,IF(((D361+E361)*C361)&lt;='Assumptions and Catalog'!$C$52,((D361+E361)*C361)*'Assumptions and Catalog'!$H$52+'Assumptions and Catalog'!$E$52+'Assumptions and Catalog'!$F$52,IF(((D361+E361)*C361)&lt;='Assumptions and Catalog'!$C$53,((D361+E361)*C361)*'Assumptions and Catalog'!$H$53+'Assumptions and Catalog'!$E$53+'Assumptions and Catalog'!$F$53,IF(((D361+E361)*C361)&lt;='Assumptions and Catalog'!$C$54,((D361+E361)*C361)*'Assumptions and Catalog'!$H$54+'Assumptions and Catalog'!$E$54+'Assumptions and Catalog'!$F$54,IF(((D361+E361)*C361)&lt;='Assumptions and Catalog'!$C$55,((D361+E361)*C361)*'Assumptions and Catalog'!$H$55+'Assumptions and Catalog'!$E$55+'Assumptions and Catalog'!$F$55,IF(((D361+E361)*C361)&lt;='Assumptions and Catalog'!$C$56,((D361+E361)*C361)*'Assumptions and Catalog'!$H$56+'Assumptions and Catalog'!$E$56+'Assumptions and Catalog'!$F$56,IF(((D361+E361)*C361)&lt;='Assumptions and Catalog'!$C$57,((D361+E361)*C361)*'Assumptions and Catalog'!$H$57+'Assumptions and Catalog'!$E$57+'Assumptions and Catalog'!$F$57,"Out of range")))))))),IF(((D361+E361)*C361)&lt;='Assumptions and Catalog'!$C$60,((D361+E361)*C361)*'Assumptions and Catalog'!$H$60+'Assumptions and Catalog'!$E$60+'Assumptions and Catalog'!$F$60,IF(((D361+E361)*C361)&lt;='Assumptions and Catalog'!$C$61,((D361+E361)*C361)*'Assumptions and Catalog'!$H$61+'Assumptions and Catalog'!$E$61+'Assumptions and Catalog'!$F$61,IF(((D361+E361)*C361)&lt;='Assumptions and Catalog'!$C$62,((D361+E361)*C361)*'Assumptions and Catalog'!$H$62+'Assumptions and Catalog'!$E$62+'Assumptions and Catalog'!$F$62,IF(((D361+E361)*C361)&lt;='Assumptions and Catalog'!$C$63,((D361+E361)*C361)*'Assumptions and Catalog'!$H$63+'Assumptions and Catalog'!$E$63+'Assumptions and Catalog'!$F$63,IF(((D361+E361)*C361)&lt;='Assumptions and Catalog'!$C$64,((D361+E361)*C361)*'Assumptions and Catalog'!$H$64+'Assumptions and Catalog'!$E$64+'Assumptions and Catalog'!$F$64,IF(((D361+E361)*C361)&lt;='Assumptions and Catalog'!$C$65,((D361+E361)*C361)*'Assumptions and Catalog'!$H$65+'Assumptions and Catalog'!$E$65+'Assumptions and Catalog'!$F$65,"Out of range")))))))))*(1+'Assumptions and Catalog'!$C$8)^(A361-1),0)</f>
        <v>8279</v>
      </c>
      <c r="N361" s="5">
        <f>IF(ISNUMBER(Inputs!$L$5),(IF(Inputs!$L$9="Actual flat rate",L361*Inputs!$L$10,IF(Inputs!$C$9="Residential",IF(L361&lt;='Assumptions and Catalog'!$C$50,L361*'Assumptions and Catalog'!$H$50+'Assumptions and Catalog'!$E$50+'Assumptions and Catalog'!$F$50,IF(L361&lt;='Assumptions and Catalog'!$C$51,L361*'Assumptions and Catalog'!$H$51+'Assumptions and Catalog'!$E$51+'Assumptions and Catalog'!$F$51,IF(L361&lt;='Assumptions and Catalog'!$C$52,L361*'Assumptions and Catalog'!$H$52+'Assumptions and Catalog'!$E$52+'Assumptions and Catalog'!$F$52,IF(L361&lt;='Assumptions and Catalog'!$C$53,L361*'Assumptions and Catalog'!$H$53+'Assumptions and Catalog'!$E$53+'Assumptions and Catalog'!$F$53,IF(L361&lt;='Assumptions and Catalog'!$C$54,L361*'Assumptions and Catalog'!$H$54+'Assumptions and Catalog'!$E$54+'Assumptions and Catalog'!$F$54,IF(L361&lt;='Assumptions and Catalog'!$C$55,L361*'Assumptions and Catalog'!$H$55+'Assumptions and Catalog'!$E$55+'Assumptions and Catalog'!$F$55,IF(L361&lt;='Assumptions and Catalog'!$C$56,L361*'Assumptions and Catalog'!$H$56+'Assumptions and Catalog'!$E$56+'Assumptions and Catalog'!$F$56,IF(L361&lt;='Assumptions and Catalog'!$C$57,L361*'Assumptions and Catalog'!$H$57+'Assumptions and Catalog'!$E$57+'Assumptions and Catalog'!$F$57,"Out of range")))))))),IF(L361&lt;='Assumptions and Catalog'!$C$60,L361*'Assumptions and Catalog'!$H$60+'Assumptions and Catalog'!$E$60+'Assumptions and Catalog'!$F$60,IF(L361&lt;='Assumptions and Catalog'!$C$61,L361*'Assumptions and Catalog'!$H$61+'Assumptions and Catalog'!$E$61+'Assumptions and Catalog'!$F$61,IF(L361&lt;='Assumptions and Catalog'!$C$62,L361*'Assumptions and Catalog'!$H$62+'Assumptions and Catalog'!$E$62+'Assumptions and Catalog'!$F$62,IF(L361&lt;='Assumptions and Catalog'!$C$63,L361*'Assumptions and Catalog'!$H$63+'Assumptions and Catalog'!$E$63+'Assumptions and Catalog'!$F$63,IF(L361&lt;='Assumptions and Catalog'!$C$64,L361*'Assumptions and Catalog'!$H$64+'Assumptions and Catalog'!$E$64+'Assumptions and Catalog'!$F$64,IF(L361&lt;='Assumptions and Catalog'!$C$65,L361*'Assumptions and Catalog'!$H$65+'Assumptions and Catalog'!$E$65+'Assumptions and Catalog'!$F$65,"Out of range")))))))))*(1+'Assumptions and Catalog'!$C$8)^(A361-1),0)</f>
        <v>5119.7951659551509</v>
      </c>
      <c r="O361" s="5">
        <f t="shared" si="30"/>
        <v>3159.2048340448491</v>
      </c>
      <c r="P361" s="5">
        <f>C$55*(1-J$14)*(1-'Assumptions and Catalog'!$C$23)^R361</f>
        <v>0</v>
      </c>
      <c r="Q361" s="5">
        <f>IF(ISNUMBER(Inputs!$L$5),(IF(Inputs!$L$9="Actual flat rate",((D361+E361)*C361-G361)*Inputs!$L$10,IF(Inputs!$C$9="Residential",IF(((D361+E361)*C361-G361)&lt;='Assumptions and Catalog'!$C$50,((D361+E361)*C361-G361)*'Assumptions and Catalog'!$H$50+'Assumptions and Catalog'!$E$50+'Assumptions and Catalog'!$F$50,IF(((D361+E361)*C361-G361)&lt;='Assumptions and Catalog'!$C$51,((D361+E361)*C361-G361)*'Assumptions and Catalog'!$H$51+'Assumptions and Catalog'!$E$51+'Assumptions and Catalog'!$F$51,IF(((D361+E361)*C361-G361)&lt;='Assumptions and Catalog'!$C$52,((D361+E361)*C361-G361)*'Assumptions and Catalog'!$H$52+'Assumptions and Catalog'!$E$52+'Assumptions and Catalog'!$F$52,IF(((D361+E361)*C361-G361)&lt;='Assumptions and Catalog'!$C$53,((D361+E361)*C361-G361)*'Assumptions and Catalog'!$H$53+'Assumptions and Catalog'!$E$53+'Assumptions and Catalog'!$F$53,IF(((D361+E361)*C361-G361)&lt;='Assumptions and Catalog'!$C$54,((D361+E361)*C361-G361)*'Assumptions and Catalog'!$H$54+'Assumptions and Catalog'!$E$54+'Assumptions and Catalog'!$F$54,IF(((D361+E361)*C361-G361)&lt;='Assumptions and Catalog'!$C$55,((D361+E361)*C361-G361)*'Assumptions and Catalog'!$H$55+'Assumptions and Catalog'!$E$55+'Assumptions and Catalog'!$F$55,IF(((D361+E361)*C361-G361)&lt;='Assumptions and Catalog'!$C$56,((D361+E361)*C361-G361)*'Assumptions and Catalog'!$H$56+'Assumptions and Catalog'!$E$56+'Assumptions and Catalog'!$F$56,IF(((D361+E361)*C361-G361)&lt;='Assumptions and Catalog'!$C$57,((D361+E361)*C361-G361)*'Assumptions and Catalog'!$H$57+'Assumptions and Catalog'!$E$57+'Assumptions and Catalog'!$F$57,"Out of range")))))))),IF(((D361+E361)*C361-G361)&lt;='Assumptions and Catalog'!$C$60,((D361+E361)*C361-G361)*'Assumptions and Catalog'!$H$60+'Assumptions and Catalog'!$E$60+'Assumptions and Catalog'!$F$60,IF(((D361+E361)*C361-G361)&lt;='Assumptions and Catalog'!$C$61,((D361+E361)*C361-G361)*'Assumptions and Catalog'!$H$61+'Assumptions and Catalog'!$E$61+'Assumptions and Catalog'!$F$61,IF(((D361+E361)*C361-G361)&lt;='Assumptions and Catalog'!$C$62,((D361+E361)*C361-G361)*'Assumptions and Catalog'!$H$62+'Assumptions and Catalog'!$E$62+'Assumptions and Catalog'!$F$62,IF(((D361+E361)*C361-G361)&lt;='Assumptions and Catalog'!$C$63,((D361+E361)*C361-G361)*'Assumptions and Catalog'!$H$63+'Assumptions and Catalog'!$E$63+'Assumptions and Catalog'!$F$63,IF(((D361+E361)*C361-G361)&lt;='Assumptions and Catalog'!$C$64,((D361+E361)*C361-G361)*'Assumptions and Catalog'!$H$64+'Assumptions and Catalog'!$E$64+'Assumptions and Catalog'!$F$64,IF(((D361+E361)*C361-G361)&lt;='Assumptions and Catalog'!$C$65,((D361+E361)*C361-G361)*'Assumptions and Catalog'!$H$65+'Assumptions and Catalog'!$E$65+'Assumptions and Catalog'!$F$65,"Out of range")))))))))*(1+'Assumptions and Catalog'!$C$8)^(A361-1),0)</f>
        <v>5119.7951659551509</v>
      </c>
      <c r="R361" s="5">
        <f>IF(AND('Assumptions and Catalog'!$C$19&gt;0,A361&gt;='Assumptions and Catalog'!$C$19),A361-'Assumptions and Catalog'!$C$19,A361-1)</f>
        <v>6</v>
      </c>
      <c r="S361" s="5">
        <f t="shared" si="31"/>
        <v>0</v>
      </c>
      <c r="T361" s="5"/>
      <c r="U361" s="5"/>
    </row>
    <row r="362" spans="1:21" ht="23.1" customHeight="1" outlineLevel="1" x14ac:dyDescent="0.2">
      <c r="A362" s="5">
        <v>17</v>
      </c>
      <c r="B362" s="5">
        <v>10</v>
      </c>
      <c r="C362" s="5">
        <f>DAY(DATE('Assumptions and Catalog'!$C$24+A362-1,B362+1,0))</f>
        <v>31</v>
      </c>
      <c r="D362" s="5">
        <f>IF(ISNUMBER(Inputs!$L$5),Inputs!$L$5*Inputs!$L$6,0)</f>
        <v>40.35</v>
      </c>
      <c r="E362" s="5">
        <f>IF(ISNUMBER(Inputs!$L$5),Inputs!$L$5-D362,0)</f>
        <v>40.35</v>
      </c>
      <c r="F362" s="5">
        <f>C$51*'Assumptions and Catalog'!$C$31*C362*(1-'Assumptions and Catalog'!$C$10)^(A362-1)</f>
        <v>954.63011635825569</v>
      </c>
      <c r="G362" s="5">
        <f t="shared" si="26"/>
        <v>954.63011635825569</v>
      </c>
      <c r="H362" s="5">
        <f>I362/('Assumptions and Catalog'!$C$11*'Assumptions and Catalog'!$C$12)</f>
        <v>0</v>
      </c>
      <c r="I362" s="5">
        <f>0</f>
        <v>0</v>
      </c>
      <c r="J362" s="5">
        <f t="shared" si="27"/>
        <v>0</v>
      </c>
      <c r="K362" s="5">
        <f t="shared" si="28"/>
        <v>0</v>
      </c>
      <c r="L362" s="5">
        <f t="shared" si="29"/>
        <v>1547.0698836417446</v>
      </c>
      <c r="M362" s="5">
        <f>IF(ISNUMBER(Inputs!$L$5),(IF(Inputs!$L$9="Actual flat rate",((D362+E362)*C362)*Inputs!$L$10,IF(Inputs!$C$9="Residential",IF(((D362+E362)*C362)&lt;='Assumptions and Catalog'!$C$50,((D362+E362)*C362)*'Assumptions and Catalog'!$H$50+'Assumptions and Catalog'!$E$50+'Assumptions and Catalog'!$F$50,IF(((D362+E362)*C362)&lt;='Assumptions and Catalog'!$C$51,((D362+E362)*C362)*'Assumptions and Catalog'!$H$51+'Assumptions and Catalog'!$E$51+'Assumptions and Catalog'!$F$51,IF(((D362+E362)*C362)&lt;='Assumptions and Catalog'!$C$52,((D362+E362)*C362)*'Assumptions and Catalog'!$H$52+'Assumptions and Catalog'!$E$52+'Assumptions and Catalog'!$F$52,IF(((D362+E362)*C362)&lt;='Assumptions and Catalog'!$C$53,((D362+E362)*C362)*'Assumptions and Catalog'!$H$53+'Assumptions and Catalog'!$E$53+'Assumptions and Catalog'!$F$53,IF(((D362+E362)*C362)&lt;='Assumptions and Catalog'!$C$54,((D362+E362)*C362)*'Assumptions and Catalog'!$H$54+'Assumptions and Catalog'!$E$54+'Assumptions and Catalog'!$F$54,IF(((D362+E362)*C362)&lt;='Assumptions and Catalog'!$C$55,((D362+E362)*C362)*'Assumptions and Catalog'!$H$55+'Assumptions and Catalog'!$E$55+'Assumptions and Catalog'!$F$55,IF(((D362+E362)*C362)&lt;='Assumptions and Catalog'!$C$56,((D362+E362)*C362)*'Assumptions and Catalog'!$H$56+'Assumptions and Catalog'!$E$56+'Assumptions and Catalog'!$F$56,IF(((D362+E362)*C362)&lt;='Assumptions and Catalog'!$C$57,((D362+E362)*C362)*'Assumptions and Catalog'!$H$57+'Assumptions and Catalog'!$E$57+'Assumptions and Catalog'!$F$57,"Out of range")))))))),IF(((D362+E362)*C362)&lt;='Assumptions and Catalog'!$C$60,((D362+E362)*C362)*'Assumptions and Catalog'!$H$60+'Assumptions and Catalog'!$E$60+'Assumptions and Catalog'!$F$60,IF(((D362+E362)*C362)&lt;='Assumptions and Catalog'!$C$61,((D362+E362)*C362)*'Assumptions and Catalog'!$H$61+'Assumptions and Catalog'!$E$61+'Assumptions and Catalog'!$F$61,IF(((D362+E362)*C362)&lt;='Assumptions and Catalog'!$C$62,((D362+E362)*C362)*'Assumptions and Catalog'!$H$62+'Assumptions and Catalog'!$E$62+'Assumptions and Catalog'!$F$62,IF(((D362+E362)*C362)&lt;='Assumptions and Catalog'!$C$63,((D362+E362)*C362)*'Assumptions and Catalog'!$H$63+'Assumptions and Catalog'!$E$63+'Assumptions and Catalog'!$F$63,IF(((D362+E362)*C362)&lt;='Assumptions and Catalog'!$C$64,((D362+E362)*C362)*'Assumptions and Catalog'!$H$64+'Assumptions and Catalog'!$E$64+'Assumptions and Catalog'!$F$64,IF(((D362+E362)*C362)&lt;='Assumptions and Catalog'!$C$65,((D362+E362)*C362)*'Assumptions and Catalog'!$H$65+'Assumptions and Catalog'!$E$65+'Assumptions and Catalog'!$F$65,"Out of range")))))))))*(1+'Assumptions and Catalog'!$C$8)^(A362-1),0)</f>
        <v>8554.9666666666672</v>
      </c>
      <c r="N362" s="5">
        <f>IF(ISNUMBER(Inputs!$L$5),(IF(Inputs!$L$9="Actual flat rate",L362*Inputs!$L$10,IF(Inputs!$C$9="Residential",IF(L362&lt;='Assumptions and Catalog'!$C$50,L362*'Assumptions and Catalog'!$H$50+'Assumptions and Catalog'!$E$50+'Assumptions and Catalog'!$F$50,IF(L362&lt;='Assumptions and Catalog'!$C$51,L362*'Assumptions and Catalog'!$H$51+'Assumptions and Catalog'!$E$51+'Assumptions and Catalog'!$F$51,IF(L362&lt;='Assumptions and Catalog'!$C$52,L362*'Assumptions and Catalog'!$H$52+'Assumptions and Catalog'!$E$52+'Assumptions and Catalog'!$F$52,IF(L362&lt;='Assumptions and Catalog'!$C$53,L362*'Assumptions and Catalog'!$H$53+'Assumptions and Catalog'!$E$53+'Assumptions and Catalog'!$F$53,IF(L362&lt;='Assumptions and Catalog'!$C$54,L362*'Assumptions and Catalog'!$H$54+'Assumptions and Catalog'!$E$54+'Assumptions and Catalog'!$F$54,IF(L362&lt;='Assumptions and Catalog'!$C$55,L362*'Assumptions and Catalog'!$H$55+'Assumptions and Catalog'!$E$55+'Assumptions and Catalog'!$F$55,IF(L362&lt;='Assumptions and Catalog'!$C$56,L362*'Assumptions and Catalog'!$H$56+'Assumptions and Catalog'!$E$56+'Assumptions and Catalog'!$F$56,IF(L362&lt;='Assumptions and Catalog'!$C$57,L362*'Assumptions and Catalog'!$H$57+'Assumptions and Catalog'!$E$57+'Assumptions and Catalog'!$F$57,"Out of range")))))))),IF(L362&lt;='Assumptions and Catalog'!$C$60,L362*'Assumptions and Catalog'!$H$60+'Assumptions and Catalog'!$E$60+'Assumptions and Catalog'!$F$60,IF(L362&lt;='Assumptions and Catalog'!$C$61,L362*'Assumptions and Catalog'!$H$61+'Assumptions and Catalog'!$E$61+'Assumptions and Catalog'!$F$61,IF(L362&lt;='Assumptions and Catalog'!$C$62,L362*'Assumptions and Catalog'!$H$62+'Assumptions and Catalog'!$E$62+'Assumptions and Catalog'!$F$62,IF(L362&lt;='Assumptions and Catalog'!$C$63,L362*'Assumptions and Catalog'!$H$63+'Assumptions and Catalog'!$E$63+'Assumptions and Catalog'!$F$63,IF(L362&lt;='Assumptions and Catalog'!$C$64,L362*'Assumptions and Catalog'!$H$64+'Assumptions and Catalog'!$E$64+'Assumptions and Catalog'!$F$64,IF(L362&lt;='Assumptions and Catalog'!$C$65,L362*'Assumptions and Catalog'!$H$65+'Assumptions and Catalog'!$E$65+'Assumptions and Catalog'!$F$65,"Out of range")))))))))*(1+'Assumptions and Catalog'!$C$8)^(A362-1),0)</f>
        <v>5290.4550048203237</v>
      </c>
      <c r="O362" s="5">
        <f t="shared" si="30"/>
        <v>3264.5116618463435</v>
      </c>
      <c r="P362" s="5">
        <f>C$55*(1-J$14)*(1-'Assumptions and Catalog'!$C$23)^R362</f>
        <v>0</v>
      </c>
      <c r="Q362" s="5">
        <f>IF(ISNUMBER(Inputs!$L$5),(IF(Inputs!$L$9="Actual flat rate",((D362+E362)*C362-G362)*Inputs!$L$10,IF(Inputs!$C$9="Residential",IF(((D362+E362)*C362-G362)&lt;='Assumptions and Catalog'!$C$50,((D362+E362)*C362-G362)*'Assumptions and Catalog'!$H$50+'Assumptions and Catalog'!$E$50+'Assumptions and Catalog'!$F$50,IF(((D362+E362)*C362-G362)&lt;='Assumptions and Catalog'!$C$51,((D362+E362)*C362-G362)*'Assumptions and Catalog'!$H$51+'Assumptions and Catalog'!$E$51+'Assumptions and Catalog'!$F$51,IF(((D362+E362)*C362-G362)&lt;='Assumptions and Catalog'!$C$52,((D362+E362)*C362-G362)*'Assumptions and Catalog'!$H$52+'Assumptions and Catalog'!$E$52+'Assumptions and Catalog'!$F$52,IF(((D362+E362)*C362-G362)&lt;='Assumptions and Catalog'!$C$53,((D362+E362)*C362-G362)*'Assumptions and Catalog'!$H$53+'Assumptions and Catalog'!$E$53+'Assumptions and Catalog'!$F$53,IF(((D362+E362)*C362-G362)&lt;='Assumptions and Catalog'!$C$54,((D362+E362)*C362-G362)*'Assumptions and Catalog'!$H$54+'Assumptions and Catalog'!$E$54+'Assumptions and Catalog'!$F$54,IF(((D362+E362)*C362-G362)&lt;='Assumptions and Catalog'!$C$55,((D362+E362)*C362-G362)*'Assumptions and Catalog'!$H$55+'Assumptions and Catalog'!$E$55+'Assumptions and Catalog'!$F$55,IF(((D362+E362)*C362-G362)&lt;='Assumptions and Catalog'!$C$56,((D362+E362)*C362-G362)*'Assumptions and Catalog'!$H$56+'Assumptions and Catalog'!$E$56+'Assumptions and Catalog'!$F$56,IF(((D362+E362)*C362-G362)&lt;='Assumptions and Catalog'!$C$57,((D362+E362)*C362-G362)*'Assumptions and Catalog'!$H$57+'Assumptions and Catalog'!$E$57+'Assumptions and Catalog'!$F$57,"Out of range")))))))),IF(((D362+E362)*C362-G362)&lt;='Assumptions and Catalog'!$C$60,((D362+E362)*C362-G362)*'Assumptions and Catalog'!$H$60+'Assumptions and Catalog'!$E$60+'Assumptions and Catalog'!$F$60,IF(((D362+E362)*C362-G362)&lt;='Assumptions and Catalog'!$C$61,((D362+E362)*C362-G362)*'Assumptions and Catalog'!$H$61+'Assumptions and Catalog'!$E$61+'Assumptions and Catalog'!$F$61,IF(((D362+E362)*C362-G362)&lt;='Assumptions and Catalog'!$C$62,((D362+E362)*C362-G362)*'Assumptions and Catalog'!$H$62+'Assumptions and Catalog'!$E$62+'Assumptions and Catalog'!$F$62,IF(((D362+E362)*C362-G362)&lt;='Assumptions and Catalog'!$C$63,((D362+E362)*C362-G362)*'Assumptions and Catalog'!$H$63+'Assumptions and Catalog'!$E$63+'Assumptions and Catalog'!$F$63,IF(((D362+E362)*C362-G362)&lt;='Assumptions and Catalog'!$C$64,((D362+E362)*C362-G362)*'Assumptions and Catalog'!$H$64+'Assumptions and Catalog'!$E$64+'Assumptions and Catalog'!$F$64,IF(((D362+E362)*C362-G362)&lt;='Assumptions and Catalog'!$C$65,((D362+E362)*C362-G362)*'Assumptions and Catalog'!$H$65+'Assumptions and Catalog'!$E$65+'Assumptions and Catalog'!$F$65,"Out of range")))))))))*(1+'Assumptions and Catalog'!$C$8)^(A362-1),0)</f>
        <v>5290.4550048203237</v>
      </c>
      <c r="R362" s="5">
        <f>IF(AND('Assumptions and Catalog'!$C$19&gt;0,A362&gt;='Assumptions and Catalog'!$C$19),A362-'Assumptions and Catalog'!$C$19,A362-1)</f>
        <v>6</v>
      </c>
      <c r="S362" s="5">
        <f t="shared" si="31"/>
        <v>0</v>
      </c>
      <c r="T362" s="5"/>
      <c r="U362" s="5"/>
    </row>
    <row r="363" spans="1:21" ht="23.1" customHeight="1" outlineLevel="1" x14ac:dyDescent="0.2">
      <c r="A363" s="5">
        <v>17</v>
      </c>
      <c r="B363" s="5">
        <v>11</v>
      </c>
      <c r="C363" s="5">
        <f>DAY(DATE('Assumptions and Catalog'!$C$24+A363-1,B363+1,0))</f>
        <v>30</v>
      </c>
      <c r="D363" s="5">
        <f>IF(ISNUMBER(Inputs!$L$5),Inputs!$L$5*Inputs!$L$6,0)</f>
        <v>40.35</v>
      </c>
      <c r="E363" s="5">
        <f>IF(ISNUMBER(Inputs!$L$5),Inputs!$L$5-D363,0)</f>
        <v>40.35</v>
      </c>
      <c r="F363" s="5">
        <f>C$51*'Assumptions and Catalog'!$C$31*C363*(1-'Assumptions and Catalog'!$C$10)^(A363-1)</f>
        <v>923.83559647573134</v>
      </c>
      <c r="G363" s="5">
        <f t="shared" si="26"/>
        <v>923.83559647573134</v>
      </c>
      <c r="H363" s="5">
        <f>I363/('Assumptions and Catalog'!$C$11*'Assumptions and Catalog'!$C$12)</f>
        <v>0</v>
      </c>
      <c r="I363" s="5">
        <f>0</f>
        <v>0</v>
      </c>
      <c r="J363" s="5">
        <f t="shared" si="27"/>
        <v>0</v>
      </c>
      <c r="K363" s="5">
        <f t="shared" si="28"/>
        <v>0</v>
      </c>
      <c r="L363" s="5">
        <f t="shared" si="29"/>
        <v>1497.1644035242687</v>
      </c>
      <c r="M363" s="5">
        <f>IF(ISNUMBER(Inputs!$L$5),(IF(Inputs!$L$9="Actual flat rate",((D363+E363)*C363)*Inputs!$L$10,IF(Inputs!$C$9="Residential",IF(((D363+E363)*C363)&lt;='Assumptions and Catalog'!$C$50,((D363+E363)*C363)*'Assumptions and Catalog'!$H$50+'Assumptions and Catalog'!$E$50+'Assumptions and Catalog'!$F$50,IF(((D363+E363)*C363)&lt;='Assumptions and Catalog'!$C$51,((D363+E363)*C363)*'Assumptions and Catalog'!$H$51+'Assumptions and Catalog'!$E$51+'Assumptions and Catalog'!$F$51,IF(((D363+E363)*C363)&lt;='Assumptions and Catalog'!$C$52,((D363+E363)*C363)*'Assumptions and Catalog'!$H$52+'Assumptions and Catalog'!$E$52+'Assumptions and Catalog'!$F$52,IF(((D363+E363)*C363)&lt;='Assumptions and Catalog'!$C$53,((D363+E363)*C363)*'Assumptions and Catalog'!$H$53+'Assumptions and Catalog'!$E$53+'Assumptions and Catalog'!$F$53,IF(((D363+E363)*C363)&lt;='Assumptions and Catalog'!$C$54,((D363+E363)*C363)*'Assumptions and Catalog'!$H$54+'Assumptions and Catalog'!$E$54+'Assumptions and Catalog'!$F$54,IF(((D363+E363)*C363)&lt;='Assumptions and Catalog'!$C$55,((D363+E363)*C363)*'Assumptions and Catalog'!$H$55+'Assumptions and Catalog'!$E$55+'Assumptions and Catalog'!$F$55,IF(((D363+E363)*C363)&lt;='Assumptions and Catalog'!$C$56,((D363+E363)*C363)*'Assumptions and Catalog'!$H$56+'Assumptions and Catalog'!$E$56+'Assumptions and Catalog'!$F$56,IF(((D363+E363)*C363)&lt;='Assumptions and Catalog'!$C$57,((D363+E363)*C363)*'Assumptions and Catalog'!$H$57+'Assumptions and Catalog'!$E$57+'Assumptions and Catalog'!$F$57,"Out of range")))))))),IF(((D363+E363)*C363)&lt;='Assumptions and Catalog'!$C$60,((D363+E363)*C363)*'Assumptions and Catalog'!$H$60+'Assumptions and Catalog'!$E$60+'Assumptions and Catalog'!$F$60,IF(((D363+E363)*C363)&lt;='Assumptions and Catalog'!$C$61,((D363+E363)*C363)*'Assumptions and Catalog'!$H$61+'Assumptions and Catalog'!$E$61+'Assumptions and Catalog'!$F$61,IF(((D363+E363)*C363)&lt;='Assumptions and Catalog'!$C$62,((D363+E363)*C363)*'Assumptions and Catalog'!$H$62+'Assumptions and Catalog'!$E$62+'Assumptions and Catalog'!$F$62,IF(((D363+E363)*C363)&lt;='Assumptions and Catalog'!$C$63,((D363+E363)*C363)*'Assumptions and Catalog'!$H$63+'Assumptions and Catalog'!$E$63+'Assumptions and Catalog'!$F$63,IF(((D363+E363)*C363)&lt;='Assumptions and Catalog'!$C$64,((D363+E363)*C363)*'Assumptions and Catalog'!$H$64+'Assumptions and Catalog'!$E$64+'Assumptions and Catalog'!$F$64,IF(((D363+E363)*C363)&lt;='Assumptions and Catalog'!$C$65,((D363+E363)*C363)*'Assumptions and Catalog'!$H$65+'Assumptions and Catalog'!$E$65+'Assumptions and Catalog'!$F$65,"Out of range")))))))))*(1+'Assumptions and Catalog'!$C$8)^(A363-1),0)</f>
        <v>8279</v>
      </c>
      <c r="N363" s="5">
        <f>IF(ISNUMBER(Inputs!$L$5),(IF(Inputs!$L$9="Actual flat rate",L363*Inputs!$L$10,IF(Inputs!$C$9="Residential",IF(L363&lt;='Assumptions and Catalog'!$C$50,L363*'Assumptions and Catalog'!$H$50+'Assumptions and Catalog'!$E$50+'Assumptions and Catalog'!$F$50,IF(L363&lt;='Assumptions and Catalog'!$C$51,L363*'Assumptions and Catalog'!$H$51+'Assumptions and Catalog'!$E$51+'Assumptions and Catalog'!$F$51,IF(L363&lt;='Assumptions and Catalog'!$C$52,L363*'Assumptions and Catalog'!$H$52+'Assumptions and Catalog'!$E$52+'Assumptions and Catalog'!$F$52,IF(L363&lt;='Assumptions and Catalog'!$C$53,L363*'Assumptions and Catalog'!$H$53+'Assumptions and Catalog'!$E$53+'Assumptions and Catalog'!$F$53,IF(L363&lt;='Assumptions and Catalog'!$C$54,L363*'Assumptions and Catalog'!$H$54+'Assumptions and Catalog'!$E$54+'Assumptions and Catalog'!$F$54,IF(L363&lt;='Assumptions and Catalog'!$C$55,L363*'Assumptions and Catalog'!$H$55+'Assumptions and Catalog'!$E$55+'Assumptions and Catalog'!$F$55,IF(L363&lt;='Assumptions and Catalog'!$C$56,L363*'Assumptions and Catalog'!$H$56+'Assumptions and Catalog'!$E$56+'Assumptions and Catalog'!$F$56,IF(L363&lt;='Assumptions and Catalog'!$C$57,L363*'Assumptions and Catalog'!$H$57+'Assumptions and Catalog'!$E$57+'Assumptions and Catalog'!$F$57,"Out of range")))))))),IF(L363&lt;='Assumptions and Catalog'!$C$60,L363*'Assumptions and Catalog'!$H$60+'Assumptions and Catalog'!$E$60+'Assumptions and Catalog'!$F$60,IF(L363&lt;='Assumptions and Catalog'!$C$61,L363*'Assumptions and Catalog'!$H$61+'Assumptions and Catalog'!$E$61+'Assumptions and Catalog'!$F$61,IF(L363&lt;='Assumptions and Catalog'!$C$62,L363*'Assumptions and Catalog'!$H$62+'Assumptions and Catalog'!$E$62+'Assumptions and Catalog'!$F$62,IF(L363&lt;='Assumptions and Catalog'!$C$63,L363*'Assumptions and Catalog'!$H$63+'Assumptions and Catalog'!$E$63+'Assumptions and Catalog'!$F$63,IF(L363&lt;='Assumptions and Catalog'!$C$64,L363*'Assumptions and Catalog'!$H$64+'Assumptions and Catalog'!$E$64+'Assumptions and Catalog'!$F$64,IF(L363&lt;='Assumptions and Catalog'!$C$65,L363*'Assumptions and Catalog'!$H$65+'Assumptions and Catalog'!$E$65+'Assumptions and Catalog'!$F$65,"Out of range")))))))))*(1+'Assumptions and Catalog'!$C$8)^(A363-1),0)</f>
        <v>5119.7951659551509</v>
      </c>
      <c r="O363" s="5">
        <f t="shared" si="30"/>
        <v>3159.2048340448491</v>
      </c>
      <c r="P363" s="5">
        <f>C$55*(1-J$14)*(1-'Assumptions and Catalog'!$C$23)^R363</f>
        <v>0</v>
      </c>
      <c r="Q363" s="5">
        <f>IF(ISNUMBER(Inputs!$L$5),(IF(Inputs!$L$9="Actual flat rate",((D363+E363)*C363-G363)*Inputs!$L$10,IF(Inputs!$C$9="Residential",IF(((D363+E363)*C363-G363)&lt;='Assumptions and Catalog'!$C$50,((D363+E363)*C363-G363)*'Assumptions and Catalog'!$H$50+'Assumptions and Catalog'!$E$50+'Assumptions and Catalog'!$F$50,IF(((D363+E363)*C363-G363)&lt;='Assumptions and Catalog'!$C$51,((D363+E363)*C363-G363)*'Assumptions and Catalog'!$H$51+'Assumptions and Catalog'!$E$51+'Assumptions and Catalog'!$F$51,IF(((D363+E363)*C363-G363)&lt;='Assumptions and Catalog'!$C$52,((D363+E363)*C363-G363)*'Assumptions and Catalog'!$H$52+'Assumptions and Catalog'!$E$52+'Assumptions and Catalog'!$F$52,IF(((D363+E363)*C363-G363)&lt;='Assumptions and Catalog'!$C$53,((D363+E363)*C363-G363)*'Assumptions and Catalog'!$H$53+'Assumptions and Catalog'!$E$53+'Assumptions and Catalog'!$F$53,IF(((D363+E363)*C363-G363)&lt;='Assumptions and Catalog'!$C$54,((D363+E363)*C363-G363)*'Assumptions and Catalog'!$H$54+'Assumptions and Catalog'!$E$54+'Assumptions and Catalog'!$F$54,IF(((D363+E363)*C363-G363)&lt;='Assumptions and Catalog'!$C$55,((D363+E363)*C363-G363)*'Assumptions and Catalog'!$H$55+'Assumptions and Catalog'!$E$55+'Assumptions and Catalog'!$F$55,IF(((D363+E363)*C363-G363)&lt;='Assumptions and Catalog'!$C$56,((D363+E363)*C363-G363)*'Assumptions and Catalog'!$H$56+'Assumptions and Catalog'!$E$56+'Assumptions and Catalog'!$F$56,IF(((D363+E363)*C363-G363)&lt;='Assumptions and Catalog'!$C$57,((D363+E363)*C363-G363)*'Assumptions and Catalog'!$H$57+'Assumptions and Catalog'!$E$57+'Assumptions and Catalog'!$F$57,"Out of range")))))))),IF(((D363+E363)*C363-G363)&lt;='Assumptions and Catalog'!$C$60,((D363+E363)*C363-G363)*'Assumptions and Catalog'!$H$60+'Assumptions and Catalog'!$E$60+'Assumptions and Catalog'!$F$60,IF(((D363+E363)*C363-G363)&lt;='Assumptions and Catalog'!$C$61,((D363+E363)*C363-G363)*'Assumptions and Catalog'!$H$61+'Assumptions and Catalog'!$E$61+'Assumptions and Catalog'!$F$61,IF(((D363+E363)*C363-G363)&lt;='Assumptions and Catalog'!$C$62,((D363+E363)*C363-G363)*'Assumptions and Catalog'!$H$62+'Assumptions and Catalog'!$E$62+'Assumptions and Catalog'!$F$62,IF(((D363+E363)*C363-G363)&lt;='Assumptions and Catalog'!$C$63,((D363+E363)*C363-G363)*'Assumptions and Catalog'!$H$63+'Assumptions and Catalog'!$E$63+'Assumptions and Catalog'!$F$63,IF(((D363+E363)*C363-G363)&lt;='Assumptions and Catalog'!$C$64,((D363+E363)*C363-G363)*'Assumptions and Catalog'!$H$64+'Assumptions and Catalog'!$E$64+'Assumptions and Catalog'!$F$64,IF(((D363+E363)*C363-G363)&lt;='Assumptions and Catalog'!$C$65,((D363+E363)*C363-G363)*'Assumptions and Catalog'!$H$65+'Assumptions and Catalog'!$E$65+'Assumptions and Catalog'!$F$65,"Out of range")))))))))*(1+'Assumptions and Catalog'!$C$8)^(A363-1),0)</f>
        <v>5119.7951659551509</v>
      </c>
      <c r="R363" s="5">
        <f>IF(AND('Assumptions and Catalog'!$C$19&gt;0,A363&gt;='Assumptions and Catalog'!$C$19),A363-'Assumptions and Catalog'!$C$19,A363-1)</f>
        <v>6</v>
      </c>
      <c r="S363" s="5">
        <f t="shared" si="31"/>
        <v>0</v>
      </c>
      <c r="T363" s="5"/>
      <c r="U363" s="5"/>
    </row>
    <row r="364" spans="1:21" ht="23.1" customHeight="1" outlineLevel="1" x14ac:dyDescent="0.2">
      <c r="A364" s="5">
        <v>17</v>
      </c>
      <c r="B364" s="5">
        <v>12</v>
      </c>
      <c r="C364" s="5">
        <f>DAY(DATE('Assumptions and Catalog'!$C$24+A364-1,B364+1,0))</f>
        <v>31</v>
      </c>
      <c r="D364" s="5">
        <f>IF(ISNUMBER(Inputs!$L$5),Inputs!$L$5*Inputs!$L$6,0)</f>
        <v>40.35</v>
      </c>
      <c r="E364" s="5">
        <f>IF(ISNUMBER(Inputs!$L$5),Inputs!$L$5-D364,0)</f>
        <v>40.35</v>
      </c>
      <c r="F364" s="5">
        <f>C$51*'Assumptions and Catalog'!$C$31*C364*(1-'Assumptions and Catalog'!$C$10)^(A364-1)</f>
        <v>954.63011635825569</v>
      </c>
      <c r="G364" s="5">
        <f t="shared" si="26"/>
        <v>954.63011635825569</v>
      </c>
      <c r="H364" s="5">
        <f>I364/('Assumptions and Catalog'!$C$11*'Assumptions and Catalog'!$C$12)</f>
        <v>0</v>
      </c>
      <c r="I364" s="5">
        <f>0</f>
        <v>0</v>
      </c>
      <c r="J364" s="5">
        <f t="shared" si="27"/>
        <v>0</v>
      </c>
      <c r="K364" s="5">
        <f t="shared" si="28"/>
        <v>0</v>
      </c>
      <c r="L364" s="5">
        <f t="shared" si="29"/>
        <v>1547.0698836417446</v>
      </c>
      <c r="M364" s="5">
        <f>IF(ISNUMBER(Inputs!$L$5),(IF(Inputs!$L$9="Actual flat rate",((D364+E364)*C364)*Inputs!$L$10,IF(Inputs!$C$9="Residential",IF(((D364+E364)*C364)&lt;='Assumptions and Catalog'!$C$50,((D364+E364)*C364)*'Assumptions and Catalog'!$H$50+'Assumptions and Catalog'!$E$50+'Assumptions and Catalog'!$F$50,IF(((D364+E364)*C364)&lt;='Assumptions and Catalog'!$C$51,((D364+E364)*C364)*'Assumptions and Catalog'!$H$51+'Assumptions and Catalog'!$E$51+'Assumptions and Catalog'!$F$51,IF(((D364+E364)*C364)&lt;='Assumptions and Catalog'!$C$52,((D364+E364)*C364)*'Assumptions and Catalog'!$H$52+'Assumptions and Catalog'!$E$52+'Assumptions and Catalog'!$F$52,IF(((D364+E364)*C364)&lt;='Assumptions and Catalog'!$C$53,((D364+E364)*C364)*'Assumptions and Catalog'!$H$53+'Assumptions and Catalog'!$E$53+'Assumptions and Catalog'!$F$53,IF(((D364+E364)*C364)&lt;='Assumptions and Catalog'!$C$54,((D364+E364)*C364)*'Assumptions and Catalog'!$H$54+'Assumptions and Catalog'!$E$54+'Assumptions and Catalog'!$F$54,IF(((D364+E364)*C364)&lt;='Assumptions and Catalog'!$C$55,((D364+E364)*C364)*'Assumptions and Catalog'!$H$55+'Assumptions and Catalog'!$E$55+'Assumptions and Catalog'!$F$55,IF(((D364+E364)*C364)&lt;='Assumptions and Catalog'!$C$56,((D364+E364)*C364)*'Assumptions and Catalog'!$H$56+'Assumptions and Catalog'!$E$56+'Assumptions and Catalog'!$F$56,IF(((D364+E364)*C364)&lt;='Assumptions and Catalog'!$C$57,((D364+E364)*C364)*'Assumptions and Catalog'!$H$57+'Assumptions and Catalog'!$E$57+'Assumptions and Catalog'!$F$57,"Out of range")))))))),IF(((D364+E364)*C364)&lt;='Assumptions and Catalog'!$C$60,((D364+E364)*C364)*'Assumptions and Catalog'!$H$60+'Assumptions and Catalog'!$E$60+'Assumptions and Catalog'!$F$60,IF(((D364+E364)*C364)&lt;='Assumptions and Catalog'!$C$61,((D364+E364)*C364)*'Assumptions and Catalog'!$H$61+'Assumptions and Catalog'!$E$61+'Assumptions and Catalog'!$F$61,IF(((D364+E364)*C364)&lt;='Assumptions and Catalog'!$C$62,((D364+E364)*C364)*'Assumptions and Catalog'!$H$62+'Assumptions and Catalog'!$E$62+'Assumptions and Catalog'!$F$62,IF(((D364+E364)*C364)&lt;='Assumptions and Catalog'!$C$63,((D364+E364)*C364)*'Assumptions and Catalog'!$H$63+'Assumptions and Catalog'!$E$63+'Assumptions and Catalog'!$F$63,IF(((D364+E364)*C364)&lt;='Assumptions and Catalog'!$C$64,((D364+E364)*C364)*'Assumptions and Catalog'!$H$64+'Assumptions and Catalog'!$E$64+'Assumptions and Catalog'!$F$64,IF(((D364+E364)*C364)&lt;='Assumptions and Catalog'!$C$65,((D364+E364)*C364)*'Assumptions and Catalog'!$H$65+'Assumptions and Catalog'!$E$65+'Assumptions and Catalog'!$F$65,"Out of range")))))))))*(1+'Assumptions and Catalog'!$C$8)^(A364-1),0)</f>
        <v>8554.9666666666672</v>
      </c>
      <c r="N364" s="5">
        <f>IF(ISNUMBER(Inputs!$L$5),(IF(Inputs!$L$9="Actual flat rate",L364*Inputs!$L$10,IF(Inputs!$C$9="Residential",IF(L364&lt;='Assumptions and Catalog'!$C$50,L364*'Assumptions and Catalog'!$H$50+'Assumptions and Catalog'!$E$50+'Assumptions and Catalog'!$F$50,IF(L364&lt;='Assumptions and Catalog'!$C$51,L364*'Assumptions and Catalog'!$H$51+'Assumptions and Catalog'!$E$51+'Assumptions and Catalog'!$F$51,IF(L364&lt;='Assumptions and Catalog'!$C$52,L364*'Assumptions and Catalog'!$H$52+'Assumptions and Catalog'!$E$52+'Assumptions and Catalog'!$F$52,IF(L364&lt;='Assumptions and Catalog'!$C$53,L364*'Assumptions and Catalog'!$H$53+'Assumptions and Catalog'!$E$53+'Assumptions and Catalog'!$F$53,IF(L364&lt;='Assumptions and Catalog'!$C$54,L364*'Assumptions and Catalog'!$H$54+'Assumptions and Catalog'!$E$54+'Assumptions and Catalog'!$F$54,IF(L364&lt;='Assumptions and Catalog'!$C$55,L364*'Assumptions and Catalog'!$H$55+'Assumptions and Catalog'!$E$55+'Assumptions and Catalog'!$F$55,IF(L364&lt;='Assumptions and Catalog'!$C$56,L364*'Assumptions and Catalog'!$H$56+'Assumptions and Catalog'!$E$56+'Assumptions and Catalog'!$F$56,IF(L364&lt;='Assumptions and Catalog'!$C$57,L364*'Assumptions and Catalog'!$H$57+'Assumptions and Catalog'!$E$57+'Assumptions and Catalog'!$F$57,"Out of range")))))))),IF(L364&lt;='Assumptions and Catalog'!$C$60,L364*'Assumptions and Catalog'!$H$60+'Assumptions and Catalog'!$E$60+'Assumptions and Catalog'!$F$60,IF(L364&lt;='Assumptions and Catalog'!$C$61,L364*'Assumptions and Catalog'!$H$61+'Assumptions and Catalog'!$E$61+'Assumptions and Catalog'!$F$61,IF(L364&lt;='Assumptions and Catalog'!$C$62,L364*'Assumptions and Catalog'!$H$62+'Assumptions and Catalog'!$E$62+'Assumptions and Catalog'!$F$62,IF(L364&lt;='Assumptions and Catalog'!$C$63,L364*'Assumptions and Catalog'!$H$63+'Assumptions and Catalog'!$E$63+'Assumptions and Catalog'!$F$63,IF(L364&lt;='Assumptions and Catalog'!$C$64,L364*'Assumptions and Catalog'!$H$64+'Assumptions and Catalog'!$E$64+'Assumptions and Catalog'!$F$64,IF(L364&lt;='Assumptions and Catalog'!$C$65,L364*'Assumptions and Catalog'!$H$65+'Assumptions and Catalog'!$E$65+'Assumptions and Catalog'!$F$65,"Out of range")))))))))*(1+'Assumptions and Catalog'!$C$8)^(A364-1),0)</f>
        <v>5290.4550048203237</v>
      </c>
      <c r="O364" s="5">
        <f t="shared" si="30"/>
        <v>3264.5116618463435</v>
      </c>
      <c r="P364" s="5">
        <f>C$55*(1-J$14)*(1-'Assumptions and Catalog'!$C$23)^R364</f>
        <v>0</v>
      </c>
      <c r="Q364" s="5">
        <f>IF(ISNUMBER(Inputs!$L$5),(IF(Inputs!$L$9="Actual flat rate",((D364+E364)*C364-G364)*Inputs!$L$10,IF(Inputs!$C$9="Residential",IF(((D364+E364)*C364-G364)&lt;='Assumptions and Catalog'!$C$50,((D364+E364)*C364-G364)*'Assumptions and Catalog'!$H$50+'Assumptions and Catalog'!$E$50+'Assumptions and Catalog'!$F$50,IF(((D364+E364)*C364-G364)&lt;='Assumptions and Catalog'!$C$51,((D364+E364)*C364-G364)*'Assumptions and Catalog'!$H$51+'Assumptions and Catalog'!$E$51+'Assumptions and Catalog'!$F$51,IF(((D364+E364)*C364-G364)&lt;='Assumptions and Catalog'!$C$52,((D364+E364)*C364-G364)*'Assumptions and Catalog'!$H$52+'Assumptions and Catalog'!$E$52+'Assumptions and Catalog'!$F$52,IF(((D364+E364)*C364-G364)&lt;='Assumptions and Catalog'!$C$53,((D364+E364)*C364-G364)*'Assumptions and Catalog'!$H$53+'Assumptions and Catalog'!$E$53+'Assumptions and Catalog'!$F$53,IF(((D364+E364)*C364-G364)&lt;='Assumptions and Catalog'!$C$54,((D364+E364)*C364-G364)*'Assumptions and Catalog'!$H$54+'Assumptions and Catalog'!$E$54+'Assumptions and Catalog'!$F$54,IF(((D364+E364)*C364-G364)&lt;='Assumptions and Catalog'!$C$55,((D364+E364)*C364-G364)*'Assumptions and Catalog'!$H$55+'Assumptions and Catalog'!$E$55+'Assumptions and Catalog'!$F$55,IF(((D364+E364)*C364-G364)&lt;='Assumptions and Catalog'!$C$56,((D364+E364)*C364-G364)*'Assumptions and Catalog'!$H$56+'Assumptions and Catalog'!$E$56+'Assumptions and Catalog'!$F$56,IF(((D364+E364)*C364-G364)&lt;='Assumptions and Catalog'!$C$57,((D364+E364)*C364-G364)*'Assumptions and Catalog'!$H$57+'Assumptions and Catalog'!$E$57+'Assumptions and Catalog'!$F$57,"Out of range")))))))),IF(((D364+E364)*C364-G364)&lt;='Assumptions and Catalog'!$C$60,((D364+E364)*C364-G364)*'Assumptions and Catalog'!$H$60+'Assumptions and Catalog'!$E$60+'Assumptions and Catalog'!$F$60,IF(((D364+E364)*C364-G364)&lt;='Assumptions and Catalog'!$C$61,((D364+E364)*C364-G364)*'Assumptions and Catalog'!$H$61+'Assumptions and Catalog'!$E$61+'Assumptions and Catalog'!$F$61,IF(((D364+E364)*C364-G364)&lt;='Assumptions and Catalog'!$C$62,((D364+E364)*C364-G364)*'Assumptions and Catalog'!$H$62+'Assumptions and Catalog'!$E$62+'Assumptions and Catalog'!$F$62,IF(((D364+E364)*C364-G364)&lt;='Assumptions and Catalog'!$C$63,((D364+E364)*C364-G364)*'Assumptions and Catalog'!$H$63+'Assumptions and Catalog'!$E$63+'Assumptions and Catalog'!$F$63,IF(((D364+E364)*C364-G364)&lt;='Assumptions and Catalog'!$C$64,((D364+E364)*C364-G364)*'Assumptions and Catalog'!$H$64+'Assumptions and Catalog'!$E$64+'Assumptions and Catalog'!$F$64,IF(((D364+E364)*C364-G364)&lt;='Assumptions and Catalog'!$C$65,((D364+E364)*C364-G364)*'Assumptions and Catalog'!$H$65+'Assumptions and Catalog'!$E$65+'Assumptions and Catalog'!$F$65,"Out of range")))))))))*(1+'Assumptions and Catalog'!$C$8)^(A364-1),0)</f>
        <v>5290.4550048203237</v>
      </c>
      <c r="R364" s="5">
        <f>IF(AND('Assumptions and Catalog'!$C$19&gt;0,A364&gt;='Assumptions and Catalog'!$C$19),A364-'Assumptions and Catalog'!$C$19,A364-1)</f>
        <v>6</v>
      </c>
      <c r="S364" s="5">
        <f t="shared" si="31"/>
        <v>0</v>
      </c>
      <c r="T364" s="5"/>
      <c r="U364" s="5"/>
    </row>
    <row r="365" spans="1:21" ht="23.1" customHeight="1" outlineLevel="1" x14ac:dyDescent="0.2">
      <c r="A365" s="5">
        <v>18</v>
      </c>
      <c r="B365" s="5">
        <v>1</v>
      </c>
      <c r="C365" s="5">
        <f>DAY(DATE('Assumptions and Catalog'!$C$24+A365-1,B365+1,0))</f>
        <v>31</v>
      </c>
      <c r="D365" s="5">
        <f>IF(ISNUMBER(Inputs!$L$5),Inputs!$L$5*Inputs!$L$6,0)</f>
        <v>40.35</v>
      </c>
      <c r="E365" s="5">
        <f>IF(ISNUMBER(Inputs!$L$5),Inputs!$L$5-D365,0)</f>
        <v>40.35</v>
      </c>
      <c r="F365" s="5">
        <f>C$51*'Assumptions and Catalog'!$C$31*C365*(1-'Assumptions and Catalog'!$C$10)^(A365-1)</f>
        <v>949.85696577646445</v>
      </c>
      <c r="G365" s="5">
        <f t="shared" si="26"/>
        <v>949.85696577646445</v>
      </c>
      <c r="H365" s="5">
        <f>I365/('Assumptions and Catalog'!$C$11*'Assumptions and Catalog'!$C$12)</f>
        <v>0</v>
      </c>
      <c r="I365" s="5">
        <f>0</f>
        <v>0</v>
      </c>
      <c r="J365" s="5">
        <f t="shared" si="27"/>
        <v>0</v>
      </c>
      <c r="K365" s="5">
        <f t="shared" si="28"/>
        <v>0</v>
      </c>
      <c r="L365" s="5">
        <f t="shared" si="29"/>
        <v>1551.8430342235358</v>
      </c>
      <c r="M365" s="5">
        <f>IF(ISNUMBER(Inputs!$L$5),(IF(Inputs!$L$9="Actual flat rate",((D365+E365)*C365)*Inputs!$L$10,IF(Inputs!$C$9="Residential",IF(((D365+E365)*C365)&lt;='Assumptions and Catalog'!$C$50,((D365+E365)*C365)*'Assumptions and Catalog'!$H$50+'Assumptions and Catalog'!$E$50+'Assumptions and Catalog'!$F$50,IF(((D365+E365)*C365)&lt;='Assumptions and Catalog'!$C$51,((D365+E365)*C365)*'Assumptions and Catalog'!$H$51+'Assumptions and Catalog'!$E$51+'Assumptions and Catalog'!$F$51,IF(((D365+E365)*C365)&lt;='Assumptions and Catalog'!$C$52,((D365+E365)*C365)*'Assumptions and Catalog'!$H$52+'Assumptions and Catalog'!$E$52+'Assumptions and Catalog'!$F$52,IF(((D365+E365)*C365)&lt;='Assumptions and Catalog'!$C$53,((D365+E365)*C365)*'Assumptions and Catalog'!$H$53+'Assumptions and Catalog'!$E$53+'Assumptions and Catalog'!$F$53,IF(((D365+E365)*C365)&lt;='Assumptions and Catalog'!$C$54,((D365+E365)*C365)*'Assumptions and Catalog'!$H$54+'Assumptions and Catalog'!$E$54+'Assumptions and Catalog'!$F$54,IF(((D365+E365)*C365)&lt;='Assumptions and Catalog'!$C$55,((D365+E365)*C365)*'Assumptions and Catalog'!$H$55+'Assumptions and Catalog'!$E$55+'Assumptions and Catalog'!$F$55,IF(((D365+E365)*C365)&lt;='Assumptions and Catalog'!$C$56,((D365+E365)*C365)*'Assumptions and Catalog'!$H$56+'Assumptions and Catalog'!$E$56+'Assumptions and Catalog'!$F$56,IF(((D365+E365)*C365)&lt;='Assumptions and Catalog'!$C$57,((D365+E365)*C365)*'Assumptions and Catalog'!$H$57+'Assumptions and Catalog'!$E$57+'Assumptions and Catalog'!$F$57,"Out of range")))))))),IF(((D365+E365)*C365)&lt;='Assumptions and Catalog'!$C$60,((D365+E365)*C365)*'Assumptions and Catalog'!$H$60+'Assumptions and Catalog'!$E$60+'Assumptions and Catalog'!$F$60,IF(((D365+E365)*C365)&lt;='Assumptions and Catalog'!$C$61,((D365+E365)*C365)*'Assumptions and Catalog'!$H$61+'Assumptions and Catalog'!$E$61+'Assumptions and Catalog'!$F$61,IF(((D365+E365)*C365)&lt;='Assumptions and Catalog'!$C$62,((D365+E365)*C365)*'Assumptions and Catalog'!$H$62+'Assumptions and Catalog'!$E$62+'Assumptions and Catalog'!$F$62,IF(((D365+E365)*C365)&lt;='Assumptions and Catalog'!$C$63,((D365+E365)*C365)*'Assumptions and Catalog'!$H$63+'Assumptions and Catalog'!$E$63+'Assumptions and Catalog'!$F$63,IF(((D365+E365)*C365)&lt;='Assumptions and Catalog'!$C$64,((D365+E365)*C365)*'Assumptions and Catalog'!$H$64+'Assumptions and Catalog'!$E$64+'Assumptions and Catalog'!$F$64,IF(((D365+E365)*C365)&lt;='Assumptions and Catalog'!$C$65,((D365+E365)*C365)*'Assumptions and Catalog'!$H$65+'Assumptions and Catalog'!$E$65+'Assumptions and Catalog'!$F$65,"Out of range")))))))))*(1+'Assumptions and Catalog'!$C$8)^(A365-1),0)</f>
        <v>8554.9666666666672</v>
      </c>
      <c r="N365" s="5">
        <f>IF(ISNUMBER(Inputs!$L$5),(IF(Inputs!$L$9="Actual flat rate",L365*Inputs!$L$10,IF(Inputs!$C$9="Residential",IF(L365&lt;='Assumptions and Catalog'!$C$50,L365*'Assumptions and Catalog'!$H$50+'Assumptions and Catalog'!$E$50+'Assumptions and Catalog'!$F$50,IF(L365&lt;='Assumptions and Catalog'!$C$51,L365*'Assumptions and Catalog'!$H$51+'Assumptions and Catalog'!$E$51+'Assumptions and Catalog'!$F$51,IF(L365&lt;='Assumptions and Catalog'!$C$52,L365*'Assumptions and Catalog'!$H$52+'Assumptions and Catalog'!$E$52+'Assumptions and Catalog'!$F$52,IF(L365&lt;='Assumptions and Catalog'!$C$53,L365*'Assumptions and Catalog'!$H$53+'Assumptions and Catalog'!$E$53+'Assumptions and Catalog'!$F$53,IF(L365&lt;='Assumptions and Catalog'!$C$54,L365*'Assumptions and Catalog'!$H$54+'Assumptions and Catalog'!$E$54+'Assumptions and Catalog'!$F$54,IF(L365&lt;='Assumptions and Catalog'!$C$55,L365*'Assumptions and Catalog'!$H$55+'Assumptions and Catalog'!$E$55+'Assumptions and Catalog'!$F$55,IF(L365&lt;='Assumptions and Catalog'!$C$56,L365*'Assumptions and Catalog'!$H$56+'Assumptions and Catalog'!$E$56+'Assumptions and Catalog'!$F$56,IF(L365&lt;='Assumptions and Catalog'!$C$57,L365*'Assumptions and Catalog'!$H$57+'Assumptions and Catalog'!$E$57+'Assumptions and Catalog'!$F$57,"Out of range")))))))),IF(L365&lt;='Assumptions and Catalog'!$C$60,L365*'Assumptions and Catalog'!$H$60+'Assumptions and Catalog'!$E$60+'Assumptions and Catalog'!$F$60,IF(L365&lt;='Assumptions and Catalog'!$C$61,L365*'Assumptions and Catalog'!$H$61+'Assumptions and Catalog'!$E$61+'Assumptions and Catalog'!$F$61,IF(L365&lt;='Assumptions and Catalog'!$C$62,L365*'Assumptions and Catalog'!$H$62+'Assumptions and Catalog'!$E$62+'Assumptions and Catalog'!$F$62,IF(L365&lt;='Assumptions and Catalog'!$C$63,L365*'Assumptions and Catalog'!$H$63+'Assumptions and Catalog'!$E$63+'Assumptions and Catalog'!$F$63,IF(L365&lt;='Assumptions and Catalog'!$C$64,L365*'Assumptions and Catalog'!$H$64+'Assumptions and Catalog'!$E$64+'Assumptions and Catalog'!$F$64,IF(L365&lt;='Assumptions and Catalog'!$C$65,L365*'Assumptions and Catalog'!$H$65+'Assumptions and Catalog'!$E$65+'Assumptions and Catalog'!$F$65,"Out of range")))))))))*(1+'Assumptions and Catalog'!$C$8)^(A365-1),0)</f>
        <v>5306.7775631295553</v>
      </c>
      <c r="O365" s="5">
        <f t="shared" si="30"/>
        <v>3248.1891035371118</v>
      </c>
      <c r="P365" s="5">
        <f>C$55*(1-J$14)*(1-'Assumptions and Catalog'!$C$23)^R365</f>
        <v>0</v>
      </c>
      <c r="Q365" s="5">
        <f>IF(ISNUMBER(Inputs!$L$5),(IF(Inputs!$L$9="Actual flat rate",((D365+E365)*C365-G365)*Inputs!$L$10,IF(Inputs!$C$9="Residential",IF(((D365+E365)*C365-G365)&lt;='Assumptions and Catalog'!$C$50,((D365+E365)*C365-G365)*'Assumptions and Catalog'!$H$50+'Assumptions and Catalog'!$E$50+'Assumptions and Catalog'!$F$50,IF(((D365+E365)*C365-G365)&lt;='Assumptions and Catalog'!$C$51,((D365+E365)*C365-G365)*'Assumptions and Catalog'!$H$51+'Assumptions and Catalog'!$E$51+'Assumptions and Catalog'!$F$51,IF(((D365+E365)*C365-G365)&lt;='Assumptions and Catalog'!$C$52,((D365+E365)*C365-G365)*'Assumptions and Catalog'!$H$52+'Assumptions and Catalog'!$E$52+'Assumptions and Catalog'!$F$52,IF(((D365+E365)*C365-G365)&lt;='Assumptions and Catalog'!$C$53,((D365+E365)*C365-G365)*'Assumptions and Catalog'!$H$53+'Assumptions and Catalog'!$E$53+'Assumptions and Catalog'!$F$53,IF(((D365+E365)*C365-G365)&lt;='Assumptions and Catalog'!$C$54,((D365+E365)*C365-G365)*'Assumptions and Catalog'!$H$54+'Assumptions and Catalog'!$E$54+'Assumptions and Catalog'!$F$54,IF(((D365+E365)*C365-G365)&lt;='Assumptions and Catalog'!$C$55,((D365+E365)*C365-G365)*'Assumptions and Catalog'!$H$55+'Assumptions and Catalog'!$E$55+'Assumptions and Catalog'!$F$55,IF(((D365+E365)*C365-G365)&lt;='Assumptions and Catalog'!$C$56,((D365+E365)*C365-G365)*'Assumptions and Catalog'!$H$56+'Assumptions and Catalog'!$E$56+'Assumptions and Catalog'!$F$56,IF(((D365+E365)*C365-G365)&lt;='Assumptions and Catalog'!$C$57,((D365+E365)*C365-G365)*'Assumptions and Catalog'!$H$57+'Assumptions and Catalog'!$E$57+'Assumptions and Catalog'!$F$57,"Out of range")))))))),IF(((D365+E365)*C365-G365)&lt;='Assumptions and Catalog'!$C$60,((D365+E365)*C365-G365)*'Assumptions and Catalog'!$H$60+'Assumptions and Catalog'!$E$60+'Assumptions and Catalog'!$F$60,IF(((D365+E365)*C365-G365)&lt;='Assumptions and Catalog'!$C$61,((D365+E365)*C365-G365)*'Assumptions and Catalog'!$H$61+'Assumptions and Catalog'!$E$61+'Assumptions and Catalog'!$F$61,IF(((D365+E365)*C365-G365)&lt;='Assumptions and Catalog'!$C$62,((D365+E365)*C365-G365)*'Assumptions and Catalog'!$H$62+'Assumptions and Catalog'!$E$62+'Assumptions and Catalog'!$F$62,IF(((D365+E365)*C365-G365)&lt;='Assumptions and Catalog'!$C$63,((D365+E365)*C365-G365)*'Assumptions and Catalog'!$H$63+'Assumptions and Catalog'!$E$63+'Assumptions and Catalog'!$F$63,IF(((D365+E365)*C365-G365)&lt;='Assumptions and Catalog'!$C$64,((D365+E365)*C365-G365)*'Assumptions and Catalog'!$H$64+'Assumptions and Catalog'!$E$64+'Assumptions and Catalog'!$F$64,IF(((D365+E365)*C365-G365)&lt;='Assumptions and Catalog'!$C$65,((D365+E365)*C365-G365)*'Assumptions and Catalog'!$H$65+'Assumptions and Catalog'!$E$65+'Assumptions and Catalog'!$F$65,"Out of range")))))))))*(1+'Assumptions and Catalog'!$C$8)^(A365-1),0)</f>
        <v>5306.7775631295553</v>
      </c>
      <c r="R365" s="5">
        <f>IF(AND('Assumptions and Catalog'!$C$19&gt;0,A365&gt;='Assumptions and Catalog'!$C$19),A365-'Assumptions and Catalog'!$C$19,A365-1)</f>
        <v>7</v>
      </c>
      <c r="S365" s="5">
        <f t="shared" si="31"/>
        <v>0</v>
      </c>
      <c r="T365" s="5"/>
      <c r="U365" s="5"/>
    </row>
    <row r="366" spans="1:21" ht="23.1" customHeight="1" outlineLevel="1" x14ac:dyDescent="0.2">
      <c r="A366" s="5">
        <v>18</v>
      </c>
      <c r="B366" s="5">
        <v>2</v>
      </c>
      <c r="C366" s="5">
        <f>DAY(DATE('Assumptions and Catalog'!$C$24+A366-1,B366+1,0))</f>
        <v>29</v>
      </c>
      <c r="D366" s="5">
        <f>IF(ISNUMBER(Inputs!$L$5),Inputs!$L$5*Inputs!$L$6,0)</f>
        <v>40.35</v>
      </c>
      <c r="E366" s="5">
        <f>IF(ISNUMBER(Inputs!$L$5),Inputs!$L$5-D366,0)</f>
        <v>40.35</v>
      </c>
      <c r="F366" s="5">
        <f>C$51*'Assumptions and Catalog'!$C$31*C366*(1-'Assumptions and Catalog'!$C$10)^(A366-1)</f>
        <v>888.57587121024085</v>
      </c>
      <c r="G366" s="5">
        <f t="shared" si="26"/>
        <v>888.57587121024085</v>
      </c>
      <c r="H366" s="5">
        <f>I366/('Assumptions and Catalog'!$C$11*'Assumptions and Catalog'!$C$12)</f>
        <v>0</v>
      </c>
      <c r="I366" s="5">
        <f>0</f>
        <v>0</v>
      </c>
      <c r="J366" s="5">
        <f t="shared" si="27"/>
        <v>0</v>
      </c>
      <c r="K366" s="5">
        <f t="shared" si="28"/>
        <v>0</v>
      </c>
      <c r="L366" s="5">
        <f t="shared" si="29"/>
        <v>1451.7241287897593</v>
      </c>
      <c r="M366" s="5">
        <f>IF(ISNUMBER(Inputs!$L$5),(IF(Inputs!$L$9="Actual flat rate",((D366+E366)*C366)*Inputs!$L$10,IF(Inputs!$C$9="Residential",IF(((D366+E366)*C366)&lt;='Assumptions and Catalog'!$C$50,((D366+E366)*C366)*'Assumptions and Catalog'!$H$50+'Assumptions and Catalog'!$E$50+'Assumptions and Catalog'!$F$50,IF(((D366+E366)*C366)&lt;='Assumptions and Catalog'!$C$51,((D366+E366)*C366)*'Assumptions and Catalog'!$H$51+'Assumptions and Catalog'!$E$51+'Assumptions and Catalog'!$F$51,IF(((D366+E366)*C366)&lt;='Assumptions and Catalog'!$C$52,((D366+E366)*C366)*'Assumptions and Catalog'!$H$52+'Assumptions and Catalog'!$E$52+'Assumptions and Catalog'!$F$52,IF(((D366+E366)*C366)&lt;='Assumptions and Catalog'!$C$53,((D366+E366)*C366)*'Assumptions and Catalog'!$H$53+'Assumptions and Catalog'!$E$53+'Assumptions and Catalog'!$F$53,IF(((D366+E366)*C366)&lt;='Assumptions and Catalog'!$C$54,((D366+E366)*C366)*'Assumptions and Catalog'!$H$54+'Assumptions and Catalog'!$E$54+'Assumptions and Catalog'!$F$54,IF(((D366+E366)*C366)&lt;='Assumptions and Catalog'!$C$55,((D366+E366)*C366)*'Assumptions and Catalog'!$H$55+'Assumptions and Catalog'!$E$55+'Assumptions and Catalog'!$F$55,IF(((D366+E366)*C366)&lt;='Assumptions and Catalog'!$C$56,((D366+E366)*C366)*'Assumptions and Catalog'!$H$56+'Assumptions and Catalog'!$E$56+'Assumptions and Catalog'!$F$56,IF(((D366+E366)*C366)&lt;='Assumptions and Catalog'!$C$57,((D366+E366)*C366)*'Assumptions and Catalog'!$H$57+'Assumptions and Catalog'!$E$57+'Assumptions and Catalog'!$F$57,"Out of range")))))))),IF(((D366+E366)*C366)&lt;='Assumptions and Catalog'!$C$60,((D366+E366)*C366)*'Assumptions and Catalog'!$H$60+'Assumptions and Catalog'!$E$60+'Assumptions and Catalog'!$F$60,IF(((D366+E366)*C366)&lt;='Assumptions and Catalog'!$C$61,((D366+E366)*C366)*'Assumptions and Catalog'!$H$61+'Assumptions and Catalog'!$E$61+'Assumptions and Catalog'!$F$61,IF(((D366+E366)*C366)&lt;='Assumptions and Catalog'!$C$62,((D366+E366)*C366)*'Assumptions and Catalog'!$H$62+'Assumptions and Catalog'!$E$62+'Assumptions and Catalog'!$F$62,IF(((D366+E366)*C366)&lt;='Assumptions and Catalog'!$C$63,((D366+E366)*C366)*'Assumptions and Catalog'!$H$63+'Assumptions and Catalog'!$E$63+'Assumptions and Catalog'!$F$63,IF(((D366+E366)*C366)&lt;='Assumptions and Catalog'!$C$64,((D366+E366)*C366)*'Assumptions and Catalog'!$H$64+'Assumptions and Catalog'!$E$64+'Assumptions and Catalog'!$F$64,IF(((D366+E366)*C366)&lt;='Assumptions and Catalog'!$C$65,((D366+E366)*C366)*'Assumptions and Catalog'!$H$65+'Assumptions and Catalog'!$E$65+'Assumptions and Catalog'!$F$65,"Out of range")))))))))*(1+'Assumptions and Catalog'!$C$8)^(A366-1),0)</f>
        <v>8003.0333333333338</v>
      </c>
      <c r="N366" s="5">
        <f>IF(ISNUMBER(Inputs!$L$5),(IF(Inputs!$L$9="Actual flat rate",L366*Inputs!$L$10,IF(Inputs!$C$9="Residential",IF(L366&lt;='Assumptions and Catalog'!$C$50,L366*'Assumptions and Catalog'!$H$50+'Assumptions and Catalog'!$E$50+'Assumptions and Catalog'!$F$50,IF(L366&lt;='Assumptions and Catalog'!$C$51,L366*'Assumptions and Catalog'!$H$51+'Assumptions and Catalog'!$E$51+'Assumptions and Catalog'!$F$51,IF(L366&lt;='Assumptions and Catalog'!$C$52,L366*'Assumptions and Catalog'!$H$52+'Assumptions and Catalog'!$E$52+'Assumptions and Catalog'!$F$52,IF(L366&lt;='Assumptions and Catalog'!$C$53,L366*'Assumptions and Catalog'!$H$53+'Assumptions and Catalog'!$E$53+'Assumptions and Catalog'!$F$53,IF(L366&lt;='Assumptions and Catalog'!$C$54,L366*'Assumptions and Catalog'!$H$54+'Assumptions and Catalog'!$E$54+'Assumptions and Catalog'!$F$54,IF(L366&lt;='Assumptions and Catalog'!$C$55,L366*'Assumptions and Catalog'!$H$55+'Assumptions and Catalog'!$E$55+'Assumptions and Catalog'!$F$55,IF(L366&lt;='Assumptions and Catalog'!$C$56,L366*'Assumptions and Catalog'!$H$56+'Assumptions and Catalog'!$E$56+'Assumptions and Catalog'!$F$56,IF(L366&lt;='Assumptions and Catalog'!$C$57,L366*'Assumptions and Catalog'!$H$57+'Assumptions and Catalog'!$E$57+'Assumptions and Catalog'!$F$57,"Out of range")))))))),IF(L366&lt;='Assumptions and Catalog'!$C$60,L366*'Assumptions and Catalog'!$H$60+'Assumptions and Catalog'!$E$60+'Assumptions and Catalog'!$F$60,IF(L366&lt;='Assumptions and Catalog'!$C$61,L366*'Assumptions and Catalog'!$H$61+'Assumptions and Catalog'!$E$61+'Assumptions and Catalog'!$F$61,IF(L366&lt;='Assumptions and Catalog'!$C$62,L366*'Assumptions and Catalog'!$H$62+'Assumptions and Catalog'!$E$62+'Assumptions and Catalog'!$F$62,IF(L366&lt;='Assumptions and Catalog'!$C$63,L366*'Assumptions and Catalog'!$H$63+'Assumptions and Catalog'!$E$63+'Assumptions and Catalog'!$F$63,IF(L366&lt;='Assumptions and Catalog'!$C$64,L366*'Assumptions and Catalog'!$H$64+'Assumptions and Catalog'!$E$64+'Assumptions and Catalog'!$F$64,IF(L366&lt;='Assumptions and Catalog'!$C$65,L366*'Assumptions and Catalog'!$H$65+'Assumptions and Catalog'!$E$65+'Assumptions and Catalog'!$F$65,"Out of range")))))))))*(1+'Assumptions and Catalog'!$C$8)^(A366-1),0)</f>
        <v>4964.4048171211962</v>
      </c>
      <c r="O366" s="5">
        <f t="shared" si="30"/>
        <v>3038.6285162121376</v>
      </c>
      <c r="P366" s="5">
        <f>C$55*(1-J$14)*(1-'Assumptions and Catalog'!$C$23)^R366</f>
        <v>0</v>
      </c>
      <c r="Q366" s="5">
        <f>IF(ISNUMBER(Inputs!$L$5),(IF(Inputs!$L$9="Actual flat rate",((D366+E366)*C366-G366)*Inputs!$L$10,IF(Inputs!$C$9="Residential",IF(((D366+E366)*C366-G366)&lt;='Assumptions and Catalog'!$C$50,((D366+E366)*C366-G366)*'Assumptions and Catalog'!$H$50+'Assumptions and Catalog'!$E$50+'Assumptions and Catalog'!$F$50,IF(((D366+E366)*C366-G366)&lt;='Assumptions and Catalog'!$C$51,((D366+E366)*C366-G366)*'Assumptions and Catalog'!$H$51+'Assumptions and Catalog'!$E$51+'Assumptions and Catalog'!$F$51,IF(((D366+E366)*C366-G366)&lt;='Assumptions and Catalog'!$C$52,((D366+E366)*C366-G366)*'Assumptions and Catalog'!$H$52+'Assumptions and Catalog'!$E$52+'Assumptions and Catalog'!$F$52,IF(((D366+E366)*C366-G366)&lt;='Assumptions and Catalog'!$C$53,((D366+E366)*C366-G366)*'Assumptions and Catalog'!$H$53+'Assumptions and Catalog'!$E$53+'Assumptions and Catalog'!$F$53,IF(((D366+E366)*C366-G366)&lt;='Assumptions and Catalog'!$C$54,((D366+E366)*C366-G366)*'Assumptions and Catalog'!$H$54+'Assumptions and Catalog'!$E$54+'Assumptions and Catalog'!$F$54,IF(((D366+E366)*C366-G366)&lt;='Assumptions and Catalog'!$C$55,((D366+E366)*C366-G366)*'Assumptions and Catalog'!$H$55+'Assumptions and Catalog'!$E$55+'Assumptions and Catalog'!$F$55,IF(((D366+E366)*C366-G366)&lt;='Assumptions and Catalog'!$C$56,((D366+E366)*C366-G366)*'Assumptions and Catalog'!$H$56+'Assumptions and Catalog'!$E$56+'Assumptions and Catalog'!$F$56,IF(((D366+E366)*C366-G366)&lt;='Assumptions and Catalog'!$C$57,((D366+E366)*C366-G366)*'Assumptions and Catalog'!$H$57+'Assumptions and Catalog'!$E$57+'Assumptions and Catalog'!$F$57,"Out of range")))))))),IF(((D366+E366)*C366-G366)&lt;='Assumptions and Catalog'!$C$60,((D366+E366)*C366-G366)*'Assumptions and Catalog'!$H$60+'Assumptions and Catalog'!$E$60+'Assumptions and Catalog'!$F$60,IF(((D366+E366)*C366-G366)&lt;='Assumptions and Catalog'!$C$61,((D366+E366)*C366-G366)*'Assumptions and Catalog'!$H$61+'Assumptions and Catalog'!$E$61+'Assumptions and Catalog'!$F$61,IF(((D366+E366)*C366-G366)&lt;='Assumptions and Catalog'!$C$62,((D366+E366)*C366-G366)*'Assumptions and Catalog'!$H$62+'Assumptions and Catalog'!$E$62+'Assumptions and Catalog'!$F$62,IF(((D366+E366)*C366-G366)&lt;='Assumptions and Catalog'!$C$63,((D366+E366)*C366-G366)*'Assumptions and Catalog'!$H$63+'Assumptions and Catalog'!$E$63+'Assumptions and Catalog'!$F$63,IF(((D366+E366)*C366-G366)&lt;='Assumptions and Catalog'!$C$64,((D366+E366)*C366-G366)*'Assumptions and Catalog'!$H$64+'Assumptions and Catalog'!$E$64+'Assumptions and Catalog'!$F$64,IF(((D366+E366)*C366-G366)&lt;='Assumptions and Catalog'!$C$65,((D366+E366)*C366-G366)*'Assumptions and Catalog'!$H$65+'Assumptions and Catalog'!$E$65+'Assumptions and Catalog'!$F$65,"Out of range")))))))))*(1+'Assumptions and Catalog'!$C$8)^(A366-1),0)</f>
        <v>4964.4048171211962</v>
      </c>
      <c r="R366" s="5">
        <f>IF(AND('Assumptions and Catalog'!$C$19&gt;0,A366&gt;='Assumptions and Catalog'!$C$19),A366-'Assumptions and Catalog'!$C$19,A366-1)</f>
        <v>7</v>
      </c>
      <c r="S366" s="5">
        <f t="shared" si="31"/>
        <v>0</v>
      </c>
      <c r="T366" s="5"/>
      <c r="U366" s="5"/>
    </row>
    <row r="367" spans="1:21" ht="23.1" customHeight="1" outlineLevel="1" x14ac:dyDescent="0.2">
      <c r="A367" s="5">
        <v>18</v>
      </c>
      <c r="B367" s="5">
        <v>3</v>
      </c>
      <c r="C367" s="5">
        <f>DAY(DATE('Assumptions and Catalog'!$C$24+A367-1,B367+1,0))</f>
        <v>31</v>
      </c>
      <c r="D367" s="5">
        <f>IF(ISNUMBER(Inputs!$L$5),Inputs!$L$5*Inputs!$L$6,0)</f>
        <v>40.35</v>
      </c>
      <c r="E367" s="5">
        <f>IF(ISNUMBER(Inputs!$L$5),Inputs!$L$5-D367,0)</f>
        <v>40.35</v>
      </c>
      <c r="F367" s="5">
        <f>C$51*'Assumptions and Catalog'!$C$31*C367*(1-'Assumptions and Catalog'!$C$10)^(A367-1)</f>
        <v>949.85696577646445</v>
      </c>
      <c r="G367" s="5">
        <f t="shared" si="26"/>
        <v>949.85696577646445</v>
      </c>
      <c r="H367" s="5">
        <f>I367/('Assumptions and Catalog'!$C$11*'Assumptions and Catalog'!$C$12)</f>
        <v>0</v>
      </c>
      <c r="I367" s="5">
        <f>0</f>
        <v>0</v>
      </c>
      <c r="J367" s="5">
        <f t="shared" si="27"/>
        <v>0</v>
      </c>
      <c r="K367" s="5">
        <f t="shared" si="28"/>
        <v>0</v>
      </c>
      <c r="L367" s="5">
        <f t="shared" si="29"/>
        <v>1551.8430342235358</v>
      </c>
      <c r="M367" s="5">
        <f>IF(ISNUMBER(Inputs!$L$5),(IF(Inputs!$L$9="Actual flat rate",((D367+E367)*C367)*Inputs!$L$10,IF(Inputs!$C$9="Residential",IF(((D367+E367)*C367)&lt;='Assumptions and Catalog'!$C$50,((D367+E367)*C367)*'Assumptions and Catalog'!$H$50+'Assumptions and Catalog'!$E$50+'Assumptions and Catalog'!$F$50,IF(((D367+E367)*C367)&lt;='Assumptions and Catalog'!$C$51,((D367+E367)*C367)*'Assumptions and Catalog'!$H$51+'Assumptions and Catalog'!$E$51+'Assumptions and Catalog'!$F$51,IF(((D367+E367)*C367)&lt;='Assumptions and Catalog'!$C$52,((D367+E367)*C367)*'Assumptions and Catalog'!$H$52+'Assumptions and Catalog'!$E$52+'Assumptions and Catalog'!$F$52,IF(((D367+E367)*C367)&lt;='Assumptions and Catalog'!$C$53,((D367+E367)*C367)*'Assumptions and Catalog'!$H$53+'Assumptions and Catalog'!$E$53+'Assumptions and Catalog'!$F$53,IF(((D367+E367)*C367)&lt;='Assumptions and Catalog'!$C$54,((D367+E367)*C367)*'Assumptions and Catalog'!$H$54+'Assumptions and Catalog'!$E$54+'Assumptions and Catalog'!$F$54,IF(((D367+E367)*C367)&lt;='Assumptions and Catalog'!$C$55,((D367+E367)*C367)*'Assumptions and Catalog'!$H$55+'Assumptions and Catalog'!$E$55+'Assumptions and Catalog'!$F$55,IF(((D367+E367)*C367)&lt;='Assumptions and Catalog'!$C$56,((D367+E367)*C367)*'Assumptions and Catalog'!$H$56+'Assumptions and Catalog'!$E$56+'Assumptions and Catalog'!$F$56,IF(((D367+E367)*C367)&lt;='Assumptions and Catalog'!$C$57,((D367+E367)*C367)*'Assumptions and Catalog'!$H$57+'Assumptions and Catalog'!$E$57+'Assumptions and Catalog'!$F$57,"Out of range")))))))),IF(((D367+E367)*C367)&lt;='Assumptions and Catalog'!$C$60,((D367+E367)*C367)*'Assumptions and Catalog'!$H$60+'Assumptions and Catalog'!$E$60+'Assumptions and Catalog'!$F$60,IF(((D367+E367)*C367)&lt;='Assumptions and Catalog'!$C$61,((D367+E367)*C367)*'Assumptions and Catalog'!$H$61+'Assumptions and Catalog'!$E$61+'Assumptions and Catalog'!$F$61,IF(((D367+E367)*C367)&lt;='Assumptions and Catalog'!$C$62,((D367+E367)*C367)*'Assumptions and Catalog'!$H$62+'Assumptions and Catalog'!$E$62+'Assumptions and Catalog'!$F$62,IF(((D367+E367)*C367)&lt;='Assumptions and Catalog'!$C$63,((D367+E367)*C367)*'Assumptions and Catalog'!$H$63+'Assumptions and Catalog'!$E$63+'Assumptions and Catalog'!$F$63,IF(((D367+E367)*C367)&lt;='Assumptions and Catalog'!$C$64,((D367+E367)*C367)*'Assumptions and Catalog'!$H$64+'Assumptions and Catalog'!$E$64+'Assumptions and Catalog'!$F$64,IF(((D367+E367)*C367)&lt;='Assumptions and Catalog'!$C$65,((D367+E367)*C367)*'Assumptions and Catalog'!$H$65+'Assumptions and Catalog'!$E$65+'Assumptions and Catalog'!$F$65,"Out of range")))))))))*(1+'Assumptions and Catalog'!$C$8)^(A367-1),0)</f>
        <v>8554.9666666666672</v>
      </c>
      <c r="N367" s="5">
        <f>IF(ISNUMBER(Inputs!$L$5),(IF(Inputs!$L$9="Actual flat rate",L367*Inputs!$L$10,IF(Inputs!$C$9="Residential",IF(L367&lt;='Assumptions and Catalog'!$C$50,L367*'Assumptions and Catalog'!$H$50+'Assumptions and Catalog'!$E$50+'Assumptions and Catalog'!$F$50,IF(L367&lt;='Assumptions and Catalog'!$C$51,L367*'Assumptions and Catalog'!$H$51+'Assumptions and Catalog'!$E$51+'Assumptions and Catalog'!$F$51,IF(L367&lt;='Assumptions and Catalog'!$C$52,L367*'Assumptions and Catalog'!$H$52+'Assumptions and Catalog'!$E$52+'Assumptions and Catalog'!$F$52,IF(L367&lt;='Assumptions and Catalog'!$C$53,L367*'Assumptions and Catalog'!$H$53+'Assumptions and Catalog'!$E$53+'Assumptions and Catalog'!$F$53,IF(L367&lt;='Assumptions and Catalog'!$C$54,L367*'Assumptions and Catalog'!$H$54+'Assumptions and Catalog'!$E$54+'Assumptions and Catalog'!$F$54,IF(L367&lt;='Assumptions and Catalog'!$C$55,L367*'Assumptions and Catalog'!$H$55+'Assumptions and Catalog'!$E$55+'Assumptions and Catalog'!$F$55,IF(L367&lt;='Assumptions and Catalog'!$C$56,L367*'Assumptions and Catalog'!$H$56+'Assumptions and Catalog'!$E$56+'Assumptions and Catalog'!$F$56,IF(L367&lt;='Assumptions and Catalog'!$C$57,L367*'Assumptions and Catalog'!$H$57+'Assumptions and Catalog'!$E$57+'Assumptions and Catalog'!$F$57,"Out of range")))))))),IF(L367&lt;='Assumptions and Catalog'!$C$60,L367*'Assumptions and Catalog'!$H$60+'Assumptions and Catalog'!$E$60+'Assumptions and Catalog'!$F$60,IF(L367&lt;='Assumptions and Catalog'!$C$61,L367*'Assumptions and Catalog'!$H$61+'Assumptions and Catalog'!$E$61+'Assumptions and Catalog'!$F$61,IF(L367&lt;='Assumptions and Catalog'!$C$62,L367*'Assumptions and Catalog'!$H$62+'Assumptions and Catalog'!$E$62+'Assumptions and Catalog'!$F$62,IF(L367&lt;='Assumptions and Catalog'!$C$63,L367*'Assumptions and Catalog'!$H$63+'Assumptions and Catalog'!$E$63+'Assumptions and Catalog'!$F$63,IF(L367&lt;='Assumptions and Catalog'!$C$64,L367*'Assumptions and Catalog'!$H$64+'Assumptions and Catalog'!$E$64+'Assumptions and Catalog'!$F$64,IF(L367&lt;='Assumptions and Catalog'!$C$65,L367*'Assumptions and Catalog'!$H$65+'Assumptions and Catalog'!$E$65+'Assumptions and Catalog'!$F$65,"Out of range")))))))))*(1+'Assumptions and Catalog'!$C$8)^(A367-1),0)</f>
        <v>5306.7775631295553</v>
      </c>
      <c r="O367" s="5">
        <f t="shared" si="30"/>
        <v>3248.1891035371118</v>
      </c>
      <c r="P367" s="5">
        <f>C$55*(1-J$14)*(1-'Assumptions and Catalog'!$C$23)^R367</f>
        <v>0</v>
      </c>
      <c r="Q367" s="5">
        <f>IF(ISNUMBER(Inputs!$L$5),(IF(Inputs!$L$9="Actual flat rate",((D367+E367)*C367-G367)*Inputs!$L$10,IF(Inputs!$C$9="Residential",IF(((D367+E367)*C367-G367)&lt;='Assumptions and Catalog'!$C$50,((D367+E367)*C367-G367)*'Assumptions and Catalog'!$H$50+'Assumptions and Catalog'!$E$50+'Assumptions and Catalog'!$F$50,IF(((D367+E367)*C367-G367)&lt;='Assumptions and Catalog'!$C$51,((D367+E367)*C367-G367)*'Assumptions and Catalog'!$H$51+'Assumptions and Catalog'!$E$51+'Assumptions and Catalog'!$F$51,IF(((D367+E367)*C367-G367)&lt;='Assumptions and Catalog'!$C$52,((D367+E367)*C367-G367)*'Assumptions and Catalog'!$H$52+'Assumptions and Catalog'!$E$52+'Assumptions and Catalog'!$F$52,IF(((D367+E367)*C367-G367)&lt;='Assumptions and Catalog'!$C$53,((D367+E367)*C367-G367)*'Assumptions and Catalog'!$H$53+'Assumptions and Catalog'!$E$53+'Assumptions and Catalog'!$F$53,IF(((D367+E367)*C367-G367)&lt;='Assumptions and Catalog'!$C$54,((D367+E367)*C367-G367)*'Assumptions and Catalog'!$H$54+'Assumptions and Catalog'!$E$54+'Assumptions and Catalog'!$F$54,IF(((D367+E367)*C367-G367)&lt;='Assumptions and Catalog'!$C$55,((D367+E367)*C367-G367)*'Assumptions and Catalog'!$H$55+'Assumptions and Catalog'!$E$55+'Assumptions and Catalog'!$F$55,IF(((D367+E367)*C367-G367)&lt;='Assumptions and Catalog'!$C$56,((D367+E367)*C367-G367)*'Assumptions and Catalog'!$H$56+'Assumptions and Catalog'!$E$56+'Assumptions and Catalog'!$F$56,IF(((D367+E367)*C367-G367)&lt;='Assumptions and Catalog'!$C$57,((D367+E367)*C367-G367)*'Assumptions and Catalog'!$H$57+'Assumptions and Catalog'!$E$57+'Assumptions and Catalog'!$F$57,"Out of range")))))))),IF(((D367+E367)*C367-G367)&lt;='Assumptions and Catalog'!$C$60,((D367+E367)*C367-G367)*'Assumptions and Catalog'!$H$60+'Assumptions and Catalog'!$E$60+'Assumptions and Catalog'!$F$60,IF(((D367+E367)*C367-G367)&lt;='Assumptions and Catalog'!$C$61,((D367+E367)*C367-G367)*'Assumptions and Catalog'!$H$61+'Assumptions and Catalog'!$E$61+'Assumptions and Catalog'!$F$61,IF(((D367+E367)*C367-G367)&lt;='Assumptions and Catalog'!$C$62,((D367+E367)*C367-G367)*'Assumptions and Catalog'!$H$62+'Assumptions and Catalog'!$E$62+'Assumptions and Catalog'!$F$62,IF(((D367+E367)*C367-G367)&lt;='Assumptions and Catalog'!$C$63,((D367+E367)*C367-G367)*'Assumptions and Catalog'!$H$63+'Assumptions and Catalog'!$E$63+'Assumptions and Catalog'!$F$63,IF(((D367+E367)*C367-G367)&lt;='Assumptions and Catalog'!$C$64,((D367+E367)*C367-G367)*'Assumptions and Catalog'!$H$64+'Assumptions and Catalog'!$E$64+'Assumptions and Catalog'!$F$64,IF(((D367+E367)*C367-G367)&lt;='Assumptions and Catalog'!$C$65,((D367+E367)*C367-G367)*'Assumptions and Catalog'!$H$65+'Assumptions and Catalog'!$E$65+'Assumptions and Catalog'!$F$65,"Out of range")))))))))*(1+'Assumptions and Catalog'!$C$8)^(A367-1),0)</f>
        <v>5306.7775631295553</v>
      </c>
      <c r="R367" s="5">
        <f>IF(AND('Assumptions and Catalog'!$C$19&gt;0,A367&gt;='Assumptions and Catalog'!$C$19),A367-'Assumptions and Catalog'!$C$19,A367-1)</f>
        <v>7</v>
      </c>
      <c r="S367" s="5">
        <f t="shared" si="31"/>
        <v>0</v>
      </c>
      <c r="T367" s="5"/>
      <c r="U367" s="5"/>
    </row>
    <row r="368" spans="1:21" ht="23.1" customHeight="1" outlineLevel="1" x14ac:dyDescent="0.2">
      <c r="A368" s="5">
        <v>18</v>
      </c>
      <c r="B368" s="5">
        <v>4</v>
      </c>
      <c r="C368" s="5">
        <f>DAY(DATE('Assumptions and Catalog'!$C$24+A368-1,B368+1,0))</f>
        <v>30</v>
      </c>
      <c r="D368" s="5">
        <f>IF(ISNUMBER(Inputs!$L$5),Inputs!$L$5*Inputs!$L$6,0)</f>
        <v>40.35</v>
      </c>
      <c r="E368" s="5">
        <f>IF(ISNUMBER(Inputs!$L$5),Inputs!$L$5-D368,0)</f>
        <v>40.35</v>
      </c>
      <c r="F368" s="5">
        <f>C$51*'Assumptions and Catalog'!$C$31*C368*(1-'Assumptions and Catalog'!$C$10)^(A368-1)</f>
        <v>919.21641849335265</v>
      </c>
      <c r="G368" s="5">
        <f t="shared" si="26"/>
        <v>919.21641849335265</v>
      </c>
      <c r="H368" s="5">
        <f>I368/('Assumptions and Catalog'!$C$11*'Assumptions and Catalog'!$C$12)</f>
        <v>0</v>
      </c>
      <c r="I368" s="5">
        <f>0</f>
        <v>0</v>
      </c>
      <c r="J368" s="5">
        <f t="shared" si="27"/>
        <v>0</v>
      </c>
      <c r="K368" s="5">
        <f t="shared" si="28"/>
        <v>0</v>
      </c>
      <c r="L368" s="5">
        <f t="shared" si="29"/>
        <v>1501.7835815066474</v>
      </c>
      <c r="M368" s="5">
        <f>IF(ISNUMBER(Inputs!$L$5),(IF(Inputs!$L$9="Actual flat rate",((D368+E368)*C368)*Inputs!$L$10,IF(Inputs!$C$9="Residential",IF(((D368+E368)*C368)&lt;='Assumptions and Catalog'!$C$50,((D368+E368)*C368)*'Assumptions and Catalog'!$H$50+'Assumptions and Catalog'!$E$50+'Assumptions and Catalog'!$F$50,IF(((D368+E368)*C368)&lt;='Assumptions and Catalog'!$C$51,((D368+E368)*C368)*'Assumptions and Catalog'!$H$51+'Assumptions and Catalog'!$E$51+'Assumptions and Catalog'!$F$51,IF(((D368+E368)*C368)&lt;='Assumptions and Catalog'!$C$52,((D368+E368)*C368)*'Assumptions and Catalog'!$H$52+'Assumptions and Catalog'!$E$52+'Assumptions and Catalog'!$F$52,IF(((D368+E368)*C368)&lt;='Assumptions and Catalog'!$C$53,((D368+E368)*C368)*'Assumptions and Catalog'!$H$53+'Assumptions and Catalog'!$E$53+'Assumptions and Catalog'!$F$53,IF(((D368+E368)*C368)&lt;='Assumptions and Catalog'!$C$54,((D368+E368)*C368)*'Assumptions and Catalog'!$H$54+'Assumptions and Catalog'!$E$54+'Assumptions and Catalog'!$F$54,IF(((D368+E368)*C368)&lt;='Assumptions and Catalog'!$C$55,((D368+E368)*C368)*'Assumptions and Catalog'!$H$55+'Assumptions and Catalog'!$E$55+'Assumptions and Catalog'!$F$55,IF(((D368+E368)*C368)&lt;='Assumptions and Catalog'!$C$56,((D368+E368)*C368)*'Assumptions and Catalog'!$H$56+'Assumptions and Catalog'!$E$56+'Assumptions and Catalog'!$F$56,IF(((D368+E368)*C368)&lt;='Assumptions and Catalog'!$C$57,((D368+E368)*C368)*'Assumptions and Catalog'!$H$57+'Assumptions and Catalog'!$E$57+'Assumptions and Catalog'!$F$57,"Out of range")))))))),IF(((D368+E368)*C368)&lt;='Assumptions and Catalog'!$C$60,((D368+E368)*C368)*'Assumptions and Catalog'!$H$60+'Assumptions and Catalog'!$E$60+'Assumptions and Catalog'!$F$60,IF(((D368+E368)*C368)&lt;='Assumptions and Catalog'!$C$61,((D368+E368)*C368)*'Assumptions and Catalog'!$H$61+'Assumptions and Catalog'!$E$61+'Assumptions and Catalog'!$F$61,IF(((D368+E368)*C368)&lt;='Assumptions and Catalog'!$C$62,((D368+E368)*C368)*'Assumptions and Catalog'!$H$62+'Assumptions and Catalog'!$E$62+'Assumptions and Catalog'!$F$62,IF(((D368+E368)*C368)&lt;='Assumptions and Catalog'!$C$63,((D368+E368)*C368)*'Assumptions and Catalog'!$H$63+'Assumptions and Catalog'!$E$63+'Assumptions and Catalog'!$F$63,IF(((D368+E368)*C368)&lt;='Assumptions and Catalog'!$C$64,((D368+E368)*C368)*'Assumptions and Catalog'!$H$64+'Assumptions and Catalog'!$E$64+'Assumptions and Catalog'!$F$64,IF(((D368+E368)*C368)&lt;='Assumptions and Catalog'!$C$65,((D368+E368)*C368)*'Assumptions and Catalog'!$H$65+'Assumptions and Catalog'!$E$65+'Assumptions and Catalog'!$F$65,"Out of range")))))))))*(1+'Assumptions and Catalog'!$C$8)^(A368-1),0)</f>
        <v>8279</v>
      </c>
      <c r="N368" s="5">
        <f>IF(ISNUMBER(Inputs!$L$5),(IF(Inputs!$L$9="Actual flat rate",L368*Inputs!$L$10,IF(Inputs!$C$9="Residential",IF(L368&lt;='Assumptions and Catalog'!$C$50,L368*'Assumptions and Catalog'!$H$50+'Assumptions and Catalog'!$E$50+'Assumptions and Catalog'!$F$50,IF(L368&lt;='Assumptions and Catalog'!$C$51,L368*'Assumptions and Catalog'!$H$51+'Assumptions and Catalog'!$E$51+'Assumptions and Catalog'!$F$51,IF(L368&lt;='Assumptions and Catalog'!$C$52,L368*'Assumptions and Catalog'!$H$52+'Assumptions and Catalog'!$E$52+'Assumptions and Catalog'!$F$52,IF(L368&lt;='Assumptions and Catalog'!$C$53,L368*'Assumptions and Catalog'!$H$53+'Assumptions and Catalog'!$E$53+'Assumptions and Catalog'!$F$53,IF(L368&lt;='Assumptions and Catalog'!$C$54,L368*'Assumptions and Catalog'!$H$54+'Assumptions and Catalog'!$E$54+'Assumptions and Catalog'!$F$54,IF(L368&lt;='Assumptions and Catalog'!$C$55,L368*'Assumptions and Catalog'!$H$55+'Assumptions and Catalog'!$E$55+'Assumptions and Catalog'!$F$55,IF(L368&lt;='Assumptions and Catalog'!$C$56,L368*'Assumptions and Catalog'!$H$56+'Assumptions and Catalog'!$E$56+'Assumptions and Catalog'!$F$56,IF(L368&lt;='Assumptions and Catalog'!$C$57,L368*'Assumptions and Catalog'!$H$57+'Assumptions and Catalog'!$E$57+'Assumptions and Catalog'!$F$57,"Out of range")))))))),IF(L368&lt;='Assumptions and Catalog'!$C$60,L368*'Assumptions and Catalog'!$H$60+'Assumptions and Catalog'!$E$60+'Assumptions and Catalog'!$F$60,IF(L368&lt;='Assumptions and Catalog'!$C$61,L368*'Assumptions and Catalog'!$H$61+'Assumptions and Catalog'!$E$61+'Assumptions and Catalog'!$F$61,IF(L368&lt;='Assumptions and Catalog'!$C$62,L368*'Assumptions and Catalog'!$H$62+'Assumptions and Catalog'!$E$62+'Assumptions and Catalog'!$F$62,IF(L368&lt;='Assumptions and Catalog'!$C$63,L368*'Assumptions and Catalog'!$H$63+'Assumptions and Catalog'!$E$63+'Assumptions and Catalog'!$F$63,IF(L368&lt;='Assumptions and Catalog'!$C$64,L368*'Assumptions and Catalog'!$H$64+'Assumptions and Catalog'!$E$64+'Assumptions and Catalog'!$F$64,IF(L368&lt;='Assumptions and Catalog'!$C$65,L368*'Assumptions and Catalog'!$H$65+'Assumptions and Catalog'!$E$65+'Assumptions and Catalog'!$F$65,"Out of range")))))))))*(1+'Assumptions and Catalog'!$C$8)^(A368-1),0)</f>
        <v>5135.5911901253749</v>
      </c>
      <c r="O368" s="5">
        <f t="shared" si="30"/>
        <v>3143.4088098746251</v>
      </c>
      <c r="P368" s="5">
        <f>C$55*(1-J$14)*(1-'Assumptions and Catalog'!$C$23)^R368</f>
        <v>0</v>
      </c>
      <c r="Q368" s="5">
        <f>IF(ISNUMBER(Inputs!$L$5),(IF(Inputs!$L$9="Actual flat rate",((D368+E368)*C368-G368)*Inputs!$L$10,IF(Inputs!$C$9="Residential",IF(((D368+E368)*C368-G368)&lt;='Assumptions and Catalog'!$C$50,((D368+E368)*C368-G368)*'Assumptions and Catalog'!$H$50+'Assumptions and Catalog'!$E$50+'Assumptions and Catalog'!$F$50,IF(((D368+E368)*C368-G368)&lt;='Assumptions and Catalog'!$C$51,((D368+E368)*C368-G368)*'Assumptions and Catalog'!$H$51+'Assumptions and Catalog'!$E$51+'Assumptions and Catalog'!$F$51,IF(((D368+E368)*C368-G368)&lt;='Assumptions and Catalog'!$C$52,((D368+E368)*C368-G368)*'Assumptions and Catalog'!$H$52+'Assumptions and Catalog'!$E$52+'Assumptions and Catalog'!$F$52,IF(((D368+E368)*C368-G368)&lt;='Assumptions and Catalog'!$C$53,((D368+E368)*C368-G368)*'Assumptions and Catalog'!$H$53+'Assumptions and Catalog'!$E$53+'Assumptions and Catalog'!$F$53,IF(((D368+E368)*C368-G368)&lt;='Assumptions and Catalog'!$C$54,((D368+E368)*C368-G368)*'Assumptions and Catalog'!$H$54+'Assumptions and Catalog'!$E$54+'Assumptions and Catalog'!$F$54,IF(((D368+E368)*C368-G368)&lt;='Assumptions and Catalog'!$C$55,((D368+E368)*C368-G368)*'Assumptions and Catalog'!$H$55+'Assumptions and Catalog'!$E$55+'Assumptions and Catalog'!$F$55,IF(((D368+E368)*C368-G368)&lt;='Assumptions and Catalog'!$C$56,((D368+E368)*C368-G368)*'Assumptions and Catalog'!$H$56+'Assumptions and Catalog'!$E$56+'Assumptions and Catalog'!$F$56,IF(((D368+E368)*C368-G368)&lt;='Assumptions and Catalog'!$C$57,((D368+E368)*C368-G368)*'Assumptions and Catalog'!$H$57+'Assumptions and Catalog'!$E$57+'Assumptions and Catalog'!$F$57,"Out of range")))))))),IF(((D368+E368)*C368-G368)&lt;='Assumptions and Catalog'!$C$60,((D368+E368)*C368-G368)*'Assumptions and Catalog'!$H$60+'Assumptions and Catalog'!$E$60+'Assumptions and Catalog'!$F$60,IF(((D368+E368)*C368-G368)&lt;='Assumptions and Catalog'!$C$61,((D368+E368)*C368-G368)*'Assumptions and Catalog'!$H$61+'Assumptions and Catalog'!$E$61+'Assumptions and Catalog'!$F$61,IF(((D368+E368)*C368-G368)&lt;='Assumptions and Catalog'!$C$62,((D368+E368)*C368-G368)*'Assumptions and Catalog'!$H$62+'Assumptions and Catalog'!$E$62+'Assumptions and Catalog'!$F$62,IF(((D368+E368)*C368-G368)&lt;='Assumptions and Catalog'!$C$63,((D368+E368)*C368-G368)*'Assumptions and Catalog'!$H$63+'Assumptions and Catalog'!$E$63+'Assumptions and Catalog'!$F$63,IF(((D368+E368)*C368-G368)&lt;='Assumptions and Catalog'!$C$64,((D368+E368)*C368-G368)*'Assumptions and Catalog'!$H$64+'Assumptions and Catalog'!$E$64+'Assumptions and Catalog'!$F$64,IF(((D368+E368)*C368-G368)&lt;='Assumptions and Catalog'!$C$65,((D368+E368)*C368-G368)*'Assumptions and Catalog'!$H$65+'Assumptions and Catalog'!$E$65+'Assumptions and Catalog'!$F$65,"Out of range")))))))))*(1+'Assumptions and Catalog'!$C$8)^(A368-1),0)</f>
        <v>5135.5911901253749</v>
      </c>
      <c r="R368" s="5">
        <f>IF(AND('Assumptions and Catalog'!$C$19&gt;0,A368&gt;='Assumptions and Catalog'!$C$19),A368-'Assumptions and Catalog'!$C$19,A368-1)</f>
        <v>7</v>
      </c>
      <c r="S368" s="5">
        <f t="shared" si="31"/>
        <v>0</v>
      </c>
      <c r="T368" s="5"/>
      <c r="U368" s="5"/>
    </row>
    <row r="369" spans="1:21" ht="23.1" customHeight="1" outlineLevel="1" x14ac:dyDescent="0.2">
      <c r="A369" s="5">
        <v>18</v>
      </c>
      <c r="B369" s="5">
        <v>5</v>
      </c>
      <c r="C369" s="5">
        <f>DAY(DATE('Assumptions and Catalog'!$C$24+A369-1,B369+1,0))</f>
        <v>31</v>
      </c>
      <c r="D369" s="5">
        <f>IF(ISNUMBER(Inputs!$L$5),Inputs!$L$5*Inputs!$L$6,0)</f>
        <v>40.35</v>
      </c>
      <c r="E369" s="5">
        <f>IF(ISNUMBER(Inputs!$L$5),Inputs!$L$5-D369,0)</f>
        <v>40.35</v>
      </c>
      <c r="F369" s="5">
        <f>C$51*'Assumptions and Catalog'!$C$31*C369*(1-'Assumptions and Catalog'!$C$10)^(A369-1)</f>
        <v>949.85696577646445</v>
      </c>
      <c r="G369" s="5">
        <f t="shared" si="26"/>
        <v>949.85696577646445</v>
      </c>
      <c r="H369" s="5">
        <f>I369/('Assumptions and Catalog'!$C$11*'Assumptions and Catalog'!$C$12)</f>
        <v>0</v>
      </c>
      <c r="I369" s="5">
        <f>0</f>
        <v>0</v>
      </c>
      <c r="J369" s="5">
        <f t="shared" si="27"/>
        <v>0</v>
      </c>
      <c r="K369" s="5">
        <f t="shared" si="28"/>
        <v>0</v>
      </c>
      <c r="L369" s="5">
        <f t="shared" si="29"/>
        <v>1551.8430342235358</v>
      </c>
      <c r="M369" s="5">
        <f>IF(ISNUMBER(Inputs!$L$5),(IF(Inputs!$L$9="Actual flat rate",((D369+E369)*C369)*Inputs!$L$10,IF(Inputs!$C$9="Residential",IF(((D369+E369)*C369)&lt;='Assumptions and Catalog'!$C$50,((D369+E369)*C369)*'Assumptions and Catalog'!$H$50+'Assumptions and Catalog'!$E$50+'Assumptions and Catalog'!$F$50,IF(((D369+E369)*C369)&lt;='Assumptions and Catalog'!$C$51,((D369+E369)*C369)*'Assumptions and Catalog'!$H$51+'Assumptions and Catalog'!$E$51+'Assumptions and Catalog'!$F$51,IF(((D369+E369)*C369)&lt;='Assumptions and Catalog'!$C$52,((D369+E369)*C369)*'Assumptions and Catalog'!$H$52+'Assumptions and Catalog'!$E$52+'Assumptions and Catalog'!$F$52,IF(((D369+E369)*C369)&lt;='Assumptions and Catalog'!$C$53,((D369+E369)*C369)*'Assumptions and Catalog'!$H$53+'Assumptions and Catalog'!$E$53+'Assumptions and Catalog'!$F$53,IF(((D369+E369)*C369)&lt;='Assumptions and Catalog'!$C$54,((D369+E369)*C369)*'Assumptions and Catalog'!$H$54+'Assumptions and Catalog'!$E$54+'Assumptions and Catalog'!$F$54,IF(((D369+E369)*C369)&lt;='Assumptions and Catalog'!$C$55,((D369+E369)*C369)*'Assumptions and Catalog'!$H$55+'Assumptions and Catalog'!$E$55+'Assumptions and Catalog'!$F$55,IF(((D369+E369)*C369)&lt;='Assumptions and Catalog'!$C$56,((D369+E369)*C369)*'Assumptions and Catalog'!$H$56+'Assumptions and Catalog'!$E$56+'Assumptions and Catalog'!$F$56,IF(((D369+E369)*C369)&lt;='Assumptions and Catalog'!$C$57,((D369+E369)*C369)*'Assumptions and Catalog'!$H$57+'Assumptions and Catalog'!$E$57+'Assumptions and Catalog'!$F$57,"Out of range")))))))),IF(((D369+E369)*C369)&lt;='Assumptions and Catalog'!$C$60,((D369+E369)*C369)*'Assumptions and Catalog'!$H$60+'Assumptions and Catalog'!$E$60+'Assumptions and Catalog'!$F$60,IF(((D369+E369)*C369)&lt;='Assumptions and Catalog'!$C$61,((D369+E369)*C369)*'Assumptions and Catalog'!$H$61+'Assumptions and Catalog'!$E$61+'Assumptions and Catalog'!$F$61,IF(((D369+E369)*C369)&lt;='Assumptions and Catalog'!$C$62,((D369+E369)*C369)*'Assumptions and Catalog'!$H$62+'Assumptions and Catalog'!$E$62+'Assumptions and Catalog'!$F$62,IF(((D369+E369)*C369)&lt;='Assumptions and Catalog'!$C$63,((D369+E369)*C369)*'Assumptions and Catalog'!$H$63+'Assumptions and Catalog'!$E$63+'Assumptions and Catalog'!$F$63,IF(((D369+E369)*C369)&lt;='Assumptions and Catalog'!$C$64,((D369+E369)*C369)*'Assumptions and Catalog'!$H$64+'Assumptions and Catalog'!$E$64+'Assumptions and Catalog'!$F$64,IF(((D369+E369)*C369)&lt;='Assumptions and Catalog'!$C$65,((D369+E369)*C369)*'Assumptions and Catalog'!$H$65+'Assumptions and Catalog'!$E$65+'Assumptions and Catalog'!$F$65,"Out of range")))))))))*(1+'Assumptions and Catalog'!$C$8)^(A369-1),0)</f>
        <v>8554.9666666666672</v>
      </c>
      <c r="N369" s="5">
        <f>IF(ISNUMBER(Inputs!$L$5),(IF(Inputs!$L$9="Actual flat rate",L369*Inputs!$L$10,IF(Inputs!$C$9="Residential",IF(L369&lt;='Assumptions and Catalog'!$C$50,L369*'Assumptions and Catalog'!$H$50+'Assumptions and Catalog'!$E$50+'Assumptions and Catalog'!$F$50,IF(L369&lt;='Assumptions and Catalog'!$C$51,L369*'Assumptions and Catalog'!$H$51+'Assumptions and Catalog'!$E$51+'Assumptions and Catalog'!$F$51,IF(L369&lt;='Assumptions and Catalog'!$C$52,L369*'Assumptions and Catalog'!$H$52+'Assumptions and Catalog'!$E$52+'Assumptions and Catalog'!$F$52,IF(L369&lt;='Assumptions and Catalog'!$C$53,L369*'Assumptions and Catalog'!$H$53+'Assumptions and Catalog'!$E$53+'Assumptions and Catalog'!$F$53,IF(L369&lt;='Assumptions and Catalog'!$C$54,L369*'Assumptions and Catalog'!$H$54+'Assumptions and Catalog'!$E$54+'Assumptions and Catalog'!$F$54,IF(L369&lt;='Assumptions and Catalog'!$C$55,L369*'Assumptions and Catalog'!$H$55+'Assumptions and Catalog'!$E$55+'Assumptions and Catalog'!$F$55,IF(L369&lt;='Assumptions and Catalog'!$C$56,L369*'Assumptions and Catalog'!$H$56+'Assumptions and Catalog'!$E$56+'Assumptions and Catalog'!$F$56,IF(L369&lt;='Assumptions and Catalog'!$C$57,L369*'Assumptions and Catalog'!$H$57+'Assumptions and Catalog'!$E$57+'Assumptions and Catalog'!$F$57,"Out of range")))))))),IF(L369&lt;='Assumptions and Catalog'!$C$60,L369*'Assumptions and Catalog'!$H$60+'Assumptions and Catalog'!$E$60+'Assumptions and Catalog'!$F$60,IF(L369&lt;='Assumptions and Catalog'!$C$61,L369*'Assumptions and Catalog'!$H$61+'Assumptions and Catalog'!$E$61+'Assumptions and Catalog'!$F$61,IF(L369&lt;='Assumptions and Catalog'!$C$62,L369*'Assumptions and Catalog'!$H$62+'Assumptions and Catalog'!$E$62+'Assumptions and Catalog'!$F$62,IF(L369&lt;='Assumptions and Catalog'!$C$63,L369*'Assumptions and Catalog'!$H$63+'Assumptions and Catalog'!$E$63+'Assumptions and Catalog'!$F$63,IF(L369&lt;='Assumptions and Catalog'!$C$64,L369*'Assumptions and Catalog'!$H$64+'Assumptions and Catalog'!$E$64+'Assumptions and Catalog'!$F$64,IF(L369&lt;='Assumptions and Catalog'!$C$65,L369*'Assumptions and Catalog'!$H$65+'Assumptions and Catalog'!$E$65+'Assumptions and Catalog'!$F$65,"Out of range")))))))))*(1+'Assumptions and Catalog'!$C$8)^(A369-1),0)</f>
        <v>5306.7775631295553</v>
      </c>
      <c r="O369" s="5">
        <f t="shared" si="30"/>
        <v>3248.1891035371118</v>
      </c>
      <c r="P369" s="5">
        <f>C$55*(1-J$14)*(1-'Assumptions and Catalog'!$C$23)^R369</f>
        <v>0</v>
      </c>
      <c r="Q369" s="5">
        <f>IF(ISNUMBER(Inputs!$L$5),(IF(Inputs!$L$9="Actual flat rate",((D369+E369)*C369-G369)*Inputs!$L$10,IF(Inputs!$C$9="Residential",IF(((D369+E369)*C369-G369)&lt;='Assumptions and Catalog'!$C$50,((D369+E369)*C369-G369)*'Assumptions and Catalog'!$H$50+'Assumptions and Catalog'!$E$50+'Assumptions and Catalog'!$F$50,IF(((D369+E369)*C369-G369)&lt;='Assumptions and Catalog'!$C$51,((D369+E369)*C369-G369)*'Assumptions and Catalog'!$H$51+'Assumptions and Catalog'!$E$51+'Assumptions and Catalog'!$F$51,IF(((D369+E369)*C369-G369)&lt;='Assumptions and Catalog'!$C$52,((D369+E369)*C369-G369)*'Assumptions and Catalog'!$H$52+'Assumptions and Catalog'!$E$52+'Assumptions and Catalog'!$F$52,IF(((D369+E369)*C369-G369)&lt;='Assumptions and Catalog'!$C$53,((D369+E369)*C369-G369)*'Assumptions and Catalog'!$H$53+'Assumptions and Catalog'!$E$53+'Assumptions and Catalog'!$F$53,IF(((D369+E369)*C369-G369)&lt;='Assumptions and Catalog'!$C$54,((D369+E369)*C369-G369)*'Assumptions and Catalog'!$H$54+'Assumptions and Catalog'!$E$54+'Assumptions and Catalog'!$F$54,IF(((D369+E369)*C369-G369)&lt;='Assumptions and Catalog'!$C$55,((D369+E369)*C369-G369)*'Assumptions and Catalog'!$H$55+'Assumptions and Catalog'!$E$55+'Assumptions and Catalog'!$F$55,IF(((D369+E369)*C369-G369)&lt;='Assumptions and Catalog'!$C$56,((D369+E369)*C369-G369)*'Assumptions and Catalog'!$H$56+'Assumptions and Catalog'!$E$56+'Assumptions and Catalog'!$F$56,IF(((D369+E369)*C369-G369)&lt;='Assumptions and Catalog'!$C$57,((D369+E369)*C369-G369)*'Assumptions and Catalog'!$H$57+'Assumptions and Catalog'!$E$57+'Assumptions and Catalog'!$F$57,"Out of range")))))))),IF(((D369+E369)*C369-G369)&lt;='Assumptions and Catalog'!$C$60,((D369+E369)*C369-G369)*'Assumptions and Catalog'!$H$60+'Assumptions and Catalog'!$E$60+'Assumptions and Catalog'!$F$60,IF(((D369+E369)*C369-G369)&lt;='Assumptions and Catalog'!$C$61,((D369+E369)*C369-G369)*'Assumptions and Catalog'!$H$61+'Assumptions and Catalog'!$E$61+'Assumptions and Catalog'!$F$61,IF(((D369+E369)*C369-G369)&lt;='Assumptions and Catalog'!$C$62,((D369+E369)*C369-G369)*'Assumptions and Catalog'!$H$62+'Assumptions and Catalog'!$E$62+'Assumptions and Catalog'!$F$62,IF(((D369+E369)*C369-G369)&lt;='Assumptions and Catalog'!$C$63,((D369+E369)*C369-G369)*'Assumptions and Catalog'!$H$63+'Assumptions and Catalog'!$E$63+'Assumptions and Catalog'!$F$63,IF(((D369+E369)*C369-G369)&lt;='Assumptions and Catalog'!$C$64,((D369+E369)*C369-G369)*'Assumptions and Catalog'!$H$64+'Assumptions and Catalog'!$E$64+'Assumptions and Catalog'!$F$64,IF(((D369+E369)*C369-G369)&lt;='Assumptions and Catalog'!$C$65,((D369+E369)*C369-G369)*'Assumptions and Catalog'!$H$65+'Assumptions and Catalog'!$E$65+'Assumptions and Catalog'!$F$65,"Out of range")))))))))*(1+'Assumptions and Catalog'!$C$8)^(A369-1),0)</f>
        <v>5306.7775631295553</v>
      </c>
      <c r="R369" s="5">
        <f>IF(AND('Assumptions and Catalog'!$C$19&gt;0,A369&gt;='Assumptions and Catalog'!$C$19),A369-'Assumptions and Catalog'!$C$19,A369-1)</f>
        <v>7</v>
      </c>
      <c r="S369" s="5">
        <f t="shared" si="31"/>
        <v>0</v>
      </c>
      <c r="T369" s="5"/>
      <c r="U369" s="5"/>
    </row>
    <row r="370" spans="1:21" ht="23.1" customHeight="1" outlineLevel="1" x14ac:dyDescent="0.2">
      <c r="A370" s="5">
        <v>18</v>
      </c>
      <c r="B370" s="5">
        <v>6</v>
      </c>
      <c r="C370" s="5">
        <f>DAY(DATE('Assumptions and Catalog'!$C$24+A370-1,B370+1,0))</f>
        <v>30</v>
      </c>
      <c r="D370" s="5">
        <f>IF(ISNUMBER(Inputs!$L$5),Inputs!$L$5*Inputs!$L$6,0)</f>
        <v>40.35</v>
      </c>
      <c r="E370" s="5">
        <f>IF(ISNUMBER(Inputs!$L$5),Inputs!$L$5-D370,0)</f>
        <v>40.35</v>
      </c>
      <c r="F370" s="5">
        <f>C$51*'Assumptions and Catalog'!$C$31*C370*(1-'Assumptions and Catalog'!$C$10)^(A370-1)</f>
        <v>919.21641849335265</v>
      </c>
      <c r="G370" s="5">
        <f t="shared" si="26"/>
        <v>919.21641849335265</v>
      </c>
      <c r="H370" s="5">
        <f>I370/('Assumptions and Catalog'!$C$11*'Assumptions and Catalog'!$C$12)</f>
        <v>0</v>
      </c>
      <c r="I370" s="5">
        <f>0</f>
        <v>0</v>
      </c>
      <c r="J370" s="5">
        <f t="shared" si="27"/>
        <v>0</v>
      </c>
      <c r="K370" s="5">
        <f t="shared" si="28"/>
        <v>0</v>
      </c>
      <c r="L370" s="5">
        <f t="shared" si="29"/>
        <v>1501.7835815066474</v>
      </c>
      <c r="M370" s="5">
        <f>IF(ISNUMBER(Inputs!$L$5),(IF(Inputs!$L$9="Actual flat rate",((D370+E370)*C370)*Inputs!$L$10,IF(Inputs!$C$9="Residential",IF(((D370+E370)*C370)&lt;='Assumptions and Catalog'!$C$50,((D370+E370)*C370)*'Assumptions and Catalog'!$H$50+'Assumptions and Catalog'!$E$50+'Assumptions and Catalog'!$F$50,IF(((D370+E370)*C370)&lt;='Assumptions and Catalog'!$C$51,((D370+E370)*C370)*'Assumptions and Catalog'!$H$51+'Assumptions and Catalog'!$E$51+'Assumptions and Catalog'!$F$51,IF(((D370+E370)*C370)&lt;='Assumptions and Catalog'!$C$52,((D370+E370)*C370)*'Assumptions and Catalog'!$H$52+'Assumptions and Catalog'!$E$52+'Assumptions and Catalog'!$F$52,IF(((D370+E370)*C370)&lt;='Assumptions and Catalog'!$C$53,((D370+E370)*C370)*'Assumptions and Catalog'!$H$53+'Assumptions and Catalog'!$E$53+'Assumptions and Catalog'!$F$53,IF(((D370+E370)*C370)&lt;='Assumptions and Catalog'!$C$54,((D370+E370)*C370)*'Assumptions and Catalog'!$H$54+'Assumptions and Catalog'!$E$54+'Assumptions and Catalog'!$F$54,IF(((D370+E370)*C370)&lt;='Assumptions and Catalog'!$C$55,((D370+E370)*C370)*'Assumptions and Catalog'!$H$55+'Assumptions and Catalog'!$E$55+'Assumptions and Catalog'!$F$55,IF(((D370+E370)*C370)&lt;='Assumptions and Catalog'!$C$56,((D370+E370)*C370)*'Assumptions and Catalog'!$H$56+'Assumptions and Catalog'!$E$56+'Assumptions and Catalog'!$F$56,IF(((D370+E370)*C370)&lt;='Assumptions and Catalog'!$C$57,((D370+E370)*C370)*'Assumptions and Catalog'!$H$57+'Assumptions and Catalog'!$E$57+'Assumptions and Catalog'!$F$57,"Out of range")))))))),IF(((D370+E370)*C370)&lt;='Assumptions and Catalog'!$C$60,((D370+E370)*C370)*'Assumptions and Catalog'!$H$60+'Assumptions and Catalog'!$E$60+'Assumptions and Catalog'!$F$60,IF(((D370+E370)*C370)&lt;='Assumptions and Catalog'!$C$61,((D370+E370)*C370)*'Assumptions and Catalog'!$H$61+'Assumptions and Catalog'!$E$61+'Assumptions and Catalog'!$F$61,IF(((D370+E370)*C370)&lt;='Assumptions and Catalog'!$C$62,((D370+E370)*C370)*'Assumptions and Catalog'!$H$62+'Assumptions and Catalog'!$E$62+'Assumptions and Catalog'!$F$62,IF(((D370+E370)*C370)&lt;='Assumptions and Catalog'!$C$63,((D370+E370)*C370)*'Assumptions and Catalog'!$H$63+'Assumptions and Catalog'!$E$63+'Assumptions and Catalog'!$F$63,IF(((D370+E370)*C370)&lt;='Assumptions and Catalog'!$C$64,((D370+E370)*C370)*'Assumptions and Catalog'!$H$64+'Assumptions and Catalog'!$E$64+'Assumptions and Catalog'!$F$64,IF(((D370+E370)*C370)&lt;='Assumptions and Catalog'!$C$65,((D370+E370)*C370)*'Assumptions and Catalog'!$H$65+'Assumptions and Catalog'!$E$65+'Assumptions and Catalog'!$F$65,"Out of range")))))))))*(1+'Assumptions and Catalog'!$C$8)^(A370-1),0)</f>
        <v>8279</v>
      </c>
      <c r="N370" s="5">
        <f>IF(ISNUMBER(Inputs!$L$5),(IF(Inputs!$L$9="Actual flat rate",L370*Inputs!$L$10,IF(Inputs!$C$9="Residential",IF(L370&lt;='Assumptions and Catalog'!$C$50,L370*'Assumptions and Catalog'!$H$50+'Assumptions and Catalog'!$E$50+'Assumptions and Catalog'!$F$50,IF(L370&lt;='Assumptions and Catalog'!$C$51,L370*'Assumptions and Catalog'!$H$51+'Assumptions and Catalog'!$E$51+'Assumptions and Catalog'!$F$51,IF(L370&lt;='Assumptions and Catalog'!$C$52,L370*'Assumptions and Catalog'!$H$52+'Assumptions and Catalog'!$E$52+'Assumptions and Catalog'!$F$52,IF(L370&lt;='Assumptions and Catalog'!$C$53,L370*'Assumptions and Catalog'!$H$53+'Assumptions and Catalog'!$E$53+'Assumptions and Catalog'!$F$53,IF(L370&lt;='Assumptions and Catalog'!$C$54,L370*'Assumptions and Catalog'!$H$54+'Assumptions and Catalog'!$E$54+'Assumptions and Catalog'!$F$54,IF(L370&lt;='Assumptions and Catalog'!$C$55,L370*'Assumptions and Catalog'!$H$55+'Assumptions and Catalog'!$E$55+'Assumptions and Catalog'!$F$55,IF(L370&lt;='Assumptions and Catalog'!$C$56,L370*'Assumptions and Catalog'!$H$56+'Assumptions and Catalog'!$E$56+'Assumptions and Catalog'!$F$56,IF(L370&lt;='Assumptions and Catalog'!$C$57,L370*'Assumptions and Catalog'!$H$57+'Assumptions and Catalog'!$E$57+'Assumptions and Catalog'!$F$57,"Out of range")))))))),IF(L370&lt;='Assumptions and Catalog'!$C$60,L370*'Assumptions and Catalog'!$H$60+'Assumptions and Catalog'!$E$60+'Assumptions and Catalog'!$F$60,IF(L370&lt;='Assumptions and Catalog'!$C$61,L370*'Assumptions and Catalog'!$H$61+'Assumptions and Catalog'!$E$61+'Assumptions and Catalog'!$F$61,IF(L370&lt;='Assumptions and Catalog'!$C$62,L370*'Assumptions and Catalog'!$H$62+'Assumptions and Catalog'!$E$62+'Assumptions and Catalog'!$F$62,IF(L370&lt;='Assumptions and Catalog'!$C$63,L370*'Assumptions and Catalog'!$H$63+'Assumptions and Catalog'!$E$63+'Assumptions and Catalog'!$F$63,IF(L370&lt;='Assumptions and Catalog'!$C$64,L370*'Assumptions and Catalog'!$H$64+'Assumptions and Catalog'!$E$64+'Assumptions and Catalog'!$F$64,IF(L370&lt;='Assumptions and Catalog'!$C$65,L370*'Assumptions and Catalog'!$H$65+'Assumptions and Catalog'!$E$65+'Assumptions and Catalog'!$F$65,"Out of range")))))))))*(1+'Assumptions and Catalog'!$C$8)^(A370-1),0)</f>
        <v>5135.5911901253749</v>
      </c>
      <c r="O370" s="5">
        <f t="shared" si="30"/>
        <v>3143.4088098746251</v>
      </c>
      <c r="P370" s="5">
        <f>C$55*(1-J$14)*(1-'Assumptions and Catalog'!$C$23)^R370</f>
        <v>0</v>
      </c>
      <c r="Q370" s="5">
        <f>IF(ISNUMBER(Inputs!$L$5),(IF(Inputs!$L$9="Actual flat rate",((D370+E370)*C370-G370)*Inputs!$L$10,IF(Inputs!$C$9="Residential",IF(((D370+E370)*C370-G370)&lt;='Assumptions and Catalog'!$C$50,((D370+E370)*C370-G370)*'Assumptions and Catalog'!$H$50+'Assumptions and Catalog'!$E$50+'Assumptions and Catalog'!$F$50,IF(((D370+E370)*C370-G370)&lt;='Assumptions and Catalog'!$C$51,((D370+E370)*C370-G370)*'Assumptions and Catalog'!$H$51+'Assumptions and Catalog'!$E$51+'Assumptions and Catalog'!$F$51,IF(((D370+E370)*C370-G370)&lt;='Assumptions and Catalog'!$C$52,((D370+E370)*C370-G370)*'Assumptions and Catalog'!$H$52+'Assumptions and Catalog'!$E$52+'Assumptions and Catalog'!$F$52,IF(((D370+E370)*C370-G370)&lt;='Assumptions and Catalog'!$C$53,((D370+E370)*C370-G370)*'Assumptions and Catalog'!$H$53+'Assumptions and Catalog'!$E$53+'Assumptions and Catalog'!$F$53,IF(((D370+E370)*C370-G370)&lt;='Assumptions and Catalog'!$C$54,((D370+E370)*C370-G370)*'Assumptions and Catalog'!$H$54+'Assumptions and Catalog'!$E$54+'Assumptions and Catalog'!$F$54,IF(((D370+E370)*C370-G370)&lt;='Assumptions and Catalog'!$C$55,((D370+E370)*C370-G370)*'Assumptions and Catalog'!$H$55+'Assumptions and Catalog'!$E$55+'Assumptions and Catalog'!$F$55,IF(((D370+E370)*C370-G370)&lt;='Assumptions and Catalog'!$C$56,((D370+E370)*C370-G370)*'Assumptions and Catalog'!$H$56+'Assumptions and Catalog'!$E$56+'Assumptions and Catalog'!$F$56,IF(((D370+E370)*C370-G370)&lt;='Assumptions and Catalog'!$C$57,((D370+E370)*C370-G370)*'Assumptions and Catalog'!$H$57+'Assumptions and Catalog'!$E$57+'Assumptions and Catalog'!$F$57,"Out of range")))))))),IF(((D370+E370)*C370-G370)&lt;='Assumptions and Catalog'!$C$60,((D370+E370)*C370-G370)*'Assumptions and Catalog'!$H$60+'Assumptions and Catalog'!$E$60+'Assumptions and Catalog'!$F$60,IF(((D370+E370)*C370-G370)&lt;='Assumptions and Catalog'!$C$61,((D370+E370)*C370-G370)*'Assumptions and Catalog'!$H$61+'Assumptions and Catalog'!$E$61+'Assumptions and Catalog'!$F$61,IF(((D370+E370)*C370-G370)&lt;='Assumptions and Catalog'!$C$62,((D370+E370)*C370-G370)*'Assumptions and Catalog'!$H$62+'Assumptions and Catalog'!$E$62+'Assumptions and Catalog'!$F$62,IF(((D370+E370)*C370-G370)&lt;='Assumptions and Catalog'!$C$63,((D370+E370)*C370-G370)*'Assumptions and Catalog'!$H$63+'Assumptions and Catalog'!$E$63+'Assumptions and Catalog'!$F$63,IF(((D370+E370)*C370-G370)&lt;='Assumptions and Catalog'!$C$64,((D370+E370)*C370-G370)*'Assumptions and Catalog'!$H$64+'Assumptions and Catalog'!$E$64+'Assumptions and Catalog'!$F$64,IF(((D370+E370)*C370-G370)&lt;='Assumptions and Catalog'!$C$65,((D370+E370)*C370-G370)*'Assumptions and Catalog'!$H$65+'Assumptions and Catalog'!$E$65+'Assumptions and Catalog'!$F$65,"Out of range")))))))))*(1+'Assumptions and Catalog'!$C$8)^(A370-1),0)</f>
        <v>5135.5911901253749</v>
      </c>
      <c r="R370" s="5">
        <f>IF(AND('Assumptions and Catalog'!$C$19&gt;0,A370&gt;='Assumptions and Catalog'!$C$19),A370-'Assumptions and Catalog'!$C$19,A370-1)</f>
        <v>7</v>
      </c>
      <c r="S370" s="5">
        <f t="shared" si="31"/>
        <v>0</v>
      </c>
      <c r="T370" s="5"/>
      <c r="U370" s="5"/>
    </row>
    <row r="371" spans="1:21" ht="23.1" customHeight="1" outlineLevel="1" x14ac:dyDescent="0.2">
      <c r="A371" s="5">
        <v>18</v>
      </c>
      <c r="B371" s="5">
        <v>7</v>
      </c>
      <c r="C371" s="5">
        <f>DAY(DATE('Assumptions and Catalog'!$C$24+A371-1,B371+1,0))</f>
        <v>31</v>
      </c>
      <c r="D371" s="5">
        <f>IF(ISNUMBER(Inputs!$L$5),Inputs!$L$5*Inputs!$L$6,0)</f>
        <v>40.35</v>
      </c>
      <c r="E371" s="5">
        <f>IF(ISNUMBER(Inputs!$L$5),Inputs!$L$5-D371,0)</f>
        <v>40.35</v>
      </c>
      <c r="F371" s="5">
        <f>C$51*'Assumptions and Catalog'!$C$31*C371*(1-'Assumptions and Catalog'!$C$10)^(A371-1)</f>
        <v>949.85696577646445</v>
      </c>
      <c r="G371" s="5">
        <f t="shared" si="26"/>
        <v>949.85696577646445</v>
      </c>
      <c r="H371" s="5">
        <f>I371/('Assumptions and Catalog'!$C$11*'Assumptions and Catalog'!$C$12)</f>
        <v>0</v>
      </c>
      <c r="I371" s="5">
        <f>0</f>
        <v>0</v>
      </c>
      <c r="J371" s="5">
        <f t="shared" si="27"/>
        <v>0</v>
      </c>
      <c r="K371" s="5">
        <f t="shared" si="28"/>
        <v>0</v>
      </c>
      <c r="L371" s="5">
        <f t="shared" si="29"/>
        <v>1551.8430342235358</v>
      </c>
      <c r="M371" s="5">
        <f>IF(ISNUMBER(Inputs!$L$5),(IF(Inputs!$L$9="Actual flat rate",((D371+E371)*C371)*Inputs!$L$10,IF(Inputs!$C$9="Residential",IF(((D371+E371)*C371)&lt;='Assumptions and Catalog'!$C$50,((D371+E371)*C371)*'Assumptions and Catalog'!$H$50+'Assumptions and Catalog'!$E$50+'Assumptions and Catalog'!$F$50,IF(((D371+E371)*C371)&lt;='Assumptions and Catalog'!$C$51,((D371+E371)*C371)*'Assumptions and Catalog'!$H$51+'Assumptions and Catalog'!$E$51+'Assumptions and Catalog'!$F$51,IF(((D371+E371)*C371)&lt;='Assumptions and Catalog'!$C$52,((D371+E371)*C371)*'Assumptions and Catalog'!$H$52+'Assumptions and Catalog'!$E$52+'Assumptions and Catalog'!$F$52,IF(((D371+E371)*C371)&lt;='Assumptions and Catalog'!$C$53,((D371+E371)*C371)*'Assumptions and Catalog'!$H$53+'Assumptions and Catalog'!$E$53+'Assumptions and Catalog'!$F$53,IF(((D371+E371)*C371)&lt;='Assumptions and Catalog'!$C$54,((D371+E371)*C371)*'Assumptions and Catalog'!$H$54+'Assumptions and Catalog'!$E$54+'Assumptions and Catalog'!$F$54,IF(((D371+E371)*C371)&lt;='Assumptions and Catalog'!$C$55,((D371+E371)*C371)*'Assumptions and Catalog'!$H$55+'Assumptions and Catalog'!$E$55+'Assumptions and Catalog'!$F$55,IF(((D371+E371)*C371)&lt;='Assumptions and Catalog'!$C$56,((D371+E371)*C371)*'Assumptions and Catalog'!$H$56+'Assumptions and Catalog'!$E$56+'Assumptions and Catalog'!$F$56,IF(((D371+E371)*C371)&lt;='Assumptions and Catalog'!$C$57,((D371+E371)*C371)*'Assumptions and Catalog'!$H$57+'Assumptions and Catalog'!$E$57+'Assumptions and Catalog'!$F$57,"Out of range")))))))),IF(((D371+E371)*C371)&lt;='Assumptions and Catalog'!$C$60,((D371+E371)*C371)*'Assumptions and Catalog'!$H$60+'Assumptions and Catalog'!$E$60+'Assumptions and Catalog'!$F$60,IF(((D371+E371)*C371)&lt;='Assumptions and Catalog'!$C$61,((D371+E371)*C371)*'Assumptions and Catalog'!$H$61+'Assumptions and Catalog'!$E$61+'Assumptions and Catalog'!$F$61,IF(((D371+E371)*C371)&lt;='Assumptions and Catalog'!$C$62,((D371+E371)*C371)*'Assumptions and Catalog'!$H$62+'Assumptions and Catalog'!$E$62+'Assumptions and Catalog'!$F$62,IF(((D371+E371)*C371)&lt;='Assumptions and Catalog'!$C$63,((D371+E371)*C371)*'Assumptions and Catalog'!$H$63+'Assumptions and Catalog'!$E$63+'Assumptions and Catalog'!$F$63,IF(((D371+E371)*C371)&lt;='Assumptions and Catalog'!$C$64,((D371+E371)*C371)*'Assumptions and Catalog'!$H$64+'Assumptions and Catalog'!$E$64+'Assumptions and Catalog'!$F$64,IF(((D371+E371)*C371)&lt;='Assumptions and Catalog'!$C$65,((D371+E371)*C371)*'Assumptions and Catalog'!$H$65+'Assumptions and Catalog'!$E$65+'Assumptions and Catalog'!$F$65,"Out of range")))))))))*(1+'Assumptions and Catalog'!$C$8)^(A371-1),0)</f>
        <v>8554.9666666666672</v>
      </c>
      <c r="N371" s="5">
        <f>IF(ISNUMBER(Inputs!$L$5),(IF(Inputs!$L$9="Actual flat rate",L371*Inputs!$L$10,IF(Inputs!$C$9="Residential",IF(L371&lt;='Assumptions and Catalog'!$C$50,L371*'Assumptions and Catalog'!$H$50+'Assumptions and Catalog'!$E$50+'Assumptions and Catalog'!$F$50,IF(L371&lt;='Assumptions and Catalog'!$C$51,L371*'Assumptions and Catalog'!$H$51+'Assumptions and Catalog'!$E$51+'Assumptions and Catalog'!$F$51,IF(L371&lt;='Assumptions and Catalog'!$C$52,L371*'Assumptions and Catalog'!$H$52+'Assumptions and Catalog'!$E$52+'Assumptions and Catalog'!$F$52,IF(L371&lt;='Assumptions and Catalog'!$C$53,L371*'Assumptions and Catalog'!$H$53+'Assumptions and Catalog'!$E$53+'Assumptions and Catalog'!$F$53,IF(L371&lt;='Assumptions and Catalog'!$C$54,L371*'Assumptions and Catalog'!$H$54+'Assumptions and Catalog'!$E$54+'Assumptions and Catalog'!$F$54,IF(L371&lt;='Assumptions and Catalog'!$C$55,L371*'Assumptions and Catalog'!$H$55+'Assumptions and Catalog'!$E$55+'Assumptions and Catalog'!$F$55,IF(L371&lt;='Assumptions and Catalog'!$C$56,L371*'Assumptions and Catalog'!$H$56+'Assumptions and Catalog'!$E$56+'Assumptions and Catalog'!$F$56,IF(L371&lt;='Assumptions and Catalog'!$C$57,L371*'Assumptions and Catalog'!$H$57+'Assumptions and Catalog'!$E$57+'Assumptions and Catalog'!$F$57,"Out of range")))))))),IF(L371&lt;='Assumptions and Catalog'!$C$60,L371*'Assumptions and Catalog'!$H$60+'Assumptions and Catalog'!$E$60+'Assumptions and Catalog'!$F$60,IF(L371&lt;='Assumptions and Catalog'!$C$61,L371*'Assumptions and Catalog'!$H$61+'Assumptions and Catalog'!$E$61+'Assumptions and Catalog'!$F$61,IF(L371&lt;='Assumptions and Catalog'!$C$62,L371*'Assumptions and Catalog'!$H$62+'Assumptions and Catalog'!$E$62+'Assumptions and Catalog'!$F$62,IF(L371&lt;='Assumptions and Catalog'!$C$63,L371*'Assumptions and Catalog'!$H$63+'Assumptions and Catalog'!$E$63+'Assumptions and Catalog'!$F$63,IF(L371&lt;='Assumptions and Catalog'!$C$64,L371*'Assumptions and Catalog'!$H$64+'Assumptions and Catalog'!$E$64+'Assumptions and Catalog'!$F$64,IF(L371&lt;='Assumptions and Catalog'!$C$65,L371*'Assumptions and Catalog'!$H$65+'Assumptions and Catalog'!$E$65+'Assumptions and Catalog'!$F$65,"Out of range")))))))))*(1+'Assumptions and Catalog'!$C$8)^(A371-1),0)</f>
        <v>5306.7775631295553</v>
      </c>
      <c r="O371" s="5">
        <f t="shared" si="30"/>
        <v>3248.1891035371118</v>
      </c>
      <c r="P371" s="5">
        <f>C$55*(1-J$14)*(1-'Assumptions and Catalog'!$C$23)^R371</f>
        <v>0</v>
      </c>
      <c r="Q371" s="5">
        <f>IF(ISNUMBER(Inputs!$L$5),(IF(Inputs!$L$9="Actual flat rate",((D371+E371)*C371-G371)*Inputs!$L$10,IF(Inputs!$C$9="Residential",IF(((D371+E371)*C371-G371)&lt;='Assumptions and Catalog'!$C$50,((D371+E371)*C371-G371)*'Assumptions and Catalog'!$H$50+'Assumptions and Catalog'!$E$50+'Assumptions and Catalog'!$F$50,IF(((D371+E371)*C371-G371)&lt;='Assumptions and Catalog'!$C$51,((D371+E371)*C371-G371)*'Assumptions and Catalog'!$H$51+'Assumptions and Catalog'!$E$51+'Assumptions and Catalog'!$F$51,IF(((D371+E371)*C371-G371)&lt;='Assumptions and Catalog'!$C$52,((D371+E371)*C371-G371)*'Assumptions and Catalog'!$H$52+'Assumptions and Catalog'!$E$52+'Assumptions and Catalog'!$F$52,IF(((D371+E371)*C371-G371)&lt;='Assumptions and Catalog'!$C$53,((D371+E371)*C371-G371)*'Assumptions and Catalog'!$H$53+'Assumptions and Catalog'!$E$53+'Assumptions and Catalog'!$F$53,IF(((D371+E371)*C371-G371)&lt;='Assumptions and Catalog'!$C$54,((D371+E371)*C371-G371)*'Assumptions and Catalog'!$H$54+'Assumptions and Catalog'!$E$54+'Assumptions and Catalog'!$F$54,IF(((D371+E371)*C371-G371)&lt;='Assumptions and Catalog'!$C$55,((D371+E371)*C371-G371)*'Assumptions and Catalog'!$H$55+'Assumptions and Catalog'!$E$55+'Assumptions and Catalog'!$F$55,IF(((D371+E371)*C371-G371)&lt;='Assumptions and Catalog'!$C$56,((D371+E371)*C371-G371)*'Assumptions and Catalog'!$H$56+'Assumptions and Catalog'!$E$56+'Assumptions and Catalog'!$F$56,IF(((D371+E371)*C371-G371)&lt;='Assumptions and Catalog'!$C$57,((D371+E371)*C371-G371)*'Assumptions and Catalog'!$H$57+'Assumptions and Catalog'!$E$57+'Assumptions and Catalog'!$F$57,"Out of range")))))))),IF(((D371+E371)*C371-G371)&lt;='Assumptions and Catalog'!$C$60,((D371+E371)*C371-G371)*'Assumptions and Catalog'!$H$60+'Assumptions and Catalog'!$E$60+'Assumptions and Catalog'!$F$60,IF(((D371+E371)*C371-G371)&lt;='Assumptions and Catalog'!$C$61,((D371+E371)*C371-G371)*'Assumptions and Catalog'!$H$61+'Assumptions and Catalog'!$E$61+'Assumptions and Catalog'!$F$61,IF(((D371+E371)*C371-G371)&lt;='Assumptions and Catalog'!$C$62,((D371+E371)*C371-G371)*'Assumptions and Catalog'!$H$62+'Assumptions and Catalog'!$E$62+'Assumptions and Catalog'!$F$62,IF(((D371+E371)*C371-G371)&lt;='Assumptions and Catalog'!$C$63,((D371+E371)*C371-G371)*'Assumptions and Catalog'!$H$63+'Assumptions and Catalog'!$E$63+'Assumptions and Catalog'!$F$63,IF(((D371+E371)*C371-G371)&lt;='Assumptions and Catalog'!$C$64,((D371+E371)*C371-G371)*'Assumptions and Catalog'!$H$64+'Assumptions and Catalog'!$E$64+'Assumptions and Catalog'!$F$64,IF(((D371+E371)*C371-G371)&lt;='Assumptions and Catalog'!$C$65,((D371+E371)*C371-G371)*'Assumptions and Catalog'!$H$65+'Assumptions and Catalog'!$E$65+'Assumptions and Catalog'!$F$65,"Out of range")))))))))*(1+'Assumptions and Catalog'!$C$8)^(A371-1),0)</f>
        <v>5306.7775631295553</v>
      </c>
      <c r="R371" s="5">
        <f>IF(AND('Assumptions and Catalog'!$C$19&gt;0,A371&gt;='Assumptions and Catalog'!$C$19),A371-'Assumptions and Catalog'!$C$19,A371-1)</f>
        <v>7</v>
      </c>
      <c r="S371" s="5">
        <f t="shared" si="31"/>
        <v>0</v>
      </c>
      <c r="T371" s="5"/>
      <c r="U371" s="5"/>
    </row>
    <row r="372" spans="1:21" ht="23.1" customHeight="1" outlineLevel="1" x14ac:dyDescent="0.2">
      <c r="A372" s="5">
        <v>18</v>
      </c>
      <c r="B372" s="5">
        <v>8</v>
      </c>
      <c r="C372" s="5">
        <f>DAY(DATE('Assumptions and Catalog'!$C$24+A372-1,B372+1,0))</f>
        <v>31</v>
      </c>
      <c r="D372" s="5">
        <f>IF(ISNUMBER(Inputs!$L$5),Inputs!$L$5*Inputs!$L$6,0)</f>
        <v>40.35</v>
      </c>
      <c r="E372" s="5">
        <f>IF(ISNUMBER(Inputs!$L$5),Inputs!$L$5-D372,0)</f>
        <v>40.35</v>
      </c>
      <c r="F372" s="5">
        <f>C$51*'Assumptions and Catalog'!$C$31*C372*(1-'Assumptions and Catalog'!$C$10)^(A372-1)</f>
        <v>949.85696577646445</v>
      </c>
      <c r="G372" s="5">
        <f t="shared" si="26"/>
        <v>949.85696577646445</v>
      </c>
      <c r="H372" s="5">
        <f>I372/('Assumptions and Catalog'!$C$11*'Assumptions and Catalog'!$C$12)</f>
        <v>0</v>
      </c>
      <c r="I372" s="5">
        <f>0</f>
        <v>0</v>
      </c>
      <c r="J372" s="5">
        <f t="shared" si="27"/>
        <v>0</v>
      </c>
      <c r="K372" s="5">
        <f t="shared" si="28"/>
        <v>0</v>
      </c>
      <c r="L372" s="5">
        <f t="shared" si="29"/>
        <v>1551.8430342235358</v>
      </c>
      <c r="M372" s="5">
        <f>IF(ISNUMBER(Inputs!$L$5),(IF(Inputs!$L$9="Actual flat rate",((D372+E372)*C372)*Inputs!$L$10,IF(Inputs!$C$9="Residential",IF(((D372+E372)*C372)&lt;='Assumptions and Catalog'!$C$50,((D372+E372)*C372)*'Assumptions and Catalog'!$H$50+'Assumptions and Catalog'!$E$50+'Assumptions and Catalog'!$F$50,IF(((D372+E372)*C372)&lt;='Assumptions and Catalog'!$C$51,((D372+E372)*C372)*'Assumptions and Catalog'!$H$51+'Assumptions and Catalog'!$E$51+'Assumptions and Catalog'!$F$51,IF(((D372+E372)*C372)&lt;='Assumptions and Catalog'!$C$52,((D372+E372)*C372)*'Assumptions and Catalog'!$H$52+'Assumptions and Catalog'!$E$52+'Assumptions and Catalog'!$F$52,IF(((D372+E372)*C372)&lt;='Assumptions and Catalog'!$C$53,((D372+E372)*C372)*'Assumptions and Catalog'!$H$53+'Assumptions and Catalog'!$E$53+'Assumptions and Catalog'!$F$53,IF(((D372+E372)*C372)&lt;='Assumptions and Catalog'!$C$54,((D372+E372)*C372)*'Assumptions and Catalog'!$H$54+'Assumptions and Catalog'!$E$54+'Assumptions and Catalog'!$F$54,IF(((D372+E372)*C372)&lt;='Assumptions and Catalog'!$C$55,((D372+E372)*C372)*'Assumptions and Catalog'!$H$55+'Assumptions and Catalog'!$E$55+'Assumptions and Catalog'!$F$55,IF(((D372+E372)*C372)&lt;='Assumptions and Catalog'!$C$56,((D372+E372)*C372)*'Assumptions and Catalog'!$H$56+'Assumptions and Catalog'!$E$56+'Assumptions and Catalog'!$F$56,IF(((D372+E372)*C372)&lt;='Assumptions and Catalog'!$C$57,((D372+E372)*C372)*'Assumptions and Catalog'!$H$57+'Assumptions and Catalog'!$E$57+'Assumptions and Catalog'!$F$57,"Out of range")))))))),IF(((D372+E372)*C372)&lt;='Assumptions and Catalog'!$C$60,((D372+E372)*C372)*'Assumptions and Catalog'!$H$60+'Assumptions and Catalog'!$E$60+'Assumptions and Catalog'!$F$60,IF(((D372+E372)*C372)&lt;='Assumptions and Catalog'!$C$61,((D372+E372)*C372)*'Assumptions and Catalog'!$H$61+'Assumptions and Catalog'!$E$61+'Assumptions and Catalog'!$F$61,IF(((D372+E372)*C372)&lt;='Assumptions and Catalog'!$C$62,((D372+E372)*C372)*'Assumptions and Catalog'!$H$62+'Assumptions and Catalog'!$E$62+'Assumptions and Catalog'!$F$62,IF(((D372+E372)*C372)&lt;='Assumptions and Catalog'!$C$63,((D372+E372)*C372)*'Assumptions and Catalog'!$H$63+'Assumptions and Catalog'!$E$63+'Assumptions and Catalog'!$F$63,IF(((D372+E372)*C372)&lt;='Assumptions and Catalog'!$C$64,((D372+E372)*C372)*'Assumptions and Catalog'!$H$64+'Assumptions and Catalog'!$E$64+'Assumptions and Catalog'!$F$64,IF(((D372+E372)*C372)&lt;='Assumptions and Catalog'!$C$65,((D372+E372)*C372)*'Assumptions and Catalog'!$H$65+'Assumptions and Catalog'!$E$65+'Assumptions and Catalog'!$F$65,"Out of range")))))))))*(1+'Assumptions and Catalog'!$C$8)^(A372-1),0)</f>
        <v>8554.9666666666672</v>
      </c>
      <c r="N372" s="5">
        <f>IF(ISNUMBER(Inputs!$L$5),(IF(Inputs!$L$9="Actual flat rate",L372*Inputs!$L$10,IF(Inputs!$C$9="Residential",IF(L372&lt;='Assumptions and Catalog'!$C$50,L372*'Assumptions and Catalog'!$H$50+'Assumptions and Catalog'!$E$50+'Assumptions and Catalog'!$F$50,IF(L372&lt;='Assumptions and Catalog'!$C$51,L372*'Assumptions and Catalog'!$H$51+'Assumptions and Catalog'!$E$51+'Assumptions and Catalog'!$F$51,IF(L372&lt;='Assumptions and Catalog'!$C$52,L372*'Assumptions and Catalog'!$H$52+'Assumptions and Catalog'!$E$52+'Assumptions and Catalog'!$F$52,IF(L372&lt;='Assumptions and Catalog'!$C$53,L372*'Assumptions and Catalog'!$H$53+'Assumptions and Catalog'!$E$53+'Assumptions and Catalog'!$F$53,IF(L372&lt;='Assumptions and Catalog'!$C$54,L372*'Assumptions and Catalog'!$H$54+'Assumptions and Catalog'!$E$54+'Assumptions and Catalog'!$F$54,IF(L372&lt;='Assumptions and Catalog'!$C$55,L372*'Assumptions and Catalog'!$H$55+'Assumptions and Catalog'!$E$55+'Assumptions and Catalog'!$F$55,IF(L372&lt;='Assumptions and Catalog'!$C$56,L372*'Assumptions and Catalog'!$H$56+'Assumptions and Catalog'!$E$56+'Assumptions and Catalog'!$F$56,IF(L372&lt;='Assumptions and Catalog'!$C$57,L372*'Assumptions and Catalog'!$H$57+'Assumptions and Catalog'!$E$57+'Assumptions and Catalog'!$F$57,"Out of range")))))))),IF(L372&lt;='Assumptions and Catalog'!$C$60,L372*'Assumptions and Catalog'!$H$60+'Assumptions and Catalog'!$E$60+'Assumptions and Catalog'!$F$60,IF(L372&lt;='Assumptions and Catalog'!$C$61,L372*'Assumptions and Catalog'!$H$61+'Assumptions and Catalog'!$E$61+'Assumptions and Catalog'!$F$61,IF(L372&lt;='Assumptions and Catalog'!$C$62,L372*'Assumptions and Catalog'!$H$62+'Assumptions and Catalog'!$E$62+'Assumptions and Catalog'!$F$62,IF(L372&lt;='Assumptions and Catalog'!$C$63,L372*'Assumptions and Catalog'!$H$63+'Assumptions and Catalog'!$E$63+'Assumptions and Catalog'!$F$63,IF(L372&lt;='Assumptions and Catalog'!$C$64,L372*'Assumptions and Catalog'!$H$64+'Assumptions and Catalog'!$E$64+'Assumptions and Catalog'!$F$64,IF(L372&lt;='Assumptions and Catalog'!$C$65,L372*'Assumptions and Catalog'!$H$65+'Assumptions and Catalog'!$E$65+'Assumptions and Catalog'!$F$65,"Out of range")))))))))*(1+'Assumptions and Catalog'!$C$8)^(A372-1),0)</f>
        <v>5306.7775631295553</v>
      </c>
      <c r="O372" s="5">
        <f t="shared" si="30"/>
        <v>3248.1891035371118</v>
      </c>
      <c r="P372" s="5">
        <f>C$55*(1-J$14)*(1-'Assumptions and Catalog'!$C$23)^R372</f>
        <v>0</v>
      </c>
      <c r="Q372" s="5">
        <f>IF(ISNUMBER(Inputs!$L$5),(IF(Inputs!$L$9="Actual flat rate",((D372+E372)*C372-G372)*Inputs!$L$10,IF(Inputs!$C$9="Residential",IF(((D372+E372)*C372-G372)&lt;='Assumptions and Catalog'!$C$50,((D372+E372)*C372-G372)*'Assumptions and Catalog'!$H$50+'Assumptions and Catalog'!$E$50+'Assumptions and Catalog'!$F$50,IF(((D372+E372)*C372-G372)&lt;='Assumptions and Catalog'!$C$51,((D372+E372)*C372-G372)*'Assumptions and Catalog'!$H$51+'Assumptions and Catalog'!$E$51+'Assumptions and Catalog'!$F$51,IF(((D372+E372)*C372-G372)&lt;='Assumptions and Catalog'!$C$52,((D372+E372)*C372-G372)*'Assumptions and Catalog'!$H$52+'Assumptions and Catalog'!$E$52+'Assumptions and Catalog'!$F$52,IF(((D372+E372)*C372-G372)&lt;='Assumptions and Catalog'!$C$53,((D372+E372)*C372-G372)*'Assumptions and Catalog'!$H$53+'Assumptions and Catalog'!$E$53+'Assumptions and Catalog'!$F$53,IF(((D372+E372)*C372-G372)&lt;='Assumptions and Catalog'!$C$54,((D372+E372)*C372-G372)*'Assumptions and Catalog'!$H$54+'Assumptions and Catalog'!$E$54+'Assumptions and Catalog'!$F$54,IF(((D372+E372)*C372-G372)&lt;='Assumptions and Catalog'!$C$55,((D372+E372)*C372-G372)*'Assumptions and Catalog'!$H$55+'Assumptions and Catalog'!$E$55+'Assumptions and Catalog'!$F$55,IF(((D372+E372)*C372-G372)&lt;='Assumptions and Catalog'!$C$56,((D372+E372)*C372-G372)*'Assumptions and Catalog'!$H$56+'Assumptions and Catalog'!$E$56+'Assumptions and Catalog'!$F$56,IF(((D372+E372)*C372-G372)&lt;='Assumptions and Catalog'!$C$57,((D372+E372)*C372-G372)*'Assumptions and Catalog'!$H$57+'Assumptions and Catalog'!$E$57+'Assumptions and Catalog'!$F$57,"Out of range")))))))),IF(((D372+E372)*C372-G372)&lt;='Assumptions and Catalog'!$C$60,((D372+E372)*C372-G372)*'Assumptions and Catalog'!$H$60+'Assumptions and Catalog'!$E$60+'Assumptions and Catalog'!$F$60,IF(((D372+E372)*C372-G372)&lt;='Assumptions and Catalog'!$C$61,((D372+E372)*C372-G372)*'Assumptions and Catalog'!$H$61+'Assumptions and Catalog'!$E$61+'Assumptions and Catalog'!$F$61,IF(((D372+E372)*C372-G372)&lt;='Assumptions and Catalog'!$C$62,((D372+E372)*C372-G372)*'Assumptions and Catalog'!$H$62+'Assumptions and Catalog'!$E$62+'Assumptions and Catalog'!$F$62,IF(((D372+E372)*C372-G372)&lt;='Assumptions and Catalog'!$C$63,((D372+E372)*C372-G372)*'Assumptions and Catalog'!$H$63+'Assumptions and Catalog'!$E$63+'Assumptions and Catalog'!$F$63,IF(((D372+E372)*C372-G372)&lt;='Assumptions and Catalog'!$C$64,((D372+E372)*C372-G372)*'Assumptions and Catalog'!$H$64+'Assumptions and Catalog'!$E$64+'Assumptions and Catalog'!$F$64,IF(((D372+E372)*C372-G372)&lt;='Assumptions and Catalog'!$C$65,((D372+E372)*C372-G372)*'Assumptions and Catalog'!$H$65+'Assumptions and Catalog'!$E$65+'Assumptions and Catalog'!$F$65,"Out of range")))))))))*(1+'Assumptions and Catalog'!$C$8)^(A372-1),0)</f>
        <v>5306.7775631295553</v>
      </c>
      <c r="R372" s="5">
        <f>IF(AND('Assumptions and Catalog'!$C$19&gt;0,A372&gt;='Assumptions and Catalog'!$C$19),A372-'Assumptions and Catalog'!$C$19,A372-1)</f>
        <v>7</v>
      </c>
      <c r="S372" s="5">
        <f t="shared" si="31"/>
        <v>0</v>
      </c>
      <c r="T372" s="5"/>
      <c r="U372" s="5"/>
    </row>
    <row r="373" spans="1:21" ht="23.1" customHeight="1" outlineLevel="1" x14ac:dyDescent="0.2">
      <c r="A373" s="5">
        <v>18</v>
      </c>
      <c r="B373" s="5">
        <v>9</v>
      </c>
      <c r="C373" s="5">
        <f>DAY(DATE('Assumptions and Catalog'!$C$24+A373-1,B373+1,0))</f>
        <v>30</v>
      </c>
      <c r="D373" s="5">
        <f>IF(ISNUMBER(Inputs!$L$5),Inputs!$L$5*Inputs!$L$6,0)</f>
        <v>40.35</v>
      </c>
      <c r="E373" s="5">
        <f>IF(ISNUMBER(Inputs!$L$5),Inputs!$L$5-D373,0)</f>
        <v>40.35</v>
      </c>
      <c r="F373" s="5">
        <f>C$51*'Assumptions and Catalog'!$C$31*C373*(1-'Assumptions and Catalog'!$C$10)^(A373-1)</f>
        <v>919.21641849335265</v>
      </c>
      <c r="G373" s="5">
        <f t="shared" si="26"/>
        <v>919.21641849335265</v>
      </c>
      <c r="H373" s="5">
        <f>I373/('Assumptions and Catalog'!$C$11*'Assumptions and Catalog'!$C$12)</f>
        <v>0</v>
      </c>
      <c r="I373" s="5">
        <f>0</f>
        <v>0</v>
      </c>
      <c r="J373" s="5">
        <f t="shared" si="27"/>
        <v>0</v>
      </c>
      <c r="K373" s="5">
        <f t="shared" si="28"/>
        <v>0</v>
      </c>
      <c r="L373" s="5">
        <f t="shared" si="29"/>
        <v>1501.7835815066474</v>
      </c>
      <c r="M373" s="5">
        <f>IF(ISNUMBER(Inputs!$L$5),(IF(Inputs!$L$9="Actual flat rate",((D373+E373)*C373)*Inputs!$L$10,IF(Inputs!$C$9="Residential",IF(((D373+E373)*C373)&lt;='Assumptions and Catalog'!$C$50,((D373+E373)*C373)*'Assumptions and Catalog'!$H$50+'Assumptions and Catalog'!$E$50+'Assumptions and Catalog'!$F$50,IF(((D373+E373)*C373)&lt;='Assumptions and Catalog'!$C$51,((D373+E373)*C373)*'Assumptions and Catalog'!$H$51+'Assumptions and Catalog'!$E$51+'Assumptions and Catalog'!$F$51,IF(((D373+E373)*C373)&lt;='Assumptions and Catalog'!$C$52,((D373+E373)*C373)*'Assumptions and Catalog'!$H$52+'Assumptions and Catalog'!$E$52+'Assumptions and Catalog'!$F$52,IF(((D373+E373)*C373)&lt;='Assumptions and Catalog'!$C$53,((D373+E373)*C373)*'Assumptions and Catalog'!$H$53+'Assumptions and Catalog'!$E$53+'Assumptions and Catalog'!$F$53,IF(((D373+E373)*C373)&lt;='Assumptions and Catalog'!$C$54,((D373+E373)*C373)*'Assumptions and Catalog'!$H$54+'Assumptions and Catalog'!$E$54+'Assumptions and Catalog'!$F$54,IF(((D373+E373)*C373)&lt;='Assumptions and Catalog'!$C$55,((D373+E373)*C373)*'Assumptions and Catalog'!$H$55+'Assumptions and Catalog'!$E$55+'Assumptions and Catalog'!$F$55,IF(((D373+E373)*C373)&lt;='Assumptions and Catalog'!$C$56,((D373+E373)*C373)*'Assumptions and Catalog'!$H$56+'Assumptions and Catalog'!$E$56+'Assumptions and Catalog'!$F$56,IF(((D373+E373)*C373)&lt;='Assumptions and Catalog'!$C$57,((D373+E373)*C373)*'Assumptions and Catalog'!$H$57+'Assumptions and Catalog'!$E$57+'Assumptions and Catalog'!$F$57,"Out of range")))))))),IF(((D373+E373)*C373)&lt;='Assumptions and Catalog'!$C$60,((D373+E373)*C373)*'Assumptions and Catalog'!$H$60+'Assumptions and Catalog'!$E$60+'Assumptions and Catalog'!$F$60,IF(((D373+E373)*C373)&lt;='Assumptions and Catalog'!$C$61,((D373+E373)*C373)*'Assumptions and Catalog'!$H$61+'Assumptions and Catalog'!$E$61+'Assumptions and Catalog'!$F$61,IF(((D373+E373)*C373)&lt;='Assumptions and Catalog'!$C$62,((D373+E373)*C373)*'Assumptions and Catalog'!$H$62+'Assumptions and Catalog'!$E$62+'Assumptions and Catalog'!$F$62,IF(((D373+E373)*C373)&lt;='Assumptions and Catalog'!$C$63,((D373+E373)*C373)*'Assumptions and Catalog'!$H$63+'Assumptions and Catalog'!$E$63+'Assumptions and Catalog'!$F$63,IF(((D373+E373)*C373)&lt;='Assumptions and Catalog'!$C$64,((D373+E373)*C373)*'Assumptions and Catalog'!$H$64+'Assumptions and Catalog'!$E$64+'Assumptions and Catalog'!$F$64,IF(((D373+E373)*C373)&lt;='Assumptions and Catalog'!$C$65,((D373+E373)*C373)*'Assumptions and Catalog'!$H$65+'Assumptions and Catalog'!$E$65+'Assumptions and Catalog'!$F$65,"Out of range")))))))))*(1+'Assumptions and Catalog'!$C$8)^(A373-1),0)</f>
        <v>8279</v>
      </c>
      <c r="N373" s="5">
        <f>IF(ISNUMBER(Inputs!$L$5),(IF(Inputs!$L$9="Actual flat rate",L373*Inputs!$L$10,IF(Inputs!$C$9="Residential",IF(L373&lt;='Assumptions and Catalog'!$C$50,L373*'Assumptions and Catalog'!$H$50+'Assumptions and Catalog'!$E$50+'Assumptions and Catalog'!$F$50,IF(L373&lt;='Assumptions and Catalog'!$C$51,L373*'Assumptions and Catalog'!$H$51+'Assumptions and Catalog'!$E$51+'Assumptions and Catalog'!$F$51,IF(L373&lt;='Assumptions and Catalog'!$C$52,L373*'Assumptions and Catalog'!$H$52+'Assumptions and Catalog'!$E$52+'Assumptions and Catalog'!$F$52,IF(L373&lt;='Assumptions and Catalog'!$C$53,L373*'Assumptions and Catalog'!$H$53+'Assumptions and Catalog'!$E$53+'Assumptions and Catalog'!$F$53,IF(L373&lt;='Assumptions and Catalog'!$C$54,L373*'Assumptions and Catalog'!$H$54+'Assumptions and Catalog'!$E$54+'Assumptions and Catalog'!$F$54,IF(L373&lt;='Assumptions and Catalog'!$C$55,L373*'Assumptions and Catalog'!$H$55+'Assumptions and Catalog'!$E$55+'Assumptions and Catalog'!$F$55,IF(L373&lt;='Assumptions and Catalog'!$C$56,L373*'Assumptions and Catalog'!$H$56+'Assumptions and Catalog'!$E$56+'Assumptions and Catalog'!$F$56,IF(L373&lt;='Assumptions and Catalog'!$C$57,L373*'Assumptions and Catalog'!$H$57+'Assumptions and Catalog'!$E$57+'Assumptions and Catalog'!$F$57,"Out of range")))))))),IF(L373&lt;='Assumptions and Catalog'!$C$60,L373*'Assumptions and Catalog'!$H$60+'Assumptions and Catalog'!$E$60+'Assumptions and Catalog'!$F$60,IF(L373&lt;='Assumptions and Catalog'!$C$61,L373*'Assumptions and Catalog'!$H$61+'Assumptions and Catalog'!$E$61+'Assumptions and Catalog'!$F$61,IF(L373&lt;='Assumptions and Catalog'!$C$62,L373*'Assumptions and Catalog'!$H$62+'Assumptions and Catalog'!$E$62+'Assumptions and Catalog'!$F$62,IF(L373&lt;='Assumptions and Catalog'!$C$63,L373*'Assumptions and Catalog'!$H$63+'Assumptions and Catalog'!$E$63+'Assumptions and Catalog'!$F$63,IF(L373&lt;='Assumptions and Catalog'!$C$64,L373*'Assumptions and Catalog'!$H$64+'Assumptions and Catalog'!$E$64+'Assumptions and Catalog'!$F$64,IF(L373&lt;='Assumptions and Catalog'!$C$65,L373*'Assumptions and Catalog'!$H$65+'Assumptions and Catalog'!$E$65+'Assumptions and Catalog'!$F$65,"Out of range")))))))))*(1+'Assumptions and Catalog'!$C$8)^(A373-1),0)</f>
        <v>5135.5911901253749</v>
      </c>
      <c r="O373" s="5">
        <f t="shared" si="30"/>
        <v>3143.4088098746251</v>
      </c>
      <c r="P373" s="5">
        <f>C$55*(1-J$14)*(1-'Assumptions and Catalog'!$C$23)^R373</f>
        <v>0</v>
      </c>
      <c r="Q373" s="5">
        <f>IF(ISNUMBER(Inputs!$L$5),(IF(Inputs!$L$9="Actual flat rate",((D373+E373)*C373-G373)*Inputs!$L$10,IF(Inputs!$C$9="Residential",IF(((D373+E373)*C373-G373)&lt;='Assumptions and Catalog'!$C$50,((D373+E373)*C373-G373)*'Assumptions and Catalog'!$H$50+'Assumptions and Catalog'!$E$50+'Assumptions and Catalog'!$F$50,IF(((D373+E373)*C373-G373)&lt;='Assumptions and Catalog'!$C$51,((D373+E373)*C373-G373)*'Assumptions and Catalog'!$H$51+'Assumptions and Catalog'!$E$51+'Assumptions and Catalog'!$F$51,IF(((D373+E373)*C373-G373)&lt;='Assumptions and Catalog'!$C$52,((D373+E373)*C373-G373)*'Assumptions and Catalog'!$H$52+'Assumptions and Catalog'!$E$52+'Assumptions and Catalog'!$F$52,IF(((D373+E373)*C373-G373)&lt;='Assumptions and Catalog'!$C$53,((D373+E373)*C373-G373)*'Assumptions and Catalog'!$H$53+'Assumptions and Catalog'!$E$53+'Assumptions and Catalog'!$F$53,IF(((D373+E373)*C373-G373)&lt;='Assumptions and Catalog'!$C$54,((D373+E373)*C373-G373)*'Assumptions and Catalog'!$H$54+'Assumptions and Catalog'!$E$54+'Assumptions and Catalog'!$F$54,IF(((D373+E373)*C373-G373)&lt;='Assumptions and Catalog'!$C$55,((D373+E373)*C373-G373)*'Assumptions and Catalog'!$H$55+'Assumptions and Catalog'!$E$55+'Assumptions and Catalog'!$F$55,IF(((D373+E373)*C373-G373)&lt;='Assumptions and Catalog'!$C$56,((D373+E373)*C373-G373)*'Assumptions and Catalog'!$H$56+'Assumptions and Catalog'!$E$56+'Assumptions and Catalog'!$F$56,IF(((D373+E373)*C373-G373)&lt;='Assumptions and Catalog'!$C$57,((D373+E373)*C373-G373)*'Assumptions and Catalog'!$H$57+'Assumptions and Catalog'!$E$57+'Assumptions and Catalog'!$F$57,"Out of range")))))))),IF(((D373+E373)*C373-G373)&lt;='Assumptions and Catalog'!$C$60,((D373+E373)*C373-G373)*'Assumptions and Catalog'!$H$60+'Assumptions and Catalog'!$E$60+'Assumptions and Catalog'!$F$60,IF(((D373+E373)*C373-G373)&lt;='Assumptions and Catalog'!$C$61,((D373+E373)*C373-G373)*'Assumptions and Catalog'!$H$61+'Assumptions and Catalog'!$E$61+'Assumptions and Catalog'!$F$61,IF(((D373+E373)*C373-G373)&lt;='Assumptions and Catalog'!$C$62,((D373+E373)*C373-G373)*'Assumptions and Catalog'!$H$62+'Assumptions and Catalog'!$E$62+'Assumptions and Catalog'!$F$62,IF(((D373+E373)*C373-G373)&lt;='Assumptions and Catalog'!$C$63,((D373+E373)*C373-G373)*'Assumptions and Catalog'!$H$63+'Assumptions and Catalog'!$E$63+'Assumptions and Catalog'!$F$63,IF(((D373+E373)*C373-G373)&lt;='Assumptions and Catalog'!$C$64,((D373+E373)*C373-G373)*'Assumptions and Catalog'!$H$64+'Assumptions and Catalog'!$E$64+'Assumptions and Catalog'!$F$64,IF(((D373+E373)*C373-G373)&lt;='Assumptions and Catalog'!$C$65,((D373+E373)*C373-G373)*'Assumptions and Catalog'!$H$65+'Assumptions and Catalog'!$E$65+'Assumptions and Catalog'!$F$65,"Out of range")))))))))*(1+'Assumptions and Catalog'!$C$8)^(A373-1),0)</f>
        <v>5135.5911901253749</v>
      </c>
      <c r="R373" s="5">
        <f>IF(AND('Assumptions and Catalog'!$C$19&gt;0,A373&gt;='Assumptions and Catalog'!$C$19),A373-'Assumptions and Catalog'!$C$19,A373-1)</f>
        <v>7</v>
      </c>
      <c r="S373" s="5">
        <f t="shared" si="31"/>
        <v>0</v>
      </c>
      <c r="T373" s="5"/>
      <c r="U373" s="5"/>
    </row>
    <row r="374" spans="1:21" ht="23.1" customHeight="1" outlineLevel="1" x14ac:dyDescent="0.2">
      <c r="A374" s="5">
        <v>18</v>
      </c>
      <c r="B374" s="5">
        <v>10</v>
      </c>
      <c r="C374" s="5">
        <f>DAY(DATE('Assumptions and Catalog'!$C$24+A374-1,B374+1,0))</f>
        <v>31</v>
      </c>
      <c r="D374" s="5">
        <f>IF(ISNUMBER(Inputs!$L$5),Inputs!$L$5*Inputs!$L$6,0)</f>
        <v>40.35</v>
      </c>
      <c r="E374" s="5">
        <f>IF(ISNUMBER(Inputs!$L$5),Inputs!$L$5-D374,0)</f>
        <v>40.35</v>
      </c>
      <c r="F374" s="5">
        <f>C$51*'Assumptions and Catalog'!$C$31*C374*(1-'Assumptions and Catalog'!$C$10)^(A374-1)</f>
        <v>949.85696577646445</v>
      </c>
      <c r="G374" s="5">
        <f t="shared" si="26"/>
        <v>949.85696577646445</v>
      </c>
      <c r="H374" s="5">
        <f>I374/('Assumptions and Catalog'!$C$11*'Assumptions and Catalog'!$C$12)</f>
        <v>0</v>
      </c>
      <c r="I374" s="5">
        <f>0</f>
        <v>0</v>
      </c>
      <c r="J374" s="5">
        <f t="shared" si="27"/>
        <v>0</v>
      </c>
      <c r="K374" s="5">
        <f t="shared" si="28"/>
        <v>0</v>
      </c>
      <c r="L374" s="5">
        <f t="shared" si="29"/>
        <v>1551.8430342235358</v>
      </c>
      <c r="M374" s="5">
        <f>IF(ISNUMBER(Inputs!$L$5),(IF(Inputs!$L$9="Actual flat rate",((D374+E374)*C374)*Inputs!$L$10,IF(Inputs!$C$9="Residential",IF(((D374+E374)*C374)&lt;='Assumptions and Catalog'!$C$50,((D374+E374)*C374)*'Assumptions and Catalog'!$H$50+'Assumptions and Catalog'!$E$50+'Assumptions and Catalog'!$F$50,IF(((D374+E374)*C374)&lt;='Assumptions and Catalog'!$C$51,((D374+E374)*C374)*'Assumptions and Catalog'!$H$51+'Assumptions and Catalog'!$E$51+'Assumptions and Catalog'!$F$51,IF(((D374+E374)*C374)&lt;='Assumptions and Catalog'!$C$52,((D374+E374)*C374)*'Assumptions and Catalog'!$H$52+'Assumptions and Catalog'!$E$52+'Assumptions and Catalog'!$F$52,IF(((D374+E374)*C374)&lt;='Assumptions and Catalog'!$C$53,((D374+E374)*C374)*'Assumptions and Catalog'!$H$53+'Assumptions and Catalog'!$E$53+'Assumptions and Catalog'!$F$53,IF(((D374+E374)*C374)&lt;='Assumptions and Catalog'!$C$54,((D374+E374)*C374)*'Assumptions and Catalog'!$H$54+'Assumptions and Catalog'!$E$54+'Assumptions and Catalog'!$F$54,IF(((D374+E374)*C374)&lt;='Assumptions and Catalog'!$C$55,((D374+E374)*C374)*'Assumptions and Catalog'!$H$55+'Assumptions and Catalog'!$E$55+'Assumptions and Catalog'!$F$55,IF(((D374+E374)*C374)&lt;='Assumptions and Catalog'!$C$56,((D374+E374)*C374)*'Assumptions and Catalog'!$H$56+'Assumptions and Catalog'!$E$56+'Assumptions and Catalog'!$F$56,IF(((D374+E374)*C374)&lt;='Assumptions and Catalog'!$C$57,((D374+E374)*C374)*'Assumptions and Catalog'!$H$57+'Assumptions and Catalog'!$E$57+'Assumptions and Catalog'!$F$57,"Out of range")))))))),IF(((D374+E374)*C374)&lt;='Assumptions and Catalog'!$C$60,((D374+E374)*C374)*'Assumptions and Catalog'!$H$60+'Assumptions and Catalog'!$E$60+'Assumptions and Catalog'!$F$60,IF(((D374+E374)*C374)&lt;='Assumptions and Catalog'!$C$61,((D374+E374)*C374)*'Assumptions and Catalog'!$H$61+'Assumptions and Catalog'!$E$61+'Assumptions and Catalog'!$F$61,IF(((D374+E374)*C374)&lt;='Assumptions and Catalog'!$C$62,((D374+E374)*C374)*'Assumptions and Catalog'!$H$62+'Assumptions and Catalog'!$E$62+'Assumptions and Catalog'!$F$62,IF(((D374+E374)*C374)&lt;='Assumptions and Catalog'!$C$63,((D374+E374)*C374)*'Assumptions and Catalog'!$H$63+'Assumptions and Catalog'!$E$63+'Assumptions and Catalog'!$F$63,IF(((D374+E374)*C374)&lt;='Assumptions and Catalog'!$C$64,((D374+E374)*C374)*'Assumptions and Catalog'!$H$64+'Assumptions and Catalog'!$E$64+'Assumptions and Catalog'!$F$64,IF(((D374+E374)*C374)&lt;='Assumptions and Catalog'!$C$65,((D374+E374)*C374)*'Assumptions and Catalog'!$H$65+'Assumptions and Catalog'!$E$65+'Assumptions and Catalog'!$F$65,"Out of range")))))))))*(1+'Assumptions and Catalog'!$C$8)^(A374-1),0)</f>
        <v>8554.9666666666672</v>
      </c>
      <c r="N374" s="5">
        <f>IF(ISNUMBER(Inputs!$L$5),(IF(Inputs!$L$9="Actual flat rate",L374*Inputs!$L$10,IF(Inputs!$C$9="Residential",IF(L374&lt;='Assumptions and Catalog'!$C$50,L374*'Assumptions and Catalog'!$H$50+'Assumptions and Catalog'!$E$50+'Assumptions and Catalog'!$F$50,IF(L374&lt;='Assumptions and Catalog'!$C$51,L374*'Assumptions and Catalog'!$H$51+'Assumptions and Catalog'!$E$51+'Assumptions and Catalog'!$F$51,IF(L374&lt;='Assumptions and Catalog'!$C$52,L374*'Assumptions and Catalog'!$H$52+'Assumptions and Catalog'!$E$52+'Assumptions and Catalog'!$F$52,IF(L374&lt;='Assumptions and Catalog'!$C$53,L374*'Assumptions and Catalog'!$H$53+'Assumptions and Catalog'!$E$53+'Assumptions and Catalog'!$F$53,IF(L374&lt;='Assumptions and Catalog'!$C$54,L374*'Assumptions and Catalog'!$H$54+'Assumptions and Catalog'!$E$54+'Assumptions and Catalog'!$F$54,IF(L374&lt;='Assumptions and Catalog'!$C$55,L374*'Assumptions and Catalog'!$H$55+'Assumptions and Catalog'!$E$55+'Assumptions and Catalog'!$F$55,IF(L374&lt;='Assumptions and Catalog'!$C$56,L374*'Assumptions and Catalog'!$H$56+'Assumptions and Catalog'!$E$56+'Assumptions and Catalog'!$F$56,IF(L374&lt;='Assumptions and Catalog'!$C$57,L374*'Assumptions and Catalog'!$H$57+'Assumptions and Catalog'!$E$57+'Assumptions and Catalog'!$F$57,"Out of range")))))))),IF(L374&lt;='Assumptions and Catalog'!$C$60,L374*'Assumptions and Catalog'!$H$60+'Assumptions and Catalog'!$E$60+'Assumptions and Catalog'!$F$60,IF(L374&lt;='Assumptions and Catalog'!$C$61,L374*'Assumptions and Catalog'!$H$61+'Assumptions and Catalog'!$E$61+'Assumptions and Catalog'!$F$61,IF(L374&lt;='Assumptions and Catalog'!$C$62,L374*'Assumptions and Catalog'!$H$62+'Assumptions and Catalog'!$E$62+'Assumptions and Catalog'!$F$62,IF(L374&lt;='Assumptions and Catalog'!$C$63,L374*'Assumptions and Catalog'!$H$63+'Assumptions and Catalog'!$E$63+'Assumptions and Catalog'!$F$63,IF(L374&lt;='Assumptions and Catalog'!$C$64,L374*'Assumptions and Catalog'!$H$64+'Assumptions and Catalog'!$E$64+'Assumptions and Catalog'!$F$64,IF(L374&lt;='Assumptions and Catalog'!$C$65,L374*'Assumptions and Catalog'!$H$65+'Assumptions and Catalog'!$E$65+'Assumptions and Catalog'!$F$65,"Out of range")))))))))*(1+'Assumptions and Catalog'!$C$8)^(A374-1),0)</f>
        <v>5306.7775631295553</v>
      </c>
      <c r="O374" s="5">
        <f t="shared" si="30"/>
        <v>3248.1891035371118</v>
      </c>
      <c r="P374" s="5">
        <f>C$55*(1-J$14)*(1-'Assumptions and Catalog'!$C$23)^R374</f>
        <v>0</v>
      </c>
      <c r="Q374" s="5">
        <f>IF(ISNUMBER(Inputs!$L$5),(IF(Inputs!$L$9="Actual flat rate",((D374+E374)*C374-G374)*Inputs!$L$10,IF(Inputs!$C$9="Residential",IF(((D374+E374)*C374-G374)&lt;='Assumptions and Catalog'!$C$50,((D374+E374)*C374-G374)*'Assumptions and Catalog'!$H$50+'Assumptions and Catalog'!$E$50+'Assumptions and Catalog'!$F$50,IF(((D374+E374)*C374-G374)&lt;='Assumptions and Catalog'!$C$51,((D374+E374)*C374-G374)*'Assumptions and Catalog'!$H$51+'Assumptions and Catalog'!$E$51+'Assumptions and Catalog'!$F$51,IF(((D374+E374)*C374-G374)&lt;='Assumptions and Catalog'!$C$52,((D374+E374)*C374-G374)*'Assumptions and Catalog'!$H$52+'Assumptions and Catalog'!$E$52+'Assumptions and Catalog'!$F$52,IF(((D374+E374)*C374-G374)&lt;='Assumptions and Catalog'!$C$53,((D374+E374)*C374-G374)*'Assumptions and Catalog'!$H$53+'Assumptions and Catalog'!$E$53+'Assumptions and Catalog'!$F$53,IF(((D374+E374)*C374-G374)&lt;='Assumptions and Catalog'!$C$54,((D374+E374)*C374-G374)*'Assumptions and Catalog'!$H$54+'Assumptions and Catalog'!$E$54+'Assumptions and Catalog'!$F$54,IF(((D374+E374)*C374-G374)&lt;='Assumptions and Catalog'!$C$55,((D374+E374)*C374-G374)*'Assumptions and Catalog'!$H$55+'Assumptions and Catalog'!$E$55+'Assumptions and Catalog'!$F$55,IF(((D374+E374)*C374-G374)&lt;='Assumptions and Catalog'!$C$56,((D374+E374)*C374-G374)*'Assumptions and Catalog'!$H$56+'Assumptions and Catalog'!$E$56+'Assumptions and Catalog'!$F$56,IF(((D374+E374)*C374-G374)&lt;='Assumptions and Catalog'!$C$57,((D374+E374)*C374-G374)*'Assumptions and Catalog'!$H$57+'Assumptions and Catalog'!$E$57+'Assumptions and Catalog'!$F$57,"Out of range")))))))),IF(((D374+E374)*C374-G374)&lt;='Assumptions and Catalog'!$C$60,((D374+E374)*C374-G374)*'Assumptions and Catalog'!$H$60+'Assumptions and Catalog'!$E$60+'Assumptions and Catalog'!$F$60,IF(((D374+E374)*C374-G374)&lt;='Assumptions and Catalog'!$C$61,((D374+E374)*C374-G374)*'Assumptions and Catalog'!$H$61+'Assumptions and Catalog'!$E$61+'Assumptions and Catalog'!$F$61,IF(((D374+E374)*C374-G374)&lt;='Assumptions and Catalog'!$C$62,((D374+E374)*C374-G374)*'Assumptions and Catalog'!$H$62+'Assumptions and Catalog'!$E$62+'Assumptions and Catalog'!$F$62,IF(((D374+E374)*C374-G374)&lt;='Assumptions and Catalog'!$C$63,((D374+E374)*C374-G374)*'Assumptions and Catalog'!$H$63+'Assumptions and Catalog'!$E$63+'Assumptions and Catalog'!$F$63,IF(((D374+E374)*C374-G374)&lt;='Assumptions and Catalog'!$C$64,((D374+E374)*C374-G374)*'Assumptions and Catalog'!$H$64+'Assumptions and Catalog'!$E$64+'Assumptions and Catalog'!$F$64,IF(((D374+E374)*C374-G374)&lt;='Assumptions and Catalog'!$C$65,((D374+E374)*C374-G374)*'Assumptions and Catalog'!$H$65+'Assumptions and Catalog'!$E$65+'Assumptions and Catalog'!$F$65,"Out of range")))))))))*(1+'Assumptions and Catalog'!$C$8)^(A374-1),0)</f>
        <v>5306.7775631295553</v>
      </c>
      <c r="R374" s="5">
        <f>IF(AND('Assumptions and Catalog'!$C$19&gt;0,A374&gt;='Assumptions and Catalog'!$C$19),A374-'Assumptions and Catalog'!$C$19,A374-1)</f>
        <v>7</v>
      </c>
      <c r="S374" s="5">
        <f t="shared" si="31"/>
        <v>0</v>
      </c>
      <c r="T374" s="5"/>
      <c r="U374" s="5"/>
    </row>
    <row r="375" spans="1:21" ht="23.1" customHeight="1" outlineLevel="1" x14ac:dyDescent="0.2">
      <c r="A375" s="5">
        <v>18</v>
      </c>
      <c r="B375" s="5">
        <v>11</v>
      </c>
      <c r="C375" s="5">
        <f>DAY(DATE('Assumptions and Catalog'!$C$24+A375-1,B375+1,0))</f>
        <v>30</v>
      </c>
      <c r="D375" s="5">
        <f>IF(ISNUMBER(Inputs!$L$5),Inputs!$L$5*Inputs!$L$6,0)</f>
        <v>40.35</v>
      </c>
      <c r="E375" s="5">
        <f>IF(ISNUMBER(Inputs!$L$5),Inputs!$L$5-D375,0)</f>
        <v>40.35</v>
      </c>
      <c r="F375" s="5">
        <f>C$51*'Assumptions and Catalog'!$C$31*C375*(1-'Assumptions and Catalog'!$C$10)^(A375-1)</f>
        <v>919.21641849335265</v>
      </c>
      <c r="G375" s="5">
        <f t="shared" si="26"/>
        <v>919.21641849335265</v>
      </c>
      <c r="H375" s="5">
        <f>I375/('Assumptions and Catalog'!$C$11*'Assumptions and Catalog'!$C$12)</f>
        <v>0</v>
      </c>
      <c r="I375" s="5">
        <f>0</f>
        <v>0</v>
      </c>
      <c r="J375" s="5">
        <f t="shared" si="27"/>
        <v>0</v>
      </c>
      <c r="K375" s="5">
        <f t="shared" si="28"/>
        <v>0</v>
      </c>
      <c r="L375" s="5">
        <f t="shared" si="29"/>
        <v>1501.7835815066474</v>
      </c>
      <c r="M375" s="5">
        <f>IF(ISNUMBER(Inputs!$L$5),(IF(Inputs!$L$9="Actual flat rate",((D375+E375)*C375)*Inputs!$L$10,IF(Inputs!$C$9="Residential",IF(((D375+E375)*C375)&lt;='Assumptions and Catalog'!$C$50,((D375+E375)*C375)*'Assumptions and Catalog'!$H$50+'Assumptions and Catalog'!$E$50+'Assumptions and Catalog'!$F$50,IF(((D375+E375)*C375)&lt;='Assumptions and Catalog'!$C$51,((D375+E375)*C375)*'Assumptions and Catalog'!$H$51+'Assumptions and Catalog'!$E$51+'Assumptions and Catalog'!$F$51,IF(((D375+E375)*C375)&lt;='Assumptions and Catalog'!$C$52,((D375+E375)*C375)*'Assumptions and Catalog'!$H$52+'Assumptions and Catalog'!$E$52+'Assumptions and Catalog'!$F$52,IF(((D375+E375)*C375)&lt;='Assumptions and Catalog'!$C$53,((D375+E375)*C375)*'Assumptions and Catalog'!$H$53+'Assumptions and Catalog'!$E$53+'Assumptions and Catalog'!$F$53,IF(((D375+E375)*C375)&lt;='Assumptions and Catalog'!$C$54,((D375+E375)*C375)*'Assumptions and Catalog'!$H$54+'Assumptions and Catalog'!$E$54+'Assumptions and Catalog'!$F$54,IF(((D375+E375)*C375)&lt;='Assumptions and Catalog'!$C$55,((D375+E375)*C375)*'Assumptions and Catalog'!$H$55+'Assumptions and Catalog'!$E$55+'Assumptions and Catalog'!$F$55,IF(((D375+E375)*C375)&lt;='Assumptions and Catalog'!$C$56,((D375+E375)*C375)*'Assumptions and Catalog'!$H$56+'Assumptions and Catalog'!$E$56+'Assumptions and Catalog'!$F$56,IF(((D375+E375)*C375)&lt;='Assumptions and Catalog'!$C$57,((D375+E375)*C375)*'Assumptions and Catalog'!$H$57+'Assumptions and Catalog'!$E$57+'Assumptions and Catalog'!$F$57,"Out of range")))))))),IF(((D375+E375)*C375)&lt;='Assumptions and Catalog'!$C$60,((D375+E375)*C375)*'Assumptions and Catalog'!$H$60+'Assumptions and Catalog'!$E$60+'Assumptions and Catalog'!$F$60,IF(((D375+E375)*C375)&lt;='Assumptions and Catalog'!$C$61,((D375+E375)*C375)*'Assumptions and Catalog'!$H$61+'Assumptions and Catalog'!$E$61+'Assumptions and Catalog'!$F$61,IF(((D375+E375)*C375)&lt;='Assumptions and Catalog'!$C$62,((D375+E375)*C375)*'Assumptions and Catalog'!$H$62+'Assumptions and Catalog'!$E$62+'Assumptions and Catalog'!$F$62,IF(((D375+E375)*C375)&lt;='Assumptions and Catalog'!$C$63,((D375+E375)*C375)*'Assumptions and Catalog'!$H$63+'Assumptions and Catalog'!$E$63+'Assumptions and Catalog'!$F$63,IF(((D375+E375)*C375)&lt;='Assumptions and Catalog'!$C$64,((D375+E375)*C375)*'Assumptions and Catalog'!$H$64+'Assumptions and Catalog'!$E$64+'Assumptions and Catalog'!$F$64,IF(((D375+E375)*C375)&lt;='Assumptions and Catalog'!$C$65,((D375+E375)*C375)*'Assumptions and Catalog'!$H$65+'Assumptions and Catalog'!$E$65+'Assumptions and Catalog'!$F$65,"Out of range")))))))))*(1+'Assumptions and Catalog'!$C$8)^(A375-1),0)</f>
        <v>8279</v>
      </c>
      <c r="N375" s="5">
        <f>IF(ISNUMBER(Inputs!$L$5),(IF(Inputs!$L$9="Actual flat rate",L375*Inputs!$L$10,IF(Inputs!$C$9="Residential",IF(L375&lt;='Assumptions and Catalog'!$C$50,L375*'Assumptions and Catalog'!$H$50+'Assumptions and Catalog'!$E$50+'Assumptions and Catalog'!$F$50,IF(L375&lt;='Assumptions and Catalog'!$C$51,L375*'Assumptions and Catalog'!$H$51+'Assumptions and Catalog'!$E$51+'Assumptions and Catalog'!$F$51,IF(L375&lt;='Assumptions and Catalog'!$C$52,L375*'Assumptions and Catalog'!$H$52+'Assumptions and Catalog'!$E$52+'Assumptions and Catalog'!$F$52,IF(L375&lt;='Assumptions and Catalog'!$C$53,L375*'Assumptions and Catalog'!$H$53+'Assumptions and Catalog'!$E$53+'Assumptions and Catalog'!$F$53,IF(L375&lt;='Assumptions and Catalog'!$C$54,L375*'Assumptions and Catalog'!$H$54+'Assumptions and Catalog'!$E$54+'Assumptions and Catalog'!$F$54,IF(L375&lt;='Assumptions and Catalog'!$C$55,L375*'Assumptions and Catalog'!$H$55+'Assumptions and Catalog'!$E$55+'Assumptions and Catalog'!$F$55,IF(L375&lt;='Assumptions and Catalog'!$C$56,L375*'Assumptions and Catalog'!$H$56+'Assumptions and Catalog'!$E$56+'Assumptions and Catalog'!$F$56,IF(L375&lt;='Assumptions and Catalog'!$C$57,L375*'Assumptions and Catalog'!$H$57+'Assumptions and Catalog'!$E$57+'Assumptions and Catalog'!$F$57,"Out of range")))))))),IF(L375&lt;='Assumptions and Catalog'!$C$60,L375*'Assumptions and Catalog'!$H$60+'Assumptions and Catalog'!$E$60+'Assumptions and Catalog'!$F$60,IF(L375&lt;='Assumptions and Catalog'!$C$61,L375*'Assumptions and Catalog'!$H$61+'Assumptions and Catalog'!$E$61+'Assumptions and Catalog'!$F$61,IF(L375&lt;='Assumptions and Catalog'!$C$62,L375*'Assumptions and Catalog'!$H$62+'Assumptions and Catalog'!$E$62+'Assumptions and Catalog'!$F$62,IF(L375&lt;='Assumptions and Catalog'!$C$63,L375*'Assumptions and Catalog'!$H$63+'Assumptions and Catalog'!$E$63+'Assumptions and Catalog'!$F$63,IF(L375&lt;='Assumptions and Catalog'!$C$64,L375*'Assumptions and Catalog'!$H$64+'Assumptions and Catalog'!$E$64+'Assumptions and Catalog'!$F$64,IF(L375&lt;='Assumptions and Catalog'!$C$65,L375*'Assumptions and Catalog'!$H$65+'Assumptions and Catalog'!$E$65+'Assumptions and Catalog'!$F$65,"Out of range")))))))))*(1+'Assumptions and Catalog'!$C$8)^(A375-1),0)</f>
        <v>5135.5911901253749</v>
      </c>
      <c r="O375" s="5">
        <f t="shared" si="30"/>
        <v>3143.4088098746251</v>
      </c>
      <c r="P375" s="5">
        <f>C$55*(1-J$14)*(1-'Assumptions and Catalog'!$C$23)^R375</f>
        <v>0</v>
      </c>
      <c r="Q375" s="5">
        <f>IF(ISNUMBER(Inputs!$L$5),(IF(Inputs!$L$9="Actual flat rate",((D375+E375)*C375-G375)*Inputs!$L$10,IF(Inputs!$C$9="Residential",IF(((D375+E375)*C375-G375)&lt;='Assumptions and Catalog'!$C$50,((D375+E375)*C375-G375)*'Assumptions and Catalog'!$H$50+'Assumptions and Catalog'!$E$50+'Assumptions and Catalog'!$F$50,IF(((D375+E375)*C375-G375)&lt;='Assumptions and Catalog'!$C$51,((D375+E375)*C375-G375)*'Assumptions and Catalog'!$H$51+'Assumptions and Catalog'!$E$51+'Assumptions and Catalog'!$F$51,IF(((D375+E375)*C375-G375)&lt;='Assumptions and Catalog'!$C$52,((D375+E375)*C375-G375)*'Assumptions and Catalog'!$H$52+'Assumptions and Catalog'!$E$52+'Assumptions and Catalog'!$F$52,IF(((D375+E375)*C375-G375)&lt;='Assumptions and Catalog'!$C$53,((D375+E375)*C375-G375)*'Assumptions and Catalog'!$H$53+'Assumptions and Catalog'!$E$53+'Assumptions and Catalog'!$F$53,IF(((D375+E375)*C375-G375)&lt;='Assumptions and Catalog'!$C$54,((D375+E375)*C375-G375)*'Assumptions and Catalog'!$H$54+'Assumptions and Catalog'!$E$54+'Assumptions and Catalog'!$F$54,IF(((D375+E375)*C375-G375)&lt;='Assumptions and Catalog'!$C$55,((D375+E375)*C375-G375)*'Assumptions and Catalog'!$H$55+'Assumptions and Catalog'!$E$55+'Assumptions and Catalog'!$F$55,IF(((D375+E375)*C375-G375)&lt;='Assumptions and Catalog'!$C$56,((D375+E375)*C375-G375)*'Assumptions and Catalog'!$H$56+'Assumptions and Catalog'!$E$56+'Assumptions and Catalog'!$F$56,IF(((D375+E375)*C375-G375)&lt;='Assumptions and Catalog'!$C$57,((D375+E375)*C375-G375)*'Assumptions and Catalog'!$H$57+'Assumptions and Catalog'!$E$57+'Assumptions and Catalog'!$F$57,"Out of range")))))))),IF(((D375+E375)*C375-G375)&lt;='Assumptions and Catalog'!$C$60,((D375+E375)*C375-G375)*'Assumptions and Catalog'!$H$60+'Assumptions and Catalog'!$E$60+'Assumptions and Catalog'!$F$60,IF(((D375+E375)*C375-G375)&lt;='Assumptions and Catalog'!$C$61,((D375+E375)*C375-G375)*'Assumptions and Catalog'!$H$61+'Assumptions and Catalog'!$E$61+'Assumptions and Catalog'!$F$61,IF(((D375+E375)*C375-G375)&lt;='Assumptions and Catalog'!$C$62,((D375+E375)*C375-G375)*'Assumptions and Catalog'!$H$62+'Assumptions and Catalog'!$E$62+'Assumptions and Catalog'!$F$62,IF(((D375+E375)*C375-G375)&lt;='Assumptions and Catalog'!$C$63,((D375+E375)*C375-G375)*'Assumptions and Catalog'!$H$63+'Assumptions and Catalog'!$E$63+'Assumptions and Catalog'!$F$63,IF(((D375+E375)*C375-G375)&lt;='Assumptions and Catalog'!$C$64,((D375+E375)*C375-G375)*'Assumptions and Catalog'!$H$64+'Assumptions and Catalog'!$E$64+'Assumptions and Catalog'!$F$64,IF(((D375+E375)*C375-G375)&lt;='Assumptions and Catalog'!$C$65,((D375+E375)*C375-G375)*'Assumptions and Catalog'!$H$65+'Assumptions and Catalog'!$E$65+'Assumptions and Catalog'!$F$65,"Out of range")))))))))*(1+'Assumptions and Catalog'!$C$8)^(A375-1),0)</f>
        <v>5135.5911901253749</v>
      </c>
      <c r="R375" s="5">
        <f>IF(AND('Assumptions and Catalog'!$C$19&gt;0,A375&gt;='Assumptions and Catalog'!$C$19),A375-'Assumptions and Catalog'!$C$19,A375-1)</f>
        <v>7</v>
      </c>
      <c r="S375" s="5">
        <f t="shared" si="31"/>
        <v>0</v>
      </c>
      <c r="T375" s="5"/>
      <c r="U375" s="5"/>
    </row>
    <row r="376" spans="1:21" ht="23.1" customHeight="1" outlineLevel="1" x14ac:dyDescent="0.2">
      <c r="A376" s="5">
        <v>18</v>
      </c>
      <c r="B376" s="5">
        <v>12</v>
      </c>
      <c r="C376" s="5">
        <f>DAY(DATE('Assumptions and Catalog'!$C$24+A376-1,B376+1,0))</f>
        <v>31</v>
      </c>
      <c r="D376" s="5">
        <f>IF(ISNUMBER(Inputs!$L$5),Inputs!$L$5*Inputs!$L$6,0)</f>
        <v>40.35</v>
      </c>
      <c r="E376" s="5">
        <f>IF(ISNUMBER(Inputs!$L$5),Inputs!$L$5-D376,0)</f>
        <v>40.35</v>
      </c>
      <c r="F376" s="5">
        <f>C$51*'Assumptions and Catalog'!$C$31*C376*(1-'Assumptions and Catalog'!$C$10)^(A376-1)</f>
        <v>949.85696577646445</v>
      </c>
      <c r="G376" s="5">
        <f t="shared" si="26"/>
        <v>949.85696577646445</v>
      </c>
      <c r="H376" s="5">
        <f>I376/('Assumptions and Catalog'!$C$11*'Assumptions and Catalog'!$C$12)</f>
        <v>0</v>
      </c>
      <c r="I376" s="5">
        <f>0</f>
        <v>0</v>
      </c>
      <c r="J376" s="5">
        <f t="shared" si="27"/>
        <v>0</v>
      </c>
      <c r="K376" s="5">
        <f t="shared" si="28"/>
        <v>0</v>
      </c>
      <c r="L376" s="5">
        <f t="shared" si="29"/>
        <v>1551.8430342235358</v>
      </c>
      <c r="M376" s="5">
        <f>IF(ISNUMBER(Inputs!$L$5),(IF(Inputs!$L$9="Actual flat rate",((D376+E376)*C376)*Inputs!$L$10,IF(Inputs!$C$9="Residential",IF(((D376+E376)*C376)&lt;='Assumptions and Catalog'!$C$50,((D376+E376)*C376)*'Assumptions and Catalog'!$H$50+'Assumptions and Catalog'!$E$50+'Assumptions and Catalog'!$F$50,IF(((D376+E376)*C376)&lt;='Assumptions and Catalog'!$C$51,((D376+E376)*C376)*'Assumptions and Catalog'!$H$51+'Assumptions and Catalog'!$E$51+'Assumptions and Catalog'!$F$51,IF(((D376+E376)*C376)&lt;='Assumptions and Catalog'!$C$52,((D376+E376)*C376)*'Assumptions and Catalog'!$H$52+'Assumptions and Catalog'!$E$52+'Assumptions and Catalog'!$F$52,IF(((D376+E376)*C376)&lt;='Assumptions and Catalog'!$C$53,((D376+E376)*C376)*'Assumptions and Catalog'!$H$53+'Assumptions and Catalog'!$E$53+'Assumptions and Catalog'!$F$53,IF(((D376+E376)*C376)&lt;='Assumptions and Catalog'!$C$54,((D376+E376)*C376)*'Assumptions and Catalog'!$H$54+'Assumptions and Catalog'!$E$54+'Assumptions and Catalog'!$F$54,IF(((D376+E376)*C376)&lt;='Assumptions and Catalog'!$C$55,((D376+E376)*C376)*'Assumptions and Catalog'!$H$55+'Assumptions and Catalog'!$E$55+'Assumptions and Catalog'!$F$55,IF(((D376+E376)*C376)&lt;='Assumptions and Catalog'!$C$56,((D376+E376)*C376)*'Assumptions and Catalog'!$H$56+'Assumptions and Catalog'!$E$56+'Assumptions and Catalog'!$F$56,IF(((D376+E376)*C376)&lt;='Assumptions and Catalog'!$C$57,((D376+E376)*C376)*'Assumptions and Catalog'!$H$57+'Assumptions and Catalog'!$E$57+'Assumptions and Catalog'!$F$57,"Out of range")))))))),IF(((D376+E376)*C376)&lt;='Assumptions and Catalog'!$C$60,((D376+E376)*C376)*'Assumptions and Catalog'!$H$60+'Assumptions and Catalog'!$E$60+'Assumptions and Catalog'!$F$60,IF(((D376+E376)*C376)&lt;='Assumptions and Catalog'!$C$61,((D376+E376)*C376)*'Assumptions and Catalog'!$H$61+'Assumptions and Catalog'!$E$61+'Assumptions and Catalog'!$F$61,IF(((D376+E376)*C376)&lt;='Assumptions and Catalog'!$C$62,((D376+E376)*C376)*'Assumptions and Catalog'!$H$62+'Assumptions and Catalog'!$E$62+'Assumptions and Catalog'!$F$62,IF(((D376+E376)*C376)&lt;='Assumptions and Catalog'!$C$63,((D376+E376)*C376)*'Assumptions and Catalog'!$H$63+'Assumptions and Catalog'!$E$63+'Assumptions and Catalog'!$F$63,IF(((D376+E376)*C376)&lt;='Assumptions and Catalog'!$C$64,((D376+E376)*C376)*'Assumptions and Catalog'!$H$64+'Assumptions and Catalog'!$E$64+'Assumptions and Catalog'!$F$64,IF(((D376+E376)*C376)&lt;='Assumptions and Catalog'!$C$65,((D376+E376)*C376)*'Assumptions and Catalog'!$H$65+'Assumptions and Catalog'!$E$65+'Assumptions and Catalog'!$F$65,"Out of range")))))))))*(1+'Assumptions and Catalog'!$C$8)^(A376-1),0)</f>
        <v>8554.9666666666672</v>
      </c>
      <c r="N376" s="5">
        <f>IF(ISNUMBER(Inputs!$L$5),(IF(Inputs!$L$9="Actual flat rate",L376*Inputs!$L$10,IF(Inputs!$C$9="Residential",IF(L376&lt;='Assumptions and Catalog'!$C$50,L376*'Assumptions and Catalog'!$H$50+'Assumptions and Catalog'!$E$50+'Assumptions and Catalog'!$F$50,IF(L376&lt;='Assumptions and Catalog'!$C$51,L376*'Assumptions and Catalog'!$H$51+'Assumptions and Catalog'!$E$51+'Assumptions and Catalog'!$F$51,IF(L376&lt;='Assumptions and Catalog'!$C$52,L376*'Assumptions and Catalog'!$H$52+'Assumptions and Catalog'!$E$52+'Assumptions and Catalog'!$F$52,IF(L376&lt;='Assumptions and Catalog'!$C$53,L376*'Assumptions and Catalog'!$H$53+'Assumptions and Catalog'!$E$53+'Assumptions and Catalog'!$F$53,IF(L376&lt;='Assumptions and Catalog'!$C$54,L376*'Assumptions and Catalog'!$H$54+'Assumptions and Catalog'!$E$54+'Assumptions and Catalog'!$F$54,IF(L376&lt;='Assumptions and Catalog'!$C$55,L376*'Assumptions and Catalog'!$H$55+'Assumptions and Catalog'!$E$55+'Assumptions and Catalog'!$F$55,IF(L376&lt;='Assumptions and Catalog'!$C$56,L376*'Assumptions and Catalog'!$H$56+'Assumptions and Catalog'!$E$56+'Assumptions and Catalog'!$F$56,IF(L376&lt;='Assumptions and Catalog'!$C$57,L376*'Assumptions and Catalog'!$H$57+'Assumptions and Catalog'!$E$57+'Assumptions and Catalog'!$F$57,"Out of range")))))))),IF(L376&lt;='Assumptions and Catalog'!$C$60,L376*'Assumptions and Catalog'!$H$60+'Assumptions and Catalog'!$E$60+'Assumptions and Catalog'!$F$60,IF(L376&lt;='Assumptions and Catalog'!$C$61,L376*'Assumptions and Catalog'!$H$61+'Assumptions and Catalog'!$E$61+'Assumptions and Catalog'!$F$61,IF(L376&lt;='Assumptions and Catalog'!$C$62,L376*'Assumptions and Catalog'!$H$62+'Assumptions and Catalog'!$E$62+'Assumptions and Catalog'!$F$62,IF(L376&lt;='Assumptions and Catalog'!$C$63,L376*'Assumptions and Catalog'!$H$63+'Assumptions and Catalog'!$E$63+'Assumptions and Catalog'!$F$63,IF(L376&lt;='Assumptions and Catalog'!$C$64,L376*'Assumptions and Catalog'!$H$64+'Assumptions and Catalog'!$E$64+'Assumptions and Catalog'!$F$64,IF(L376&lt;='Assumptions and Catalog'!$C$65,L376*'Assumptions and Catalog'!$H$65+'Assumptions and Catalog'!$E$65+'Assumptions and Catalog'!$F$65,"Out of range")))))))))*(1+'Assumptions and Catalog'!$C$8)^(A376-1),0)</f>
        <v>5306.7775631295553</v>
      </c>
      <c r="O376" s="5">
        <f t="shared" si="30"/>
        <v>3248.1891035371118</v>
      </c>
      <c r="P376" s="5">
        <f>C$55*(1-J$14)*(1-'Assumptions and Catalog'!$C$23)^R376</f>
        <v>0</v>
      </c>
      <c r="Q376" s="5">
        <f>IF(ISNUMBER(Inputs!$L$5),(IF(Inputs!$L$9="Actual flat rate",((D376+E376)*C376-G376)*Inputs!$L$10,IF(Inputs!$C$9="Residential",IF(((D376+E376)*C376-G376)&lt;='Assumptions and Catalog'!$C$50,((D376+E376)*C376-G376)*'Assumptions and Catalog'!$H$50+'Assumptions and Catalog'!$E$50+'Assumptions and Catalog'!$F$50,IF(((D376+E376)*C376-G376)&lt;='Assumptions and Catalog'!$C$51,((D376+E376)*C376-G376)*'Assumptions and Catalog'!$H$51+'Assumptions and Catalog'!$E$51+'Assumptions and Catalog'!$F$51,IF(((D376+E376)*C376-G376)&lt;='Assumptions and Catalog'!$C$52,((D376+E376)*C376-G376)*'Assumptions and Catalog'!$H$52+'Assumptions and Catalog'!$E$52+'Assumptions and Catalog'!$F$52,IF(((D376+E376)*C376-G376)&lt;='Assumptions and Catalog'!$C$53,((D376+E376)*C376-G376)*'Assumptions and Catalog'!$H$53+'Assumptions and Catalog'!$E$53+'Assumptions and Catalog'!$F$53,IF(((D376+E376)*C376-G376)&lt;='Assumptions and Catalog'!$C$54,((D376+E376)*C376-G376)*'Assumptions and Catalog'!$H$54+'Assumptions and Catalog'!$E$54+'Assumptions and Catalog'!$F$54,IF(((D376+E376)*C376-G376)&lt;='Assumptions and Catalog'!$C$55,((D376+E376)*C376-G376)*'Assumptions and Catalog'!$H$55+'Assumptions and Catalog'!$E$55+'Assumptions and Catalog'!$F$55,IF(((D376+E376)*C376-G376)&lt;='Assumptions and Catalog'!$C$56,((D376+E376)*C376-G376)*'Assumptions and Catalog'!$H$56+'Assumptions and Catalog'!$E$56+'Assumptions and Catalog'!$F$56,IF(((D376+E376)*C376-G376)&lt;='Assumptions and Catalog'!$C$57,((D376+E376)*C376-G376)*'Assumptions and Catalog'!$H$57+'Assumptions and Catalog'!$E$57+'Assumptions and Catalog'!$F$57,"Out of range")))))))),IF(((D376+E376)*C376-G376)&lt;='Assumptions and Catalog'!$C$60,((D376+E376)*C376-G376)*'Assumptions and Catalog'!$H$60+'Assumptions and Catalog'!$E$60+'Assumptions and Catalog'!$F$60,IF(((D376+E376)*C376-G376)&lt;='Assumptions and Catalog'!$C$61,((D376+E376)*C376-G376)*'Assumptions and Catalog'!$H$61+'Assumptions and Catalog'!$E$61+'Assumptions and Catalog'!$F$61,IF(((D376+E376)*C376-G376)&lt;='Assumptions and Catalog'!$C$62,((D376+E376)*C376-G376)*'Assumptions and Catalog'!$H$62+'Assumptions and Catalog'!$E$62+'Assumptions and Catalog'!$F$62,IF(((D376+E376)*C376-G376)&lt;='Assumptions and Catalog'!$C$63,((D376+E376)*C376-G376)*'Assumptions and Catalog'!$H$63+'Assumptions and Catalog'!$E$63+'Assumptions and Catalog'!$F$63,IF(((D376+E376)*C376-G376)&lt;='Assumptions and Catalog'!$C$64,((D376+E376)*C376-G376)*'Assumptions and Catalog'!$H$64+'Assumptions and Catalog'!$E$64+'Assumptions and Catalog'!$F$64,IF(((D376+E376)*C376-G376)&lt;='Assumptions and Catalog'!$C$65,((D376+E376)*C376-G376)*'Assumptions and Catalog'!$H$65+'Assumptions and Catalog'!$E$65+'Assumptions and Catalog'!$F$65,"Out of range")))))))))*(1+'Assumptions and Catalog'!$C$8)^(A376-1),0)</f>
        <v>5306.7775631295553</v>
      </c>
      <c r="R376" s="5">
        <f>IF(AND('Assumptions and Catalog'!$C$19&gt;0,A376&gt;='Assumptions and Catalog'!$C$19),A376-'Assumptions and Catalog'!$C$19,A376-1)</f>
        <v>7</v>
      </c>
      <c r="S376" s="5">
        <f t="shared" si="31"/>
        <v>0</v>
      </c>
      <c r="T376" s="5"/>
      <c r="U376" s="5"/>
    </row>
    <row r="377" spans="1:21" ht="23.1" customHeight="1" outlineLevel="1" x14ac:dyDescent="0.2">
      <c r="A377" s="5">
        <v>19</v>
      </c>
      <c r="B377" s="5">
        <v>1</v>
      </c>
      <c r="C377" s="5">
        <f>DAY(DATE('Assumptions and Catalog'!$C$24+A377-1,B377+1,0))</f>
        <v>31</v>
      </c>
      <c r="D377" s="5">
        <f>IF(ISNUMBER(Inputs!$L$5),Inputs!$L$5*Inputs!$L$6,0)</f>
        <v>40.35</v>
      </c>
      <c r="E377" s="5">
        <f>IF(ISNUMBER(Inputs!$L$5),Inputs!$L$5-D377,0)</f>
        <v>40.35</v>
      </c>
      <c r="F377" s="5">
        <f>C$51*'Assumptions and Catalog'!$C$31*C377*(1-'Assumptions and Catalog'!$C$10)^(A377-1)</f>
        <v>945.10768094758214</v>
      </c>
      <c r="G377" s="5">
        <f t="shared" si="26"/>
        <v>945.10768094758214</v>
      </c>
      <c r="H377" s="5">
        <f>I377/('Assumptions and Catalog'!$C$11*'Assumptions and Catalog'!$C$12)</f>
        <v>0</v>
      </c>
      <c r="I377" s="5">
        <f>0</f>
        <v>0</v>
      </c>
      <c r="J377" s="5">
        <f t="shared" si="27"/>
        <v>0</v>
      </c>
      <c r="K377" s="5">
        <f t="shared" si="28"/>
        <v>0</v>
      </c>
      <c r="L377" s="5">
        <f t="shared" si="29"/>
        <v>1556.5923190524181</v>
      </c>
      <c r="M377" s="5">
        <f>IF(ISNUMBER(Inputs!$L$5),(IF(Inputs!$L$9="Actual flat rate",((D377+E377)*C377)*Inputs!$L$10,IF(Inputs!$C$9="Residential",IF(((D377+E377)*C377)&lt;='Assumptions and Catalog'!$C$50,((D377+E377)*C377)*'Assumptions and Catalog'!$H$50+'Assumptions and Catalog'!$E$50+'Assumptions and Catalog'!$F$50,IF(((D377+E377)*C377)&lt;='Assumptions and Catalog'!$C$51,((D377+E377)*C377)*'Assumptions and Catalog'!$H$51+'Assumptions and Catalog'!$E$51+'Assumptions and Catalog'!$F$51,IF(((D377+E377)*C377)&lt;='Assumptions and Catalog'!$C$52,((D377+E377)*C377)*'Assumptions and Catalog'!$H$52+'Assumptions and Catalog'!$E$52+'Assumptions and Catalog'!$F$52,IF(((D377+E377)*C377)&lt;='Assumptions and Catalog'!$C$53,((D377+E377)*C377)*'Assumptions and Catalog'!$H$53+'Assumptions and Catalog'!$E$53+'Assumptions and Catalog'!$F$53,IF(((D377+E377)*C377)&lt;='Assumptions and Catalog'!$C$54,((D377+E377)*C377)*'Assumptions and Catalog'!$H$54+'Assumptions and Catalog'!$E$54+'Assumptions and Catalog'!$F$54,IF(((D377+E377)*C377)&lt;='Assumptions and Catalog'!$C$55,((D377+E377)*C377)*'Assumptions and Catalog'!$H$55+'Assumptions and Catalog'!$E$55+'Assumptions and Catalog'!$F$55,IF(((D377+E377)*C377)&lt;='Assumptions and Catalog'!$C$56,((D377+E377)*C377)*'Assumptions and Catalog'!$H$56+'Assumptions and Catalog'!$E$56+'Assumptions and Catalog'!$F$56,IF(((D377+E377)*C377)&lt;='Assumptions and Catalog'!$C$57,((D377+E377)*C377)*'Assumptions and Catalog'!$H$57+'Assumptions and Catalog'!$E$57+'Assumptions and Catalog'!$F$57,"Out of range")))))))),IF(((D377+E377)*C377)&lt;='Assumptions and Catalog'!$C$60,((D377+E377)*C377)*'Assumptions and Catalog'!$H$60+'Assumptions and Catalog'!$E$60+'Assumptions and Catalog'!$F$60,IF(((D377+E377)*C377)&lt;='Assumptions and Catalog'!$C$61,((D377+E377)*C377)*'Assumptions and Catalog'!$H$61+'Assumptions and Catalog'!$E$61+'Assumptions and Catalog'!$F$61,IF(((D377+E377)*C377)&lt;='Assumptions and Catalog'!$C$62,((D377+E377)*C377)*'Assumptions and Catalog'!$H$62+'Assumptions and Catalog'!$E$62+'Assumptions and Catalog'!$F$62,IF(((D377+E377)*C377)&lt;='Assumptions and Catalog'!$C$63,((D377+E377)*C377)*'Assumptions and Catalog'!$H$63+'Assumptions and Catalog'!$E$63+'Assumptions and Catalog'!$F$63,IF(((D377+E377)*C377)&lt;='Assumptions and Catalog'!$C$64,((D377+E377)*C377)*'Assumptions and Catalog'!$H$64+'Assumptions and Catalog'!$E$64+'Assumptions and Catalog'!$F$64,IF(((D377+E377)*C377)&lt;='Assumptions and Catalog'!$C$65,((D377+E377)*C377)*'Assumptions and Catalog'!$H$65+'Assumptions and Catalog'!$E$65+'Assumptions and Catalog'!$F$65,"Out of range")))))))))*(1+'Assumptions and Catalog'!$C$8)^(A377-1),0)</f>
        <v>8554.9666666666672</v>
      </c>
      <c r="N377" s="5">
        <f>IF(ISNUMBER(Inputs!$L$5),(IF(Inputs!$L$9="Actual flat rate",L377*Inputs!$L$10,IF(Inputs!$C$9="Residential",IF(L377&lt;='Assumptions and Catalog'!$C$50,L377*'Assumptions and Catalog'!$H$50+'Assumptions and Catalog'!$E$50+'Assumptions and Catalog'!$F$50,IF(L377&lt;='Assumptions and Catalog'!$C$51,L377*'Assumptions and Catalog'!$H$51+'Assumptions and Catalog'!$E$51+'Assumptions and Catalog'!$F$51,IF(L377&lt;='Assumptions and Catalog'!$C$52,L377*'Assumptions and Catalog'!$H$52+'Assumptions and Catalog'!$E$52+'Assumptions and Catalog'!$F$52,IF(L377&lt;='Assumptions and Catalog'!$C$53,L377*'Assumptions and Catalog'!$H$53+'Assumptions and Catalog'!$E$53+'Assumptions and Catalog'!$F$53,IF(L377&lt;='Assumptions and Catalog'!$C$54,L377*'Assumptions and Catalog'!$H$54+'Assumptions and Catalog'!$E$54+'Assumptions and Catalog'!$F$54,IF(L377&lt;='Assumptions and Catalog'!$C$55,L377*'Assumptions and Catalog'!$H$55+'Assumptions and Catalog'!$E$55+'Assumptions and Catalog'!$F$55,IF(L377&lt;='Assumptions and Catalog'!$C$56,L377*'Assumptions and Catalog'!$H$56+'Assumptions and Catalog'!$E$56+'Assumptions and Catalog'!$F$56,IF(L377&lt;='Assumptions and Catalog'!$C$57,L377*'Assumptions and Catalog'!$H$57+'Assumptions and Catalog'!$E$57+'Assumptions and Catalog'!$F$57,"Out of range")))))))),IF(L377&lt;='Assumptions and Catalog'!$C$60,L377*'Assumptions and Catalog'!$H$60+'Assumptions and Catalog'!$E$60+'Assumptions and Catalog'!$F$60,IF(L377&lt;='Assumptions and Catalog'!$C$61,L377*'Assumptions and Catalog'!$H$61+'Assumptions and Catalog'!$E$61+'Assumptions and Catalog'!$F$61,IF(L377&lt;='Assumptions and Catalog'!$C$62,L377*'Assumptions and Catalog'!$H$62+'Assumptions and Catalog'!$E$62+'Assumptions and Catalog'!$F$62,IF(L377&lt;='Assumptions and Catalog'!$C$63,L377*'Assumptions and Catalog'!$H$63+'Assumptions and Catalog'!$E$63+'Assumptions and Catalog'!$F$63,IF(L377&lt;='Assumptions and Catalog'!$C$64,L377*'Assumptions and Catalog'!$H$64+'Assumptions and Catalog'!$E$64+'Assumptions and Catalog'!$F$64,IF(L377&lt;='Assumptions and Catalog'!$C$65,L377*'Assumptions and Catalog'!$H$65+'Assumptions and Catalog'!$E$65+'Assumptions and Catalog'!$F$65,"Out of range")))))))))*(1+'Assumptions and Catalog'!$C$8)^(A377-1),0)</f>
        <v>5323.0185086472402</v>
      </c>
      <c r="O377" s="5">
        <f t="shared" si="30"/>
        <v>3231.948158019427</v>
      </c>
      <c r="P377" s="5">
        <f>C$55*(1-J$14)*(1-'Assumptions and Catalog'!$C$23)^R377</f>
        <v>0</v>
      </c>
      <c r="Q377" s="5">
        <f>IF(ISNUMBER(Inputs!$L$5),(IF(Inputs!$L$9="Actual flat rate",((D377+E377)*C377-G377)*Inputs!$L$10,IF(Inputs!$C$9="Residential",IF(((D377+E377)*C377-G377)&lt;='Assumptions and Catalog'!$C$50,((D377+E377)*C377-G377)*'Assumptions and Catalog'!$H$50+'Assumptions and Catalog'!$E$50+'Assumptions and Catalog'!$F$50,IF(((D377+E377)*C377-G377)&lt;='Assumptions and Catalog'!$C$51,((D377+E377)*C377-G377)*'Assumptions and Catalog'!$H$51+'Assumptions and Catalog'!$E$51+'Assumptions and Catalog'!$F$51,IF(((D377+E377)*C377-G377)&lt;='Assumptions and Catalog'!$C$52,((D377+E377)*C377-G377)*'Assumptions and Catalog'!$H$52+'Assumptions and Catalog'!$E$52+'Assumptions and Catalog'!$F$52,IF(((D377+E377)*C377-G377)&lt;='Assumptions and Catalog'!$C$53,((D377+E377)*C377-G377)*'Assumptions and Catalog'!$H$53+'Assumptions and Catalog'!$E$53+'Assumptions and Catalog'!$F$53,IF(((D377+E377)*C377-G377)&lt;='Assumptions and Catalog'!$C$54,((D377+E377)*C377-G377)*'Assumptions and Catalog'!$H$54+'Assumptions and Catalog'!$E$54+'Assumptions and Catalog'!$F$54,IF(((D377+E377)*C377-G377)&lt;='Assumptions and Catalog'!$C$55,((D377+E377)*C377-G377)*'Assumptions and Catalog'!$H$55+'Assumptions and Catalog'!$E$55+'Assumptions and Catalog'!$F$55,IF(((D377+E377)*C377-G377)&lt;='Assumptions and Catalog'!$C$56,((D377+E377)*C377-G377)*'Assumptions and Catalog'!$H$56+'Assumptions and Catalog'!$E$56+'Assumptions and Catalog'!$F$56,IF(((D377+E377)*C377-G377)&lt;='Assumptions and Catalog'!$C$57,((D377+E377)*C377-G377)*'Assumptions and Catalog'!$H$57+'Assumptions and Catalog'!$E$57+'Assumptions and Catalog'!$F$57,"Out of range")))))))),IF(((D377+E377)*C377-G377)&lt;='Assumptions and Catalog'!$C$60,((D377+E377)*C377-G377)*'Assumptions and Catalog'!$H$60+'Assumptions and Catalog'!$E$60+'Assumptions and Catalog'!$F$60,IF(((D377+E377)*C377-G377)&lt;='Assumptions and Catalog'!$C$61,((D377+E377)*C377-G377)*'Assumptions and Catalog'!$H$61+'Assumptions and Catalog'!$E$61+'Assumptions and Catalog'!$F$61,IF(((D377+E377)*C377-G377)&lt;='Assumptions and Catalog'!$C$62,((D377+E377)*C377-G377)*'Assumptions and Catalog'!$H$62+'Assumptions and Catalog'!$E$62+'Assumptions and Catalog'!$F$62,IF(((D377+E377)*C377-G377)&lt;='Assumptions and Catalog'!$C$63,((D377+E377)*C377-G377)*'Assumptions and Catalog'!$H$63+'Assumptions and Catalog'!$E$63+'Assumptions and Catalog'!$F$63,IF(((D377+E377)*C377-G377)&lt;='Assumptions and Catalog'!$C$64,((D377+E377)*C377-G377)*'Assumptions and Catalog'!$H$64+'Assumptions and Catalog'!$E$64+'Assumptions and Catalog'!$F$64,IF(((D377+E377)*C377-G377)&lt;='Assumptions and Catalog'!$C$65,((D377+E377)*C377-G377)*'Assumptions and Catalog'!$H$65+'Assumptions and Catalog'!$E$65+'Assumptions and Catalog'!$F$65,"Out of range")))))))))*(1+'Assumptions and Catalog'!$C$8)^(A377-1),0)</f>
        <v>5323.0185086472402</v>
      </c>
      <c r="R377" s="5">
        <f>IF(AND('Assumptions and Catalog'!$C$19&gt;0,A377&gt;='Assumptions and Catalog'!$C$19),A377-'Assumptions and Catalog'!$C$19,A377-1)</f>
        <v>8</v>
      </c>
      <c r="S377" s="5">
        <f t="shared" si="31"/>
        <v>0</v>
      </c>
      <c r="T377" s="5"/>
      <c r="U377" s="5"/>
    </row>
    <row r="378" spans="1:21" ht="23.1" customHeight="1" outlineLevel="1" x14ac:dyDescent="0.2">
      <c r="A378" s="5">
        <v>19</v>
      </c>
      <c r="B378" s="5">
        <v>2</v>
      </c>
      <c r="C378" s="5">
        <f>DAY(DATE('Assumptions and Catalog'!$C$24+A378-1,B378+1,0))</f>
        <v>28</v>
      </c>
      <c r="D378" s="5">
        <f>IF(ISNUMBER(Inputs!$L$5),Inputs!$L$5*Inputs!$L$6,0)</f>
        <v>40.35</v>
      </c>
      <c r="E378" s="5">
        <f>IF(ISNUMBER(Inputs!$L$5),Inputs!$L$5-D378,0)</f>
        <v>40.35</v>
      </c>
      <c r="F378" s="5">
        <f>C$51*'Assumptions and Catalog'!$C$31*C378*(1-'Assumptions and Catalog'!$C$10)^(A378-1)</f>
        <v>853.6456473074935</v>
      </c>
      <c r="G378" s="5">
        <f t="shared" si="26"/>
        <v>853.6456473074935</v>
      </c>
      <c r="H378" s="5">
        <f>I378/('Assumptions and Catalog'!$C$11*'Assumptions and Catalog'!$C$12)</f>
        <v>0</v>
      </c>
      <c r="I378" s="5">
        <f>0</f>
        <v>0</v>
      </c>
      <c r="J378" s="5">
        <f t="shared" si="27"/>
        <v>0</v>
      </c>
      <c r="K378" s="5">
        <f t="shared" si="28"/>
        <v>0</v>
      </c>
      <c r="L378" s="5">
        <f t="shared" si="29"/>
        <v>1405.9543526925063</v>
      </c>
      <c r="M378" s="5">
        <f>IF(ISNUMBER(Inputs!$L$5),(IF(Inputs!$L$9="Actual flat rate",((D378+E378)*C378)*Inputs!$L$10,IF(Inputs!$C$9="Residential",IF(((D378+E378)*C378)&lt;='Assumptions and Catalog'!$C$50,((D378+E378)*C378)*'Assumptions and Catalog'!$H$50+'Assumptions and Catalog'!$E$50+'Assumptions and Catalog'!$F$50,IF(((D378+E378)*C378)&lt;='Assumptions and Catalog'!$C$51,((D378+E378)*C378)*'Assumptions and Catalog'!$H$51+'Assumptions and Catalog'!$E$51+'Assumptions and Catalog'!$F$51,IF(((D378+E378)*C378)&lt;='Assumptions and Catalog'!$C$52,((D378+E378)*C378)*'Assumptions and Catalog'!$H$52+'Assumptions and Catalog'!$E$52+'Assumptions and Catalog'!$F$52,IF(((D378+E378)*C378)&lt;='Assumptions and Catalog'!$C$53,((D378+E378)*C378)*'Assumptions and Catalog'!$H$53+'Assumptions and Catalog'!$E$53+'Assumptions and Catalog'!$F$53,IF(((D378+E378)*C378)&lt;='Assumptions and Catalog'!$C$54,((D378+E378)*C378)*'Assumptions and Catalog'!$H$54+'Assumptions and Catalog'!$E$54+'Assumptions and Catalog'!$F$54,IF(((D378+E378)*C378)&lt;='Assumptions and Catalog'!$C$55,((D378+E378)*C378)*'Assumptions and Catalog'!$H$55+'Assumptions and Catalog'!$E$55+'Assumptions and Catalog'!$F$55,IF(((D378+E378)*C378)&lt;='Assumptions and Catalog'!$C$56,((D378+E378)*C378)*'Assumptions and Catalog'!$H$56+'Assumptions and Catalog'!$E$56+'Assumptions and Catalog'!$F$56,IF(((D378+E378)*C378)&lt;='Assumptions and Catalog'!$C$57,((D378+E378)*C378)*'Assumptions and Catalog'!$H$57+'Assumptions and Catalog'!$E$57+'Assumptions and Catalog'!$F$57,"Out of range")))))))),IF(((D378+E378)*C378)&lt;='Assumptions and Catalog'!$C$60,((D378+E378)*C378)*'Assumptions and Catalog'!$H$60+'Assumptions and Catalog'!$E$60+'Assumptions and Catalog'!$F$60,IF(((D378+E378)*C378)&lt;='Assumptions and Catalog'!$C$61,((D378+E378)*C378)*'Assumptions and Catalog'!$H$61+'Assumptions and Catalog'!$E$61+'Assumptions and Catalog'!$F$61,IF(((D378+E378)*C378)&lt;='Assumptions and Catalog'!$C$62,((D378+E378)*C378)*'Assumptions and Catalog'!$H$62+'Assumptions and Catalog'!$E$62+'Assumptions and Catalog'!$F$62,IF(((D378+E378)*C378)&lt;='Assumptions and Catalog'!$C$63,((D378+E378)*C378)*'Assumptions and Catalog'!$H$63+'Assumptions and Catalog'!$E$63+'Assumptions and Catalog'!$F$63,IF(((D378+E378)*C378)&lt;='Assumptions and Catalog'!$C$64,((D378+E378)*C378)*'Assumptions and Catalog'!$H$64+'Assumptions and Catalog'!$E$64+'Assumptions and Catalog'!$F$64,IF(((D378+E378)*C378)&lt;='Assumptions and Catalog'!$C$65,((D378+E378)*C378)*'Assumptions and Catalog'!$H$65+'Assumptions and Catalog'!$E$65+'Assumptions and Catalog'!$F$65,"Out of range")))))))))*(1+'Assumptions and Catalog'!$C$8)^(A378-1),0)</f>
        <v>7727.0666666666657</v>
      </c>
      <c r="N378" s="5">
        <f>IF(ISNUMBER(Inputs!$L$5),(IF(Inputs!$L$9="Actual flat rate",L378*Inputs!$L$10,IF(Inputs!$C$9="Residential",IF(L378&lt;='Assumptions and Catalog'!$C$50,L378*'Assumptions and Catalog'!$H$50+'Assumptions and Catalog'!$E$50+'Assumptions and Catalog'!$F$50,IF(L378&lt;='Assumptions and Catalog'!$C$51,L378*'Assumptions and Catalog'!$H$51+'Assumptions and Catalog'!$E$51+'Assumptions and Catalog'!$F$51,IF(L378&lt;='Assumptions and Catalog'!$C$52,L378*'Assumptions and Catalog'!$H$52+'Assumptions and Catalog'!$E$52+'Assumptions and Catalog'!$F$52,IF(L378&lt;='Assumptions and Catalog'!$C$53,L378*'Assumptions and Catalog'!$H$53+'Assumptions and Catalog'!$E$53+'Assumptions and Catalog'!$F$53,IF(L378&lt;='Assumptions and Catalog'!$C$54,L378*'Assumptions and Catalog'!$H$54+'Assumptions and Catalog'!$E$54+'Assumptions and Catalog'!$F$54,IF(L378&lt;='Assumptions and Catalog'!$C$55,L378*'Assumptions and Catalog'!$H$55+'Assumptions and Catalog'!$E$55+'Assumptions and Catalog'!$F$55,IF(L378&lt;='Assumptions and Catalog'!$C$56,L378*'Assumptions and Catalog'!$H$56+'Assumptions and Catalog'!$E$56+'Assumptions and Catalog'!$F$56,IF(L378&lt;='Assumptions and Catalog'!$C$57,L378*'Assumptions and Catalog'!$H$57+'Assumptions and Catalog'!$E$57+'Assumptions and Catalog'!$F$57,"Out of range")))))))),IF(L378&lt;='Assumptions and Catalog'!$C$60,L378*'Assumptions and Catalog'!$H$60+'Assumptions and Catalog'!$E$60+'Assumptions and Catalog'!$F$60,IF(L378&lt;='Assumptions and Catalog'!$C$61,L378*'Assumptions and Catalog'!$H$61+'Assumptions and Catalog'!$E$61+'Assumptions and Catalog'!$F$61,IF(L378&lt;='Assumptions and Catalog'!$C$62,L378*'Assumptions and Catalog'!$H$62+'Assumptions and Catalog'!$E$62+'Assumptions and Catalog'!$F$62,IF(L378&lt;='Assumptions and Catalog'!$C$63,L378*'Assumptions and Catalog'!$H$63+'Assumptions and Catalog'!$E$63+'Assumptions and Catalog'!$F$63,IF(L378&lt;='Assumptions and Catalog'!$C$64,L378*'Assumptions and Catalog'!$H$64+'Assumptions and Catalog'!$E$64+'Assumptions and Catalog'!$F$64,IF(L378&lt;='Assumptions and Catalog'!$C$65,L378*'Assumptions and Catalog'!$H$65+'Assumptions and Catalog'!$E$65+'Assumptions and Catalog'!$F$65,"Out of range")))))))))*(1+'Assumptions and Catalog'!$C$8)^(A378-1),0)</f>
        <v>4807.8876852297644</v>
      </c>
      <c r="O378" s="5">
        <f t="shared" si="30"/>
        <v>2919.1789814369013</v>
      </c>
      <c r="P378" s="5">
        <f>C$55*(1-J$14)*(1-'Assumptions and Catalog'!$C$23)^R378</f>
        <v>0</v>
      </c>
      <c r="Q378" s="5">
        <f>IF(ISNUMBER(Inputs!$L$5),(IF(Inputs!$L$9="Actual flat rate",((D378+E378)*C378-G378)*Inputs!$L$10,IF(Inputs!$C$9="Residential",IF(((D378+E378)*C378-G378)&lt;='Assumptions and Catalog'!$C$50,((D378+E378)*C378-G378)*'Assumptions and Catalog'!$H$50+'Assumptions and Catalog'!$E$50+'Assumptions and Catalog'!$F$50,IF(((D378+E378)*C378-G378)&lt;='Assumptions and Catalog'!$C$51,((D378+E378)*C378-G378)*'Assumptions and Catalog'!$H$51+'Assumptions and Catalog'!$E$51+'Assumptions and Catalog'!$F$51,IF(((D378+E378)*C378-G378)&lt;='Assumptions and Catalog'!$C$52,((D378+E378)*C378-G378)*'Assumptions and Catalog'!$H$52+'Assumptions and Catalog'!$E$52+'Assumptions and Catalog'!$F$52,IF(((D378+E378)*C378-G378)&lt;='Assumptions and Catalog'!$C$53,((D378+E378)*C378-G378)*'Assumptions and Catalog'!$H$53+'Assumptions and Catalog'!$E$53+'Assumptions and Catalog'!$F$53,IF(((D378+E378)*C378-G378)&lt;='Assumptions and Catalog'!$C$54,((D378+E378)*C378-G378)*'Assumptions and Catalog'!$H$54+'Assumptions and Catalog'!$E$54+'Assumptions and Catalog'!$F$54,IF(((D378+E378)*C378-G378)&lt;='Assumptions and Catalog'!$C$55,((D378+E378)*C378-G378)*'Assumptions and Catalog'!$H$55+'Assumptions and Catalog'!$E$55+'Assumptions and Catalog'!$F$55,IF(((D378+E378)*C378-G378)&lt;='Assumptions and Catalog'!$C$56,((D378+E378)*C378-G378)*'Assumptions and Catalog'!$H$56+'Assumptions and Catalog'!$E$56+'Assumptions and Catalog'!$F$56,IF(((D378+E378)*C378-G378)&lt;='Assumptions and Catalog'!$C$57,((D378+E378)*C378-G378)*'Assumptions and Catalog'!$H$57+'Assumptions and Catalog'!$E$57+'Assumptions and Catalog'!$F$57,"Out of range")))))))),IF(((D378+E378)*C378-G378)&lt;='Assumptions and Catalog'!$C$60,((D378+E378)*C378-G378)*'Assumptions and Catalog'!$H$60+'Assumptions and Catalog'!$E$60+'Assumptions and Catalog'!$F$60,IF(((D378+E378)*C378-G378)&lt;='Assumptions and Catalog'!$C$61,((D378+E378)*C378-G378)*'Assumptions and Catalog'!$H$61+'Assumptions and Catalog'!$E$61+'Assumptions and Catalog'!$F$61,IF(((D378+E378)*C378-G378)&lt;='Assumptions and Catalog'!$C$62,((D378+E378)*C378-G378)*'Assumptions and Catalog'!$H$62+'Assumptions and Catalog'!$E$62+'Assumptions and Catalog'!$F$62,IF(((D378+E378)*C378-G378)&lt;='Assumptions and Catalog'!$C$63,((D378+E378)*C378-G378)*'Assumptions and Catalog'!$H$63+'Assumptions and Catalog'!$E$63+'Assumptions and Catalog'!$F$63,IF(((D378+E378)*C378-G378)&lt;='Assumptions and Catalog'!$C$64,((D378+E378)*C378-G378)*'Assumptions and Catalog'!$H$64+'Assumptions and Catalog'!$E$64+'Assumptions and Catalog'!$F$64,IF(((D378+E378)*C378-G378)&lt;='Assumptions and Catalog'!$C$65,((D378+E378)*C378-G378)*'Assumptions and Catalog'!$H$65+'Assumptions and Catalog'!$E$65+'Assumptions and Catalog'!$F$65,"Out of range")))))))))*(1+'Assumptions and Catalog'!$C$8)^(A378-1),0)</f>
        <v>4807.8876852297644</v>
      </c>
      <c r="R378" s="5">
        <f>IF(AND('Assumptions and Catalog'!$C$19&gt;0,A378&gt;='Assumptions and Catalog'!$C$19),A378-'Assumptions and Catalog'!$C$19,A378-1)</f>
        <v>8</v>
      </c>
      <c r="S378" s="5">
        <f t="shared" si="31"/>
        <v>0</v>
      </c>
      <c r="T378" s="5"/>
      <c r="U378" s="5"/>
    </row>
    <row r="379" spans="1:21" ht="23.1" customHeight="1" outlineLevel="1" x14ac:dyDescent="0.2">
      <c r="A379" s="5">
        <v>19</v>
      </c>
      <c r="B379" s="5">
        <v>3</v>
      </c>
      <c r="C379" s="5">
        <f>DAY(DATE('Assumptions and Catalog'!$C$24+A379-1,B379+1,0))</f>
        <v>31</v>
      </c>
      <c r="D379" s="5">
        <f>IF(ISNUMBER(Inputs!$L$5),Inputs!$L$5*Inputs!$L$6,0)</f>
        <v>40.35</v>
      </c>
      <c r="E379" s="5">
        <f>IF(ISNUMBER(Inputs!$L$5),Inputs!$L$5-D379,0)</f>
        <v>40.35</v>
      </c>
      <c r="F379" s="5">
        <f>C$51*'Assumptions and Catalog'!$C$31*C379*(1-'Assumptions and Catalog'!$C$10)^(A379-1)</f>
        <v>945.10768094758214</v>
      </c>
      <c r="G379" s="5">
        <f t="shared" si="26"/>
        <v>945.10768094758214</v>
      </c>
      <c r="H379" s="5">
        <f>I379/('Assumptions and Catalog'!$C$11*'Assumptions and Catalog'!$C$12)</f>
        <v>0</v>
      </c>
      <c r="I379" s="5">
        <f>0</f>
        <v>0</v>
      </c>
      <c r="J379" s="5">
        <f t="shared" si="27"/>
        <v>0</v>
      </c>
      <c r="K379" s="5">
        <f t="shared" si="28"/>
        <v>0</v>
      </c>
      <c r="L379" s="5">
        <f t="shared" si="29"/>
        <v>1556.5923190524181</v>
      </c>
      <c r="M379" s="5">
        <f>IF(ISNUMBER(Inputs!$L$5),(IF(Inputs!$L$9="Actual flat rate",((D379+E379)*C379)*Inputs!$L$10,IF(Inputs!$C$9="Residential",IF(((D379+E379)*C379)&lt;='Assumptions and Catalog'!$C$50,((D379+E379)*C379)*'Assumptions and Catalog'!$H$50+'Assumptions and Catalog'!$E$50+'Assumptions and Catalog'!$F$50,IF(((D379+E379)*C379)&lt;='Assumptions and Catalog'!$C$51,((D379+E379)*C379)*'Assumptions and Catalog'!$H$51+'Assumptions and Catalog'!$E$51+'Assumptions and Catalog'!$F$51,IF(((D379+E379)*C379)&lt;='Assumptions and Catalog'!$C$52,((D379+E379)*C379)*'Assumptions and Catalog'!$H$52+'Assumptions and Catalog'!$E$52+'Assumptions and Catalog'!$F$52,IF(((D379+E379)*C379)&lt;='Assumptions and Catalog'!$C$53,((D379+E379)*C379)*'Assumptions and Catalog'!$H$53+'Assumptions and Catalog'!$E$53+'Assumptions and Catalog'!$F$53,IF(((D379+E379)*C379)&lt;='Assumptions and Catalog'!$C$54,((D379+E379)*C379)*'Assumptions and Catalog'!$H$54+'Assumptions and Catalog'!$E$54+'Assumptions and Catalog'!$F$54,IF(((D379+E379)*C379)&lt;='Assumptions and Catalog'!$C$55,((D379+E379)*C379)*'Assumptions and Catalog'!$H$55+'Assumptions and Catalog'!$E$55+'Assumptions and Catalog'!$F$55,IF(((D379+E379)*C379)&lt;='Assumptions and Catalog'!$C$56,((D379+E379)*C379)*'Assumptions and Catalog'!$H$56+'Assumptions and Catalog'!$E$56+'Assumptions and Catalog'!$F$56,IF(((D379+E379)*C379)&lt;='Assumptions and Catalog'!$C$57,((D379+E379)*C379)*'Assumptions and Catalog'!$H$57+'Assumptions and Catalog'!$E$57+'Assumptions and Catalog'!$F$57,"Out of range")))))))),IF(((D379+E379)*C379)&lt;='Assumptions and Catalog'!$C$60,((D379+E379)*C379)*'Assumptions and Catalog'!$H$60+'Assumptions and Catalog'!$E$60+'Assumptions and Catalog'!$F$60,IF(((D379+E379)*C379)&lt;='Assumptions and Catalog'!$C$61,((D379+E379)*C379)*'Assumptions and Catalog'!$H$61+'Assumptions and Catalog'!$E$61+'Assumptions and Catalog'!$F$61,IF(((D379+E379)*C379)&lt;='Assumptions and Catalog'!$C$62,((D379+E379)*C379)*'Assumptions and Catalog'!$H$62+'Assumptions and Catalog'!$E$62+'Assumptions and Catalog'!$F$62,IF(((D379+E379)*C379)&lt;='Assumptions and Catalog'!$C$63,((D379+E379)*C379)*'Assumptions and Catalog'!$H$63+'Assumptions and Catalog'!$E$63+'Assumptions and Catalog'!$F$63,IF(((D379+E379)*C379)&lt;='Assumptions and Catalog'!$C$64,((D379+E379)*C379)*'Assumptions and Catalog'!$H$64+'Assumptions and Catalog'!$E$64+'Assumptions and Catalog'!$F$64,IF(((D379+E379)*C379)&lt;='Assumptions and Catalog'!$C$65,((D379+E379)*C379)*'Assumptions and Catalog'!$H$65+'Assumptions and Catalog'!$E$65+'Assumptions and Catalog'!$F$65,"Out of range")))))))))*(1+'Assumptions and Catalog'!$C$8)^(A379-1),0)</f>
        <v>8554.9666666666672</v>
      </c>
      <c r="N379" s="5">
        <f>IF(ISNUMBER(Inputs!$L$5),(IF(Inputs!$L$9="Actual flat rate",L379*Inputs!$L$10,IF(Inputs!$C$9="Residential",IF(L379&lt;='Assumptions and Catalog'!$C$50,L379*'Assumptions and Catalog'!$H$50+'Assumptions and Catalog'!$E$50+'Assumptions and Catalog'!$F$50,IF(L379&lt;='Assumptions and Catalog'!$C$51,L379*'Assumptions and Catalog'!$H$51+'Assumptions and Catalog'!$E$51+'Assumptions and Catalog'!$F$51,IF(L379&lt;='Assumptions and Catalog'!$C$52,L379*'Assumptions and Catalog'!$H$52+'Assumptions and Catalog'!$E$52+'Assumptions and Catalog'!$F$52,IF(L379&lt;='Assumptions and Catalog'!$C$53,L379*'Assumptions and Catalog'!$H$53+'Assumptions and Catalog'!$E$53+'Assumptions and Catalog'!$F$53,IF(L379&lt;='Assumptions and Catalog'!$C$54,L379*'Assumptions and Catalog'!$H$54+'Assumptions and Catalog'!$E$54+'Assumptions and Catalog'!$F$54,IF(L379&lt;='Assumptions and Catalog'!$C$55,L379*'Assumptions and Catalog'!$H$55+'Assumptions and Catalog'!$E$55+'Assumptions and Catalog'!$F$55,IF(L379&lt;='Assumptions and Catalog'!$C$56,L379*'Assumptions and Catalog'!$H$56+'Assumptions and Catalog'!$E$56+'Assumptions and Catalog'!$F$56,IF(L379&lt;='Assumptions and Catalog'!$C$57,L379*'Assumptions and Catalog'!$H$57+'Assumptions and Catalog'!$E$57+'Assumptions and Catalog'!$F$57,"Out of range")))))))),IF(L379&lt;='Assumptions and Catalog'!$C$60,L379*'Assumptions and Catalog'!$H$60+'Assumptions and Catalog'!$E$60+'Assumptions and Catalog'!$F$60,IF(L379&lt;='Assumptions and Catalog'!$C$61,L379*'Assumptions and Catalog'!$H$61+'Assumptions and Catalog'!$E$61+'Assumptions and Catalog'!$F$61,IF(L379&lt;='Assumptions and Catalog'!$C$62,L379*'Assumptions and Catalog'!$H$62+'Assumptions and Catalog'!$E$62+'Assumptions and Catalog'!$F$62,IF(L379&lt;='Assumptions and Catalog'!$C$63,L379*'Assumptions and Catalog'!$H$63+'Assumptions and Catalog'!$E$63+'Assumptions and Catalog'!$F$63,IF(L379&lt;='Assumptions and Catalog'!$C$64,L379*'Assumptions and Catalog'!$H$64+'Assumptions and Catalog'!$E$64+'Assumptions and Catalog'!$F$64,IF(L379&lt;='Assumptions and Catalog'!$C$65,L379*'Assumptions and Catalog'!$H$65+'Assumptions and Catalog'!$E$65+'Assumptions and Catalog'!$F$65,"Out of range")))))))))*(1+'Assumptions and Catalog'!$C$8)^(A379-1),0)</f>
        <v>5323.0185086472402</v>
      </c>
      <c r="O379" s="5">
        <f t="shared" si="30"/>
        <v>3231.948158019427</v>
      </c>
      <c r="P379" s="5">
        <f>C$55*(1-J$14)*(1-'Assumptions and Catalog'!$C$23)^R379</f>
        <v>0</v>
      </c>
      <c r="Q379" s="5">
        <f>IF(ISNUMBER(Inputs!$L$5),(IF(Inputs!$L$9="Actual flat rate",((D379+E379)*C379-G379)*Inputs!$L$10,IF(Inputs!$C$9="Residential",IF(((D379+E379)*C379-G379)&lt;='Assumptions and Catalog'!$C$50,((D379+E379)*C379-G379)*'Assumptions and Catalog'!$H$50+'Assumptions and Catalog'!$E$50+'Assumptions and Catalog'!$F$50,IF(((D379+E379)*C379-G379)&lt;='Assumptions and Catalog'!$C$51,((D379+E379)*C379-G379)*'Assumptions and Catalog'!$H$51+'Assumptions and Catalog'!$E$51+'Assumptions and Catalog'!$F$51,IF(((D379+E379)*C379-G379)&lt;='Assumptions and Catalog'!$C$52,((D379+E379)*C379-G379)*'Assumptions and Catalog'!$H$52+'Assumptions and Catalog'!$E$52+'Assumptions and Catalog'!$F$52,IF(((D379+E379)*C379-G379)&lt;='Assumptions and Catalog'!$C$53,((D379+E379)*C379-G379)*'Assumptions and Catalog'!$H$53+'Assumptions and Catalog'!$E$53+'Assumptions and Catalog'!$F$53,IF(((D379+E379)*C379-G379)&lt;='Assumptions and Catalog'!$C$54,((D379+E379)*C379-G379)*'Assumptions and Catalog'!$H$54+'Assumptions and Catalog'!$E$54+'Assumptions and Catalog'!$F$54,IF(((D379+E379)*C379-G379)&lt;='Assumptions and Catalog'!$C$55,((D379+E379)*C379-G379)*'Assumptions and Catalog'!$H$55+'Assumptions and Catalog'!$E$55+'Assumptions and Catalog'!$F$55,IF(((D379+E379)*C379-G379)&lt;='Assumptions and Catalog'!$C$56,((D379+E379)*C379-G379)*'Assumptions and Catalog'!$H$56+'Assumptions and Catalog'!$E$56+'Assumptions and Catalog'!$F$56,IF(((D379+E379)*C379-G379)&lt;='Assumptions and Catalog'!$C$57,((D379+E379)*C379-G379)*'Assumptions and Catalog'!$H$57+'Assumptions and Catalog'!$E$57+'Assumptions and Catalog'!$F$57,"Out of range")))))))),IF(((D379+E379)*C379-G379)&lt;='Assumptions and Catalog'!$C$60,((D379+E379)*C379-G379)*'Assumptions and Catalog'!$H$60+'Assumptions and Catalog'!$E$60+'Assumptions and Catalog'!$F$60,IF(((D379+E379)*C379-G379)&lt;='Assumptions and Catalog'!$C$61,((D379+E379)*C379-G379)*'Assumptions and Catalog'!$H$61+'Assumptions and Catalog'!$E$61+'Assumptions and Catalog'!$F$61,IF(((D379+E379)*C379-G379)&lt;='Assumptions and Catalog'!$C$62,((D379+E379)*C379-G379)*'Assumptions and Catalog'!$H$62+'Assumptions and Catalog'!$E$62+'Assumptions and Catalog'!$F$62,IF(((D379+E379)*C379-G379)&lt;='Assumptions and Catalog'!$C$63,((D379+E379)*C379-G379)*'Assumptions and Catalog'!$H$63+'Assumptions and Catalog'!$E$63+'Assumptions and Catalog'!$F$63,IF(((D379+E379)*C379-G379)&lt;='Assumptions and Catalog'!$C$64,((D379+E379)*C379-G379)*'Assumptions and Catalog'!$H$64+'Assumptions and Catalog'!$E$64+'Assumptions and Catalog'!$F$64,IF(((D379+E379)*C379-G379)&lt;='Assumptions and Catalog'!$C$65,((D379+E379)*C379-G379)*'Assumptions and Catalog'!$H$65+'Assumptions and Catalog'!$E$65+'Assumptions and Catalog'!$F$65,"Out of range")))))))))*(1+'Assumptions and Catalog'!$C$8)^(A379-1),0)</f>
        <v>5323.0185086472402</v>
      </c>
      <c r="R379" s="5">
        <f>IF(AND('Assumptions and Catalog'!$C$19&gt;0,A379&gt;='Assumptions and Catalog'!$C$19),A379-'Assumptions and Catalog'!$C$19,A379-1)</f>
        <v>8</v>
      </c>
      <c r="S379" s="5">
        <f t="shared" si="31"/>
        <v>0</v>
      </c>
      <c r="T379" s="5"/>
      <c r="U379" s="5"/>
    </row>
    <row r="380" spans="1:21" ht="23.1" customHeight="1" outlineLevel="1" x14ac:dyDescent="0.2">
      <c r="A380" s="5">
        <v>19</v>
      </c>
      <c r="B380" s="5">
        <v>4</v>
      </c>
      <c r="C380" s="5">
        <f>DAY(DATE('Assumptions and Catalog'!$C$24+A380-1,B380+1,0))</f>
        <v>30</v>
      </c>
      <c r="D380" s="5">
        <f>IF(ISNUMBER(Inputs!$L$5),Inputs!$L$5*Inputs!$L$6,0)</f>
        <v>40.35</v>
      </c>
      <c r="E380" s="5">
        <f>IF(ISNUMBER(Inputs!$L$5),Inputs!$L$5-D380,0)</f>
        <v>40.35</v>
      </c>
      <c r="F380" s="5">
        <f>C$51*'Assumptions and Catalog'!$C$31*C380*(1-'Assumptions and Catalog'!$C$10)^(A380-1)</f>
        <v>914.620336400886</v>
      </c>
      <c r="G380" s="5">
        <f t="shared" si="26"/>
        <v>914.620336400886</v>
      </c>
      <c r="H380" s="5">
        <f>I380/('Assumptions and Catalog'!$C$11*'Assumptions and Catalog'!$C$12)</f>
        <v>0</v>
      </c>
      <c r="I380" s="5">
        <f>0</f>
        <v>0</v>
      </c>
      <c r="J380" s="5">
        <f t="shared" si="27"/>
        <v>0</v>
      </c>
      <c r="K380" s="5">
        <f t="shared" si="28"/>
        <v>0</v>
      </c>
      <c r="L380" s="5">
        <f t="shared" si="29"/>
        <v>1506.3796635991139</v>
      </c>
      <c r="M380" s="5">
        <f>IF(ISNUMBER(Inputs!$L$5),(IF(Inputs!$L$9="Actual flat rate",((D380+E380)*C380)*Inputs!$L$10,IF(Inputs!$C$9="Residential",IF(((D380+E380)*C380)&lt;='Assumptions and Catalog'!$C$50,((D380+E380)*C380)*'Assumptions and Catalog'!$H$50+'Assumptions and Catalog'!$E$50+'Assumptions and Catalog'!$F$50,IF(((D380+E380)*C380)&lt;='Assumptions and Catalog'!$C$51,((D380+E380)*C380)*'Assumptions and Catalog'!$H$51+'Assumptions and Catalog'!$E$51+'Assumptions and Catalog'!$F$51,IF(((D380+E380)*C380)&lt;='Assumptions and Catalog'!$C$52,((D380+E380)*C380)*'Assumptions and Catalog'!$H$52+'Assumptions and Catalog'!$E$52+'Assumptions and Catalog'!$F$52,IF(((D380+E380)*C380)&lt;='Assumptions and Catalog'!$C$53,((D380+E380)*C380)*'Assumptions and Catalog'!$H$53+'Assumptions and Catalog'!$E$53+'Assumptions and Catalog'!$F$53,IF(((D380+E380)*C380)&lt;='Assumptions and Catalog'!$C$54,((D380+E380)*C380)*'Assumptions and Catalog'!$H$54+'Assumptions and Catalog'!$E$54+'Assumptions and Catalog'!$F$54,IF(((D380+E380)*C380)&lt;='Assumptions and Catalog'!$C$55,((D380+E380)*C380)*'Assumptions and Catalog'!$H$55+'Assumptions and Catalog'!$E$55+'Assumptions and Catalog'!$F$55,IF(((D380+E380)*C380)&lt;='Assumptions and Catalog'!$C$56,((D380+E380)*C380)*'Assumptions and Catalog'!$H$56+'Assumptions and Catalog'!$E$56+'Assumptions and Catalog'!$F$56,IF(((D380+E380)*C380)&lt;='Assumptions and Catalog'!$C$57,((D380+E380)*C380)*'Assumptions and Catalog'!$H$57+'Assumptions and Catalog'!$E$57+'Assumptions and Catalog'!$F$57,"Out of range")))))))),IF(((D380+E380)*C380)&lt;='Assumptions and Catalog'!$C$60,((D380+E380)*C380)*'Assumptions and Catalog'!$H$60+'Assumptions and Catalog'!$E$60+'Assumptions and Catalog'!$F$60,IF(((D380+E380)*C380)&lt;='Assumptions and Catalog'!$C$61,((D380+E380)*C380)*'Assumptions and Catalog'!$H$61+'Assumptions and Catalog'!$E$61+'Assumptions and Catalog'!$F$61,IF(((D380+E380)*C380)&lt;='Assumptions and Catalog'!$C$62,((D380+E380)*C380)*'Assumptions and Catalog'!$H$62+'Assumptions and Catalog'!$E$62+'Assumptions and Catalog'!$F$62,IF(((D380+E380)*C380)&lt;='Assumptions and Catalog'!$C$63,((D380+E380)*C380)*'Assumptions and Catalog'!$H$63+'Assumptions and Catalog'!$E$63+'Assumptions and Catalog'!$F$63,IF(((D380+E380)*C380)&lt;='Assumptions and Catalog'!$C$64,((D380+E380)*C380)*'Assumptions and Catalog'!$H$64+'Assumptions and Catalog'!$E$64+'Assumptions and Catalog'!$F$64,IF(((D380+E380)*C380)&lt;='Assumptions and Catalog'!$C$65,((D380+E380)*C380)*'Assumptions and Catalog'!$H$65+'Assumptions and Catalog'!$E$65+'Assumptions and Catalog'!$F$65,"Out of range")))))))))*(1+'Assumptions and Catalog'!$C$8)^(A380-1),0)</f>
        <v>8279</v>
      </c>
      <c r="N380" s="5">
        <f>IF(ISNUMBER(Inputs!$L$5),(IF(Inputs!$L$9="Actual flat rate",L380*Inputs!$L$10,IF(Inputs!$C$9="Residential",IF(L380&lt;='Assumptions and Catalog'!$C$50,L380*'Assumptions and Catalog'!$H$50+'Assumptions and Catalog'!$E$50+'Assumptions and Catalog'!$F$50,IF(L380&lt;='Assumptions and Catalog'!$C$51,L380*'Assumptions and Catalog'!$H$51+'Assumptions and Catalog'!$E$51+'Assumptions and Catalog'!$F$51,IF(L380&lt;='Assumptions and Catalog'!$C$52,L380*'Assumptions and Catalog'!$H$52+'Assumptions and Catalog'!$E$52+'Assumptions and Catalog'!$F$52,IF(L380&lt;='Assumptions and Catalog'!$C$53,L380*'Assumptions and Catalog'!$H$53+'Assumptions and Catalog'!$E$53+'Assumptions and Catalog'!$F$53,IF(L380&lt;='Assumptions and Catalog'!$C$54,L380*'Assumptions and Catalog'!$H$54+'Assumptions and Catalog'!$E$54+'Assumptions and Catalog'!$F$54,IF(L380&lt;='Assumptions and Catalog'!$C$55,L380*'Assumptions and Catalog'!$H$55+'Assumptions and Catalog'!$E$55+'Assumptions and Catalog'!$F$55,IF(L380&lt;='Assumptions and Catalog'!$C$56,L380*'Assumptions and Catalog'!$H$56+'Assumptions and Catalog'!$E$56+'Assumptions and Catalog'!$F$56,IF(L380&lt;='Assumptions and Catalog'!$C$57,L380*'Assumptions and Catalog'!$H$57+'Assumptions and Catalog'!$E$57+'Assumptions and Catalog'!$F$57,"Out of range")))))))),IF(L380&lt;='Assumptions and Catalog'!$C$60,L380*'Assumptions and Catalog'!$H$60+'Assumptions and Catalog'!$E$60+'Assumptions and Catalog'!$F$60,IF(L380&lt;='Assumptions and Catalog'!$C$61,L380*'Assumptions and Catalog'!$H$61+'Assumptions and Catalog'!$E$61+'Assumptions and Catalog'!$F$61,IF(L380&lt;='Assumptions and Catalog'!$C$62,L380*'Assumptions and Catalog'!$H$62+'Assumptions and Catalog'!$E$62+'Assumptions and Catalog'!$F$62,IF(L380&lt;='Assumptions and Catalog'!$C$63,L380*'Assumptions and Catalog'!$H$63+'Assumptions and Catalog'!$E$63+'Assumptions and Catalog'!$F$63,IF(L380&lt;='Assumptions and Catalog'!$C$64,L380*'Assumptions and Catalog'!$H$64+'Assumptions and Catalog'!$E$64+'Assumptions and Catalog'!$F$64,IF(L380&lt;='Assumptions and Catalog'!$C$65,L380*'Assumptions and Catalog'!$H$65+'Assumptions and Catalog'!$E$65+'Assumptions and Catalog'!$F$65,"Out of range")))))))))*(1+'Assumptions and Catalog'!$C$8)^(A380-1),0)</f>
        <v>5151.3082341747477</v>
      </c>
      <c r="O380" s="5">
        <f t="shared" si="30"/>
        <v>3127.6917658252523</v>
      </c>
      <c r="P380" s="5">
        <f>C$55*(1-J$14)*(1-'Assumptions and Catalog'!$C$23)^R380</f>
        <v>0</v>
      </c>
      <c r="Q380" s="5">
        <f>IF(ISNUMBER(Inputs!$L$5),(IF(Inputs!$L$9="Actual flat rate",((D380+E380)*C380-G380)*Inputs!$L$10,IF(Inputs!$C$9="Residential",IF(((D380+E380)*C380-G380)&lt;='Assumptions and Catalog'!$C$50,((D380+E380)*C380-G380)*'Assumptions and Catalog'!$H$50+'Assumptions and Catalog'!$E$50+'Assumptions and Catalog'!$F$50,IF(((D380+E380)*C380-G380)&lt;='Assumptions and Catalog'!$C$51,((D380+E380)*C380-G380)*'Assumptions and Catalog'!$H$51+'Assumptions and Catalog'!$E$51+'Assumptions and Catalog'!$F$51,IF(((D380+E380)*C380-G380)&lt;='Assumptions and Catalog'!$C$52,((D380+E380)*C380-G380)*'Assumptions and Catalog'!$H$52+'Assumptions and Catalog'!$E$52+'Assumptions and Catalog'!$F$52,IF(((D380+E380)*C380-G380)&lt;='Assumptions and Catalog'!$C$53,((D380+E380)*C380-G380)*'Assumptions and Catalog'!$H$53+'Assumptions and Catalog'!$E$53+'Assumptions and Catalog'!$F$53,IF(((D380+E380)*C380-G380)&lt;='Assumptions and Catalog'!$C$54,((D380+E380)*C380-G380)*'Assumptions and Catalog'!$H$54+'Assumptions and Catalog'!$E$54+'Assumptions and Catalog'!$F$54,IF(((D380+E380)*C380-G380)&lt;='Assumptions and Catalog'!$C$55,((D380+E380)*C380-G380)*'Assumptions and Catalog'!$H$55+'Assumptions and Catalog'!$E$55+'Assumptions and Catalog'!$F$55,IF(((D380+E380)*C380-G380)&lt;='Assumptions and Catalog'!$C$56,((D380+E380)*C380-G380)*'Assumptions and Catalog'!$H$56+'Assumptions and Catalog'!$E$56+'Assumptions and Catalog'!$F$56,IF(((D380+E380)*C380-G380)&lt;='Assumptions and Catalog'!$C$57,((D380+E380)*C380-G380)*'Assumptions and Catalog'!$H$57+'Assumptions and Catalog'!$E$57+'Assumptions and Catalog'!$F$57,"Out of range")))))))),IF(((D380+E380)*C380-G380)&lt;='Assumptions and Catalog'!$C$60,((D380+E380)*C380-G380)*'Assumptions and Catalog'!$H$60+'Assumptions and Catalog'!$E$60+'Assumptions and Catalog'!$F$60,IF(((D380+E380)*C380-G380)&lt;='Assumptions and Catalog'!$C$61,((D380+E380)*C380-G380)*'Assumptions and Catalog'!$H$61+'Assumptions and Catalog'!$E$61+'Assumptions and Catalog'!$F$61,IF(((D380+E380)*C380-G380)&lt;='Assumptions and Catalog'!$C$62,((D380+E380)*C380-G380)*'Assumptions and Catalog'!$H$62+'Assumptions and Catalog'!$E$62+'Assumptions and Catalog'!$F$62,IF(((D380+E380)*C380-G380)&lt;='Assumptions and Catalog'!$C$63,((D380+E380)*C380-G380)*'Assumptions and Catalog'!$H$63+'Assumptions and Catalog'!$E$63+'Assumptions and Catalog'!$F$63,IF(((D380+E380)*C380-G380)&lt;='Assumptions and Catalog'!$C$64,((D380+E380)*C380-G380)*'Assumptions and Catalog'!$H$64+'Assumptions and Catalog'!$E$64+'Assumptions and Catalog'!$F$64,IF(((D380+E380)*C380-G380)&lt;='Assumptions and Catalog'!$C$65,((D380+E380)*C380-G380)*'Assumptions and Catalog'!$H$65+'Assumptions and Catalog'!$E$65+'Assumptions and Catalog'!$F$65,"Out of range")))))))))*(1+'Assumptions and Catalog'!$C$8)^(A380-1),0)</f>
        <v>5151.3082341747477</v>
      </c>
      <c r="R380" s="5">
        <f>IF(AND('Assumptions and Catalog'!$C$19&gt;0,A380&gt;='Assumptions and Catalog'!$C$19),A380-'Assumptions and Catalog'!$C$19,A380-1)</f>
        <v>8</v>
      </c>
      <c r="S380" s="5">
        <f t="shared" si="31"/>
        <v>0</v>
      </c>
      <c r="T380" s="5"/>
      <c r="U380" s="5"/>
    </row>
    <row r="381" spans="1:21" ht="23.1" customHeight="1" outlineLevel="1" x14ac:dyDescent="0.2">
      <c r="A381" s="5">
        <v>19</v>
      </c>
      <c r="B381" s="5">
        <v>5</v>
      </c>
      <c r="C381" s="5">
        <f>DAY(DATE('Assumptions and Catalog'!$C$24+A381-1,B381+1,0))</f>
        <v>31</v>
      </c>
      <c r="D381" s="5">
        <f>IF(ISNUMBER(Inputs!$L$5),Inputs!$L$5*Inputs!$L$6,0)</f>
        <v>40.35</v>
      </c>
      <c r="E381" s="5">
        <f>IF(ISNUMBER(Inputs!$L$5),Inputs!$L$5-D381,0)</f>
        <v>40.35</v>
      </c>
      <c r="F381" s="5">
        <f>C$51*'Assumptions and Catalog'!$C$31*C381*(1-'Assumptions and Catalog'!$C$10)^(A381-1)</f>
        <v>945.10768094758214</v>
      </c>
      <c r="G381" s="5">
        <f t="shared" si="26"/>
        <v>945.10768094758214</v>
      </c>
      <c r="H381" s="5">
        <f>I381/('Assumptions and Catalog'!$C$11*'Assumptions and Catalog'!$C$12)</f>
        <v>0</v>
      </c>
      <c r="I381" s="5">
        <f>0</f>
        <v>0</v>
      </c>
      <c r="J381" s="5">
        <f t="shared" si="27"/>
        <v>0</v>
      </c>
      <c r="K381" s="5">
        <f t="shared" si="28"/>
        <v>0</v>
      </c>
      <c r="L381" s="5">
        <f t="shared" si="29"/>
        <v>1556.5923190524181</v>
      </c>
      <c r="M381" s="5">
        <f>IF(ISNUMBER(Inputs!$L$5),(IF(Inputs!$L$9="Actual flat rate",((D381+E381)*C381)*Inputs!$L$10,IF(Inputs!$C$9="Residential",IF(((D381+E381)*C381)&lt;='Assumptions and Catalog'!$C$50,((D381+E381)*C381)*'Assumptions and Catalog'!$H$50+'Assumptions and Catalog'!$E$50+'Assumptions and Catalog'!$F$50,IF(((D381+E381)*C381)&lt;='Assumptions and Catalog'!$C$51,((D381+E381)*C381)*'Assumptions and Catalog'!$H$51+'Assumptions and Catalog'!$E$51+'Assumptions and Catalog'!$F$51,IF(((D381+E381)*C381)&lt;='Assumptions and Catalog'!$C$52,((D381+E381)*C381)*'Assumptions and Catalog'!$H$52+'Assumptions and Catalog'!$E$52+'Assumptions and Catalog'!$F$52,IF(((D381+E381)*C381)&lt;='Assumptions and Catalog'!$C$53,((D381+E381)*C381)*'Assumptions and Catalog'!$H$53+'Assumptions and Catalog'!$E$53+'Assumptions and Catalog'!$F$53,IF(((D381+E381)*C381)&lt;='Assumptions and Catalog'!$C$54,((D381+E381)*C381)*'Assumptions and Catalog'!$H$54+'Assumptions and Catalog'!$E$54+'Assumptions and Catalog'!$F$54,IF(((D381+E381)*C381)&lt;='Assumptions and Catalog'!$C$55,((D381+E381)*C381)*'Assumptions and Catalog'!$H$55+'Assumptions and Catalog'!$E$55+'Assumptions and Catalog'!$F$55,IF(((D381+E381)*C381)&lt;='Assumptions and Catalog'!$C$56,((D381+E381)*C381)*'Assumptions and Catalog'!$H$56+'Assumptions and Catalog'!$E$56+'Assumptions and Catalog'!$F$56,IF(((D381+E381)*C381)&lt;='Assumptions and Catalog'!$C$57,((D381+E381)*C381)*'Assumptions and Catalog'!$H$57+'Assumptions and Catalog'!$E$57+'Assumptions and Catalog'!$F$57,"Out of range")))))))),IF(((D381+E381)*C381)&lt;='Assumptions and Catalog'!$C$60,((D381+E381)*C381)*'Assumptions and Catalog'!$H$60+'Assumptions and Catalog'!$E$60+'Assumptions and Catalog'!$F$60,IF(((D381+E381)*C381)&lt;='Assumptions and Catalog'!$C$61,((D381+E381)*C381)*'Assumptions and Catalog'!$H$61+'Assumptions and Catalog'!$E$61+'Assumptions and Catalog'!$F$61,IF(((D381+E381)*C381)&lt;='Assumptions and Catalog'!$C$62,((D381+E381)*C381)*'Assumptions and Catalog'!$H$62+'Assumptions and Catalog'!$E$62+'Assumptions and Catalog'!$F$62,IF(((D381+E381)*C381)&lt;='Assumptions and Catalog'!$C$63,((D381+E381)*C381)*'Assumptions and Catalog'!$H$63+'Assumptions and Catalog'!$E$63+'Assumptions and Catalog'!$F$63,IF(((D381+E381)*C381)&lt;='Assumptions and Catalog'!$C$64,((D381+E381)*C381)*'Assumptions and Catalog'!$H$64+'Assumptions and Catalog'!$E$64+'Assumptions and Catalog'!$F$64,IF(((D381+E381)*C381)&lt;='Assumptions and Catalog'!$C$65,((D381+E381)*C381)*'Assumptions and Catalog'!$H$65+'Assumptions and Catalog'!$E$65+'Assumptions and Catalog'!$F$65,"Out of range")))))))))*(1+'Assumptions and Catalog'!$C$8)^(A381-1),0)</f>
        <v>8554.9666666666672</v>
      </c>
      <c r="N381" s="5">
        <f>IF(ISNUMBER(Inputs!$L$5),(IF(Inputs!$L$9="Actual flat rate",L381*Inputs!$L$10,IF(Inputs!$C$9="Residential",IF(L381&lt;='Assumptions and Catalog'!$C$50,L381*'Assumptions and Catalog'!$H$50+'Assumptions and Catalog'!$E$50+'Assumptions and Catalog'!$F$50,IF(L381&lt;='Assumptions and Catalog'!$C$51,L381*'Assumptions and Catalog'!$H$51+'Assumptions and Catalog'!$E$51+'Assumptions and Catalog'!$F$51,IF(L381&lt;='Assumptions and Catalog'!$C$52,L381*'Assumptions and Catalog'!$H$52+'Assumptions and Catalog'!$E$52+'Assumptions and Catalog'!$F$52,IF(L381&lt;='Assumptions and Catalog'!$C$53,L381*'Assumptions and Catalog'!$H$53+'Assumptions and Catalog'!$E$53+'Assumptions and Catalog'!$F$53,IF(L381&lt;='Assumptions and Catalog'!$C$54,L381*'Assumptions and Catalog'!$H$54+'Assumptions and Catalog'!$E$54+'Assumptions and Catalog'!$F$54,IF(L381&lt;='Assumptions and Catalog'!$C$55,L381*'Assumptions and Catalog'!$H$55+'Assumptions and Catalog'!$E$55+'Assumptions and Catalog'!$F$55,IF(L381&lt;='Assumptions and Catalog'!$C$56,L381*'Assumptions and Catalog'!$H$56+'Assumptions and Catalog'!$E$56+'Assumptions and Catalog'!$F$56,IF(L381&lt;='Assumptions and Catalog'!$C$57,L381*'Assumptions and Catalog'!$H$57+'Assumptions and Catalog'!$E$57+'Assumptions and Catalog'!$F$57,"Out of range")))))))),IF(L381&lt;='Assumptions and Catalog'!$C$60,L381*'Assumptions and Catalog'!$H$60+'Assumptions and Catalog'!$E$60+'Assumptions and Catalog'!$F$60,IF(L381&lt;='Assumptions and Catalog'!$C$61,L381*'Assumptions and Catalog'!$H$61+'Assumptions and Catalog'!$E$61+'Assumptions and Catalog'!$F$61,IF(L381&lt;='Assumptions and Catalog'!$C$62,L381*'Assumptions and Catalog'!$H$62+'Assumptions and Catalog'!$E$62+'Assumptions and Catalog'!$F$62,IF(L381&lt;='Assumptions and Catalog'!$C$63,L381*'Assumptions and Catalog'!$H$63+'Assumptions and Catalog'!$E$63+'Assumptions and Catalog'!$F$63,IF(L381&lt;='Assumptions and Catalog'!$C$64,L381*'Assumptions and Catalog'!$H$64+'Assumptions and Catalog'!$E$64+'Assumptions and Catalog'!$F$64,IF(L381&lt;='Assumptions and Catalog'!$C$65,L381*'Assumptions and Catalog'!$H$65+'Assumptions and Catalog'!$E$65+'Assumptions and Catalog'!$F$65,"Out of range")))))))))*(1+'Assumptions and Catalog'!$C$8)^(A381-1),0)</f>
        <v>5323.0185086472402</v>
      </c>
      <c r="O381" s="5">
        <f t="shared" si="30"/>
        <v>3231.948158019427</v>
      </c>
      <c r="P381" s="5">
        <f>C$55*(1-J$14)*(1-'Assumptions and Catalog'!$C$23)^R381</f>
        <v>0</v>
      </c>
      <c r="Q381" s="5">
        <f>IF(ISNUMBER(Inputs!$L$5),(IF(Inputs!$L$9="Actual flat rate",((D381+E381)*C381-G381)*Inputs!$L$10,IF(Inputs!$C$9="Residential",IF(((D381+E381)*C381-G381)&lt;='Assumptions and Catalog'!$C$50,((D381+E381)*C381-G381)*'Assumptions and Catalog'!$H$50+'Assumptions and Catalog'!$E$50+'Assumptions and Catalog'!$F$50,IF(((D381+E381)*C381-G381)&lt;='Assumptions and Catalog'!$C$51,((D381+E381)*C381-G381)*'Assumptions and Catalog'!$H$51+'Assumptions and Catalog'!$E$51+'Assumptions and Catalog'!$F$51,IF(((D381+E381)*C381-G381)&lt;='Assumptions and Catalog'!$C$52,((D381+E381)*C381-G381)*'Assumptions and Catalog'!$H$52+'Assumptions and Catalog'!$E$52+'Assumptions and Catalog'!$F$52,IF(((D381+E381)*C381-G381)&lt;='Assumptions and Catalog'!$C$53,((D381+E381)*C381-G381)*'Assumptions and Catalog'!$H$53+'Assumptions and Catalog'!$E$53+'Assumptions and Catalog'!$F$53,IF(((D381+E381)*C381-G381)&lt;='Assumptions and Catalog'!$C$54,((D381+E381)*C381-G381)*'Assumptions and Catalog'!$H$54+'Assumptions and Catalog'!$E$54+'Assumptions and Catalog'!$F$54,IF(((D381+E381)*C381-G381)&lt;='Assumptions and Catalog'!$C$55,((D381+E381)*C381-G381)*'Assumptions and Catalog'!$H$55+'Assumptions and Catalog'!$E$55+'Assumptions and Catalog'!$F$55,IF(((D381+E381)*C381-G381)&lt;='Assumptions and Catalog'!$C$56,((D381+E381)*C381-G381)*'Assumptions and Catalog'!$H$56+'Assumptions and Catalog'!$E$56+'Assumptions and Catalog'!$F$56,IF(((D381+E381)*C381-G381)&lt;='Assumptions and Catalog'!$C$57,((D381+E381)*C381-G381)*'Assumptions and Catalog'!$H$57+'Assumptions and Catalog'!$E$57+'Assumptions and Catalog'!$F$57,"Out of range")))))))),IF(((D381+E381)*C381-G381)&lt;='Assumptions and Catalog'!$C$60,((D381+E381)*C381-G381)*'Assumptions and Catalog'!$H$60+'Assumptions and Catalog'!$E$60+'Assumptions and Catalog'!$F$60,IF(((D381+E381)*C381-G381)&lt;='Assumptions and Catalog'!$C$61,((D381+E381)*C381-G381)*'Assumptions and Catalog'!$H$61+'Assumptions and Catalog'!$E$61+'Assumptions and Catalog'!$F$61,IF(((D381+E381)*C381-G381)&lt;='Assumptions and Catalog'!$C$62,((D381+E381)*C381-G381)*'Assumptions and Catalog'!$H$62+'Assumptions and Catalog'!$E$62+'Assumptions and Catalog'!$F$62,IF(((D381+E381)*C381-G381)&lt;='Assumptions and Catalog'!$C$63,((D381+E381)*C381-G381)*'Assumptions and Catalog'!$H$63+'Assumptions and Catalog'!$E$63+'Assumptions and Catalog'!$F$63,IF(((D381+E381)*C381-G381)&lt;='Assumptions and Catalog'!$C$64,((D381+E381)*C381-G381)*'Assumptions and Catalog'!$H$64+'Assumptions and Catalog'!$E$64+'Assumptions and Catalog'!$F$64,IF(((D381+E381)*C381-G381)&lt;='Assumptions and Catalog'!$C$65,((D381+E381)*C381-G381)*'Assumptions and Catalog'!$H$65+'Assumptions and Catalog'!$E$65+'Assumptions and Catalog'!$F$65,"Out of range")))))))))*(1+'Assumptions and Catalog'!$C$8)^(A381-1),0)</f>
        <v>5323.0185086472402</v>
      </c>
      <c r="R381" s="5">
        <f>IF(AND('Assumptions and Catalog'!$C$19&gt;0,A381&gt;='Assumptions and Catalog'!$C$19),A381-'Assumptions and Catalog'!$C$19,A381-1)</f>
        <v>8</v>
      </c>
      <c r="S381" s="5">
        <f t="shared" si="31"/>
        <v>0</v>
      </c>
      <c r="T381" s="5"/>
      <c r="U381" s="5"/>
    </row>
    <row r="382" spans="1:21" ht="23.1" customHeight="1" outlineLevel="1" x14ac:dyDescent="0.2">
      <c r="A382" s="5">
        <v>19</v>
      </c>
      <c r="B382" s="5">
        <v>6</v>
      </c>
      <c r="C382" s="5">
        <f>DAY(DATE('Assumptions and Catalog'!$C$24+A382-1,B382+1,0))</f>
        <v>30</v>
      </c>
      <c r="D382" s="5">
        <f>IF(ISNUMBER(Inputs!$L$5),Inputs!$L$5*Inputs!$L$6,0)</f>
        <v>40.35</v>
      </c>
      <c r="E382" s="5">
        <f>IF(ISNUMBER(Inputs!$L$5),Inputs!$L$5-D382,0)</f>
        <v>40.35</v>
      </c>
      <c r="F382" s="5">
        <f>C$51*'Assumptions and Catalog'!$C$31*C382*(1-'Assumptions and Catalog'!$C$10)^(A382-1)</f>
        <v>914.620336400886</v>
      </c>
      <c r="G382" s="5">
        <f t="shared" si="26"/>
        <v>914.620336400886</v>
      </c>
      <c r="H382" s="5">
        <f>I382/('Assumptions and Catalog'!$C$11*'Assumptions and Catalog'!$C$12)</f>
        <v>0</v>
      </c>
      <c r="I382" s="5">
        <f>0</f>
        <v>0</v>
      </c>
      <c r="J382" s="5">
        <f t="shared" si="27"/>
        <v>0</v>
      </c>
      <c r="K382" s="5">
        <f t="shared" si="28"/>
        <v>0</v>
      </c>
      <c r="L382" s="5">
        <f t="shared" si="29"/>
        <v>1506.3796635991139</v>
      </c>
      <c r="M382" s="5">
        <f>IF(ISNUMBER(Inputs!$L$5),(IF(Inputs!$L$9="Actual flat rate",((D382+E382)*C382)*Inputs!$L$10,IF(Inputs!$C$9="Residential",IF(((D382+E382)*C382)&lt;='Assumptions and Catalog'!$C$50,((D382+E382)*C382)*'Assumptions and Catalog'!$H$50+'Assumptions and Catalog'!$E$50+'Assumptions and Catalog'!$F$50,IF(((D382+E382)*C382)&lt;='Assumptions and Catalog'!$C$51,((D382+E382)*C382)*'Assumptions and Catalog'!$H$51+'Assumptions and Catalog'!$E$51+'Assumptions and Catalog'!$F$51,IF(((D382+E382)*C382)&lt;='Assumptions and Catalog'!$C$52,((D382+E382)*C382)*'Assumptions and Catalog'!$H$52+'Assumptions and Catalog'!$E$52+'Assumptions and Catalog'!$F$52,IF(((D382+E382)*C382)&lt;='Assumptions and Catalog'!$C$53,((D382+E382)*C382)*'Assumptions and Catalog'!$H$53+'Assumptions and Catalog'!$E$53+'Assumptions and Catalog'!$F$53,IF(((D382+E382)*C382)&lt;='Assumptions and Catalog'!$C$54,((D382+E382)*C382)*'Assumptions and Catalog'!$H$54+'Assumptions and Catalog'!$E$54+'Assumptions and Catalog'!$F$54,IF(((D382+E382)*C382)&lt;='Assumptions and Catalog'!$C$55,((D382+E382)*C382)*'Assumptions and Catalog'!$H$55+'Assumptions and Catalog'!$E$55+'Assumptions and Catalog'!$F$55,IF(((D382+E382)*C382)&lt;='Assumptions and Catalog'!$C$56,((D382+E382)*C382)*'Assumptions and Catalog'!$H$56+'Assumptions and Catalog'!$E$56+'Assumptions and Catalog'!$F$56,IF(((D382+E382)*C382)&lt;='Assumptions and Catalog'!$C$57,((D382+E382)*C382)*'Assumptions and Catalog'!$H$57+'Assumptions and Catalog'!$E$57+'Assumptions and Catalog'!$F$57,"Out of range")))))))),IF(((D382+E382)*C382)&lt;='Assumptions and Catalog'!$C$60,((D382+E382)*C382)*'Assumptions and Catalog'!$H$60+'Assumptions and Catalog'!$E$60+'Assumptions and Catalog'!$F$60,IF(((D382+E382)*C382)&lt;='Assumptions and Catalog'!$C$61,((D382+E382)*C382)*'Assumptions and Catalog'!$H$61+'Assumptions and Catalog'!$E$61+'Assumptions and Catalog'!$F$61,IF(((D382+E382)*C382)&lt;='Assumptions and Catalog'!$C$62,((D382+E382)*C382)*'Assumptions and Catalog'!$H$62+'Assumptions and Catalog'!$E$62+'Assumptions and Catalog'!$F$62,IF(((D382+E382)*C382)&lt;='Assumptions and Catalog'!$C$63,((D382+E382)*C382)*'Assumptions and Catalog'!$H$63+'Assumptions and Catalog'!$E$63+'Assumptions and Catalog'!$F$63,IF(((D382+E382)*C382)&lt;='Assumptions and Catalog'!$C$64,((D382+E382)*C382)*'Assumptions and Catalog'!$H$64+'Assumptions and Catalog'!$E$64+'Assumptions and Catalog'!$F$64,IF(((D382+E382)*C382)&lt;='Assumptions and Catalog'!$C$65,((D382+E382)*C382)*'Assumptions and Catalog'!$H$65+'Assumptions and Catalog'!$E$65+'Assumptions and Catalog'!$F$65,"Out of range")))))))))*(1+'Assumptions and Catalog'!$C$8)^(A382-1),0)</f>
        <v>8279</v>
      </c>
      <c r="N382" s="5">
        <f>IF(ISNUMBER(Inputs!$L$5),(IF(Inputs!$L$9="Actual flat rate",L382*Inputs!$L$10,IF(Inputs!$C$9="Residential",IF(L382&lt;='Assumptions and Catalog'!$C$50,L382*'Assumptions and Catalog'!$H$50+'Assumptions and Catalog'!$E$50+'Assumptions and Catalog'!$F$50,IF(L382&lt;='Assumptions and Catalog'!$C$51,L382*'Assumptions and Catalog'!$H$51+'Assumptions and Catalog'!$E$51+'Assumptions and Catalog'!$F$51,IF(L382&lt;='Assumptions and Catalog'!$C$52,L382*'Assumptions and Catalog'!$H$52+'Assumptions and Catalog'!$E$52+'Assumptions and Catalog'!$F$52,IF(L382&lt;='Assumptions and Catalog'!$C$53,L382*'Assumptions and Catalog'!$H$53+'Assumptions and Catalog'!$E$53+'Assumptions and Catalog'!$F$53,IF(L382&lt;='Assumptions and Catalog'!$C$54,L382*'Assumptions and Catalog'!$H$54+'Assumptions and Catalog'!$E$54+'Assumptions and Catalog'!$F$54,IF(L382&lt;='Assumptions and Catalog'!$C$55,L382*'Assumptions and Catalog'!$H$55+'Assumptions and Catalog'!$E$55+'Assumptions and Catalog'!$F$55,IF(L382&lt;='Assumptions and Catalog'!$C$56,L382*'Assumptions and Catalog'!$H$56+'Assumptions and Catalog'!$E$56+'Assumptions and Catalog'!$F$56,IF(L382&lt;='Assumptions and Catalog'!$C$57,L382*'Assumptions and Catalog'!$H$57+'Assumptions and Catalog'!$E$57+'Assumptions and Catalog'!$F$57,"Out of range")))))))),IF(L382&lt;='Assumptions and Catalog'!$C$60,L382*'Assumptions and Catalog'!$H$60+'Assumptions and Catalog'!$E$60+'Assumptions and Catalog'!$F$60,IF(L382&lt;='Assumptions and Catalog'!$C$61,L382*'Assumptions and Catalog'!$H$61+'Assumptions and Catalog'!$E$61+'Assumptions and Catalog'!$F$61,IF(L382&lt;='Assumptions and Catalog'!$C$62,L382*'Assumptions and Catalog'!$H$62+'Assumptions and Catalog'!$E$62+'Assumptions and Catalog'!$F$62,IF(L382&lt;='Assumptions and Catalog'!$C$63,L382*'Assumptions and Catalog'!$H$63+'Assumptions and Catalog'!$E$63+'Assumptions and Catalog'!$F$63,IF(L382&lt;='Assumptions and Catalog'!$C$64,L382*'Assumptions and Catalog'!$H$64+'Assumptions and Catalog'!$E$64+'Assumptions and Catalog'!$F$64,IF(L382&lt;='Assumptions and Catalog'!$C$65,L382*'Assumptions and Catalog'!$H$65+'Assumptions and Catalog'!$E$65+'Assumptions and Catalog'!$F$65,"Out of range")))))))))*(1+'Assumptions and Catalog'!$C$8)^(A382-1),0)</f>
        <v>5151.3082341747477</v>
      </c>
      <c r="O382" s="5">
        <f t="shared" si="30"/>
        <v>3127.6917658252523</v>
      </c>
      <c r="P382" s="5">
        <f>C$55*(1-J$14)*(1-'Assumptions and Catalog'!$C$23)^R382</f>
        <v>0</v>
      </c>
      <c r="Q382" s="5">
        <f>IF(ISNUMBER(Inputs!$L$5),(IF(Inputs!$L$9="Actual flat rate",((D382+E382)*C382-G382)*Inputs!$L$10,IF(Inputs!$C$9="Residential",IF(((D382+E382)*C382-G382)&lt;='Assumptions and Catalog'!$C$50,((D382+E382)*C382-G382)*'Assumptions and Catalog'!$H$50+'Assumptions and Catalog'!$E$50+'Assumptions and Catalog'!$F$50,IF(((D382+E382)*C382-G382)&lt;='Assumptions and Catalog'!$C$51,((D382+E382)*C382-G382)*'Assumptions and Catalog'!$H$51+'Assumptions and Catalog'!$E$51+'Assumptions and Catalog'!$F$51,IF(((D382+E382)*C382-G382)&lt;='Assumptions and Catalog'!$C$52,((D382+E382)*C382-G382)*'Assumptions and Catalog'!$H$52+'Assumptions and Catalog'!$E$52+'Assumptions and Catalog'!$F$52,IF(((D382+E382)*C382-G382)&lt;='Assumptions and Catalog'!$C$53,((D382+E382)*C382-G382)*'Assumptions and Catalog'!$H$53+'Assumptions and Catalog'!$E$53+'Assumptions and Catalog'!$F$53,IF(((D382+E382)*C382-G382)&lt;='Assumptions and Catalog'!$C$54,((D382+E382)*C382-G382)*'Assumptions and Catalog'!$H$54+'Assumptions and Catalog'!$E$54+'Assumptions and Catalog'!$F$54,IF(((D382+E382)*C382-G382)&lt;='Assumptions and Catalog'!$C$55,((D382+E382)*C382-G382)*'Assumptions and Catalog'!$H$55+'Assumptions and Catalog'!$E$55+'Assumptions and Catalog'!$F$55,IF(((D382+E382)*C382-G382)&lt;='Assumptions and Catalog'!$C$56,((D382+E382)*C382-G382)*'Assumptions and Catalog'!$H$56+'Assumptions and Catalog'!$E$56+'Assumptions and Catalog'!$F$56,IF(((D382+E382)*C382-G382)&lt;='Assumptions and Catalog'!$C$57,((D382+E382)*C382-G382)*'Assumptions and Catalog'!$H$57+'Assumptions and Catalog'!$E$57+'Assumptions and Catalog'!$F$57,"Out of range")))))))),IF(((D382+E382)*C382-G382)&lt;='Assumptions and Catalog'!$C$60,((D382+E382)*C382-G382)*'Assumptions and Catalog'!$H$60+'Assumptions and Catalog'!$E$60+'Assumptions and Catalog'!$F$60,IF(((D382+E382)*C382-G382)&lt;='Assumptions and Catalog'!$C$61,((D382+E382)*C382-G382)*'Assumptions and Catalog'!$H$61+'Assumptions and Catalog'!$E$61+'Assumptions and Catalog'!$F$61,IF(((D382+E382)*C382-G382)&lt;='Assumptions and Catalog'!$C$62,((D382+E382)*C382-G382)*'Assumptions and Catalog'!$H$62+'Assumptions and Catalog'!$E$62+'Assumptions and Catalog'!$F$62,IF(((D382+E382)*C382-G382)&lt;='Assumptions and Catalog'!$C$63,((D382+E382)*C382-G382)*'Assumptions and Catalog'!$H$63+'Assumptions and Catalog'!$E$63+'Assumptions and Catalog'!$F$63,IF(((D382+E382)*C382-G382)&lt;='Assumptions and Catalog'!$C$64,((D382+E382)*C382-G382)*'Assumptions and Catalog'!$H$64+'Assumptions and Catalog'!$E$64+'Assumptions and Catalog'!$F$64,IF(((D382+E382)*C382-G382)&lt;='Assumptions and Catalog'!$C$65,((D382+E382)*C382-G382)*'Assumptions and Catalog'!$H$65+'Assumptions and Catalog'!$E$65+'Assumptions and Catalog'!$F$65,"Out of range")))))))))*(1+'Assumptions and Catalog'!$C$8)^(A382-1),0)</f>
        <v>5151.3082341747477</v>
      </c>
      <c r="R382" s="5">
        <f>IF(AND('Assumptions and Catalog'!$C$19&gt;0,A382&gt;='Assumptions and Catalog'!$C$19),A382-'Assumptions and Catalog'!$C$19,A382-1)</f>
        <v>8</v>
      </c>
      <c r="S382" s="5">
        <f t="shared" si="31"/>
        <v>0</v>
      </c>
      <c r="T382" s="5"/>
      <c r="U382" s="5"/>
    </row>
    <row r="383" spans="1:21" ht="23.1" customHeight="1" outlineLevel="1" x14ac:dyDescent="0.2">
      <c r="A383" s="5">
        <v>19</v>
      </c>
      <c r="B383" s="5">
        <v>7</v>
      </c>
      <c r="C383" s="5">
        <f>DAY(DATE('Assumptions and Catalog'!$C$24+A383-1,B383+1,0))</f>
        <v>31</v>
      </c>
      <c r="D383" s="5">
        <f>IF(ISNUMBER(Inputs!$L$5),Inputs!$L$5*Inputs!$L$6,0)</f>
        <v>40.35</v>
      </c>
      <c r="E383" s="5">
        <f>IF(ISNUMBER(Inputs!$L$5),Inputs!$L$5-D383,0)</f>
        <v>40.35</v>
      </c>
      <c r="F383" s="5">
        <f>C$51*'Assumptions and Catalog'!$C$31*C383*(1-'Assumptions and Catalog'!$C$10)^(A383-1)</f>
        <v>945.10768094758214</v>
      </c>
      <c r="G383" s="5">
        <f t="shared" si="26"/>
        <v>945.10768094758214</v>
      </c>
      <c r="H383" s="5">
        <f>I383/('Assumptions and Catalog'!$C$11*'Assumptions and Catalog'!$C$12)</f>
        <v>0</v>
      </c>
      <c r="I383" s="5">
        <f>0</f>
        <v>0</v>
      </c>
      <c r="J383" s="5">
        <f t="shared" si="27"/>
        <v>0</v>
      </c>
      <c r="K383" s="5">
        <f t="shared" si="28"/>
        <v>0</v>
      </c>
      <c r="L383" s="5">
        <f t="shared" si="29"/>
        <v>1556.5923190524181</v>
      </c>
      <c r="M383" s="5">
        <f>IF(ISNUMBER(Inputs!$L$5),(IF(Inputs!$L$9="Actual flat rate",((D383+E383)*C383)*Inputs!$L$10,IF(Inputs!$C$9="Residential",IF(((D383+E383)*C383)&lt;='Assumptions and Catalog'!$C$50,((D383+E383)*C383)*'Assumptions and Catalog'!$H$50+'Assumptions and Catalog'!$E$50+'Assumptions and Catalog'!$F$50,IF(((D383+E383)*C383)&lt;='Assumptions and Catalog'!$C$51,((D383+E383)*C383)*'Assumptions and Catalog'!$H$51+'Assumptions and Catalog'!$E$51+'Assumptions and Catalog'!$F$51,IF(((D383+E383)*C383)&lt;='Assumptions and Catalog'!$C$52,((D383+E383)*C383)*'Assumptions and Catalog'!$H$52+'Assumptions and Catalog'!$E$52+'Assumptions and Catalog'!$F$52,IF(((D383+E383)*C383)&lt;='Assumptions and Catalog'!$C$53,((D383+E383)*C383)*'Assumptions and Catalog'!$H$53+'Assumptions and Catalog'!$E$53+'Assumptions and Catalog'!$F$53,IF(((D383+E383)*C383)&lt;='Assumptions and Catalog'!$C$54,((D383+E383)*C383)*'Assumptions and Catalog'!$H$54+'Assumptions and Catalog'!$E$54+'Assumptions and Catalog'!$F$54,IF(((D383+E383)*C383)&lt;='Assumptions and Catalog'!$C$55,((D383+E383)*C383)*'Assumptions and Catalog'!$H$55+'Assumptions and Catalog'!$E$55+'Assumptions and Catalog'!$F$55,IF(((D383+E383)*C383)&lt;='Assumptions and Catalog'!$C$56,((D383+E383)*C383)*'Assumptions and Catalog'!$H$56+'Assumptions and Catalog'!$E$56+'Assumptions and Catalog'!$F$56,IF(((D383+E383)*C383)&lt;='Assumptions and Catalog'!$C$57,((D383+E383)*C383)*'Assumptions and Catalog'!$H$57+'Assumptions and Catalog'!$E$57+'Assumptions and Catalog'!$F$57,"Out of range")))))))),IF(((D383+E383)*C383)&lt;='Assumptions and Catalog'!$C$60,((D383+E383)*C383)*'Assumptions and Catalog'!$H$60+'Assumptions and Catalog'!$E$60+'Assumptions and Catalog'!$F$60,IF(((D383+E383)*C383)&lt;='Assumptions and Catalog'!$C$61,((D383+E383)*C383)*'Assumptions and Catalog'!$H$61+'Assumptions and Catalog'!$E$61+'Assumptions and Catalog'!$F$61,IF(((D383+E383)*C383)&lt;='Assumptions and Catalog'!$C$62,((D383+E383)*C383)*'Assumptions and Catalog'!$H$62+'Assumptions and Catalog'!$E$62+'Assumptions and Catalog'!$F$62,IF(((D383+E383)*C383)&lt;='Assumptions and Catalog'!$C$63,((D383+E383)*C383)*'Assumptions and Catalog'!$H$63+'Assumptions and Catalog'!$E$63+'Assumptions and Catalog'!$F$63,IF(((D383+E383)*C383)&lt;='Assumptions and Catalog'!$C$64,((D383+E383)*C383)*'Assumptions and Catalog'!$H$64+'Assumptions and Catalog'!$E$64+'Assumptions and Catalog'!$F$64,IF(((D383+E383)*C383)&lt;='Assumptions and Catalog'!$C$65,((D383+E383)*C383)*'Assumptions and Catalog'!$H$65+'Assumptions and Catalog'!$E$65+'Assumptions and Catalog'!$F$65,"Out of range")))))))))*(1+'Assumptions and Catalog'!$C$8)^(A383-1),0)</f>
        <v>8554.9666666666672</v>
      </c>
      <c r="N383" s="5">
        <f>IF(ISNUMBER(Inputs!$L$5),(IF(Inputs!$L$9="Actual flat rate",L383*Inputs!$L$10,IF(Inputs!$C$9="Residential",IF(L383&lt;='Assumptions and Catalog'!$C$50,L383*'Assumptions and Catalog'!$H$50+'Assumptions and Catalog'!$E$50+'Assumptions and Catalog'!$F$50,IF(L383&lt;='Assumptions and Catalog'!$C$51,L383*'Assumptions and Catalog'!$H$51+'Assumptions and Catalog'!$E$51+'Assumptions and Catalog'!$F$51,IF(L383&lt;='Assumptions and Catalog'!$C$52,L383*'Assumptions and Catalog'!$H$52+'Assumptions and Catalog'!$E$52+'Assumptions and Catalog'!$F$52,IF(L383&lt;='Assumptions and Catalog'!$C$53,L383*'Assumptions and Catalog'!$H$53+'Assumptions and Catalog'!$E$53+'Assumptions and Catalog'!$F$53,IF(L383&lt;='Assumptions and Catalog'!$C$54,L383*'Assumptions and Catalog'!$H$54+'Assumptions and Catalog'!$E$54+'Assumptions and Catalog'!$F$54,IF(L383&lt;='Assumptions and Catalog'!$C$55,L383*'Assumptions and Catalog'!$H$55+'Assumptions and Catalog'!$E$55+'Assumptions and Catalog'!$F$55,IF(L383&lt;='Assumptions and Catalog'!$C$56,L383*'Assumptions and Catalog'!$H$56+'Assumptions and Catalog'!$E$56+'Assumptions and Catalog'!$F$56,IF(L383&lt;='Assumptions and Catalog'!$C$57,L383*'Assumptions and Catalog'!$H$57+'Assumptions and Catalog'!$E$57+'Assumptions and Catalog'!$F$57,"Out of range")))))))),IF(L383&lt;='Assumptions and Catalog'!$C$60,L383*'Assumptions and Catalog'!$H$60+'Assumptions and Catalog'!$E$60+'Assumptions and Catalog'!$F$60,IF(L383&lt;='Assumptions and Catalog'!$C$61,L383*'Assumptions and Catalog'!$H$61+'Assumptions and Catalog'!$E$61+'Assumptions and Catalog'!$F$61,IF(L383&lt;='Assumptions and Catalog'!$C$62,L383*'Assumptions and Catalog'!$H$62+'Assumptions and Catalog'!$E$62+'Assumptions and Catalog'!$F$62,IF(L383&lt;='Assumptions and Catalog'!$C$63,L383*'Assumptions and Catalog'!$H$63+'Assumptions and Catalog'!$E$63+'Assumptions and Catalog'!$F$63,IF(L383&lt;='Assumptions and Catalog'!$C$64,L383*'Assumptions and Catalog'!$H$64+'Assumptions and Catalog'!$E$64+'Assumptions and Catalog'!$F$64,IF(L383&lt;='Assumptions and Catalog'!$C$65,L383*'Assumptions and Catalog'!$H$65+'Assumptions and Catalog'!$E$65+'Assumptions and Catalog'!$F$65,"Out of range")))))))))*(1+'Assumptions and Catalog'!$C$8)^(A383-1),0)</f>
        <v>5323.0185086472402</v>
      </c>
      <c r="O383" s="5">
        <f t="shared" si="30"/>
        <v>3231.948158019427</v>
      </c>
      <c r="P383" s="5">
        <f>C$55*(1-J$14)*(1-'Assumptions and Catalog'!$C$23)^R383</f>
        <v>0</v>
      </c>
      <c r="Q383" s="5">
        <f>IF(ISNUMBER(Inputs!$L$5),(IF(Inputs!$L$9="Actual flat rate",((D383+E383)*C383-G383)*Inputs!$L$10,IF(Inputs!$C$9="Residential",IF(((D383+E383)*C383-G383)&lt;='Assumptions and Catalog'!$C$50,((D383+E383)*C383-G383)*'Assumptions and Catalog'!$H$50+'Assumptions and Catalog'!$E$50+'Assumptions and Catalog'!$F$50,IF(((D383+E383)*C383-G383)&lt;='Assumptions and Catalog'!$C$51,((D383+E383)*C383-G383)*'Assumptions and Catalog'!$H$51+'Assumptions and Catalog'!$E$51+'Assumptions and Catalog'!$F$51,IF(((D383+E383)*C383-G383)&lt;='Assumptions and Catalog'!$C$52,((D383+E383)*C383-G383)*'Assumptions and Catalog'!$H$52+'Assumptions and Catalog'!$E$52+'Assumptions and Catalog'!$F$52,IF(((D383+E383)*C383-G383)&lt;='Assumptions and Catalog'!$C$53,((D383+E383)*C383-G383)*'Assumptions and Catalog'!$H$53+'Assumptions and Catalog'!$E$53+'Assumptions and Catalog'!$F$53,IF(((D383+E383)*C383-G383)&lt;='Assumptions and Catalog'!$C$54,((D383+E383)*C383-G383)*'Assumptions and Catalog'!$H$54+'Assumptions and Catalog'!$E$54+'Assumptions and Catalog'!$F$54,IF(((D383+E383)*C383-G383)&lt;='Assumptions and Catalog'!$C$55,((D383+E383)*C383-G383)*'Assumptions and Catalog'!$H$55+'Assumptions and Catalog'!$E$55+'Assumptions and Catalog'!$F$55,IF(((D383+E383)*C383-G383)&lt;='Assumptions and Catalog'!$C$56,((D383+E383)*C383-G383)*'Assumptions and Catalog'!$H$56+'Assumptions and Catalog'!$E$56+'Assumptions and Catalog'!$F$56,IF(((D383+E383)*C383-G383)&lt;='Assumptions and Catalog'!$C$57,((D383+E383)*C383-G383)*'Assumptions and Catalog'!$H$57+'Assumptions and Catalog'!$E$57+'Assumptions and Catalog'!$F$57,"Out of range")))))))),IF(((D383+E383)*C383-G383)&lt;='Assumptions and Catalog'!$C$60,((D383+E383)*C383-G383)*'Assumptions and Catalog'!$H$60+'Assumptions and Catalog'!$E$60+'Assumptions and Catalog'!$F$60,IF(((D383+E383)*C383-G383)&lt;='Assumptions and Catalog'!$C$61,((D383+E383)*C383-G383)*'Assumptions and Catalog'!$H$61+'Assumptions and Catalog'!$E$61+'Assumptions and Catalog'!$F$61,IF(((D383+E383)*C383-G383)&lt;='Assumptions and Catalog'!$C$62,((D383+E383)*C383-G383)*'Assumptions and Catalog'!$H$62+'Assumptions and Catalog'!$E$62+'Assumptions and Catalog'!$F$62,IF(((D383+E383)*C383-G383)&lt;='Assumptions and Catalog'!$C$63,((D383+E383)*C383-G383)*'Assumptions and Catalog'!$H$63+'Assumptions and Catalog'!$E$63+'Assumptions and Catalog'!$F$63,IF(((D383+E383)*C383-G383)&lt;='Assumptions and Catalog'!$C$64,((D383+E383)*C383-G383)*'Assumptions and Catalog'!$H$64+'Assumptions and Catalog'!$E$64+'Assumptions and Catalog'!$F$64,IF(((D383+E383)*C383-G383)&lt;='Assumptions and Catalog'!$C$65,((D383+E383)*C383-G383)*'Assumptions and Catalog'!$H$65+'Assumptions and Catalog'!$E$65+'Assumptions and Catalog'!$F$65,"Out of range")))))))))*(1+'Assumptions and Catalog'!$C$8)^(A383-1),0)</f>
        <v>5323.0185086472402</v>
      </c>
      <c r="R383" s="5">
        <f>IF(AND('Assumptions and Catalog'!$C$19&gt;0,A383&gt;='Assumptions and Catalog'!$C$19),A383-'Assumptions and Catalog'!$C$19,A383-1)</f>
        <v>8</v>
      </c>
      <c r="S383" s="5">
        <f t="shared" si="31"/>
        <v>0</v>
      </c>
      <c r="T383" s="5"/>
      <c r="U383" s="5"/>
    </row>
    <row r="384" spans="1:21" ht="23.1" customHeight="1" outlineLevel="1" x14ac:dyDescent="0.2">
      <c r="A384" s="5">
        <v>19</v>
      </c>
      <c r="B384" s="5">
        <v>8</v>
      </c>
      <c r="C384" s="5">
        <f>DAY(DATE('Assumptions and Catalog'!$C$24+A384-1,B384+1,0))</f>
        <v>31</v>
      </c>
      <c r="D384" s="5">
        <f>IF(ISNUMBER(Inputs!$L$5),Inputs!$L$5*Inputs!$L$6,0)</f>
        <v>40.35</v>
      </c>
      <c r="E384" s="5">
        <f>IF(ISNUMBER(Inputs!$L$5),Inputs!$L$5-D384,0)</f>
        <v>40.35</v>
      </c>
      <c r="F384" s="5">
        <f>C$51*'Assumptions and Catalog'!$C$31*C384*(1-'Assumptions and Catalog'!$C$10)^(A384-1)</f>
        <v>945.10768094758214</v>
      </c>
      <c r="G384" s="5">
        <f t="shared" si="26"/>
        <v>945.10768094758214</v>
      </c>
      <c r="H384" s="5">
        <f>I384/('Assumptions and Catalog'!$C$11*'Assumptions and Catalog'!$C$12)</f>
        <v>0</v>
      </c>
      <c r="I384" s="5">
        <f>0</f>
        <v>0</v>
      </c>
      <c r="J384" s="5">
        <f t="shared" si="27"/>
        <v>0</v>
      </c>
      <c r="K384" s="5">
        <f t="shared" si="28"/>
        <v>0</v>
      </c>
      <c r="L384" s="5">
        <f t="shared" si="29"/>
        <v>1556.5923190524181</v>
      </c>
      <c r="M384" s="5">
        <f>IF(ISNUMBER(Inputs!$L$5),(IF(Inputs!$L$9="Actual flat rate",((D384+E384)*C384)*Inputs!$L$10,IF(Inputs!$C$9="Residential",IF(((D384+E384)*C384)&lt;='Assumptions and Catalog'!$C$50,((D384+E384)*C384)*'Assumptions and Catalog'!$H$50+'Assumptions and Catalog'!$E$50+'Assumptions and Catalog'!$F$50,IF(((D384+E384)*C384)&lt;='Assumptions and Catalog'!$C$51,((D384+E384)*C384)*'Assumptions and Catalog'!$H$51+'Assumptions and Catalog'!$E$51+'Assumptions and Catalog'!$F$51,IF(((D384+E384)*C384)&lt;='Assumptions and Catalog'!$C$52,((D384+E384)*C384)*'Assumptions and Catalog'!$H$52+'Assumptions and Catalog'!$E$52+'Assumptions and Catalog'!$F$52,IF(((D384+E384)*C384)&lt;='Assumptions and Catalog'!$C$53,((D384+E384)*C384)*'Assumptions and Catalog'!$H$53+'Assumptions and Catalog'!$E$53+'Assumptions and Catalog'!$F$53,IF(((D384+E384)*C384)&lt;='Assumptions and Catalog'!$C$54,((D384+E384)*C384)*'Assumptions and Catalog'!$H$54+'Assumptions and Catalog'!$E$54+'Assumptions and Catalog'!$F$54,IF(((D384+E384)*C384)&lt;='Assumptions and Catalog'!$C$55,((D384+E384)*C384)*'Assumptions and Catalog'!$H$55+'Assumptions and Catalog'!$E$55+'Assumptions and Catalog'!$F$55,IF(((D384+E384)*C384)&lt;='Assumptions and Catalog'!$C$56,((D384+E384)*C384)*'Assumptions and Catalog'!$H$56+'Assumptions and Catalog'!$E$56+'Assumptions and Catalog'!$F$56,IF(((D384+E384)*C384)&lt;='Assumptions and Catalog'!$C$57,((D384+E384)*C384)*'Assumptions and Catalog'!$H$57+'Assumptions and Catalog'!$E$57+'Assumptions and Catalog'!$F$57,"Out of range")))))))),IF(((D384+E384)*C384)&lt;='Assumptions and Catalog'!$C$60,((D384+E384)*C384)*'Assumptions and Catalog'!$H$60+'Assumptions and Catalog'!$E$60+'Assumptions and Catalog'!$F$60,IF(((D384+E384)*C384)&lt;='Assumptions and Catalog'!$C$61,((D384+E384)*C384)*'Assumptions and Catalog'!$H$61+'Assumptions and Catalog'!$E$61+'Assumptions and Catalog'!$F$61,IF(((D384+E384)*C384)&lt;='Assumptions and Catalog'!$C$62,((D384+E384)*C384)*'Assumptions and Catalog'!$H$62+'Assumptions and Catalog'!$E$62+'Assumptions and Catalog'!$F$62,IF(((D384+E384)*C384)&lt;='Assumptions and Catalog'!$C$63,((D384+E384)*C384)*'Assumptions and Catalog'!$H$63+'Assumptions and Catalog'!$E$63+'Assumptions and Catalog'!$F$63,IF(((D384+E384)*C384)&lt;='Assumptions and Catalog'!$C$64,((D384+E384)*C384)*'Assumptions and Catalog'!$H$64+'Assumptions and Catalog'!$E$64+'Assumptions and Catalog'!$F$64,IF(((D384+E384)*C384)&lt;='Assumptions and Catalog'!$C$65,((D384+E384)*C384)*'Assumptions and Catalog'!$H$65+'Assumptions and Catalog'!$E$65+'Assumptions and Catalog'!$F$65,"Out of range")))))))))*(1+'Assumptions and Catalog'!$C$8)^(A384-1),0)</f>
        <v>8554.9666666666672</v>
      </c>
      <c r="N384" s="5">
        <f>IF(ISNUMBER(Inputs!$L$5),(IF(Inputs!$L$9="Actual flat rate",L384*Inputs!$L$10,IF(Inputs!$C$9="Residential",IF(L384&lt;='Assumptions and Catalog'!$C$50,L384*'Assumptions and Catalog'!$H$50+'Assumptions and Catalog'!$E$50+'Assumptions and Catalog'!$F$50,IF(L384&lt;='Assumptions and Catalog'!$C$51,L384*'Assumptions and Catalog'!$H$51+'Assumptions and Catalog'!$E$51+'Assumptions and Catalog'!$F$51,IF(L384&lt;='Assumptions and Catalog'!$C$52,L384*'Assumptions and Catalog'!$H$52+'Assumptions and Catalog'!$E$52+'Assumptions and Catalog'!$F$52,IF(L384&lt;='Assumptions and Catalog'!$C$53,L384*'Assumptions and Catalog'!$H$53+'Assumptions and Catalog'!$E$53+'Assumptions and Catalog'!$F$53,IF(L384&lt;='Assumptions and Catalog'!$C$54,L384*'Assumptions and Catalog'!$H$54+'Assumptions and Catalog'!$E$54+'Assumptions and Catalog'!$F$54,IF(L384&lt;='Assumptions and Catalog'!$C$55,L384*'Assumptions and Catalog'!$H$55+'Assumptions and Catalog'!$E$55+'Assumptions and Catalog'!$F$55,IF(L384&lt;='Assumptions and Catalog'!$C$56,L384*'Assumptions and Catalog'!$H$56+'Assumptions and Catalog'!$E$56+'Assumptions and Catalog'!$F$56,IF(L384&lt;='Assumptions and Catalog'!$C$57,L384*'Assumptions and Catalog'!$H$57+'Assumptions and Catalog'!$E$57+'Assumptions and Catalog'!$F$57,"Out of range")))))))),IF(L384&lt;='Assumptions and Catalog'!$C$60,L384*'Assumptions and Catalog'!$H$60+'Assumptions and Catalog'!$E$60+'Assumptions and Catalog'!$F$60,IF(L384&lt;='Assumptions and Catalog'!$C$61,L384*'Assumptions and Catalog'!$H$61+'Assumptions and Catalog'!$E$61+'Assumptions and Catalog'!$F$61,IF(L384&lt;='Assumptions and Catalog'!$C$62,L384*'Assumptions and Catalog'!$H$62+'Assumptions and Catalog'!$E$62+'Assumptions and Catalog'!$F$62,IF(L384&lt;='Assumptions and Catalog'!$C$63,L384*'Assumptions and Catalog'!$H$63+'Assumptions and Catalog'!$E$63+'Assumptions and Catalog'!$F$63,IF(L384&lt;='Assumptions and Catalog'!$C$64,L384*'Assumptions and Catalog'!$H$64+'Assumptions and Catalog'!$E$64+'Assumptions and Catalog'!$F$64,IF(L384&lt;='Assumptions and Catalog'!$C$65,L384*'Assumptions and Catalog'!$H$65+'Assumptions and Catalog'!$E$65+'Assumptions and Catalog'!$F$65,"Out of range")))))))))*(1+'Assumptions and Catalog'!$C$8)^(A384-1),0)</f>
        <v>5323.0185086472402</v>
      </c>
      <c r="O384" s="5">
        <f t="shared" si="30"/>
        <v>3231.948158019427</v>
      </c>
      <c r="P384" s="5">
        <f>C$55*(1-J$14)*(1-'Assumptions and Catalog'!$C$23)^R384</f>
        <v>0</v>
      </c>
      <c r="Q384" s="5">
        <f>IF(ISNUMBER(Inputs!$L$5),(IF(Inputs!$L$9="Actual flat rate",((D384+E384)*C384-G384)*Inputs!$L$10,IF(Inputs!$C$9="Residential",IF(((D384+E384)*C384-G384)&lt;='Assumptions and Catalog'!$C$50,((D384+E384)*C384-G384)*'Assumptions and Catalog'!$H$50+'Assumptions and Catalog'!$E$50+'Assumptions and Catalog'!$F$50,IF(((D384+E384)*C384-G384)&lt;='Assumptions and Catalog'!$C$51,((D384+E384)*C384-G384)*'Assumptions and Catalog'!$H$51+'Assumptions and Catalog'!$E$51+'Assumptions and Catalog'!$F$51,IF(((D384+E384)*C384-G384)&lt;='Assumptions and Catalog'!$C$52,((D384+E384)*C384-G384)*'Assumptions and Catalog'!$H$52+'Assumptions and Catalog'!$E$52+'Assumptions and Catalog'!$F$52,IF(((D384+E384)*C384-G384)&lt;='Assumptions and Catalog'!$C$53,((D384+E384)*C384-G384)*'Assumptions and Catalog'!$H$53+'Assumptions and Catalog'!$E$53+'Assumptions and Catalog'!$F$53,IF(((D384+E384)*C384-G384)&lt;='Assumptions and Catalog'!$C$54,((D384+E384)*C384-G384)*'Assumptions and Catalog'!$H$54+'Assumptions and Catalog'!$E$54+'Assumptions and Catalog'!$F$54,IF(((D384+E384)*C384-G384)&lt;='Assumptions and Catalog'!$C$55,((D384+E384)*C384-G384)*'Assumptions and Catalog'!$H$55+'Assumptions and Catalog'!$E$55+'Assumptions and Catalog'!$F$55,IF(((D384+E384)*C384-G384)&lt;='Assumptions and Catalog'!$C$56,((D384+E384)*C384-G384)*'Assumptions and Catalog'!$H$56+'Assumptions and Catalog'!$E$56+'Assumptions and Catalog'!$F$56,IF(((D384+E384)*C384-G384)&lt;='Assumptions and Catalog'!$C$57,((D384+E384)*C384-G384)*'Assumptions and Catalog'!$H$57+'Assumptions and Catalog'!$E$57+'Assumptions and Catalog'!$F$57,"Out of range")))))))),IF(((D384+E384)*C384-G384)&lt;='Assumptions and Catalog'!$C$60,((D384+E384)*C384-G384)*'Assumptions and Catalog'!$H$60+'Assumptions and Catalog'!$E$60+'Assumptions and Catalog'!$F$60,IF(((D384+E384)*C384-G384)&lt;='Assumptions and Catalog'!$C$61,((D384+E384)*C384-G384)*'Assumptions and Catalog'!$H$61+'Assumptions and Catalog'!$E$61+'Assumptions and Catalog'!$F$61,IF(((D384+E384)*C384-G384)&lt;='Assumptions and Catalog'!$C$62,((D384+E384)*C384-G384)*'Assumptions and Catalog'!$H$62+'Assumptions and Catalog'!$E$62+'Assumptions and Catalog'!$F$62,IF(((D384+E384)*C384-G384)&lt;='Assumptions and Catalog'!$C$63,((D384+E384)*C384-G384)*'Assumptions and Catalog'!$H$63+'Assumptions and Catalog'!$E$63+'Assumptions and Catalog'!$F$63,IF(((D384+E384)*C384-G384)&lt;='Assumptions and Catalog'!$C$64,((D384+E384)*C384-G384)*'Assumptions and Catalog'!$H$64+'Assumptions and Catalog'!$E$64+'Assumptions and Catalog'!$F$64,IF(((D384+E384)*C384-G384)&lt;='Assumptions and Catalog'!$C$65,((D384+E384)*C384-G384)*'Assumptions and Catalog'!$H$65+'Assumptions and Catalog'!$E$65+'Assumptions and Catalog'!$F$65,"Out of range")))))))))*(1+'Assumptions and Catalog'!$C$8)^(A384-1),0)</f>
        <v>5323.0185086472402</v>
      </c>
      <c r="R384" s="5">
        <f>IF(AND('Assumptions and Catalog'!$C$19&gt;0,A384&gt;='Assumptions and Catalog'!$C$19),A384-'Assumptions and Catalog'!$C$19,A384-1)</f>
        <v>8</v>
      </c>
      <c r="S384" s="5">
        <f t="shared" si="31"/>
        <v>0</v>
      </c>
      <c r="T384" s="5"/>
      <c r="U384" s="5"/>
    </row>
    <row r="385" spans="1:21" ht="23.1" customHeight="1" outlineLevel="1" x14ac:dyDescent="0.2">
      <c r="A385" s="5">
        <v>19</v>
      </c>
      <c r="B385" s="5">
        <v>9</v>
      </c>
      <c r="C385" s="5">
        <f>DAY(DATE('Assumptions and Catalog'!$C$24+A385-1,B385+1,0))</f>
        <v>30</v>
      </c>
      <c r="D385" s="5">
        <f>IF(ISNUMBER(Inputs!$L$5),Inputs!$L$5*Inputs!$L$6,0)</f>
        <v>40.35</v>
      </c>
      <c r="E385" s="5">
        <f>IF(ISNUMBER(Inputs!$L$5),Inputs!$L$5-D385,0)</f>
        <v>40.35</v>
      </c>
      <c r="F385" s="5">
        <f>C$51*'Assumptions and Catalog'!$C$31*C385*(1-'Assumptions and Catalog'!$C$10)^(A385-1)</f>
        <v>914.620336400886</v>
      </c>
      <c r="G385" s="5">
        <f t="shared" si="26"/>
        <v>914.620336400886</v>
      </c>
      <c r="H385" s="5">
        <f>I385/('Assumptions and Catalog'!$C$11*'Assumptions and Catalog'!$C$12)</f>
        <v>0</v>
      </c>
      <c r="I385" s="5">
        <f>0</f>
        <v>0</v>
      </c>
      <c r="J385" s="5">
        <f t="shared" si="27"/>
        <v>0</v>
      </c>
      <c r="K385" s="5">
        <f t="shared" si="28"/>
        <v>0</v>
      </c>
      <c r="L385" s="5">
        <f t="shared" si="29"/>
        <v>1506.3796635991139</v>
      </c>
      <c r="M385" s="5">
        <f>IF(ISNUMBER(Inputs!$L$5),(IF(Inputs!$L$9="Actual flat rate",((D385+E385)*C385)*Inputs!$L$10,IF(Inputs!$C$9="Residential",IF(((D385+E385)*C385)&lt;='Assumptions and Catalog'!$C$50,((D385+E385)*C385)*'Assumptions and Catalog'!$H$50+'Assumptions and Catalog'!$E$50+'Assumptions and Catalog'!$F$50,IF(((D385+E385)*C385)&lt;='Assumptions and Catalog'!$C$51,((D385+E385)*C385)*'Assumptions and Catalog'!$H$51+'Assumptions and Catalog'!$E$51+'Assumptions and Catalog'!$F$51,IF(((D385+E385)*C385)&lt;='Assumptions and Catalog'!$C$52,((D385+E385)*C385)*'Assumptions and Catalog'!$H$52+'Assumptions and Catalog'!$E$52+'Assumptions and Catalog'!$F$52,IF(((D385+E385)*C385)&lt;='Assumptions and Catalog'!$C$53,((D385+E385)*C385)*'Assumptions and Catalog'!$H$53+'Assumptions and Catalog'!$E$53+'Assumptions and Catalog'!$F$53,IF(((D385+E385)*C385)&lt;='Assumptions and Catalog'!$C$54,((D385+E385)*C385)*'Assumptions and Catalog'!$H$54+'Assumptions and Catalog'!$E$54+'Assumptions and Catalog'!$F$54,IF(((D385+E385)*C385)&lt;='Assumptions and Catalog'!$C$55,((D385+E385)*C385)*'Assumptions and Catalog'!$H$55+'Assumptions and Catalog'!$E$55+'Assumptions and Catalog'!$F$55,IF(((D385+E385)*C385)&lt;='Assumptions and Catalog'!$C$56,((D385+E385)*C385)*'Assumptions and Catalog'!$H$56+'Assumptions and Catalog'!$E$56+'Assumptions and Catalog'!$F$56,IF(((D385+E385)*C385)&lt;='Assumptions and Catalog'!$C$57,((D385+E385)*C385)*'Assumptions and Catalog'!$H$57+'Assumptions and Catalog'!$E$57+'Assumptions and Catalog'!$F$57,"Out of range")))))))),IF(((D385+E385)*C385)&lt;='Assumptions and Catalog'!$C$60,((D385+E385)*C385)*'Assumptions and Catalog'!$H$60+'Assumptions and Catalog'!$E$60+'Assumptions and Catalog'!$F$60,IF(((D385+E385)*C385)&lt;='Assumptions and Catalog'!$C$61,((D385+E385)*C385)*'Assumptions and Catalog'!$H$61+'Assumptions and Catalog'!$E$61+'Assumptions and Catalog'!$F$61,IF(((D385+E385)*C385)&lt;='Assumptions and Catalog'!$C$62,((D385+E385)*C385)*'Assumptions and Catalog'!$H$62+'Assumptions and Catalog'!$E$62+'Assumptions and Catalog'!$F$62,IF(((D385+E385)*C385)&lt;='Assumptions and Catalog'!$C$63,((D385+E385)*C385)*'Assumptions and Catalog'!$H$63+'Assumptions and Catalog'!$E$63+'Assumptions and Catalog'!$F$63,IF(((D385+E385)*C385)&lt;='Assumptions and Catalog'!$C$64,((D385+E385)*C385)*'Assumptions and Catalog'!$H$64+'Assumptions and Catalog'!$E$64+'Assumptions and Catalog'!$F$64,IF(((D385+E385)*C385)&lt;='Assumptions and Catalog'!$C$65,((D385+E385)*C385)*'Assumptions and Catalog'!$H$65+'Assumptions and Catalog'!$E$65+'Assumptions and Catalog'!$F$65,"Out of range")))))))))*(1+'Assumptions and Catalog'!$C$8)^(A385-1),0)</f>
        <v>8279</v>
      </c>
      <c r="N385" s="5">
        <f>IF(ISNUMBER(Inputs!$L$5),(IF(Inputs!$L$9="Actual flat rate",L385*Inputs!$L$10,IF(Inputs!$C$9="Residential",IF(L385&lt;='Assumptions and Catalog'!$C$50,L385*'Assumptions and Catalog'!$H$50+'Assumptions and Catalog'!$E$50+'Assumptions and Catalog'!$F$50,IF(L385&lt;='Assumptions and Catalog'!$C$51,L385*'Assumptions and Catalog'!$H$51+'Assumptions and Catalog'!$E$51+'Assumptions and Catalog'!$F$51,IF(L385&lt;='Assumptions and Catalog'!$C$52,L385*'Assumptions and Catalog'!$H$52+'Assumptions and Catalog'!$E$52+'Assumptions and Catalog'!$F$52,IF(L385&lt;='Assumptions and Catalog'!$C$53,L385*'Assumptions and Catalog'!$H$53+'Assumptions and Catalog'!$E$53+'Assumptions and Catalog'!$F$53,IF(L385&lt;='Assumptions and Catalog'!$C$54,L385*'Assumptions and Catalog'!$H$54+'Assumptions and Catalog'!$E$54+'Assumptions and Catalog'!$F$54,IF(L385&lt;='Assumptions and Catalog'!$C$55,L385*'Assumptions and Catalog'!$H$55+'Assumptions and Catalog'!$E$55+'Assumptions and Catalog'!$F$55,IF(L385&lt;='Assumptions and Catalog'!$C$56,L385*'Assumptions and Catalog'!$H$56+'Assumptions and Catalog'!$E$56+'Assumptions and Catalog'!$F$56,IF(L385&lt;='Assumptions and Catalog'!$C$57,L385*'Assumptions and Catalog'!$H$57+'Assumptions and Catalog'!$E$57+'Assumptions and Catalog'!$F$57,"Out of range")))))))),IF(L385&lt;='Assumptions and Catalog'!$C$60,L385*'Assumptions and Catalog'!$H$60+'Assumptions and Catalog'!$E$60+'Assumptions and Catalog'!$F$60,IF(L385&lt;='Assumptions and Catalog'!$C$61,L385*'Assumptions and Catalog'!$H$61+'Assumptions and Catalog'!$E$61+'Assumptions and Catalog'!$F$61,IF(L385&lt;='Assumptions and Catalog'!$C$62,L385*'Assumptions and Catalog'!$H$62+'Assumptions and Catalog'!$E$62+'Assumptions and Catalog'!$F$62,IF(L385&lt;='Assumptions and Catalog'!$C$63,L385*'Assumptions and Catalog'!$H$63+'Assumptions and Catalog'!$E$63+'Assumptions and Catalog'!$F$63,IF(L385&lt;='Assumptions and Catalog'!$C$64,L385*'Assumptions and Catalog'!$H$64+'Assumptions and Catalog'!$E$64+'Assumptions and Catalog'!$F$64,IF(L385&lt;='Assumptions and Catalog'!$C$65,L385*'Assumptions and Catalog'!$H$65+'Assumptions and Catalog'!$E$65+'Assumptions and Catalog'!$F$65,"Out of range")))))))))*(1+'Assumptions and Catalog'!$C$8)^(A385-1),0)</f>
        <v>5151.3082341747477</v>
      </c>
      <c r="O385" s="5">
        <f t="shared" si="30"/>
        <v>3127.6917658252523</v>
      </c>
      <c r="P385" s="5">
        <f>C$55*(1-J$14)*(1-'Assumptions and Catalog'!$C$23)^R385</f>
        <v>0</v>
      </c>
      <c r="Q385" s="5">
        <f>IF(ISNUMBER(Inputs!$L$5),(IF(Inputs!$L$9="Actual flat rate",((D385+E385)*C385-G385)*Inputs!$L$10,IF(Inputs!$C$9="Residential",IF(((D385+E385)*C385-G385)&lt;='Assumptions and Catalog'!$C$50,((D385+E385)*C385-G385)*'Assumptions and Catalog'!$H$50+'Assumptions and Catalog'!$E$50+'Assumptions and Catalog'!$F$50,IF(((D385+E385)*C385-G385)&lt;='Assumptions and Catalog'!$C$51,((D385+E385)*C385-G385)*'Assumptions and Catalog'!$H$51+'Assumptions and Catalog'!$E$51+'Assumptions and Catalog'!$F$51,IF(((D385+E385)*C385-G385)&lt;='Assumptions and Catalog'!$C$52,((D385+E385)*C385-G385)*'Assumptions and Catalog'!$H$52+'Assumptions and Catalog'!$E$52+'Assumptions and Catalog'!$F$52,IF(((D385+E385)*C385-G385)&lt;='Assumptions and Catalog'!$C$53,((D385+E385)*C385-G385)*'Assumptions and Catalog'!$H$53+'Assumptions and Catalog'!$E$53+'Assumptions and Catalog'!$F$53,IF(((D385+E385)*C385-G385)&lt;='Assumptions and Catalog'!$C$54,((D385+E385)*C385-G385)*'Assumptions and Catalog'!$H$54+'Assumptions and Catalog'!$E$54+'Assumptions and Catalog'!$F$54,IF(((D385+E385)*C385-G385)&lt;='Assumptions and Catalog'!$C$55,((D385+E385)*C385-G385)*'Assumptions and Catalog'!$H$55+'Assumptions and Catalog'!$E$55+'Assumptions and Catalog'!$F$55,IF(((D385+E385)*C385-G385)&lt;='Assumptions and Catalog'!$C$56,((D385+E385)*C385-G385)*'Assumptions and Catalog'!$H$56+'Assumptions and Catalog'!$E$56+'Assumptions and Catalog'!$F$56,IF(((D385+E385)*C385-G385)&lt;='Assumptions and Catalog'!$C$57,((D385+E385)*C385-G385)*'Assumptions and Catalog'!$H$57+'Assumptions and Catalog'!$E$57+'Assumptions and Catalog'!$F$57,"Out of range")))))))),IF(((D385+E385)*C385-G385)&lt;='Assumptions and Catalog'!$C$60,((D385+E385)*C385-G385)*'Assumptions and Catalog'!$H$60+'Assumptions and Catalog'!$E$60+'Assumptions and Catalog'!$F$60,IF(((D385+E385)*C385-G385)&lt;='Assumptions and Catalog'!$C$61,((D385+E385)*C385-G385)*'Assumptions and Catalog'!$H$61+'Assumptions and Catalog'!$E$61+'Assumptions and Catalog'!$F$61,IF(((D385+E385)*C385-G385)&lt;='Assumptions and Catalog'!$C$62,((D385+E385)*C385-G385)*'Assumptions and Catalog'!$H$62+'Assumptions and Catalog'!$E$62+'Assumptions and Catalog'!$F$62,IF(((D385+E385)*C385-G385)&lt;='Assumptions and Catalog'!$C$63,((D385+E385)*C385-G385)*'Assumptions and Catalog'!$H$63+'Assumptions and Catalog'!$E$63+'Assumptions and Catalog'!$F$63,IF(((D385+E385)*C385-G385)&lt;='Assumptions and Catalog'!$C$64,((D385+E385)*C385-G385)*'Assumptions and Catalog'!$H$64+'Assumptions and Catalog'!$E$64+'Assumptions and Catalog'!$F$64,IF(((D385+E385)*C385-G385)&lt;='Assumptions and Catalog'!$C$65,((D385+E385)*C385-G385)*'Assumptions and Catalog'!$H$65+'Assumptions and Catalog'!$E$65+'Assumptions and Catalog'!$F$65,"Out of range")))))))))*(1+'Assumptions and Catalog'!$C$8)^(A385-1),0)</f>
        <v>5151.3082341747477</v>
      </c>
      <c r="R385" s="5">
        <f>IF(AND('Assumptions and Catalog'!$C$19&gt;0,A385&gt;='Assumptions and Catalog'!$C$19),A385-'Assumptions and Catalog'!$C$19,A385-1)</f>
        <v>8</v>
      </c>
      <c r="S385" s="5">
        <f t="shared" si="31"/>
        <v>0</v>
      </c>
      <c r="T385" s="5"/>
      <c r="U385" s="5"/>
    </row>
    <row r="386" spans="1:21" ht="23.1" customHeight="1" outlineLevel="1" x14ac:dyDescent="0.2">
      <c r="A386" s="5">
        <v>19</v>
      </c>
      <c r="B386" s="5">
        <v>10</v>
      </c>
      <c r="C386" s="5">
        <f>DAY(DATE('Assumptions and Catalog'!$C$24+A386-1,B386+1,0))</f>
        <v>31</v>
      </c>
      <c r="D386" s="5">
        <f>IF(ISNUMBER(Inputs!$L$5),Inputs!$L$5*Inputs!$L$6,0)</f>
        <v>40.35</v>
      </c>
      <c r="E386" s="5">
        <f>IF(ISNUMBER(Inputs!$L$5),Inputs!$L$5-D386,0)</f>
        <v>40.35</v>
      </c>
      <c r="F386" s="5">
        <f>C$51*'Assumptions and Catalog'!$C$31*C386*(1-'Assumptions and Catalog'!$C$10)^(A386-1)</f>
        <v>945.10768094758214</v>
      </c>
      <c r="G386" s="5">
        <f t="shared" si="26"/>
        <v>945.10768094758214</v>
      </c>
      <c r="H386" s="5">
        <f>I386/('Assumptions and Catalog'!$C$11*'Assumptions and Catalog'!$C$12)</f>
        <v>0</v>
      </c>
      <c r="I386" s="5">
        <f>0</f>
        <v>0</v>
      </c>
      <c r="J386" s="5">
        <f t="shared" si="27"/>
        <v>0</v>
      </c>
      <c r="K386" s="5">
        <f t="shared" si="28"/>
        <v>0</v>
      </c>
      <c r="L386" s="5">
        <f t="shared" si="29"/>
        <v>1556.5923190524181</v>
      </c>
      <c r="M386" s="5">
        <f>IF(ISNUMBER(Inputs!$L$5),(IF(Inputs!$L$9="Actual flat rate",((D386+E386)*C386)*Inputs!$L$10,IF(Inputs!$C$9="Residential",IF(((D386+E386)*C386)&lt;='Assumptions and Catalog'!$C$50,((D386+E386)*C386)*'Assumptions and Catalog'!$H$50+'Assumptions and Catalog'!$E$50+'Assumptions and Catalog'!$F$50,IF(((D386+E386)*C386)&lt;='Assumptions and Catalog'!$C$51,((D386+E386)*C386)*'Assumptions and Catalog'!$H$51+'Assumptions and Catalog'!$E$51+'Assumptions and Catalog'!$F$51,IF(((D386+E386)*C386)&lt;='Assumptions and Catalog'!$C$52,((D386+E386)*C386)*'Assumptions and Catalog'!$H$52+'Assumptions and Catalog'!$E$52+'Assumptions and Catalog'!$F$52,IF(((D386+E386)*C386)&lt;='Assumptions and Catalog'!$C$53,((D386+E386)*C386)*'Assumptions and Catalog'!$H$53+'Assumptions and Catalog'!$E$53+'Assumptions and Catalog'!$F$53,IF(((D386+E386)*C386)&lt;='Assumptions and Catalog'!$C$54,((D386+E386)*C386)*'Assumptions and Catalog'!$H$54+'Assumptions and Catalog'!$E$54+'Assumptions and Catalog'!$F$54,IF(((D386+E386)*C386)&lt;='Assumptions and Catalog'!$C$55,((D386+E386)*C386)*'Assumptions and Catalog'!$H$55+'Assumptions and Catalog'!$E$55+'Assumptions and Catalog'!$F$55,IF(((D386+E386)*C386)&lt;='Assumptions and Catalog'!$C$56,((D386+E386)*C386)*'Assumptions and Catalog'!$H$56+'Assumptions and Catalog'!$E$56+'Assumptions and Catalog'!$F$56,IF(((D386+E386)*C386)&lt;='Assumptions and Catalog'!$C$57,((D386+E386)*C386)*'Assumptions and Catalog'!$H$57+'Assumptions and Catalog'!$E$57+'Assumptions and Catalog'!$F$57,"Out of range")))))))),IF(((D386+E386)*C386)&lt;='Assumptions and Catalog'!$C$60,((D386+E386)*C386)*'Assumptions and Catalog'!$H$60+'Assumptions and Catalog'!$E$60+'Assumptions and Catalog'!$F$60,IF(((D386+E386)*C386)&lt;='Assumptions and Catalog'!$C$61,((D386+E386)*C386)*'Assumptions and Catalog'!$H$61+'Assumptions and Catalog'!$E$61+'Assumptions and Catalog'!$F$61,IF(((D386+E386)*C386)&lt;='Assumptions and Catalog'!$C$62,((D386+E386)*C386)*'Assumptions and Catalog'!$H$62+'Assumptions and Catalog'!$E$62+'Assumptions and Catalog'!$F$62,IF(((D386+E386)*C386)&lt;='Assumptions and Catalog'!$C$63,((D386+E386)*C386)*'Assumptions and Catalog'!$H$63+'Assumptions and Catalog'!$E$63+'Assumptions and Catalog'!$F$63,IF(((D386+E386)*C386)&lt;='Assumptions and Catalog'!$C$64,((D386+E386)*C386)*'Assumptions and Catalog'!$H$64+'Assumptions and Catalog'!$E$64+'Assumptions and Catalog'!$F$64,IF(((D386+E386)*C386)&lt;='Assumptions and Catalog'!$C$65,((D386+E386)*C386)*'Assumptions and Catalog'!$H$65+'Assumptions and Catalog'!$E$65+'Assumptions and Catalog'!$F$65,"Out of range")))))))))*(1+'Assumptions and Catalog'!$C$8)^(A386-1),0)</f>
        <v>8554.9666666666672</v>
      </c>
      <c r="N386" s="5">
        <f>IF(ISNUMBER(Inputs!$L$5),(IF(Inputs!$L$9="Actual flat rate",L386*Inputs!$L$10,IF(Inputs!$C$9="Residential",IF(L386&lt;='Assumptions and Catalog'!$C$50,L386*'Assumptions and Catalog'!$H$50+'Assumptions and Catalog'!$E$50+'Assumptions and Catalog'!$F$50,IF(L386&lt;='Assumptions and Catalog'!$C$51,L386*'Assumptions and Catalog'!$H$51+'Assumptions and Catalog'!$E$51+'Assumptions and Catalog'!$F$51,IF(L386&lt;='Assumptions and Catalog'!$C$52,L386*'Assumptions and Catalog'!$H$52+'Assumptions and Catalog'!$E$52+'Assumptions and Catalog'!$F$52,IF(L386&lt;='Assumptions and Catalog'!$C$53,L386*'Assumptions and Catalog'!$H$53+'Assumptions and Catalog'!$E$53+'Assumptions and Catalog'!$F$53,IF(L386&lt;='Assumptions and Catalog'!$C$54,L386*'Assumptions and Catalog'!$H$54+'Assumptions and Catalog'!$E$54+'Assumptions and Catalog'!$F$54,IF(L386&lt;='Assumptions and Catalog'!$C$55,L386*'Assumptions and Catalog'!$H$55+'Assumptions and Catalog'!$E$55+'Assumptions and Catalog'!$F$55,IF(L386&lt;='Assumptions and Catalog'!$C$56,L386*'Assumptions and Catalog'!$H$56+'Assumptions and Catalog'!$E$56+'Assumptions and Catalog'!$F$56,IF(L386&lt;='Assumptions and Catalog'!$C$57,L386*'Assumptions and Catalog'!$H$57+'Assumptions and Catalog'!$E$57+'Assumptions and Catalog'!$F$57,"Out of range")))))))),IF(L386&lt;='Assumptions and Catalog'!$C$60,L386*'Assumptions and Catalog'!$H$60+'Assumptions and Catalog'!$E$60+'Assumptions and Catalog'!$F$60,IF(L386&lt;='Assumptions and Catalog'!$C$61,L386*'Assumptions and Catalog'!$H$61+'Assumptions and Catalog'!$E$61+'Assumptions and Catalog'!$F$61,IF(L386&lt;='Assumptions and Catalog'!$C$62,L386*'Assumptions and Catalog'!$H$62+'Assumptions and Catalog'!$E$62+'Assumptions and Catalog'!$F$62,IF(L386&lt;='Assumptions and Catalog'!$C$63,L386*'Assumptions and Catalog'!$H$63+'Assumptions and Catalog'!$E$63+'Assumptions and Catalog'!$F$63,IF(L386&lt;='Assumptions and Catalog'!$C$64,L386*'Assumptions and Catalog'!$H$64+'Assumptions and Catalog'!$E$64+'Assumptions and Catalog'!$F$64,IF(L386&lt;='Assumptions and Catalog'!$C$65,L386*'Assumptions and Catalog'!$H$65+'Assumptions and Catalog'!$E$65+'Assumptions and Catalog'!$F$65,"Out of range")))))))))*(1+'Assumptions and Catalog'!$C$8)^(A386-1),0)</f>
        <v>5323.0185086472402</v>
      </c>
      <c r="O386" s="5">
        <f t="shared" si="30"/>
        <v>3231.948158019427</v>
      </c>
      <c r="P386" s="5">
        <f>C$55*(1-J$14)*(1-'Assumptions and Catalog'!$C$23)^R386</f>
        <v>0</v>
      </c>
      <c r="Q386" s="5">
        <f>IF(ISNUMBER(Inputs!$L$5),(IF(Inputs!$L$9="Actual flat rate",((D386+E386)*C386-G386)*Inputs!$L$10,IF(Inputs!$C$9="Residential",IF(((D386+E386)*C386-G386)&lt;='Assumptions and Catalog'!$C$50,((D386+E386)*C386-G386)*'Assumptions and Catalog'!$H$50+'Assumptions and Catalog'!$E$50+'Assumptions and Catalog'!$F$50,IF(((D386+E386)*C386-G386)&lt;='Assumptions and Catalog'!$C$51,((D386+E386)*C386-G386)*'Assumptions and Catalog'!$H$51+'Assumptions and Catalog'!$E$51+'Assumptions and Catalog'!$F$51,IF(((D386+E386)*C386-G386)&lt;='Assumptions and Catalog'!$C$52,((D386+E386)*C386-G386)*'Assumptions and Catalog'!$H$52+'Assumptions and Catalog'!$E$52+'Assumptions and Catalog'!$F$52,IF(((D386+E386)*C386-G386)&lt;='Assumptions and Catalog'!$C$53,((D386+E386)*C386-G386)*'Assumptions and Catalog'!$H$53+'Assumptions and Catalog'!$E$53+'Assumptions and Catalog'!$F$53,IF(((D386+E386)*C386-G386)&lt;='Assumptions and Catalog'!$C$54,((D386+E386)*C386-G386)*'Assumptions and Catalog'!$H$54+'Assumptions and Catalog'!$E$54+'Assumptions and Catalog'!$F$54,IF(((D386+E386)*C386-G386)&lt;='Assumptions and Catalog'!$C$55,((D386+E386)*C386-G386)*'Assumptions and Catalog'!$H$55+'Assumptions and Catalog'!$E$55+'Assumptions and Catalog'!$F$55,IF(((D386+E386)*C386-G386)&lt;='Assumptions and Catalog'!$C$56,((D386+E386)*C386-G386)*'Assumptions and Catalog'!$H$56+'Assumptions and Catalog'!$E$56+'Assumptions and Catalog'!$F$56,IF(((D386+E386)*C386-G386)&lt;='Assumptions and Catalog'!$C$57,((D386+E386)*C386-G386)*'Assumptions and Catalog'!$H$57+'Assumptions and Catalog'!$E$57+'Assumptions and Catalog'!$F$57,"Out of range")))))))),IF(((D386+E386)*C386-G386)&lt;='Assumptions and Catalog'!$C$60,((D386+E386)*C386-G386)*'Assumptions and Catalog'!$H$60+'Assumptions and Catalog'!$E$60+'Assumptions and Catalog'!$F$60,IF(((D386+E386)*C386-G386)&lt;='Assumptions and Catalog'!$C$61,((D386+E386)*C386-G386)*'Assumptions and Catalog'!$H$61+'Assumptions and Catalog'!$E$61+'Assumptions and Catalog'!$F$61,IF(((D386+E386)*C386-G386)&lt;='Assumptions and Catalog'!$C$62,((D386+E386)*C386-G386)*'Assumptions and Catalog'!$H$62+'Assumptions and Catalog'!$E$62+'Assumptions and Catalog'!$F$62,IF(((D386+E386)*C386-G386)&lt;='Assumptions and Catalog'!$C$63,((D386+E386)*C386-G386)*'Assumptions and Catalog'!$H$63+'Assumptions and Catalog'!$E$63+'Assumptions and Catalog'!$F$63,IF(((D386+E386)*C386-G386)&lt;='Assumptions and Catalog'!$C$64,((D386+E386)*C386-G386)*'Assumptions and Catalog'!$H$64+'Assumptions and Catalog'!$E$64+'Assumptions and Catalog'!$F$64,IF(((D386+E386)*C386-G386)&lt;='Assumptions and Catalog'!$C$65,((D386+E386)*C386-G386)*'Assumptions and Catalog'!$H$65+'Assumptions and Catalog'!$E$65+'Assumptions and Catalog'!$F$65,"Out of range")))))))))*(1+'Assumptions and Catalog'!$C$8)^(A386-1),0)</f>
        <v>5323.0185086472402</v>
      </c>
      <c r="R386" s="5">
        <f>IF(AND('Assumptions and Catalog'!$C$19&gt;0,A386&gt;='Assumptions and Catalog'!$C$19),A386-'Assumptions and Catalog'!$C$19,A386-1)</f>
        <v>8</v>
      </c>
      <c r="S386" s="5">
        <f t="shared" si="31"/>
        <v>0</v>
      </c>
      <c r="T386" s="5"/>
      <c r="U386" s="5"/>
    </row>
    <row r="387" spans="1:21" ht="23.1" customHeight="1" outlineLevel="1" x14ac:dyDescent="0.2">
      <c r="A387" s="5">
        <v>19</v>
      </c>
      <c r="B387" s="5">
        <v>11</v>
      </c>
      <c r="C387" s="5">
        <f>DAY(DATE('Assumptions and Catalog'!$C$24+A387-1,B387+1,0))</f>
        <v>30</v>
      </c>
      <c r="D387" s="5">
        <f>IF(ISNUMBER(Inputs!$L$5),Inputs!$L$5*Inputs!$L$6,0)</f>
        <v>40.35</v>
      </c>
      <c r="E387" s="5">
        <f>IF(ISNUMBER(Inputs!$L$5),Inputs!$L$5-D387,0)</f>
        <v>40.35</v>
      </c>
      <c r="F387" s="5">
        <f>C$51*'Assumptions and Catalog'!$C$31*C387*(1-'Assumptions and Catalog'!$C$10)^(A387-1)</f>
        <v>914.620336400886</v>
      </c>
      <c r="G387" s="5">
        <f t="shared" si="26"/>
        <v>914.620336400886</v>
      </c>
      <c r="H387" s="5">
        <f>I387/('Assumptions and Catalog'!$C$11*'Assumptions and Catalog'!$C$12)</f>
        <v>0</v>
      </c>
      <c r="I387" s="5">
        <f>0</f>
        <v>0</v>
      </c>
      <c r="J387" s="5">
        <f t="shared" si="27"/>
        <v>0</v>
      </c>
      <c r="K387" s="5">
        <f t="shared" si="28"/>
        <v>0</v>
      </c>
      <c r="L387" s="5">
        <f t="shared" si="29"/>
        <v>1506.3796635991139</v>
      </c>
      <c r="M387" s="5">
        <f>IF(ISNUMBER(Inputs!$L$5),(IF(Inputs!$L$9="Actual flat rate",((D387+E387)*C387)*Inputs!$L$10,IF(Inputs!$C$9="Residential",IF(((D387+E387)*C387)&lt;='Assumptions and Catalog'!$C$50,((D387+E387)*C387)*'Assumptions and Catalog'!$H$50+'Assumptions and Catalog'!$E$50+'Assumptions and Catalog'!$F$50,IF(((D387+E387)*C387)&lt;='Assumptions and Catalog'!$C$51,((D387+E387)*C387)*'Assumptions and Catalog'!$H$51+'Assumptions and Catalog'!$E$51+'Assumptions and Catalog'!$F$51,IF(((D387+E387)*C387)&lt;='Assumptions and Catalog'!$C$52,((D387+E387)*C387)*'Assumptions and Catalog'!$H$52+'Assumptions and Catalog'!$E$52+'Assumptions and Catalog'!$F$52,IF(((D387+E387)*C387)&lt;='Assumptions and Catalog'!$C$53,((D387+E387)*C387)*'Assumptions and Catalog'!$H$53+'Assumptions and Catalog'!$E$53+'Assumptions and Catalog'!$F$53,IF(((D387+E387)*C387)&lt;='Assumptions and Catalog'!$C$54,((D387+E387)*C387)*'Assumptions and Catalog'!$H$54+'Assumptions and Catalog'!$E$54+'Assumptions and Catalog'!$F$54,IF(((D387+E387)*C387)&lt;='Assumptions and Catalog'!$C$55,((D387+E387)*C387)*'Assumptions and Catalog'!$H$55+'Assumptions and Catalog'!$E$55+'Assumptions and Catalog'!$F$55,IF(((D387+E387)*C387)&lt;='Assumptions and Catalog'!$C$56,((D387+E387)*C387)*'Assumptions and Catalog'!$H$56+'Assumptions and Catalog'!$E$56+'Assumptions and Catalog'!$F$56,IF(((D387+E387)*C387)&lt;='Assumptions and Catalog'!$C$57,((D387+E387)*C387)*'Assumptions and Catalog'!$H$57+'Assumptions and Catalog'!$E$57+'Assumptions and Catalog'!$F$57,"Out of range")))))))),IF(((D387+E387)*C387)&lt;='Assumptions and Catalog'!$C$60,((D387+E387)*C387)*'Assumptions and Catalog'!$H$60+'Assumptions and Catalog'!$E$60+'Assumptions and Catalog'!$F$60,IF(((D387+E387)*C387)&lt;='Assumptions and Catalog'!$C$61,((D387+E387)*C387)*'Assumptions and Catalog'!$H$61+'Assumptions and Catalog'!$E$61+'Assumptions and Catalog'!$F$61,IF(((D387+E387)*C387)&lt;='Assumptions and Catalog'!$C$62,((D387+E387)*C387)*'Assumptions and Catalog'!$H$62+'Assumptions and Catalog'!$E$62+'Assumptions and Catalog'!$F$62,IF(((D387+E387)*C387)&lt;='Assumptions and Catalog'!$C$63,((D387+E387)*C387)*'Assumptions and Catalog'!$H$63+'Assumptions and Catalog'!$E$63+'Assumptions and Catalog'!$F$63,IF(((D387+E387)*C387)&lt;='Assumptions and Catalog'!$C$64,((D387+E387)*C387)*'Assumptions and Catalog'!$H$64+'Assumptions and Catalog'!$E$64+'Assumptions and Catalog'!$F$64,IF(((D387+E387)*C387)&lt;='Assumptions and Catalog'!$C$65,((D387+E387)*C387)*'Assumptions and Catalog'!$H$65+'Assumptions and Catalog'!$E$65+'Assumptions and Catalog'!$F$65,"Out of range")))))))))*(1+'Assumptions and Catalog'!$C$8)^(A387-1),0)</f>
        <v>8279</v>
      </c>
      <c r="N387" s="5">
        <f>IF(ISNUMBER(Inputs!$L$5),(IF(Inputs!$L$9="Actual flat rate",L387*Inputs!$L$10,IF(Inputs!$C$9="Residential",IF(L387&lt;='Assumptions and Catalog'!$C$50,L387*'Assumptions and Catalog'!$H$50+'Assumptions and Catalog'!$E$50+'Assumptions and Catalog'!$F$50,IF(L387&lt;='Assumptions and Catalog'!$C$51,L387*'Assumptions and Catalog'!$H$51+'Assumptions and Catalog'!$E$51+'Assumptions and Catalog'!$F$51,IF(L387&lt;='Assumptions and Catalog'!$C$52,L387*'Assumptions and Catalog'!$H$52+'Assumptions and Catalog'!$E$52+'Assumptions and Catalog'!$F$52,IF(L387&lt;='Assumptions and Catalog'!$C$53,L387*'Assumptions and Catalog'!$H$53+'Assumptions and Catalog'!$E$53+'Assumptions and Catalog'!$F$53,IF(L387&lt;='Assumptions and Catalog'!$C$54,L387*'Assumptions and Catalog'!$H$54+'Assumptions and Catalog'!$E$54+'Assumptions and Catalog'!$F$54,IF(L387&lt;='Assumptions and Catalog'!$C$55,L387*'Assumptions and Catalog'!$H$55+'Assumptions and Catalog'!$E$55+'Assumptions and Catalog'!$F$55,IF(L387&lt;='Assumptions and Catalog'!$C$56,L387*'Assumptions and Catalog'!$H$56+'Assumptions and Catalog'!$E$56+'Assumptions and Catalog'!$F$56,IF(L387&lt;='Assumptions and Catalog'!$C$57,L387*'Assumptions and Catalog'!$H$57+'Assumptions and Catalog'!$E$57+'Assumptions and Catalog'!$F$57,"Out of range")))))))),IF(L387&lt;='Assumptions and Catalog'!$C$60,L387*'Assumptions and Catalog'!$H$60+'Assumptions and Catalog'!$E$60+'Assumptions and Catalog'!$F$60,IF(L387&lt;='Assumptions and Catalog'!$C$61,L387*'Assumptions and Catalog'!$H$61+'Assumptions and Catalog'!$E$61+'Assumptions and Catalog'!$F$61,IF(L387&lt;='Assumptions and Catalog'!$C$62,L387*'Assumptions and Catalog'!$H$62+'Assumptions and Catalog'!$E$62+'Assumptions and Catalog'!$F$62,IF(L387&lt;='Assumptions and Catalog'!$C$63,L387*'Assumptions and Catalog'!$H$63+'Assumptions and Catalog'!$E$63+'Assumptions and Catalog'!$F$63,IF(L387&lt;='Assumptions and Catalog'!$C$64,L387*'Assumptions and Catalog'!$H$64+'Assumptions and Catalog'!$E$64+'Assumptions and Catalog'!$F$64,IF(L387&lt;='Assumptions and Catalog'!$C$65,L387*'Assumptions and Catalog'!$H$65+'Assumptions and Catalog'!$E$65+'Assumptions and Catalog'!$F$65,"Out of range")))))))))*(1+'Assumptions and Catalog'!$C$8)^(A387-1),0)</f>
        <v>5151.3082341747477</v>
      </c>
      <c r="O387" s="5">
        <f t="shared" si="30"/>
        <v>3127.6917658252523</v>
      </c>
      <c r="P387" s="5">
        <f>C$55*(1-J$14)*(1-'Assumptions and Catalog'!$C$23)^R387</f>
        <v>0</v>
      </c>
      <c r="Q387" s="5">
        <f>IF(ISNUMBER(Inputs!$L$5),(IF(Inputs!$L$9="Actual flat rate",((D387+E387)*C387-G387)*Inputs!$L$10,IF(Inputs!$C$9="Residential",IF(((D387+E387)*C387-G387)&lt;='Assumptions and Catalog'!$C$50,((D387+E387)*C387-G387)*'Assumptions and Catalog'!$H$50+'Assumptions and Catalog'!$E$50+'Assumptions and Catalog'!$F$50,IF(((D387+E387)*C387-G387)&lt;='Assumptions and Catalog'!$C$51,((D387+E387)*C387-G387)*'Assumptions and Catalog'!$H$51+'Assumptions and Catalog'!$E$51+'Assumptions and Catalog'!$F$51,IF(((D387+E387)*C387-G387)&lt;='Assumptions and Catalog'!$C$52,((D387+E387)*C387-G387)*'Assumptions and Catalog'!$H$52+'Assumptions and Catalog'!$E$52+'Assumptions and Catalog'!$F$52,IF(((D387+E387)*C387-G387)&lt;='Assumptions and Catalog'!$C$53,((D387+E387)*C387-G387)*'Assumptions and Catalog'!$H$53+'Assumptions and Catalog'!$E$53+'Assumptions and Catalog'!$F$53,IF(((D387+E387)*C387-G387)&lt;='Assumptions and Catalog'!$C$54,((D387+E387)*C387-G387)*'Assumptions and Catalog'!$H$54+'Assumptions and Catalog'!$E$54+'Assumptions and Catalog'!$F$54,IF(((D387+E387)*C387-G387)&lt;='Assumptions and Catalog'!$C$55,((D387+E387)*C387-G387)*'Assumptions and Catalog'!$H$55+'Assumptions and Catalog'!$E$55+'Assumptions and Catalog'!$F$55,IF(((D387+E387)*C387-G387)&lt;='Assumptions and Catalog'!$C$56,((D387+E387)*C387-G387)*'Assumptions and Catalog'!$H$56+'Assumptions and Catalog'!$E$56+'Assumptions and Catalog'!$F$56,IF(((D387+E387)*C387-G387)&lt;='Assumptions and Catalog'!$C$57,((D387+E387)*C387-G387)*'Assumptions and Catalog'!$H$57+'Assumptions and Catalog'!$E$57+'Assumptions and Catalog'!$F$57,"Out of range")))))))),IF(((D387+E387)*C387-G387)&lt;='Assumptions and Catalog'!$C$60,((D387+E387)*C387-G387)*'Assumptions and Catalog'!$H$60+'Assumptions and Catalog'!$E$60+'Assumptions and Catalog'!$F$60,IF(((D387+E387)*C387-G387)&lt;='Assumptions and Catalog'!$C$61,((D387+E387)*C387-G387)*'Assumptions and Catalog'!$H$61+'Assumptions and Catalog'!$E$61+'Assumptions and Catalog'!$F$61,IF(((D387+E387)*C387-G387)&lt;='Assumptions and Catalog'!$C$62,((D387+E387)*C387-G387)*'Assumptions and Catalog'!$H$62+'Assumptions and Catalog'!$E$62+'Assumptions and Catalog'!$F$62,IF(((D387+E387)*C387-G387)&lt;='Assumptions and Catalog'!$C$63,((D387+E387)*C387-G387)*'Assumptions and Catalog'!$H$63+'Assumptions and Catalog'!$E$63+'Assumptions and Catalog'!$F$63,IF(((D387+E387)*C387-G387)&lt;='Assumptions and Catalog'!$C$64,((D387+E387)*C387-G387)*'Assumptions and Catalog'!$H$64+'Assumptions and Catalog'!$E$64+'Assumptions and Catalog'!$F$64,IF(((D387+E387)*C387-G387)&lt;='Assumptions and Catalog'!$C$65,((D387+E387)*C387-G387)*'Assumptions and Catalog'!$H$65+'Assumptions and Catalog'!$E$65+'Assumptions and Catalog'!$F$65,"Out of range")))))))))*(1+'Assumptions and Catalog'!$C$8)^(A387-1),0)</f>
        <v>5151.3082341747477</v>
      </c>
      <c r="R387" s="5">
        <f>IF(AND('Assumptions and Catalog'!$C$19&gt;0,A387&gt;='Assumptions and Catalog'!$C$19),A387-'Assumptions and Catalog'!$C$19,A387-1)</f>
        <v>8</v>
      </c>
      <c r="S387" s="5">
        <f t="shared" si="31"/>
        <v>0</v>
      </c>
      <c r="T387" s="5"/>
      <c r="U387" s="5"/>
    </row>
    <row r="388" spans="1:21" ht="23.1" customHeight="1" outlineLevel="1" x14ac:dyDescent="0.2">
      <c r="A388" s="5">
        <v>19</v>
      </c>
      <c r="B388" s="5">
        <v>12</v>
      </c>
      <c r="C388" s="5">
        <f>DAY(DATE('Assumptions and Catalog'!$C$24+A388-1,B388+1,0))</f>
        <v>31</v>
      </c>
      <c r="D388" s="5">
        <f>IF(ISNUMBER(Inputs!$L$5),Inputs!$L$5*Inputs!$L$6,0)</f>
        <v>40.35</v>
      </c>
      <c r="E388" s="5">
        <f>IF(ISNUMBER(Inputs!$L$5),Inputs!$L$5-D388,0)</f>
        <v>40.35</v>
      </c>
      <c r="F388" s="5">
        <f>C$51*'Assumptions and Catalog'!$C$31*C388*(1-'Assumptions and Catalog'!$C$10)^(A388-1)</f>
        <v>945.10768094758214</v>
      </c>
      <c r="G388" s="5">
        <f t="shared" si="26"/>
        <v>945.10768094758214</v>
      </c>
      <c r="H388" s="5">
        <f>I388/('Assumptions and Catalog'!$C$11*'Assumptions and Catalog'!$C$12)</f>
        <v>0</v>
      </c>
      <c r="I388" s="5">
        <f>0</f>
        <v>0</v>
      </c>
      <c r="J388" s="5">
        <f t="shared" si="27"/>
        <v>0</v>
      </c>
      <c r="K388" s="5">
        <f t="shared" si="28"/>
        <v>0</v>
      </c>
      <c r="L388" s="5">
        <f t="shared" si="29"/>
        <v>1556.5923190524181</v>
      </c>
      <c r="M388" s="5">
        <f>IF(ISNUMBER(Inputs!$L$5),(IF(Inputs!$L$9="Actual flat rate",((D388+E388)*C388)*Inputs!$L$10,IF(Inputs!$C$9="Residential",IF(((D388+E388)*C388)&lt;='Assumptions and Catalog'!$C$50,((D388+E388)*C388)*'Assumptions and Catalog'!$H$50+'Assumptions and Catalog'!$E$50+'Assumptions and Catalog'!$F$50,IF(((D388+E388)*C388)&lt;='Assumptions and Catalog'!$C$51,((D388+E388)*C388)*'Assumptions and Catalog'!$H$51+'Assumptions and Catalog'!$E$51+'Assumptions and Catalog'!$F$51,IF(((D388+E388)*C388)&lt;='Assumptions and Catalog'!$C$52,((D388+E388)*C388)*'Assumptions and Catalog'!$H$52+'Assumptions and Catalog'!$E$52+'Assumptions and Catalog'!$F$52,IF(((D388+E388)*C388)&lt;='Assumptions and Catalog'!$C$53,((D388+E388)*C388)*'Assumptions and Catalog'!$H$53+'Assumptions and Catalog'!$E$53+'Assumptions and Catalog'!$F$53,IF(((D388+E388)*C388)&lt;='Assumptions and Catalog'!$C$54,((D388+E388)*C388)*'Assumptions and Catalog'!$H$54+'Assumptions and Catalog'!$E$54+'Assumptions and Catalog'!$F$54,IF(((D388+E388)*C388)&lt;='Assumptions and Catalog'!$C$55,((D388+E388)*C388)*'Assumptions and Catalog'!$H$55+'Assumptions and Catalog'!$E$55+'Assumptions and Catalog'!$F$55,IF(((D388+E388)*C388)&lt;='Assumptions and Catalog'!$C$56,((D388+E388)*C388)*'Assumptions and Catalog'!$H$56+'Assumptions and Catalog'!$E$56+'Assumptions and Catalog'!$F$56,IF(((D388+E388)*C388)&lt;='Assumptions and Catalog'!$C$57,((D388+E388)*C388)*'Assumptions and Catalog'!$H$57+'Assumptions and Catalog'!$E$57+'Assumptions and Catalog'!$F$57,"Out of range")))))))),IF(((D388+E388)*C388)&lt;='Assumptions and Catalog'!$C$60,((D388+E388)*C388)*'Assumptions and Catalog'!$H$60+'Assumptions and Catalog'!$E$60+'Assumptions and Catalog'!$F$60,IF(((D388+E388)*C388)&lt;='Assumptions and Catalog'!$C$61,((D388+E388)*C388)*'Assumptions and Catalog'!$H$61+'Assumptions and Catalog'!$E$61+'Assumptions and Catalog'!$F$61,IF(((D388+E388)*C388)&lt;='Assumptions and Catalog'!$C$62,((D388+E388)*C388)*'Assumptions and Catalog'!$H$62+'Assumptions and Catalog'!$E$62+'Assumptions and Catalog'!$F$62,IF(((D388+E388)*C388)&lt;='Assumptions and Catalog'!$C$63,((D388+E388)*C388)*'Assumptions and Catalog'!$H$63+'Assumptions and Catalog'!$E$63+'Assumptions and Catalog'!$F$63,IF(((D388+E388)*C388)&lt;='Assumptions and Catalog'!$C$64,((D388+E388)*C388)*'Assumptions and Catalog'!$H$64+'Assumptions and Catalog'!$E$64+'Assumptions and Catalog'!$F$64,IF(((D388+E388)*C388)&lt;='Assumptions and Catalog'!$C$65,((D388+E388)*C388)*'Assumptions and Catalog'!$H$65+'Assumptions and Catalog'!$E$65+'Assumptions and Catalog'!$F$65,"Out of range")))))))))*(1+'Assumptions and Catalog'!$C$8)^(A388-1),0)</f>
        <v>8554.9666666666672</v>
      </c>
      <c r="N388" s="5">
        <f>IF(ISNUMBER(Inputs!$L$5),(IF(Inputs!$L$9="Actual flat rate",L388*Inputs!$L$10,IF(Inputs!$C$9="Residential",IF(L388&lt;='Assumptions and Catalog'!$C$50,L388*'Assumptions and Catalog'!$H$50+'Assumptions and Catalog'!$E$50+'Assumptions and Catalog'!$F$50,IF(L388&lt;='Assumptions and Catalog'!$C$51,L388*'Assumptions and Catalog'!$H$51+'Assumptions and Catalog'!$E$51+'Assumptions and Catalog'!$F$51,IF(L388&lt;='Assumptions and Catalog'!$C$52,L388*'Assumptions and Catalog'!$H$52+'Assumptions and Catalog'!$E$52+'Assumptions and Catalog'!$F$52,IF(L388&lt;='Assumptions and Catalog'!$C$53,L388*'Assumptions and Catalog'!$H$53+'Assumptions and Catalog'!$E$53+'Assumptions and Catalog'!$F$53,IF(L388&lt;='Assumptions and Catalog'!$C$54,L388*'Assumptions and Catalog'!$H$54+'Assumptions and Catalog'!$E$54+'Assumptions and Catalog'!$F$54,IF(L388&lt;='Assumptions and Catalog'!$C$55,L388*'Assumptions and Catalog'!$H$55+'Assumptions and Catalog'!$E$55+'Assumptions and Catalog'!$F$55,IF(L388&lt;='Assumptions and Catalog'!$C$56,L388*'Assumptions and Catalog'!$H$56+'Assumptions and Catalog'!$E$56+'Assumptions and Catalog'!$F$56,IF(L388&lt;='Assumptions and Catalog'!$C$57,L388*'Assumptions and Catalog'!$H$57+'Assumptions and Catalog'!$E$57+'Assumptions and Catalog'!$F$57,"Out of range")))))))),IF(L388&lt;='Assumptions and Catalog'!$C$60,L388*'Assumptions and Catalog'!$H$60+'Assumptions and Catalog'!$E$60+'Assumptions and Catalog'!$F$60,IF(L388&lt;='Assumptions and Catalog'!$C$61,L388*'Assumptions and Catalog'!$H$61+'Assumptions and Catalog'!$E$61+'Assumptions and Catalog'!$F$61,IF(L388&lt;='Assumptions and Catalog'!$C$62,L388*'Assumptions and Catalog'!$H$62+'Assumptions and Catalog'!$E$62+'Assumptions and Catalog'!$F$62,IF(L388&lt;='Assumptions and Catalog'!$C$63,L388*'Assumptions and Catalog'!$H$63+'Assumptions and Catalog'!$E$63+'Assumptions and Catalog'!$F$63,IF(L388&lt;='Assumptions and Catalog'!$C$64,L388*'Assumptions and Catalog'!$H$64+'Assumptions and Catalog'!$E$64+'Assumptions and Catalog'!$F$64,IF(L388&lt;='Assumptions and Catalog'!$C$65,L388*'Assumptions and Catalog'!$H$65+'Assumptions and Catalog'!$E$65+'Assumptions and Catalog'!$F$65,"Out of range")))))))))*(1+'Assumptions and Catalog'!$C$8)^(A388-1),0)</f>
        <v>5323.0185086472402</v>
      </c>
      <c r="O388" s="5">
        <f t="shared" si="30"/>
        <v>3231.948158019427</v>
      </c>
      <c r="P388" s="5">
        <f>C$55*(1-J$14)*(1-'Assumptions and Catalog'!$C$23)^R388</f>
        <v>0</v>
      </c>
      <c r="Q388" s="5">
        <f>IF(ISNUMBER(Inputs!$L$5),(IF(Inputs!$L$9="Actual flat rate",((D388+E388)*C388-G388)*Inputs!$L$10,IF(Inputs!$C$9="Residential",IF(((D388+E388)*C388-G388)&lt;='Assumptions and Catalog'!$C$50,((D388+E388)*C388-G388)*'Assumptions and Catalog'!$H$50+'Assumptions and Catalog'!$E$50+'Assumptions and Catalog'!$F$50,IF(((D388+E388)*C388-G388)&lt;='Assumptions and Catalog'!$C$51,((D388+E388)*C388-G388)*'Assumptions and Catalog'!$H$51+'Assumptions and Catalog'!$E$51+'Assumptions and Catalog'!$F$51,IF(((D388+E388)*C388-G388)&lt;='Assumptions and Catalog'!$C$52,((D388+E388)*C388-G388)*'Assumptions and Catalog'!$H$52+'Assumptions and Catalog'!$E$52+'Assumptions and Catalog'!$F$52,IF(((D388+E388)*C388-G388)&lt;='Assumptions and Catalog'!$C$53,((D388+E388)*C388-G388)*'Assumptions and Catalog'!$H$53+'Assumptions and Catalog'!$E$53+'Assumptions and Catalog'!$F$53,IF(((D388+E388)*C388-G388)&lt;='Assumptions and Catalog'!$C$54,((D388+E388)*C388-G388)*'Assumptions and Catalog'!$H$54+'Assumptions and Catalog'!$E$54+'Assumptions and Catalog'!$F$54,IF(((D388+E388)*C388-G388)&lt;='Assumptions and Catalog'!$C$55,((D388+E388)*C388-G388)*'Assumptions and Catalog'!$H$55+'Assumptions and Catalog'!$E$55+'Assumptions and Catalog'!$F$55,IF(((D388+E388)*C388-G388)&lt;='Assumptions and Catalog'!$C$56,((D388+E388)*C388-G388)*'Assumptions and Catalog'!$H$56+'Assumptions and Catalog'!$E$56+'Assumptions and Catalog'!$F$56,IF(((D388+E388)*C388-G388)&lt;='Assumptions and Catalog'!$C$57,((D388+E388)*C388-G388)*'Assumptions and Catalog'!$H$57+'Assumptions and Catalog'!$E$57+'Assumptions and Catalog'!$F$57,"Out of range")))))))),IF(((D388+E388)*C388-G388)&lt;='Assumptions and Catalog'!$C$60,((D388+E388)*C388-G388)*'Assumptions and Catalog'!$H$60+'Assumptions and Catalog'!$E$60+'Assumptions and Catalog'!$F$60,IF(((D388+E388)*C388-G388)&lt;='Assumptions and Catalog'!$C$61,((D388+E388)*C388-G388)*'Assumptions and Catalog'!$H$61+'Assumptions and Catalog'!$E$61+'Assumptions and Catalog'!$F$61,IF(((D388+E388)*C388-G388)&lt;='Assumptions and Catalog'!$C$62,((D388+E388)*C388-G388)*'Assumptions and Catalog'!$H$62+'Assumptions and Catalog'!$E$62+'Assumptions and Catalog'!$F$62,IF(((D388+E388)*C388-G388)&lt;='Assumptions and Catalog'!$C$63,((D388+E388)*C388-G388)*'Assumptions and Catalog'!$H$63+'Assumptions and Catalog'!$E$63+'Assumptions and Catalog'!$F$63,IF(((D388+E388)*C388-G388)&lt;='Assumptions and Catalog'!$C$64,((D388+E388)*C388-G388)*'Assumptions and Catalog'!$H$64+'Assumptions and Catalog'!$E$64+'Assumptions and Catalog'!$F$64,IF(((D388+E388)*C388-G388)&lt;='Assumptions and Catalog'!$C$65,((D388+E388)*C388-G388)*'Assumptions and Catalog'!$H$65+'Assumptions and Catalog'!$E$65+'Assumptions and Catalog'!$F$65,"Out of range")))))))))*(1+'Assumptions and Catalog'!$C$8)^(A388-1),0)</f>
        <v>5323.0185086472402</v>
      </c>
      <c r="R388" s="5">
        <f>IF(AND('Assumptions and Catalog'!$C$19&gt;0,A388&gt;='Assumptions and Catalog'!$C$19),A388-'Assumptions and Catalog'!$C$19,A388-1)</f>
        <v>8</v>
      </c>
      <c r="S388" s="5">
        <f t="shared" si="31"/>
        <v>0</v>
      </c>
      <c r="T388" s="5"/>
      <c r="U388" s="5"/>
    </row>
    <row r="389" spans="1:21" ht="23.1" customHeight="1" outlineLevel="1" x14ac:dyDescent="0.2">
      <c r="A389" s="5">
        <v>20</v>
      </c>
      <c r="B389" s="5">
        <v>1</v>
      </c>
      <c r="C389" s="5">
        <f>DAY(DATE('Assumptions and Catalog'!$C$24+A389-1,B389+1,0))</f>
        <v>31</v>
      </c>
      <c r="D389" s="5">
        <f>IF(ISNUMBER(Inputs!$L$5),Inputs!$L$5*Inputs!$L$6,0)</f>
        <v>40.35</v>
      </c>
      <c r="E389" s="5">
        <f>IF(ISNUMBER(Inputs!$L$5),Inputs!$L$5-D389,0)</f>
        <v>40.35</v>
      </c>
      <c r="F389" s="5">
        <f>C$51*'Assumptions and Catalog'!$C$31*C389*(1-'Assumptions and Catalog'!$C$10)^(A389-1)</f>
        <v>940.38214254284412</v>
      </c>
      <c r="G389" s="5">
        <f t="shared" si="26"/>
        <v>940.38214254284412</v>
      </c>
      <c r="H389" s="5">
        <f>I389/('Assumptions and Catalog'!$C$11*'Assumptions and Catalog'!$C$12)</f>
        <v>0</v>
      </c>
      <c r="I389" s="5">
        <f>0</f>
        <v>0</v>
      </c>
      <c r="J389" s="5">
        <f t="shared" si="27"/>
        <v>0</v>
      </c>
      <c r="K389" s="5">
        <f t="shared" si="28"/>
        <v>0</v>
      </c>
      <c r="L389" s="5">
        <f t="shared" si="29"/>
        <v>1561.3178574571562</v>
      </c>
      <c r="M389" s="5">
        <f>IF(ISNUMBER(Inputs!$L$5),(IF(Inputs!$L$9="Actual flat rate",((D389+E389)*C389)*Inputs!$L$10,IF(Inputs!$C$9="Residential",IF(((D389+E389)*C389)&lt;='Assumptions and Catalog'!$C$50,((D389+E389)*C389)*'Assumptions and Catalog'!$H$50+'Assumptions and Catalog'!$E$50+'Assumptions and Catalog'!$F$50,IF(((D389+E389)*C389)&lt;='Assumptions and Catalog'!$C$51,((D389+E389)*C389)*'Assumptions and Catalog'!$H$51+'Assumptions and Catalog'!$E$51+'Assumptions and Catalog'!$F$51,IF(((D389+E389)*C389)&lt;='Assumptions and Catalog'!$C$52,((D389+E389)*C389)*'Assumptions and Catalog'!$H$52+'Assumptions and Catalog'!$E$52+'Assumptions and Catalog'!$F$52,IF(((D389+E389)*C389)&lt;='Assumptions and Catalog'!$C$53,((D389+E389)*C389)*'Assumptions and Catalog'!$H$53+'Assumptions and Catalog'!$E$53+'Assumptions and Catalog'!$F$53,IF(((D389+E389)*C389)&lt;='Assumptions and Catalog'!$C$54,((D389+E389)*C389)*'Assumptions and Catalog'!$H$54+'Assumptions and Catalog'!$E$54+'Assumptions and Catalog'!$F$54,IF(((D389+E389)*C389)&lt;='Assumptions and Catalog'!$C$55,((D389+E389)*C389)*'Assumptions and Catalog'!$H$55+'Assumptions and Catalog'!$E$55+'Assumptions and Catalog'!$F$55,IF(((D389+E389)*C389)&lt;='Assumptions and Catalog'!$C$56,((D389+E389)*C389)*'Assumptions and Catalog'!$H$56+'Assumptions and Catalog'!$E$56+'Assumptions and Catalog'!$F$56,IF(((D389+E389)*C389)&lt;='Assumptions and Catalog'!$C$57,((D389+E389)*C389)*'Assumptions and Catalog'!$H$57+'Assumptions and Catalog'!$E$57+'Assumptions and Catalog'!$F$57,"Out of range")))))))),IF(((D389+E389)*C389)&lt;='Assumptions and Catalog'!$C$60,((D389+E389)*C389)*'Assumptions and Catalog'!$H$60+'Assumptions and Catalog'!$E$60+'Assumptions and Catalog'!$F$60,IF(((D389+E389)*C389)&lt;='Assumptions and Catalog'!$C$61,((D389+E389)*C389)*'Assumptions and Catalog'!$H$61+'Assumptions and Catalog'!$E$61+'Assumptions and Catalog'!$F$61,IF(((D389+E389)*C389)&lt;='Assumptions and Catalog'!$C$62,((D389+E389)*C389)*'Assumptions and Catalog'!$H$62+'Assumptions and Catalog'!$E$62+'Assumptions and Catalog'!$F$62,IF(((D389+E389)*C389)&lt;='Assumptions and Catalog'!$C$63,((D389+E389)*C389)*'Assumptions and Catalog'!$H$63+'Assumptions and Catalog'!$E$63+'Assumptions and Catalog'!$F$63,IF(((D389+E389)*C389)&lt;='Assumptions and Catalog'!$C$64,((D389+E389)*C389)*'Assumptions and Catalog'!$H$64+'Assumptions and Catalog'!$E$64+'Assumptions and Catalog'!$F$64,IF(((D389+E389)*C389)&lt;='Assumptions and Catalog'!$C$65,((D389+E389)*C389)*'Assumptions and Catalog'!$H$65+'Assumptions and Catalog'!$E$65+'Assumptions and Catalog'!$F$65,"Out of range")))))))))*(1+'Assumptions and Catalog'!$C$8)^(A389-1),0)</f>
        <v>8554.9666666666672</v>
      </c>
      <c r="N389" s="5">
        <f>IF(ISNUMBER(Inputs!$L$5),(IF(Inputs!$L$9="Actual flat rate",L389*Inputs!$L$10,IF(Inputs!$C$9="Residential",IF(L389&lt;='Assumptions and Catalog'!$C$50,L389*'Assumptions and Catalog'!$H$50+'Assumptions and Catalog'!$E$50+'Assumptions and Catalog'!$F$50,IF(L389&lt;='Assumptions and Catalog'!$C$51,L389*'Assumptions and Catalog'!$H$51+'Assumptions and Catalog'!$E$51+'Assumptions and Catalog'!$F$51,IF(L389&lt;='Assumptions and Catalog'!$C$52,L389*'Assumptions and Catalog'!$H$52+'Assumptions and Catalog'!$E$52+'Assumptions and Catalog'!$F$52,IF(L389&lt;='Assumptions and Catalog'!$C$53,L389*'Assumptions and Catalog'!$H$53+'Assumptions and Catalog'!$E$53+'Assumptions and Catalog'!$F$53,IF(L389&lt;='Assumptions and Catalog'!$C$54,L389*'Assumptions and Catalog'!$H$54+'Assumptions and Catalog'!$E$54+'Assumptions and Catalog'!$F$54,IF(L389&lt;='Assumptions and Catalog'!$C$55,L389*'Assumptions and Catalog'!$H$55+'Assumptions and Catalog'!$E$55+'Assumptions and Catalog'!$F$55,IF(L389&lt;='Assumptions and Catalog'!$C$56,L389*'Assumptions and Catalog'!$H$56+'Assumptions and Catalog'!$E$56+'Assumptions and Catalog'!$F$56,IF(L389&lt;='Assumptions and Catalog'!$C$57,L389*'Assumptions and Catalog'!$H$57+'Assumptions and Catalog'!$E$57+'Assumptions and Catalog'!$F$57,"Out of range")))))))),IF(L389&lt;='Assumptions and Catalog'!$C$60,L389*'Assumptions and Catalog'!$H$60+'Assumptions and Catalog'!$E$60+'Assumptions and Catalog'!$F$60,IF(L389&lt;='Assumptions and Catalog'!$C$61,L389*'Assumptions and Catalog'!$H$61+'Assumptions and Catalog'!$E$61+'Assumptions and Catalog'!$F$61,IF(L389&lt;='Assumptions and Catalog'!$C$62,L389*'Assumptions and Catalog'!$H$62+'Assumptions and Catalog'!$E$62+'Assumptions and Catalog'!$F$62,IF(L389&lt;='Assumptions and Catalog'!$C$63,L389*'Assumptions and Catalog'!$H$63+'Assumptions and Catalog'!$E$63+'Assumptions and Catalog'!$F$63,IF(L389&lt;='Assumptions and Catalog'!$C$64,L389*'Assumptions and Catalog'!$H$64+'Assumptions and Catalog'!$E$64+'Assumptions and Catalog'!$F$64,IF(L389&lt;='Assumptions and Catalog'!$C$65,L389*'Assumptions and Catalog'!$H$65+'Assumptions and Catalog'!$E$65+'Assumptions and Catalog'!$F$65,"Out of range")))))))))*(1+'Assumptions and Catalog'!$C$8)^(A389-1),0)</f>
        <v>5339.1782494373383</v>
      </c>
      <c r="O389" s="5">
        <f t="shared" si="30"/>
        <v>3215.7884172293288</v>
      </c>
      <c r="P389" s="5">
        <f>C$55*(1-J$14)*(1-'Assumptions and Catalog'!$C$23)^R389</f>
        <v>0</v>
      </c>
      <c r="Q389" s="5">
        <f>IF(ISNUMBER(Inputs!$L$5),(IF(Inputs!$L$9="Actual flat rate",((D389+E389)*C389-G389)*Inputs!$L$10,IF(Inputs!$C$9="Residential",IF(((D389+E389)*C389-G389)&lt;='Assumptions and Catalog'!$C$50,((D389+E389)*C389-G389)*'Assumptions and Catalog'!$H$50+'Assumptions and Catalog'!$E$50+'Assumptions and Catalog'!$F$50,IF(((D389+E389)*C389-G389)&lt;='Assumptions and Catalog'!$C$51,((D389+E389)*C389-G389)*'Assumptions and Catalog'!$H$51+'Assumptions and Catalog'!$E$51+'Assumptions and Catalog'!$F$51,IF(((D389+E389)*C389-G389)&lt;='Assumptions and Catalog'!$C$52,((D389+E389)*C389-G389)*'Assumptions and Catalog'!$H$52+'Assumptions and Catalog'!$E$52+'Assumptions and Catalog'!$F$52,IF(((D389+E389)*C389-G389)&lt;='Assumptions and Catalog'!$C$53,((D389+E389)*C389-G389)*'Assumptions and Catalog'!$H$53+'Assumptions and Catalog'!$E$53+'Assumptions and Catalog'!$F$53,IF(((D389+E389)*C389-G389)&lt;='Assumptions and Catalog'!$C$54,((D389+E389)*C389-G389)*'Assumptions and Catalog'!$H$54+'Assumptions and Catalog'!$E$54+'Assumptions and Catalog'!$F$54,IF(((D389+E389)*C389-G389)&lt;='Assumptions and Catalog'!$C$55,((D389+E389)*C389-G389)*'Assumptions and Catalog'!$H$55+'Assumptions and Catalog'!$E$55+'Assumptions and Catalog'!$F$55,IF(((D389+E389)*C389-G389)&lt;='Assumptions and Catalog'!$C$56,((D389+E389)*C389-G389)*'Assumptions and Catalog'!$H$56+'Assumptions and Catalog'!$E$56+'Assumptions and Catalog'!$F$56,IF(((D389+E389)*C389-G389)&lt;='Assumptions and Catalog'!$C$57,((D389+E389)*C389-G389)*'Assumptions and Catalog'!$H$57+'Assumptions and Catalog'!$E$57+'Assumptions and Catalog'!$F$57,"Out of range")))))))),IF(((D389+E389)*C389-G389)&lt;='Assumptions and Catalog'!$C$60,((D389+E389)*C389-G389)*'Assumptions and Catalog'!$H$60+'Assumptions and Catalog'!$E$60+'Assumptions and Catalog'!$F$60,IF(((D389+E389)*C389-G389)&lt;='Assumptions and Catalog'!$C$61,((D389+E389)*C389-G389)*'Assumptions and Catalog'!$H$61+'Assumptions and Catalog'!$E$61+'Assumptions and Catalog'!$F$61,IF(((D389+E389)*C389-G389)&lt;='Assumptions and Catalog'!$C$62,((D389+E389)*C389-G389)*'Assumptions and Catalog'!$H$62+'Assumptions and Catalog'!$E$62+'Assumptions and Catalog'!$F$62,IF(((D389+E389)*C389-G389)&lt;='Assumptions and Catalog'!$C$63,((D389+E389)*C389-G389)*'Assumptions and Catalog'!$H$63+'Assumptions and Catalog'!$E$63+'Assumptions and Catalog'!$F$63,IF(((D389+E389)*C389-G389)&lt;='Assumptions and Catalog'!$C$64,((D389+E389)*C389-G389)*'Assumptions and Catalog'!$H$64+'Assumptions and Catalog'!$E$64+'Assumptions and Catalog'!$F$64,IF(((D389+E389)*C389-G389)&lt;='Assumptions and Catalog'!$C$65,((D389+E389)*C389-G389)*'Assumptions and Catalog'!$H$65+'Assumptions and Catalog'!$E$65+'Assumptions and Catalog'!$F$65,"Out of range")))))))))*(1+'Assumptions and Catalog'!$C$8)^(A389-1),0)</f>
        <v>5339.1782494373383</v>
      </c>
      <c r="R389" s="5">
        <f>IF(AND('Assumptions and Catalog'!$C$19&gt;0,A389&gt;='Assumptions and Catalog'!$C$19),A389-'Assumptions and Catalog'!$C$19,A389-1)</f>
        <v>9</v>
      </c>
      <c r="S389" s="5">
        <f t="shared" si="31"/>
        <v>0</v>
      </c>
      <c r="T389" s="5"/>
      <c r="U389" s="5"/>
    </row>
    <row r="390" spans="1:21" ht="23.1" customHeight="1" outlineLevel="1" x14ac:dyDescent="0.2">
      <c r="A390" s="5">
        <v>20</v>
      </c>
      <c r="B390" s="5">
        <v>2</v>
      </c>
      <c r="C390" s="5">
        <f>DAY(DATE('Assumptions and Catalog'!$C$24+A390-1,B390+1,0))</f>
        <v>28</v>
      </c>
      <c r="D390" s="5">
        <f>IF(ISNUMBER(Inputs!$L$5),Inputs!$L$5*Inputs!$L$6,0)</f>
        <v>40.35</v>
      </c>
      <c r="E390" s="5">
        <f>IF(ISNUMBER(Inputs!$L$5),Inputs!$L$5-D390,0)</f>
        <v>40.35</v>
      </c>
      <c r="F390" s="5">
        <f>C$51*'Assumptions and Catalog'!$C$31*C390*(1-'Assumptions and Catalog'!$C$10)^(A390-1)</f>
        <v>849.37741907095597</v>
      </c>
      <c r="G390" s="5">
        <f t="shared" si="26"/>
        <v>849.37741907095597</v>
      </c>
      <c r="H390" s="5">
        <f>I390/('Assumptions and Catalog'!$C$11*'Assumptions and Catalog'!$C$12)</f>
        <v>0</v>
      </c>
      <c r="I390" s="5">
        <f>0</f>
        <v>0</v>
      </c>
      <c r="J390" s="5">
        <f t="shared" si="27"/>
        <v>0</v>
      </c>
      <c r="K390" s="5">
        <f t="shared" si="28"/>
        <v>0</v>
      </c>
      <c r="L390" s="5">
        <f t="shared" si="29"/>
        <v>1410.2225809290439</v>
      </c>
      <c r="M390" s="5">
        <f>IF(ISNUMBER(Inputs!$L$5),(IF(Inputs!$L$9="Actual flat rate",((D390+E390)*C390)*Inputs!$L$10,IF(Inputs!$C$9="Residential",IF(((D390+E390)*C390)&lt;='Assumptions and Catalog'!$C$50,((D390+E390)*C390)*'Assumptions and Catalog'!$H$50+'Assumptions and Catalog'!$E$50+'Assumptions and Catalog'!$F$50,IF(((D390+E390)*C390)&lt;='Assumptions and Catalog'!$C$51,((D390+E390)*C390)*'Assumptions and Catalog'!$H$51+'Assumptions and Catalog'!$E$51+'Assumptions and Catalog'!$F$51,IF(((D390+E390)*C390)&lt;='Assumptions and Catalog'!$C$52,((D390+E390)*C390)*'Assumptions and Catalog'!$H$52+'Assumptions and Catalog'!$E$52+'Assumptions and Catalog'!$F$52,IF(((D390+E390)*C390)&lt;='Assumptions and Catalog'!$C$53,((D390+E390)*C390)*'Assumptions and Catalog'!$H$53+'Assumptions and Catalog'!$E$53+'Assumptions and Catalog'!$F$53,IF(((D390+E390)*C390)&lt;='Assumptions and Catalog'!$C$54,((D390+E390)*C390)*'Assumptions and Catalog'!$H$54+'Assumptions and Catalog'!$E$54+'Assumptions and Catalog'!$F$54,IF(((D390+E390)*C390)&lt;='Assumptions and Catalog'!$C$55,((D390+E390)*C390)*'Assumptions and Catalog'!$H$55+'Assumptions and Catalog'!$E$55+'Assumptions and Catalog'!$F$55,IF(((D390+E390)*C390)&lt;='Assumptions and Catalog'!$C$56,((D390+E390)*C390)*'Assumptions and Catalog'!$H$56+'Assumptions and Catalog'!$E$56+'Assumptions and Catalog'!$F$56,IF(((D390+E390)*C390)&lt;='Assumptions and Catalog'!$C$57,((D390+E390)*C390)*'Assumptions and Catalog'!$H$57+'Assumptions and Catalog'!$E$57+'Assumptions and Catalog'!$F$57,"Out of range")))))))),IF(((D390+E390)*C390)&lt;='Assumptions and Catalog'!$C$60,((D390+E390)*C390)*'Assumptions and Catalog'!$H$60+'Assumptions and Catalog'!$E$60+'Assumptions and Catalog'!$F$60,IF(((D390+E390)*C390)&lt;='Assumptions and Catalog'!$C$61,((D390+E390)*C390)*'Assumptions and Catalog'!$H$61+'Assumptions and Catalog'!$E$61+'Assumptions and Catalog'!$F$61,IF(((D390+E390)*C390)&lt;='Assumptions and Catalog'!$C$62,((D390+E390)*C390)*'Assumptions and Catalog'!$H$62+'Assumptions and Catalog'!$E$62+'Assumptions and Catalog'!$F$62,IF(((D390+E390)*C390)&lt;='Assumptions and Catalog'!$C$63,((D390+E390)*C390)*'Assumptions and Catalog'!$H$63+'Assumptions and Catalog'!$E$63+'Assumptions and Catalog'!$F$63,IF(((D390+E390)*C390)&lt;='Assumptions and Catalog'!$C$64,((D390+E390)*C390)*'Assumptions and Catalog'!$H$64+'Assumptions and Catalog'!$E$64+'Assumptions and Catalog'!$F$64,IF(((D390+E390)*C390)&lt;='Assumptions and Catalog'!$C$65,((D390+E390)*C390)*'Assumptions and Catalog'!$H$65+'Assumptions and Catalog'!$E$65+'Assumptions and Catalog'!$F$65,"Out of range")))))))))*(1+'Assumptions and Catalog'!$C$8)^(A390-1),0)</f>
        <v>7727.0666666666657</v>
      </c>
      <c r="N390" s="5">
        <f>IF(ISNUMBER(Inputs!$L$5),(IF(Inputs!$L$9="Actual flat rate",L390*Inputs!$L$10,IF(Inputs!$C$9="Residential",IF(L390&lt;='Assumptions and Catalog'!$C$50,L390*'Assumptions and Catalog'!$H$50+'Assumptions and Catalog'!$E$50+'Assumptions and Catalog'!$F$50,IF(L390&lt;='Assumptions and Catalog'!$C$51,L390*'Assumptions and Catalog'!$H$51+'Assumptions and Catalog'!$E$51+'Assumptions and Catalog'!$F$51,IF(L390&lt;='Assumptions and Catalog'!$C$52,L390*'Assumptions and Catalog'!$H$52+'Assumptions and Catalog'!$E$52+'Assumptions and Catalog'!$F$52,IF(L390&lt;='Assumptions and Catalog'!$C$53,L390*'Assumptions and Catalog'!$H$53+'Assumptions and Catalog'!$E$53+'Assumptions and Catalog'!$F$53,IF(L390&lt;='Assumptions and Catalog'!$C$54,L390*'Assumptions and Catalog'!$H$54+'Assumptions and Catalog'!$E$54+'Assumptions and Catalog'!$F$54,IF(L390&lt;='Assumptions and Catalog'!$C$55,L390*'Assumptions and Catalog'!$H$55+'Assumptions and Catalog'!$E$55+'Assumptions and Catalog'!$F$55,IF(L390&lt;='Assumptions and Catalog'!$C$56,L390*'Assumptions and Catalog'!$H$56+'Assumptions and Catalog'!$E$56+'Assumptions and Catalog'!$F$56,IF(L390&lt;='Assumptions and Catalog'!$C$57,L390*'Assumptions and Catalog'!$H$57+'Assumptions and Catalog'!$E$57+'Assumptions and Catalog'!$F$57,"Out of range")))))))),IF(L390&lt;='Assumptions and Catalog'!$C$60,L390*'Assumptions and Catalog'!$H$60+'Assumptions and Catalog'!$E$60+'Assumptions and Catalog'!$F$60,IF(L390&lt;='Assumptions and Catalog'!$C$61,L390*'Assumptions and Catalog'!$H$61+'Assumptions and Catalog'!$E$61+'Assumptions and Catalog'!$F$61,IF(L390&lt;='Assumptions and Catalog'!$C$62,L390*'Assumptions and Catalog'!$H$62+'Assumptions and Catalog'!$E$62+'Assumptions and Catalog'!$F$62,IF(L390&lt;='Assumptions and Catalog'!$C$63,L390*'Assumptions and Catalog'!$H$63+'Assumptions and Catalog'!$E$63+'Assumptions and Catalog'!$F$63,IF(L390&lt;='Assumptions and Catalog'!$C$64,L390*'Assumptions and Catalog'!$H$64+'Assumptions and Catalog'!$E$64+'Assumptions and Catalog'!$F$64,IF(L390&lt;='Assumptions and Catalog'!$C$65,L390*'Assumptions and Catalog'!$H$65+'Assumptions and Catalog'!$E$65+'Assumptions and Catalog'!$F$65,"Out of range")))))))))*(1+'Assumptions and Catalog'!$C$8)^(A390-1),0)</f>
        <v>4822.4835801369491</v>
      </c>
      <c r="O390" s="5">
        <f t="shared" si="30"/>
        <v>2904.5830865297166</v>
      </c>
      <c r="P390" s="5">
        <f>C$55*(1-J$14)*(1-'Assumptions and Catalog'!$C$23)^R390</f>
        <v>0</v>
      </c>
      <c r="Q390" s="5">
        <f>IF(ISNUMBER(Inputs!$L$5),(IF(Inputs!$L$9="Actual flat rate",((D390+E390)*C390-G390)*Inputs!$L$10,IF(Inputs!$C$9="Residential",IF(((D390+E390)*C390-G390)&lt;='Assumptions and Catalog'!$C$50,((D390+E390)*C390-G390)*'Assumptions and Catalog'!$H$50+'Assumptions and Catalog'!$E$50+'Assumptions and Catalog'!$F$50,IF(((D390+E390)*C390-G390)&lt;='Assumptions and Catalog'!$C$51,((D390+E390)*C390-G390)*'Assumptions and Catalog'!$H$51+'Assumptions and Catalog'!$E$51+'Assumptions and Catalog'!$F$51,IF(((D390+E390)*C390-G390)&lt;='Assumptions and Catalog'!$C$52,((D390+E390)*C390-G390)*'Assumptions and Catalog'!$H$52+'Assumptions and Catalog'!$E$52+'Assumptions and Catalog'!$F$52,IF(((D390+E390)*C390-G390)&lt;='Assumptions and Catalog'!$C$53,((D390+E390)*C390-G390)*'Assumptions and Catalog'!$H$53+'Assumptions and Catalog'!$E$53+'Assumptions and Catalog'!$F$53,IF(((D390+E390)*C390-G390)&lt;='Assumptions and Catalog'!$C$54,((D390+E390)*C390-G390)*'Assumptions and Catalog'!$H$54+'Assumptions and Catalog'!$E$54+'Assumptions and Catalog'!$F$54,IF(((D390+E390)*C390-G390)&lt;='Assumptions and Catalog'!$C$55,((D390+E390)*C390-G390)*'Assumptions and Catalog'!$H$55+'Assumptions and Catalog'!$E$55+'Assumptions and Catalog'!$F$55,IF(((D390+E390)*C390-G390)&lt;='Assumptions and Catalog'!$C$56,((D390+E390)*C390-G390)*'Assumptions and Catalog'!$H$56+'Assumptions and Catalog'!$E$56+'Assumptions and Catalog'!$F$56,IF(((D390+E390)*C390-G390)&lt;='Assumptions and Catalog'!$C$57,((D390+E390)*C390-G390)*'Assumptions and Catalog'!$H$57+'Assumptions and Catalog'!$E$57+'Assumptions and Catalog'!$F$57,"Out of range")))))))),IF(((D390+E390)*C390-G390)&lt;='Assumptions and Catalog'!$C$60,((D390+E390)*C390-G390)*'Assumptions and Catalog'!$H$60+'Assumptions and Catalog'!$E$60+'Assumptions and Catalog'!$F$60,IF(((D390+E390)*C390-G390)&lt;='Assumptions and Catalog'!$C$61,((D390+E390)*C390-G390)*'Assumptions and Catalog'!$H$61+'Assumptions and Catalog'!$E$61+'Assumptions and Catalog'!$F$61,IF(((D390+E390)*C390-G390)&lt;='Assumptions and Catalog'!$C$62,((D390+E390)*C390-G390)*'Assumptions and Catalog'!$H$62+'Assumptions and Catalog'!$E$62+'Assumptions and Catalog'!$F$62,IF(((D390+E390)*C390-G390)&lt;='Assumptions and Catalog'!$C$63,((D390+E390)*C390-G390)*'Assumptions and Catalog'!$H$63+'Assumptions and Catalog'!$E$63+'Assumptions and Catalog'!$F$63,IF(((D390+E390)*C390-G390)&lt;='Assumptions and Catalog'!$C$64,((D390+E390)*C390-G390)*'Assumptions and Catalog'!$H$64+'Assumptions and Catalog'!$E$64+'Assumptions and Catalog'!$F$64,IF(((D390+E390)*C390-G390)&lt;='Assumptions and Catalog'!$C$65,((D390+E390)*C390-G390)*'Assumptions and Catalog'!$H$65+'Assumptions and Catalog'!$E$65+'Assumptions and Catalog'!$F$65,"Out of range")))))))))*(1+'Assumptions and Catalog'!$C$8)^(A390-1),0)</f>
        <v>4822.4835801369491</v>
      </c>
      <c r="R390" s="5">
        <f>IF(AND('Assumptions and Catalog'!$C$19&gt;0,A390&gt;='Assumptions and Catalog'!$C$19),A390-'Assumptions and Catalog'!$C$19,A390-1)</f>
        <v>9</v>
      </c>
      <c r="S390" s="5">
        <f t="shared" si="31"/>
        <v>0</v>
      </c>
      <c r="T390" s="5"/>
      <c r="U390" s="5"/>
    </row>
    <row r="391" spans="1:21" ht="23.1" customHeight="1" outlineLevel="1" x14ac:dyDescent="0.2">
      <c r="A391" s="5">
        <v>20</v>
      </c>
      <c r="B391" s="5">
        <v>3</v>
      </c>
      <c r="C391" s="5">
        <f>DAY(DATE('Assumptions and Catalog'!$C$24+A391-1,B391+1,0))</f>
        <v>31</v>
      </c>
      <c r="D391" s="5">
        <f>IF(ISNUMBER(Inputs!$L$5),Inputs!$L$5*Inputs!$L$6,0)</f>
        <v>40.35</v>
      </c>
      <c r="E391" s="5">
        <f>IF(ISNUMBER(Inputs!$L$5),Inputs!$L$5-D391,0)</f>
        <v>40.35</v>
      </c>
      <c r="F391" s="5">
        <f>C$51*'Assumptions and Catalog'!$C$31*C391*(1-'Assumptions and Catalog'!$C$10)^(A391-1)</f>
        <v>940.38214254284412</v>
      </c>
      <c r="G391" s="5">
        <f t="shared" si="26"/>
        <v>940.38214254284412</v>
      </c>
      <c r="H391" s="5">
        <f>I391/('Assumptions and Catalog'!$C$11*'Assumptions and Catalog'!$C$12)</f>
        <v>0</v>
      </c>
      <c r="I391" s="5">
        <f>0</f>
        <v>0</v>
      </c>
      <c r="J391" s="5">
        <f t="shared" si="27"/>
        <v>0</v>
      </c>
      <c r="K391" s="5">
        <f t="shared" si="28"/>
        <v>0</v>
      </c>
      <c r="L391" s="5">
        <f t="shared" si="29"/>
        <v>1561.3178574571562</v>
      </c>
      <c r="M391" s="5">
        <f>IF(ISNUMBER(Inputs!$L$5),(IF(Inputs!$L$9="Actual flat rate",((D391+E391)*C391)*Inputs!$L$10,IF(Inputs!$C$9="Residential",IF(((D391+E391)*C391)&lt;='Assumptions and Catalog'!$C$50,((D391+E391)*C391)*'Assumptions and Catalog'!$H$50+'Assumptions and Catalog'!$E$50+'Assumptions and Catalog'!$F$50,IF(((D391+E391)*C391)&lt;='Assumptions and Catalog'!$C$51,((D391+E391)*C391)*'Assumptions and Catalog'!$H$51+'Assumptions and Catalog'!$E$51+'Assumptions and Catalog'!$F$51,IF(((D391+E391)*C391)&lt;='Assumptions and Catalog'!$C$52,((D391+E391)*C391)*'Assumptions and Catalog'!$H$52+'Assumptions and Catalog'!$E$52+'Assumptions and Catalog'!$F$52,IF(((D391+E391)*C391)&lt;='Assumptions and Catalog'!$C$53,((D391+E391)*C391)*'Assumptions and Catalog'!$H$53+'Assumptions and Catalog'!$E$53+'Assumptions and Catalog'!$F$53,IF(((D391+E391)*C391)&lt;='Assumptions and Catalog'!$C$54,((D391+E391)*C391)*'Assumptions and Catalog'!$H$54+'Assumptions and Catalog'!$E$54+'Assumptions and Catalog'!$F$54,IF(((D391+E391)*C391)&lt;='Assumptions and Catalog'!$C$55,((D391+E391)*C391)*'Assumptions and Catalog'!$H$55+'Assumptions and Catalog'!$E$55+'Assumptions and Catalog'!$F$55,IF(((D391+E391)*C391)&lt;='Assumptions and Catalog'!$C$56,((D391+E391)*C391)*'Assumptions and Catalog'!$H$56+'Assumptions and Catalog'!$E$56+'Assumptions and Catalog'!$F$56,IF(((D391+E391)*C391)&lt;='Assumptions and Catalog'!$C$57,((D391+E391)*C391)*'Assumptions and Catalog'!$H$57+'Assumptions and Catalog'!$E$57+'Assumptions and Catalog'!$F$57,"Out of range")))))))),IF(((D391+E391)*C391)&lt;='Assumptions and Catalog'!$C$60,((D391+E391)*C391)*'Assumptions and Catalog'!$H$60+'Assumptions and Catalog'!$E$60+'Assumptions and Catalog'!$F$60,IF(((D391+E391)*C391)&lt;='Assumptions and Catalog'!$C$61,((D391+E391)*C391)*'Assumptions and Catalog'!$H$61+'Assumptions and Catalog'!$E$61+'Assumptions and Catalog'!$F$61,IF(((D391+E391)*C391)&lt;='Assumptions and Catalog'!$C$62,((D391+E391)*C391)*'Assumptions and Catalog'!$H$62+'Assumptions and Catalog'!$E$62+'Assumptions and Catalog'!$F$62,IF(((D391+E391)*C391)&lt;='Assumptions and Catalog'!$C$63,((D391+E391)*C391)*'Assumptions and Catalog'!$H$63+'Assumptions and Catalog'!$E$63+'Assumptions and Catalog'!$F$63,IF(((D391+E391)*C391)&lt;='Assumptions and Catalog'!$C$64,((D391+E391)*C391)*'Assumptions and Catalog'!$H$64+'Assumptions and Catalog'!$E$64+'Assumptions and Catalog'!$F$64,IF(((D391+E391)*C391)&lt;='Assumptions and Catalog'!$C$65,((D391+E391)*C391)*'Assumptions and Catalog'!$H$65+'Assumptions and Catalog'!$E$65+'Assumptions and Catalog'!$F$65,"Out of range")))))))))*(1+'Assumptions and Catalog'!$C$8)^(A391-1),0)</f>
        <v>8554.9666666666672</v>
      </c>
      <c r="N391" s="5">
        <f>IF(ISNUMBER(Inputs!$L$5),(IF(Inputs!$L$9="Actual flat rate",L391*Inputs!$L$10,IF(Inputs!$C$9="Residential",IF(L391&lt;='Assumptions and Catalog'!$C$50,L391*'Assumptions and Catalog'!$H$50+'Assumptions and Catalog'!$E$50+'Assumptions and Catalog'!$F$50,IF(L391&lt;='Assumptions and Catalog'!$C$51,L391*'Assumptions and Catalog'!$H$51+'Assumptions and Catalog'!$E$51+'Assumptions and Catalog'!$F$51,IF(L391&lt;='Assumptions and Catalog'!$C$52,L391*'Assumptions and Catalog'!$H$52+'Assumptions and Catalog'!$E$52+'Assumptions and Catalog'!$F$52,IF(L391&lt;='Assumptions and Catalog'!$C$53,L391*'Assumptions and Catalog'!$H$53+'Assumptions and Catalog'!$E$53+'Assumptions and Catalog'!$F$53,IF(L391&lt;='Assumptions and Catalog'!$C$54,L391*'Assumptions and Catalog'!$H$54+'Assumptions and Catalog'!$E$54+'Assumptions and Catalog'!$F$54,IF(L391&lt;='Assumptions and Catalog'!$C$55,L391*'Assumptions and Catalog'!$H$55+'Assumptions and Catalog'!$E$55+'Assumptions and Catalog'!$F$55,IF(L391&lt;='Assumptions and Catalog'!$C$56,L391*'Assumptions and Catalog'!$H$56+'Assumptions and Catalog'!$E$56+'Assumptions and Catalog'!$F$56,IF(L391&lt;='Assumptions and Catalog'!$C$57,L391*'Assumptions and Catalog'!$H$57+'Assumptions and Catalog'!$E$57+'Assumptions and Catalog'!$F$57,"Out of range")))))))),IF(L391&lt;='Assumptions and Catalog'!$C$60,L391*'Assumptions and Catalog'!$H$60+'Assumptions and Catalog'!$E$60+'Assumptions and Catalog'!$F$60,IF(L391&lt;='Assumptions and Catalog'!$C$61,L391*'Assumptions and Catalog'!$H$61+'Assumptions and Catalog'!$E$61+'Assumptions and Catalog'!$F$61,IF(L391&lt;='Assumptions and Catalog'!$C$62,L391*'Assumptions and Catalog'!$H$62+'Assumptions and Catalog'!$E$62+'Assumptions and Catalog'!$F$62,IF(L391&lt;='Assumptions and Catalog'!$C$63,L391*'Assumptions and Catalog'!$H$63+'Assumptions and Catalog'!$E$63+'Assumptions and Catalog'!$F$63,IF(L391&lt;='Assumptions and Catalog'!$C$64,L391*'Assumptions and Catalog'!$H$64+'Assumptions and Catalog'!$E$64+'Assumptions and Catalog'!$F$64,IF(L391&lt;='Assumptions and Catalog'!$C$65,L391*'Assumptions and Catalog'!$H$65+'Assumptions and Catalog'!$E$65+'Assumptions and Catalog'!$F$65,"Out of range")))))))))*(1+'Assumptions and Catalog'!$C$8)^(A391-1),0)</f>
        <v>5339.1782494373383</v>
      </c>
      <c r="O391" s="5">
        <f t="shared" si="30"/>
        <v>3215.7884172293288</v>
      </c>
      <c r="P391" s="5">
        <f>C$55*(1-J$14)*(1-'Assumptions and Catalog'!$C$23)^R391</f>
        <v>0</v>
      </c>
      <c r="Q391" s="5">
        <f>IF(ISNUMBER(Inputs!$L$5),(IF(Inputs!$L$9="Actual flat rate",((D391+E391)*C391-G391)*Inputs!$L$10,IF(Inputs!$C$9="Residential",IF(((D391+E391)*C391-G391)&lt;='Assumptions and Catalog'!$C$50,((D391+E391)*C391-G391)*'Assumptions and Catalog'!$H$50+'Assumptions and Catalog'!$E$50+'Assumptions and Catalog'!$F$50,IF(((D391+E391)*C391-G391)&lt;='Assumptions and Catalog'!$C$51,((D391+E391)*C391-G391)*'Assumptions and Catalog'!$H$51+'Assumptions and Catalog'!$E$51+'Assumptions and Catalog'!$F$51,IF(((D391+E391)*C391-G391)&lt;='Assumptions and Catalog'!$C$52,((D391+E391)*C391-G391)*'Assumptions and Catalog'!$H$52+'Assumptions and Catalog'!$E$52+'Assumptions and Catalog'!$F$52,IF(((D391+E391)*C391-G391)&lt;='Assumptions and Catalog'!$C$53,((D391+E391)*C391-G391)*'Assumptions and Catalog'!$H$53+'Assumptions and Catalog'!$E$53+'Assumptions and Catalog'!$F$53,IF(((D391+E391)*C391-G391)&lt;='Assumptions and Catalog'!$C$54,((D391+E391)*C391-G391)*'Assumptions and Catalog'!$H$54+'Assumptions and Catalog'!$E$54+'Assumptions and Catalog'!$F$54,IF(((D391+E391)*C391-G391)&lt;='Assumptions and Catalog'!$C$55,((D391+E391)*C391-G391)*'Assumptions and Catalog'!$H$55+'Assumptions and Catalog'!$E$55+'Assumptions and Catalog'!$F$55,IF(((D391+E391)*C391-G391)&lt;='Assumptions and Catalog'!$C$56,((D391+E391)*C391-G391)*'Assumptions and Catalog'!$H$56+'Assumptions and Catalog'!$E$56+'Assumptions and Catalog'!$F$56,IF(((D391+E391)*C391-G391)&lt;='Assumptions and Catalog'!$C$57,((D391+E391)*C391-G391)*'Assumptions and Catalog'!$H$57+'Assumptions and Catalog'!$E$57+'Assumptions and Catalog'!$F$57,"Out of range")))))))),IF(((D391+E391)*C391-G391)&lt;='Assumptions and Catalog'!$C$60,((D391+E391)*C391-G391)*'Assumptions and Catalog'!$H$60+'Assumptions and Catalog'!$E$60+'Assumptions and Catalog'!$F$60,IF(((D391+E391)*C391-G391)&lt;='Assumptions and Catalog'!$C$61,((D391+E391)*C391-G391)*'Assumptions and Catalog'!$H$61+'Assumptions and Catalog'!$E$61+'Assumptions and Catalog'!$F$61,IF(((D391+E391)*C391-G391)&lt;='Assumptions and Catalog'!$C$62,((D391+E391)*C391-G391)*'Assumptions and Catalog'!$H$62+'Assumptions and Catalog'!$E$62+'Assumptions and Catalog'!$F$62,IF(((D391+E391)*C391-G391)&lt;='Assumptions and Catalog'!$C$63,((D391+E391)*C391-G391)*'Assumptions and Catalog'!$H$63+'Assumptions and Catalog'!$E$63+'Assumptions and Catalog'!$F$63,IF(((D391+E391)*C391-G391)&lt;='Assumptions and Catalog'!$C$64,((D391+E391)*C391-G391)*'Assumptions and Catalog'!$H$64+'Assumptions and Catalog'!$E$64+'Assumptions and Catalog'!$F$64,IF(((D391+E391)*C391-G391)&lt;='Assumptions and Catalog'!$C$65,((D391+E391)*C391-G391)*'Assumptions and Catalog'!$H$65+'Assumptions and Catalog'!$E$65+'Assumptions and Catalog'!$F$65,"Out of range")))))))))*(1+'Assumptions and Catalog'!$C$8)^(A391-1),0)</f>
        <v>5339.1782494373383</v>
      </c>
      <c r="R391" s="5">
        <f>IF(AND('Assumptions and Catalog'!$C$19&gt;0,A391&gt;='Assumptions and Catalog'!$C$19),A391-'Assumptions and Catalog'!$C$19,A391-1)</f>
        <v>9</v>
      </c>
      <c r="S391" s="5">
        <f t="shared" si="31"/>
        <v>0</v>
      </c>
      <c r="T391" s="5"/>
      <c r="U391" s="5"/>
    </row>
    <row r="392" spans="1:21" ht="23.1" customHeight="1" outlineLevel="1" x14ac:dyDescent="0.2">
      <c r="A392" s="5">
        <v>20</v>
      </c>
      <c r="B392" s="5">
        <v>4</v>
      </c>
      <c r="C392" s="5">
        <f>DAY(DATE('Assumptions and Catalog'!$C$24+A392-1,B392+1,0))</f>
        <v>30</v>
      </c>
      <c r="D392" s="5">
        <f>IF(ISNUMBER(Inputs!$L$5),Inputs!$L$5*Inputs!$L$6,0)</f>
        <v>40.35</v>
      </c>
      <c r="E392" s="5">
        <f>IF(ISNUMBER(Inputs!$L$5),Inputs!$L$5-D392,0)</f>
        <v>40.35</v>
      </c>
      <c r="F392" s="5">
        <f>C$51*'Assumptions and Catalog'!$C$31*C392*(1-'Assumptions and Catalog'!$C$10)^(A392-1)</f>
        <v>910.04723471888144</v>
      </c>
      <c r="G392" s="5">
        <f t="shared" si="26"/>
        <v>910.04723471888144</v>
      </c>
      <c r="H392" s="5">
        <f>I392/('Assumptions and Catalog'!$C$11*'Assumptions and Catalog'!$C$12)</f>
        <v>0</v>
      </c>
      <c r="I392" s="5">
        <f>0</f>
        <v>0</v>
      </c>
      <c r="J392" s="5">
        <f t="shared" si="27"/>
        <v>0</v>
      </c>
      <c r="K392" s="5">
        <f t="shared" si="28"/>
        <v>0</v>
      </c>
      <c r="L392" s="5">
        <f t="shared" si="29"/>
        <v>1510.9527652811184</v>
      </c>
      <c r="M392" s="5">
        <f>IF(ISNUMBER(Inputs!$L$5),(IF(Inputs!$L$9="Actual flat rate",((D392+E392)*C392)*Inputs!$L$10,IF(Inputs!$C$9="Residential",IF(((D392+E392)*C392)&lt;='Assumptions and Catalog'!$C$50,((D392+E392)*C392)*'Assumptions and Catalog'!$H$50+'Assumptions and Catalog'!$E$50+'Assumptions and Catalog'!$F$50,IF(((D392+E392)*C392)&lt;='Assumptions and Catalog'!$C$51,((D392+E392)*C392)*'Assumptions and Catalog'!$H$51+'Assumptions and Catalog'!$E$51+'Assumptions and Catalog'!$F$51,IF(((D392+E392)*C392)&lt;='Assumptions and Catalog'!$C$52,((D392+E392)*C392)*'Assumptions and Catalog'!$H$52+'Assumptions and Catalog'!$E$52+'Assumptions and Catalog'!$F$52,IF(((D392+E392)*C392)&lt;='Assumptions and Catalog'!$C$53,((D392+E392)*C392)*'Assumptions and Catalog'!$H$53+'Assumptions and Catalog'!$E$53+'Assumptions and Catalog'!$F$53,IF(((D392+E392)*C392)&lt;='Assumptions and Catalog'!$C$54,((D392+E392)*C392)*'Assumptions and Catalog'!$H$54+'Assumptions and Catalog'!$E$54+'Assumptions and Catalog'!$F$54,IF(((D392+E392)*C392)&lt;='Assumptions and Catalog'!$C$55,((D392+E392)*C392)*'Assumptions and Catalog'!$H$55+'Assumptions and Catalog'!$E$55+'Assumptions and Catalog'!$F$55,IF(((D392+E392)*C392)&lt;='Assumptions and Catalog'!$C$56,((D392+E392)*C392)*'Assumptions and Catalog'!$H$56+'Assumptions and Catalog'!$E$56+'Assumptions and Catalog'!$F$56,IF(((D392+E392)*C392)&lt;='Assumptions and Catalog'!$C$57,((D392+E392)*C392)*'Assumptions and Catalog'!$H$57+'Assumptions and Catalog'!$E$57+'Assumptions and Catalog'!$F$57,"Out of range")))))))),IF(((D392+E392)*C392)&lt;='Assumptions and Catalog'!$C$60,((D392+E392)*C392)*'Assumptions and Catalog'!$H$60+'Assumptions and Catalog'!$E$60+'Assumptions and Catalog'!$F$60,IF(((D392+E392)*C392)&lt;='Assumptions and Catalog'!$C$61,((D392+E392)*C392)*'Assumptions and Catalog'!$H$61+'Assumptions and Catalog'!$E$61+'Assumptions and Catalog'!$F$61,IF(((D392+E392)*C392)&lt;='Assumptions and Catalog'!$C$62,((D392+E392)*C392)*'Assumptions and Catalog'!$H$62+'Assumptions and Catalog'!$E$62+'Assumptions and Catalog'!$F$62,IF(((D392+E392)*C392)&lt;='Assumptions and Catalog'!$C$63,((D392+E392)*C392)*'Assumptions and Catalog'!$H$63+'Assumptions and Catalog'!$E$63+'Assumptions and Catalog'!$F$63,IF(((D392+E392)*C392)&lt;='Assumptions and Catalog'!$C$64,((D392+E392)*C392)*'Assumptions and Catalog'!$H$64+'Assumptions and Catalog'!$E$64+'Assumptions and Catalog'!$F$64,IF(((D392+E392)*C392)&lt;='Assumptions and Catalog'!$C$65,((D392+E392)*C392)*'Assumptions and Catalog'!$H$65+'Assumptions and Catalog'!$E$65+'Assumptions and Catalog'!$F$65,"Out of range")))))))))*(1+'Assumptions and Catalog'!$C$8)^(A392-1),0)</f>
        <v>8279</v>
      </c>
      <c r="N392" s="5">
        <f>IF(ISNUMBER(Inputs!$L$5),(IF(Inputs!$L$9="Actual flat rate",L392*Inputs!$L$10,IF(Inputs!$C$9="Residential",IF(L392&lt;='Assumptions and Catalog'!$C$50,L392*'Assumptions and Catalog'!$H$50+'Assumptions and Catalog'!$E$50+'Assumptions and Catalog'!$F$50,IF(L392&lt;='Assumptions and Catalog'!$C$51,L392*'Assumptions and Catalog'!$H$51+'Assumptions and Catalog'!$E$51+'Assumptions and Catalog'!$F$51,IF(L392&lt;='Assumptions and Catalog'!$C$52,L392*'Assumptions and Catalog'!$H$52+'Assumptions and Catalog'!$E$52+'Assumptions and Catalog'!$F$52,IF(L392&lt;='Assumptions and Catalog'!$C$53,L392*'Assumptions and Catalog'!$H$53+'Assumptions and Catalog'!$E$53+'Assumptions and Catalog'!$F$53,IF(L392&lt;='Assumptions and Catalog'!$C$54,L392*'Assumptions and Catalog'!$H$54+'Assumptions and Catalog'!$E$54+'Assumptions and Catalog'!$F$54,IF(L392&lt;='Assumptions and Catalog'!$C$55,L392*'Assumptions and Catalog'!$H$55+'Assumptions and Catalog'!$E$55+'Assumptions and Catalog'!$F$55,IF(L392&lt;='Assumptions and Catalog'!$C$56,L392*'Assumptions and Catalog'!$H$56+'Assumptions and Catalog'!$E$56+'Assumptions and Catalog'!$F$56,IF(L392&lt;='Assumptions and Catalog'!$C$57,L392*'Assumptions and Catalog'!$H$57+'Assumptions and Catalog'!$E$57+'Assumptions and Catalog'!$F$57,"Out of range")))))))),IF(L392&lt;='Assumptions and Catalog'!$C$60,L392*'Assumptions and Catalog'!$H$60+'Assumptions and Catalog'!$E$60+'Assumptions and Catalog'!$F$60,IF(L392&lt;='Assumptions and Catalog'!$C$61,L392*'Assumptions and Catalog'!$H$61+'Assumptions and Catalog'!$E$61+'Assumptions and Catalog'!$F$61,IF(L392&lt;='Assumptions and Catalog'!$C$62,L392*'Assumptions and Catalog'!$H$62+'Assumptions and Catalog'!$E$62+'Assumptions and Catalog'!$F$62,IF(L392&lt;='Assumptions and Catalog'!$C$63,L392*'Assumptions and Catalog'!$H$63+'Assumptions and Catalog'!$E$63+'Assumptions and Catalog'!$F$63,IF(L392&lt;='Assumptions and Catalog'!$C$64,L392*'Assumptions and Catalog'!$H$64+'Assumptions and Catalog'!$E$64+'Assumptions and Catalog'!$F$64,IF(L392&lt;='Assumptions and Catalog'!$C$65,L392*'Assumptions and Catalog'!$H$65+'Assumptions and Catalog'!$E$65+'Assumptions and Catalog'!$F$65,"Out of range")))))))))*(1+'Assumptions and Catalog'!$C$8)^(A392-1),0)</f>
        <v>5166.9466930038743</v>
      </c>
      <c r="O392" s="5">
        <f t="shared" si="30"/>
        <v>3112.0533069961257</v>
      </c>
      <c r="P392" s="5">
        <f>C$55*(1-J$14)*(1-'Assumptions and Catalog'!$C$23)^R392</f>
        <v>0</v>
      </c>
      <c r="Q392" s="5">
        <f>IF(ISNUMBER(Inputs!$L$5),(IF(Inputs!$L$9="Actual flat rate",((D392+E392)*C392-G392)*Inputs!$L$10,IF(Inputs!$C$9="Residential",IF(((D392+E392)*C392-G392)&lt;='Assumptions and Catalog'!$C$50,((D392+E392)*C392-G392)*'Assumptions and Catalog'!$H$50+'Assumptions and Catalog'!$E$50+'Assumptions and Catalog'!$F$50,IF(((D392+E392)*C392-G392)&lt;='Assumptions and Catalog'!$C$51,((D392+E392)*C392-G392)*'Assumptions and Catalog'!$H$51+'Assumptions and Catalog'!$E$51+'Assumptions and Catalog'!$F$51,IF(((D392+E392)*C392-G392)&lt;='Assumptions and Catalog'!$C$52,((D392+E392)*C392-G392)*'Assumptions and Catalog'!$H$52+'Assumptions and Catalog'!$E$52+'Assumptions and Catalog'!$F$52,IF(((D392+E392)*C392-G392)&lt;='Assumptions and Catalog'!$C$53,((D392+E392)*C392-G392)*'Assumptions and Catalog'!$H$53+'Assumptions and Catalog'!$E$53+'Assumptions and Catalog'!$F$53,IF(((D392+E392)*C392-G392)&lt;='Assumptions and Catalog'!$C$54,((D392+E392)*C392-G392)*'Assumptions and Catalog'!$H$54+'Assumptions and Catalog'!$E$54+'Assumptions and Catalog'!$F$54,IF(((D392+E392)*C392-G392)&lt;='Assumptions and Catalog'!$C$55,((D392+E392)*C392-G392)*'Assumptions and Catalog'!$H$55+'Assumptions and Catalog'!$E$55+'Assumptions and Catalog'!$F$55,IF(((D392+E392)*C392-G392)&lt;='Assumptions and Catalog'!$C$56,((D392+E392)*C392-G392)*'Assumptions and Catalog'!$H$56+'Assumptions and Catalog'!$E$56+'Assumptions and Catalog'!$F$56,IF(((D392+E392)*C392-G392)&lt;='Assumptions and Catalog'!$C$57,((D392+E392)*C392-G392)*'Assumptions and Catalog'!$H$57+'Assumptions and Catalog'!$E$57+'Assumptions and Catalog'!$F$57,"Out of range")))))))),IF(((D392+E392)*C392-G392)&lt;='Assumptions and Catalog'!$C$60,((D392+E392)*C392-G392)*'Assumptions and Catalog'!$H$60+'Assumptions and Catalog'!$E$60+'Assumptions and Catalog'!$F$60,IF(((D392+E392)*C392-G392)&lt;='Assumptions and Catalog'!$C$61,((D392+E392)*C392-G392)*'Assumptions and Catalog'!$H$61+'Assumptions and Catalog'!$E$61+'Assumptions and Catalog'!$F$61,IF(((D392+E392)*C392-G392)&lt;='Assumptions and Catalog'!$C$62,((D392+E392)*C392-G392)*'Assumptions and Catalog'!$H$62+'Assumptions and Catalog'!$E$62+'Assumptions and Catalog'!$F$62,IF(((D392+E392)*C392-G392)&lt;='Assumptions and Catalog'!$C$63,((D392+E392)*C392-G392)*'Assumptions and Catalog'!$H$63+'Assumptions and Catalog'!$E$63+'Assumptions and Catalog'!$F$63,IF(((D392+E392)*C392-G392)&lt;='Assumptions and Catalog'!$C$64,((D392+E392)*C392-G392)*'Assumptions and Catalog'!$H$64+'Assumptions and Catalog'!$E$64+'Assumptions and Catalog'!$F$64,IF(((D392+E392)*C392-G392)&lt;='Assumptions and Catalog'!$C$65,((D392+E392)*C392-G392)*'Assumptions and Catalog'!$H$65+'Assumptions and Catalog'!$E$65+'Assumptions and Catalog'!$F$65,"Out of range")))))))))*(1+'Assumptions and Catalog'!$C$8)^(A392-1),0)</f>
        <v>5166.9466930038743</v>
      </c>
      <c r="R392" s="5">
        <f>IF(AND('Assumptions and Catalog'!$C$19&gt;0,A392&gt;='Assumptions and Catalog'!$C$19),A392-'Assumptions and Catalog'!$C$19,A392-1)</f>
        <v>9</v>
      </c>
      <c r="S392" s="5">
        <f t="shared" si="31"/>
        <v>0</v>
      </c>
      <c r="T392" s="5"/>
      <c r="U392" s="5"/>
    </row>
    <row r="393" spans="1:21" ht="23.1" customHeight="1" outlineLevel="1" x14ac:dyDescent="0.2">
      <c r="A393" s="5">
        <v>20</v>
      </c>
      <c r="B393" s="5">
        <v>5</v>
      </c>
      <c r="C393" s="5">
        <f>DAY(DATE('Assumptions and Catalog'!$C$24+A393-1,B393+1,0))</f>
        <v>31</v>
      </c>
      <c r="D393" s="5">
        <f>IF(ISNUMBER(Inputs!$L$5),Inputs!$L$5*Inputs!$L$6,0)</f>
        <v>40.35</v>
      </c>
      <c r="E393" s="5">
        <f>IF(ISNUMBER(Inputs!$L$5),Inputs!$L$5-D393,0)</f>
        <v>40.35</v>
      </c>
      <c r="F393" s="5">
        <f>C$51*'Assumptions and Catalog'!$C$31*C393*(1-'Assumptions and Catalog'!$C$10)^(A393-1)</f>
        <v>940.38214254284412</v>
      </c>
      <c r="G393" s="5">
        <f t="shared" si="26"/>
        <v>940.38214254284412</v>
      </c>
      <c r="H393" s="5">
        <f>I393/('Assumptions and Catalog'!$C$11*'Assumptions and Catalog'!$C$12)</f>
        <v>0</v>
      </c>
      <c r="I393" s="5">
        <f>0</f>
        <v>0</v>
      </c>
      <c r="J393" s="5">
        <f t="shared" si="27"/>
        <v>0</v>
      </c>
      <c r="K393" s="5">
        <f t="shared" si="28"/>
        <v>0</v>
      </c>
      <c r="L393" s="5">
        <f t="shared" si="29"/>
        <v>1561.3178574571562</v>
      </c>
      <c r="M393" s="5">
        <f>IF(ISNUMBER(Inputs!$L$5),(IF(Inputs!$L$9="Actual flat rate",((D393+E393)*C393)*Inputs!$L$10,IF(Inputs!$C$9="Residential",IF(((D393+E393)*C393)&lt;='Assumptions and Catalog'!$C$50,((D393+E393)*C393)*'Assumptions and Catalog'!$H$50+'Assumptions and Catalog'!$E$50+'Assumptions and Catalog'!$F$50,IF(((D393+E393)*C393)&lt;='Assumptions and Catalog'!$C$51,((D393+E393)*C393)*'Assumptions and Catalog'!$H$51+'Assumptions and Catalog'!$E$51+'Assumptions and Catalog'!$F$51,IF(((D393+E393)*C393)&lt;='Assumptions and Catalog'!$C$52,((D393+E393)*C393)*'Assumptions and Catalog'!$H$52+'Assumptions and Catalog'!$E$52+'Assumptions and Catalog'!$F$52,IF(((D393+E393)*C393)&lt;='Assumptions and Catalog'!$C$53,((D393+E393)*C393)*'Assumptions and Catalog'!$H$53+'Assumptions and Catalog'!$E$53+'Assumptions and Catalog'!$F$53,IF(((D393+E393)*C393)&lt;='Assumptions and Catalog'!$C$54,((D393+E393)*C393)*'Assumptions and Catalog'!$H$54+'Assumptions and Catalog'!$E$54+'Assumptions and Catalog'!$F$54,IF(((D393+E393)*C393)&lt;='Assumptions and Catalog'!$C$55,((D393+E393)*C393)*'Assumptions and Catalog'!$H$55+'Assumptions and Catalog'!$E$55+'Assumptions and Catalog'!$F$55,IF(((D393+E393)*C393)&lt;='Assumptions and Catalog'!$C$56,((D393+E393)*C393)*'Assumptions and Catalog'!$H$56+'Assumptions and Catalog'!$E$56+'Assumptions and Catalog'!$F$56,IF(((D393+E393)*C393)&lt;='Assumptions and Catalog'!$C$57,((D393+E393)*C393)*'Assumptions and Catalog'!$H$57+'Assumptions and Catalog'!$E$57+'Assumptions and Catalog'!$F$57,"Out of range")))))))),IF(((D393+E393)*C393)&lt;='Assumptions and Catalog'!$C$60,((D393+E393)*C393)*'Assumptions and Catalog'!$H$60+'Assumptions and Catalog'!$E$60+'Assumptions and Catalog'!$F$60,IF(((D393+E393)*C393)&lt;='Assumptions and Catalog'!$C$61,((D393+E393)*C393)*'Assumptions and Catalog'!$H$61+'Assumptions and Catalog'!$E$61+'Assumptions and Catalog'!$F$61,IF(((D393+E393)*C393)&lt;='Assumptions and Catalog'!$C$62,((D393+E393)*C393)*'Assumptions and Catalog'!$H$62+'Assumptions and Catalog'!$E$62+'Assumptions and Catalog'!$F$62,IF(((D393+E393)*C393)&lt;='Assumptions and Catalog'!$C$63,((D393+E393)*C393)*'Assumptions and Catalog'!$H$63+'Assumptions and Catalog'!$E$63+'Assumptions and Catalog'!$F$63,IF(((D393+E393)*C393)&lt;='Assumptions and Catalog'!$C$64,((D393+E393)*C393)*'Assumptions and Catalog'!$H$64+'Assumptions and Catalog'!$E$64+'Assumptions and Catalog'!$F$64,IF(((D393+E393)*C393)&lt;='Assumptions and Catalog'!$C$65,((D393+E393)*C393)*'Assumptions and Catalog'!$H$65+'Assumptions and Catalog'!$E$65+'Assumptions and Catalog'!$F$65,"Out of range")))))))))*(1+'Assumptions and Catalog'!$C$8)^(A393-1),0)</f>
        <v>8554.9666666666672</v>
      </c>
      <c r="N393" s="5">
        <f>IF(ISNUMBER(Inputs!$L$5),(IF(Inputs!$L$9="Actual flat rate",L393*Inputs!$L$10,IF(Inputs!$C$9="Residential",IF(L393&lt;='Assumptions and Catalog'!$C$50,L393*'Assumptions and Catalog'!$H$50+'Assumptions and Catalog'!$E$50+'Assumptions and Catalog'!$F$50,IF(L393&lt;='Assumptions and Catalog'!$C$51,L393*'Assumptions and Catalog'!$H$51+'Assumptions and Catalog'!$E$51+'Assumptions and Catalog'!$F$51,IF(L393&lt;='Assumptions and Catalog'!$C$52,L393*'Assumptions and Catalog'!$H$52+'Assumptions and Catalog'!$E$52+'Assumptions and Catalog'!$F$52,IF(L393&lt;='Assumptions and Catalog'!$C$53,L393*'Assumptions and Catalog'!$H$53+'Assumptions and Catalog'!$E$53+'Assumptions and Catalog'!$F$53,IF(L393&lt;='Assumptions and Catalog'!$C$54,L393*'Assumptions and Catalog'!$H$54+'Assumptions and Catalog'!$E$54+'Assumptions and Catalog'!$F$54,IF(L393&lt;='Assumptions and Catalog'!$C$55,L393*'Assumptions and Catalog'!$H$55+'Assumptions and Catalog'!$E$55+'Assumptions and Catalog'!$F$55,IF(L393&lt;='Assumptions and Catalog'!$C$56,L393*'Assumptions and Catalog'!$H$56+'Assumptions and Catalog'!$E$56+'Assumptions and Catalog'!$F$56,IF(L393&lt;='Assumptions and Catalog'!$C$57,L393*'Assumptions and Catalog'!$H$57+'Assumptions and Catalog'!$E$57+'Assumptions and Catalog'!$F$57,"Out of range")))))))),IF(L393&lt;='Assumptions and Catalog'!$C$60,L393*'Assumptions and Catalog'!$H$60+'Assumptions and Catalog'!$E$60+'Assumptions and Catalog'!$F$60,IF(L393&lt;='Assumptions and Catalog'!$C$61,L393*'Assumptions and Catalog'!$H$61+'Assumptions and Catalog'!$E$61+'Assumptions and Catalog'!$F$61,IF(L393&lt;='Assumptions and Catalog'!$C$62,L393*'Assumptions and Catalog'!$H$62+'Assumptions and Catalog'!$E$62+'Assumptions and Catalog'!$F$62,IF(L393&lt;='Assumptions and Catalog'!$C$63,L393*'Assumptions and Catalog'!$H$63+'Assumptions and Catalog'!$E$63+'Assumptions and Catalog'!$F$63,IF(L393&lt;='Assumptions and Catalog'!$C$64,L393*'Assumptions and Catalog'!$H$64+'Assumptions and Catalog'!$E$64+'Assumptions and Catalog'!$F$64,IF(L393&lt;='Assumptions and Catalog'!$C$65,L393*'Assumptions and Catalog'!$H$65+'Assumptions and Catalog'!$E$65+'Assumptions and Catalog'!$F$65,"Out of range")))))))))*(1+'Assumptions and Catalog'!$C$8)^(A393-1),0)</f>
        <v>5339.1782494373383</v>
      </c>
      <c r="O393" s="5">
        <f t="shared" si="30"/>
        <v>3215.7884172293288</v>
      </c>
      <c r="P393" s="5">
        <f>C$55*(1-J$14)*(1-'Assumptions and Catalog'!$C$23)^R393</f>
        <v>0</v>
      </c>
      <c r="Q393" s="5">
        <f>IF(ISNUMBER(Inputs!$L$5),(IF(Inputs!$L$9="Actual flat rate",((D393+E393)*C393-G393)*Inputs!$L$10,IF(Inputs!$C$9="Residential",IF(((D393+E393)*C393-G393)&lt;='Assumptions and Catalog'!$C$50,((D393+E393)*C393-G393)*'Assumptions and Catalog'!$H$50+'Assumptions and Catalog'!$E$50+'Assumptions and Catalog'!$F$50,IF(((D393+E393)*C393-G393)&lt;='Assumptions and Catalog'!$C$51,((D393+E393)*C393-G393)*'Assumptions and Catalog'!$H$51+'Assumptions and Catalog'!$E$51+'Assumptions and Catalog'!$F$51,IF(((D393+E393)*C393-G393)&lt;='Assumptions and Catalog'!$C$52,((D393+E393)*C393-G393)*'Assumptions and Catalog'!$H$52+'Assumptions and Catalog'!$E$52+'Assumptions and Catalog'!$F$52,IF(((D393+E393)*C393-G393)&lt;='Assumptions and Catalog'!$C$53,((D393+E393)*C393-G393)*'Assumptions and Catalog'!$H$53+'Assumptions and Catalog'!$E$53+'Assumptions and Catalog'!$F$53,IF(((D393+E393)*C393-G393)&lt;='Assumptions and Catalog'!$C$54,((D393+E393)*C393-G393)*'Assumptions and Catalog'!$H$54+'Assumptions and Catalog'!$E$54+'Assumptions and Catalog'!$F$54,IF(((D393+E393)*C393-G393)&lt;='Assumptions and Catalog'!$C$55,((D393+E393)*C393-G393)*'Assumptions and Catalog'!$H$55+'Assumptions and Catalog'!$E$55+'Assumptions and Catalog'!$F$55,IF(((D393+E393)*C393-G393)&lt;='Assumptions and Catalog'!$C$56,((D393+E393)*C393-G393)*'Assumptions and Catalog'!$H$56+'Assumptions and Catalog'!$E$56+'Assumptions and Catalog'!$F$56,IF(((D393+E393)*C393-G393)&lt;='Assumptions and Catalog'!$C$57,((D393+E393)*C393-G393)*'Assumptions and Catalog'!$H$57+'Assumptions and Catalog'!$E$57+'Assumptions and Catalog'!$F$57,"Out of range")))))))),IF(((D393+E393)*C393-G393)&lt;='Assumptions and Catalog'!$C$60,((D393+E393)*C393-G393)*'Assumptions and Catalog'!$H$60+'Assumptions and Catalog'!$E$60+'Assumptions and Catalog'!$F$60,IF(((D393+E393)*C393-G393)&lt;='Assumptions and Catalog'!$C$61,((D393+E393)*C393-G393)*'Assumptions and Catalog'!$H$61+'Assumptions and Catalog'!$E$61+'Assumptions and Catalog'!$F$61,IF(((D393+E393)*C393-G393)&lt;='Assumptions and Catalog'!$C$62,((D393+E393)*C393-G393)*'Assumptions and Catalog'!$H$62+'Assumptions and Catalog'!$E$62+'Assumptions and Catalog'!$F$62,IF(((D393+E393)*C393-G393)&lt;='Assumptions and Catalog'!$C$63,((D393+E393)*C393-G393)*'Assumptions and Catalog'!$H$63+'Assumptions and Catalog'!$E$63+'Assumptions and Catalog'!$F$63,IF(((D393+E393)*C393-G393)&lt;='Assumptions and Catalog'!$C$64,((D393+E393)*C393-G393)*'Assumptions and Catalog'!$H$64+'Assumptions and Catalog'!$E$64+'Assumptions and Catalog'!$F$64,IF(((D393+E393)*C393-G393)&lt;='Assumptions and Catalog'!$C$65,((D393+E393)*C393-G393)*'Assumptions and Catalog'!$H$65+'Assumptions and Catalog'!$E$65+'Assumptions and Catalog'!$F$65,"Out of range")))))))))*(1+'Assumptions and Catalog'!$C$8)^(A393-1),0)</f>
        <v>5339.1782494373383</v>
      </c>
      <c r="R393" s="5">
        <f>IF(AND('Assumptions and Catalog'!$C$19&gt;0,A393&gt;='Assumptions and Catalog'!$C$19),A393-'Assumptions and Catalog'!$C$19,A393-1)</f>
        <v>9</v>
      </c>
      <c r="S393" s="5">
        <f t="shared" si="31"/>
        <v>0</v>
      </c>
      <c r="T393" s="5"/>
      <c r="U393" s="5"/>
    </row>
    <row r="394" spans="1:21" ht="23.1" customHeight="1" outlineLevel="1" x14ac:dyDescent="0.2">
      <c r="A394" s="5">
        <v>20</v>
      </c>
      <c r="B394" s="5">
        <v>6</v>
      </c>
      <c r="C394" s="5">
        <f>DAY(DATE('Assumptions and Catalog'!$C$24+A394-1,B394+1,0))</f>
        <v>30</v>
      </c>
      <c r="D394" s="5">
        <f>IF(ISNUMBER(Inputs!$L$5),Inputs!$L$5*Inputs!$L$6,0)</f>
        <v>40.35</v>
      </c>
      <c r="E394" s="5">
        <f>IF(ISNUMBER(Inputs!$L$5),Inputs!$L$5-D394,0)</f>
        <v>40.35</v>
      </c>
      <c r="F394" s="5">
        <f>C$51*'Assumptions and Catalog'!$C$31*C394*(1-'Assumptions and Catalog'!$C$10)^(A394-1)</f>
        <v>910.04723471888144</v>
      </c>
      <c r="G394" s="5">
        <f t="shared" si="26"/>
        <v>910.04723471888144</v>
      </c>
      <c r="H394" s="5">
        <f>I394/('Assumptions and Catalog'!$C$11*'Assumptions and Catalog'!$C$12)</f>
        <v>0</v>
      </c>
      <c r="I394" s="5">
        <f>0</f>
        <v>0</v>
      </c>
      <c r="J394" s="5">
        <f t="shared" si="27"/>
        <v>0</v>
      </c>
      <c r="K394" s="5">
        <f t="shared" si="28"/>
        <v>0</v>
      </c>
      <c r="L394" s="5">
        <f t="shared" si="29"/>
        <v>1510.9527652811184</v>
      </c>
      <c r="M394" s="5">
        <f>IF(ISNUMBER(Inputs!$L$5),(IF(Inputs!$L$9="Actual flat rate",((D394+E394)*C394)*Inputs!$L$10,IF(Inputs!$C$9="Residential",IF(((D394+E394)*C394)&lt;='Assumptions and Catalog'!$C$50,((D394+E394)*C394)*'Assumptions and Catalog'!$H$50+'Assumptions and Catalog'!$E$50+'Assumptions and Catalog'!$F$50,IF(((D394+E394)*C394)&lt;='Assumptions and Catalog'!$C$51,((D394+E394)*C394)*'Assumptions and Catalog'!$H$51+'Assumptions and Catalog'!$E$51+'Assumptions and Catalog'!$F$51,IF(((D394+E394)*C394)&lt;='Assumptions and Catalog'!$C$52,((D394+E394)*C394)*'Assumptions and Catalog'!$H$52+'Assumptions and Catalog'!$E$52+'Assumptions and Catalog'!$F$52,IF(((D394+E394)*C394)&lt;='Assumptions and Catalog'!$C$53,((D394+E394)*C394)*'Assumptions and Catalog'!$H$53+'Assumptions and Catalog'!$E$53+'Assumptions and Catalog'!$F$53,IF(((D394+E394)*C394)&lt;='Assumptions and Catalog'!$C$54,((D394+E394)*C394)*'Assumptions and Catalog'!$H$54+'Assumptions and Catalog'!$E$54+'Assumptions and Catalog'!$F$54,IF(((D394+E394)*C394)&lt;='Assumptions and Catalog'!$C$55,((D394+E394)*C394)*'Assumptions and Catalog'!$H$55+'Assumptions and Catalog'!$E$55+'Assumptions and Catalog'!$F$55,IF(((D394+E394)*C394)&lt;='Assumptions and Catalog'!$C$56,((D394+E394)*C394)*'Assumptions and Catalog'!$H$56+'Assumptions and Catalog'!$E$56+'Assumptions and Catalog'!$F$56,IF(((D394+E394)*C394)&lt;='Assumptions and Catalog'!$C$57,((D394+E394)*C394)*'Assumptions and Catalog'!$H$57+'Assumptions and Catalog'!$E$57+'Assumptions and Catalog'!$F$57,"Out of range")))))))),IF(((D394+E394)*C394)&lt;='Assumptions and Catalog'!$C$60,((D394+E394)*C394)*'Assumptions and Catalog'!$H$60+'Assumptions and Catalog'!$E$60+'Assumptions and Catalog'!$F$60,IF(((D394+E394)*C394)&lt;='Assumptions and Catalog'!$C$61,((D394+E394)*C394)*'Assumptions and Catalog'!$H$61+'Assumptions and Catalog'!$E$61+'Assumptions and Catalog'!$F$61,IF(((D394+E394)*C394)&lt;='Assumptions and Catalog'!$C$62,((D394+E394)*C394)*'Assumptions and Catalog'!$H$62+'Assumptions and Catalog'!$E$62+'Assumptions and Catalog'!$F$62,IF(((D394+E394)*C394)&lt;='Assumptions and Catalog'!$C$63,((D394+E394)*C394)*'Assumptions and Catalog'!$H$63+'Assumptions and Catalog'!$E$63+'Assumptions and Catalog'!$F$63,IF(((D394+E394)*C394)&lt;='Assumptions and Catalog'!$C$64,((D394+E394)*C394)*'Assumptions and Catalog'!$H$64+'Assumptions and Catalog'!$E$64+'Assumptions and Catalog'!$F$64,IF(((D394+E394)*C394)&lt;='Assumptions and Catalog'!$C$65,((D394+E394)*C394)*'Assumptions and Catalog'!$H$65+'Assumptions and Catalog'!$E$65+'Assumptions and Catalog'!$F$65,"Out of range")))))))))*(1+'Assumptions and Catalog'!$C$8)^(A394-1),0)</f>
        <v>8279</v>
      </c>
      <c r="N394" s="5">
        <f>IF(ISNUMBER(Inputs!$L$5),(IF(Inputs!$L$9="Actual flat rate",L394*Inputs!$L$10,IF(Inputs!$C$9="Residential",IF(L394&lt;='Assumptions and Catalog'!$C$50,L394*'Assumptions and Catalog'!$H$50+'Assumptions and Catalog'!$E$50+'Assumptions and Catalog'!$F$50,IF(L394&lt;='Assumptions and Catalog'!$C$51,L394*'Assumptions and Catalog'!$H$51+'Assumptions and Catalog'!$E$51+'Assumptions and Catalog'!$F$51,IF(L394&lt;='Assumptions and Catalog'!$C$52,L394*'Assumptions and Catalog'!$H$52+'Assumptions and Catalog'!$E$52+'Assumptions and Catalog'!$F$52,IF(L394&lt;='Assumptions and Catalog'!$C$53,L394*'Assumptions and Catalog'!$H$53+'Assumptions and Catalog'!$E$53+'Assumptions and Catalog'!$F$53,IF(L394&lt;='Assumptions and Catalog'!$C$54,L394*'Assumptions and Catalog'!$H$54+'Assumptions and Catalog'!$E$54+'Assumptions and Catalog'!$F$54,IF(L394&lt;='Assumptions and Catalog'!$C$55,L394*'Assumptions and Catalog'!$H$55+'Assumptions and Catalog'!$E$55+'Assumptions and Catalog'!$F$55,IF(L394&lt;='Assumptions and Catalog'!$C$56,L394*'Assumptions and Catalog'!$H$56+'Assumptions and Catalog'!$E$56+'Assumptions and Catalog'!$F$56,IF(L394&lt;='Assumptions and Catalog'!$C$57,L394*'Assumptions and Catalog'!$H$57+'Assumptions and Catalog'!$E$57+'Assumptions and Catalog'!$F$57,"Out of range")))))))),IF(L394&lt;='Assumptions and Catalog'!$C$60,L394*'Assumptions and Catalog'!$H$60+'Assumptions and Catalog'!$E$60+'Assumptions and Catalog'!$F$60,IF(L394&lt;='Assumptions and Catalog'!$C$61,L394*'Assumptions and Catalog'!$H$61+'Assumptions and Catalog'!$E$61+'Assumptions and Catalog'!$F$61,IF(L394&lt;='Assumptions and Catalog'!$C$62,L394*'Assumptions and Catalog'!$H$62+'Assumptions and Catalog'!$E$62+'Assumptions and Catalog'!$F$62,IF(L394&lt;='Assumptions and Catalog'!$C$63,L394*'Assumptions and Catalog'!$H$63+'Assumptions and Catalog'!$E$63+'Assumptions and Catalog'!$F$63,IF(L394&lt;='Assumptions and Catalog'!$C$64,L394*'Assumptions and Catalog'!$H$64+'Assumptions and Catalog'!$E$64+'Assumptions and Catalog'!$F$64,IF(L394&lt;='Assumptions and Catalog'!$C$65,L394*'Assumptions and Catalog'!$H$65+'Assumptions and Catalog'!$E$65+'Assumptions and Catalog'!$F$65,"Out of range")))))))))*(1+'Assumptions and Catalog'!$C$8)^(A394-1),0)</f>
        <v>5166.9466930038743</v>
      </c>
      <c r="O394" s="5">
        <f t="shared" si="30"/>
        <v>3112.0533069961257</v>
      </c>
      <c r="P394" s="5">
        <f>C$55*(1-J$14)*(1-'Assumptions and Catalog'!$C$23)^R394</f>
        <v>0</v>
      </c>
      <c r="Q394" s="5">
        <f>IF(ISNUMBER(Inputs!$L$5),(IF(Inputs!$L$9="Actual flat rate",((D394+E394)*C394-G394)*Inputs!$L$10,IF(Inputs!$C$9="Residential",IF(((D394+E394)*C394-G394)&lt;='Assumptions and Catalog'!$C$50,((D394+E394)*C394-G394)*'Assumptions and Catalog'!$H$50+'Assumptions and Catalog'!$E$50+'Assumptions and Catalog'!$F$50,IF(((D394+E394)*C394-G394)&lt;='Assumptions and Catalog'!$C$51,((D394+E394)*C394-G394)*'Assumptions and Catalog'!$H$51+'Assumptions and Catalog'!$E$51+'Assumptions and Catalog'!$F$51,IF(((D394+E394)*C394-G394)&lt;='Assumptions and Catalog'!$C$52,((D394+E394)*C394-G394)*'Assumptions and Catalog'!$H$52+'Assumptions and Catalog'!$E$52+'Assumptions and Catalog'!$F$52,IF(((D394+E394)*C394-G394)&lt;='Assumptions and Catalog'!$C$53,((D394+E394)*C394-G394)*'Assumptions and Catalog'!$H$53+'Assumptions and Catalog'!$E$53+'Assumptions and Catalog'!$F$53,IF(((D394+E394)*C394-G394)&lt;='Assumptions and Catalog'!$C$54,((D394+E394)*C394-G394)*'Assumptions and Catalog'!$H$54+'Assumptions and Catalog'!$E$54+'Assumptions and Catalog'!$F$54,IF(((D394+E394)*C394-G394)&lt;='Assumptions and Catalog'!$C$55,((D394+E394)*C394-G394)*'Assumptions and Catalog'!$H$55+'Assumptions and Catalog'!$E$55+'Assumptions and Catalog'!$F$55,IF(((D394+E394)*C394-G394)&lt;='Assumptions and Catalog'!$C$56,((D394+E394)*C394-G394)*'Assumptions and Catalog'!$H$56+'Assumptions and Catalog'!$E$56+'Assumptions and Catalog'!$F$56,IF(((D394+E394)*C394-G394)&lt;='Assumptions and Catalog'!$C$57,((D394+E394)*C394-G394)*'Assumptions and Catalog'!$H$57+'Assumptions and Catalog'!$E$57+'Assumptions and Catalog'!$F$57,"Out of range")))))))),IF(((D394+E394)*C394-G394)&lt;='Assumptions and Catalog'!$C$60,((D394+E394)*C394-G394)*'Assumptions and Catalog'!$H$60+'Assumptions and Catalog'!$E$60+'Assumptions and Catalog'!$F$60,IF(((D394+E394)*C394-G394)&lt;='Assumptions and Catalog'!$C$61,((D394+E394)*C394-G394)*'Assumptions and Catalog'!$H$61+'Assumptions and Catalog'!$E$61+'Assumptions and Catalog'!$F$61,IF(((D394+E394)*C394-G394)&lt;='Assumptions and Catalog'!$C$62,((D394+E394)*C394-G394)*'Assumptions and Catalog'!$H$62+'Assumptions and Catalog'!$E$62+'Assumptions and Catalog'!$F$62,IF(((D394+E394)*C394-G394)&lt;='Assumptions and Catalog'!$C$63,((D394+E394)*C394-G394)*'Assumptions and Catalog'!$H$63+'Assumptions and Catalog'!$E$63+'Assumptions and Catalog'!$F$63,IF(((D394+E394)*C394-G394)&lt;='Assumptions and Catalog'!$C$64,((D394+E394)*C394-G394)*'Assumptions and Catalog'!$H$64+'Assumptions and Catalog'!$E$64+'Assumptions and Catalog'!$F$64,IF(((D394+E394)*C394-G394)&lt;='Assumptions and Catalog'!$C$65,((D394+E394)*C394-G394)*'Assumptions and Catalog'!$H$65+'Assumptions and Catalog'!$E$65+'Assumptions and Catalog'!$F$65,"Out of range")))))))))*(1+'Assumptions and Catalog'!$C$8)^(A394-1),0)</f>
        <v>5166.9466930038743</v>
      </c>
      <c r="R394" s="5">
        <f>IF(AND('Assumptions and Catalog'!$C$19&gt;0,A394&gt;='Assumptions and Catalog'!$C$19),A394-'Assumptions and Catalog'!$C$19,A394-1)</f>
        <v>9</v>
      </c>
      <c r="S394" s="5">
        <f t="shared" si="31"/>
        <v>0</v>
      </c>
      <c r="T394" s="5"/>
      <c r="U394" s="5"/>
    </row>
    <row r="395" spans="1:21" ht="23.1" customHeight="1" outlineLevel="1" x14ac:dyDescent="0.2">
      <c r="A395" s="5">
        <v>20</v>
      </c>
      <c r="B395" s="5">
        <v>7</v>
      </c>
      <c r="C395" s="5">
        <f>DAY(DATE('Assumptions and Catalog'!$C$24+A395-1,B395+1,0))</f>
        <v>31</v>
      </c>
      <c r="D395" s="5">
        <f>IF(ISNUMBER(Inputs!$L$5),Inputs!$L$5*Inputs!$L$6,0)</f>
        <v>40.35</v>
      </c>
      <c r="E395" s="5">
        <f>IF(ISNUMBER(Inputs!$L$5),Inputs!$L$5-D395,0)</f>
        <v>40.35</v>
      </c>
      <c r="F395" s="5">
        <f>C$51*'Assumptions and Catalog'!$C$31*C395*(1-'Assumptions and Catalog'!$C$10)^(A395-1)</f>
        <v>940.38214254284412</v>
      </c>
      <c r="G395" s="5">
        <f t="shared" si="26"/>
        <v>940.38214254284412</v>
      </c>
      <c r="H395" s="5">
        <f>I395/('Assumptions and Catalog'!$C$11*'Assumptions and Catalog'!$C$12)</f>
        <v>0</v>
      </c>
      <c r="I395" s="5">
        <f>0</f>
        <v>0</v>
      </c>
      <c r="J395" s="5">
        <f t="shared" si="27"/>
        <v>0</v>
      </c>
      <c r="K395" s="5">
        <f t="shared" si="28"/>
        <v>0</v>
      </c>
      <c r="L395" s="5">
        <f t="shared" si="29"/>
        <v>1561.3178574571562</v>
      </c>
      <c r="M395" s="5">
        <f>IF(ISNUMBER(Inputs!$L$5),(IF(Inputs!$L$9="Actual flat rate",((D395+E395)*C395)*Inputs!$L$10,IF(Inputs!$C$9="Residential",IF(((D395+E395)*C395)&lt;='Assumptions and Catalog'!$C$50,((D395+E395)*C395)*'Assumptions and Catalog'!$H$50+'Assumptions and Catalog'!$E$50+'Assumptions and Catalog'!$F$50,IF(((D395+E395)*C395)&lt;='Assumptions and Catalog'!$C$51,((D395+E395)*C395)*'Assumptions and Catalog'!$H$51+'Assumptions and Catalog'!$E$51+'Assumptions and Catalog'!$F$51,IF(((D395+E395)*C395)&lt;='Assumptions and Catalog'!$C$52,((D395+E395)*C395)*'Assumptions and Catalog'!$H$52+'Assumptions and Catalog'!$E$52+'Assumptions and Catalog'!$F$52,IF(((D395+E395)*C395)&lt;='Assumptions and Catalog'!$C$53,((D395+E395)*C395)*'Assumptions and Catalog'!$H$53+'Assumptions and Catalog'!$E$53+'Assumptions and Catalog'!$F$53,IF(((D395+E395)*C395)&lt;='Assumptions and Catalog'!$C$54,((D395+E395)*C395)*'Assumptions and Catalog'!$H$54+'Assumptions and Catalog'!$E$54+'Assumptions and Catalog'!$F$54,IF(((D395+E395)*C395)&lt;='Assumptions and Catalog'!$C$55,((D395+E395)*C395)*'Assumptions and Catalog'!$H$55+'Assumptions and Catalog'!$E$55+'Assumptions and Catalog'!$F$55,IF(((D395+E395)*C395)&lt;='Assumptions and Catalog'!$C$56,((D395+E395)*C395)*'Assumptions and Catalog'!$H$56+'Assumptions and Catalog'!$E$56+'Assumptions and Catalog'!$F$56,IF(((D395+E395)*C395)&lt;='Assumptions and Catalog'!$C$57,((D395+E395)*C395)*'Assumptions and Catalog'!$H$57+'Assumptions and Catalog'!$E$57+'Assumptions and Catalog'!$F$57,"Out of range")))))))),IF(((D395+E395)*C395)&lt;='Assumptions and Catalog'!$C$60,((D395+E395)*C395)*'Assumptions and Catalog'!$H$60+'Assumptions and Catalog'!$E$60+'Assumptions and Catalog'!$F$60,IF(((D395+E395)*C395)&lt;='Assumptions and Catalog'!$C$61,((D395+E395)*C395)*'Assumptions and Catalog'!$H$61+'Assumptions and Catalog'!$E$61+'Assumptions and Catalog'!$F$61,IF(((D395+E395)*C395)&lt;='Assumptions and Catalog'!$C$62,((D395+E395)*C395)*'Assumptions and Catalog'!$H$62+'Assumptions and Catalog'!$E$62+'Assumptions and Catalog'!$F$62,IF(((D395+E395)*C395)&lt;='Assumptions and Catalog'!$C$63,((D395+E395)*C395)*'Assumptions and Catalog'!$H$63+'Assumptions and Catalog'!$E$63+'Assumptions and Catalog'!$F$63,IF(((D395+E395)*C395)&lt;='Assumptions and Catalog'!$C$64,((D395+E395)*C395)*'Assumptions and Catalog'!$H$64+'Assumptions and Catalog'!$E$64+'Assumptions and Catalog'!$F$64,IF(((D395+E395)*C395)&lt;='Assumptions and Catalog'!$C$65,((D395+E395)*C395)*'Assumptions and Catalog'!$H$65+'Assumptions and Catalog'!$E$65+'Assumptions and Catalog'!$F$65,"Out of range")))))))))*(1+'Assumptions and Catalog'!$C$8)^(A395-1),0)</f>
        <v>8554.9666666666672</v>
      </c>
      <c r="N395" s="5">
        <f>IF(ISNUMBER(Inputs!$L$5),(IF(Inputs!$L$9="Actual flat rate",L395*Inputs!$L$10,IF(Inputs!$C$9="Residential",IF(L395&lt;='Assumptions and Catalog'!$C$50,L395*'Assumptions and Catalog'!$H$50+'Assumptions and Catalog'!$E$50+'Assumptions and Catalog'!$F$50,IF(L395&lt;='Assumptions and Catalog'!$C$51,L395*'Assumptions and Catalog'!$H$51+'Assumptions and Catalog'!$E$51+'Assumptions and Catalog'!$F$51,IF(L395&lt;='Assumptions and Catalog'!$C$52,L395*'Assumptions and Catalog'!$H$52+'Assumptions and Catalog'!$E$52+'Assumptions and Catalog'!$F$52,IF(L395&lt;='Assumptions and Catalog'!$C$53,L395*'Assumptions and Catalog'!$H$53+'Assumptions and Catalog'!$E$53+'Assumptions and Catalog'!$F$53,IF(L395&lt;='Assumptions and Catalog'!$C$54,L395*'Assumptions and Catalog'!$H$54+'Assumptions and Catalog'!$E$54+'Assumptions and Catalog'!$F$54,IF(L395&lt;='Assumptions and Catalog'!$C$55,L395*'Assumptions and Catalog'!$H$55+'Assumptions and Catalog'!$E$55+'Assumptions and Catalog'!$F$55,IF(L395&lt;='Assumptions and Catalog'!$C$56,L395*'Assumptions and Catalog'!$H$56+'Assumptions and Catalog'!$E$56+'Assumptions and Catalog'!$F$56,IF(L395&lt;='Assumptions and Catalog'!$C$57,L395*'Assumptions and Catalog'!$H$57+'Assumptions and Catalog'!$E$57+'Assumptions and Catalog'!$F$57,"Out of range")))))))),IF(L395&lt;='Assumptions and Catalog'!$C$60,L395*'Assumptions and Catalog'!$H$60+'Assumptions and Catalog'!$E$60+'Assumptions and Catalog'!$F$60,IF(L395&lt;='Assumptions and Catalog'!$C$61,L395*'Assumptions and Catalog'!$H$61+'Assumptions and Catalog'!$E$61+'Assumptions and Catalog'!$F$61,IF(L395&lt;='Assumptions and Catalog'!$C$62,L395*'Assumptions and Catalog'!$H$62+'Assumptions and Catalog'!$E$62+'Assumptions and Catalog'!$F$62,IF(L395&lt;='Assumptions and Catalog'!$C$63,L395*'Assumptions and Catalog'!$H$63+'Assumptions and Catalog'!$E$63+'Assumptions and Catalog'!$F$63,IF(L395&lt;='Assumptions and Catalog'!$C$64,L395*'Assumptions and Catalog'!$H$64+'Assumptions and Catalog'!$E$64+'Assumptions and Catalog'!$F$64,IF(L395&lt;='Assumptions and Catalog'!$C$65,L395*'Assumptions and Catalog'!$H$65+'Assumptions and Catalog'!$E$65+'Assumptions and Catalog'!$F$65,"Out of range")))))))))*(1+'Assumptions and Catalog'!$C$8)^(A395-1),0)</f>
        <v>5339.1782494373383</v>
      </c>
      <c r="O395" s="5">
        <f t="shared" si="30"/>
        <v>3215.7884172293288</v>
      </c>
      <c r="P395" s="5">
        <f>C$55*(1-J$14)*(1-'Assumptions and Catalog'!$C$23)^R395</f>
        <v>0</v>
      </c>
      <c r="Q395" s="5">
        <f>IF(ISNUMBER(Inputs!$L$5),(IF(Inputs!$L$9="Actual flat rate",((D395+E395)*C395-G395)*Inputs!$L$10,IF(Inputs!$C$9="Residential",IF(((D395+E395)*C395-G395)&lt;='Assumptions and Catalog'!$C$50,((D395+E395)*C395-G395)*'Assumptions and Catalog'!$H$50+'Assumptions and Catalog'!$E$50+'Assumptions and Catalog'!$F$50,IF(((D395+E395)*C395-G395)&lt;='Assumptions and Catalog'!$C$51,((D395+E395)*C395-G395)*'Assumptions and Catalog'!$H$51+'Assumptions and Catalog'!$E$51+'Assumptions and Catalog'!$F$51,IF(((D395+E395)*C395-G395)&lt;='Assumptions and Catalog'!$C$52,((D395+E395)*C395-G395)*'Assumptions and Catalog'!$H$52+'Assumptions and Catalog'!$E$52+'Assumptions and Catalog'!$F$52,IF(((D395+E395)*C395-G395)&lt;='Assumptions and Catalog'!$C$53,((D395+E395)*C395-G395)*'Assumptions and Catalog'!$H$53+'Assumptions and Catalog'!$E$53+'Assumptions and Catalog'!$F$53,IF(((D395+E395)*C395-G395)&lt;='Assumptions and Catalog'!$C$54,((D395+E395)*C395-G395)*'Assumptions and Catalog'!$H$54+'Assumptions and Catalog'!$E$54+'Assumptions and Catalog'!$F$54,IF(((D395+E395)*C395-G395)&lt;='Assumptions and Catalog'!$C$55,((D395+E395)*C395-G395)*'Assumptions and Catalog'!$H$55+'Assumptions and Catalog'!$E$55+'Assumptions and Catalog'!$F$55,IF(((D395+E395)*C395-G395)&lt;='Assumptions and Catalog'!$C$56,((D395+E395)*C395-G395)*'Assumptions and Catalog'!$H$56+'Assumptions and Catalog'!$E$56+'Assumptions and Catalog'!$F$56,IF(((D395+E395)*C395-G395)&lt;='Assumptions and Catalog'!$C$57,((D395+E395)*C395-G395)*'Assumptions and Catalog'!$H$57+'Assumptions and Catalog'!$E$57+'Assumptions and Catalog'!$F$57,"Out of range")))))))),IF(((D395+E395)*C395-G395)&lt;='Assumptions and Catalog'!$C$60,((D395+E395)*C395-G395)*'Assumptions and Catalog'!$H$60+'Assumptions and Catalog'!$E$60+'Assumptions and Catalog'!$F$60,IF(((D395+E395)*C395-G395)&lt;='Assumptions and Catalog'!$C$61,((D395+E395)*C395-G395)*'Assumptions and Catalog'!$H$61+'Assumptions and Catalog'!$E$61+'Assumptions and Catalog'!$F$61,IF(((D395+E395)*C395-G395)&lt;='Assumptions and Catalog'!$C$62,((D395+E395)*C395-G395)*'Assumptions and Catalog'!$H$62+'Assumptions and Catalog'!$E$62+'Assumptions and Catalog'!$F$62,IF(((D395+E395)*C395-G395)&lt;='Assumptions and Catalog'!$C$63,((D395+E395)*C395-G395)*'Assumptions and Catalog'!$H$63+'Assumptions and Catalog'!$E$63+'Assumptions and Catalog'!$F$63,IF(((D395+E395)*C395-G395)&lt;='Assumptions and Catalog'!$C$64,((D395+E395)*C395-G395)*'Assumptions and Catalog'!$H$64+'Assumptions and Catalog'!$E$64+'Assumptions and Catalog'!$F$64,IF(((D395+E395)*C395-G395)&lt;='Assumptions and Catalog'!$C$65,((D395+E395)*C395-G395)*'Assumptions and Catalog'!$H$65+'Assumptions and Catalog'!$E$65+'Assumptions and Catalog'!$F$65,"Out of range")))))))))*(1+'Assumptions and Catalog'!$C$8)^(A395-1),0)</f>
        <v>5339.1782494373383</v>
      </c>
      <c r="R395" s="5">
        <f>IF(AND('Assumptions and Catalog'!$C$19&gt;0,A395&gt;='Assumptions and Catalog'!$C$19),A395-'Assumptions and Catalog'!$C$19,A395-1)</f>
        <v>9</v>
      </c>
      <c r="S395" s="5">
        <f t="shared" si="31"/>
        <v>0</v>
      </c>
      <c r="T395" s="5"/>
      <c r="U395" s="5"/>
    </row>
    <row r="396" spans="1:21" ht="23.1" customHeight="1" outlineLevel="1" x14ac:dyDescent="0.2">
      <c r="A396" s="5">
        <v>20</v>
      </c>
      <c r="B396" s="5">
        <v>8</v>
      </c>
      <c r="C396" s="5">
        <f>DAY(DATE('Assumptions and Catalog'!$C$24+A396-1,B396+1,0))</f>
        <v>31</v>
      </c>
      <c r="D396" s="5">
        <f>IF(ISNUMBER(Inputs!$L$5),Inputs!$L$5*Inputs!$L$6,0)</f>
        <v>40.35</v>
      </c>
      <c r="E396" s="5">
        <f>IF(ISNUMBER(Inputs!$L$5),Inputs!$L$5-D396,0)</f>
        <v>40.35</v>
      </c>
      <c r="F396" s="5">
        <f>C$51*'Assumptions and Catalog'!$C$31*C396*(1-'Assumptions and Catalog'!$C$10)^(A396-1)</f>
        <v>940.38214254284412</v>
      </c>
      <c r="G396" s="5">
        <f t="shared" si="26"/>
        <v>940.38214254284412</v>
      </c>
      <c r="H396" s="5">
        <f>I396/('Assumptions and Catalog'!$C$11*'Assumptions and Catalog'!$C$12)</f>
        <v>0</v>
      </c>
      <c r="I396" s="5">
        <f>0</f>
        <v>0</v>
      </c>
      <c r="J396" s="5">
        <f t="shared" si="27"/>
        <v>0</v>
      </c>
      <c r="K396" s="5">
        <f t="shared" si="28"/>
        <v>0</v>
      </c>
      <c r="L396" s="5">
        <f t="shared" si="29"/>
        <v>1561.3178574571562</v>
      </c>
      <c r="M396" s="5">
        <f>IF(ISNUMBER(Inputs!$L$5),(IF(Inputs!$L$9="Actual flat rate",((D396+E396)*C396)*Inputs!$L$10,IF(Inputs!$C$9="Residential",IF(((D396+E396)*C396)&lt;='Assumptions and Catalog'!$C$50,((D396+E396)*C396)*'Assumptions and Catalog'!$H$50+'Assumptions and Catalog'!$E$50+'Assumptions and Catalog'!$F$50,IF(((D396+E396)*C396)&lt;='Assumptions and Catalog'!$C$51,((D396+E396)*C396)*'Assumptions and Catalog'!$H$51+'Assumptions and Catalog'!$E$51+'Assumptions and Catalog'!$F$51,IF(((D396+E396)*C396)&lt;='Assumptions and Catalog'!$C$52,((D396+E396)*C396)*'Assumptions and Catalog'!$H$52+'Assumptions and Catalog'!$E$52+'Assumptions and Catalog'!$F$52,IF(((D396+E396)*C396)&lt;='Assumptions and Catalog'!$C$53,((D396+E396)*C396)*'Assumptions and Catalog'!$H$53+'Assumptions and Catalog'!$E$53+'Assumptions and Catalog'!$F$53,IF(((D396+E396)*C396)&lt;='Assumptions and Catalog'!$C$54,((D396+E396)*C396)*'Assumptions and Catalog'!$H$54+'Assumptions and Catalog'!$E$54+'Assumptions and Catalog'!$F$54,IF(((D396+E396)*C396)&lt;='Assumptions and Catalog'!$C$55,((D396+E396)*C396)*'Assumptions and Catalog'!$H$55+'Assumptions and Catalog'!$E$55+'Assumptions and Catalog'!$F$55,IF(((D396+E396)*C396)&lt;='Assumptions and Catalog'!$C$56,((D396+E396)*C396)*'Assumptions and Catalog'!$H$56+'Assumptions and Catalog'!$E$56+'Assumptions and Catalog'!$F$56,IF(((D396+E396)*C396)&lt;='Assumptions and Catalog'!$C$57,((D396+E396)*C396)*'Assumptions and Catalog'!$H$57+'Assumptions and Catalog'!$E$57+'Assumptions and Catalog'!$F$57,"Out of range")))))))),IF(((D396+E396)*C396)&lt;='Assumptions and Catalog'!$C$60,((D396+E396)*C396)*'Assumptions and Catalog'!$H$60+'Assumptions and Catalog'!$E$60+'Assumptions and Catalog'!$F$60,IF(((D396+E396)*C396)&lt;='Assumptions and Catalog'!$C$61,((D396+E396)*C396)*'Assumptions and Catalog'!$H$61+'Assumptions and Catalog'!$E$61+'Assumptions and Catalog'!$F$61,IF(((D396+E396)*C396)&lt;='Assumptions and Catalog'!$C$62,((D396+E396)*C396)*'Assumptions and Catalog'!$H$62+'Assumptions and Catalog'!$E$62+'Assumptions and Catalog'!$F$62,IF(((D396+E396)*C396)&lt;='Assumptions and Catalog'!$C$63,((D396+E396)*C396)*'Assumptions and Catalog'!$H$63+'Assumptions and Catalog'!$E$63+'Assumptions and Catalog'!$F$63,IF(((D396+E396)*C396)&lt;='Assumptions and Catalog'!$C$64,((D396+E396)*C396)*'Assumptions and Catalog'!$H$64+'Assumptions and Catalog'!$E$64+'Assumptions and Catalog'!$F$64,IF(((D396+E396)*C396)&lt;='Assumptions and Catalog'!$C$65,((D396+E396)*C396)*'Assumptions and Catalog'!$H$65+'Assumptions and Catalog'!$E$65+'Assumptions and Catalog'!$F$65,"Out of range")))))))))*(1+'Assumptions and Catalog'!$C$8)^(A396-1),0)</f>
        <v>8554.9666666666672</v>
      </c>
      <c r="N396" s="5">
        <f>IF(ISNUMBER(Inputs!$L$5),(IF(Inputs!$L$9="Actual flat rate",L396*Inputs!$L$10,IF(Inputs!$C$9="Residential",IF(L396&lt;='Assumptions and Catalog'!$C$50,L396*'Assumptions and Catalog'!$H$50+'Assumptions and Catalog'!$E$50+'Assumptions and Catalog'!$F$50,IF(L396&lt;='Assumptions and Catalog'!$C$51,L396*'Assumptions and Catalog'!$H$51+'Assumptions and Catalog'!$E$51+'Assumptions and Catalog'!$F$51,IF(L396&lt;='Assumptions and Catalog'!$C$52,L396*'Assumptions and Catalog'!$H$52+'Assumptions and Catalog'!$E$52+'Assumptions and Catalog'!$F$52,IF(L396&lt;='Assumptions and Catalog'!$C$53,L396*'Assumptions and Catalog'!$H$53+'Assumptions and Catalog'!$E$53+'Assumptions and Catalog'!$F$53,IF(L396&lt;='Assumptions and Catalog'!$C$54,L396*'Assumptions and Catalog'!$H$54+'Assumptions and Catalog'!$E$54+'Assumptions and Catalog'!$F$54,IF(L396&lt;='Assumptions and Catalog'!$C$55,L396*'Assumptions and Catalog'!$H$55+'Assumptions and Catalog'!$E$55+'Assumptions and Catalog'!$F$55,IF(L396&lt;='Assumptions and Catalog'!$C$56,L396*'Assumptions and Catalog'!$H$56+'Assumptions and Catalog'!$E$56+'Assumptions and Catalog'!$F$56,IF(L396&lt;='Assumptions and Catalog'!$C$57,L396*'Assumptions and Catalog'!$H$57+'Assumptions and Catalog'!$E$57+'Assumptions and Catalog'!$F$57,"Out of range")))))))),IF(L396&lt;='Assumptions and Catalog'!$C$60,L396*'Assumptions and Catalog'!$H$60+'Assumptions and Catalog'!$E$60+'Assumptions and Catalog'!$F$60,IF(L396&lt;='Assumptions and Catalog'!$C$61,L396*'Assumptions and Catalog'!$H$61+'Assumptions and Catalog'!$E$61+'Assumptions and Catalog'!$F$61,IF(L396&lt;='Assumptions and Catalog'!$C$62,L396*'Assumptions and Catalog'!$H$62+'Assumptions and Catalog'!$E$62+'Assumptions and Catalog'!$F$62,IF(L396&lt;='Assumptions and Catalog'!$C$63,L396*'Assumptions and Catalog'!$H$63+'Assumptions and Catalog'!$E$63+'Assumptions and Catalog'!$F$63,IF(L396&lt;='Assumptions and Catalog'!$C$64,L396*'Assumptions and Catalog'!$H$64+'Assumptions and Catalog'!$E$64+'Assumptions and Catalog'!$F$64,IF(L396&lt;='Assumptions and Catalog'!$C$65,L396*'Assumptions and Catalog'!$H$65+'Assumptions and Catalog'!$E$65+'Assumptions and Catalog'!$F$65,"Out of range")))))))))*(1+'Assumptions and Catalog'!$C$8)^(A396-1),0)</f>
        <v>5339.1782494373383</v>
      </c>
      <c r="O396" s="5">
        <f t="shared" si="30"/>
        <v>3215.7884172293288</v>
      </c>
      <c r="P396" s="5">
        <f>C$55*(1-J$14)*(1-'Assumptions and Catalog'!$C$23)^R396</f>
        <v>0</v>
      </c>
      <c r="Q396" s="5">
        <f>IF(ISNUMBER(Inputs!$L$5),(IF(Inputs!$L$9="Actual flat rate",((D396+E396)*C396-G396)*Inputs!$L$10,IF(Inputs!$C$9="Residential",IF(((D396+E396)*C396-G396)&lt;='Assumptions and Catalog'!$C$50,((D396+E396)*C396-G396)*'Assumptions and Catalog'!$H$50+'Assumptions and Catalog'!$E$50+'Assumptions and Catalog'!$F$50,IF(((D396+E396)*C396-G396)&lt;='Assumptions and Catalog'!$C$51,((D396+E396)*C396-G396)*'Assumptions and Catalog'!$H$51+'Assumptions and Catalog'!$E$51+'Assumptions and Catalog'!$F$51,IF(((D396+E396)*C396-G396)&lt;='Assumptions and Catalog'!$C$52,((D396+E396)*C396-G396)*'Assumptions and Catalog'!$H$52+'Assumptions and Catalog'!$E$52+'Assumptions and Catalog'!$F$52,IF(((D396+E396)*C396-G396)&lt;='Assumptions and Catalog'!$C$53,((D396+E396)*C396-G396)*'Assumptions and Catalog'!$H$53+'Assumptions and Catalog'!$E$53+'Assumptions and Catalog'!$F$53,IF(((D396+E396)*C396-G396)&lt;='Assumptions and Catalog'!$C$54,((D396+E396)*C396-G396)*'Assumptions and Catalog'!$H$54+'Assumptions and Catalog'!$E$54+'Assumptions and Catalog'!$F$54,IF(((D396+E396)*C396-G396)&lt;='Assumptions and Catalog'!$C$55,((D396+E396)*C396-G396)*'Assumptions and Catalog'!$H$55+'Assumptions and Catalog'!$E$55+'Assumptions and Catalog'!$F$55,IF(((D396+E396)*C396-G396)&lt;='Assumptions and Catalog'!$C$56,((D396+E396)*C396-G396)*'Assumptions and Catalog'!$H$56+'Assumptions and Catalog'!$E$56+'Assumptions and Catalog'!$F$56,IF(((D396+E396)*C396-G396)&lt;='Assumptions and Catalog'!$C$57,((D396+E396)*C396-G396)*'Assumptions and Catalog'!$H$57+'Assumptions and Catalog'!$E$57+'Assumptions and Catalog'!$F$57,"Out of range")))))))),IF(((D396+E396)*C396-G396)&lt;='Assumptions and Catalog'!$C$60,((D396+E396)*C396-G396)*'Assumptions and Catalog'!$H$60+'Assumptions and Catalog'!$E$60+'Assumptions and Catalog'!$F$60,IF(((D396+E396)*C396-G396)&lt;='Assumptions and Catalog'!$C$61,((D396+E396)*C396-G396)*'Assumptions and Catalog'!$H$61+'Assumptions and Catalog'!$E$61+'Assumptions and Catalog'!$F$61,IF(((D396+E396)*C396-G396)&lt;='Assumptions and Catalog'!$C$62,((D396+E396)*C396-G396)*'Assumptions and Catalog'!$H$62+'Assumptions and Catalog'!$E$62+'Assumptions and Catalog'!$F$62,IF(((D396+E396)*C396-G396)&lt;='Assumptions and Catalog'!$C$63,((D396+E396)*C396-G396)*'Assumptions and Catalog'!$H$63+'Assumptions and Catalog'!$E$63+'Assumptions and Catalog'!$F$63,IF(((D396+E396)*C396-G396)&lt;='Assumptions and Catalog'!$C$64,((D396+E396)*C396-G396)*'Assumptions and Catalog'!$H$64+'Assumptions and Catalog'!$E$64+'Assumptions and Catalog'!$F$64,IF(((D396+E396)*C396-G396)&lt;='Assumptions and Catalog'!$C$65,((D396+E396)*C396-G396)*'Assumptions and Catalog'!$H$65+'Assumptions and Catalog'!$E$65+'Assumptions and Catalog'!$F$65,"Out of range")))))))))*(1+'Assumptions and Catalog'!$C$8)^(A396-1),0)</f>
        <v>5339.1782494373383</v>
      </c>
      <c r="R396" s="5">
        <f>IF(AND('Assumptions and Catalog'!$C$19&gt;0,A396&gt;='Assumptions and Catalog'!$C$19),A396-'Assumptions and Catalog'!$C$19,A396-1)</f>
        <v>9</v>
      </c>
      <c r="S396" s="5">
        <f t="shared" si="31"/>
        <v>0</v>
      </c>
      <c r="T396" s="5"/>
      <c r="U396" s="5"/>
    </row>
    <row r="397" spans="1:21" ht="23.1" customHeight="1" outlineLevel="1" x14ac:dyDescent="0.2">
      <c r="A397" s="5">
        <v>20</v>
      </c>
      <c r="B397" s="5">
        <v>9</v>
      </c>
      <c r="C397" s="5">
        <f>DAY(DATE('Assumptions and Catalog'!$C$24+A397-1,B397+1,0))</f>
        <v>30</v>
      </c>
      <c r="D397" s="5">
        <f>IF(ISNUMBER(Inputs!$L$5),Inputs!$L$5*Inputs!$L$6,0)</f>
        <v>40.35</v>
      </c>
      <c r="E397" s="5">
        <f>IF(ISNUMBER(Inputs!$L$5),Inputs!$L$5-D397,0)</f>
        <v>40.35</v>
      </c>
      <c r="F397" s="5">
        <f>C$51*'Assumptions and Catalog'!$C$31*C397*(1-'Assumptions and Catalog'!$C$10)^(A397-1)</f>
        <v>910.04723471888144</v>
      </c>
      <c r="G397" s="5">
        <f t="shared" si="26"/>
        <v>910.04723471888144</v>
      </c>
      <c r="H397" s="5">
        <f>I397/('Assumptions and Catalog'!$C$11*'Assumptions and Catalog'!$C$12)</f>
        <v>0</v>
      </c>
      <c r="I397" s="5">
        <f>0</f>
        <v>0</v>
      </c>
      <c r="J397" s="5">
        <f t="shared" si="27"/>
        <v>0</v>
      </c>
      <c r="K397" s="5">
        <f t="shared" si="28"/>
        <v>0</v>
      </c>
      <c r="L397" s="5">
        <f t="shared" si="29"/>
        <v>1510.9527652811184</v>
      </c>
      <c r="M397" s="5">
        <f>IF(ISNUMBER(Inputs!$L$5),(IF(Inputs!$L$9="Actual flat rate",((D397+E397)*C397)*Inputs!$L$10,IF(Inputs!$C$9="Residential",IF(((D397+E397)*C397)&lt;='Assumptions and Catalog'!$C$50,((D397+E397)*C397)*'Assumptions and Catalog'!$H$50+'Assumptions and Catalog'!$E$50+'Assumptions and Catalog'!$F$50,IF(((D397+E397)*C397)&lt;='Assumptions and Catalog'!$C$51,((D397+E397)*C397)*'Assumptions and Catalog'!$H$51+'Assumptions and Catalog'!$E$51+'Assumptions and Catalog'!$F$51,IF(((D397+E397)*C397)&lt;='Assumptions and Catalog'!$C$52,((D397+E397)*C397)*'Assumptions and Catalog'!$H$52+'Assumptions and Catalog'!$E$52+'Assumptions and Catalog'!$F$52,IF(((D397+E397)*C397)&lt;='Assumptions and Catalog'!$C$53,((D397+E397)*C397)*'Assumptions and Catalog'!$H$53+'Assumptions and Catalog'!$E$53+'Assumptions and Catalog'!$F$53,IF(((D397+E397)*C397)&lt;='Assumptions and Catalog'!$C$54,((D397+E397)*C397)*'Assumptions and Catalog'!$H$54+'Assumptions and Catalog'!$E$54+'Assumptions and Catalog'!$F$54,IF(((D397+E397)*C397)&lt;='Assumptions and Catalog'!$C$55,((D397+E397)*C397)*'Assumptions and Catalog'!$H$55+'Assumptions and Catalog'!$E$55+'Assumptions and Catalog'!$F$55,IF(((D397+E397)*C397)&lt;='Assumptions and Catalog'!$C$56,((D397+E397)*C397)*'Assumptions and Catalog'!$H$56+'Assumptions and Catalog'!$E$56+'Assumptions and Catalog'!$F$56,IF(((D397+E397)*C397)&lt;='Assumptions and Catalog'!$C$57,((D397+E397)*C397)*'Assumptions and Catalog'!$H$57+'Assumptions and Catalog'!$E$57+'Assumptions and Catalog'!$F$57,"Out of range")))))))),IF(((D397+E397)*C397)&lt;='Assumptions and Catalog'!$C$60,((D397+E397)*C397)*'Assumptions and Catalog'!$H$60+'Assumptions and Catalog'!$E$60+'Assumptions and Catalog'!$F$60,IF(((D397+E397)*C397)&lt;='Assumptions and Catalog'!$C$61,((D397+E397)*C397)*'Assumptions and Catalog'!$H$61+'Assumptions and Catalog'!$E$61+'Assumptions and Catalog'!$F$61,IF(((D397+E397)*C397)&lt;='Assumptions and Catalog'!$C$62,((D397+E397)*C397)*'Assumptions and Catalog'!$H$62+'Assumptions and Catalog'!$E$62+'Assumptions and Catalog'!$F$62,IF(((D397+E397)*C397)&lt;='Assumptions and Catalog'!$C$63,((D397+E397)*C397)*'Assumptions and Catalog'!$H$63+'Assumptions and Catalog'!$E$63+'Assumptions and Catalog'!$F$63,IF(((D397+E397)*C397)&lt;='Assumptions and Catalog'!$C$64,((D397+E397)*C397)*'Assumptions and Catalog'!$H$64+'Assumptions and Catalog'!$E$64+'Assumptions and Catalog'!$F$64,IF(((D397+E397)*C397)&lt;='Assumptions and Catalog'!$C$65,((D397+E397)*C397)*'Assumptions and Catalog'!$H$65+'Assumptions and Catalog'!$E$65+'Assumptions and Catalog'!$F$65,"Out of range")))))))))*(1+'Assumptions and Catalog'!$C$8)^(A397-1),0)</f>
        <v>8279</v>
      </c>
      <c r="N397" s="5">
        <f>IF(ISNUMBER(Inputs!$L$5),(IF(Inputs!$L$9="Actual flat rate",L397*Inputs!$L$10,IF(Inputs!$C$9="Residential",IF(L397&lt;='Assumptions and Catalog'!$C$50,L397*'Assumptions and Catalog'!$H$50+'Assumptions and Catalog'!$E$50+'Assumptions and Catalog'!$F$50,IF(L397&lt;='Assumptions and Catalog'!$C$51,L397*'Assumptions and Catalog'!$H$51+'Assumptions and Catalog'!$E$51+'Assumptions and Catalog'!$F$51,IF(L397&lt;='Assumptions and Catalog'!$C$52,L397*'Assumptions and Catalog'!$H$52+'Assumptions and Catalog'!$E$52+'Assumptions and Catalog'!$F$52,IF(L397&lt;='Assumptions and Catalog'!$C$53,L397*'Assumptions and Catalog'!$H$53+'Assumptions and Catalog'!$E$53+'Assumptions and Catalog'!$F$53,IF(L397&lt;='Assumptions and Catalog'!$C$54,L397*'Assumptions and Catalog'!$H$54+'Assumptions and Catalog'!$E$54+'Assumptions and Catalog'!$F$54,IF(L397&lt;='Assumptions and Catalog'!$C$55,L397*'Assumptions and Catalog'!$H$55+'Assumptions and Catalog'!$E$55+'Assumptions and Catalog'!$F$55,IF(L397&lt;='Assumptions and Catalog'!$C$56,L397*'Assumptions and Catalog'!$H$56+'Assumptions and Catalog'!$E$56+'Assumptions and Catalog'!$F$56,IF(L397&lt;='Assumptions and Catalog'!$C$57,L397*'Assumptions and Catalog'!$H$57+'Assumptions and Catalog'!$E$57+'Assumptions and Catalog'!$F$57,"Out of range")))))))),IF(L397&lt;='Assumptions and Catalog'!$C$60,L397*'Assumptions and Catalog'!$H$60+'Assumptions and Catalog'!$E$60+'Assumptions and Catalog'!$F$60,IF(L397&lt;='Assumptions and Catalog'!$C$61,L397*'Assumptions and Catalog'!$H$61+'Assumptions and Catalog'!$E$61+'Assumptions and Catalog'!$F$61,IF(L397&lt;='Assumptions and Catalog'!$C$62,L397*'Assumptions and Catalog'!$H$62+'Assumptions and Catalog'!$E$62+'Assumptions and Catalog'!$F$62,IF(L397&lt;='Assumptions and Catalog'!$C$63,L397*'Assumptions and Catalog'!$H$63+'Assumptions and Catalog'!$E$63+'Assumptions and Catalog'!$F$63,IF(L397&lt;='Assumptions and Catalog'!$C$64,L397*'Assumptions and Catalog'!$H$64+'Assumptions and Catalog'!$E$64+'Assumptions and Catalog'!$F$64,IF(L397&lt;='Assumptions and Catalog'!$C$65,L397*'Assumptions and Catalog'!$H$65+'Assumptions and Catalog'!$E$65+'Assumptions and Catalog'!$F$65,"Out of range")))))))))*(1+'Assumptions and Catalog'!$C$8)^(A397-1),0)</f>
        <v>5166.9466930038743</v>
      </c>
      <c r="O397" s="5">
        <f t="shared" si="30"/>
        <v>3112.0533069961257</v>
      </c>
      <c r="P397" s="5">
        <f>C$55*(1-J$14)*(1-'Assumptions and Catalog'!$C$23)^R397</f>
        <v>0</v>
      </c>
      <c r="Q397" s="5">
        <f>IF(ISNUMBER(Inputs!$L$5),(IF(Inputs!$L$9="Actual flat rate",((D397+E397)*C397-G397)*Inputs!$L$10,IF(Inputs!$C$9="Residential",IF(((D397+E397)*C397-G397)&lt;='Assumptions and Catalog'!$C$50,((D397+E397)*C397-G397)*'Assumptions and Catalog'!$H$50+'Assumptions and Catalog'!$E$50+'Assumptions and Catalog'!$F$50,IF(((D397+E397)*C397-G397)&lt;='Assumptions and Catalog'!$C$51,((D397+E397)*C397-G397)*'Assumptions and Catalog'!$H$51+'Assumptions and Catalog'!$E$51+'Assumptions and Catalog'!$F$51,IF(((D397+E397)*C397-G397)&lt;='Assumptions and Catalog'!$C$52,((D397+E397)*C397-G397)*'Assumptions and Catalog'!$H$52+'Assumptions and Catalog'!$E$52+'Assumptions and Catalog'!$F$52,IF(((D397+E397)*C397-G397)&lt;='Assumptions and Catalog'!$C$53,((D397+E397)*C397-G397)*'Assumptions and Catalog'!$H$53+'Assumptions and Catalog'!$E$53+'Assumptions and Catalog'!$F$53,IF(((D397+E397)*C397-G397)&lt;='Assumptions and Catalog'!$C$54,((D397+E397)*C397-G397)*'Assumptions and Catalog'!$H$54+'Assumptions and Catalog'!$E$54+'Assumptions and Catalog'!$F$54,IF(((D397+E397)*C397-G397)&lt;='Assumptions and Catalog'!$C$55,((D397+E397)*C397-G397)*'Assumptions and Catalog'!$H$55+'Assumptions and Catalog'!$E$55+'Assumptions and Catalog'!$F$55,IF(((D397+E397)*C397-G397)&lt;='Assumptions and Catalog'!$C$56,((D397+E397)*C397-G397)*'Assumptions and Catalog'!$H$56+'Assumptions and Catalog'!$E$56+'Assumptions and Catalog'!$F$56,IF(((D397+E397)*C397-G397)&lt;='Assumptions and Catalog'!$C$57,((D397+E397)*C397-G397)*'Assumptions and Catalog'!$H$57+'Assumptions and Catalog'!$E$57+'Assumptions and Catalog'!$F$57,"Out of range")))))))),IF(((D397+E397)*C397-G397)&lt;='Assumptions and Catalog'!$C$60,((D397+E397)*C397-G397)*'Assumptions and Catalog'!$H$60+'Assumptions and Catalog'!$E$60+'Assumptions and Catalog'!$F$60,IF(((D397+E397)*C397-G397)&lt;='Assumptions and Catalog'!$C$61,((D397+E397)*C397-G397)*'Assumptions and Catalog'!$H$61+'Assumptions and Catalog'!$E$61+'Assumptions and Catalog'!$F$61,IF(((D397+E397)*C397-G397)&lt;='Assumptions and Catalog'!$C$62,((D397+E397)*C397-G397)*'Assumptions and Catalog'!$H$62+'Assumptions and Catalog'!$E$62+'Assumptions and Catalog'!$F$62,IF(((D397+E397)*C397-G397)&lt;='Assumptions and Catalog'!$C$63,((D397+E397)*C397-G397)*'Assumptions and Catalog'!$H$63+'Assumptions and Catalog'!$E$63+'Assumptions and Catalog'!$F$63,IF(((D397+E397)*C397-G397)&lt;='Assumptions and Catalog'!$C$64,((D397+E397)*C397-G397)*'Assumptions and Catalog'!$H$64+'Assumptions and Catalog'!$E$64+'Assumptions and Catalog'!$F$64,IF(((D397+E397)*C397-G397)&lt;='Assumptions and Catalog'!$C$65,((D397+E397)*C397-G397)*'Assumptions and Catalog'!$H$65+'Assumptions and Catalog'!$E$65+'Assumptions and Catalog'!$F$65,"Out of range")))))))))*(1+'Assumptions and Catalog'!$C$8)^(A397-1),0)</f>
        <v>5166.9466930038743</v>
      </c>
      <c r="R397" s="5">
        <f>IF(AND('Assumptions and Catalog'!$C$19&gt;0,A397&gt;='Assumptions and Catalog'!$C$19),A397-'Assumptions and Catalog'!$C$19,A397-1)</f>
        <v>9</v>
      </c>
      <c r="S397" s="5">
        <f t="shared" si="31"/>
        <v>0</v>
      </c>
      <c r="T397" s="5"/>
      <c r="U397" s="5"/>
    </row>
    <row r="398" spans="1:21" ht="23.1" customHeight="1" outlineLevel="1" x14ac:dyDescent="0.2">
      <c r="A398" s="5">
        <v>20</v>
      </c>
      <c r="B398" s="5">
        <v>10</v>
      </c>
      <c r="C398" s="5">
        <f>DAY(DATE('Assumptions and Catalog'!$C$24+A398-1,B398+1,0))</f>
        <v>31</v>
      </c>
      <c r="D398" s="5">
        <f>IF(ISNUMBER(Inputs!$L$5),Inputs!$L$5*Inputs!$L$6,0)</f>
        <v>40.35</v>
      </c>
      <c r="E398" s="5">
        <f>IF(ISNUMBER(Inputs!$L$5),Inputs!$L$5-D398,0)</f>
        <v>40.35</v>
      </c>
      <c r="F398" s="5">
        <f>C$51*'Assumptions and Catalog'!$C$31*C398*(1-'Assumptions and Catalog'!$C$10)^(A398-1)</f>
        <v>940.38214254284412</v>
      </c>
      <c r="G398" s="5">
        <f t="shared" si="26"/>
        <v>940.38214254284412</v>
      </c>
      <c r="H398" s="5">
        <f>I398/('Assumptions and Catalog'!$C$11*'Assumptions and Catalog'!$C$12)</f>
        <v>0</v>
      </c>
      <c r="I398" s="5">
        <f>0</f>
        <v>0</v>
      </c>
      <c r="J398" s="5">
        <f t="shared" si="27"/>
        <v>0</v>
      </c>
      <c r="K398" s="5">
        <f t="shared" si="28"/>
        <v>0</v>
      </c>
      <c r="L398" s="5">
        <f t="shared" si="29"/>
        <v>1561.3178574571562</v>
      </c>
      <c r="M398" s="5">
        <f>IF(ISNUMBER(Inputs!$L$5),(IF(Inputs!$L$9="Actual flat rate",((D398+E398)*C398)*Inputs!$L$10,IF(Inputs!$C$9="Residential",IF(((D398+E398)*C398)&lt;='Assumptions and Catalog'!$C$50,((D398+E398)*C398)*'Assumptions and Catalog'!$H$50+'Assumptions and Catalog'!$E$50+'Assumptions and Catalog'!$F$50,IF(((D398+E398)*C398)&lt;='Assumptions and Catalog'!$C$51,((D398+E398)*C398)*'Assumptions and Catalog'!$H$51+'Assumptions and Catalog'!$E$51+'Assumptions and Catalog'!$F$51,IF(((D398+E398)*C398)&lt;='Assumptions and Catalog'!$C$52,((D398+E398)*C398)*'Assumptions and Catalog'!$H$52+'Assumptions and Catalog'!$E$52+'Assumptions and Catalog'!$F$52,IF(((D398+E398)*C398)&lt;='Assumptions and Catalog'!$C$53,((D398+E398)*C398)*'Assumptions and Catalog'!$H$53+'Assumptions and Catalog'!$E$53+'Assumptions and Catalog'!$F$53,IF(((D398+E398)*C398)&lt;='Assumptions and Catalog'!$C$54,((D398+E398)*C398)*'Assumptions and Catalog'!$H$54+'Assumptions and Catalog'!$E$54+'Assumptions and Catalog'!$F$54,IF(((D398+E398)*C398)&lt;='Assumptions and Catalog'!$C$55,((D398+E398)*C398)*'Assumptions and Catalog'!$H$55+'Assumptions and Catalog'!$E$55+'Assumptions and Catalog'!$F$55,IF(((D398+E398)*C398)&lt;='Assumptions and Catalog'!$C$56,((D398+E398)*C398)*'Assumptions and Catalog'!$H$56+'Assumptions and Catalog'!$E$56+'Assumptions and Catalog'!$F$56,IF(((D398+E398)*C398)&lt;='Assumptions and Catalog'!$C$57,((D398+E398)*C398)*'Assumptions and Catalog'!$H$57+'Assumptions and Catalog'!$E$57+'Assumptions and Catalog'!$F$57,"Out of range")))))))),IF(((D398+E398)*C398)&lt;='Assumptions and Catalog'!$C$60,((D398+E398)*C398)*'Assumptions and Catalog'!$H$60+'Assumptions and Catalog'!$E$60+'Assumptions and Catalog'!$F$60,IF(((D398+E398)*C398)&lt;='Assumptions and Catalog'!$C$61,((D398+E398)*C398)*'Assumptions and Catalog'!$H$61+'Assumptions and Catalog'!$E$61+'Assumptions and Catalog'!$F$61,IF(((D398+E398)*C398)&lt;='Assumptions and Catalog'!$C$62,((D398+E398)*C398)*'Assumptions and Catalog'!$H$62+'Assumptions and Catalog'!$E$62+'Assumptions and Catalog'!$F$62,IF(((D398+E398)*C398)&lt;='Assumptions and Catalog'!$C$63,((D398+E398)*C398)*'Assumptions and Catalog'!$H$63+'Assumptions and Catalog'!$E$63+'Assumptions and Catalog'!$F$63,IF(((D398+E398)*C398)&lt;='Assumptions and Catalog'!$C$64,((D398+E398)*C398)*'Assumptions and Catalog'!$H$64+'Assumptions and Catalog'!$E$64+'Assumptions and Catalog'!$F$64,IF(((D398+E398)*C398)&lt;='Assumptions and Catalog'!$C$65,((D398+E398)*C398)*'Assumptions and Catalog'!$H$65+'Assumptions and Catalog'!$E$65+'Assumptions and Catalog'!$F$65,"Out of range")))))))))*(1+'Assumptions and Catalog'!$C$8)^(A398-1),0)</f>
        <v>8554.9666666666672</v>
      </c>
      <c r="N398" s="5">
        <f>IF(ISNUMBER(Inputs!$L$5),(IF(Inputs!$L$9="Actual flat rate",L398*Inputs!$L$10,IF(Inputs!$C$9="Residential",IF(L398&lt;='Assumptions and Catalog'!$C$50,L398*'Assumptions and Catalog'!$H$50+'Assumptions and Catalog'!$E$50+'Assumptions and Catalog'!$F$50,IF(L398&lt;='Assumptions and Catalog'!$C$51,L398*'Assumptions and Catalog'!$H$51+'Assumptions and Catalog'!$E$51+'Assumptions and Catalog'!$F$51,IF(L398&lt;='Assumptions and Catalog'!$C$52,L398*'Assumptions and Catalog'!$H$52+'Assumptions and Catalog'!$E$52+'Assumptions and Catalog'!$F$52,IF(L398&lt;='Assumptions and Catalog'!$C$53,L398*'Assumptions and Catalog'!$H$53+'Assumptions and Catalog'!$E$53+'Assumptions and Catalog'!$F$53,IF(L398&lt;='Assumptions and Catalog'!$C$54,L398*'Assumptions and Catalog'!$H$54+'Assumptions and Catalog'!$E$54+'Assumptions and Catalog'!$F$54,IF(L398&lt;='Assumptions and Catalog'!$C$55,L398*'Assumptions and Catalog'!$H$55+'Assumptions and Catalog'!$E$55+'Assumptions and Catalog'!$F$55,IF(L398&lt;='Assumptions and Catalog'!$C$56,L398*'Assumptions and Catalog'!$H$56+'Assumptions and Catalog'!$E$56+'Assumptions and Catalog'!$F$56,IF(L398&lt;='Assumptions and Catalog'!$C$57,L398*'Assumptions and Catalog'!$H$57+'Assumptions and Catalog'!$E$57+'Assumptions and Catalog'!$F$57,"Out of range")))))))),IF(L398&lt;='Assumptions and Catalog'!$C$60,L398*'Assumptions and Catalog'!$H$60+'Assumptions and Catalog'!$E$60+'Assumptions and Catalog'!$F$60,IF(L398&lt;='Assumptions and Catalog'!$C$61,L398*'Assumptions and Catalog'!$H$61+'Assumptions and Catalog'!$E$61+'Assumptions and Catalog'!$F$61,IF(L398&lt;='Assumptions and Catalog'!$C$62,L398*'Assumptions and Catalog'!$H$62+'Assumptions and Catalog'!$E$62+'Assumptions and Catalog'!$F$62,IF(L398&lt;='Assumptions and Catalog'!$C$63,L398*'Assumptions and Catalog'!$H$63+'Assumptions and Catalog'!$E$63+'Assumptions and Catalog'!$F$63,IF(L398&lt;='Assumptions and Catalog'!$C$64,L398*'Assumptions and Catalog'!$H$64+'Assumptions and Catalog'!$E$64+'Assumptions and Catalog'!$F$64,IF(L398&lt;='Assumptions and Catalog'!$C$65,L398*'Assumptions and Catalog'!$H$65+'Assumptions and Catalog'!$E$65+'Assumptions and Catalog'!$F$65,"Out of range")))))))))*(1+'Assumptions and Catalog'!$C$8)^(A398-1),0)</f>
        <v>5339.1782494373383</v>
      </c>
      <c r="O398" s="5">
        <f t="shared" si="30"/>
        <v>3215.7884172293288</v>
      </c>
      <c r="P398" s="5">
        <f>C$55*(1-J$14)*(1-'Assumptions and Catalog'!$C$23)^R398</f>
        <v>0</v>
      </c>
      <c r="Q398" s="5">
        <f>IF(ISNUMBER(Inputs!$L$5),(IF(Inputs!$L$9="Actual flat rate",((D398+E398)*C398-G398)*Inputs!$L$10,IF(Inputs!$C$9="Residential",IF(((D398+E398)*C398-G398)&lt;='Assumptions and Catalog'!$C$50,((D398+E398)*C398-G398)*'Assumptions and Catalog'!$H$50+'Assumptions and Catalog'!$E$50+'Assumptions and Catalog'!$F$50,IF(((D398+E398)*C398-G398)&lt;='Assumptions and Catalog'!$C$51,((D398+E398)*C398-G398)*'Assumptions and Catalog'!$H$51+'Assumptions and Catalog'!$E$51+'Assumptions and Catalog'!$F$51,IF(((D398+E398)*C398-G398)&lt;='Assumptions and Catalog'!$C$52,((D398+E398)*C398-G398)*'Assumptions and Catalog'!$H$52+'Assumptions and Catalog'!$E$52+'Assumptions and Catalog'!$F$52,IF(((D398+E398)*C398-G398)&lt;='Assumptions and Catalog'!$C$53,((D398+E398)*C398-G398)*'Assumptions and Catalog'!$H$53+'Assumptions and Catalog'!$E$53+'Assumptions and Catalog'!$F$53,IF(((D398+E398)*C398-G398)&lt;='Assumptions and Catalog'!$C$54,((D398+E398)*C398-G398)*'Assumptions and Catalog'!$H$54+'Assumptions and Catalog'!$E$54+'Assumptions and Catalog'!$F$54,IF(((D398+E398)*C398-G398)&lt;='Assumptions and Catalog'!$C$55,((D398+E398)*C398-G398)*'Assumptions and Catalog'!$H$55+'Assumptions and Catalog'!$E$55+'Assumptions and Catalog'!$F$55,IF(((D398+E398)*C398-G398)&lt;='Assumptions and Catalog'!$C$56,((D398+E398)*C398-G398)*'Assumptions and Catalog'!$H$56+'Assumptions and Catalog'!$E$56+'Assumptions and Catalog'!$F$56,IF(((D398+E398)*C398-G398)&lt;='Assumptions and Catalog'!$C$57,((D398+E398)*C398-G398)*'Assumptions and Catalog'!$H$57+'Assumptions and Catalog'!$E$57+'Assumptions and Catalog'!$F$57,"Out of range")))))))),IF(((D398+E398)*C398-G398)&lt;='Assumptions and Catalog'!$C$60,((D398+E398)*C398-G398)*'Assumptions and Catalog'!$H$60+'Assumptions and Catalog'!$E$60+'Assumptions and Catalog'!$F$60,IF(((D398+E398)*C398-G398)&lt;='Assumptions and Catalog'!$C$61,((D398+E398)*C398-G398)*'Assumptions and Catalog'!$H$61+'Assumptions and Catalog'!$E$61+'Assumptions and Catalog'!$F$61,IF(((D398+E398)*C398-G398)&lt;='Assumptions and Catalog'!$C$62,((D398+E398)*C398-G398)*'Assumptions and Catalog'!$H$62+'Assumptions and Catalog'!$E$62+'Assumptions and Catalog'!$F$62,IF(((D398+E398)*C398-G398)&lt;='Assumptions and Catalog'!$C$63,((D398+E398)*C398-G398)*'Assumptions and Catalog'!$H$63+'Assumptions and Catalog'!$E$63+'Assumptions and Catalog'!$F$63,IF(((D398+E398)*C398-G398)&lt;='Assumptions and Catalog'!$C$64,((D398+E398)*C398-G398)*'Assumptions and Catalog'!$H$64+'Assumptions and Catalog'!$E$64+'Assumptions and Catalog'!$F$64,IF(((D398+E398)*C398-G398)&lt;='Assumptions and Catalog'!$C$65,((D398+E398)*C398-G398)*'Assumptions and Catalog'!$H$65+'Assumptions and Catalog'!$E$65+'Assumptions and Catalog'!$F$65,"Out of range")))))))))*(1+'Assumptions and Catalog'!$C$8)^(A398-1),0)</f>
        <v>5339.1782494373383</v>
      </c>
      <c r="R398" s="5">
        <f>IF(AND('Assumptions and Catalog'!$C$19&gt;0,A398&gt;='Assumptions and Catalog'!$C$19),A398-'Assumptions and Catalog'!$C$19,A398-1)</f>
        <v>9</v>
      </c>
      <c r="S398" s="5">
        <f t="shared" si="31"/>
        <v>0</v>
      </c>
      <c r="T398" s="5"/>
      <c r="U398" s="5"/>
    </row>
    <row r="399" spans="1:21" ht="23.1" customHeight="1" outlineLevel="1" x14ac:dyDescent="0.2">
      <c r="A399" s="5">
        <v>20</v>
      </c>
      <c r="B399" s="5">
        <v>11</v>
      </c>
      <c r="C399" s="5">
        <f>DAY(DATE('Assumptions and Catalog'!$C$24+A399-1,B399+1,0))</f>
        <v>30</v>
      </c>
      <c r="D399" s="5">
        <f>IF(ISNUMBER(Inputs!$L$5),Inputs!$L$5*Inputs!$L$6,0)</f>
        <v>40.35</v>
      </c>
      <c r="E399" s="5">
        <f>IF(ISNUMBER(Inputs!$L$5),Inputs!$L$5-D399,0)</f>
        <v>40.35</v>
      </c>
      <c r="F399" s="5">
        <f>C$51*'Assumptions and Catalog'!$C$31*C399*(1-'Assumptions and Catalog'!$C$10)^(A399-1)</f>
        <v>910.04723471888144</v>
      </c>
      <c r="G399" s="5">
        <f t="shared" si="26"/>
        <v>910.04723471888144</v>
      </c>
      <c r="H399" s="5">
        <f>I399/('Assumptions and Catalog'!$C$11*'Assumptions and Catalog'!$C$12)</f>
        <v>0</v>
      </c>
      <c r="I399" s="5">
        <f>0</f>
        <v>0</v>
      </c>
      <c r="J399" s="5">
        <f t="shared" si="27"/>
        <v>0</v>
      </c>
      <c r="K399" s="5">
        <f t="shared" si="28"/>
        <v>0</v>
      </c>
      <c r="L399" s="5">
        <f t="shared" si="29"/>
        <v>1510.9527652811184</v>
      </c>
      <c r="M399" s="5">
        <f>IF(ISNUMBER(Inputs!$L$5),(IF(Inputs!$L$9="Actual flat rate",((D399+E399)*C399)*Inputs!$L$10,IF(Inputs!$C$9="Residential",IF(((D399+E399)*C399)&lt;='Assumptions and Catalog'!$C$50,((D399+E399)*C399)*'Assumptions and Catalog'!$H$50+'Assumptions and Catalog'!$E$50+'Assumptions and Catalog'!$F$50,IF(((D399+E399)*C399)&lt;='Assumptions and Catalog'!$C$51,((D399+E399)*C399)*'Assumptions and Catalog'!$H$51+'Assumptions and Catalog'!$E$51+'Assumptions and Catalog'!$F$51,IF(((D399+E399)*C399)&lt;='Assumptions and Catalog'!$C$52,((D399+E399)*C399)*'Assumptions and Catalog'!$H$52+'Assumptions and Catalog'!$E$52+'Assumptions and Catalog'!$F$52,IF(((D399+E399)*C399)&lt;='Assumptions and Catalog'!$C$53,((D399+E399)*C399)*'Assumptions and Catalog'!$H$53+'Assumptions and Catalog'!$E$53+'Assumptions and Catalog'!$F$53,IF(((D399+E399)*C399)&lt;='Assumptions and Catalog'!$C$54,((D399+E399)*C399)*'Assumptions and Catalog'!$H$54+'Assumptions and Catalog'!$E$54+'Assumptions and Catalog'!$F$54,IF(((D399+E399)*C399)&lt;='Assumptions and Catalog'!$C$55,((D399+E399)*C399)*'Assumptions and Catalog'!$H$55+'Assumptions and Catalog'!$E$55+'Assumptions and Catalog'!$F$55,IF(((D399+E399)*C399)&lt;='Assumptions and Catalog'!$C$56,((D399+E399)*C399)*'Assumptions and Catalog'!$H$56+'Assumptions and Catalog'!$E$56+'Assumptions and Catalog'!$F$56,IF(((D399+E399)*C399)&lt;='Assumptions and Catalog'!$C$57,((D399+E399)*C399)*'Assumptions and Catalog'!$H$57+'Assumptions and Catalog'!$E$57+'Assumptions and Catalog'!$F$57,"Out of range")))))))),IF(((D399+E399)*C399)&lt;='Assumptions and Catalog'!$C$60,((D399+E399)*C399)*'Assumptions and Catalog'!$H$60+'Assumptions and Catalog'!$E$60+'Assumptions and Catalog'!$F$60,IF(((D399+E399)*C399)&lt;='Assumptions and Catalog'!$C$61,((D399+E399)*C399)*'Assumptions and Catalog'!$H$61+'Assumptions and Catalog'!$E$61+'Assumptions and Catalog'!$F$61,IF(((D399+E399)*C399)&lt;='Assumptions and Catalog'!$C$62,((D399+E399)*C399)*'Assumptions and Catalog'!$H$62+'Assumptions and Catalog'!$E$62+'Assumptions and Catalog'!$F$62,IF(((D399+E399)*C399)&lt;='Assumptions and Catalog'!$C$63,((D399+E399)*C399)*'Assumptions and Catalog'!$H$63+'Assumptions and Catalog'!$E$63+'Assumptions and Catalog'!$F$63,IF(((D399+E399)*C399)&lt;='Assumptions and Catalog'!$C$64,((D399+E399)*C399)*'Assumptions and Catalog'!$H$64+'Assumptions and Catalog'!$E$64+'Assumptions and Catalog'!$F$64,IF(((D399+E399)*C399)&lt;='Assumptions and Catalog'!$C$65,((D399+E399)*C399)*'Assumptions and Catalog'!$H$65+'Assumptions and Catalog'!$E$65+'Assumptions and Catalog'!$F$65,"Out of range")))))))))*(1+'Assumptions and Catalog'!$C$8)^(A399-1),0)</f>
        <v>8279</v>
      </c>
      <c r="N399" s="5">
        <f>IF(ISNUMBER(Inputs!$L$5),(IF(Inputs!$L$9="Actual flat rate",L399*Inputs!$L$10,IF(Inputs!$C$9="Residential",IF(L399&lt;='Assumptions and Catalog'!$C$50,L399*'Assumptions and Catalog'!$H$50+'Assumptions and Catalog'!$E$50+'Assumptions and Catalog'!$F$50,IF(L399&lt;='Assumptions and Catalog'!$C$51,L399*'Assumptions and Catalog'!$H$51+'Assumptions and Catalog'!$E$51+'Assumptions and Catalog'!$F$51,IF(L399&lt;='Assumptions and Catalog'!$C$52,L399*'Assumptions and Catalog'!$H$52+'Assumptions and Catalog'!$E$52+'Assumptions and Catalog'!$F$52,IF(L399&lt;='Assumptions and Catalog'!$C$53,L399*'Assumptions and Catalog'!$H$53+'Assumptions and Catalog'!$E$53+'Assumptions and Catalog'!$F$53,IF(L399&lt;='Assumptions and Catalog'!$C$54,L399*'Assumptions and Catalog'!$H$54+'Assumptions and Catalog'!$E$54+'Assumptions and Catalog'!$F$54,IF(L399&lt;='Assumptions and Catalog'!$C$55,L399*'Assumptions and Catalog'!$H$55+'Assumptions and Catalog'!$E$55+'Assumptions and Catalog'!$F$55,IF(L399&lt;='Assumptions and Catalog'!$C$56,L399*'Assumptions and Catalog'!$H$56+'Assumptions and Catalog'!$E$56+'Assumptions and Catalog'!$F$56,IF(L399&lt;='Assumptions and Catalog'!$C$57,L399*'Assumptions and Catalog'!$H$57+'Assumptions and Catalog'!$E$57+'Assumptions and Catalog'!$F$57,"Out of range")))))))),IF(L399&lt;='Assumptions and Catalog'!$C$60,L399*'Assumptions and Catalog'!$H$60+'Assumptions and Catalog'!$E$60+'Assumptions and Catalog'!$F$60,IF(L399&lt;='Assumptions and Catalog'!$C$61,L399*'Assumptions and Catalog'!$H$61+'Assumptions and Catalog'!$E$61+'Assumptions and Catalog'!$F$61,IF(L399&lt;='Assumptions and Catalog'!$C$62,L399*'Assumptions and Catalog'!$H$62+'Assumptions and Catalog'!$E$62+'Assumptions and Catalog'!$F$62,IF(L399&lt;='Assumptions and Catalog'!$C$63,L399*'Assumptions and Catalog'!$H$63+'Assumptions and Catalog'!$E$63+'Assumptions and Catalog'!$F$63,IF(L399&lt;='Assumptions and Catalog'!$C$64,L399*'Assumptions and Catalog'!$H$64+'Assumptions and Catalog'!$E$64+'Assumptions and Catalog'!$F$64,IF(L399&lt;='Assumptions and Catalog'!$C$65,L399*'Assumptions and Catalog'!$H$65+'Assumptions and Catalog'!$E$65+'Assumptions and Catalog'!$F$65,"Out of range")))))))))*(1+'Assumptions and Catalog'!$C$8)^(A399-1),0)</f>
        <v>5166.9466930038743</v>
      </c>
      <c r="O399" s="5">
        <f t="shared" si="30"/>
        <v>3112.0533069961257</v>
      </c>
      <c r="P399" s="5">
        <f>C$55*(1-J$14)*(1-'Assumptions and Catalog'!$C$23)^R399</f>
        <v>0</v>
      </c>
      <c r="Q399" s="5">
        <f>IF(ISNUMBER(Inputs!$L$5),(IF(Inputs!$L$9="Actual flat rate",((D399+E399)*C399-G399)*Inputs!$L$10,IF(Inputs!$C$9="Residential",IF(((D399+E399)*C399-G399)&lt;='Assumptions and Catalog'!$C$50,((D399+E399)*C399-G399)*'Assumptions and Catalog'!$H$50+'Assumptions and Catalog'!$E$50+'Assumptions and Catalog'!$F$50,IF(((D399+E399)*C399-G399)&lt;='Assumptions and Catalog'!$C$51,((D399+E399)*C399-G399)*'Assumptions and Catalog'!$H$51+'Assumptions and Catalog'!$E$51+'Assumptions and Catalog'!$F$51,IF(((D399+E399)*C399-G399)&lt;='Assumptions and Catalog'!$C$52,((D399+E399)*C399-G399)*'Assumptions and Catalog'!$H$52+'Assumptions and Catalog'!$E$52+'Assumptions and Catalog'!$F$52,IF(((D399+E399)*C399-G399)&lt;='Assumptions and Catalog'!$C$53,((D399+E399)*C399-G399)*'Assumptions and Catalog'!$H$53+'Assumptions and Catalog'!$E$53+'Assumptions and Catalog'!$F$53,IF(((D399+E399)*C399-G399)&lt;='Assumptions and Catalog'!$C$54,((D399+E399)*C399-G399)*'Assumptions and Catalog'!$H$54+'Assumptions and Catalog'!$E$54+'Assumptions and Catalog'!$F$54,IF(((D399+E399)*C399-G399)&lt;='Assumptions and Catalog'!$C$55,((D399+E399)*C399-G399)*'Assumptions and Catalog'!$H$55+'Assumptions and Catalog'!$E$55+'Assumptions and Catalog'!$F$55,IF(((D399+E399)*C399-G399)&lt;='Assumptions and Catalog'!$C$56,((D399+E399)*C399-G399)*'Assumptions and Catalog'!$H$56+'Assumptions and Catalog'!$E$56+'Assumptions and Catalog'!$F$56,IF(((D399+E399)*C399-G399)&lt;='Assumptions and Catalog'!$C$57,((D399+E399)*C399-G399)*'Assumptions and Catalog'!$H$57+'Assumptions and Catalog'!$E$57+'Assumptions and Catalog'!$F$57,"Out of range")))))))),IF(((D399+E399)*C399-G399)&lt;='Assumptions and Catalog'!$C$60,((D399+E399)*C399-G399)*'Assumptions and Catalog'!$H$60+'Assumptions and Catalog'!$E$60+'Assumptions and Catalog'!$F$60,IF(((D399+E399)*C399-G399)&lt;='Assumptions and Catalog'!$C$61,((D399+E399)*C399-G399)*'Assumptions and Catalog'!$H$61+'Assumptions and Catalog'!$E$61+'Assumptions and Catalog'!$F$61,IF(((D399+E399)*C399-G399)&lt;='Assumptions and Catalog'!$C$62,((D399+E399)*C399-G399)*'Assumptions and Catalog'!$H$62+'Assumptions and Catalog'!$E$62+'Assumptions and Catalog'!$F$62,IF(((D399+E399)*C399-G399)&lt;='Assumptions and Catalog'!$C$63,((D399+E399)*C399-G399)*'Assumptions and Catalog'!$H$63+'Assumptions and Catalog'!$E$63+'Assumptions and Catalog'!$F$63,IF(((D399+E399)*C399-G399)&lt;='Assumptions and Catalog'!$C$64,((D399+E399)*C399-G399)*'Assumptions and Catalog'!$H$64+'Assumptions and Catalog'!$E$64+'Assumptions and Catalog'!$F$64,IF(((D399+E399)*C399-G399)&lt;='Assumptions and Catalog'!$C$65,((D399+E399)*C399-G399)*'Assumptions and Catalog'!$H$65+'Assumptions and Catalog'!$E$65+'Assumptions and Catalog'!$F$65,"Out of range")))))))))*(1+'Assumptions and Catalog'!$C$8)^(A399-1),0)</f>
        <v>5166.9466930038743</v>
      </c>
      <c r="R399" s="5">
        <f>IF(AND('Assumptions and Catalog'!$C$19&gt;0,A399&gt;='Assumptions and Catalog'!$C$19),A399-'Assumptions and Catalog'!$C$19,A399-1)</f>
        <v>9</v>
      </c>
      <c r="S399" s="5">
        <f t="shared" si="31"/>
        <v>0</v>
      </c>
      <c r="T399" s="5"/>
      <c r="U399" s="5"/>
    </row>
    <row r="400" spans="1:21" ht="23.1" customHeight="1" outlineLevel="1" x14ac:dyDescent="0.2">
      <c r="A400" s="5">
        <v>20</v>
      </c>
      <c r="B400" s="5">
        <v>12</v>
      </c>
      <c r="C400" s="5">
        <f>DAY(DATE('Assumptions and Catalog'!$C$24+A400-1,B400+1,0))</f>
        <v>31</v>
      </c>
      <c r="D400" s="5">
        <f>IF(ISNUMBER(Inputs!$L$5),Inputs!$L$5*Inputs!$L$6,0)</f>
        <v>40.35</v>
      </c>
      <c r="E400" s="5">
        <f>IF(ISNUMBER(Inputs!$L$5),Inputs!$L$5-D400,0)</f>
        <v>40.35</v>
      </c>
      <c r="F400" s="5">
        <f>C$51*'Assumptions and Catalog'!$C$31*C400*(1-'Assumptions and Catalog'!$C$10)^(A400-1)</f>
        <v>940.38214254284412</v>
      </c>
      <c r="G400" s="5">
        <f t="shared" si="26"/>
        <v>940.38214254284412</v>
      </c>
      <c r="H400" s="5">
        <f>I400/('Assumptions and Catalog'!$C$11*'Assumptions and Catalog'!$C$12)</f>
        <v>0</v>
      </c>
      <c r="I400" s="5">
        <f>0</f>
        <v>0</v>
      </c>
      <c r="J400" s="5">
        <f t="shared" si="27"/>
        <v>0</v>
      </c>
      <c r="K400" s="5">
        <f t="shared" si="28"/>
        <v>0</v>
      </c>
      <c r="L400" s="5">
        <f t="shared" si="29"/>
        <v>1561.3178574571562</v>
      </c>
      <c r="M400" s="5">
        <f>IF(ISNUMBER(Inputs!$L$5),(IF(Inputs!$L$9="Actual flat rate",((D400+E400)*C400)*Inputs!$L$10,IF(Inputs!$C$9="Residential",IF(((D400+E400)*C400)&lt;='Assumptions and Catalog'!$C$50,((D400+E400)*C400)*'Assumptions and Catalog'!$H$50+'Assumptions and Catalog'!$E$50+'Assumptions and Catalog'!$F$50,IF(((D400+E400)*C400)&lt;='Assumptions and Catalog'!$C$51,((D400+E400)*C400)*'Assumptions and Catalog'!$H$51+'Assumptions and Catalog'!$E$51+'Assumptions and Catalog'!$F$51,IF(((D400+E400)*C400)&lt;='Assumptions and Catalog'!$C$52,((D400+E400)*C400)*'Assumptions and Catalog'!$H$52+'Assumptions and Catalog'!$E$52+'Assumptions and Catalog'!$F$52,IF(((D400+E400)*C400)&lt;='Assumptions and Catalog'!$C$53,((D400+E400)*C400)*'Assumptions and Catalog'!$H$53+'Assumptions and Catalog'!$E$53+'Assumptions and Catalog'!$F$53,IF(((D400+E400)*C400)&lt;='Assumptions and Catalog'!$C$54,((D400+E400)*C400)*'Assumptions and Catalog'!$H$54+'Assumptions and Catalog'!$E$54+'Assumptions and Catalog'!$F$54,IF(((D400+E400)*C400)&lt;='Assumptions and Catalog'!$C$55,((D400+E400)*C400)*'Assumptions and Catalog'!$H$55+'Assumptions and Catalog'!$E$55+'Assumptions and Catalog'!$F$55,IF(((D400+E400)*C400)&lt;='Assumptions and Catalog'!$C$56,((D400+E400)*C400)*'Assumptions and Catalog'!$H$56+'Assumptions and Catalog'!$E$56+'Assumptions and Catalog'!$F$56,IF(((D400+E400)*C400)&lt;='Assumptions and Catalog'!$C$57,((D400+E400)*C400)*'Assumptions and Catalog'!$H$57+'Assumptions and Catalog'!$E$57+'Assumptions and Catalog'!$F$57,"Out of range")))))))),IF(((D400+E400)*C400)&lt;='Assumptions and Catalog'!$C$60,((D400+E400)*C400)*'Assumptions and Catalog'!$H$60+'Assumptions and Catalog'!$E$60+'Assumptions and Catalog'!$F$60,IF(((D400+E400)*C400)&lt;='Assumptions and Catalog'!$C$61,((D400+E400)*C400)*'Assumptions and Catalog'!$H$61+'Assumptions and Catalog'!$E$61+'Assumptions and Catalog'!$F$61,IF(((D400+E400)*C400)&lt;='Assumptions and Catalog'!$C$62,((D400+E400)*C400)*'Assumptions and Catalog'!$H$62+'Assumptions and Catalog'!$E$62+'Assumptions and Catalog'!$F$62,IF(((D400+E400)*C400)&lt;='Assumptions and Catalog'!$C$63,((D400+E400)*C400)*'Assumptions and Catalog'!$H$63+'Assumptions and Catalog'!$E$63+'Assumptions and Catalog'!$F$63,IF(((D400+E400)*C400)&lt;='Assumptions and Catalog'!$C$64,((D400+E400)*C400)*'Assumptions and Catalog'!$H$64+'Assumptions and Catalog'!$E$64+'Assumptions and Catalog'!$F$64,IF(((D400+E400)*C400)&lt;='Assumptions and Catalog'!$C$65,((D400+E400)*C400)*'Assumptions and Catalog'!$H$65+'Assumptions and Catalog'!$E$65+'Assumptions and Catalog'!$F$65,"Out of range")))))))))*(1+'Assumptions and Catalog'!$C$8)^(A400-1),0)</f>
        <v>8554.9666666666672</v>
      </c>
      <c r="N400" s="5">
        <f>IF(ISNUMBER(Inputs!$L$5),(IF(Inputs!$L$9="Actual flat rate",L400*Inputs!$L$10,IF(Inputs!$C$9="Residential",IF(L400&lt;='Assumptions and Catalog'!$C$50,L400*'Assumptions and Catalog'!$H$50+'Assumptions and Catalog'!$E$50+'Assumptions and Catalog'!$F$50,IF(L400&lt;='Assumptions and Catalog'!$C$51,L400*'Assumptions and Catalog'!$H$51+'Assumptions and Catalog'!$E$51+'Assumptions and Catalog'!$F$51,IF(L400&lt;='Assumptions and Catalog'!$C$52,L400*'Assumptions and Catalog'!$H$52+'Assumptions and Catalog'!$E$52+'Assumptions and Catalog'!$F$52,IF(L400&lt;='Assumptions and Catalog'!$C$53,L400*'Assumptions and Catalog'!$H$53+'Assumptions and Catalog'!$E$53+'Assumptions and Catalog'!$F$53,IF(L400&lt;='Assumptions and Catalog'!$C$54,L400*'Assumptions and Catalog'!$H$54+'Assumptions and Catalog'!$E$54+'Assumptions and Catalog'!$F$54,IF(L400&lt;='Assumptions and Catalog'!$C$55,L400*'Assumptions and Catalog'!$H$55+'Assumptions and Catalog'!$E$55+'Assumptions and Catalog'!$F$55,IF(L400&lt;='Assumptions and Catalog'!$C$56,L400*'Assumptions and Catalog'!$H$56+'Assumptions and Catalog'!$E$56+'Assumptions and Catalog'!$F$56,IF(L400&lt;='Assumptions and Catalog'!$C$57,L400*'Assumptions and Catalog'!$H$57+'Assumptions and Catalog'!$E$57+'Assumptions and Catalog'!$F$57,"Out of range")))))))),IF(L400&lt;='Assumptions and Catalog'!$C$60,L400*'Assumptions and Catalog'!$H$60+'Assumptions and Catalog'!$E$60+'Assumptions and Catalog'!$F$60,IF(L400&lt;='Assumptions and Catalog'!$C$61,L400*'Assumptions and Catalog'!$H$61+'Assumptions and Catalog'!$E$61+'Assumptions and Catalog'!$F$61,IF(L400&lt;='Assumptions and Catalog'!$C$62,L400*'Assumptions and Catalog'!$H$62+'Assumptions and Catalog'!$E$62+'Assumptions and Catalog'!$F$62,IF(L400&lt;='Assumptions and Catalog'!$C$63,L400*'Assumptions and Catalog'!$H$63+'Assumptions and Catalog'!$E$63+'Assumptions and Catalog'!$F$63,IF(L400&lt;='Assumptions and Catalog'!$C$64,L400*'Assumptions and Catalog'!$H$64+'Assumptions and Catalog'!$E$64+'Assumptions and Catalog'!$F$64,IF(L400&lt;='Assumptions and Catalog'!$C$65,L400*'Assumptions and Catalog'!$H$65+'Assumptions and Catalog'!$E$65+'Assumptions and Catalog'!$F$65,"Out of range")))))))))*(1+'Assumptions and Catalog'!$C$8)^(A400-1),0)</f>
        <v>5339.1782494373383</v>
      </c>
      <c r="O400" s="5">
        <f t="shared" si="30"/>
        <v>3215.7884172293288</v>
      </c>
      <c r="P400" s="5">
        <f>C$55*(1-J$14)*(1-'Assumptions and Catalog'!$C$23)^R400</f>
        <v>0</v>
      </c>
      <c r="Q400" s="5">
        <f>IF(ISNUMBER(Inputs!$L$5),(IF(Inputs!$L$9="Actual flat rate",((D400+E400)*C400-G400)*Inputs!$L$10,IF(Inputs!$C$9="Residential",IF(((D400+E400)*C400-G400)&lt;='Assumptions and Catalog'!$C$50,((D400+E400)*C400-G400)*'Assumptions and Catalog'!$H$50+'Assumptions and Catalog'!$E$50+'Assumptions and Catalog'!$F$50,IF(((D400+E400)*C400-G400)&lt;='Assumptions and Catalog'!$C$51,((D400+E400)*C400-G400)*'Assumptions and Catalog'!$H$51+'Assumptions and Catalog'!$E$51+'Assumptions and Catalog'!$F$51,IF(((D400+E400)*C400-G400)&lt;='Assumptions and Catalog'!$C$52,((D400+E400)*C400-G400)*'Assumptions and Catalog'!$H$52+'Assumptions and Catalog'!$E$52+'Assumptions and Catalog'!$F$52,IF(((D400+E400)*C400-G400)&lt;='Assumptions and Catalog'!$C$53,((D400+E400)*C400-G400)*'Assumptions and Catalog'!$H$53+'Assumptions and Catalog'!$E$53+'Assumptions and Catalog'!$F$53,IF(((D400+E400)*C400-G400)&lt;='Assumptions and Catalog'!$C$54,((D400+E400)*C400-G400)*'Assumptions and Catalog'!$H$54+'Assumptions and Catalog'!$E$54+'Assumptions and Catalog'!$F$54,IF(((D400+E400)*C400-G400)&lt;='Assumptions and Catalog'!$C$55,((D400+E400)*C400-G400)*'Assumptions and Catalog'!$H$55+'Assumptions and Catalog'!$E$55+'Assumptions and Catalog'!$F$55,IF(((D400+E400)*C400-G400)&lt;='Assumptions and Catalog'!$C$56,((D400+E400)*C400-G400)*'Assumptions and Catalog'!$H$56+'Assumptions and Catalog'!$E$56+'Assumptions and Catalog'!$F$56,IF(((D400+E400)*C400-G400)&lt;='Assumptions and Catalog'!$C$57,((D400+E400)*C400-G400)*'Assumptions and Catalog'!$H$57+'Assumptions and Catalog'!$E$57+'Assumptions and Catalog'!$F$57,"Out of range")))))))),IF(((D400+E400)*C400-G400)&lt;='Assumptions and Catalog'!$C$60,((D400+E400)*C400-G400)*'Assumptions and Catalog'!$H$60+'Assumptions and Catalog'!$E$60+'Assumptions and Catalog'!$F$60,IF(((D400+E400)*C400-G400)&lt;='Assumptions and Catalog'!$C$61,((D400+E400)*C400-G400)*'Assumptions and Catalog'!$H$61+'Assumptions and Catalog'!$E$61+'Assumptions and Catalog'!$F$61,IF(((D400+E400)*C400-G400)&lt;='Assumptions and Catalog'!$C$62,((D400+E400)*C400-G400)*'Assumptions and Catalog'!$H$62+'Assumptions and Catalog'!$E$62+'Assumptions and Catalog'!$F$62,IF(((D400+E400)*C400-G400)&lt;='Assumptions and Catalog'!$C$63,((D400+E400)*C400-G400)*'Assumptions and Catalog'!$H$63+'Assumptions and Catalog'!$E$63+'Assumptions and Catalog'!$F$63,IF(((D400+E400)*C400-G400)&lt;='Assumptions and Catalog'!$C$64,((D400+E400)*C400-G400)*'Assumptions and Catalog'!$H$64+'Assumptions and Catalog'!$E$64+'Assumptions and Catalog'!$F$64,IF(((D400+E400)*C400-G400)&lt;='Assumptions and Catalog'!$C$65,((D400+E400)*C400-G400)*'Assumptions and Catalog'!$H$65+'Assumptions and Catalog'!$E$65+'Assumptions and Catalog'!$F$65,"Out of range")))))))))*(1+'Assumptions and Catalog'!$C$8)^(A400-1),0)</f>
        <v>5339.1782494373383</v>
      </c>
      <c r="R400" s="5">
        <f>IF(AND('Assumptions and Catalog'!$C$19&gt;0,A400&gt;='Assumptions and Catalog'!$C$19),A400-'Assumptions and Catalog'!$C$19,A400-1)</f>
        <v>9</v>
      </c>
      <c r="S400" s="5">
        <f t="shared" si="31"/>
        <v>0</v>
      </c>
      <c r="T400" s="5"/>
      <c r="U400" s="5"/>
    </row>
    <row r="401" spans="1:21" ht="23.1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23.1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23.1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23.1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23.1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23.1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23.1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30" customHeight="1" x14ac:dyDescent="0.2">
      <c r="A408" s="23" t="s">
        <v>279</v>
      </c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5"/>
      <c r="U408" s="5"/>
    </row>
    <row r="409" spans="1:21" ht="23.1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44.1" customHeight="1" x14ac:dyDescent="0.2">
      <c r="A410" s="14" t="s">
        <v>54</v>
      </c>
      <c r="B410" s="14" t="s">
        <v>262</v>
      </c>
      <c r="C410" s="14" t="s">
        <v>263</v>
      </c>
      <c r="D410" s="14" t="s">
        <v>264</v>
      </c>
      <c r="E410" s="14" t="s">
        <v>265</v>
      </c>
      <c r="F410" s="14" t="s">
        <v>266</v>
      </c>
      <c r="G410" s="14" t="s">
        <v>267</v>
      </c>
      <c r="H410" s="14" t="s">
        <v>268</v>
      </c>
      <c r="I410" s="14" t="s">
        <v>269</v>
      </c>
      <c r="J410" s="14" t="s">
        <v>270</v>
      </c>
      <c r="K410" s="14" t="s">
        <v>271</v>
      </c>
      <c r="L410" s="14" t="s">
        <v>272</v>
      </c>
      <c r="M410" s="14" t="s">
        <v>241</v>
      </c>
      <c r="N410" s="14" t="s">
        <v>273</v>
      </c>
      <c r="O410" s="14" t="s">
        <v>274</v>
      </c>
      <c r="P410" s="14" t="s">
        <v>275</v>
      </c>
      <c r="Q410" s="14" t="s">
        <v>276</v>
      </c>
      <c r="R410" s="14" t="s">
        <v>277</v>
      </c>
      <c r="S410" s="14" t="s">
        <v>278</v>
      </c>
      <c r="T410" s="5"/>
      <c r="U410" s="5"/>
    </row>
    <row r="411" spans="1:21" ht="23.1" customHeight="1" outlineLevel="1" x14ac:dyDescent="0.2">
      <c r="A411" s="5">
        <v>1</v>
      </c>
      <c r="B411" s="5">
        <v>1</v>
      </c>
      <c r="C411" s="5">
        <f>DAY(DATE('Assumptions and Catalog'!$C$24+A411-1,B411+1,0))</f>
        <v>31</v>
      </c>
      <c r="D411" s="5">
        <f>IF(ISNUMBER(Inputs!$L$5),Inputs!$L$5*Inputs!$L$6,0)</f>
        <v>40.35</v>
      </c>
      <c r="E411" s="5">
        <f>IF(ISNUMBER(Inputs!$L$5),Inputs!$L$5-D411,0)</f>
        <v>40.35</v>
      </c>
      <c r="F411" s="5">
        <f>D$51*'Assumptions and Catalog'!$C$31*C411*(1-'Assumptions and Catalog'!$C$10)^(A411-1)</f>
        <v>0</v>
      </c>
      <c r="G411" s="5">
        <f t="shared" ref="G411:G474" si="32">MIN(F411,D411*C411)</f>
        <v>0</v>
      </c>
      <c r="H411" s="5">
        <f>I411/('Assumptions and Catalog'!$C$11*'Assumptions and Catalog'!$C$12)</f>
        <v>0</v>
      </c>
      <c r="I411" s="5">
        <f>IF(K$15="Grid cycle",MIN(K$16,D411+E411,P411*'Assumptions and Catalog'!$C$12,D$57*(24-'Assumptions and Catalog'!$C$15),D$56*'Assumptions and Catalog'!$C$15*'Assumptions and Catalog'!$C$11*'Assumptions and Catalog'!$C$12)*C411,0)</f>
        <v>0</v>
      </c>
      <c r="J411" s="5">
        <f t="shared" ref="J411:J474" si="33">MAX(F411-G411-0,0)</f>
        <v>0</v>
      </c>
      <c r="K411" s="5">
        <f t="shared" ref="K411:K474" si="34">H411-I411</f>
        <v>0</v>
      </c>
      <c r="L411" s="5">
        <f>(D411+E411)*C411-G411-I411+H411+IF(D$52&gt;0,'Assumptions and Catalog'!$C$26*C411,0)</f>
        <v>2501.7000000000003</v>
      </c>
      <c r="M411" s="5">
        <f>IF(ISNUMBER(Inputs!$L$5),(IF(Inputs!$L$9="Actual flat rate",((D411+E411)*C411)*Inputs!$L$10,IF(Inputs!$C$9="Residential",IF(((D411+E411)*C411)&lt;='Assumptions and Catalog'!$C$50,((D411+E411)*C411)*'Assumptions and Catalog'!$H$50+'Assumptions and Catalog'!$E$50+'Assumptions and Catalog'!$F$50,IF(((D411+E411)*C411)&lt;='Assumptions and Catalog'!$C$51,((D411+E411)*C411)*'Assumptions and Catalog'!$H$51+'Assumptions and Catalog'!$E$51+'Assumptions and Catalog'!$F$51,IF(((D411+E411)*C411)&lt;='Assumptions and Catalog'!$C$52,((D411+E411)*C411)*'Assumptions and Catalog'!$H$52+'Assumptions and Catalog'!$E$52+'Assumptions and Catalog'!$F$52,IF(((D411+E411)*C411)&lt;='Assumptions and Catalog'!$C$53,((D411+E411)*C411)*'Assumptions and Catalog'!$H$53+'Assumptions and Catalog'!$E$53+'Assumptions and Catalog'!$F$53,IF(((D411+E411)*C411)&lt;='Assumptions and Catalog'!$C$54,((D411+E411)*C411)*'Assumptions and Catalog'!$H$54+'Assumptions and Catalog'!$E$54+'Assumptions and Catalog'!$F$54,IF(((D411+E411)*C411)&lt;='Assumptions and Catalog'!$C$55,((D411+E411)*C411)*'Assumptions and Catalog'!$H$55+'Assumptions and Catalog'!$E$55+'Assumptions and Catalog'!$F$55,IF(((D411+E411)*C411)&lt;='Assumptions and Catalog'!$C$56,((D411+E411)*C411)*'Assumptions and Catalog'!$H$56+'Assumptions and Catalog'!$E$56+'Assumptions and Catalog'!$F$56,IF(((D411+E411)*C411)&lt;='Assumptions and Catalog'!$C$57,((D411+E411)*C411)*'Assumptions and Catalog'!$H$57+'Assumptions and Catalog'!$E$57+'Assumptions and Catalog'!$F$57,"Out of range")))))))),IF(((D411+E411)*C411)&lt;='Assumptions and Catalog'!$C$60,((D411+E411)*C411)*'Assumptions and Catalog'!$H$60+'Assumptions and Catalog'!$E$60+'Assumptions and Catalog'!$F$60,IF(((D411+E411)*C411)&lt;='Assumptions and Catalog'!$C$61,((D411+E411)*C411)*'Assumptions and Catalog'!$H$61+'Assumptions and Catalog'!$E$61+'Assumptions and Catalog'!$F$61,IF(((D411+E411)*C411)&lt;='Assumptions and Catalog'!$C$62,((D411+E411)*C411)*'Assumptions and Catalog'!$H$62+'Assumptions and Catalog'!$E$62+'Assumptions and Catalog'!$F$62,IF(((D411+E411)*C411)&lt;='Assumptions and Catalog'!$C$63,((D411+E411)*C411)*'Assumptions and Catalog'!$H$63+'Assumptions and Catalog'!$E$63+'Assumptions and Catalog'!$F$63,IF(((D411+E411)*C411)&lt;='Assumptions and Catalog'!$C$64,((D411+E411)*C411)*'Assumptions and Catalog'!$H$64+'Assumptions and Catalog'!$E$64+'Assumptions and Catalog'!$F$64,IF(((D411+E411)*C411)&lt;='Assumptions and Catalog'!$C$65,((D411+E411)*C411)*'Assumptions and Catalog'!$H$65+'Assumptions and Catalog'!$E$65+'Assumptions and Catalog'!$F$65,"Out of range")))))))))*(1+'Assumptions and Catalog'!$C$8)^(A411-1),0)</f>
        <v>8554.9666666666672</v>
      </c>
      <c r="N411" s="5">
        <f>IF(ISNUMBER(Inputs!$L$5),(IF(Inputs!$L$9="Actual flat rate",L411*Inputs!$L$10,IF(Inputs!$C$9="Residential",IF(L411&lt;='Assumptions and Catalog'!$C$50,L411*'Assumptions and Catalog'!$H$50+'Assumptions and Catalog'!$E$50+'Assumptions and Catalog'!$F$50,IF(L411&lt;='Assumptions and Catalog'!$C$51,L411*'Assumptions and Catalog'!$H$51+'Assumptions and Catalog'!$E$51+'Assumptions and Catalog'!$F$51,IF(L411&lt;='Assumptions and Catalog'!$C$52,L411*'Assumptions and Catalog'!$H$52+'Assumptions and Catalog'!$E$52+'Assumptions and Catalog'!$F$52,IF(L411&lt;='Assumptions and Catalog'!$C$53,L411*'Assumptions and Catalog'!$H$53+'Assumptions and Catalog'!$E$53+'Assumptions and Catalog'!$F$53,IF(L411&lt;='Assumptions and Catalog'!$C$54,L411*'Assumptions and Catalog'!$H$54+'Assumptions and Catalog'!$E$54+'Assumptions and Catalog'!$F$54,IF(L411&lt;='Assumptions and Catalog'!$C$55,L411*'Assumptions and Catalog'!$H$55+'Assumptions and Catalog'!$E$55+'Assumptions and Catalog'!$F$55,IF(L411&lt;='Assumptions and Catalog'!$C$56,L411*'Assumptions and Catalog'!$H$56+'Assumptions and Catalog'!$E$56+'Assumptions and Catalog'!$F$56,IF(L411&lt;='Assumptions and Catalog'!$C$57,L411*'Assumptions and Catalog'!$H$57+'Assumptions and Catalog'!$E$57+'Assumptions and Catalog'!$F$57,"Out of range")))))))),IF(L411&lt;='Assumptions and Catalog'!$C$60,L411*'Assumptions and Catalog'!$H$60+'Assumptions and Catalog'!$E$60+'Assumptions and Catalog'!$F$60,IF(L411&lt;='Assumptions and Catalog'!$C$61,L411*'Assumptions and Catalog'!$H$61+'Assumptions and Catalog'!$E$61+'Assumptions and Catalog'!$F$61,IF(L411&lt;='Assumptions and Catalog'!$C$62,L411*'Assumptions and Catalog'!$H$62+'Assumptions and Catalog'!$E$62+'Assumptions and Catalog'!$F$62,IF(L411&lt;='Assumptions and Catalog'!$C$63,L411*'Assumptions and Catalog'!$H$63+'Assumptions and Catalog'!$E$63+'Assumptions and Catalog'!$F$63,IF(L411&lt;='Assumptions and Catalog'!$C$64,L411*'Assumptions and Catalog'!$H$64+'Assumptions and Catalog'!$E$64+'Assumptions and Catalog'!$F$64,IF(L411&lt;='Assumptions and Catalog'!$C$65,L411*'Assumptions and Catalog'!$H$65+'Assumptions and Catalog'!$E$65+'Assumptions and Catalog'!$F$65,"Out of range")))))))))*(1+'Assumptions and Catalog'!$C$8)^(A411-1),0)</f>
        <v>8554.9666666666672</v>
      </c>
      <c r="O411" s="5">
        <f t="shared" ref="O411:O474" si="35">M411-N411</f>
        <v>0</v>
      </c>
      <c r="P411" s="5">
        <f>D$55*(1-K$14)*(1-'Assumptions and Catalog'!$C$23)^R411</f>
        <v>0</v>
      </c>
      <c r="Q411" s="5">
        <f>IF(ISNUMBER(Inputs!$L$5),(IF(Inputs!$L$9="Actual flat rate",((D411+E411)*C411-G411)*Inputs!$L$10,IF(Inputs!$C$9="Residential",IF(((D411+E411)*C411-G411)&lt;='Assumptions and Catalog'!$C$50,((D411+E411)*C411-G411)*'Assumptions and Catalog'!$H$50+'Assumptions and Catalog'!$E$50+'Assumptions and Catalog'!$F$50,IF(((D411+E411)*C411-G411)&lt;='Assumptions and Catalog'!$C$51,((D411+E411)*C411-G411)*'Assumptions and Catalog'!$H$51+'Assumptions and Catalog'!$E$51+'Assumptions and Catalog'!$F$51,IF(((D411+E411)*C411-G411)&lt;='Assumptions and Catalog'!$C$52,((D411+E411)*C411-G411)*'Assumptions and Catalog'!$H$52+'Assumptions and Catalog'!$E$52+'Assumptions and Catalog'!$F$52,IF(((D411+E411)*C411-G411)&lt;='Assumptions and Catalog'!$C$53,((D411+E411)*C411-G411)*'Assumptions and Catalog'!$H$53+'Assumptions and Catalog'!$E$53+'Assumptions and Catalog'!$F$53,IF(((D411+E411)*C411-G411)&lt;='Assumptions and Catalog'!$C$54,((D411+E411)*C411-G411)*'Assumptions and Catalog'!$H$54+'Assumptions and Catalog'!$E$54+'Assumptions and Catalog'!$F$54,IF(((D411+E411)*C411-G411)&lt;='Assumptions and Catalog'!$C$55,((D411+E411)*C411-G411)*'Assumptions and Catalog'!$H$55+'Assumptions and Catalog'!$E$55+'Assumptions and Catalog'!$F$55,IF(((D411+E411)*C411-G411)&lt;='Assumptions and Catalog'!$C$56,((D411+E411)*C411-G411)*'Assumptions and Catalog'!$H$56+'Assumptions and Catalog'!$E$56+'Assumptions and Catalog'!$F$56,IF(((D411+E411)*C411-G411)&lt;='Assumptions and Catalog'!$C$57,((D411+E411)*C411-G411)*'Assumptions and Catalog'!$H$57+'Assumptions and Catalog'!$E$57+'Assumptions and Catalog'!$F$57,"Out of range")))))))),IF(((D411+E411)*C411-G411)&lt;='Assumptions and Catalog'!$C$60,((D411+E411)*C411-G411)*'Assumptions and Catalog'!$H$60+'Assumptions and Catalog'!$E$60+'Assumptions and Catalog'!$F$60,IF(((D411+E411)*C411-G411)&lt;='Assumptions and Catalog'!$C$61,((D411+E411)*C411-G411)*'Assumptions and Catalog'!$H$61+'Assumptions and Catalog'!$E$61+'Assumptions and Catalog'!$F$61,IF(((D411+E411)*C411-G411)&lt;='Assumptions and Catalog'!$C$62,((D411+E411)*C411-G411)*'Assumptions and Catalog'!$H$62+'Assumptions and Catalog'!$E$62+'Assumptions and Catalog'!$F$62,IF(((D411+E411)*C411-G411)&lt;='Assumptions and Catalog'!$C$63,((D411+E411)*C411-G411)*'Assumptions and Catalog'!$H$63+'Assumptions and Catalog'!$E$63+'Assumptions and Catalog'!$F$63,IF(((D411+E411)*C411-G411)&lt;='Assumptions and Catalog'!$C$64,((D411+E411)*C411-G411)*'Assumptions and Catalog'!$H$64+'Assumptions and Catalog'!$E$64+'Assumptions and Catalog'!$F$64,IF(((D411+E411)*C411-G411)&lt;='Assumptions and Catalog'!$C$65,((D411+E411)*C411-G411)*'Assumptions and Catalog'!$H$65+'Assumptions and Catalog'!$E$65+'Assumptions and Catalog'!$F$65,"Out of range")))))))))*(1+'Assumptions and Catalog'!$C$8)^(A411-1),0)</f>
        <v>8554.9666666666672</v>
      </c>
      <c r="R411" s="5">
        <f>IF(AND('Assumptions and Catalog'!$C$19&gt;0,A411&gt;='Assumptions and Catalog'!$C$19),A411-'Assumptions and Catalog'!$C$19,A411-1)</f>
        <v>0</v>
      </c>
      <c r="S411" s="5">
        <f>F411+L411-(D411+E411)*C411-J411-K411-IF(D$52&gt;0,'Assumptions and Catalog'!$C$26*C411,0)</f>
        <v>0</v>
      </c>
      <c r="T411" s="5"/>
      <c r="U411" s="5"/>
    </row>
    <row r="412" spans="1:21" ht="23.1" customHeight="1" outlineLevel="1" x14ac:dyDescent="0.2">
      <c r="A412" s="5">
        <v>1</v>
      </c>
      <c r="B412" s="5">
        <v>2</v>
      </c>
      <c r="C412" s="5">
        <f>DAY(DATE('Assumptions and Catalog'!$C$24+A412-1,B412+1,0))</f>
        <v>28</v>
      </c>
      <c r="D412" s="5">
        <f>IF(ISNUMBER(Inputs!$L$5),Inputs!$L$5*Inputs!$L$6,0)</f>
        <v>40.35</v>
      </c>
      <c r="E412" s="5">
        <f>IF(ISNUMBER(Inputs!$L$5),Inputs!$L$5-D412,0)</f>
        <v>40.35</v>
      </c>
      <c r="F412" s="5">
        <f>D$51*'Assumptions and Catalog'!$C$31*C412*(1-'Assumptions and Catalog'!$C$10)^(A412-1)</f>
        <v>0</v>
      </c>
      <c r="G412" s="5">
        <f t="shared" si="32"/>
        <v>0</v>
      </c>
      <c r="H412" s="5">
        <f>I412/('Assumptions and Catalog'!$C$11*'Assumptions and Catalog'!$C$12)</f>
        <v>0</v>
      </c>
      <c r="I412" s="5">
        <f>IF(K$15="Grid cycle",MIN(K$16,D412+E412,P412*'Assumptions and Catalog'!$C$12,D$57*(24-'Assumptions and Catalog'!$C$15),D$56*'Assumptions and Catalog'!$C$15*'Assumptions and Catalog'!$C$11*'Assumptions and Catalog'!$C$12)*C412,0)</f>
        <v>0</v>
      </c>
      <c r="J412" s="5">
        <f t="shared" si="33"/>
        <v>0</v>
      </c>
      <c r="K412" s="5">
        <f t="shared" si="34"/>
        <v>0</v>
      </c>
      <c r="L412" s="5">
        <f>(D412+E412)*C412-G412-I412+H412+IF(D$52&gt;0,'Assumptions and Catalog'!$C$26*C412,0)</f>
        <v>2259.6</v>
      </c>
      <c r="M412" s="5">
        <f>IF(ISNUMBER(Inputs!$L$5),(IF(Inputs!$L$9="Actual flat rate",((D412+E412)*C412)*Inputs!$L$10,IF(Inputs!$C$9="Residential",IF(((D412+E412)*C412)&lt;='Assumptions and Catalog'!$C$50,((D412+E412)*C412)*'Assumptions and Catalog'!$H$50+'Assumptions and Catalog'!$E$50+'Assumptions and Catalog'!$F$50,IF(((D412+E412)*C412)&lt;='Assumptions and Catalog'!$C$51,((D412+E412)*C412)*'Assumptions and Catalog'!$H$51+'Assumptions and Catalog'!$E$51+'Assumptions and Catalog'!$F$51,IF(((D412+E412)*C412)&lt;='Assumptions and Catalog'!$C$52,((D412+E412)*C412)*'Assumptions and Catalog'!$H$52+'Assumptions and Catalog'!$E$52+'Assumptions and Catalog'!$F$52,IF(((D412+E412)*C412)&lt;='Assumptions and Catalog'!$C$53,((D412+E412)*C412)*'Assumptions and Catalog'!$H$53+'Assumptions and Catalog'!$E$53+'Assumptions and Catalog'!$F$53,IF(((D412+E412)*C412)&lt;='Assumptions and Catalog'!$C$54,((D412+E412)*C412)*'Assumptions and Catalog'!$H$54+'Assumptions and Catalog'!$E$54+'Assumptions and Catalog'!$F$54,IF(((D412+E412)*C412)&lt;='Assumptions and Catalog'!$C$55,((D412+E412)*C412)*'Assumptions and Catalog'!$H$55+'Assumptions and Catalog'!$E$55+'Assumptions and Catalog'!$F$55,IF(((D412+E412)*C412)&lt;='Assumptions and Catalog'!$C$56,((D412+E412)*C412)*'Assumptions and Catalog'!$H$56+'Assumptions and Catalog'!$E$56+'Assumptions and Catalog'!$F$56,IF(((D412+E412)*C412)&lt;='Assumptions and Catalog'!$C$57,((D412+E412)*C412)*'Assumptions and Catalog'!$H$57+'Assumptions and Catalog'!$E$57+'Assumptions and Catalog'!$F$57,"Out of range")))))))),IF(((D412+E412)*C412)&lt;='Assumptions and Catalog'!$C$60,((D412+E412)*C412)*'Assumptions and Catalog'!$H$60+'Assumptions and Catalog'!$E$60+'Assumptions and Catalog'!$F$60,IF(((D412+E412)*C412)&lt;='Assumptions and Catalog'!$C$61,((D412+E412)*C412)*'Assumptions and Catalog'!$H$61+'Assumptions and Catalog'!$E$61+'Assumptions and Catalog'!$F$61,IF(((D412+E412)*C412)&lt;='Assumptions and Catalog'!$C$62,((D412+E412)*C412)*'Assumptions and Catalog'!$H$62+'Assumptions and Catalog'!$E$62+'Assumptions and Catalog'!$F$62,IF(((D412+E412)*C412)&lt;='Assumptions and Catalog'!$C$63,((D412+E412)*C412)*'Assumptions and Catalog'!$H$63+'Assumptions and Catalog'!$E$63+'Assumptions and Catalog'!$F$63,IF(((D412+E412)*C412)&lt;='Assumptions and Catalog'!$C$64,((D412+E412)*C412)*'Assumptions and Catalog'!$H$64+'Assumptions and Catalog'!$E$64+'Assumptions and Catalog'!$F$64,IF(((D412+E412)*C412)&lt;='Assumptions and Catalog'!$C$65,((D412+E412)*C412)*'Assumptions and Catalog'!$H$65+'Assumptions and Catalog'!$E$65+'Assumptions and Catalog'!$F$65,"Out of range")))))))))*(1+'Assumptions and Catalog'!$C$8)^(A412-1),0)</f>
        <v>7727.0666666666657</v>
      </c>
      <c r="N412" s="5">
        <f>IF(ISNUMBER(Inputs!$L$5),(IF(Inputs!$L$9="Actual flat rate",L412*Inputs!$L$10,IF(Inputs!$C$9="Residential",IF(L412&lt;='Assumptions and Catalog'!$C$50,L412*'Assumptions and Catalog'!$H$50+'Assumptions and Catalog'!$E$50+'Assumptions and Catalog'!$F$50,IF(L412&lt;='Assumptions and Catalog'!$C$51,L412*'Assumptions and Catalog'!$H$51+'Assumptions and Catalog'!$E$51+'Assumptions and Catalog'!$F$51,IF(L412&lt;='Assumptions and Catalog'!$C$52,L412*'Assumptions and Catalog'!$H$52+'Assumptions and Catalog'!$E$52+'Assumptions and Catalog'!$F$52,IF(L412&lt;='Assumptions and Catalog'!$C$53,L412*'Assumptions and Catalog'!$H$53+'Assumptions and Catalog'!$E$53+'Assumptions and Catalog'!$F$53,IF(L412&lt;='Assumptions and Catalog'!$C$54,L412*'Assumptions and Catalog'!$H$54+'Assumptions and Catalog'!$E$54+'Assumptions and Catalog'!$F$54,IF(L412&lt;='Assumptions and Catalog'!$C$55,L412*'Assumptions and Catalog'!$H$55+'Assumptions and Catalog'!$E$55+'Assumptions and Catalog'!$F$55,IF(L412&lt;='Assumptions and Catalog'!$C$56,L412*'Assumptions and Catalog'!$H$56+'Assumptions and Catalog'!$E$56+'Assumptions and Catalog'!$F$56,IF(L412&lt;='Assumptions and Catalog'!$C$57,L412*'Assumptions and Catalog'!$H$57+'Assumptions and Catalog'!$E$57+'Assumptions and Catalog'!$F$57,"Out of range")))))))),IF(L412&lt;='Assumptions and Catalog'!$C$60,L412*'Assumptions and Catalog'!$H$60+'Assumptions and Catalog'!$E$60+'Assumptions and Catalog'!$F$60,IF(L412&lt;='Assumptions and Catalog'!$C$61,L412*'Assumptions and Catalog'!$H$61+'Assumptions and Catalog'!$E$61+'Assumptions and Catalog'!$F$61,IF(L412&lt;='Assumptions and Catalog'!$C$62,L412*'Assumptions and Catalog'!$H$62+'Assumptions and Catalog'!$E$62+'Assumptions and Catalog'!$F$62,IF(L412&lt;='Assumptions and Catalog'!$C$63,L412*'Assumptions and Catalog'!$H$63+'Assumptions and Catalog'!$E$63+'Assumptions and Catalog'!$F$63,IF(L412&lt;='Assumptions and Catalog'!$C$64,L412*'Assumptions and Catalog'!$H$64+'Assumptions and Catalog'!$E$64+'Assumptions and Catalog'!$F$64,IF(L412&lt;='Assumptions and Catalog'!$C$65,L412*'Assumptions and Catalog'!$H$65+'Assumptions and Catalog'!$E$65+'Assumptions and Catalog'!$F$65,"Out of range")))))))))*(1+'Assumptions and Catalog'!$C$8)^(A412-1),0)</f>
        <v>7727.0666666666657</v>
      </c>
      <c r="O412" s="5">
        <f t="shared" si="35"/>
        <v>0</v>
      </c>
      <c r="P412" s="5">
        <f>D$55*(1-K$14)*(1-'Assumptions and Catalog'!$C$23)^R412</f>
        <v>0</v>
      </c>
      <c r="Q412" s="5">
        <f>IF(ISNUMBER(Inputs!$L$5),(IF(Inputs!$L$9="Actual flat rate",((D412+E412)*C412-G412)*Inputs!$L$10,IF(Inputs!$C$9="Residential",IF(((D412+E412)*C412-G412)&lt;='Assumptions and Catalog'!$C$50,((D412+E412)*C412-G412)*'Assumptions and Catalog'!$H$50+'Assumptions and Catalog'!$E$50+'Assumptions and Catalog'!$F$50,IF(((D412+E412)*C412-G412)&lt;='Assumptions and Catalog'!$C$51,((D412+E412)*C412-G412)*'Assumptions and Catalog'!$H$51+'Assumptions and Catalog'!$E$51+'Assumptions and Catalog'!$F$51,IF(((D412+E412)*C412-G412)&lt;='Assumptions and Catalog'!$C$52,((D412+E412)*C412-G412)*'Assumptions and Catalog'!$H$52+'Assumptions and Catalog'!$E$52+'Assumptions and Catalog'!$F$52,IF(((D412+E412)*C412-G412)&lt;='Assumptions and Catalog'!$C$53,((D412+E412)*C412-G412)*'Assumptions and Catalog'!$H$53+'Assumptions and Catalog'!$E$53+'Assumptions and Catalog'!$F$53,IF(((D412+E412)*C412-G412)&lt;='Assumptions and Catalog'!$C$54,((D412+E412)*C412-G412)*'Assumptions and Catalog'!$H$54+'Assumptions and Catalog'!$E$54+'Assumptions and Catalog'!$F$54,IF(((D412+E412)*C412-G412)&lt;='Assumptions and Catalog'!$C$55,((D412+E412)*C412-G412)*'Assumptions and Catalog'!$H$55+'Assumptions and Catalog'!$E$55+'Assumptions and Catalog'!$F$55,IF(((D412+E412)*C412-G412)&lt;='Assumptions and Catalog'!$C$56,((D412+E412)*C412-G412)*'Assumptions and Catalog'!$H$56+'Assumptions and Catalog'!$E$56+'Assumptions and Catalog'!$F$56,IF(((D412+E412)*C412-G412)&lt;='Assumptions and Catalog'!$C$57,((D412+E412)*C412-G412)*'Assumptions and Catalog'!$H$57+'Assumptions and Catalog'!$E$57+'Assumptions and Catalog'!$F$57,"Out of range")))))))),IF(((D412+E412)*C412-G412)&lt;='Assumptions and Catalog'!$C$60,((D412+E412)*C412-G412)*'Assumptions and Catalog'!$H$60+'Assumptions and Catalog'!$E$60+'Assumptions and Catalog'!$F$60,IF(((D412+E412)*C412-G412)&lt;='Assumptions and Catalog'!$C$61,((D412+E412)*C412-G412)*'Assumptions and Catalog'!$H$61+'Assumptions and Catalog'!$E$61+'Assumptions and Catalog'!$F$61,IF(((D412+E412)*C412-G412)&lt;='Assumptions and Catalog'!$C$62,((D412+E412)*C412-G412)*'Assumptions and Catalog'!$H$62+'Assumptions and Catalog'!$E$62+'Assumptions and Catalog'!$F$62,IF(((D412+E412)*C412-G412)&lt;='Assumptions and Catalog'!$C$63,((D412+E412)*C412-G412)*'Assumptions and Catalog'!$H$63+'Assumptions and Catalog'!$E$63+'Assumptions and Catalog'!$F$63,IF(((D412+E412)*C412-G412)&lt;='Assumptions and Catalog'!$C$64,((D412+E412)*C412-G412)*'Assumptions and Catalog'!$H$64+'Assumptions and Catalog'!$E$64+'Assumptions and Catalog'!$F$64,IF(((D412+E412)*C412-G412)&lt;='Assumptions and Catalog'!$C$65,((D412+E412)*C412-G412)*'Assumptions and Catalog'!$H$65+'Assumptions and Catalog'!$E$65+'Assumptions and Catalog'!$F$65,"Out of range")))))))))*(1+'Assumptions and Catalog'!$C$8)^(A412-1),0)</f>
        <v>7727.0666666666657</v>
      </c>
      <c r="R412" s="5">
        <f>IF(AND('Assumptions and Catalog'!$C$19&gt;0,A412&gt;='Assumptions and Catalog'!$C$19),A412-'Assumptions and Catalog'!$C$19,A412-1)</f>
        <v>0</v>
      </c>
      <c r="S412" s="5">
        <f>F412+L412-(D412+E412)*C412-J412-K412-IF(D$52&gt;0,'Assumptions and Catalog'!$C$26*C412,0)</f>
        <v>0</v>
      </c>
      <c r="T412" s="5"/>
      <c r="U412" s="5"/>
    </row>
    <row r="413" spans="1:21" ht="23.1" customHeight="1" outlineLevel="1" x14ac:dyDescent="0.2">
      <c r="A413" s="5">
        <v>1</v>
      </c>
      <c r="B413" s="5">
        <v>3</v>
      </c>
      <c r="C413" s="5">
        <f>DAY(DATE('Assumptions and Catalog'!$C$24+A413-1,B413+1,0))</f>
        <v>31</v>
      </c>
      <c r="D413" s="5">
        <f>IF(ISNUMBER(Inputs!$L$5),Inputs!$L$5*Inputs!$L$6,0)</f>
        <v>40.35</v>
      </c>
      <c r="E413" s="5">
        <f>IF(ISNUMBER(Inputs!$L$5),Inputs!$L$5-D413,0)</f>
        <v>40.35</v>
      </c>
      <c r="F413" s="5">
        <f>D$51*'Assumptions and Catalog'!$C$31*C413*(1-'Assumptions and Catalog'!$C$10)^(A413-1)</f>
        <v>0</v>
      </c>
      <c r="G413" s="5">
        <f t="shared" si="32"/>
        <v>0</v>
      </c>
      <c r="H413" s="5">
        <f>I413/('Assumptions and Catalog'!$C$11*'Assumptions and Catalog'!$C$12)</f>
        <v>0</v>
      </c>
      <c r="I413" s="5">
        <f>IF(K$15="Grid cycle",MIN(K$16,D413+E413,P413*'Assumptions and Catalog'!$C$12,D$57*(24-'Assumptions and Catalog'!$C$15),D$56*'Assumptions and Catalog'!$C$15*'Assumptions and Catalog'!$C$11*'Assumptions and Catalog'!$C$12)*C413,0)</f>
        <v>0</v>
      </c>
      <c r="J413" s="5">
        <f t="shared" si="33"/>
        <v>0</v>
      </c>
      <c r="K413" s="5">
        <f t="shared" si="34"/>
        <v>0</v>
      </c>
      <c r="L413" s="5">
        <f>(D413+E413)*C413-G413-I413+H413+IF(D$52&gt;0,'Assumptions and Catalog'!$C$26*C413,0)</f>
        <v>2501.7000000000003</v>
      </c>
      <c r="M413" s="5">
        <f>IF(ISNUMBER(Inputs!$L$5),(IF(Inputs!$L$9="Actual flat rate",((D413+E413)*C413)*Inputs!$L$10,IF(Inputs!$C$9="Residential",IF(((D413+E413)*C413)&lt;='Assumptions and Catalog'!$C$50,((D413+E413)*C413)*'Assumptions and Catalog'!$H$50+'Assumptions and Catalog'!$E$50+'Assumptions and Catalog'!$F$50,IF(((D413+E413)*C413)&lt;='Assumptions and Catalog'!$C$51,((D413+E413)*C413)*'Assumptions and Catalog'!$H$51+'Assumptions and Catalog'!$E$51+'Assumptions and Catalog'!$F$51,IF(((D413+E413)*C413)&lt;='Assumptions and Catalog'!$C$52,((D413+E413)*C413)*'Assumptions and Catalog'!$H$52+'Assumptions and Catalog'!$E$52+'Assumptions and Catalog'!$F$52,IF(((D413+E413)*C413)&lt;='Assumptions and Catalog'!$C$53,((D413+E413)*C413)*'Assumptions and Catalog'!$H$53+'Assumptions and Catalog'!$E$53+'Assumptions and Catalog'!$F$53,IF(((D413+E413)*C413)&lt;='Assumptions and Catalog'!$C$54,((D413+E413)*C413)*'Assumptions and Catalog'!$H$54+'Assumptions and Catalog'!$E$54+'Assumptions and Catalog'!$F$54,IF(((D413+E413)*C413)&lt;='Assumptions and Catalog'!$C$55,((D413+E413)*C413)*'Assumptions and Catalog'!$H$55+'Assumptions and Catalog'!$E$55+'Assumptions and Catalog'!$F$55,IF(((D413+E413)*C413)&lt;='Assumptions and Catalog'!$C$56,((D413+E413)*C413)*'Assumptions and Catalog'!$H$56+'Assumptions and Catalog'!$E$56+'Assumptions and Catalog'!$F$56,IF(((D413+E413)*C413)&lt;='Assumptions and Catalog'!$C$57,((D413+E413)*C413)*'Assumptions and Catalog'!$H$57+'Assumptions and Catalog'!$E$57+'Assumptions and Catalog'!$F$57,"Out of range")))))))),IF(((D413+E413)*C413)&lt;='Assumptions and Catalog'!$C$60,((D413+E413)*C413)*'Assumptions and Catalog'!$H$60+'Assumptions and Catalog'!$E$60+'Assumptions and Catalog'!$F$60,IF(((D413+E413)*C413)&lt;='Assumptions and Catalog'!$C$61,((D413+E413)*C413)*'Assumptions and Catalog'!$H$61+'Assumptions and Catalog'!$E$61+'Assumptions and Catalog'!$F$61,IF(((D413+E413)*C413)&lt;='Assumptions and Catalog'!$C$62,((D413+E413)*C413)*'Assumptions and Catalog'!$H$62+'Assumptions and Catalog'!$E$62+'Assumptions and Catalog'!$F$62,IF(((D413+E413)*C413)&lt;='Assumptions and Catalog'!$C$63,((D413+E413)*C413)*'Assumptions and Catalog'!$H$63+'Assumptions and Catalog'!$E$63+'Assumptions and Catalog'!$F$63,IF(((D413+E413)*C413)&lt;='Assumptions and Catalog'!$C$64,((D413+E413)*C413)*'Assumptions and Catalog'!$H$64+'Assumptions and Catalog'!$E$64+'Assumptions and Catalog'!$F$64,IF(((D413+E413)*C413)&lt;='Assumptions and Catalog'!$C$65,((D413+E413)*C413)*'Assumptions and Catalog'!$H$65+'Assumptions and Catalog'!$E$65+'Assumptions and Catalog'!$F$65,"Out of range")))))))))*(1+'Assumptions and Catalog'!$C$8)^(A413-1),0)</f>
        <v>8554.9666666666672</v>
      </c>
      <c r="N413" s="5">
        <f>IF(ISNUMBER(Inputs!$L$5),(IF(Inputs!$L$9="Actual flat rate",L413*Inputs!$L$10,IF(Inputs!$C$9="Residential",IF(L413&lt;='Assumptions and Catalog'!$C$50,L413*'Assumptions and Catalog'!$H$50+'Assumptions and Catalog'!$E$50+'Assumptions and Catalog'!$F$50,IF(L413&lt;='Assumptions and Catalog'!$C$51,L413*'Assumptions and Catalog'!$H$51+'Assumptions and Catalog'!$E$51+'Assumptions and Catalog'!$F$51,IF(L413&lt;='Assumptions and Catalog'!$C$52,L413*'Assumptions and Catalog'!$H$52+'Assumptions and Catalog'!$E$52+'Assumptions and Catalog'!$F$52,IF(L413&lt;='Assumptions and Catalog'!$C$53,L413*'Assumptions and Catalog'!$H$53+'Assumptions and Catalog'!$E$53+'Assumptions and Catalog'!$F$53,IF(L413&lt;='Assumptions and Catalog'!$C$54,L413*'Assumptions and Catalog'!$H$54+'Assumptions and Catalog'!$E$54+'Assumptions and Catalog'!$F$54,IF(L413&lt;='Assumptions and Catalog'!$C$55,L413*'Assumptions and Catalog'!$H$55+'Assumptions and Catalog'!$E$55+'Assumptions and Catalog'!$F$55,IF(L413&lt;='Assumptions and Catalog'!$C$56,L413*'Assumptions and Catalog'!$H$56+'Assumptions and Catalog'!$E$56+'Assumptions and Catalog'!$F$56,IF(L413&lt;='Assumptions and Catalog'!$C$57,L413*'Assumptions and Catalog'!$H$57+'Assumptions and Catalog'!$E$57+'Assumptions and Catalog'!$F$57,"Out of range")))))))),IF(L413&lt;='Assumptions and Catalog'!$C$60,L413*'Assumptions and Catalog'!$H$60+'Assumptions and Catalog'!$E$60+'Assumptions and Catalog'!$F$60,IF(L413&lt;='Assumptions and Catalog'!$C$61,L413*'Assumptions and Catalog'!$H$61+'Assumptions and Catalog'!$E$61+'Assumptions and Catalog'!$F$61,IF(L413&lt;='Assumptions and Catalog'!$C$62,L413*'Assumptions and Catalog'!$H$62+'Assumptions and Catalog'!$E$62+'Assumptions and Catalog'!$F$62,IF(L413&lt;='Assumptions and Catalog'!$C$63,L413*'Assumptions and Catalog'!$H$63+'Assumptions and Catalog'!$E$63+'Assumptions and Catalog'!$F$63,IF(L413&lt;='Assumptions and Catalog'!$C$64,L413*'Assumptions and Catalog'!$H$64+'Assumptions and Catalog'!$E$64+'Assumptions and Catalog'!$F$64,IF(L413&lt;='Assumptions and Catalog'!$C$65,L413*'Assumptions and Catalog'!$H$65+'Assumptions and Catalog'!$E$65+'Assumptions and Catalog'!$F$65,"Out of range")))))))))*(1+'Assumptions and Catalog'!$C$8)^(A413-1),0)</f>
        <v>8554.9666666666672</v>
      </c>
      <c r="O413" s="5">
        <f t="shared" si="35"/>
        <v>0</v>
      </c>
      <c r="P413" s="5">
        <f>D$55*(1-K$14)*(1-'Assumptions and Catalog'!$C$23)^R413</f>
        <v>0</v>
      </c>
      <c r="Q413" s="5">
        <f>IF(ISNUMBER(Inputs!$L$5),(IF(Inputs!$L$9="Actual flat rate",((D413+E413)*C413-G413)*Inputs!$L$10,IF(Inputs!$C$9="Residential",IF(((D413+E413)*C413-G413)&lt;='Assumptions and Catalog'!$C$50,((D413+E413)*C413-G413)*'Assumptions and Catalog'!$H$50+'Assumptions and Catalog'!$E$50+'Assumptions and Catalog'!$F$50,IF(((D413+E413)*C413-G413)&lt;='Assumptions and Catalog'!$C$51,((D413+E413)*C413-G413)*'Assumptions and Catalog'!$H$51+'Assumptions and Catalog'!$E$51+'Assumptions and Catalog'!$F$51,IF(((D413+E413)*C413-G413)&lt;='Assumptions and Catalog'!$C$52,((D413+E413)*C413-G413)*'Assumptions and Catalog'!$H$52+'Assumptions and Catalog'!$E$52+'Assumptions and Catalog'!$F$52,IF(((D413+E413)*C413-G413)&lt;='Assumptions and Catalog'!$C$53,((D413+E413)*C413-G413)*'Assumptions and Catalog'!$H$53+'Assumptions and Catalog'!$E$53+'Assumptions and Catalog'!$F$53,IF(((D413+E413)*C413-G413)&lt;='Assumptions and Catalog'!$C$54,((D413+E413)*C413-G413)*'Assumptions and Catalog'!$H$54+'Assumptions and Catalog'!$E$54+'Assumptions and Catalog'!$F$54,IF(((D413+E413)*C413-G413)&lt;='Assumptions and Catalog'!$C$55,((D413+E413)*C413-G413)*'Assumptions and Catalog'!$H$55+'Assumptions and Catalog'!$E$55+'Assumptions and Catalog'!$F$55,IF(((D413+E413)*C413-G413)&lt;='Assumptions and Catalog'!$C$56,((D413+E413)*C413-G413)*'Assumptions and Catalog'!$H$56+'Assumptions and Catalog'!$E$56+'Assumptions and Catalog'!$F$56,IF(((D413+E413)*C413-G413)&lt;='Assumptions and Catalog'!$C$57,((D413+E413)*C413-G413)*'Assumptions and Catalog'!$H$57+'Assumptions and Catalog'!$E$57+'Assumptions and Catalog'!$F$57,"Out of range")))))))),IF(((D413+E413)*C413-G413)&lt;='Assumptions and Catalog'!$C$60,((D413+E413)*C413-G413)*'Assumptions and Catalog'!$H$60+'Assumptions and Catalog'!$E$60+'Assumptions and Catalog'!$F$60,IF(((D413+E413)*C413-G413)&lt;='Assumptions and Catalog'!$C$61,((D413+E413)*C413-G413)*'Assumptions and Catalog'!$H$61+'Assumptions and Catalog'!$E$61+'Assumptions and Catalog'!$F$61,IF(((D413+E413)*C413-G413)&lt;='Assumptions and Catalog'!$C$62,((D413+E413)*C413-G413)*'Assumptions and Catalog'!$H$62+'Assumptions and Catalog'!$E$62+'Assumptions and Catalog'!$F$62,IF(((D413+E413)*C413-G413)&lt;='Assumptions and Catalog'!$C$63,((D413+E413)*C413-G413)*'Assumptions and Catalog'!$H$63+'Assumptions and Catalog'!$E$63+'Assumptions and Catalog'!$F$63,IF(((D413+E413)*C413-G413)&lt;='Assumptions and Catalog'!$C$64,((D413+E413)*C413-G413)*'Assumptions and Catalog'!$H$64+'Assumptions and Catalog'!$E$64+'Assumptions and Catalog'!$F$64,IF(((D413+E413)*C413-G413)&lt;='Assumptions and Catalog'!$C$65,((D413+E413)*C413-G413)*'Assumptions and Catalog'!$H$65+'Assumptions and Catalog'!$E$65+'Assumptions and Catalog'!$F$65,"Out of range")))))))))*(1+'Assumptions and Catalog'!$C$8)^(A413-1),0)</f>
        <v>8554.9666666666672</v>
      </c>
      <c r="R413" s="5">
        <f>IF(AND('Assumptions and Catalog'!$C$19&gt;0,A413&gt;='Assumptions and Catalog'!$C$19),A413-'Assumptions and Catalog'!$C$19,A413-1)</f>
        <v>0</v>
      </c>
      <c r="S413" s="5">
        <f>F413+L413-(D413+E413)*C413-J413-K413-IF(D$52&gt;0,'Assumptions and Catalog'!$C$26*C413,0)</f>
        <v>0</v>
      </c>
      <c r="T413" s="5"/>
      <c r="U413" s="5"/>
    </row>
    <row r="414" spans="1:21" ht="23.1" customHeight="1" outlineLevel="1" x14ac:dyDescent="0.2">
      <c r="A414" s="5">
        <v>1</v>
      </c>
      <c r="B414" s="5">
        <v>4</v>
      </c>
      <c r="C414" s="5">
        <f>DAY(DATE('Assumptions and Catalog'!$C$24+A414-1,B414+1,0))</f>
        <v>30</v>
      </c>
      <c r="D414" s="5">
        <f>IF(ISNUMBER(Inputs!$L$5),Inputs!$L$5*Inputs!$L$6,0)</f>
        <v>40.35</v>
      </c>
      <c r="E414" s="5">
        <f>IF(ISNUMBER(Inputs!$L$5),Inputs!$L$5-D414,0)</f>
        <v>40.35</v>
      </c>
      <c r="F414" s="5">
        <f>D$51*'Assumptions and Catalog'!$C$31*C414*(1-'Assumptions and Catalog'!$C$10)^(A414-1)</f>
        <v>0</v>
      </c>
      <c r="G414" s="5">
        <f t="shared" si="32"/>
        <v>0</v>
      </c>
      <c r="H414" s="5">
        <f>I414/('Assumptions and Catalog'!$C$11*'Assumptions and Catalog'!$C$12)</f>
        <v>0</v>
      </c>
      <c r="I414" s="5">
        <f>IF(K$15="Grid cycle",MIN(K$16,D414+E414,P414*'Assumptions and Catalog'!$C$12,D$57*(24-'Assumptions and Catalog'!$C$15),D$56*'Assumptions and Catalog'!$C$15*'Assumptions and Catalog'!$C$11*'Assumptions and Catalog'!$C$12)*C414,0)</f>
        <v>0</v>
      </c>
      <c r="J414" s="5">
        <f t="shared" si="33"/>
        <v>0</v>
      </c>
      <c r="K414" s="5">
        <f t="shared" si="34"/>
        <v>0</v>
      </c>
      <c r="L414" s="5">
        <f>(D414+E414)*C414-G414-I414+H414+IF(D$52&gt;0,'Assumptions and Catalog'!$C$26*C414,0)</f>
        <v>2421</v>
      </c>
      <c r="M414" s="5">
        <f>IF(ISNUMBER(Inputs!$L$5),(IF(Inputs!$L$9="Actual flat rate",((D414+E414)*C414)*Inputs!$L$10,IF(Inputs!$C$9="Residential",IF(((D414+E414)*C414)&lt;='Assumptions and Catalog'!$C$50,((D414+E414)*C414)*'Assumptions and Catalog'!$H$50+'Assumptions and Catalog'!$E$50+'Assumptions and Catalog'!$F$50,IF(((D414+E414)*C414)&lt;='Assumptions and Catalog'!$C$51,((D414+E414)*C414)*'Assumptions and Catalog'!$H$51+'Assumptions and Catalog'!$E$51+'Assumptions and Catalog'!$F$51,IF(((D414+E414)*C414)&lt;='Assumptions and Catalog'!$C$52,((D414+E414)*C414)*'Assumptions and Catalog'!$H$52+'Assumptions and Catalog'!$E$52+'Assumptions and Catalog'!$F$52,IF(((D414+E414)*C414)&lt;='Assumptions and Catalog'!$C$53,((D414+E414)*C414)*'Assumptions and Catalog'!$H$53+'Assumptions and Catalog'!$E$53+'Assumptions and Catalog'!$F$53,IF(((D414+E414)*C414)&lt;='Assumptions and Catalog'!$C$54,((D414+E414)*C414)*'Assumptions and Catalog'!$H$54+'Assumptions and Catalog'!$E$54+'Assumptions and Catalog'!$F$54,IF(((D414+E414)*C414)&lt;='Assumptions and Catalog'!$C$55,((D414+E414)*C414)*'Assumptions and Catalog'!$H$55+'Assumptions and Catalog'!$E$55+'Assumptions and Catalog'!$F$55,IF(((D414+E414)*C414)&lt;='Assumptions and Catalog'!$C$56,((D414+E414)*C414)*'Assumptions and Catalog'!$H$56+'Assumptions and Catalog'!$E$56+'Assumptions and Catalog'!$F$56,IF(((D414+E414)*C414)&lt;='Assumptions and Catalog'!$C$57,((D414+E414)*C414)*'Assumptions and Catalog'!$H$57+'Assumptions and Catalog'!$E$57+'Assumptions and Catalog'!$F$57,"Out of range")))))))),IF(((D414+E414)*C414)&lt;='Assumptions and Catalog'!$C$60,((D414+E414)*C414)*'Assumptions and Catalog'!$H$60+'Assumptions and Catalog'!$E$60+'Assumptions and Catalog'!$F$60,IF(((D414+E414)*C414)&lt;='Assumptions and Catalog'!$C$61,((D414+E414)*C414)*'Assumptions and Catalog'!$H$61+'Assumptions and Catalog'!$E$61+'Assumptions and Catalog'!$F$61,IF(((D414+E414)*C414)&lt;='Assumptions and Catalog'!$C$62,((D414+E414)*C414)*'Assumptions and Catalog'!$H$62+'Assumptions and Catalog'!$E$62+'Assumptions and Catalog'!$F$62,IF(((D414+E414)*C414)&lt;='Assumptions and Catalog'!$C$63,((D414+E414)*C414)*'Assumptions and Catalog'!$H$63+'Assumptions and Catalog'!$E$63+'Assumptions and Catalog'!$F$63,IF(((D414+E414)*C414)&lt;='Assumptions and Catalog'!$C$64,((D414+E414)*C414)*'Assumptions and Catalog'!$H$64+'Assumptions and Catalog'!$E$64+'Assumptions and Catalog'!$F$64,IF(((D414+E414)*C414)&lt;='Assumptions and Catalog'!$C$65,((D414+E414)*C414)*'Assumptions and Catalog'!$H$65+'Assumptions and Catalog'!$E$65+'Assumptions and Catalog'!$F$65,"Out of range")))))))))*(1+'Assumptions and Catalog'!$C$8)^(A414-1),0)</f>
        <v>8279</v>
      </c>
      <c r="N414" s="5">
        <f>IF(ISNUMBER(Inputs!$L$5),(IF(Inputs!$L$9="Actual flat rate",L414*Inputs!$L$10,IF(Inputs!$C$9="Residential",IF(L414&lt;='Assumptions and Catalog'!$C$50,L414*'Assumptions and Catalog'!$H$50+'Assumptions and Catalog'!$E$50+'Assumptions and Catalog'!$F$50,IF(L414&lt;='Assumptions and Catalog'!$C$51,L414*'Assumptions and Catalog'!$H$51+'Assumptions and Catalog'!$E$51+'Assumptions and Catalog'!$F$51,IF(L414&lt;='Assumptions and Catalog'!$C$52,L414*'Assumptions and Catalog'!$H$52+'Assumptions and Catalog'!$E$52+'Assumptions and Catalog'!$F$52,IF(L414&lt;='Assumptions and Catalog'!$C$53,L414*'Assumptions and Catalog'!$H$53+'Assumptions and Catalog'!$E$53+'Assumptions and Catalog'!$F$53,IF(L414&lt;='Assumptions and Catalog'!$C$54,L414*'Assumptions and Catalog'!$H$54+'Assumptions and Catalog'!$E$54+'Assumptions and Catalog'!$F$54,IF(L414&lt;='Assumptions and Catalog'!$C$55,L414*'Assumptions and Catalog'!$H$55+'Assumptions and Catalog'!$E$55+'Assumptions and Catalog'!$F$55,IF(L414&lt;='Assumptions and Catalog'!$C$56,L414*'Assumptions and Catalog'!$H$56+'Assumptions and Catalog'!$E$56+'Assumptions and Catalog'!$F$56,IF(L414&lt;='Assumptions and Catalog'!$C$57,L414*'Assumptions and Catalog'!$H$57+'Assumptions and Catalog'!$E$57+'Assumptions and Catalog'!$F$57,"Out of range")))))))),IF(L414&lt;='Assumptions and Catalog'!$C$60,L414*'Assumptions and Catalog'!$H$60+'Assumptions and Catalog'!$E$60+'Assumptions and Catalog'!$F$60,IF(L414&lt;='Assumptions and Catalog'!$C$61,L414*'Assumptions and Catalog'!$H$61+'Assumptions and Catalog'!$E$61+'Assumptions and Catalog'!$F$61,IF(L414&lt;='Assumptions and Catalog'!$C$62,L414*'Assumptions and Catalog'!$H$62+'Assumptions and Catalog'!$E$62+'Assumptions and Catalog'!$F$62,IF(L414&lt;='Assumptions and Catalog'!$C$63,L414*'Assumptions and Catalog'!$H$63+'Assumptions and Catalog'!$E$63+'Assumptions and Catalog'!$F$63,IF(L414&lt;='Assumptions and Catalog'!$C$64,L414*'Assumptions and Catalog'!$H$64+'Assumptions and Catalog'!$E$64+'Assumptions and Catalog'!$F$64,IF(L414&lt;='Assumptions and Catalog'!$C$65,L414*'Assumptions and Catalog'!$H$65+'Assumptions and Catalog'!$E$65+'Assumptions and Catalog'!$F$65,"Out of range")))))))))*(1+'Assumptions and Catalog'!$C$8)^(A414-1),0)</f>
        <v>8279</v>
      </c>
      <c r="O414" s="5">
        <f t="shared" si="35"/>
        <v>0</v>
      </c>
      <c r="P414" s="5">
        <f>D$55*(1-K$14)*(1-'Assumptions and Catalog'!$C$23)^R414</f>
        <v>0</v>
      </c>
      <c r="Q414" s="5">
        <f>IF(ISNUMBER(Inputs!$L$5),(IF(Inputs!$L$9="Actual flat rate",((D414+E414)*C414-G414)*Inputs!$L$10,IF(Inputs!$C$9="Residential",IF(((D414+E414)*C414-G414)&lt;='Assumptions and Catalog'!$C$50,((D414+E414)*C414-G414)*'Assumptions and Catalog'!$H$50+'Assumptions and Catalog'!$E$50+'Assumptions and Catalog'!$F$50,IF(((D414+E414)*C414-G414)&lt;='Assumptions and Catalog'!$C$51,((D414+E414)*C414-G414)*'Assumptions and Catalog'!$H$51+'Assumptions and Catalog'!$E$51+'Assumptions and Catalog'!$F$51,IF(((D414+E414)*C414-G414)&lt;='Assumptions and Catalog'!$C$52,((D414+E414)*C414-G414)*'Assumptions and Catalog'!$H$52+'Assumptions and Catalog'!$E$52+'Assumptions and Catalog'!$F$52,IF(((D414+E414)*C414-G414)&lt;='Assumptions and Catalog'!$C$53,((D414+E414)*C414-G414)*'Assumptions and Catalog'!$H$53+'Assumptions and Catalog'!$E$53+'Assumptions and Catalog'!$F$53,IF(((D414+E414)*C414-G414)&lt;='Assumptions and Catalog'!$C$54,((D414+E414)*C414-G414)*'Assumptions and Catalog'!$H$54+'Assumptions and Catalog'!$E$54+'Assumptions and Catalog'!$F$54,IF(((D414+E414)*C414-G414)&lt;='Assumptions and Catalog'!$C$55,((D414+E414)*C414-G414)*'Assumptions and Catalog'!$H$55+'Assumptions and Catalog'!$E$55+'Assumptions and Catalog'!$F$55,IF(((D414+E414)*C414-G414)&lt;='Assumptions and Catalog'!$C$56,((D414+E414)*C414-G414)*'Assumptions and Catalog'!$H$56+'Assumptions and Catalog'!$E$56+'Assumptions and Catalog'!$F$56,IF(((D414+E414)*C414-G414)&lt;='Assumptions and Catalog'!$C$57,((D414+E414)*C414-G414)*'Assumptions and Catalog'!$H$57+'Assumptions and Catalog'!$E$57+'Assumptions and Catalog'!$F$57,"Out of range")))))))),IF(((D414+E414)*C414-G414)&lt;='Assumptions and Catalog'!$C$60,((D414+E414)*C414-G414)*'Assumptions and Catalog'!$H$60+'Assumptions and Catalog'!$E$60+'Assumptions and Catalog'!$F$60,IF(((D414+E414)*C414-G414)&lt;='Assumptions and Catalog'!$C$61,((D414+E414)*C414-G414)*'Assumptions and Catalog'!$H$61+'Assumptions and Catalog'!$E$61+'Assumptions and Catalog'!$F$61,IF(((D414+E414)*C414-G414)&lt;='Assumptions and Catalog'!$C$62,((D414+E414)*C414-G414)*'Assumptions and Catalog'!$H$62+'Assumptions and Catalog'!$E$62+'Assumptions and Catalog'!$F$62,IF(((D414+E414)*C414-G414)&lt;='Assumptions and Catalog'!$C$63,((D414+E414)*C414-G414)*'Assumptions and Catalog'!$H$63+'Assumptions and Catalog'!$E$63+'Assumptions and Catalog'!$F$63,IF(((D414+E414)*C414-G414)&lt;='Assumptions and Catalog'!$C$64,((D414+E414)*C414-G414)*'Assumptions and Catalog'!$H$64+'Assumptions and Catalog'!$E$64+'Assumptions and Catalog'!$F$64,IF(((D414+E414)*C414-G414)&lt;='Assumptions and Catalog'!$C$65,((D414+E414)*C414-G414)*'Assumptions and Catalog'!$H$65+'Assumptions and Catalog'!$E$65+'Assumptions and Catalog'!$F$65,"Out of range")))))))))*(1+'Assumptions and Catalog'!$C$8)^(A414-1),0)</f>
        <v>8279</v>
      </c>
      <c r="R414" s="5">
        <f>IF(AND('Assumptions and Catalog'!$C$19&gt;0,A414&gt;='Assumptions and Catalog'!$C$19),A414-'Assumptions and Catalog'!$C$19,A414-1)</f>
        <v>0</v>
      </c>
      <c r="S414" s="5">
        <f>F414+L414-(D414+E414)*C414-J414-K414-IF(D$52&gt;0,'Assumptions and Catalog'!$C$26*C414,0)</f>
        <v>0</v>
      </c>
      <c r="T414" s="5"/>
      <c r="U414" s="5"/>
    </row>
    <row r="415" spans="1:21" ht="23.1" customHeight="1" outlineLevel="1" x14ac:dyDescent="0.2">
      <c r="A415" s="5">
        <v>1</v>
      </c>
      <c r="B415" s="5">
        <v>5</v>
      </c>
      <c r="C415" s="5">
        <f>DAY(DATE('Assumptions and Catalog'!$C$24+A415-1,B415+1,0))</f>
        <v>31</v>
      </c>
      <c r="D415" s="5">
        <f>IF(ISNUMBER(Inputs!$L$5),Inputs!$L$5*Inputs!$L$6,0)</f>
        <v>40.35</v>
      </c>
      <c r="E415" s="5">
        <f>IF(ISNUMBER(Inputs!$L$5),Inputs!$L$5-D415,0)</f>
        <v>40.35</v>
      </c>
      <c r="F415" s="5">
        <f>D$51*'Assumptions and Catalog'!$C$31*C415*(1-'Assumptions and Catalog'!$C$10)^(A415-1)</f>
        <v>0</v>
      </c>
      <c r="G415" s="5">
        <f t="shared" si="32"/>
        <v>0</v>
      </c>
      <c r="H415" s="5">
        <f>I415/('Assumptions and Catalog'!$C$11*'Assumptions and Catalog'!$C$12)</f>
        <v>0</v>
      </c>
      <c r="I415" s="5">
        <f>IF(K$15="Grid cycle",MIN(K$16,D415+E415,P415*'Assumptions and Catalog'!$C$12,D$57*(24-'Assumptions and Catalog'!$C$15),D$56*'Assumptions and Catalog'!$C$15*'Assumptions and Catalog'!$C$11*'Assumptions and Catalog'!$C$12)*C415,0)</f>
        <v>0</v>
      </c>
      <c r="J415" s="5">
        <f t="shared" si="33"/>
        <v>0</v>
      </c>
      <c r="K415" s="5">
        <f t="shared" si="34"/>
        <v>0</v>
      </c>
      <c r="L415" s="5">
        <f>(D415+E415)*C415-G415-I415+H415+IF(D$52&gt;0,'Assumptions and Catalog'!$C$26*C415,0)</f>
        <v>2501.7000000000003</v>
      </c>
      <c r="M415" s="5">
        <f>IF(ISNUMBER(Inputs!$L$5),(IF(Inputs!$L$9="Actual flat rate",((D415+E415)*C415)*Inputs!$L$10,IF(Inputs!$C$9="Residential",IF(((D415+E415)*C415)&lt;='Assumptions and Catalog'!$C$50,((D415+E415)*C415)*'Assumptions and Catalog'!$H$50+'Assumptions and Catalog'!$E$50+'Assumptions and Catalog'!$F$50,IF(((D415+E415)*C415)&lt;='Assumptions and Catalog'!$C$51,((D415+E415)*C415)*'Assumptions and Catalog'!$H$51+'Assumptions and Catalog'!$E$51+'Assumptions and Catalog'!$F$51,IF(((D415+E415)*C415)&lt;='Assumptions and Catalog'!$C$52,((D415+E415)*C415)*'Assumptions and Catalog'!$H$52+'Assumptions and Catalog'!$E$52+'Assumptions and Catalog'!$F$52,IF(((D415+E415)*C415)&lt;='Assumptions and Catalog'!$C$53,((D415+E415)*C415)*'Assumptions and Catalog'!$H$53+'Assumptions and Catalog'!$E$53+'Assumptions and Catalog'!$F$53,IF(((D415+E415)*C415)&lt;='Assumptions and Catalog'!$C$54,((D415+E415)*C415)*'Assumptions and Catalog'!$H$54+'Assumptions and Catalog'!$E$54+'Assumptions and Catalog'!$F$54,IF(((D415+E415)*C415)&lt;='Assumptions and Catalog'!$C$55,((D415+E415)*C415)*'Assumptions and Catalog'!$H$55+'Assumptions and Catalog'!$E$55+'Assumptions and Catalog'!$F$55,IF(((D415+E415)*C415)&lt;='Assumptions and Catalog'!$C$56,((D415+E415)*C415)*'Assumptions and Catalog'!$H$56+'Assumptions and Catalog'!$E$56+'Assumptions and Catalog'!$F$56,IF(((D415+E415)*C415)&lt;='Assumptions and Catalog'!$C$57,((D415+E415)*C415)*'Assumptions and Catalog'!$H$57+'Assumptions and Catalog'!$E$57+'Assumptions and Catalog'!$F$57,"Out of range")))))))),IF(((D415+E415)*C415)&lt;='Assumptions and Catalog'!$C$60,((D415+E415)*C415)*'Assumptions and Catalog'!$H$60+'Assumptions and Catalog'!$E$60+'Assumptions and Catalog'!$F$60,IF(((D415+E415)*C415)&lt;='Assumptions and Catalog'!$C$61,((D415+E415)*C415)*'Assumptions and Catalog'!$H$61+'Assumptions and Catalog'!$E$61+'Assumptions and Catalog'!$F$61,IF(((D415+E415)*C415)&lt;='Assumptions and Catalog'!$C$62,((D415+E415)*C415)*'Assumptions and Catalog'!$H$62+'Assumptions and Catalog'!$E$62+'Assumptions and Catalog'!$F$62,IF(((D415+E415)*C415)&lt;='Assumptions and Catalog'!$C$63,((D415+E415)*C415)*'Assumptions and Catalog'!$H$63+'Assumptions and Catalog'!$E$63+'Assumptions and Catalog'!$F$63,IF(((D415+E415)*C415)&lt;='Assumptions and Catalog'!$C$64,((D415+E415)*C415)*'Assumptions and Catalog'!$H$64+'Assumptions and Catalog'!$E$64+'Assumptions and Catalog'!$F$64,IF(((D415+E415)*C415)&lt;='Assumptions and Catalog'!$C$65,((D415+E415)*C415)*'Assumptions and Catalog'!$H$65+'Assumptions and Catalog'!$E$65+'Assumptions and Catalog'!$F$65,"Out of range")))))))))*(1+'Assumptions and Catalog'!$C$8)^(A415-1),0)</f>
        <v>8554.9666666666672</v>
      </c>
      <c r="N415" s="5">
        <f>IF(ISNUMBER(Inputs!$L$5),(IF(Inputs!$L$9="Actual flat rate",L415*Inputs!$L$10,IF(Inputs!$C$9="Residential",IF(L415&lt;='Assumptions and Catalog'!$C$50,L415*'Assumptions and Catalog'!$H$50+'Assumptions and Catalog'!$E$50+'Assumptions and Catalog'!$F$50,IF(L415&lt;='Assumptions and Catalog'!$C$51,L415*'Assumptions and Catalog'!$H$51+'Assumptions and Catalog'!$E$51+'Assumptions and Catalog'!$F$51,IF(L415&lt;='Assumptions and Catalog'!$C$52,L415*'Assumptions and Catalog'!$H$52+'Assumptions and Catalog'!$E$52+'Assumptions and Catalog'!$F$52,IF(L415&lt;='Assumptions and Catalog'!$C$53,L415*'Assumptions and Catalog'!$H$53+'Assumptions and Catalog'!$E$53+'Assumptions and Catalog'!$F$53,IF(L415&lt;='Assumptions and Catalog'!$C$54,L415*'Assumptions and Catalog'!$H$54+'Assumptions and Catalog'!$E$54+'Assumptions and Catalog'!$F$54,IF(L415&lt;='Assumptions and Catalog'!$C$55,L415*'Assumptions and Catalog'!$H$55+'Assumptions and Catalog'!$E$55+'Assumptions and Catalog'!$F$55,IF(L415&lt;='Assumptions and Catalog'!$C$56,L415*'Assumptions and Catalog'!$H$56+'Assumptions and Catalog'!$E$56+'Assumptions and Catalog'!$F$56,IF(L415&lt;='Assumptions and Catalog'!$C$57,L415*'Assumptions and Catalog'!$H$57+'Assumptions and Catalog'!$E$57+'Assumptions and Catalog'!$F$57,"Out of range")))))))),IF(L415&lt;='Assumptions and Catalog'!$C$60,L415*'Assumptions and Catalog'!$H$60+'Assumptions and Catalog'!$E$60+'Assumptions and Catalog'!$F$60,IF(L415&lt;='Assumptions and Catalog'!$C$61,L415*'Assumptions and Catalog'!$H$61+'Assumptions and Catalog'!$E$61+'Assumptions and Catalog'!$F$61,IF(L415&lt;='Assumptions and Catalog'!$C$62,L415*'Assumptions and Catalog'!$H$62+'Assumptions and Catalog'!$E$62+'Assumptions and Catalog'!$F$62,IF(L415&lt;='Assumptions and Catalog'!$C$63,L415*'Assumptions and Catalog'!$H$63+'Assumptions and Catalog'!$E$63+'Assumptions and Catalog'!$F$63,IF(L415&lt;='Assumptions and Catalog'!$C$64,L415*'Assumptions and Catalog'!$H$64+'Assumptions and Catalog'!$E$64+'Assumptions and Catalog'!$F$64,IF(L415&lt;='Assumptions and Catalog'!$C$65,L415*'Assumptions and Catalog'!$H$65+'Assumptions and Catalog'!$E$65+'Assumptions and Catalog'!$F$65,"Out of range")))))))))*(1+'Assumptions and Catalog'!$C$8)^(A415-1),0)</f>
        <v>8554.9666666666672</v>
      </c>
      <c r="O415" s="5">
        <f t="shared" si="35"/>
        <v>0</v>
      </c>
      <c r="P415" s="5">
        <f>D$55*(1-K$14)*(1-'Assumptions and Catalog'!$C$23)^R415</f>
        <v>0</v>
      </c>
      <c r="Q415" s="5">
        <f>IF(ISNUMBER(Inputs!$L$5),(IF(Inputs!$L$9="Actual flat rate",((D415+E415)*C415-G415)*Inputs!$L$10,IF(Inputs!$C$9="Residential",IF(((D415+E415)*C415-G415)&lt;='Assumptions and Catalog'!$C$50,((D415+E415)*C415-G415)*'Assumptions and Catalog'!$H$50+'Assumptions and Catalog'!$E$50+'Assumptions and Catalog'!$F$50,IF(((D415+E415)*C415-G415)&lt;='Assumptions and Catalog'!$C$51,((D415+E415)*C415-G415)*'Assumptions and Catalog'!$H$51+'Assumptions and Catalog'!$E$51+'Assumptions and Catalog'!$F$51,IF(((D415+E415)*C415-G415)&lt;='Assumptions and Catalog'!$C$52,((D415+E415)*C415-G415)*'Assumptions and Catalog'!$H$52+'Assumptions and Catalog'!$E$52+'Assumptions and Catalog'!$F$52,IF(((D415+E415)*C415-G415)&lt;='Assumptions and Catalog'!$C$53,((D415+E415)*C415-G415)*'Assumptions and Catalog'!$H$53+'Assumptions and Catalog'!$E$53+'Assumptions and Catalog'!$F$53,IF(((D415+E415)*C415-G415)&lt;='Assumptions and Catalog'!$C$54,((D415+E415)*C415-G415)*'Assumptions and Catalog'!$H$54+'Assumptions and Catalog'!$E$54+'Assumptions and Catalog'!$F$54,IF(((D415+E415)*C415-G415)&lt;='Assumptions and Catalog'!$C$55,((D415+E415)*C415-G415)*'Assumptions and Catalog'!$H$55+'Assumptions and Catalog'!$E$55+'Assumptions and Catalog'!$F$55,IF(((D415+E415)*C415-G415)&lt;='Assumptions and Catalog'!$C$56,((D415+E415)*C415-G415)*'Assumptions and Catalog'!$H$56+'Assumptions and Catalog'!$E$56+'Assumptions and Catalog'!$F$56,IF(((D415+E415)*C415-G415)&lt;='Assumptions and Catalog'!$C$57,((D415+E415)*C415-G415)*'Assumptions and Catalog'!$H$57+'Assumptions and Catalog'!$E$57+'Assumptions and Catalog'!$F$57,"Out of range")))))))),IF(((D415+E415)*C415-G415)&lt;='Assumptions and Catalog'!$C$60,((D415+E415)*C415-G415)*'Assumptions and Catalog'!$H$60+'Assumptions and Catalog'!$E$60+'Assumptions and Catalog'!$F$60,IF(((D415+E415)*C415-G415)&lt;='Assumptions and Catalog'!$C$61,((D415+E415)*C415-G415)*'Assumptions and Catalog'!$H$61+'Assumptions and Catalog'!$E$61+'Assumptions and Catalog'!$F$61,IF(((D415+E415)*C415-G415)&lt;='Assumptions and Catalog'!$C$62,((D415+E415)*C415-G415)*'Assumptions and Catalog'!$H$62+'Assumptions and Catalog'!$E$62+'Assumptions and Catalog'!$F$62,IF(((D415+E415)*C415-G415)&lt;='Assumptions and Catalog'!$C$63,((D415+E415)*C415-G415)*'Assumptions and Catalog'!$H$63+'Assumptions and Catalog'!$E$63+'Assumptions and Catalog'!$F$63,IF(((D415+E415)*C415-G415)&lt;='Assumptions and Catalog'!$C$64,((D415+E415)*C415-G415)*'Assumptions and Catalog'!$H$64+'Assumptions and Catalog'!$E$64+'Assumptions and Catalog'!$F$64,IF(((D415+E415)*C415-G415)&lt;='Assumptions and Catalog'!$C$65,((D415+E415)*C415-G415)*'Assumptions and Catalog'!$H$65+'Assumptions and Catalog'!$E$65+'Assumptions and Catalog'!$F$65,"Out of range")))))))))*(1+'Assumptions and Catalog'!$C$8)^(A415-1),0)</f>
        <v>8554.9666666666672</v>
      </c>
      <c r="R415" s="5">
        <f>IF(AND('Assumptions and Catalog'!$C$19&gt;0,A415&gt;='Assumptions and Catalog'!$C$19),A415-'Assumptions and Catalog'!$C$19,A415-1)</f>
        <v>0</v>
      </c>
      <c r="S415" s="5">
        <f>F415+L415-(D415+E415)*C415-J415-K415-IF(D$52&gt;0,'Assumptions and Catalog'!$C$26*C415,0)</f>
        <v>0</v>
      </c>
      <c r="T415" s="5"/>
      <c r="U415" s="5"/>
    </row>
    <row r="416" spans="1:21" ht="23.1" customHeight="1" outlineLevel="1" x14ac:dyDescent="0.2">
      <c r="A416" s="5">
        <v>1</v>
      </c>
      <c r="B416" s="5">
        <v>6</v>
      </c>
      <c r="C416" s="5">
        <f>DAY(DATE('Assumptions and Catalog'!$C$24+A416-1,B416+1,0))</f>
        <v>30</v>
      </c>
      <c r="D416" s="5">
        <f>IF(ISNUMBER(Inputs!$L$5),Inputs!$L$5*Inputs!$L$6,0)</f>
        <v>40.35</v>
      </c>
      <c r="E416" s="5">
        <f>IF(ISNUMBER(Inputs!$L$5),Inputs!$L$5-D416,0)</f>
        <v>40.35</v>
      </c>
      <c r="F416" s="5">
        <f>D$51*'Assumptions and Catalog'!$C$31*C416*(1-'Assumptions and Catalog'!$C$10)^(A416-1)</f>
        <v>0</v>
      </c>
      <c r="G416" s="5">
        <f t="shared" si="32"/>
        <v>0</v>
      </c>
      <c r="H416" s="5">
        <f>I416/('Assumptions and Catalog'!$C$11*'Assumptions and Catalog'!$C$12)</f>
        <v>0</v>
      </c>
      <c r="I416" s="5">
        <f>IF(K$15="Grid cycle",MIN(K$16,D416+E416,P416*'Assumptions and Catalog'!$C$12,D$57*(24-'Assumptions and Catalog'!$C$15),D$56*'Assumptions and Catalog'!$C$15*'Assumptions and Catalog'!$C$11*'Assumptions and Catalog'!$C$12)*C416,0)</f>
        <v>0</v>
      </c>
      <c r="J416" s="5">
        <f t="shared" si="33"/>
        <v>0</v>
      </c>
      <c r="K416" s="5">
        <f t="shared" si="34"/>
        <v>0</v>
      </c>
      <c r="L416" s="5">
        <f>(D416+E416)*C416-G416-I416+H416+IF(D$52&gt;0,'Assumptions and Catalog'!$C$26*C416,0)</f>
        <v>2421</v>
      </c>
      <c r="M416" s="5">
        <f>IF(ISNUMBER(Inputs!$L$5),(IF(Inputs!$L$9="Actual flat rate",((D416+E416)*C416)*Inputs!$L$10,IF(Inputs!$C$9="Residential",IF(((D416+E416)*C416)&lt;='Assumptions and Catalog'!$C$50,((D416+E416)*C416)*'Assumptions and Catalog'!$H$50+'Assumptions and Catalog'!$E$50+'Assumptions and Catalog'!$F$50,IF(((D416+E416)*C416)&lt;='Assumptions and Catalog'!$C$51,((D416+E416)*C416)*'Assumptions and Catalog'!$H$51+'Assumptions and Catalog'!$E$51+'Assumptions and Catalog'!$F$51,IF(((D416+E416)*C416)&lt;='Assumptions and Catalog'!$C$52,((D416+E416)*C416)*'Assumptions and Catalog'!$H$52+'Assumptions and Catalog'!$E$52+'Assumptions and Catalog'!$F$52,IF(((D416+E416)*C416)&lt;='Assumptions and Catalog'!$C$53,((D416+E416)*C416)*'Assumptions and Catalog'!$H$53+'Assumptions and Catalog'!$E$53+'Assumptions and Catalog'!$F$53,IF(((D416+E416)*C416)&lt;='Assumptions and Catalog'!$C$54,((D416+E416)*C416)*'Assumptions and Catalog'!$H$54+'Assumptions and Catalog'!$E$54+'Assumptions and Catalog'!$F$54,IF(((D416+E416)*C416)&lt;='Assumptions and Catalog'!$C$55,((D416+E416)*C416)*'Assumptions and Catalog'!$H$55+'Assumptions and Catalog'!$E$55+'Assumptions and Catalog'!$F$55,IF(((D416+E416)*C416)&lt;='Assumptions and Catalog'!$C$56,((D416+E416)*C416)*'Assumptions and Catalog'!$H$56+'Assumptions and Catalog'!$E$56+'Assumptions and Catalog'!$F$56,IF(((D416+E416)*C416)&lt;='Assumptions and Catalog'!$C$57,((D416+E416)*C416)*'Assumptions and Catalog'!$H$57+'Assumptions and Catalog'!$E$57+'Assumptions and Catalog'!$F$57,"Out of range")))))))),IF(((D416+E416)*C416)&lt;='Assumptions and Catalog'!$C$60,((D416+E416)*C416)*'Assumptions and Catalog'!$H$60+'Assumptions and Catalog'!$E$60+'Assumptions and Catalog'!$F$60,IF(((D416+E416)*C416)&lt;='Assumptions and Catalog'!$C$61,((D416+E416)*C416)*'Assumptions and Catalog'!$H$61+'Assumptions and Catalog'!$E$61+'Assumptions and Catalog'!$F$61,IF(((D416+E416)*C416)&lt;='Assumptions and Catalog'!$C$62,((D416+E416)*C416)*'Assumptions and Catalog'!$H$62+'Assumptions and Catalog'!$E$62+'Assumptions and Catalog'!$F$62,IF(((D416+E416)*C416)&lt;='Assumptions and Catalog'!$C$63,((D416+E416)*C416)*'Assumptions and Catalog'!$H$63+'Assumptions and Catalog'!$E$63+'Assumptions and Catalog'!$F$63,IF(((D416+E416)*C416)&lt;='Assumptions and Catalog'!$C$64,((D416+E416)*C416)*'Assumptions and Catalog'!$H$64+'Assumptions and Catalog'!$E$64+'Assumptions and Catalog'!$F$64,IF(((D416+E416)*C416)&lt;='Assumptions and Catalog'!$C$65,((D416+E416)*C416)*'Assumptions and Catalog'!$H$65+'Assumptions and Catalog'!$E$65+'Assumptions and Catalog'!$F$65,"Out of range")))))))))*(1+'Assumptions and Catalog'!$C$8)^(A416-1),0)</f>
        <v>8279</v>
      </c>
      <c r="N416" s="5">
        <f>IF(ISNUMBER(Inputs!$L$5),(IF(Inputs!$L$9="Actual flat rate",L416*Inputs!$L$10,IF(Inputs!$C$9="Residential",IF(L416&lt;='Assumptions and Catalog'!$C$50,L416*'Assumptions and Catalog'!$H$50+'Assumptions and Catalog'!$E$50+'Assumptions and Catalog'!$F$50,IF(L416&lt;='Assumptions and Catalog'!$C$51,L416*'Assumptions and Catalog'!$H$51+'Assumptions and Catalog'!$E$51+'Assumptions and Catalog'!$F$51,IF(L416&lt;='Assumptions and Catalog'!$C$52,L416*'Assumptions and Catalog'!$H$52+'Assumptions and Catalog'!$E$52+'Assumptions and Catalog'!$F$52,IF(L416&lt;='Assumptions and Catalog'!$C$53,L416*'Assumptions and Catalog'!$H$53+'Assumptions and Catalog'!$E$53+'Assumptions and Catalog'!$F$53,IF(L416&lt;='Assumptions and Catalog'!$C$54,L416*'Assumptions and Catalog'!$H$54+'Assumptions and Catalog'!$E$54+'Assumptions and Catalog'!$F$54,IF(L416&lt;='Assumptions and Catalog'!$C$55,L416*'Assumptions and Catalog'!$H$55+'Assumptions and Catalog'!$E$55+'Assumptions and Catalog'!$F$55,IF(L416&lt;='Assumptions and Catalog'!$C$56,L416*'Assumptions and Catalog'!$H$56+'Assumptions and Catalog'!$E$56+'Assumptions and Catalog'!$F$56,IF(L416&lt;='Assumptions and Catalog'!$C$57,L416*'Assumptions and Catalog'!$H$57+'Assumptions and Catalog'!$E$57+'Assumptions and Catalog'!$F$57,"Out of range")))))))),IF(L416&lt;='Assumptions and Catalog'!$C$60,L416*'Assumptions and Catalog'!$H$60+'Assumptions and Catalog'!$E$60+'Assumptions and Catalog'!$F$60,IF(L416&lt;='Assumptions and Catalog'!$C$61,L416*'Assumptions and Catalog'!$H$61+'Assumptions and Catalog'!$E$61+'Assumptions and Catalog'!$F$61,IF(L416&lt;='Assumptions and Catalog'!$C$62,L416*'Assumptions and Catalog'!$H$62+'Assumptions and Catalog'!$E$62+'Assumptions and Catalog'!$F$62,IF(L416&lt;='Assumptions and Catalog'!$C$63,L416*'Assumptions and Catalog'!$H$63+'Assumptions and Catalog'!$E$63+'Assumptions and Catalog'!$F$63,IF(L416&lt;='Assumptions and Catalog'!$C$64,L416*'Assumptions and Catalog'!$H$64+'Assumptions and Catalog'!$E$64+'Assumptions and Catalog'!$F$64,IF(L416&lt;='Assumptions and Catalog'!$C$65,L416*'Assumptions and Catalog'!$H$65+'Assumptions and Catalog'!$E$65+'Assumptions and Catalog'!$F$65,"Out of range")))))))))*(1+'Assumptions and Catalog'!$C$8)^(A416-1),0)</f>
        <v>8279</v>
      </c>
      <c r="O416" s="5">
        <f t="shared" si="35"/>
        <v>0</v>
      </c>
      <c r="P416" s="5">
        <f>D$55*(1-K$14)*(1-'Assumptions and Catalog'!$C$23)^R416</f>
        <v>0</v>
      </c>
      <c r="Q416" s="5">
        <f>IF(ISNUMBER(Inputs!$L$5),(IF(Inputs!$L$9="Actual flat rate",((D416+E416)*C416-G416)*Inputs!$L$10,IF(Inputs!$C$9="Residential",IF(((D416+E416)*C416-G416)&lt;='Assumptions and Catalog'!$C$50,((D416+E416)*C416-G416)*'Assumptions and Catalog'!$H$50+'Assumptions and Catalog'!$E$50+'Assumptions and Catalog'!$F$50,IF(((D416+E416)*C416-G416)&lt;='Assumptions and Catalog'!$C$51,((D416+E416)*C416-G416)*'Assumptions and Catalog'!$H$51+'Assumptions and Catalog'!$E$51+'Assumptions and Catalog'!$F$51,IF(((D416+E416)*C416-G416)&lt;='Assumptions and Catalog'!$C$52,((D416+E416)*C416-G416)*'Assumptions and Catalog'!$H$52+'Assumptions and Catalog'!$E$52+'Assumptions and Catalog'!$F$52,IF(((D416+E416)*C416-G416)&lt;='Assumptions and Catalog'!$C$53,((D416+E416)*C416-G416)*'Assumptions and Catalog'!$H$53+'Assumptions and Catalog'!$E$53+'Assumptions and Catalog'!$F$53,IF(((D416+E416)*C416-G416)&lt;='Assumptions and Catalog'!$C$54,((D416+E416)*C416-G416)*'Assumptions and Catalog'!$H$54+'Assumptions and Catalog'!$E$54+'Assumptions and Catalog'!$F$54,IF(((D416+E416)*C416-G416)&lt;='Assumptions and Catalog'!$C$55,((D416+E416)*C416-G416)*'Assumptions and Catalog'!$H$55+'Assumptions and Catalog'!$E$55+'Assumptions and Catalog'!$F$55,IF(((D416+E416)*C416-G416)&lt;='Assumptions and Catalog'!$C$56,((D416+E416)*C416-G416)*'Assumptions and Catalog'!$H$56+'Assumptions and Catalog'!$E$56+'Assumptions and Catalog'!$F$56,IF(((D416+E416)*C416-G416)&lt;='Assumptions and Catalog'!$C$57,((D416+E416)*C416-G416)*'Assumptions and Catalog'!$H$57+'Assumptions and Catalog'!$E$57+'Assumptions and Catalog'!$F$57,"Out of range")))))))),IF(((D416+E416)*C416-G416)&lt;='Assumptions and Catalog'!$C$60,((D416+E416)*C416-G416)*'Assumptions and Catalog'!$H$60+'Assumptions and Catalog'!$E$60+'Assumptions and Catalog'!$F$60,IF(((D416+E416)*C416-G416)&lt;='Assumptions and Catalog'!$C$61,((D416+E416)*C416-G416)*'Assumptions and Catalog'!$H$61+'Assumptions and Catalog'!$E$61+'Assumptions and Catalog'!$F$61,IF(((D416+E416)*C416-G416)&lt;='Assumptions and Catalog'!$C$62,((D416+E416)*C416-G416)*'Assumptions and Catalog'!$H$62+'Assumptions and Catalog'!$E$62+'Assumptions and Catalog'!$F$62,IF(((D416+E416)*C416-G416)&lt;='Assumptions and Catalog'!$C$63,((D416+E416)*C416-G416)*'Assumptions and Catalog'!$H$63+'Assumptions and Catalog'!$E$63+'Assumptions and Catalog'!$F$63,IF(((D416+E416)*C416-G416)&lt;='Assumptions and Catalog'!$C$64,((D416+E416)*C416-G416)*'Assumptions and Catalog'!$H$64+'Assumptions and Catalog'!$E$64+'Assumptions and Catalog'!$F$64,IF(((D416+E416)*C416-G416)&lt;='Assumptions and Catalog'!$C$65,((D416+E416)*C416-G416)*'Assumptions and Catalog'!$H$65+'Assumptions and Catalog'!$E$65+'Assumptions and Catalog'!$F$65,"Out of range")))))))))*(1+'Assumptions and Catalog'!$C$8)^(A416-1),0)</f>
        <v>8279</v>
      </c>
      <c r="R416" s="5">
        <f>IF(AND('Assumptions and Catalog'!$C$19&gt;0,A416&gt;='Assumptions and Catalog'!$C$19),A416-'Assumptions and Catalog'!$C$19,A416-1)</f>
        <v>0</v>
      </c>
      <c r="S416" s="5">
        <f>F416+L416-(D416+E416)*C416-J416-K416-IF(D$52&gt;0,'Assumptions and Catalog'!$C$26*C416,0)</f>
        <v>0</v>
      </c>
      <c r="T416" s="5"/>
      <c r="U416" s="5"/>
    </row>
    <row r="417" spans="1:21" ht="23.1" customHeight="1" outlineLevel="1" x14ac:dyDescent="0.2">
      <c r="A417" s="5">
        <v>1</v>
      </c>
      <c r="B417" s="5">
        <v>7</v>
      </c>
      <c r="C417" s="5">
        <f>DAY(DATE('Assumptions and Catalog'!$C$24+A417-1,B417+1,0))</f>
        <v>31</v>
      </c>
      <c r="D417" s="5">
        <f>IF(ISNUMBER(Inputs!$L$5),Inputs!$L$5*Inputs!$L$6,0)</f>
        <v>40.35</v>
      </c>
      <c r="E417" s="5">
        <f>IF(ISNUMBER(Inputs!$L$5),Inputs!$L$5-D417,0)</f>
        <v>40.35</v>
      </c>
      <c r="F417" s="5">
        <f>D$51*'Assumptions and Catalog'!$C$31*C417*(1-'Assumptions and Catalog'!$C$10)^(A417-1)</f>
        <v>0</v>
      </c>
      <c r="G417" s="5">
        <f t="shared" si="32"/>
        <v>0</v>
      </c>
      <c r="H417" s="5">
        <f>I417/('Assumptions and Catalog'!$C$11*'Assumptions and Catalog'!$C$12)</f>
        <v>0</v>
      </c>
      <c r="I417" s="5">
        <f>IF(K$15="Grid cycle",MIN(K$16,D417+E417,P417*'Assumptions and Catalog'!$C$12,D$57*(24-'Assumptions and Catalog'!$C$15),D$56*'Assumptions and Catalog'!$C$15*'Assumptions and Catalog'!$C$11*'Assumptions and Catalog'!$C$12)*C417,0)</f>
        <v>0</v>
      </c>
      <c r="J417" s="5">
        <f t="shared" si="33"/>
        <v>0</v>
      </c>
      <c r="K417" s="5">
        <f t="shared" si="34"/>
        <v>0</v>
      </c>
      <c r="L417" s="5">
        <f>(D417+E417)*C417-G417-I417+H417+IF(D$52&gt;0,'Assumptions and Catalog'!$C$26*C417,0)</f>
        <v>2501.7000000000003</v>
      </c>
      <c r="M417" s="5">
        <f>IF(ISNUMBER(Inputs!$L$5),(IF(Inputs!$L$9="Actual flat rate",((D417+E417)*C417)*Inputs!$L$10,IF(Inputs!$C$9="Residential",IF(((D417+E417)*C417)&lt;='Assumptions and Catalog'!$C$50,((D417+E417)*C417)*'Assumptions and Catalog'!$H$50+'Assumptions and Catalog'!$E$50+'Assumptions and Catalog'!$F$50,IF(((D417+E417)*C417)&lt;='Assumptions and Catalog'!$C$51,((D417+E417)*C417)*'Assumptions and Catalog'!$H$51+'Assumptions and Catalog'!$E$51+'Assumptions and Catalog'!$F$51,IF(((D417+E417)*C417)&lt;='Assumptions and Catalog'!$C$52,((D417+E417)*C417)*'Assumptions and Catalog'!$H$52+'Assumptions and Catalog'!$E$52+'Assumptions and Catalog'!$F$52,IF(((D417+E417)*C417)&lt;='Assumptions and Catalog'!$C$53,((D417+E417)*C417)*'Assumptions and Catalog'!$H$53+'Assumptions and Catalog'!$E$53+'Assumptions and Catalog'!$F$53,IF(((D417+E417)*C417)&lt;='Assumptions and Catalog'!$C$54,((D417+E417)*C417)*'Assumptions and Catalog'!$H$54+'Assumptions and Catalog'!$E$54+'Assumptions and Catalog'!$F$54,IF(((D417+E417)*C417)&lt;='Assumptions and Catalog'!$C$55,((D417+E417)*C417)*'Assumptions and Catalog'!$H$55+'Assumptions and Catalog'!$E$55+'Assumptions and Catalog'!$F$55,IF(((D417+E417)*C417)&lt;='Assumptions and Catalog'!$C$56,((D417+E417)*C417)*'Assumptions and Catalog'!$H$56+'Assumptions and Catalog'!$E$56+'Assumptions and Catalog'!$F$56,IF(((D417+E417)*C417)&lt;='Assumptions and Catalog'!$C$57,((D417+E417)*C417)*'Assumptions and Catalog'!$H$57+'Assumptions and Catalog'!$E$57+'Assumptions and Catalog'!$F$57,"Out of range")))))))),IF(((D417+E417)*C417)&lt;='Assumptions and Catalog'!$C$60,((D417+E417)*C417)*'Assumptions and Catalog'!$H$60+'Assumptions and Catalog'!$E$60+'Assumptions and Catalog'!$F$60,IF(((D417+E417)*C417)&lt;='Assumptions and Catalog'!$C$61,((D417+E417)*C417)*'Assumptions and Catalog'!$H$61+'Assumptions and Catalog'!$E$61+'Assumptions and Catalog'!$F$61,IF(((D417+E417)*C417)&lt;='Assumptions and Catalog'!$C$62,((D417+E417)*C417)*'Assumptions and Catalog'!$H$62+'Assumptions and Catalog'!$E$62+'Assumptions and Catalog'!$F$62,IF(((D417+E417)*C417)&lt;='Assumptions and Catalog'!$C$63,((D417+E417)*C417)*'Assumptions and Catalog'!$H$63+'Assumptions and Catalog'!$E$63+'Assumptions and Catalog'!$F$63,IF(((D417+E417)*C417)&lt;='Assumptions and Catalog'!$C$64,((D417+E417)*C417)*'Assumptions and Catalog'!$H$64+'Assumptions and Catalog'!$E$64+'Assumptions and Catalog'!$F$64,IF(((D417+E417)*C417)&lt;='Assumptions and Catalog'!$C$65,((D417+E417)*C417)*'Assumptions and Catalog'!$H$65+'Assumptions and Catalog'!$E$65+'Assumptions and Catalog'!$F$65,"Out of range")))))))))*(1+'Assumptions and Catalog'!$C$8)^(A417-1),0)</f>
        <v>8554.9666666666672</v>
      </c>
      <c r="N417" s="5">
        <f>IF(ISNUMBER(Inputs!$L$5),(IF(Inputs!$L$9="Actual flat rate",L417*Inputs!$L$10,IF(Inputs!$C$9="Residential",IF(L417&lt;='Assumptions and Catalog'!$C$50,L417*'Assumptions and Catalog'!$H$50+'Assumptions and Catalog'!$E$50+'Assumptions and Catalog'!$F$50,IF(L417&lt;='Assumptions and Catalog'!$C$51,L417*'Assumptions and Catalog'!$H$51+'Assumptions and Catalog'!$E$51+'Assumptions and Catalog'!$F$51,IF(L417&lt;='Assumptions and Catalog'!$C$52,L417*'Assumptions and Catalog'!$H$52+'Assumptions and Catalog'!$E$52+'Assumptions and Catalog'!$F$52,IF(L417&lt;='Assumptions and Catalog'!$C$53,L417*'Assumptions and Catalog'!$H$53+'Assumptions and Catalog'!$E$53+'Assumptions and Catalog'!$F$53,IF(L417&lt;='Assumptions and Catalog'!$C$54,L417*'Assumptions and Catalog'!$H$54+'Assumptions and Catalog'!$E$54+'Assumptions and Catalog'!$F$54,IF(L417&lt;='Assumptions and Catalog'!$C$55,L417*'Assumptions and Catalog'!$H$55+'Assumptions and Catalog'!$E$55+'Assumptions and Catalog'!$F$55,IF(L417&lt;='Assumptions and Catalog'!$C$56,L417*'Assumptions and Catalog'!$H$56+'Assumptions and Catalog'!$E$56+'Assumptions and Catalog'!$F$56,IF(L417&lt;='Assumptions and Catalog'!$C$57,L417*'Assumptions and Catalog'!$H$57+'Assumptions and Catalog'!$E$57+'Assumptions and Catalog'!$F$57,"Out of range")))))))),IF(L417&lt;='Assumptions and Catalog'!$C$60,L417*'Assumptions and Catalog'!$H$60+'Assumptions and Catalog'!$E$60+'Assumptions and Catalog'!$F$60,IF(L417&lt;='Assumptions and Catalog'!$C$61,L417*'Assumptions and Catalog'!$H$61+'Assumptions and Catalog'!$E$61+'Assumptions and Catalog'!$F$61,IF(L417&lt;='Assumptions and Catalog'!$C$62,L417*'Assumptions and Catalog'!$H$62+'Assumptions and Catalog'!$E$62+'Assumptions and Catalog'!$F$62,IF(L417&lt;='Assumptions and Catalog'!$C$63,L417*'Assumptions and Catalog'!$H$63+'Assumptions and Catalog'!$E$63+'Assumptions and Catalog'!$F$63,IF(L417&lt;='Assumptions and Catalog'!$C$64,L417*'Assumptions and Catalog'!$H$64+'Assumptions and Catalog'!$E$64+'Assumptions and Catalog'!$F$64,IF(L417&lt;='Assumptions and Catalog'!$C$65,L417*'Assumptions and Catalog'!$H$65+'Assumptions and Catalog'!$E$65+'Assumptions and Catalog'!$F$65,"Out of range")))))))))*(1+'Assumptions and Catalog'!$C$8)^(A417-1),0)</f>
        <v>8554.9666666666672</v>
      </c>
      <c r="O417" s="5">
        <f t="shared" si="35"/>
        <v>0</v>
      </c>
      <c r="P417" s="5">
        <f>D$55*(1-K$14)*(1-'Assumptions and Catalog'!$C$23)^R417</f>
        <v>0</v>
      </c>
      <c r="Q417" s="5">
        <f>IF(ISNUMBER(Inputs!$L$5),(IF(Inputs!$L$9="Actual flat rate",((D417+E417)*C417-G417)*Inputs!$L$10,IF(Inputs!$C$9="Residential",IF(((D417+E417)*C417-G417)&lt;='Assumptions and Catalog'!$C$50,((D417+E417)*C417-G417)*'Assumptions and Catalog'!$H$50+'Assumptions and Catalog'!$E$50+'Assumptions and Catalog'!$F$50,IF(((D417+E417)*C417-G417)&lt;='Assumptions and Catalog'!$C$51,((D417+E417)*C417-G417)*'Assumptions and Catalog'!$H$51+'Assumptions and Catalog'!$E$51+'Assumptions and Catalog'!$F$51,IF(((D417+E417)*C417-G417)&lt;='Assumptions and Catalog'!$C$52,((D417+E417)*C417-G417)*'Assumptions and Catalog'!$H$52+'Assumptions and Catalog'!$E$52+'Assumptions and Catalog'!$F$52,IF(((D417+E417)*C417-G417)&lt;='Assumptions and Catalog'!$C$53,((D417+E417)*C417-G417)*'Assumptions and Catalog'!$H$53+'Assumptions and Catalog'!$E$53+'Assumptions and Catalog'!$F$53,IF(((D417+E417)*C417-G417)&lt;='Assumptions and Catalog'!$C$54,((D417+E417)*C417-G417)*'Assumptions and Catalog'!$H$54+'Assumptions and Catalog'!$E$54+'Assumptions and Catalog'!$F$54,IF(((D417+E417)*C417-G417)&lt;='Assumptions and Catalog'!$C$55,((D417+E417)*C417-G417)*'Assumptions and Catalog'!$H$55+'Assumptions and Catalog'!$E$55+'Assumptions and Catalog'!$F$55,IF(((D417+E417)*C417-G417)&lt;='Assumptions and Catalog'!$C$56,((D417+E417)*C417-G417)*'Assumptions and Catalog'!$H$56+'Assumptions and Catalog'!$E$56+'Assumptions and Catalog'!$F$56,IF(((D417+E417)*C417-G417)&lt;='Assumptions and Catalog'!$C$57,((D417+E417)*C417-G417)*'Assumptions and Catalog'!$H$57+'Assumptions and Catalog'!$E$57+'Assumptions and Catalog'!$F$57,"Out of range")))))))),IF(((D417+E417)*C417-G417)&lt;='Assumptions and Catalog'!$C$60,((D417+E417)*C417-G417)*'Assumptions and Catalog'!$H$60+'Assumptions and Catalog'!$E$60+'Assumptions and Catalog'!$F$60,IF(((D417+E417)*C417-G417)&lt;='Assumptions and Catalog'!$C$61,((D417+E417)*C417-G417)*'Assumptions and Catalog'!$H$61+'Assumptions and Catalog'!$E$61+'Assumptions and Catalog'!$F$61,IF(((D417+E417)*C417-G417)&lt;='Assumptions and Catalog'!$C$62,((D417+E417)*C417-G417)*'Assumptions and Catalog'!$H$62+'Assumptions and Catalog'!$E$62+'Assumptions and Catalog'!$F$62,IF(((D417+E417)*C417-G417)&lt;='Assumptions and Catalog'!$C$63,((D417+E417)*C417-G417)*'Assumptions and Catalog'!$H$63+'Assumptions and Catalog'!$E$63+'Assumptions and Catalog'!$F$63,IF(((D417+E417)*C417-G417)&lt;='Assumptions and Catalog'!$C$64,((D417+E417)*C417-G417)*'Assumptions and Catalog'!$H$64+'Assumptions and Catalog'!$E$64+'Assumptions and Catalog'!$F$64,IF(((D417+E417)*C417-G417)&lt;='Assumptions and Catalog'!$C$65,((D417+E417)*C417-G417)*'Assumptions and Catalog'!$H$65+'Assumptions and Catalog'!$E$65+'Assumptions and Catalog'!$F$65,"Out of range")))))))))*(1+'Assumptions and Catalog'!$C$8)^(A417-1),0)</f>
        <v>8554.9666666666672</v>
      </c>
      <c r="R417" s="5">
        <f>IF(AND('Assumptions and Catalog'!$C$19&gt;0,A417&gt;='Assumptions and Catalog'!$C$19),A417-'Assumptions and Catalog'!$C$19,A417-1)</f>
        <v>0</v>
      </c>
      <c r="S417" s="5">
        <f>F417+L417-(D417+E417)*C417-J417-K417-IF(D$52&gt;0,'Assumptions and Catalog'!$C$26*C417,0)</f>
        <v>0</v>
      </c>
      <c r="T417" s="5"/>
      <c r="U417" s="5"/>
    </row>
    <row r="418" spans="1:21" ht="23.1" customHeight="1" outlineLevel="1" x14ac:dyDescent="0.2">
      <c r="A418" s="5">
        <v>1</v>
      </c>
      <c r="B418" s="5">
        <v>8</v>
      </c>
      <c r="C418" s="5">
        <f>DAY(DATE('Assumptions and Catalog'!$C$24+A418-1,B418+1,0))</f>
        <v>31</v>
      </c>
      <c r="D418" s="5">
        <f>IF(ISNUMBER(Inputs!$L$5),Inputs!$L$5*Inputs!$L$6,0)</f>
        <v>40.35</v>
      </c>
      <c r="E418" s="5">
        <f>IF(ISNUMBER(Inputs!$L$5),Inputs!$L$5-D418,0)</f>
        <v>40.35</v>
      </c>
      <c r="F418" s="5">
        <f>D$51*'Assumptions and Catalog'!$C$31*C418*(1-'Assumptions and Catalog'!$C$10)^(A418-1)</f>
        <v>0</v>
      </c>
      <c r="G418" s="5">
        <f t="shared" si="32"/>
        <v>0</v>
      </c>
      <c r="H418" s="5">
        <f>I418/('Assumptions and Catalog'!$C$11*'Assumptions and Catalog'!$C$12)</f>
        <v>0</v>
      </c>
      <c r="I418" s="5">
        <f>IF(K$15="Grid cycle",MIN(K$16,D418+E418,P418*'Assumptions and Catalog'!$C$12,D$57*(24-'Assumptions and Catalog'!$C$15),D$56*'Assumptions and Catalog'!$C$15*'Assumptions and Catalog'!$C$11*'Assumptions and Catalog'!$C$12)*C418,0)</f>
        <v>0</v>
      </c>
      <c r="J418" s="5">
        <f t="shared" si="33"/>
        <v>0</v>
      </c>
      <c r="K418" s="5">
        <f t="shared" si="34"/>
        <v>0</v>
      </c>
      <c r="L418" s="5">
        <f>(D418+E418)*C418-G418-I418+H418+IF(D$52&gt;0,'Assumptions and Catalog'!$C$26*C418,0)</f>
        <v>2501.7000000000003</v>
      </c>
      <c r="M418" s="5">
        <f>IF(ISNUMBER(Inputs!$L$5),(IF(Inputs!$L$9="Actual flat rate",((D418+E418)*C418)*Inputs!$L$10,IF(Inputs!$C$9="Residential",IF(((D418+E418)*C418)&lt;='Assumptions and Catalog'!$C$50,((D418+E418)*C418)*'Assumptions and Catalog'!$H$50+'Assumptions and Catalog'!$E$50+'Assumptions and Catalog'!$F$50,IF(((D418+E418)*C418)&lt;='Assumptions and Catalog'!$C$51,((D418+E418)*C418)*'Assumptions and Catalog'!$H$51+'Assumptions and Catalog'!$E$51+'Assumptions and Catalog'!$F$51,IF(((D418+E418)*C418)&lt;='Assumptions and Catalog'!$C$52,((D418+E418)*C418)*'Assumptions and Catalog'!$H$52+'Assumptions and Catalog'!$E$52+'Assumptions and Catalog'!$F$52,IF(((D418+E418)*C418)&lt;='Assumptions and Catalog'!$C$53,((D418+E418)*C418)*'Assumptions and Catalog'!$H$53+'Assumptions and Catalog'!$E$53+'Assumptions and Catalog'!$F$53,IF(((D418+E418)*C418)&lt;='Assumptions and Catalog'!$C$54,((D418+E418)*C418)*'Assumptions and Catalog'!$H$54+'Assumptions and Catalog'!$E$54+'Assumptions and Catalog'!$F$54,IF(((D418+E418)*C418)&lt;='Assumptions and Catalog'!$C$55,((D418+E418)*C418)*'Assumptions and Catalog'!$H$55+'Assumptions and Catalog'!$E$55+'Assumptions and Catalog'!$F$55,IF(((D418+E418)*C418)&lt;='Assumptions and Catalog'!$C$56,((D418+E418)*C418)*'Assumptions and Catalog'!$H$56+'Assumptions and Catalog'!$E$56+'Assumptions and Catalog'!$F$56,IF(((D418+E418)*C418)&lt;='Assumptions and Catalog'!$C$57,((D418+E418)*C418)*'Assumptions and Catalog'!$H$57+'Assumptions and Catalog'!$E$57+'Assumptions and Catalog'!$F$57,"Out of range")))))))),IF(((D418+E418)*C418)&lt;='Assumptions and Catalog'!$C$60,((D418+E418)*C418)*'Assumptions and Catalog'!$H$60+'Assumptions and Catalog'!$E$60+'Assumptions and Catalog'!$F$60,IF(((D418+E418)*C418)&lt;='Assumptions and Catalog'!$C$61,((D418+E418)*C418)*'Assumptions and Catalog'!$H$61+'Assumptions and Catalog'!$E$61+'Assumptions and Catalog'!$F$61,IF(((D418+E418)*C418)&lt;='Assumptions and Catalog'!$C$62,((D418+E418)*C418)*'Assumptions and Catalog'!$H$62+'Assumptions and Catalog'!$E$62+'Assumptions and Catalog'!$F$62,IF(((D418+E418)*C418)&lt;='Assumptions and Catalog'!$C$63,((D418+E418)*C418)*'Assumptions and Catalog'!$H$63+'Assumptions and Catalog'!$E$63+'Assumptions and Catalog'!$F$63,IF(((D418+E418)*C418)&lt;='Assumptions and Catalog'!$C$64,((D418+E418)*C418)*'Assumptions and Catalog'!$H$64+'Assumptions and Catalog'!$E$64+'Assumptions and Catalog'!$F$64,IF(((D418+E418)*C418)&lt;='Assumptions and Catalog'!$C$65,((D418+E418)*C418)*'Assumptions and Catalog'!$H$65+'Assumptions and Catalog'!$E$65+'Assumptions and Catalog'!$F$65,"Out of range")))))))))*(1+'Assumptions and Catalog'!$C$8)^(A418-1),0)</f>
        <v>8554.9666666666672</v>
      </c>
      <c r="N418" s="5">
        <f>IF(ISNUMBER(Inputs!$L$5),(IF(Inputs!$L$9="Actual flat rate",L418*Inputs!$L$10,IF(Inputs!$C$9="Residential",IF(L418&lt;='Assumptions and Catalog'!$C$50,L418*'Assumptions and Catalog'!$H$50+'Assumptions and Catalog'!$E$50+'Assumptions and Catalog'!$F$50,IF(L418&lt;='Assumptions and Catalog'!$C$51,L418*'Assumptions and Catalog'!$H$51+'Assumptions and Catalog'!$E$51+'Assumptions and Catalog'!$F$51,IF(L418&lt;='Assumptions and Catalog'!$C$52,L418*'Assumptions and Catalog'!$H$52+'Assumptions and Catalog'!$E$52+'Assumptions and Catalog'!$F$52,IF(L418&lt;='Assumptions and Catalog'!$C$53,L418*'Assumptions and Catalog'!$H$53+'Assumptions and Catalog'!$E$53+'Assumptions and Catalog'!$F$53,IF(L418&lt;='Assumptions and Catalog'!$C$54,L418*'Assumptions and Catalog'!$H$54+'Assumptions and Catalog'!$E$54+'Assumptions and Catalog'!$F$54,IF(L418&lt;='Assumptions and Catalog'!$C$55,L418*'Assumptions and Catalog'!$H$55+'Assumptions and Catalog'!$E$55+'Assumptions and Catalog'!$F$55,IF(L418&lt;='Assumptions and Catalog'!$C$56,L418*'Assumptions and Catalog'!$H$56+'Assumptions and Catalog'!$E$56+'Assumptions and Catalog'!$F$56,IF(L418&lt;='Assumptions and Catalog'!$C$57,L418*'Assumptions and Catalog'!$H$57+'Assumptions and Catalog'!$E$57+'Assumptions and Catalog'!$F$57,"Out of range")))))))),IF(L418&lt;='Assumptions and Catalog'!$C$60,L418*'Assumptions and Catalog'!$H$60+'Assumptions and Catalog'!$E$60+'Assumptions and Catalog'!$F$60,IF(L418&lt;='Assumptions and Catalog'!$C$61,L418*'Assumptions and Catalog'!$H$61+'Assumptions and Catalog'!$E$61+'Assumptions and Catalog'!$F$61,IF(L418&lt;='Assumptions and Catalog'!$C$62,L418*'Assumptions and Catalog'!$H$62+'Assumptions and Catalog'!$E$62+'Assumptions and Catalog'!$F$62,IF(L418&lt;='Assumptions and Catalog'!$C$63,L418*'Assumptions and Catalog'!$H$63+'Assumptions and Catalog'!$E$63+'Assumptions and Catalog'!$F$63,IF(L418&lt;='Assumptions and Catalog'!$C$64,L418*'Assumptions and Catalog'!$H$64+'Assumptions and Catalog'!$E$64+'Assumptions and Catalog'!$F$64,IF(L418&lt;='Assumptions and Catalog'!$C$65,L418*'Assumptions and Catalog'!$H$65+'Assumptions and Catalog'!$E$65+'Assumptions and Catalog'!$F$65,"Out of range")))))))))*(1+'Assumptions and Catalog'!$C$8)^(A418-1),0)</f>
        <v>8554.9666666666672</v>
      </c>
      <c r="O418" s="5">
        <f t="shared" si="35"/>
        <v>0</v>
      </c>
      <c r="P418" s="5">
        <f>D$55*(1-K$14)*(1-'Assumptions and Catalog'!$C$23)^R418</f>
        <v>0</v>
      </c>
      <c r="Q418" s="5">
        <f>IF(ISNUMBER(Inputs!$L$5),(IF(Inputs!$L$9="Actual flat rate",((D418+E418)*C418-G418)*Inputs!$L$10,IF(Inputs!$C$9="Residential",IF(((D418+E418)*C418-G418)&lt;='Assumptions and Catalog'!$C$50,((D418+E418)*C418-G418)*'Assumptions and Catalog'!$H$50+'Assumptions and Catalog'!$E$50+'Assumptions and Catalog'!$F$50,IF(((D418+E418)*C418-G418)&lt;='Assumptions and Catalog'!$C$51,((D418+E418)*C418-G418)*'Assumptions and Catalog'!$H$51+'Assumptions and Catalog'!$E$51+'Assumptions and Catalog'!$F$51,IF(((D418+E418)*C418-G418)&lt;='Assumptions and Catalog'!$C$52,((D418+E418)*C418-G418)*'Assumptions and Catalog'!$H$52+'Assumptions and Catalog'!$E$52+'Assumptions and Catalog'!$F$52,IF(((D418+E418)*C418-G418)&lt;='Assumptions and Catalog'!$C$53,((D418+E418)*C418-G418)*'Assumptions and Catalog'!$H$53+'Assumptions and Catalog'!$E$53+'Assumptions and Catalog'!$F$53,IF(((D418+E418)*C418-G418)&lt;='Assumptions and Catalog'!$C$54,((D418+E418)*C418-G418)*'Assumptions and Catalog'!$H$54+'Assumptions and Catalog'!$E$54+'Assumptions and Catalog'!$F$54,IF(((D418+E418)*C418-G418)&lt;='Assumptions and Catalog'!$C$55,((D418+E418)*C418-G418)*'Assumptions and Catalog'!$H$55+'Assumptions and Catalog'!$E$55+'Assumptions and Catalog'!$F$55,IF(((D418+E418)*C418-G418)&lt;='Assumptions and Catalog'!$C$56,((D418+E418)*C418-G418)*'Assumptions and Catalog'!$H$56+'Assumptions and Catalog'!$E$56+'Assumptions and Catalog'!$F$56,IF(((D418+E418)*C418-G418)&lt;='Assumptions and Catalog'!$C$57,((D418+E418)*C418-G418)*'Assumptions and Catalog'!$H$57+'Assumptions and Catalog'!$E$57+'Assumptions and Catalog'!$F$57,"Out of range")))))))),IF(((D418+E418)*C418-G418)&lt;='Assumptions and Catalog'!$C$60,((D418+E418)*C418-G418)*'Assumptions and Catalog'!$H$60+'Assumptions and Catalog'!$E$60+'Assumptions and Catalog'!$F$60,IF(((D418+E418)*C418-G418)&lt;='Assumptions and Catalog'!$C$61,((D418+E418)*C418-G418)*'Assumptions and Catalog'!$H$61+'Assumptions and Catalog'!$E$61+'Assumptions and Catalog'!$F$61,IF(((D418+E418)*C418-G418)&lt;='Assumptions and Catalog'!$C$62,((D418+E418)*C418-G418)*'Assumptions and Catalog'!$H$62+'Assumptions and Catalog'!$E$62+'Assumptions and Catalog'!$F$62,IF(((D418+E418)*C418-G418)&lt;='Assumptions and Catalog'!$C$63,((D418+E418)*C418-G418)*'Assumptions and Catalog'!$H$63+'Assumptions and Catalog'!$E$63+'Assumptions and Catalog'!$F$63,IF(((D418+E418)*C418-G418)&lt;='Assumptions and Catalog'!$C$64,((D418+E418)*C418-G418)*'Assumptions and Catalog'!$H$64+'Assumptions and Catalog'!$E$64+'Assumptions and Catalog'!$F$64,IF(((D418+E418)*C418-G418)&lt;='Assumptions and Catalog'!$C$65,((D418+E418)*C418-G418)*'Assumptions and Catalog'!$H$65+'Assumptions and Catalog'!$E$65+'Assumptions and Catalog'!$F$65,"Out of range")))))))))*(1+'Assumptions and Catalog'!$C$8)^(A418-1),0)</f>
        <v>8554.9666666666672</v>
      </c>
      <c r="R418" s="5">
        <f>IF(AND('Assumptions and Catalog'!$C$19&gt;0,A418&gt;='Assumptions and Catalog'!$C$19),A418-'Assumptions and Catalog'!$C$19,A418-1)</f>
        <v>0</v>
      </c>
      <c r="S418" s="5">
        <f>F418+L418-(D418+E418)*C418-J418-K418-IF(D$52&gt;0,'Assumptions and Catalog'!$C$26*C418,0)</f>
        <v>0</v>
      </c>
      <c r="T418" s="5"/>
      <c r="U418" s="5"/>
    </row>
    <row r="419" spans="1:21" ht="23.1" customHeight="1" outlineLevel="1" x14ac:dyDescent="0.2">
      <c r="A419" s="5">
        <v>1</v>
      </c>
      <c r="B419" s="5">
        <v>9</v>
      </c>
      <c r="C419" s="5">
        <f>DAY(DATE('Assumptions and Catalog'!$C$24+A419-1,B419+1,0))</f>
        <v>30</v>
      </c>
      <c r="D419" s="5">
        <f>IF(ISNUMBER(Inputs!$L$5),Inputs!$L$5*Inputs!$L$6,0)</f>
        <v>40.35</v>
      </c>
      <c r="E419" s="5">
        <f>IF(ISNUMBER(Inputs!$L$5),Inputs!$L$5-D419,0)</f>
        <v>40.35</v>
      </c>
      <c r="F419" s="5">
        <f>D$51*'Assumptions and Catalog'!$C$31*C419*(1-'Assumptions and Catalog'!$C$10)^(A419-1)</f>
        <v>0</v>
      </c>
      <c r="G419" s="5">
        <f t="shared" si="32"/>
        <v>0</v>
      </c>
      <c r="H419" s="5">
        <f>I419/('Assumptions and Catalog'!$C$11*'Assumptions and Catalog'!$C$12)</f>
        <v>0</v>
      </c>
      <c r="I419" s="5">
        <f>IF(K$15="Grid cycle",MIN(K$16,D419+E419,P419*'Assumptions and Catalog'!$C$12,D$57*(24-'Assumptions and Catalog'!$C$15),D$56*'Assumptions and Catalog'!$C$15*'Assumptions and Catalog'!$C$11*'Assumptions and Catalog'!$C$12)*C419,0)</f>
        <v>0</v>
      </c>
      <c r="J419" s="5">
        <f t="shared" si="33"/>
        <v>0</v>
      </c>
      <c r="K419" s="5">
        <f t="shared" si="34"/>
        <v>0</v>
      </c>
      <c r="L419" s="5">
        <f>(D419+E419)*C419-G419-I419+H419+IF(D$52&gt;0,'Assumptions and Catalog'!$C$26*C419,0)</f>
        <v>2421</v>
      </c>
      <c r="M419" s="5">
        <f>IF(ISNUMBER(Inputs!$L$5),(IF(Inputs!$L$9="Actual flat rate",((D419+E419)*C419)*Inputs!$L$10,IF(Inputs!$C$9="Residential",IF(((D419+E419)*C419)&lt;='Assumptions and Catalog'!$C$50,((D419+E419)*C419)*'Assumptions and Catalog'!$H$50+'Assumptions and Catalog'!$E$50+'Assumptions and Catalog'!$F$50,IF(((D419+E419)*C419)&lt;='Assumptions and Catalog'!$C$51,((D419+E419)*C419)*'Assumptions and Catalog'!$H$51+'Assumptions and Catalog'!$E$51+'Assumptions and Catalog'!$F$51,IF(((D419+E419)*C419)&lt;='Assumptions and Catalog'!$C$52,((D419+E419)*C419)*'Assumptions and Catalog'!$H$52+'Assumptions and Catalog'!$E$52+'Assumptions and Catalog'!$F$52,IF(((D419+E419)*C419)&lt;='Assumptions and Catalog'!$C$53,((D419+E419)*C419)*'Assumptions and Catalog'!$H$53+'Assumptions and Catalog'!$E$53+'Assumptions and Catalog'!$F$53,IF(((D419+E419)*C419)&lt;='Assumptions and Catalog'!$C$54,((D419+E419)*C419)*'Assumptions and Catalog'!$H$54+'Assumptions and Catalog'!$E$54+'Assumptions and Catalog'!$F$54,IF(((D419+E419)*C419)&lt;='Assumptions and Catalog'!$C$55,((D419+E419)*C419)*'Assumptions and Catalog'!$H$55+'Assumptions and Catalog'!$E$55+'Assumptions and Catalog'!$F$55,IF(((D419+E419)*C419)&lt;='Assumptions and Catalog'!$C$56,((D419+E419)*C419)*'Assumptions and Catalog'!$H$56+'Assumptions and Catalog'!$E$56+'Assumptions and Catalog'!$F$56,IF(((D419+E419)*C419)&lt;='Assumptions and Catalog'!$C$57,((D419+E419)*C419)*'Assumptions and Catalog'!$H$57+'Assumptions and Catalog'!$E$57+'Assumptions and Catalog'!$F$57,"Out of range")))))))),IF(((D419+E419)*C419)&lt;='Assumptions and Catalog'!$C$60,((D419+E419)*C419)*'Assumptions and Catalog'!$H$60+'Assumptions and Catalog'!$E$60+'Assumptions and Catalog'!$F$60,IF(((D419+E419)*C419)&lt;='Assumptions and Catalog'!$C$61,((D419+E419)*C419)*'Assumptions and Catalog'!$H$61+'Assumptions and Catalog'!$E$61+'Assumptions and Catalog'!$F$61,IF(((D419+E419)*C419)&lt;='Assumptions and Catalog'!$C$62,((D419+E419)*C419)*'Assumptions and Catalog'!$H$62+'Assumptions and Catalog'!$E$62+'Assumptions and Catalog'!$F$62,IF(((D419+E419)*C419)&lt;='Assumptions and Catalog'!$C$63,((D419+E419)*C419)*'Assumptions and Catalog'!$H$63+'Assumptions and Catalog'!$E$63+'Assumptions and Catalog'!$F$63,IF(((D419+E419)*C419)&lt;='Assumptions and Catalog'!$C$64,((D419+E419)*C419)*'Assumptions and Catalog'!$H$64+'Assumptions and Catalog'!$E$64+'Assumptions and Catalog'!$F$64,IF(((D419+E419)*C419)&lt;='Assumptions and Catalog'!$C$65,((D419+E419)*C419)*'Assumptions and Catalog'!$H$65+'Assumptions and Catalog'!$E$65+'Assumptions and Catalog'!$F$65,"Out of range")))))))))*(1+'Assumptions and Catalog'!$C$8)^(A419-1),0)</f>
        <v>8279</v>
      </c>
      <c r="N419" s="5">
        <f>IF(ISNUMBER(Inputs!$L$5),(IF(Inputs!$L$9="Actual flat rate",L419*Inputs!$L$10,IF(Inputs!$C$9="Residential",IF(L419&lt;='Assumptions and Catalog'!$C$50,L419*'Assumptions and Catalog'!$H$50+'Assumptions and Catalog'!$E$50+'Assumptions and Catalog'!$F$50,IF(L419&lt;='Assumptions and Catalog'!$C$51,L419*'Assumptions and Catalog'!$H$51+'Assumptions and Catalog'!$E$51+'Assumptions and Catalog'!$F$51,IF(L419&lt;='Assumptions and Catalog'!$C$52,L419*'Assumptions and Catalog'!$H$52+'Assumptions and Catalog'!$E$52+'Assumptions and Catalog'!$F$52,IF(L419&lt;='Assumptions and Catalog'!$C$53,L419*'Assumptions and Catalog'!$H$53+'Assumptions and Catalog'!$E$53+'Assumptions and Catalog'!$F$53,IF(L419&lt;='Assumptions and Catalog'!$C$54,L419*'Assumptions and Catalog'!$H$54+'Assumptions and Catalog'!$E$54+'Assumptions and Catalog'!$F$54,IF(L419&lt;='Assumptions and Catalog'!$C$55,L419*'Assumptions and Catalog'!$H$55+'Assumptions and Catalog'!$E$55+'Assumptions and Catalog'!$F$55,IF(L419&lt;='Assumptions and Catalog'!$C$56,L419*'Assumptions and Catalog'!$H$56+'Assumptions and Catalog'!$E$56+'Assumptions and Catalog'!$F$56,IF(L419&lt;='Assumptions and Catalog'!$C$57,L419*'Assumptions and Catalog'!$H$57+'Assumptions and Catalog'!$E$57+'Assumptions and Catalog'!$F$57,"Out of range")))))))),IF(L419&lt;='Assumptions and Catalog'!$C$60,L419*'Assumptions and Catalog'!$H$60+'Assumptions and Catalog'!$E$60+'Assumptions and Catalog'!$F$60,IF(L419&lt;='Assumptions and Catalog'!$C$61,L419*'Assumptions and Catalog'!$H$61+'Assumptions and Catalog'!$E$61+'Assumptions and Catalog'!$F$61,IF(L419&lt;='Assumptions and Catalog'!$C$62,L419*'Assumptions and Catalog'!$H$62+'Assumptions and Catalog'!$E$62+'Assumptions and Catalog'!$F$62,IF(L419&lt;='Assumptions and Catalog'!$C$63,L419*'Assumptions and Catalog'!$H$63+'Assumptions and Catalog'!$E$63+'Assumptions and Catalog'!$F$63,IF(L419&lt;='Assumptions and Catalog'!$C$64,L419*'Assumptions and Catalog'!$H$64+'Assumptions and Catalog'!$E$64+'Assumptions and Catalog'!$F$64,IF(L419&lt;='Assumptions and Catalog'!$C$65,L419*'Assumptions and Catalog'!$H$65+'Assumptions and Catalog'!$E$65+'Assumptions and Catalog'!$F$65,"Out of range")))))))))*(1+'Assumptions and Catalog'!$C$8)^(A419-1),0)</f>
        <v>8279</v>
      </c>
      <c r="O419" s="5">
        <f t="shared" si="35"/>
        <v>0</v>
      </c>
      <c r="P419" s="5">
        <f>D$55*(1-K$14)*(1-'Assumptions and Catalog'!$C$23)^R419</f>
        <v>0</v>
      </c>
      <c r="Q419" s="5">
        <f>IF(ISNUMBER(Inputs!$L$5),(IF(Inputs!$L$9="Actual flat rate",((D419+E419)*C419-G419)*Inputs!$L$10,IF(Inputs!$C$9="Residential",IF(((D419+E419)*C419-G419)&lt;='Assumptions and Catalog'!$C$50,((D419+E419)*C419-G419)*'Assumptions and Catalog'!$H$50+'Assumptions and Catalog'!$E$50+'Assumptions and Catalog'!$F$50,IF(((D419+E419)*C419-G419)&lt;='Assumptions and Catalog'!$C$51,((D419+E419)*C419-G419)*'Assumptions and Catalog'!$H$51+'Assumptions and Catalog'!$E$51+'Assumptions and Catalog'!$F$51,IF(((D419+E419)*C419-G419)&lt;='Assumptions and Catalog'!$C$52,((D419+E419)*C419-G419)*'Assumptions and Catalog'!$H$52+'Assumptions and Catalog'!$E$52+'Assumptions and Catalog'!$F$52,IF(((D419+E419)*C419-G419)&lt;='Assumptions and Catalog'!$C$53,((D419+E419)*C419-G419)*'Assumptions and Catalog'!$H$53+'Assumptions and Catalog'!$E$53+'Assumptions and Catalog'!$F$53,IF(((D419+E419)*C419-G419)&lt;='Assumptions and Catalog'!$C$54,((D419+E419)*C419-G419)*'Assumptions and Catalog'!$H$54+'Assumptions and Catalog'!$E$54+'Assumptions and Catalog'!$F$54,IF(((D419+E419)*C419-G419)&lt;='Assumptions and Catalog'!$C$55,((D419+E419)*C419-G419)*'Assumptions and Catalog'!$H$55+'Assumptions and Catalog'!$E$55+'Assumptions and Catalog'!$F$55,IF(((D419+E419)*C419-G419)&lt;='Assumptions and Catalog'!$C$56,((D419+E419)*C419-G419)*'Assumptions and Catalog'!$H$56+'Assumptions and Catalog'!$E$56+'Assumptions and Catalog'!$F$56,IF(((D419+E419)*C419-G419)&lt;='Assumptions and Catalog'!$C$57,((D419+E419)*C419-G419)*'Assumptions and Catalog'!$H$57+'Assumptions and Catalog'!$E$57+'Assumptions and Catalog'!$F$57,"Out of range")))))))),IF(((D419+E419)*C419-G419)&lt;='Assumptions and Catalog'!$C$60,((D419+E419)*C419-G419)*'Assumptions and Catalog'!$H$60+'Assumptions and Catalog'!$E$60+'Assumptions and Catalog'!$F$60,IF(((D419+E419)*C419-G419)&lt;='Assumptions and Catalog'!$C$61,((D419+E419)*C419-G419)*'Assumptions and Catalog'!$H$61+'Assumptions and Catalog'!$E$61+'Assumptions and Catalog'!$F$61,IF(((D419+E419)*C419-G419)&lt;='Assumptions and Catalog'!$C$62,((D419+E419)*C419-G419)*'Assumptions and Catalog'!$H$62+'Assumptions and Catalog'!$E$62+'Assumptions and Catalog'!$F$62,IF(((D419+E419)*C419-G419)&lt;='Assumptions and Catalog'!$C$63,((D419+E419)*C419-G419)*'Assumptions and Catalog'!$H$63+'Assumptions and Catalog'!$E$63+'Assumptions and Catalog'!$F$63,IF(((D419+E419)*C419-G419)&lt;='Assumptions and Catalog'!$C$64,((D419+E419)*C419-G419)*'Assumptions and Catalog'!$H$64+'Assumptions and Catalog'!$E$64+'Assumptions and Catalog'!$F$64,IF(((D419+E419)*C419-G419)&lt;='Assumptions and Catalog'!$C$65,((D419+E419)*C419-G419)*'Assumptions and Catalog'!$H$65+'Assumptions and Catalog'!$E$65+'Assumptions and Catalog'!$F$65,"Out of range")))))))))*(1+'Assumptions and Catalog'!$C$8)^(A419-1),0)</f>
        <v>8279</v>
      </c>
      <c r="R419" s="5">
        <f>IF(AND('Assumptions and Catalog'!$C$19&gt;0,A419&gt;='Assumptions and Catalog'!$C$19),A419-'Assumptions and Catalog'!$C$19,A419-1)</f>
        <v>0</v>
      </c>
      <c r="S419" s="5">
        <f>F419+L419-(D419+E419)*C419-J419-K419-IF(D$52&gt;0,'Assumptions and Catalog'!$C$26*C419,0)</f>
        <v>0</v>
      </c>
      <c r="T419" s="5"/>
      <c r="U419" s="5"/>
    </row>
    <row r="420" spans="1:21" ht="23.1" customHeight="1" outlineLevel="1" x14ac:dyDescent="0.2">
      <c r="A420" s="5">
        <v>1</v>
      </c>
      <c r="B420" s="5">
        <v>10</v>
      </c>
      <c r="C420" s="5">
        <f>DAY(DATE('Assumptions and Catalog'!$C$24+A420-1,B420+1,0))</f>
        <v>31</v>
      </c>
      <c r="D420" s="5">
        <f>IF(ISNUMBER(Inputs!$L$5),Inputs!$L$5*Inputs!$L$6,0)</f>
        <v>40.35</v>
      </c>
      <c r="E420" s="5">
        <f>IF(ISNUMBER(Inputs!$L$5),Inputs!$L$5-D420,0)</f>
        <v>40.35</v>
      </c>
      <c r="F420" s="5">
        <f>D$51*'Assumptions and Catalog'!$C$31*C420*(1-'Assumptions and Catalog'!$C$10)^(A420-1)</f>
        <v>0</v>
      </c>
      <c r="G420" s="5">
        <f t="shared" si="32"/>
        <v>0</v>
      </c>
      <c r="H420" s="5">
        <f>I420/('Assumptions and Catalog'!$C$11*'Assumptions and Catalog'!$C$12)</f>
        <v>0</v>
      </c>
      <c r="I420" s="5">
        <f>IF(K$15="Grid cycle",MIN(K$16,D420+E420,P420*'Assumptions and Catalog'!$C$12,D$57*(24-'Assumptions and Catalog'!$C$15),D$56*'Assumptions and Catalog'!$C$15*'Assumptions and Catalog'!$C$11*'Assumptions and Catalog'!$C$12)*C420,0)</f>
        <v>0</v>
      </c>
      <c r="J420" s="5">
        <f t="shared" si="33"/>
        <v>0</v>
      </c>
      <c r="K420" s="5">
        <f t="shared" si="34"/>
        <v>0</v>
      </c>
      <c r="L420" s="5">
        <f>(D420+E420)*C420-G420-I420+H420+IF(D$52&gt;0,'Assumptions and Catalog'!$C$26*C420,0)</f>
        <v>2501.7000000000003</v>
      </c>
      <c r="M420" s="5">
        <f>IF(ISNUMBER(Inputs!$L$5),(IF(Inputs!$L$9="Actual flat rate",((D420+E420)*C420)*Inputs!$L$10,IF(Inputs!$C$9="Residential",IF(((D420+E420)*C420)&lt;='Assumptions and Catalog'!$C$50,((D420+E420)*C420)*'Assumptions and Catalog'!$H$50+'Assumptions and Catalog'!$E$50+'Assumptions and Catalog'!$F$50,IF(((D420+E420)*C420)&lt;='Assumptions and Catalog'!$C$51,((D420+E420)*C420)*'Assumptions and Catalog'!$H$51+'Assumptions and Catalog'!$E$51+'Assumptions and Catalog'!$F$51,IF(((D420+E420)*C420)&lt;='Assumptions and Catalog'!$C$52,((D420+E420)*C420)*'Assumptions and Catalog'!$H$52+'Assumptions and Catalog'!$E$52+'Assumptions and Catalog'!$F$52,IF(((D420+E420)*C420)&lt;='Assumptions and Catalog'!$C$53,((D420+E420)*C420)*'Assumptions and Catalog'!$H$53+'Assumptions and Catalog'!$E$53+'Assumptions and Catalog'!$F$53,IF(((D420+E420)*C420)&lt;='Assumptions and Catalog'!$C$54,((D420+E420)*C420)*'Assumptions and Catalog'!$H$54+'Assumptions and Catalog'!$E$54+'Assumptions and Catalog'!$F$54,IF(((D420+E420)*C420)&lt;='Assumptions and Catalog'!$C$55,((D420+E420)*C420)*'Assumptions and Catalog'!$H$55+'Assumptions and Catalog'!$E$55+'Assumptions and Catalog'!$F$55,IF(((D420+E420)*C420)&lt;='Assumptions and Catalog'!$C$56,((D420+E420)*C420)*'Assumptions and Catalog'!$H$56+'Assumptions and Catalog'!$E$56+'Assumptions and Catalog'!$F$56,IF(((D420+E420)*C420)&lt;='Assumptions and Catalog'!$C$57,((D420+E420)*C420)*'Assumptions and Catalog'!$H$57+'Assumptions and Catalog'!$E$57+'Assumptions and Catalog'!$F$57,"Out of range")))))))),IF(((D420+E420)*C420)&lt;='Assumptions and Catalog'!$C$60,((D420+E420)*C420)*'Assumptions and Catalog'!$H$60+'Assumptions and Catalog'!$E$60+'Assumptions and Catalog'!$F$60,IF(((D420+E420)*C420)&lt;='Assumptions and Catalog'!$C$61,((D420+E420)*C420)*'Assumptions and Catalog'!$H$61+'Assumptions and Catalog'!$E$61+'Assumptions and Catalog'!$F$61,IF(((D420+E420)*C420)&lt;='Assumptions and Catalog'!$C$62,((D420+E420)*C420)*'Assumptions and Catalog'!$H$62+'Assumptions and Catalog'!$E$62+'Assumptions and Catalog'!$F$62,IF(((D420+E420)*C420)&lt;='Assumptions and Catalog'!$C$63,((D420+E420)*C420)*'Assumptions and Catalog'!$H$63+'Assumptions and Catalog'!$E$63+'Assumptions and Catalog'!$F$63,IF(((D420+E420)*C420)&lt;='Assumptions and Catalog'!$C$64,((D420+E420)*C420)*'Assumptions and Catalog'!$H$64+'Assumptions and Catalog'!$E$64+'Assumptions and Catalog'!$F$64,IF(((D420+E420)*C420)&lt;='Assumptions and Catalog'!$C$65,((D420+E420)*C420)*'Assumptions and Catalog'!$H$65+'Assumptions and Catalog'!$E$65+'Assumptions and Catalog'!$F$65,"Out of range")))))))))*(1+'Assumptions and Catalog'!$C$8)^(A420-1),0)</f>
        <v>8554.9666666666672</v>
      </c>
      <c r="N420" s="5">
        <f>IF(ISNUMBER(Inputs!$L$5),(IF(Inputs!$L$9="Actual flat rate",L420*Inputs!$L$10,IF(Inputs!$C$9="Residential",IF(L420&lt;='Assumptions and Catalog'!$C$50,L420*'Assumptions and Catalog'!$H$50+'Assumptions and Catalog'!$E$50+'Assumptions and Catalog'!$F$50,IF(L420&lt;='Assumptions and Catalog'!$C$51,L420*'Assumptions and Catalog'!$H$51+'Assumptions and Catalog'!$E$51+'Assumptions and Catalog'!$F$51,IF(L420&lt;='Assumptions and Catalog'!$C$52,L420*'Assumptions and Catalog'!$H$52+'Assumptions and Catalog'!$E$52+'Assumptions and Catalog'!$F$52,IF(L420&lt;='Assumptions and Catalog'!$C$53,L420*'Assumptions and Catalog'!$H$53+'Assumptions and Catalog'!$E$53+'Assumptions and Catalog'!$F$53,IF(L420&lt;='Assumptions and Catalog'!$C$54,L420*'Assumptions and Catalog'!$H$54+'Assumptions and Catalog'!$E$54+'Assumptions and Catalog'!$F$54,IF(L420&lt;='Assumptions and Catalog'!$C$55,L420*'Assumptions and Catalog'!$H$55+'Assumptions and Catalog'!$E$55+'Assumptions and Catalog'!$F$55,IF(L420&lt;='Assumptions and Catalog'!$C$56,L420*'Assumptions and Catalog'!$H$56+'Assumptions and Catalog'!$E$56+'Assumptions and Catalog'!$F$56,IF(L420&lt;='Assumptions and Catalog'!$C$57,L420*'Assumptions and Catalog'!$H$57+'Assumptions and Catalog'!$E$57+'Assumptions and Catalog'!$F$57,"Out of range")))))))),IF(L420&lt;='Assumptions and Catalog'!$C$60,L420*'Assumptions and Catalog'!$H$60+'Assumptions and Catalog'!$E$60+'Assumptions and Catalog'!$F$60,IF(L420&lt;='Assumptions and Catalog'!$C$61,L420*'Assumptions and Catalog'!$H$61+'Assumptions and Catalog'!$E$61+'Assumptions and Catalog'!$F$61,IF(L420&lt;='Assumptions and Catalog'!$C$62,L420*'Assumptions and Catalog'!$H$62+'Assumptions and Catalog'!$E$62+'Assumptions and Catalog'!$F$62,IF(L420&lt;='Assumptions and Catalog'!$C$63,L420*'Assumptions and Catalog'!$H$63+'Assumptions and Catalog'!$E$63+'Assumptions and Catalog'!$F$63,IF(L420&lt;='Assumptions and Catalog'!$C$64,L420*'Assumptions and Catalog'!$H$64+'Assumptions and Catalog'!$E$64+'Assumptions and Catalog'!$F$64,IF(L420&lt;='Assumptions and Catalog'!$C$65,L420*'Assumptions and Catalog'!$H$65+'Assumptions and Catalog'!$E$65+'Assumptions and Catalog'!$F$65,"Out of range")))))))))*(1+'Assumptions and Catalog'!$C$8)^(A420-1),0)</f>
        <v>8554.9666666666672</v>
      </c>
      <c r="O420" s="5">
        <f t="shared" si="35"/>
        <v>0</v>
      </c>
      <c r="P420" s="5">
        <f>D$55*(1-K$14)*(1-'Assumptions and Catalog'!$C$23)^R420</f>
        <v>0</v>
      </c>
      <c r="Q420" s="5">
        <f>IF(ISNUMBER(Inputs!$L$5),(IF(Inputs!$L$9="Actual flat rate",((D420+E420)*C420-G420)*Inputs!$L$10,IF(Inputs!$C$9="Residential",IF(((D420+E420)*C420-G420)&lt;='Assumptions and Catalog'!$C$50,((D420+E420)*C420-G420)*'Assumptions and Catalog'!$H$50+'Assumptions and Catalog'!$E$50+'Assumptions and Catalog'!$F$50,IF(((D420+E420)*C420-G420)&lt;='Assumptions and Catalog'!$C$51,((D420+E420)*C420-G420)*'Assumptions and Catalog'!$H$51+'Assumptions and Catalog'!$E$51+'Assumptions and Catalog'!$F$51,IF(((D420+E420)*C420-G420)&lt;='Assumptions and Catalog'!$C$52,((D420+E420)*C420-G420)*'Assumptions and Catalog'!$H$52+'Assumptions and Catalog'!$E$52+'Assumptions and Catalog'!$F$52,IF(((D420+E420)*C420-G420)&lt;='Assumptions and Catalog'!$C$53,((D420+E420)*C420-G420)*'Assumptions and Catalog'!$H$53+'Assumptions and Catalog'!$E$53+'Assumptions and Catalog'!$F$53,IF(((D420+E420)*C420-G420)&lt;='Assumptions and Catalog'!$C$54,((D420+E420)*C420-G420)*'Assumptions and Catalog'!$H$54+'Assumptions and Catalog'!$E$54+'Assumptions and Catalog'!$F$54,IF(((D420+E420)*C420-G420)&lt;='Assumptions and Catalog'!$C$55,((D420+E420)*C420-G420)*'Assumptions and Catalog'!$H$55+'Assumptions and Catalog'!$E$55+'Assumptions and Catalog'!$F$55,IF(((D420+E420)*C420-G420)&lt;='Assumptions and Catalog'!$C$56,((D420+E420)*C420-G420)*'Assumptions and Catalog'!$H$56+'Assumptions and Catalog'!$E$56+'Assumptions and Catalog'!$F$56,IF(((D420+E420)*C420-G420)&lt;='Assumptions and Catalog'!$C$57,((D420+E420)*C420-G420)*'Assumptions and Catalog'!$H$57+'Assumptions and Catalog'!$E$57+'Assumptions and Catalog'!$F$57,"Out of range")))))))),IF(((D420+E420)*C420-G420)&lt;='Assumptions and Catalog'!$C$60,((D420+E420)*C420-G420)*'Assumptions and Catalog'!$H$60+'Assumptions and Catalog'!$E$60+'Assumptions and Catalog'!$F$60,IF(((D420+E420)*C420-G420)&lt;='Assumptions and Catalog'!$C$61,((D420+E420)*C420-G420)*'Assumptions and Catalog'!$H$61+'Assumptions and Catalog'!$E$61+'Assumptions and Catalog'!$F$61,IF(((D420+E420)*C420-G420)&lt;='Assumptions and Catalog'!$C$62,((D420+E420)*C420-G420)*'Assumptions and Catalog'!$H$62+'Assumptions and Catalog'!$E$62+'Assumptions and Catalog'!$F$62,IF(((D420+E420)*C420-G420)&lt;='Assumptions and Catalog'!$C$63,((D420+E420)*C420-G420)*'Assumptions and Catalog'!$H$63+'Assumptions and Catalog'!$E$63+'Assumptions and Catalog'!$F$63,IF(((D420+E420)*C420-G420)&lt;='Assumptions and Catalog'!$C$64,((D420+E420)*C420-G420)*'Assumptions and Catalog'!$H$64+'Assumptions and Catalog'!$E$64+'Assumptions and Catalog'!$F$64,IF(((D420+E420)*C420-G420)&lt;='Assumptions and Catalog'!$C$65,((D420+E420)*C420-G420)*'Assumptions and Catalog'!$H$65+'Assumptions and Catalog'!$E$65+'Assumptions and Catalog'!$F$65,"Out of range")))))))))*(1+'Assumptions and Catalog'!$C$8)^(A420-1),0)</f>
        <v>8554.9666666666672</v>
      </c>
      <c r="R420" s="5">
        <f>IF(AND('Assumptions and Catalog'!$C$19&gt;0,A420&gt;='Assumptions and Catalog'!$C$19),A420-'Assumptions and Catalog'!$C$19,A420-1)</f>
        <v>0</v>
      </c>
      <c r="S420" s="5">
        <f>F420+L420-(D420+E420)*C420-J420-K420-IF(D$52&gt;0,'Assumptions and Catalog'!$C$26*C420,0)</f>
        <v>0</v>
      </c>
      <c r="T420" s="5"/>
      <c r="U420" s="5"/>
    </row>
    <row r="421" spans="1:21" ht="23.1" customHeight="1" outlineLevel="1" x14ac:dyDescent="0.2">
      <c r="A421" s="5">
        <v>1</v>
      </c>
      <c r="B421" s="5">
        <v>11</v>
      </c>
      <c r="C421" s="5">
        <f>DAY(DATE('Assumptions and Catalog'!$C$24+A421-1,B421+1,0))</f>
        <v>30</v>
      </c>
      <c r="D421" s="5">
        <f>IF(ISNUMBER(Inputs!$L$5),Inputs!$L$5*Inputs!$L$6,0)</f>
        <v>40.35</v>
      </c>
      <c r="E421" s="5">
        <f>IF(ISNUMBER(Inputs!$L$5),Inputs!$L$5-D421,0)</f>
        <v>40.35</v>
      </c>
      <c r="F421" s="5">
        <f>D$51*'Assumptions and Catalog'!$C$31*C421*(1-'Assumptions and Catalog'!$C$10)^(A421-1)</f>
        <v>0</v>
      </c>
      <c r="G421" s="5">
        <f t="shared" si="32"/>
        <v>0</v>
      </c>
      <c r="H421" s="5">
        <f>I421/('Assumptions and Catalog'!$C$11*'Assumptions and Catalog'!$C$12)</f>
        <v>0</v>
      </c>
      <c r="I421" s="5">
        <f>IF(K$15="Grid cycle",MIN(K$16,D421+E421,P421*'Assumptions and Catalog'!$C$12,D$57*(24-'Assumptions and Catalog'!$C$15),D$56*'Assumptions and Catalog'!$C$15*'Assumptions and Catalog'!$C$11*'Assumptions and Catalog'!$C$12)*C421,0)</f>
        <v>0</v>
      </c>
      <c r="J421" s="5">
        <f t="shared" si="33"/>
        <v>0</v>
      </c>
      <c r="K421" s="5">
        <f t="shared" si="34"/>
        <v>0</v>
      </c>
      <c r="L421" s="5">
        <f>(D421+E421)*C421-G421-I421+H421+IF(D$52&gt;0,'Assumptions and Catalog'!$C$26*C421,0)</f>
        <v>2421</v>
      </c>
      <c r="M421" s="5">
        <f>IF(ISNUMBER(Inputs!$L$5),(IF(Inputs!$L$9="Actual flat rate",((D421+E421)*C421)*Inputs!$L$10,IF(Inputs!$C$9="Residential",IF(((D421+E421)*C421)&lt;='Assumptions and Catalog'!$C$50,((D421+E421)*C421)*'Assumptions and Catalog'!$H$50+'Assumptions and Catalog'!$E$50+'Assumptions and Catalog'!$F$50,IF(((D421+E421)*C421)&lt;='Assumptions and Catalog'!$C$51,((D421+E421)*C421)*'Assumptions and Catalog'!$H$51+'Assumptions and Catalog'!$E$51+'Assumptions and Catalog'!$F$51,IF(((D421+E421)*C421)&lt;='Assumptions and Catalog'!$C$52,((D421+E421)*C421)*'Assumptions and Catalog'!$H$52+'Assumptions and Catalog'!$E$52+'Assumptions and Catalog'!$F$52,IF(((D421+E421)*C421)&lt;='Assumptions and Catalog'!$C$53,((D421+E421)*C421)*'Assumptions and Catalog'!$H$53+'Assumptions and Catalog'!$E$53+'Assumptions and Catalog'!$F$53,IF(((D421+E421)*C421)&lt;='Assumptions and Catalog'!$C$54,((D421+E421)*C421)*'Assumptions and Catalog'!$H$54+'Assumptions and Catalog'!$E$54+'Assumptions and Catalog'!$F$54,IF(((D421+E421)*C421)&lt;='Assumptions and Catalog'!$C$55,((D421+E421)*C421)*'Assumptions and Catalog'!$H$55+'Assumptions and Catalog'!$E$55+'Assumptions and Catalog'!$F$55,IF(((D421+E421)*C421)&lt;='Assumptions and Catalog'!$C$56,((D421+E421)*C421)*'Assumptions and Catalog'!$H$56+'Assumptions and Catalog'!$E$56+'Assumptions and Catalog'!$F$56,IF(((D421+E421)*C421)&lt;='Assumptions and Catalog'!$C$57,((D421+E421)*C421)*'Assumptions and Catalog'!$H$57+'Assumptions and Catalog'!$E$57+'Assumptions and Catalog'!$F$57,"Out of range")))))))),IF(((D421+E421)*C421)&lt;='Assumptions and Catalog'!$C$60,((D421+E421)*C421)*'Assumptions and Catalog'!$H$60+'Assumptions and Catalog'!$E$60+'Assumptions and Catalog'!$F$60,IF(((D421+E421)*C421)&lt;='Assumptions and Catalog'!$C$61,((D421+E421)*C421)*'Assumptions and Catalog'!$H$61+'Assumptions and Catalog'!$E$61+'Assumptions and Catalog'!$F$61,IF(((D421+E421)*C421)&lt;='Assumptions and Catalog'!$C$62,((D421+E421)*C421)*'Assumptions and Catalog'!$H$62+'Assumptions and Catalog'!$E$62+'Assumptions and Catalog'!$F$62,IF(((D421+E421)*C421)&lt;='Assumptions and Catalog'!$C$63,((D421+E421)*C421)*'Assumptions and Catalog'!$H$63+'Assumptions and Catalog'!$E$63+'Assumptions and Catalog'!$F$63,IF(((D421+E421)*C421)&lt;='Assumptions and Catalog'!$C$64,((D421+E421)*C421)*'Assumptions and Catalog'!$H$64+'Assumptions and Catalog'!$E$64+'Assumptions and Catalog'!$F$64,IF(((D421+E421)*C421)&lt;='Assumptions and Catalog'!$C$65,((D421+E421)*C421)*'Assumptions and Catalog'!$H$65+'Assumptions and Catalog'!$E$65+'Assumptions and Catalog'!$F$65,"Out of range")))))))))*(1+'Assumptions and Catalog'!$C$8)^(A421-1),0)</f>
        <v>8279</v>
      </c>
      <c r="N421" s="5">
        <f>IF(ISNUMBER(Inputs!$L$5),(IF(Inputs!$L$9="Actual flat rate",L421*Inputs!$L$10,IF(Inputs!$C$9="Residential",IF(L421&lt;='Assumptions and Catalog'!$C$50,L421*'Assumptions and Catalog'!$H$50+'Assumptions and Catalog'!$E$50+'Assumptions and Catalog'!$F$50,IF(L421&lt;='Assumptions and Catalog'!$C$51,L421*'Assumptions and Catalog'!$H$51+'Assumptions and Catalog'!$E$51+'Assumptions and Catalog'!$F$51,IF(L421&lt;='Assumptions and Catalog'!$C$52,L421*'Assumptions and Catalog'!$H$52+'Assumptions and Catalog'!$E$52+'Assumptions and Catalog'!$F$52,IF(L421&lt;='Assumptions and Catalog'!$C$53,L421*'Assumptions and Catalog'!$H$53+'Assumptions and Catalog'!$E$53+'Assumptions and Catalog'!$F$53,IF(L421&lt;='Assumptions and Catalog'!$C$54,L421*'Assumptions and Catalog'!$H$54+'Assumptions and Catalog'!$E$54+'Assumptions and Catalog'!$F$54,IF(L421&lt;='Assumptions and Catalog'!$C$55,L421*'Assumptions and Catalog'!$H$55+'Assumptions and Catalog'!$E$55+'Assumptions and Catalog'!$F$55,IF(L421&lt;='Assumptions and Catalog'!$C$56,L421*'Assumptions and Catalog'!$H$56+'Assumptions and Catalog'!$E$56+'Assumptions and Catalog'!$F$56,IF(L421&lt;='Assumptions and Catalog'!$C$57,L421*'Assumptions and Catalog'!$H$57+'Assumptions and Catalog'!$E$57+'Assumptions and Catalog'!$F$57,"Out of range")))))))),IF(L421&lt;='Assumptions and Catalog'!$C$60,L421*'Assumptions and Catalog'!$H$60+'Assumptions and Catalog'!$E$60+'Assumptions and Catalog'!$F$60,IF(L421&lt;='Assumptions and Catalog'!$C$61,L421*'Assumptions and Catalog'!$H$61+'Assumptions and Catalog'!$E$61+'Assumptions and Catalog'!$F$61,IF(L421&lt;='Assumptions and Catalog'!$C$62,L421*'Assumptions and Catalog'!$H$62+'Assumptions and Catalog'!$E$62+'Assumptions and Catalog'!$F$62,IF(L421&lt;='Assumptions and Catalog'!$C$63,L421*'Assumptions and Catalog'!$H$63+'Assumptions and Catalog'!$E$63+'Assumptions and Catalog'!$F$63,IF(L421&lt;='Assumptions and Catalog'!$C$64,L421*'Assumptions and Catalog'!$H$64+'Assumptions and Catalog'!$E$64+'Assumptions and Catalog'!$F$64,IF(L421&lt;='Assumptions and Catalog'!$C$65,L421*'Assumptions and Catalog'!$H$65+'Assumptions and Catalog'!$E$65+'Assumptions and Catalog'!$F$65,"Out of range")))))))))*(1+'Assumptions and Catalog'!$C$8)^(A421-1),0)</f>
        <v>8279</v>
      </c>
      <c r="O421" s="5">
        <f t="shared" si="35"/>
        <v>0</v>
      </c>
      <c r="P421" s="5">
        <f>D$55*(1-K$14)*(1-'Assumptions and Catalog'!$C$23)^R421</f>
        <v>0</v>
      </c>
      <c r="Q421" s="5">
        <f>IF(ISNUMBER(Inputs!$L$5),(IF(Inputs!$L$9="Actual flat rate",((D421+E421)*C421-G421)*Inputs!$L$10,IF(Inputs!$C$9="Residential",IF(((D421+E421)*C421-G421)&lt;='Assumptions and Catalog'!$C$50,((D421+E421)*C421-G421)*'Assumptions and Catalog'!$H$50+'Assumptions and Catalog'!$E$50+'Assumptions and Catalog'!$F$50,IF(((D421+E421)*C421-G421)&lt;='Assumptions and Catalog'!$C$51,((D421+E421)*C421-G421)*'Assumptions and Catalog'!$H$51+'Assumptions and Catalog'!$E$51+'Assumptions and Catalog'!$F$51,IF(((D421+E421)*C421-G421)&lt;='Assumptions and Catalog'!$C$52,((D421+E421)*C421-G421)*'Assumptions and Catalog'!$H$52+'Assumptions and Catalog'!$E$52+'Assumptions and Catalog'!$F$52,IF(((D421+E421)*C421-G421)&lt;='Assumptions and Catalog'!$C$53,((D421+E421)*C421-G421)*'Assumptions and Catalog'!$H$53+'Assumptions and Catalog'!$E$53+'Assumptions and Catalog'!$F$53,IF(((D421+E421)*C421-G421)&lt;='Assumptions and Catalog'!$C$54,((D421+E421)*C421-G421)*'Assumptions and Catalog'!$H$54+'Assumptions and Catalog'!$E$54+'Assumptions and Catalog'!$F$54,IF(((D421+E421)*C421-G421)&lt;='Assumptions and Catalog'!$C$55,((D421+E421)*C421-G421)*'Assumptions and Catalog'!$H$55+'Assumptions and Catalog'!$E$55+'Assumptions and Catalog'!$F$55,IF(((D421+E421)*C421-G421)&lt;='Assumptions and Catalog'!$C$56,((D421+E421)*C421-G421)*'Assumptions and Catalog'!$H$56+'Assumptions and Catalog'!$E$56+'Assumptions and Catalog'!$F$56,IF(((D421+E421)*C421-G421)&lt;='Assumptions and Catalog'!$C$57,((D421+E421)*C421-G421)*'Assumptions and Catalog'!$H$57+'Assumptions and Catalog'!$E$57+'Assumptions and Catalog'!$F$57,"Out of range")))))))),IF(((D421+E421)*C421-G421)&lt;='Assumptions and Catalog'!$C$60,((D421+E421)*C421-G421)*'Assumptions and Catalog'!$H$60+'Assumptions and Catalog'!$E$60+'Assumptions and Catalog'!$F$60,IF(((D421+E421)*C421-G421)&lt;='Assumptions and Catalog'!$C$61,((D421+E421)*C421-G421)*'Assumptions and Catalog'!$H$61+'Assumptions and Catalog'!$E$61+'Assumptions and Catalog'!$F$61,IF(((D421+E421)*C421-G421)&lt;='Assumptions and Catalog'!$C$62,((D421+E421)*C421-G421)*'Assumptions and Catalog'!$H$62+'Assumptions and Catalog'!$E$62+'Assumptions and Catalog'!$F$62,IF(((D421+E421)*C421-G421)&lt;='Assumptions and Catalog'!$C$63,((D421+E421)*C421-G421)*'Assumptions and Catalog'!$H$63+'Assumptions and Catalog'!$E$63+'Assumptions and Catalog'!$F$63,IF(((D421+E421)*C421-G421)&lt;='Assumptions and Catalog'!$C$64,((D421+E421)*C421-G421)*'Assumptions and Catalog'!$H$64+'Assumptions and Catalog'!$E$64+'Assumptions and Catalog'!$F$64,IF(((D421+E421)*C421-G421)&lt;='Assumptions and Catalog'!$C$65,((D421+E421)*C421-G421)*'Assumptions and Catalog'!$H$65+'Assumptions and Catalog'!$E$65+'Assumptions and Catalog'!$F$65,"Out of range")))))))))*(1+'Assumptions and Catalog'!$C$8)^(A421-1),0)</f>
        <v>8279</v>
      </c>
      <c r="R421" s="5">
        <f>IF(AND('Assumptions and Catalog'!$C$19&gt;0,A421&gt;='Assumptions and Catalog'!$C$19),A421-'Assumptions and Catalog'!$C$19,A421-1)</f>
        <v>0</v>
      </c>
      <c r="S421" s="5">
        <f>F421+L421-(D421+E421)*C421-J421-K421-IF(D$52&gt;0,'Assumptions and Catalog'!$C$26*C421,0)</f>
        <v>0</v>
      </c>
      <c r="T421" s="5"/>
      <c r="U421" s="5"/>
    </row>
    <row r="422" spans="1:21" ht="23.1" customHeight="1" outlineLevel="1" x14ac:dyDescent="0.2">
      <c r="A422" s="5">
        <v>1</v>
      </c>
      <c r="B422" s="5">
        <v>12</v>
      </c>
      <c r="C422" s="5">
        <f>DAY(DATE('Assumptions and Catalog'!$C$24+A422-1,B422+1,0))</f>
        <v>31</v>
      </c>
      <c r="D422" s="5">
        <f>IF(ISNUMBER(Inputs!$L$5),Inputs!$L$5*Inputs!$L$6,0)</f>
        <v>40.35</v>
      </c>
      <c r="E422" s="5">
        <f>IF(ISNUMBER(Inputs!$L$5),Inputs!$L$5-D422,0)</f>
        <v>40.35</v>
      </c>
      <c r="F422" s="5">
        <f>D$51*'Assumptions and Catalog'!$C$31*C422*(1-'Assumptions and Catalog'!$C$10)^(A422-1)</f>
        <v>0</v>
      </c>
      <c r="G422" s="5">
        <f t="shared" si="32"/>
        <v>0</v>
      </c>
      <c r="H422" s="5">
        <f>I422/('Assumptions and Catalog'!$C$11*'Assumptions and Catalog'!$C$12)</f>
        <v>0</v>
      </c>
      <c r="I422" s="5">
        <f>IF(K$15="Grid cycle",MIN(K$16,D422+E422,P422*'Assumptions and Catalog'!$C$12,D$57*(24-'Assumptions and Catalog'!$C$15),D$56*'Assumptions and Catalog'!$C$15*'Assumptions and Catalog'!$C$11*'Assumptions and Catalog'!$C$12)*C422,0)</f>
        <v>0</v>
      </c>
      <c r="J422" s="5">
        <f t="shared" si="33"/>
        <v>0</v>
      </c>
      <c r="K422" s="5">
        <f t="shared" si="34"/>
        <v>0</v>
      </c>
      <c r="L422" s="5">
        <f>(D422+E422)*C422-G422-I422+H422+IF(D$52&gt;0,'Assumptions and Catalog'!$C$26*C422,0)</f>
        <v>2501.7000000000003</v>
      </c>
      <c r="M422" s="5">
        <f>IF(ISNUMBER(Inputs!$L$5),(IF(Inputs!$L$9="Actual flat rate",((D422+E422)*C422)*Inputs!$L$10,IF(Inputs!$C$9="Residential",IF(((D422+E422)*C422)&lt;='Assumptions and Catalog'!$C$50,((D422+E422)*C422)*'Assumptions and Catalog'!$H$50+'Assumptions and Catalog'!$E$50+'Assumptions and Catalog'!$F$50,IF(((D422+E422)*C422)&lt;='Assumptions and Catalog'!$C$51,((D422+E422)*C422)*'Assumptions and Catalog'!$H$51+'Assumptions and Catalog'!$E$51+'Assumptions and Catalog'!$F$51,IF(((D422+E422)*C422)&lt;='Assumptions and Catalog'!$C$52,((D422+E422)*C422)*'Assumptions and Catalog'!$H$52+'Assumptions and Catalog'!$E$52+'Assumptions and Catalog'!$F$52,IF(((D422+E422)*C422)&lt;='Assumptions and Catalog'!$C$53,((D422+E422)*C422)*'Assumptions and Catalog'!$H$53+'Assumptions and Catalog'!$E$53+'Assumptions and Catalog'!$F$53,IF(((D422+E422)*C422)&lt;='Assumptions and Catalog'!$C$54,((D422+E422)*C422)*'Assumptions and Catalog'!$H$54+'Assumptions and Catalog'!$E$54+'Assumptions and Catalog'!$F$54,IF(((D422+E422)*C422)&lt;='Assumptions and Catalog'!$C$55,((D422+E422)*C422)*'Assumptions and Catalog'!$H$55+'Assumptions and Catalog'!$E$55+'Assumptions and Catalog'!$F$55,IF(((D422+E422)*C422)&lt;='Assumptions and Catalog'!$C$56,((D422+E422)*C422)*'Assumptions and Catalog'!$H$56+'Assumptions and Catalog'!$E$56+'Assumptions and Catalog'!$F$56,IF(((D422+E422)*C422)&lt;='Assumptions and Catalog'!$C$57,((D422+E422)*C422)*'Assumptions and Catalog'!$H$57+'Assumptions and Catalog'!$E$57+'Assumptions and Catalog'!$F$57,"Out of range")))))))),IF(((D422+E422)*C422)&lt;='Assumptions and Catalog'!$C$60,((D422+E422)*C422)*'Assumptions and Catalog'!$H$60+'Assumptions and Catalog'!$E$60+'Assumptions and Catalog'!$F$60,IF(((D422+E422)*C422)&lt;='Assumptions and Catalog'!$C$61,((D422+E422)*C422)*'Assumptions and Catalog'!$H$61+'Assumptions and Catalog'!$E$61+'Assumptions and Catalog'!$F$61,IF(((D422+E422)*C422)&lt;='Assumptions and Catalog'!$C$62,((D422+E422)*C422)*'Assumptions and Catalog'!$H$62+'Assumptions and Catalog'!$E$62+'Assumptions and Catalog'!$F$62,IF(((D422+E422)*C422)&lt;='Assumptions and Catalog'!$C$63,((D422+E422)*C422)*'Assumptions and Catalog'!$H$63+'Assumptions and Catalog'!$E$63+'Assumptions and Catalog'!$F$63,IF(((D422+E422)*C422)&lt;='Assumptions and Catalog'!$C$64,((D422+E422)*C422)*'Assumptions and Catalog'!$H$64+'Assumptions and Catalog'!$E$64+'Assumptions and Catalog'!$F$64,IF(((D422+E422)*C422)&lt;='Assumptions and Catalog'!$C$65,((D422+E422)*C422)*'Assumptions and Catalog'!$H$65+'Assumptions and Catalog'!$E$65+'Assumptions and Catalog'!$F$65,"Out of range")))))))))*(1+'Assumptions and Catalog'!$C$8)^(A422-1),0)</f>
        <v>8554.9666666666672</v>
      </c>
      <c r="N422" s="5">
        <f>IF(ISNUMBER(Inputs!$L$5),(IF(Inputs!$L$9="Actual flat rate",L422*Inputs!$L$10,IF(Inputs!$C$9="Residential",IF(L422&lt;='Assumptions and Catalog'!$C$50,L422*'Assumptions and Catalog'!$H$50+'Assumptions and Catalog'!$E$50+'Assumptions and Catalog'!$F$50,IF(L422&lt;='Assumptions and Catalog'!$C$51,L422*'Assumptions and Catalog'!$H$51+'Assumptions and Catalog'!$E$51+'Assumptions and Catalog'!$F$51,IF(L422&lt;='Assumptions and Catalog'!$C$52,L422*'Assumptions and Catalog'!$H$52+'Assumptions and Catalog'!$E$52+'Assumptions and Catalog'!$F$52,IF(L422&lt;='Assumptions and Catalog'!$C$53,L422*'Assumptions and Catalog'!$H$53+'Assumptions and Catalog'!$E$53+'Assumptions and Catalog'!$F$53,IF(L422&lt;='Assumptions and Catalog'!$C$54,L422*'Assumptions and Catalog'!$H$54+'Assumptions and Catalog'!$E$54+'Assumptions and Catalog'!$F$54,IF(L422&lt;='Assumptions and Catalog'!$C$55,L422*'Assumptions and Catalog'!$H$55+'Assumptions and Catalog'!$E$55+'Assumptions and Catalog'!$F$55,IF(L422&lt;='Assumptions and Catalog'!$C$56,L422*'Assumptions and Catalog'!$H$56+'Assumptions and Catalog'!$E$56+'Assumptions and Catalog'!$F$56,IF(L422&lt;='Assumptions and Catalog'!$C$57,L422*'Assumptions and Catalog'!$H$57+'Assumptions and Catalog'!$E$57+'Assumptions and Catalog'!$F$57,"Out of range")))))))),IF(L422&lt;='Assumptions and Catalog'!$C$60,L422*'Assumptions and Catalog'!$H$60+'Assumptions and Catalog'!$E$60+'Assumptions and Catalog'!$F$60,IF(L422&lt;='Assumptions and Catalog'!$C$61,L422*'Assumptions and Catalog'!$H$61+'Assumptions and Catalog'!$E$61+'Assumptions and Catalog'!$F$61,IF(L422&lt;='Assumptions and Catalog'!$C$62,L422*'Assumptions and Catalog'!$H$62+'Assumptions and Catalog'!$E$62+'Assumptions and Catalog'!$F$62,IF(L422&lt;='Assumptions and Catalog'!$C$63,L422*'Assumptions and Catalog'!$H$63+'Assumptions and Catalog'!$E$63+'Assumptions and Catalog'!$F$63,IF(L422&lt;='Assumptions and Catalog'!$C$64,L422*'Assumptions and Catalog'!$H$64+'Assumptions and Catalog'!$E$64+'Assumptions and Catalog'!$F$64,IF(L422&lt;='Assumptions and Catalog'!$C$65,L422*'Assumptions and Catalog'!$H$65+'Assumptions and Catalog'!$E$65+'Assumptions and Catalog'!$F$65,"Out of range")))))))))*(1+'Assumptions and Catalog'!$C$8)^(A422-1),0)</f>
        <v>8554.9666666666672</v>
      </c>
      <c r="O422" s="5">
        <f t="shared" si="35"/>
        <v>0</v>
      </c>
      <c r="P422" s="5">
        <f>D$55*(1-K$14)*(1-'Assumptions and Catalog'!$C$23)^R422</f>
        <v>0</v>
      </c>
      <c r="Q422" s="5">
        <f>IF(ISNUMBER(Inputs!$L$5),(IF(Inputs!$L$9="Actual flat rate",((D422+E422)*C422-G422)*Inputs!$L$10,IF(Inputs!$C$9="Residential",IF(((D422+E422)*C422-G422)&lt;='Assumptions and Catalog'!$C$50,((D422+E422)*C422-G422)*'Assumptions and Catalog'!$H$50+'Assumptions and Catalog'!$E$50+'Assumptions and Catalog'!$F$50,IF(((D422+E422)*C422-G422)&lt;='Assumptions and Catalog'!$C$51,((D422+E422)*C422-G422)*'Assumptions and Catalog'!$H$51+'Assumptions and Catalog'!$E$51+'Assumptions and Catalog'!$F$51,IF(((D422+E422)*C422-G422)&lt;='Assumptions and Catalog'!$C$52,((D422+E422)*C422-G422)*'Assumptions and Catalog'!$H$52+'Assumptions and Catalog'!$E$52+'Assumptions and Catalog'!$F$52,IF(((D422+E422)*C422-G422)&lt;='Assumptions and Catalog'!$C$53,((D422+E422)*C422-G422)*'Assumptions and Catalog'!$H$53+'Assumptions and Catalog'!$E$53+'Assumptions and Catalog'!$F$53,IF(((D422+E422)*C422-G422)&lt;='Assumptions and Catalog'!$C$54,((D422+E422)*C422-G422)*'Assumptions and Catalog'!$H$54+'Assumptions and Catalog'!$E$54+'Assumptions and Catalog'!$F$54,IF(((D422+E422)*C422-G422)&lt;='Assumptions and Catalog'!$C$55,((D422+E422)*C422-G422)*'Assumptions and Catalog'!$H$55+'Assumptions and Catalog'!$E$55+'Assumptions and Catalog'!$F$55,IF(((D422+E422)*C422-G422)&lt;='Assumptions and Catalog'!$C$56,((D422+E422)*C422-G422)*'Assumptions and Catalog'!$H$56+'Assumptions and Catalog'!$E$56+'Assumptions and Catalog'!$F$56,IF(((D422+E422)*C422-G422)&lt;='Assumptions and Catalog'!$C$57,((D422+E422)*C422-G422)*'Assumptions and Catalog'!$H$57+'Assumptions and Catalog'!$E$57+'Assumptions and Catalog'!$F$57,"Out of range")))))))),IF(((D422+E422)*C422-G422)&lt;='Assumptions and Catalog'!$C$60,((D422+E422)*C422-G422)*'Assumptions and Catalog'!$H$60+'Assumptions and Catalog'!$E$60+'Assumptions and Catalog'!$F$60,IF(((D422+E422)*C422-G422)&lt;='Assumptions and Catalog'!$C$61,((D422+E422)*C422-G422)*'Assumptions and Catalog'!$H$61+'Assumptions and Catalog'!$E$61+'Assumptions and Catalog'!$F$61,IF(((D422+E422)*C422-G422)&lt;='Assumptions and Catalog'!$C$62,((D422+E422)*C422-G422)*'Assumptions and Catalog'!$H$62+'Assumptions and Catalog'!$E$62+'Assumptions and Catalog'!$F$62,IF(((D422+E422)*C422-G422)&lt;='Assumptions and Catalog'!$C$63,((D422+E422)*C422-G422)*'Assumptions and Catalog'!$H$63+'Assumptions and Catalog'!$E$63+'Assumptions and Catalog'!$F$63,IF(((D422+E422)*C422-G422)&lt;='Assumptions and Catalog'!$C$64,((D422+E422)*C422-G422)*'Assumptions and Catalog'!$H$64+'Assumptions and Catalog'!$E$64+'Assumptions and Catalog'!$F$64,IF(((D422+E422)*C422-G422)&lt;='Assumptions and Catalog'!$C$65,((D422+E422)*C422-G422)*'Assumptions and Catalog'!$H$65+'Assumptions and Catalog'!$E$65+'Assumptions and Catalog'!$F$65,"Out of range")))))))))*(1+'Assumptions and Catalog'!$C$8)^(A422-1),0)</f>
        <v>8554.9666666666672</v>
      </c>
      <c r="R422" s="5">
        <f>IF(AND('Assumptions and Catalog'!$C$19&gt;0,A422&gt;='Assumptions and Catalog'!$C$19),A422-'Assumptions and Catalog'!$C$19,A422-1)</f>
        <v>0</v>
      </c>
      <c r="S422" s="5">
        <f>F422+L422-(D422+E422)*C422-J422-K422-IF(D$52&gt;0,'Assumptions and Catalog'!$C$26*C422,0)</f>
        <v>0</v>
      </c>
      <c r="T422" s="5"/>
      <c r="U422" s="5"/>
    </row>
    <row r="423" spans="1:21" ht="23.1" customHeight="1" outlineLevel="1" x14ac:dyDescent="0.2">
      <c r="A423" s="5">
        <v>2</v>
      </c>
      <c r="B423" s="5">
        <v>1</v>
      </c>
      <c r="C423" s="5">
        <f>DAY(DATE('Assumptions and Catalog'!$C$24+A423-1,B423+1,0))</f>
        <v>31</v>
      </c>
      <c r="D423" s="5">
        <f>IF(ISNUMBER(Inputs!$L$5),Inputs!$L$5*Inputs!$L$6,0)</f>
        <v>40.35</v>
      </c>
      <c r="E423" s="5">
        <f>IF(ISNUMBER(Inputs!$L$5),Inputs!$L$5-D423,0)</f>
        <v>40.35</v>
      </c>
      <c r="F423" s="5">
        <f>D$51*'Assumptions and Catalog'!$C$31*C423*(1-'Assumptions and Catalog'!$C$10)^(A423-1)</f>
        <v>0</v>
      </c>
      <c r="G423" s="5">
        <f t="shared" si="32"/>
        <v>0</v>
      </c>
      <c r="H423" s="5">
        <f>I423/('Assumptions and Catalog'!$C$11*'Assumptions and Catalog'!$C$12)</f>
        <v>0</v>
      </c>
      <c r="I423" s="5">
        <f>IF(K$15="Grid cycle",MIN(K$16,D423+E423,P423*'Assumptions and Catalog'!$C$12,D$57*(24-'Assumptions and Catalog'!$C$15),D$56*'Assumptions and Catalog'!$C$15*'Assumptions and Catalog'!$C$11*'Assumptions and Catalog'!$C$12)*C423,0)</f>
        <v>0</v>
      </c>
      <c r="J423" s="5">
        <f t="shared" si="33"/>
        <v>0</v>
      </c>
      <c r="K423" s="5">
        <f t="shared" si="34"/>
        <v>0</v>
      </c>
      <c r="L423" s="5">
        <f>(D423+E423)*C423-G423-I423+H423+IF(D$52&gt;0,'Assumptions and Catalog'!$C$26*C423,0)</f>
        <v>2501.7000000000003</v>
      </c>
      <c r="M423" s="5">
        <f>IF(ISNUMBER(Inputs!$L$5),(IF(Inputs!$L$9="Actual flat rate",((D423+E423)*C423)*Inputs!$L$10,IF(Inputs!$C$9="Residential",IF(((D423+E423)*C423)&lt;='Assumptions and Catalog'!$C$50,((D423+E423)*C423)*'Assumptions and Catalog'!$H$50+'Assumptions and Catalog'!$E$50+'Assumptions and Catalog'!$F$50,IF(((D423+E423)*C423)&lt;='Assumptions and Catalog'!$C$51,((D423+E423)*C423)*'Assumptions and Catalog'!$H$51+'Assumptions and Catalog'!$E$51+'Assumptions and Catalog'!$F$51,IF(((D423+E423)*C423)&lt;='Assumptions and Catalog'!$C$52,((D423+E423)*C423)*'Assumptions and Catalog'!$H$52+'Assumptions and Catalog'!$E$52+'Assumptions and Catalog'!$F$52,IF(((D423+E423)*C423)&lt;='Assumptions and Catalog'!$C$53,((D423+E423)*C423)*'Assumptions and Catalog'!$H$53+'Assumptions and Catalog'!$E$53+'Assumptions and Catalog'!$F$53,IF(((D423+E423)*C423)&lt;='Assumptions and Catalog'!$C$54,((D423+E423)*C423)*'Assumptions and Catalog'!$H$54+'Assumptions and Catalog'!$E$54+'Assumptions and Catalog'!$F$54,IF(((D423+E423)*C423)&lt;='Assumptions and Catalog'!$C$55,((D423+E423)*C423)*'Assumptions and Catalog'!$H$55+'Assumptions and Catalog'!$E$55+'Assumptions and Catalog'!$F$55,IF(((D423+E423)*C423)&lt;='Assumptions and Catalog'!$C$56,((D423+E423)*C423)*'Assumptions and Catalog'!$H$56+'Assumptions and Catalog'!$E$56+'Assumptions and Catalog'!$F$56,IF(((D423+E423)*C423)&lt;='Assumptions and Catalog'!$C$57,((D423+E423)*C423)*'Assumptions and Catalog'!$H$57+'Assumptions and Catalog'!$E$57+'Assumptions and Catalog'!$F$57,"Out of range")))))))),IF(((D423+E423)*C423)&lt;='Assumptions and Catalog'!$C$60,((D423+E423)*C423)*'Assumptions and Catalog'!$H$60+'Assumptions and Catalog'!$E$60+'Assumptions and Catalog'!$F$60,IF(((D423+E423)*C423)&lt;='Assumptions and Catalog'!$C$61,((D423+E423)*C423)*'Assumptions and Catalog'!$H$61+'Assumptions and Catalog'!$E$61+'Assumptions and Catalog'!$F$61,IF(((D423+E423)*C423)&lt;='Assumptions and Catalog'!$C$62,((D423+E423)*C423)*'Assumptions and Catalog'!$H$62+'Assumptions and Catalog'!$E$62+'Assumptions and Catalog'!$F$62,IF(((D423+E423)*C423)&lt;='Assumptions and Catalog'!$C$63,((D423+E423)*C423)*'Assumptions and Catalog'!$H$63+'Assumptions and Catalog'!$E$63+'Assumptions and Catalog'!$F$63,IF(((D423+E423)*C423)&lt;='Assumptions and Catalog'!$C$64,((D423+E423)*C423)*'Assumptions and Catalog'!$H$64+'Assumptions and Catalog'!$E$64+'Assumptions and Catalog'!$F$64,IF(((D423+E423)*C423)&lt;='Assumptions and Catalog'!$C$65,((D423+E423)*C423)*'Assumptions and Catalog'!$H$65+'Assumptions and Catalog'!$E$65+'Assumptions and Catalog'!$F$65,"Out of range")))))))))*(1+'Assumptions and Catalog'!$C$8)^(A423-1),0)</f>
        <v>8554.9666666666672</v>
      </c>
      <c r="N423" s="5">
        <f>IF(ISNUMBER(Inputs!$L$5),(IF(Inputs!$L$9="Actual flat rate",L423*Inputs!$L$10,IF(Inputs!$C$9="Residential",IF(L423&lt;='Assumptions and Catalog'!$C$50,L423*'Assumptions and Catalog'!$H$50+'Assumptions and Catalog'!$E$50+'Assumptions and Catalog'!$F$50,IF(L423&lt;='Assumptions and Catalog'!$C$51,L423*'Assumptions and Catalog'!$H$51+'Assumptions and Catalog'!$E$51+'Assumptions and Catalog'!$F$51,IF(L423&lt;='Assumptions and Catalog'!$C$52,L423*'Assumptions and Catalog'!$H$52+'Assumptions and Catalog'!$E$52+'Assumptions and Catalog'!$F$52,IF(L423&lt;='Assumptions and Catalog'!$C$53,L423*'Assumptions and Catalog'!$H$53+'Assumptions and Catalog'!$E$53+'Assumptions and Catalog'!$F$53,IF(L423&lt;='Assumptions and Catalog'!$C$54,L423*'Assumptions and Catalog'!$H$54+'Assumptions and Catalog'!$E$54+'Assumptions and Catalog'!$F$54,IF(L423&lt;='Assumptions and Catalog'!$C$55,L423*'Assumptions and Catalog'!$H$55+'Assumptions and Catalog'!$E$55+'Assumptions and Catalog'!$F$55,IF(L423&lt;='Assumptions and Catalog'!$C$56,L423*'Assumptions and Catalog'!$H$56+'Assumptions and Catalog'!$E$56+'Assumptions and Catalog'!$F$56,IF(L423&lt;='Assumptions and Catalog'!$C$57,L423*'Assumptions and Catalog'!$H$57+'Assumptions and Catalog'!$E$57+'Assumptions and Catalog'!$F$57,"Out of range")))))))),IF(L423&lt;='Assumptions and Catalog'!$C$60,L423*'Assumptions and Catalog'!$H$60+'Assumptions and Catalog'!$E$60+'Assumptions and Catalog'!$F$60,IF(L423&lt;='Assumptions and Catalog'!$C$61,L423*'Assumptions and Catalog'!$H$61+'Assumptions and Catalog'!$E$61+'Assumptions and Catalog'!$F$61,IF(L423&lt;='Assumptions and Catalog'!$C$62,L423*'Assumptions and Catalog'!$H$62+'Assumptions and Catalog'!$E$62+'Assumptions and Catalog'!$F$62,IF(L423&lt;='Assumptions and Catalog'!$C$63,L423*'Assumptions and Catalog'!$H$63+'Assumptions and Catalog'!$E$63+'Assumptions and Catalog'!$F$63,IF(L423&lt;='Assumptions and Catalog'!$C$64,L423*'Assumptions and Catalog'!$H$64+'Assumptions and Catalog'!$E$64+'Assumptions and Catalog'!$F$64,IF(L423&lt;='Assumptions and Catalog'!$C$65,L423*'Assumptions and Catalog'!$H$65+'Assumptions and Catalog'!$E$65+'Assumptions and Catalog'!$F$65,"Out of range")))))))))*(1+'Assumptions and Catalog'!$C$8)^(A423-1),0)</f>
        <v>8554.9666666666672</v>
      </c>
      <c r="O423" s="5">
        <f t="shared" si="35"/>
        <v>0</v>
      </c>
      <c r="P423" s="5">
        <f>D$55*(1-K$14)*(1-'Assumptions and Catalog'!$C$23)^R423</f>
        <v>0</v>
      </c>
      <c r="Q423" s="5">
        <f>IF(ISNUMBER(Inputs!$L$5),(IF(Inputs!$L$9="Actual flat rate",((D423+E423)*C423-G423)*Inputs!$L$10,IF(Inputs!$C$9="Residential",IF(((D423+E423)*C423-G423)&lt;='Assumptions and Catalog'!$C$50,((D423+E423)*C423-G423)*'Assumptions and Catalog'!$H$50+'Assumptions and Catalog'!$E$50+'Assumptions and Catalog'!$F$50,IF(((D423+E423)*C423-G423)&lt;='Assumptions and Catalog'!$C$51,((D423+E423)*C423-G423)*'Assumptions and Catalog'!$H$51+'Assumptions and Catalog'!$E$51+'Assumptions and Catalog'!$F$51,IF(((D423+E423)*C423-G423)&lt;='Assumptions and Catalog'!$C$52,((D423+E423)*C423-G423)*'Assumptions and Catalog'!$H$52+'Assumptions and Catalog'!$E$52+'Assumptions and Catalog'!$F$52,IF(((D423+E423)*C423-G423)&lt;='Assumptions and Catalog'!$C$53,((D423+E423)*C423-G423)*'Assumptions and Catalog'!$H$53+'Assumptions and Catalog'!$E$53+'Assumptions and Catalog'!$F$53,IF(((D423+E423)*C423-G423)&lt;='Assumptions and Catalog'!$C$54,((D423+E423)*C423-G423)*'Assumptions and Catalog'!$H$54+'Assumptions and Catalog'!$E$54+'Assumptions and Catalog'!$F$54,IF(((D423+E423)*C423-G423)&lt;='Assumptions and Catalog'!$C$55,((D423+E423)*C423-G423)*'Assumptions and Catalog'!$H$55+'Assumptions and Catalog'!$E$55+'Assumptions and Catalog'!$F$55,IF(((D423+E423)*C423-G423)&lt;='Assumptions and Catalog'!$C$56,((D423+E423)*C423-G423)*'Assumptions and Catalog'!$H$56+'Assumptions and Catalog'!$E$56+'Assumptions and Catalog'!$F$56,IF(((D423+E423)*C423-G423)&lt;='Assumptions and Catalog'!$C$57,((D423+E423)*C423-G423)*'Assumptions and Catalog'!$H$57+'Assumptions and Catalog'!$E$57+'Assumptions and Catalog'!$F$57,"Out of range")))))))),IF(((D423+E423)*C423-G423)&lt;='Assumptions and Catalog'!$C$60,((D423+E423)*C423-G423)*'Assumptions and Catalog'!$H$60+'Assumptions and Catalog'!$E$60+'Assumptions and Catalog'!$F$60,IF(((D423+E423)*C423-G423)&lt;='Assumptions and Catalog'!$C$61,((D423+E423)*C423-G423)*'Assumptions and Catalog'!$H$61+'Assumptions and Catalog'!$E$61+'Assumptions and Catalog'!$F$61,IF(((D423+E423)*C423-G423)&lt;='Assumptions and Catalog'!$C$62,((D423+E423)*C423-G423)*'Assumptions and Catalog'!$H$62+'Assumptions and Catalog'!$E$62+'Assumptions and Catalog'!$F$62,IF(((D423+E423)*C423-G423)&lt;='Assumptions and Catalog'!$C$63,((D423+E423)*C423-G423)*'Assumptions and Catalog'!$H$63+'Assumptions and Catalog'!$E$63+'Assumptions and Catalog'!$F$63,IF(((D423+E423)*C423-G423)&lt;='Assumptions and Catalog'!$C$64,((D423+E423)*C423-G423)*'Assumptions and Catalog'!$H$64+'Assumptions and Catalog'!$E$64+'Assumptions and Catalog'!$F$64,IF(((D423+E423)*C423-G423)&lt;='Assumptions and Catalog'!$C$65,((D423+E423)*C423-G423)*'Assumptions and Catalog'!$H$65+'Assumptions and Catalog'!$E$65+'Assumptions and Catalog'!$F$65,"Out of range")))))))))*(1+'Assumptions and Catalog'!$C$8)^(A423-1),0)</f>
        <v>8554.9666666666672</v>
      </c>
      <c r="R423" s="5">
        <f>IF(AND('Assumptions and Catalog'!$C$19&gt;0,A423&gt;='Assumptions and Catalog'!$C$19),A423-'Assumptions and Catalog'!$C$19,A423-1)</f>
        <v>1</v>
      </c>
      <c r="S423" s="5">
        <f>F423+L423-(D423+E423)*C423-J423-K423-IF(D$52&gt;0,'Assumptions and Catalog'!$C$26*C423,0)</f>
        <v>0</v>
      </c>
      <c r="T423" s="5"/>
      <c r="U423" s="5"/>
    </row>
    <row r="424" spans="1:21" ht="23.1" customHeight="1" outlineLevel="1" x14ac:dyDescent="0.2">
      <c r="A424" s="5">
        <v>2</v>
      </c>
      <c r="B424" s="5">
        <v>2</v>
      </c>
      <c r="C424" s="5">
        <f>DAY(DATE('Assumptions and Catalog'!$C$24+A424-1,B424+1,0))</f>
        <v>29</v>
      </c>
      <c r="D424" s="5">
        <f>IF(ISNUMBER(Inputs!$L$5),Inputs!$L$5*Inputs!$L$6,0)</f>
        <v>40.35</v>
      </c>
      <c r="E424" s="5">
        <f>IF(ISNUMBER(Inputs!$L$5),Inputs!$L$5-D424,0)</f>
        <v>40.35</v>
      </c>
      <c r="F424" s="5">
        <f>D$51*'Assumptions and Catalog'!$C$31*C424*(1-'Assumptions and Catalog'!$C$10)^(A424-1)</f>
        <v>0</v>
      </c>
      <c r="G424" s="5">
        <f t="shared" si="32"/>
        <v>0</v>
      </c>
      <c r="H424" s="5">
        <f>I424/('Assumptions and Catalog'!$C$11*'Assumptions and Catalog'!$C$12)</f>
        <v>0</v>
      </c>
      <c r="I424" s="5">
        <f>IF(K$15="Grid cycle",MIN(K$16,D424+E424,P424*'Assumptions and Catalog'!$C$12,D$57*(24-'Assumptions and Catalog'!$C$15),D$56*'Assumptions and Catalog'!$C$15*'Assumptions and Catalog'!$C$11*'Assumptions and Catalog'!$C$12)*C424,0)</f>
        <v>0</v>
      </c>
      <c r="J424" s="5">
        <f t="shared" si="33"/>
        <v>0</v>
      </c>
      <c r="K424" s="5">
        <f t="shared" si="34"/>
        <v>0</v>
      </c>
      <c r="L424" s="5">
        <f>(D424+E424)*C424-G424-I424+H424+IF(D$52&gt;0,'Assumptions and Catalog'!$C$26*C424,0)</f>
        <v>2340.3000000000002</v>
      </c>
      <c r="M424" s="5">
        <f>IF(ISNUMBER(Inputs!$L$5),(IF(Inputs!$L$9="Actual flat rate",((D424+E424)*C424)*Inputs!$L$10,IF(Inputs!$C$9="Residential",IF(((D424+E424)*C424)&lt;='Assumptions and Catalog'!$C$50,((D424+E424)*C424)*'Assumptions and Catalog'!$H$50+'Assumptions and Catalog'!$E$50+'Assumptions and Catalog'!$F$50,IF(((D424+E424)*C424)&lt;='Assumptions and Catalog'!$C$51,((D424+E424)*C424)*'Assumptions and Catalog'!$H$51+'Assumptions and Catalog'!$E$51+'Assumptions and Catalog'!$F$51,IF(((D424+E424)*C424)&lt;='Assumptions and Catalog'!$C$52,((D424+E424)*C424)*'Assumptions and Catalog'!$H$52+'Assumptions and Catalog'!$E$52+'Assumptions and Catalog'!$F$52,IF(((D424+E424)*C424)&lt;='Assumptions and Catalog'!$C$53,((D424+E424)*C424)*'Assumptions and Catalog'!$H$53+'Assumptions and Catalog'!$E$53+'Assumptions and Catalog'!$F$53,IF(((D424+E424)*C424)&lt;='Assumptions and Catalog'!$C$54,((D424+E424)*C424)*'Assumptions and Catalog'!$H$54+'Assumptions and Catalog'!$E$54+'Assumptions and Catalog'!$F$54,IF(((D424+E424)*C424)&lt;='Assumptions and Catalog'!$C$55,((D424+E424)*C424)*'Assumptions and Catalog'!$H$55+'Assumptions and Catalog'!$E$55+'Assumptions and Catalog'!$F$55,IF(((D424+E424)*C424)&lt;='Assumptions and Catalog'!$C$56,((D424+E424)*C424)*'Assumptions and Catalog'!$H$56+'Assumptions and Catalog'!$E$56+'Assumptions and Catalog'!$F$56,IF(((D424+E424)*C424)&lt;='Assumptions and Catalog'!$C$57,((D424+E424)*C424)*'Assumptions and Catalog'!$H$57+'Assumptions and Catalog'!$E$57+'Assumptions and Catalog'!$F$57,"Out of range")))))))),IF(((D424+E424)*C424)&lt;='Assumptions and Catalog'!$C$60,((D424+E424)*C424)*'Assumptions and Catalog'!$H$60+'Assumptions and Catalog'!$E$60+'Assumptions and Catalog'!$F$60,IF(((D424+E424)*C424)&lt;='Assumptions and Catalog'!$C$61,((D424+E424)*C424)*'Assumptions and Catalog'!$H$61+'Assumptions and Catalog'!$E$61+'Assumptions and Catalog'!$F$61,IF(((D424+E424)*C424)&lt;='Assumptions and Catalog'!$C$62,((D424+E424)*C424)*'Assumptions and Catalog'!$H$62+'Assumptions and Catalog'!$E$62+'Assumptions and Catalog'!$F$62,IF(((D424+E424)*C424)&lt;='Assumptions and Catalog'!$C$63,((D424+E424)*C424)*'Assumptions and Catalog'!$H$63+'Assumptions and Catalog'!$E$63+'Assumptions and Catalog'!$F$63,IF(((D424+E424)*C424)&lt;='Assumptions and Catalog'!$C$64,((D424+E424)*C424)*'Assumptions and Catalog'!$H$64+'Assumptions and Catalog'!$E$64+'Assumptions and Catalog'!$F$64,IF(((D424+E424)*C424)&lt;='Assumptions and Catalog'!$C$65,((D424+E424)*C424)*'Assumptions and Catalog'!$H$65+'Assumptions and Catalog'!$E$65+'Assumptions and Catalog'!$F$65,"Out of range")))))))))*(1+'Assumptions and Catalog'!$C$8)^(A424-1),0)</f>
        <v>8003.0333333333338</v>
      </c>
      <c r="N424" s="5">
        <f>IF(ISNUMBER(Inputs!$L$5),(IF(Inputs!$L$9="Actual flat rate",L424*Inputs!$L$10,IF(Inputs!$C$9="Residential",IF(L424&lt;='Assumptions and Catalog'!$C$50,L424*'Assumptions and Catalog'!$H$50+'Assumptions and Catalog'!$E$50+'Assumptions and Catalog'!$F$50,IF(L424&lt;='Assumptions and Catalog'!$C$51,L424*'Assumptions and Catalog'!$H$51+'Assumptions and Catalog'!$E$51+'Assumptions and Catalog'!$F$51,IF(L424&lt;='Assumptions and Catalog'!$C$52,L424*'Assumptions and Catalog'!$H$52+'Assumptions and Catalog'!$E$52+'Assumptions and Catalog'!$F$52,IF(L424&lt;='Assumptions and Catalog'!$C$53,L424*'Assumptions and Catalog'!$H$53+'Assumptions and Catalog'!$E$53+'Assumptions and Catalog'!$F$53,IF(L424&lt;='Assumptions and Catalog'!$C$54,L424*'Assumptions and Catalog'!$H$54+'Assumptions and Catalog'!$E$54+'Assumptions and Catalog'!$F$54,IF(L424&lt;='Assumptions and Catalog'!$C$55,L424*'Assumptions and Catalog'!$H$55+'Assumptions and Catalog'!$E$55+'Assumptions and Catalog'!$F$55,IF(L424&lt;='Assumptions and Catalog'!$C$56,L424*'Assumptions and Catalog'!$H$56+'Assumptions and Catalog'!$E$56+'Assumptions and Catalog'!$F$56,IF(L424&lt;='Assumptions and Catalog'!$C$57,L424*'Assumptions and Catalog'!$H$57+'Assumptions and Catalog'!$E$57+'Assumptions and Catalog'!$F$57,"Out of range")))))))),IF(L424&lt;='Assumptions and Catalog'!$C$60,L424*'Assumptions and Catalog'!$H$60+'Assumptions and Catalog'!$E$60+'Assumptions and Catalog'!$F$60,IF(L424&lt;='Assumptions and Catalog'!$C$61,L424*'Assumptions and Catalog'!$H$61+'Assumptions and Catalog'!$E$61+'Assumptions and Catalog'!$F$61,IF(L424&lt;='Assumptions and Catalog'!$C$62,L424*'Assumptions and Catalog'!$H$62+'Assumptions and Catalog'!$E$62+'Assumptions and Catalog'!$F$62,IF(L424&lt;='Assumptions and Catalog'!$C$63,L424*'Assumptions and Catalog'!$H$63+'Assumptions and Catalog'!$E$63+'Assumptions and Catalog'!$F$63,IF(L424&lt;='Assumptions and Catalog'!$C$64,L424*'Assumptions and Catalog'!$H$64+'Assumptions and Catalog'!$E$64+'Assumptions and Catalog'!$F$64,IF(L424&lt;='Assumptions and Catalog'!$C$65,L424*'Assumptions and Catalog'!$H$65+'Assumptions and Catalog'!$E$65+'Assumptions and Catalog'!$F$65,"Out of range")))))))))*(1+'Assumptions and Catalog'!$C$8)^(A424-1),0)</f>
        <v>8003.0333333333338</v>
      </c>
      <c r="O424" s="5">
        <f t="shared" si="35"/>
        <v>0</v>
      </c>
      <c r="P424" s="5">
        <f>D$55*(1-K$14)*(1-'Assumptions and Catalog'!$C$23)^R424</f>
        <v>0</v>
      </c>
      <c r="Q424" s="5">
        <f>IF(ISNUMBER(Inputs!$L$5),(IF(Inputs!$L$9="Actual flat rate",((D424+E424)*C424-G424)*Inputs!$L$10,IF(Inputs!$C$9="Residential",IF(((D424+E424)*C424-G424)&lt;='Assumptions and Catalog'!$C$50,((D424+E424)*C424-G424)*'Assumptions and Catalog'!$H$50+'Assumptions and Catalog'!$E$50+'Assumptions and Catalog'!$F$50,IF(((D424+E424)*C424-G424)&lt;='Assumptions and Catalog'!$C$51,((D424+E424)*C424-G424)*'Assumptions and Catalog'!$H$51+'Assumptions and Catalog'!$E$51+'Assumptions and Catalog'!$F$51,IF(((D424+E424)*C424-G424)&lt;='Assumptions and Catalog'!$C$52,((D424+E424)*C424-G424)*'Assumptions and Catalog'!$H$52+'Assumptions and Catalog'!$E$52+'Assumptions and Catalog'!$F$52,IF(((D424+E424)*C424-G424)&lt;='Assumptions and Catalog'!$C$53,((D424+E424)*C424-G424)*'Assumptions and Catalog'!$H$53+'Assumptions and Catalog'!$E$53+'Assumptions and Catalog'!$F$53,IF(((D424+E424)*C424-G424)&lt;='Assumptions and Catalog'!$C$54,((D424+E424)*C424-G424)*'Assumptions and Catalog'!$H$54+'Assumptions and Catalog'!$E$54+'Assumptions and Catalog'!$F$54,IF(((D424+E424)*C424-G424)&lt;='Assumptions and Catalog'!$C$55,((D424+E424)*C424-G424)*'Assumptions and Catalog'!$H$55+'Assumptions and Catalog'!$E$55+'Assumptions and Catalog'!$F$55,IF(((D424+E424)*C424-G424)&lt;='Assumptions and Catalog'!$C$56,((D424+E424)*C424-G424)*'Assumptions and Catalog'!$H$56+'Assumptions and Catalog'!$E$56+'Assumptions and Catalog'!$F$56,IF(((D424+E424)*C424-G424)&lt;='Assumptions and Catalog'!$C$57,((D424+E424)*C424-G424)*'Assumptions and Catalog'!$H$57+'Assumptions and Catalog'!$E$57+'Assumptions and Catalog'!$F$57,"Out of range")))))))),IF(((D424+E424)*C424-G424)&lt;='Assumptions and Catalog'!$C$60,((D424+E424)*C424-G424)*'Assumptions and Catalog'!$H$60+'Assumptions and Catalog'!$E$60+'Assumptions and Catalog'!$F$60,IF(((D424+E424)*C424-G424)&lt;='Assumptions and Catalog'!$C$61,((D424+E424)*C424-G424)*'Assumptions and Catalog'!$H$61+'Assumptions and Catalog'!$E$61+'Assumptions and Catalog'!$F$61,IF(((D424+E424)*C424-G424)&lt;='Assumptions and Catalog'!$C$62,((D424+E424)*C424-G424)*'Assumptions and Catalog'!$H$62+'Assumptions and Catalog'!$E$62+'Assumptions and Catalog'!$F$62,IF(((D424+E424)*C424-G424)&lt;='Assumptions and Catalog'!$C$63,((D424+E424)*C424-G424)*'Assumptions and Catalog'!$H$63+'Assumptions and Catalog'!$E$63+'Assumptions and Catalog'!$F$63,IF(((D424+E424)*C424-G424)&lt;='Assumptions and Catalog'!$C$64,((D424+E424)*C424-G424)*'Assumptions and Catalog'!$H$64+'Assumptions and Catalog'!$E$64+'Assumptions and Catalog'!$F$64,IF(((D424+E424)*C424-G424)&lt;='Assumptions and Catalog'!$C$65,((D424+E424)*C424-G424)*'Assumptions and Catalog'!$H$65+'Assumptions and Catalog'!$E$65+'Assumptions and Catalog'!$F$65,"Out of range")))))))))*(1+'Assumptions and Catalog'!$C$8)^(A424-1),0)</f>
        <v>8003.0333333333338</v>
      </c>
      <c r="R424" s="5">
        <f>IF(AND('Assumptions and Catalog'!$C$19&gt;0,A424&gt;='Assumptions and Catalog'!$C$19),A424-'Assumptions and Catalog'!$C$19,A424-1)</f>
        <v>1</v>
      </c>
      <c r="S424" s="5">
        <f>F424+L424-(D424+E424)*C424-J424-K424-IF(D$52&gt;0,'Assumptions and Catalog'!$C$26*C424,0)</f>
        <v>0</v>
      </c>
      <c r="T424" s="5"/>
      <c r="U424" s="5"/>
    </row>
    <row r="425" spans="1:21" ht="23.1" customHeight="1" outlineLevel="1" x14ac:dyDescent="0.2">
      <c r="A425" s="5">
        <v>2</v>
      </c>
      <c r="B425" s="5">
        <v>3</v>
      </c>
      <c r="C425" s="5">
        <f>DAY(DATE('Assumptions and Catalog'!$C$24+A425-1,B425+1,0))</f>
        <v>31</v>
      </c>
      <c r="D425" s="5">
        <f>IF(ISNUMBER(Inputs!$L$5),Inputs!$L$5*Inputs!$L$6,0)</f>
        <v>40.35</v>
      </c>
      <c r="E425" s="5">
        <f>IF(ISNUMBER(Inputs!$L$5),Inputs!$L$5-D425,0)</f>
        <v>40.35</v>
      </c>
      <c r="F425" s="5">
        <f>D$51*'Assumptions and Catalog'!$C$31*C425*(1-'Assumptions and Catalog'!$C$10)^(A425-1)</f>
        <v>0</v>
      </c>
      <c r="G425" s="5">
        <f t="shared" si="32"/>
        <v>0</v>
      </c>
      <c r="H425" s="5">
        <f>I425/('Assumptions and Catalog'!$C$11*'Assumptions and Catalog'!$C$12)</f>
        <v>0</v>
      </c>
      <c r="I425" s="5">
        <f>IF(K$15="Grid cycle",MIN(K$16,D425+E425,P425*'Assumptions and Catalog'!$C$12,D$57*(24-'Assumptions and Catalog'!$C$15),D$56*'Assumptions and Catalog'!$C$15*'Assumptions and Catalog'!$C$11*'Assumptions and Catalog'!$C$12)*C425,0)</f>
        <v>0</v>
      </c>
      <c r="J425" s="5">
        <f t="shared" si="33"/>
        <v>0</v>
      </c>
      <c r="K425" s="5">
        <f t="shared" si="34"/>
        <v>0</v>
      </c>
      <c r="L425" s="5">
        <f>(D425+E425)*C425-G425-I425+H425+IF(D$52&gt;0,'Assumptions and Catalog'!$C$26*C425,0)</f>
        <v>2501.7000000000003</v>
      </c>
      <c r="M425" s="5">
        <f>IF(ISNUMBER(Inputs!$L$5),(IF(Inputs!$L$9="Actual flat rate",((D425+E425)*C425)*Inputs!$L$10,IF(Inputs!$C$9="Residential",IF(((D425+E425)*C425)&lt;='Assumptions and Catalog'!$C$50,((D425+E425)*C425)*'Assumptions and Catalog'!$H$50+'Assumptions and Catalog'!$E$50+'Assumptions and Catalog'!$F$50,IF(((D425+E425)*C425)&lt;='Assumptions and Catalog'!$C$51,((D425+E425)*C425)*'Assumptions and Catalog'!$H$51+'Assumptions and Catalog'!$E$51+'Assumptions and Catalog'!$F$51,IF(((D425+E425)*C425)&lt;='Assumptions and Catalog'!$C$52,((D425+E425)*C425)*'Assumptions and Catalog'!$H$52+'Assumptions and Catalog'!$E$52+'Assumptions and Catalog'!$F$52,IF(((D425+E425)*C425)&lt;='Assumptions and Catalog'!$C$53,((D425+E425)*C425)*'Assumptions and Catalog'!$H$53+'Assumptions and Catalog'!$E$53+'Assumptions and Catalog'!$F$53,IF(((D425+E425)*C425)&lt;='Assumptions and Catalog'!$C$54,((D425+E425)*C425)*'Assumptions and Catalog'!$H$54+'Assumptions and Catalog'!$E$54+'Assumptions and Catalog'!$F$54,IF(((D425+E425)*C425)&lt;='Assumptions and Catalog'!$C$55,((D425+E425)*C425)*'Assumptions and Catalog'!$H$55+'Assumptions and Catalog'!$E$55+'Assumptions and Catalog'!$F$55,IF(((D425+E425)*C425)&lt;='Assumptions and Catalog'!$C$56,((D425+E425)*C425)*'Assumptions and Catalog'!$H$56+'Assumptions and Catalog'!$E$56+'Assumptions and Catalog'!$F$56,IF(((D425+E425)*C425)&lt;='Assumptions and Catalog'!$C$57,((D425+E425)*C425)*'Assumptions and Catalog'!$H$57+'Assumptions and Catalog'!$E$57+'Assumptions and Catalog'!$F$57,"Out of range")))))))),IF(((D425+E425)*C425)&lt;='Assumptions and Catalog'!$C$60,((D425+E425)*C425)*'Assumptions and Catalog'!$H$60+'Assumptions and Catalog'!$E$60+'Assumptions and Catalog'!$F$60,IF(((D425+E425)*C425)&lt;='Assumptions and Catalog'!$C$61,((D425+E425)*C425)*'Assumptions and Catalog'!$H$61+'Assumptions and Catalog'!$E$61+'Assumptions and Catalog'!$F$61,IF(((D425+E425)*C425)&lt;='Assumptions and Catalog'!$C$62,((D425+E425)*C425)*'Assumptions and Catalog'!$H$62+'Assumptions and Catalog'!$E$62+'Assumptions and Catalog'!$F$62,IF(((D425+E425)*C425)&lt;='Assumptions and Catalog'!$C$63,((D425+E425)*C425)*'Assumptions and Catalog'!$H$63+'Assumptions and Catalog'!$E$63+'Assumptions and Catalog'!$F$63,IF(((D425+E425)*C425)&lt;='Assumptions and Catalog'!$C$64,((D425+E425)*C425)*'Assumptions and Catalog'!$H$64+'Assumptions and Catalog'!$E$64+'Assumptions and Catalog'!$F$64,IF(((D425+E425)*C425)&lt;='Assumptions and Catalog'!$C$65,((D425+E425)*C425)*'Assumptions and Catalog'!$H$65+'Assumptions and Catalog'!$E$65+'Assumptions and Catalog'!$F$65,"Out of range")))))))))*(1+'Assumptions and Catalog'!$C$8)^(A425-1),0)</f>
        <v>8554.9666666666672</v>
      </c>
      <c r="N425" s="5">
        <f>IF(ISNUMBER(Inputs!$L$5),(IF(Inputs!$L$9="Actual flat rate",L425*Inputs!$L$10,IF(Inputs!$C$9="Residential",IF(L425&lt;='Assumptions and Catalog'!$C$50,L425*'Assumptions and Catalog'!$H$50+'Assumptions and Catalog'!$E$50+'Assumptions and Catalog'!$F$50,IF(L425&lt;='Assumptions and Catalog'!$C$51,L425*'Assumptions and Catalog'!$H$51+'Assumptions and Catalog'!$E$51+'Assumptions and Catalog'!$F$51,IF(L425&lt;='Assumptions and Catalog'!$C$52,L425*'Assumptions and Catalog'!$H$52+'Assumptions and Catalog'!$E$52+'Assumptions and Catalog'!$F$52,IF(L425&lt;='Assumptions and Catalog'!$C$53,L425*'Assumptions and Catalog'!$H$53+'Assumptions and Catalog'!$E$53+'Assumptions and Catalog'!$F$53,IF(L425&lt;='Assumptions and Catalog'!$C$54,L425*'Assumptions and Catalog'!$H$54+'Assumptions and Catalog'!$E$54+'Assumptions and Catalog'!$F$54,IF(L425&lt;='Assumptions and Catalog'!$C$55,L425*'Assumptions and Catalog'!$H$55+'Assumptions and Catalog'!$E$55+'Assumptions and Catalog'!$F$55,IF(L425&lt;='Assumptions and Catalog'!$C$56,L425*'Assumptions and Catalog'!$H$56+'Assumptions and Catalog'!$E$56+'Assumptions and Catalog'!$F$56,IF(L425&lt;='Assumptions and Catalog'!$C$57,L425*'Assumptions and Catalog'!$H$57+'Assumptions and Catalog'!$E$57+'Assumptions and Catalog'!$F$57,"Out of range")))))))),IF(L425&lt;='Assumptions and Catalog'!$C$60,L425*'Assumptions and Catalog'!$H$60+'Assumptions and Catalog'!$E$60+'Assumptions and Catalog'!$F$60,IF(L425&lt;='Assumptions and Catalog'!$C$61,L425*'Assumptions and Catalog'!$H$61+'Assumptions and Catalog'!$E$61+'Assumptions and Catalog'!$F$61,IF(L425&lt;='Assumptions and Catalog'!$C$62,L425*'Assumptions and Catalog'!$H$62+'Assumptions and Catalog'!$E$62+'Assumptions and Catalog'!$F$62,IF(L425&lt;='Assumptions and Catalog'!$C$63,L425*'Assumptions and Catalog'!$H$63+'Assumptions and Catalog'!$E$63+'Assumptions and Catalog'!$F$63,IF(L425&lt;='Assumptions and Catalog'!$C$64,L425*'Assumptions and Catalog'!$H$64+'Assumptions and Catalog'!$E$64+'Assumptions and Catalog'!$F$64,IF(L425&lt;='Assumptions and Catalog'!$C$65,L425*'Assumptions and Catalog'!$H$65+'Assumptions and Catalog'!$E$65+'Assumptions and Catalog'!$F$65,"Out of range")))))))))*(1+'Assumptions and Catalog'!$C$8)^(A425-1),0)</f>
        <v>8554.9666666666672</v>
      </c>
      <c r="O425" s="5">
        <f t="shared" si="35"/>
        <v>0</v>
      </c>
      <c r="P425" s="5">
        <f>D$55*(1-K$14)*(1-'Assumptions and Catalog'!$C$23)^R425</f>
        <v>0</v>
      </c>
      <c r="Q425" s="5">
        <f>IF(ISNUMBER(Inputs!$L$5),(IF(Inputs!$L$9="Actual flat rate",((D425+E425)*C425-G425)*Inputs!$L$10,IF(Inputs!$C$9="Residential",IF(((D425+E425)*C425-G425)&lt;='Assumptions and Catalog'!$C$50,((D425+E425)*C425-G425)*'Assumptions and Catalog'!$H$50+'Assumptions and Catalog'!$E$50+'Assumptions and Catalog'!$F$50,IF(((D425+E425)*C425-G425)&lt;='Assumptions and Catalog'!$C$51,((D425+E425)*C425-G425)*'Assumptions and Catalog'!$H$51+'Assumptions and Catalog'!$E$51+'Assumptions and Catalog'!$F$51,IF(((D425+E425)*C425-G425)&lt;='Assumptions and Catalog'!$C$52,((D425+E425)*C425-G425)*'Assumptions and Catalog'!$H$52+'Assumptions and Catalog'!$E$52+'Assumptions and Catalog'!$F$52,IF(((D425+E425)*C425-G425)&lt;='Assumptions and Catalog'!$C$53,((D425+E425)*C425-G425)*'Assumptions and Catalog'!$H$53+'Assumptions and Catalog'!$E$53+'Assumptions and Catalog'!$F$53,IF(((D425+E425)*C425-G425)&lt;='Assumptions and Catalog'!$C$54,((D425+E425)*C425-G425)*'Assumptions and Catalog'!$H$54+'Assumptions and Catalog'!$E$54+'Assumptions and Catalog'!$F$54,IF(((D425+E425)*C425-G425)&lt;='Assumptions and Catalog'!$C$55,((D425+E425)*C425-G425)*'Assumptions and Catalog'!$H$55+'Assumptions and Catalog'!$E$55+'Assumptions and Catalog'!$F$55,IF(((D425+E425)*C425-G425)&lt;='Assumptions and Catalog'!$C$56,((D425+E425)*C425-G425)*'Assumptions and Catalog'!$H$56+'Assumptions and Catalog'!$E$56+'Assumptions and Catalog'!$F$56,IF(((D425+E425)*C425-G425)&lt;='Assumptions and Catalog'!$C$57,((D425+E425)*C425-G425)*'Assumptions and Catalog'!$H$57+'Assumptions and Catalog'!$E$57+'Assumptions and Catalog'!$F$57,"Out of range")))))))),IF(((D425+E425)*C425-G425)&lt;='Assumptions and Catalog'!$C$60,((D425+E425)*C425-G425)*'Assumptions and Catalog'!$H$60+'Assumptions and Catalog'!$E$60+'Assumptions and Catalog'!$F$60,IF(((D425+E425)*C425-G425)&lt;='Assumptions and Catalog'!$C$61,((D425+E425)*C425-G425)*'Assumptions and Catalog'!$H$61+'Assumptions and Catalog'!$E$61+'Assumptions and Catalog'!$F$61,IF(((D425+E425)*C425-G425)&lt;='Assumptions and Catalog'!$C$62,((D425+E425)*C425-G425)*'Assumptions and Catalog'!$H$62+'Assumptions and Catalog'!$E$62+'Assumptions and Catalog'!$F$62,IF(((D425+E425)*C425-G425)&lt;='Assumptions and Catalog'!$C$63,((D425+E425)*C425-G425)*'Assumptions and Catalog'!$H$63+'Assumptions and Catalog'!$E$63+'Assumptions and Catalog'!$F$63,IF(((D425+E425)*C425-G425)&lt;='Assumptions and Catalog'!$C$64,((D425+E425)*C425-G425)*'Assumptions and Catalog'!$H$64+'Assumptions and Catalog'!$E$64+'Assumptions and Catalog'!$F$64,IF(((D425+E425)*C425-G425)&lt;='Assumptions and Catalog'!$C$65,((D425+E425)*C425-G425)*'Assumptions and Catalog'!$H$65+'Assumptions and Catalog'!$E$65+'Assumptions and Catalog'!$F$65,"Out of range")))))))))*(1+'Assumptions and Catalog'!$C$8)^(A425-1),0)</f>
        <v>8554.9666666666672</v>
      </c>
      <c r="R425" s="5">
        <f>IF(AND('Assumptions and Catalog'!$C$19&gt;0,A425&gt;='Assumptions and Catalog'!$C$19),A425-'Assumptions and Catalog'!$C$19,A425-1)</f>
        <v>1</v>
      </c>
      <c r="S425" s="5">
        <f>F425+L425-(D425+E425)*C425-J425-K425-IF(D$52&gt;0,'Assumptions and Catalog'!$C$26*C425,0)</f>
        <v>0</v>
      </c>
      <c r="T425" s="5"/>
      <c r="U425" s="5"/>
    </row>
    <row r="426" spans="1:21" ht="23.1" customHeight="1" outlineLevel="1" x14ac:dyDescent="0.2">
      <c r="A426" s="5">
        <v>2</v>
      </c>
      <c r="B426" s="5">
        <v>4</v>
      </c>
      <c r="C426" s="5">
        <f>DAY(DATE('Assumptions and Catalog'!$C$24+A426-1,B426+1,0))</f>
        <v>30</v>
      </c>
      <c r="D426" s="5">
        <f>IF(ISNUMBER(Inputs!$L$5),Inputs!$L$5*Inputs!$L$6,0)</f>
        <v>40.35</v>
      </c>
      <c r="E426" s="5">
        <f>IF(ISNUMBER(Inputs!$L$5),Inputs!$L$5-D426,0)</f>
        <v>40.35</v>
      </c>
      <c r="F426" s="5">
        <f>D$51*'Assumptions and Catalog'!$C$31*C426*(1-'Assumptions and Catalog'!$C$10)^(A426-1)</f>
        <v>0</v>
      </c>
      <c r="G426" s="5">
        <f t="shared" si="32"/>
        <v>0</v>
      </c>
      <c r="H426" s="5">
        <f>I426/('Assumptions and Catalog'!$C$11*'Assumptions and Catalog'!$C$12)</f>
        <v>0</v>
      </c>
      <c r="I426" s="5">
        <f>IF(K$15="Grid cycle",MIN(K$16,D426+E426,P426*'Assumptions and Catalog'!$C$12,D$57*(24-'Assumptions and Catalog'!$C$15),D$56*'Assumptions and Catalog'!$C$15*'Assumptions and Catalog'!$C$11*'Assumptions and Catalog'!$C$12)*C426,0)</f>
        <v>0</v>
      </c>
      <c r="J426" s="5">
        <f t="shared" si="33"/>
        <v>0</v>
      </c>
      <c r="K426" s="5">
        <f t="shared" si="34"/>
        <v>0</v>
      </c>
      <c r="L426" s="5">
        <f>(D426+E426)*C426-G426-I426+H426+IF(D$52&gt;0,'Assumptions and Catalog'!$C$26*C426,0)</f>
        <v>2421</v>
      </c>
      <c r="M426" s="5">
        <f>IF(ISNUMBER(Inputs!$L$5),(IF(Inputs!$L$9="Actual flat rate",((D426+E426)*C426)*Inputs!$L$10,IF(Inputs!$C$9="Residential",IF(((D426+E426)*C426)&lt;='Assumptions and Catalog'!$C$50,((D426+E426)*C426)*'Assumptions and Catalog'!$H$50+'Assumptions and Catalog'!$E$50+'Assumptions and Catalog'!$F$50,IF(((D426+E426)*C426)&lt;='Assumptions and Catalog'!$C$51,((D426+E426)*C426)*'Assumptions and Catalog'!$H$51+'Assumptions and Catalog'!$E$51+'Assumptions and Catalog'!$F$51,IF(((D426+E426)*C426)&lt;='Assumptions and Catalog'!$C$52,((D426+E426)*C426)*'Assumptions and Catalog'!$H$52+'Assumptions and Catalog'!$E$52+'Assumptions and Catalog'!$F$52,IF(((D426+E426)*C426)&lt;='Assumptions and Catalog'!$C$53,((D426+E426)*C426)*'Assumptions and Catalog'!$H$53+'Assumptions and Catalog'!$E$53+'Assumptions and Catalog'!$F$53,IF(((D426+E426)*C426)&lt;='Assumptions and Catalog'!$C$54,((D426+E426)*C426)*'Assumptions and Catalog'!$H$54+'Assumptions and Catalog'!$E$54+'Assumptions and Catalog'!$F$54,IF(((D426+E426)*C426)&lt;='Assumptions and Catalog'!$C$55,((D426+E426)*C426)*'Assumptions and Catalog'!$H$55+'Assumptions and Catalog'!$E$55+'Assumptions and Catalog'!$F$55,IF(((D426+E426)*C426)&lt;='Assumptions and Catalog'!$C$56,((D426+E426)*C426)*'Assumptions and Catalog'!$H$56+'Assumptions and Catalog'!$E$56+'Assumptions and Catalog'!$F$56,IF(((D426+E426)*C426)&lt;='Assumptions and Catalog'!$C$57,((D426+E426)*C426)*'Assumptions and Catalog'!$H$57+'Assumptions and Catalog'!$E$57+'Assumptions and Catalog'!$F$57,"Out of range")))))))),IF(((D426+E426)*C426)&lt;='Assumptions and Catalog'!$C$60,((D426+E426)*C426)*'Assumptions and Catalog'!$H$60+'Assumptions and Catalog'!$E$60+'Assumptions and Catalog'!$F$60,IF(((D426+E426)*C426)&lt;='Assumptions and Catalog'!$C$61,((D426+E426)*C426)*'Assumptions and Catalog'!$H$61+'Assumptions and Catalog'!$E$61+'Assumptions and Catalog'!$F$61,IF(((D426+E426)*C426)&lt;='Assumptions and Catalog'!$C$62,((D426+E426)*C426)*'Assumptions and Catalog'!$H$62+'Assumptions and Catalog'!$E$62+'Assumptions and Catalog'!$F$62,IF(((D426+E426)*C426)&lt;='Assumptions and Catalog'!$C$63,((D426+E426)*C426)*'Assumptions and Catalog'!$H$63+'Assumptions and Catalog'!$E$63+'Assumptions and Catalog'!$F$63,IF(((D426+E426)*C426)&lt;='Assumptions and Catalog'!$C$64,((D426+E426)*C426)*'Assumptions and Catalog'!$H$64+'Assumptions and Catalog'!$E$64+'Assumptions and Catalog'!$F$64,IF(((D426+E426)*C426)&lt;='Assumptions and Catalog'!$C$65,((D426+E426)*C426)*'Assumptions and Catalog'!$H$65+'Assumptions and Catalog'!$E$65+'Assumptions and Catalog'!$F$65,"Out of range")))))))))*(1+'Assumptions and Catalog'!$C$8)^(A426-1),0)</f>
        <v>8279</v>
      </c>
      <c r="N426" s="5">
        <f>IF(ISNUMBER(Inputs!$L$5),(IF(Inputs!$L$9="Actual flat rate",L426*Inputs!$L$10,IF(Inputs!$C$9="Residential",IF(L426&lt;='Assumptions and Catalog'!$C$50,L426*'Assumptions and Catalog'!$H$50+'Assumptions and Catalog'!$E$50+'Assumptions and Catalog'!$F$50,IF(L426&lt;='Assumptions and Catalog'!$C$51,L426*'Assumptions and Catalog'!$H$51+'Assumptions and Catalog'!$E$51+'Assumptions and Catalog'!$F$51,IF(L426&lt;='Assumptions and Catalog'!$C$52,L426*'Assumptions and Catalog'!$H$52+'Assumptions and Catalog'!$E$52+'Assumptions and Catalog'!$F$52,IF(L426&lt;='Assumptions and Catalog'!$C$53,L426*'Assumptions and Catalog'!$H$53+'Assumptions and Catalog'!$E$53+'Assumptions and Catalog'!$F$53,IF(L426&lt;='Assumptions and Catalog'!$C$54,L426*'Assumptions and Catalog'!$H$54+'Assumptions and Catalog'!$E$54+'Assumptions and Catalog'!$F$54,IF(L426&lt;='Assumptions and Catalog'!$C$55,L426*'Assumptions and Catalog'!$H$55+'Assumptions and Catalog'!$E$55+'Assumptions and Catalog'!$F$55,IF(L426&lt;='Assumptions and Catalog'!$C$56,L426*'Assumptions and Catalog'!$H$56+'Assumptions and Catalog'!$E$56+'Assumptions and Catalog'!$F$56,IF(L426&lt;='Assumptions and Catalog'!$C$57,L426*'Assumptions and Catalog'!$H$57+'Assumptions and Catalog'!$E$57+'Assumptions and Catalog'!$F$57,"Out of range")))))))),IF(L426&lt;='Assumptions and Catalog'!$C$60,L426*'Assumptions and Catalog'!$H$60+'Assumptions and Catalog'!$E$60+'Assumptions and Catalog'!$F$60,IF(L426&lt;='Assumptions and Catalog'!$C$61,L426*'Assumptions and Catalog'!$H$61+'Assumptions and Catalog'!$E$61+'Assumptions and Catalog'!$F$61,IF(L426&lt;='Assumptions and Catalog'!$C$62,L426*'Assumptions and Catalog'!$H$62+'Assumptions and Catalog'!$E$62+'Assumptions and Catalog'!$F$62,IF(L426&lt;='Assumptions and Catalog'!$C$63,L426*'Assumptions and Catalog'!$H$63+'Assumptions and Catalog'!$E$63+'Assumptions and Catalog'!$F$63,IF(L426&lt;='Assumptions and Catalog'!$C$64,L426*'Assumptions and Catalog'!$H$64+'Assumptions and Catalog'!$E$64+'Assumptions and Catalog'!$F$64,IF(L426&lt;='Assumptions and Catalog'!$C$65,L426*'Assumptions and Catalog'!$H$65+'Assumptions and Catalog'!$E$65+'Assumptions and Catalog'!$F$65,"Out of range")))))))))*(1+'Assumptions and Catalog'!$C$8)^(A426-1),0)</f>
        <v>8279</v>
      </c>
      <c r="O426" s="5">
        <f t="shared" si="35"/>
        <v>0</v>
      </c>
      <c r="P426" s="5">
        <f>D$55*(1-K$14)*(1-'Assumptions and Catalog'!$C$23)^R426</f>
        <v>0</v>
      </c>
      <c r="Q426" s="5">
        <f>IF(ISNUMBER(Inputs!$L$5),(IF(Inputs!$L$9="Actual flat rate",((D426+E426)*C426-G426)*Inputs!$L$10,IF(Inputs!$C$9="Residential",IF(((D426+E426)*C426-G426)&lt;='Assumptions and Catalog'!$C$50,((D426+E426)*C426-G426)*'Assumptions and Catalog'!$H$50+'Assumptions and Catalog'!$E$50+'Assumptions and Catalog'!$F$50,IF(((D426+E426)*C426-G426)&lt;='Assumptions and Catalog'!$C$51,((D426+E426)*C426-G426)*'Assumptions and Catalog'!$H$51+'Assumptions and Catalog'!$E$51+'Assumptions and Catalog'!$F$51,IF(((D426+E426)*C426-G426)&lt;='Assumptions and Catalog'!$C$52,((D426+E426)*C426-G426)*'Assumptions and Catalog'!$H$52+'Assumptions and Catalog'!$E$52+'Assumptions and Catalog'!$F$52,IF(((D426+E426)*C426-G426)&lt;='Assumptions and Catalog'!$C$53,((D426+E426)*C426-G426)*'Assumptions and Catalog'!$H$53+'Assumptions and Catalog'!$E$53+'Assumptions and Catalog'!$F$53,IF(((D426+E426)*C426-G426)&lt;='Assumptions and Catalog'!$C$54,((D426+E426)*C426-G426)*'Assumptions and Catalog'!$H$54+'Assumptions and Catalog'!$E$54+'Assumptions and Catalog'!$F$54,IF(((D426+E426)*C426-G426)&lt;='Assumptions and Catalog'!$C$55,((D426+E426)*C426-G426)*'Assumptions and Catalog'!$H$55+'Assumptions and Catalog'!$E$55+'Assumptions and Catalog'!$F$55,IF(((D426+E426)*C426-G426)&lt;='Assumptions and Catalog'!$C$56,((D426+E426)*C426-G426)*'Assumptions and Catalog'!$H$56+'Assumptions and Catalog'!$E$56+'Assumptions and Catalog'!$F$56,IF(((D426+E426)*C426-G426)&lt;='Assumptions and Catalog'!$C$57,((D426+E426)*C426-G426)*'Assumptions and Catalog'!$H$57+'Assumptions and Catalog'!$E$57+'Assumptions and Catalog'!$F$57,"Out of range")))))))),IF(((D426+E426)*C426-G426)&lt;='Assumptions and Catalog'!$C$60,((D426+E426)*C426-G426)*'Assumptions and Catalog'!$H$60+'Assumptions and Catalog'!$E$60+'Assumptions and Catalog'!$F$60,IF(((D426+E426)*C426-G426)&lt;='Assumptions and Catalog'!$C$61,((D426+E426)*C426-G426)*'Assumptions and Catalog'!$H$61+'Assumptions and Catalog'!$E$61+'Assumptions and Catalog'!$F$61,IF(((D426+E426)*C426-G426)&lt;='Assumptions and Catalog'!$C$62,((D426+E426)*C426-G426)*'Assumptions and Catalog'!$H$62+'Assumptions and Catalog'!$E$62+'Assumptions and Catalog'!$F$62,IF(((D426+E426)*C426-G426)&lt;='Assumptions and Catalog'!$C$63,((D426+E426)*C426-G426)*'Assumptions and Catalog'!$H$63+'Assumptions and Catalog'!$E$63+'Assumptions and Catalog'!$F$63,IF(((D426+E426)*C426-G426)&lt;='Assumptions and Catalog'!$C$64,((D426+E426)*C426-G426)*'Assumptions and Catalog'!$H$64+'Assumptions and Catalog'!$E$64+'Assumptions and Catalog'!$F$64,IF(((D426+E426)*C426-G426)&lt;='Assumptions and Catalog'!$C$65,((D426+E426)*C426-G426)*'Assumptions and Catalog'!$H$65+'Assumptions and Catalog'!$E$65+'Assumptions and Catalog'!$F$65,"Out of range")))))))))*(1+'Assumptions and Catalog'!$C$8)^(A426-1),0)</f>
        <v>8279</v>
      </c>
      <c r="R426" s="5">
        <f>IF(AND('Assumptions and Catalog'!$C$19&gt;0,A426&gt;='Assumptions and Catalog'!$C$19),A426-'Assumptions and Catalog'!$C$19,A426-1)</f>
        <v>1</v>
      </c>
      <c r="S426" s="5">
        <f>F426+L426-(D426+E426)*C426-J426-K426-IF(D$52&gt;0,'Assumptions and Catalog'!$C$26*C426,0)</f>
        <v>0</v>
      </c>
      <c r="T426" s="5"/>
      <c r="U426" s="5"/>
    </row>
    <row r="427" spans="1:21" ht="23.1" customHeight="1" outlineLevel="1" x14ac:dyDescent="0.2">
      <c r="A427" s="5">
        <v>2</v>
      </c>
      <c r="B427" s="5">
        <v>5</v>
      </c>
      <c r="C427" s="5">
        <f>DAY(DATE('Assumptions and Catalog'!$C$24+A427-1,B427+1,0))</f>
        <v>31</v>
      </c>
      <c r="D427" s="5">
        <f>IF(ISNUMBER(Inputs!$L$5),Inputs!$L$5*Inputs!$L$6,0)</f>
        <v>40.35</v>
      </c>
      <c r="E427" s="5">
        <f>IF(ISNUMBER(Inputs!$L$5),Inputs!$L$5-D427,0)</f>
        <v>40.35</v>
      </c>
      <c r="F427" s="5">
        <f>D$51*'Assumptions and Catalog'!$C$31*C427*(1-'Assumptions and Catalog'!$C$10)^(A427-1)</f>
        <v>0</v>
      </c>
      <c r="G427" s="5">
        <f t="shared" si="32"/>
        <v>0</v>
      </c>
      <c r="H427" s="5">
        <f>I427/('Assumptions and Catalog'!$C$11*'Assumptions and Catalog'!$C$12)</f>
        <v>0</v>
      </c>
      <c r="I427" s="5">
        <f>IF(K$15="Grid cycle",MIN(K$16,D427+E427,P427*'Assumptions and Catalog'!$C$12,D$57*(24-'Assumptions and Catalog'!$C$15),D$56*'Assumptions and Catalog'!$C$15*'Assumptions and Catalog'!$C$11*'Assumptions and Catalog'!$C$12)*C427,0)</f>
        <v>0</v>
      </c>
      <c r="J427" s="5">
        <f t="shared" si="33"/>
        <v>0</v>
      </c>
      <c r="K427" s="5">
        <f t="shared" si="34"/>
        <v>0</v>
      </c>
      <c r="L427" s="5">
        <f>(D427+E427)*C427-G427-I427+H427+IF(D$52&gt;0,'Assumptions and Catalog'!$C$26*C427,0)</f>
        <v>2501.7000000000003</v>
      </c>
      <c r="M427" s="5">
        <f>IF(ISNUMBER(Inputs!$L$5),(IF(Inputs!$L$9="Actual flat rate",((D427+E427)*C427)*Inputs!$L$10,IF(Inputs!$C$9="Residential",IF(((D427+E427)*C427)&lt;='Assumptions and Catalog'!$C$50,((D427+E427)*C427)*'Assumptions and Catalog'!$H$50+'Assumptions and Catalog'!$E$50+'Assumptions and Catalog'!$F$50,IF(((D427+E427)*C427)&lt;='Assumptions and Catalog'!$C$51,((D427+E427)*C427)*'Assumptions and Catalog'!$H$51+'Assumptions and Catalog'!$E$51+'Assumptions and Catalog'!$F$51,IF(((D427+E427)*C427)&lt;='Assumptions and Catalog'!$C$52,((D427+E427)*C427)*'Assumptions and Catalog'!$H$52+'Assumptions and Catalog'!$E$52+'Assumptions and Catalog'!$F$52,IF(((D427+E427)*C427)&lt;='Assumptions and Catalog'!$C$53,((D427+E427)*C427)*'Assumptions and Catalog'!$H$53+'Assumptions and Catalog'!$E$53+'Assumptions and Catalog'!$F$53,IF(((D427+E427)*C427)&lt;='Assumptions and Catalog'!$C$54,((D427+E427)*C427)*'Assumptions and Catalog'!$H$54+'Assumptions and Catalog'!$E$54+'Assumptions and Catalog'!$F$54,IF(((D427+E427)*C427)&lt;='Assumptions and Catalog'!$C$55,((D427+E427)*C427)*'Assumptions and Catalog'!$H$55+'Assumptions and Catalog'!$E$55+'Assumptions and Catalog'!$F$55,IF(((D427+E427)*C427)&lt;='Assumptions and Catalog'!$C$56,((D427+E427)*C427)*'Assumptions and Catalog'!$H$56+'Assumptions and Catalog'!$E$56+'Assumptions and Catalog'!$F$56,IF(((D427+E427)*C427)&lt;='Assumptions and Catalog'!$C$57,((D427+E427)*C427)*'Assumptions and Catalog'!$H$57+'Assumptions and Catalog'!$E$57+'Assumptions and Catalog'!$F$57,"Out of range")))))))),IF(((D427+E427)*C427)&lt;='Assumptions and Catalog'!$C$60,((D427+E427)*C427)*'Assumptions and Catalog'!$H$60+'Assumptions and Catalog'!$E$60+'Assumptions and Catalog'!$F$60,IF(((D427+E427)*C427)&lt;='Assumptions and Catalog'!$C$61,((D427+E427)*C427)*'Assumptions and Catalog'!$H$61+'Assumptions and Catalog'!$E$61+'Assumptions and Catalog'!$F$61,IF(((D427+E427)*C427)&lt;='Assumptions and Catalog'!$C$62,((D427+E427)*C427)*'Assumptions and Catalog'!$H$62+'Assumptions and Catalog'!$E$62+'Assumptions and Catalog'!$F$62,IF(((D427+E427)*C427)&lt;='Assumptions and Catalog'!$C$63,((D427+E427)*C427)*'Assumptions and Catalog'!$H$63+'Assumptions and Catalog'!$E$63+'Assumptions and Catalog'!$F$63,IF(((D427+E427)*C427)&lt;='Assumptions and Catalog'!$C$64,((D427+E427)*C427)*'Assumptions and Catalog'!$H$64+'Assumptions and Catalog'!$E$64+'Assumptions and Catalog'!$F$64,IF(((D427+E427)*C427)&lt;='Assumptions and Catalog'!$C$65,((D427+E427)*C427)*'Assumptions and Catalog'!$H$65+'Assumptions and Catalog'!$E$65+'Assumptions and Catalog'!$F$65,"Out of range")))))))))*(1+'Assumptions and Catalog'!$C$8)^(A427-1),0)</f>
        <v>8554.9666666666672</v>
      </c>
      <c r="N427" s="5">
        <f>IF(ISNUMBER(Inputs!$L$5),(IF(Inputs!$L$9="Actual flat rate",L427*Inputs!$L$10,IF(Inputs!$C$9="Residential",IF(L427&lt;='Assumptions and Catalog'!$C$50,L427*'Assumptions and Catalog'!$H$50+'Assumptions and Catalog'!$E$50+'Assumptions and Catalog'!$F$50,IF(L427&lt;='Assumptions and Catalog'!$C$51,L427*'Assumptions and Catalog'!$H$51+'Assumptions and Catalog'!$E$51+'Assumptions and Catalog'!$F$51,IF(L427&lt;='Assumptions and Catalog'!$C$52,L427*'Assumptions and Catalog'!$H$52+'Assumptions and Catalog'!$E$52+'Assumptions and Catalog'!$F$52,IF(L427&lt;='Assumptions and Catalog'!$C$53,L427*'Assumptions and Catalog'!$H$53+'Assumptions and Catalog'!$E$53+'Assumptions and Catalog'!$F$53,IF(L427&lt;='Assumptions and Catalog'!$C$54,L427*'Assumptions and Catalog'!$H$54+'Assumptions and Catalog'!$E$54+'Assumptions and Catalog'!$F$54,IF(L427&lt;='Assumptions and Catalog'!$C$55,L427*'Assumptions and Catalog'!$H$55+'Assumptions and Catalog'!$E$55+'Assumptions and Catalog'!$F$55,IF(L427&lt;='Assumptions and Catalog'!$C$56,L427*'Assumptions and Catalog'!$H$56+'Assumptions and Catalog'!$E$56+'Assumptions and Catalog'!$F$56,IF(L427&lt;='Assumptions and Catalog'!$C$57,L427*'Assumptions and Catalog'!$H$57+'Assumptions and Catalog'!$E$57+'Assumptions and Catalog'!$F$57,"Out of range")))))))),IF(L427&lt;='Assumptions and Catalog'!$C$60,L427*'Assumptions and Catalog'!$H$60+'Assumptions and Catalog'!$E$60+'Assumptions and Catalog'!$F$60,IF(L427&lt;='Assumptions and Catalog'!$C$61,L427*'Assumptions and Catalog'!$H$61+'Assumptions and Catalog'!$E$61+'Assumptions and Catalog'!$F$61,IF(L427&lt;='Assumptions and Catalog'!$C$62,L427*'Assumptions and Catalog'!$H$62+'Assumptions and Catalog'!$E$62+'Assumptions and Catalog'!$F$62,IF(L427&lt;='Assumptions and Catalog'!$C$63,L427*'Assumptions and Catalog'!$H$63+'Assumptions and Catalog'!$E$63+'Assumptions and Catalog'!$F$63,IF(L427&lt;='Assumptions and Catalog'!$C$64,L427*'Assumptions and Catalog'!$H$64+'Assumptions and Catalog'!$E$64+'Assumptions and Catalog'!$F$64,IF(L427&lt;='Assumptions and Catalog'!$C$65,L427*'Assumptions and Catalog'!$H$65+'Assumptions and Catalog'!$E$65+'Assumptions and Catalog'!$F$65,"Out of range")))))))))*(1+'Assumptions and Catalog'!$C$8)^(A427-1),0)</f>
        <v>8554.9666666666672</v>
      </c>
      <c r="O427" s="5">
        <f t="shared" si="35"/>
        <v>0</v>
      </c>
      <c r="P427" s="5">
        <f>D$55*(1-K$14)*(1-'Assumptions and Catalog'!$C$23)^R427</f>
        <v>0</v>
      </c>
      <c r="Q427" s="5">
        <f>IF(ISNUMBER(Inputs!$L$5),(IF(Inputs!$L$9="Actual flat rate",((D427+E427)*C427-G427)*Inputs!$L$10,IF(Inputs!$C$9="Residential",IF(((D427+E427)*C427-G427)&lt;='Assumptions and Catalog'!$C$50,((D427+E427)*C427-G427)*'Assumptions and Catalog'!$H$50+'Assumptions and Catalog'!$E$50+'Assumptions and Catalog'!$F$50,IF(((D427+E427)*C427-G427)&lt;='Assumptions and Catalog'!$C$51,((D427+E427)*C427-G427)*'Assumptions and Catalog'!$H$51+'Assumptions and Catalog'!$E$51+'Assumptions and Catalog'!$F$51,IF(((D427+E427)*C427-G427)&lt;='Assumptions and Catalog'!$C$52,((D427+E427)*C427-G427)*'Assumptions and Catalog'!$H$52+'Assumptions and Catalog'!$E$52+'Assumptions and Catalog'!$F$52,IF(((D427+E427)*C427-G427)&lt;='Assumptions and Catalog'!$C$53,((D427+E427)*C427-G427)*'Assumptions and Catalog'!$H$53+'Assumptions and Catalog'!$E$53+'Assumptions and Catalog'!$F$53,IF(((D427+E427)*C427-G427)&lt;='Assumptions and Catalog'!$C$54,((D427+E427)*C427-G427)*'Assumptions and Catalog'!$H$54+'Assumptions and Catalog'!$E$54+'Assumptions and Catalog'!$F$54,IF(((D427+E427)*C427-G427)&lt;='Assumptions and Catalog'!$C$55,((D427+E427)*C427-G427)*'Assumptions and Catalog'!$H$55+'Assumptions and Catalog'!$E$55+'Assumptions and Catalog'!$F$55,IF(((D427+E427)*C427-G427)&lt;='Assumptions and Catalog'!$C$56,((D427+E427)*C427-G427)*'Assumptions and Catalog'!$H$56+'Assumptions and Catalog'!$E$56+'Assumptions and Catalog'!$F$56,IF(((D427+E427)*C427-G427)&lt;='Assumptions and Catalog'!$C$57,((D427+E427)*C427-G427)*'Assumptions and Catalog'!$H$57+'Assumptions and Catalog'!$E$57+'Assumptions and Catalog'!$F$57,"Out of range")))))))),IF(((D427+E427)*C427-G427)&lt;='Assumptions and Catalog'!$C$60,((D427+E427)*C427-G427)*'Assumptions and Catalog'!$H$60+'Assumptions and Catalog'!$E$60+'Assumptions and Catalog'!$F$60,IF(((D427+E427)*C427-G427)&lt;='Assumptions and Catalog'!$C$61,((D427+E427)*C427-G427)*'Assumptions and Catalog'!$H$61+'Assumptions and Catalog'!$E$61+'Assumptions and Catalog'!$F$61,IF(((D427+E427)*C427-G427)&lt;='Assumptions and Catalog'!$C$62,((D427+E427)*C427-G427)*'Assumptions and Catalog'!$H$62+'Assumptions and Catalog'!$E$62+'Assumptions and Catalog'!$F$62,IF(((D427+E427)*C427-G427)&lt;='Assumptions and Catalog'!$C$63,((D427+E427)*C427-G427)*'Assumptions and Catalog'!$H$63+'Assumptions and Catalog'!$E$63+'Assumptions and Catalog'!$F$63,IF(((D427+E427)*C427-G427)&lt;='Assumptions and Catalog'!$C$64,((D427+E427)*C427-G427)*'Assumptions and Catalog'!$H$64+'Assumptions and Catalog'!$E$64+'Assumptions and Catalog'!$F$64,IF(((D427+E427)*C427-G427)&lt;='Assumptions and Catalog'!$C$65,((D427+E427)*C427-G427)*'Assumptions and Catalog'!$H$65+'Assumptions and Catalog'!$E$65+'Assumptions and Catalog'!$F$65,"Out of range")))))))))*(1+'Assumptions and Catalog'!$C$8)^(A427-1),0)</f>
        <v>8554.9666666666672</v>
      </c>
      <c r="R427" s="5">
        <f>IF(AND('Assumptions and Catalog'!$C$19&gt;0,A427&gt;='Assumptions and Catalog'!$C$19),A427-'Assumptions and Catalog'!$C$19,A427-1)</f>
        <v>1</v>
      </c>
      <c r="S427" s="5">
        <f>F427+L427-(D427+E427)*C427-J427-K427-IF(D$52&gt;0,'Assumptions and Catalog'!$C$26*C427,0)</f>
        <v>0</v>
      </c>
      <c r="T427" s="5"/>
      <c r="U427" s="5"/>
    </row>
    <row r="428" spans="1:21" ht="23.1" customHeight="1" outlineLevel="1" x14ac:dyDescent="0.2">
      <c r="A428" s="5">
        <v>2</v>
      </c>
      <c r="B428" s="5">
        <v>6</v>
      </c>
      <c r="C428" s="5">
        <f>DAY(DATE('Assumptions and Catalog'!$C$24+A428-1,B428+1,0))</f>
        <v>30</v>
      </c>
      <c r="D428" s="5">
        <f>IF(ISNUMBER(Inputs!$L$5),Inputs!$L$5*Inputs!$L$6,0)</f>
        <v>40.35</v>
      </c>
      <c r="E428" s="5">
        <f>IF(ISNUMBER(Inputs!$L$5),Inputs!$L$5-D428,0)</f>
        <v>40.35</v>
      </c>
      <c r="F428" s="5">
        <f>D$51*'Assumptions and Catalog'!$C$31*C428*(1-'Assumptions and Catalog'!$C$10)^(A428-1)</f>
        <v>0</v>
      </c>
      <c r="G428" s="5">
        <f t="shared" si="32"/>
        <v>0</v>
      </c>
      <c r="H428" s="5">
        <f>I428/('Assumptions and Catalog'!$C$11*'Assumptions and Catalog'!$C$12)</f>
        <v>0</v>
      </c>
      <c r="I428" s="5">
        <f>IF(K$15="Grid cycle",MIN(K$16,D428+E428,P428*'Assumptions and Catalog'!$C$12,D$57*(24-'Assumptions and Catalog'!$C$15),D$56*'Assumptions and Catalog'!$C$15*'Assumptions and Catalog'!$C$11*'Assumptions and Catalog'!$C$12)*C428,0)</f>
        <v>0</v>
      </c>
      <c r="J428" s="5">
        <f t="shared" si="33"/>
        <v>0</v>
      </c>
      <c r="K428" s="5">
        <f t="shared" si="34"/>
        <v>0</v>
      </c>
      <c r="L428" s="5">
        <f>(D428+E428)*C428-G428-I428+H428+IF(D$52&gt;0,'Assumptions and Catalog'!$C$26*C428,0)</f>
        <v>2421</v>
      </c>
      <c r="M428" s="5">
        <f>IF(ISNUMBER(Inputs!$L$5),(IF(Inputs!$L$9="Actual flat rate",((D428+E428)*C428)*Inputs!$L$10,IF(Inputs!$C$9="Residential",IF(((D428+E428)*C428)&lt;='Assumptions and Catalog'!$C$50,((D428+E428)*C428)*'Assumptions and Catalog'!$H$50+'Assumptions and Catalog'!$E$50+'Assumptions and Catalog'!$F$50,IF(((D428+E428)*C428)&lt;='Assumptions and Catalog'!$C$51,((D428+E428)*C428)*'Assumptions and Catalog'!$H$51+'Assumptions and Catalog'!$E$51+'Assumptions and Catalog'!$F$51,IF(((D428+E428)*C428)&lt;='Assumptions and Catalog'!$C$52,((D428+E428)*C428)*'Assumptions and Catalog'!$H$52+'Assumptions and Catalog'!$E$52+'Assumptions and Catalog'!$F$52,IF(((D428+E428)*C428)&lt;='Assumptions and Catalog'!$C$53,((D428+E428)*C428)*'Assumptions and Catalog'!$H$53+'Assumptions and Catalog'!$E$53+'Assumptions and Catalog'!$F$53,IF(((D428+E428)*C428)&lt;='Assumptions and Catalog'!$C$54,((D428+E428)*C428)*'Assumptions and Catalog'!$H$54+'Assumptions and Catalog'!$E$54+'Assumptions and Catalog'!$F$54,IF(((D428+E428)*C428)&lt;='Assumptions and Catalog'!$C$55,((D428+E428)*C428)*'Assumptions and Catalog'!$H$55+'Assumptions and Catalog'!$E$55+'Assumptions and Catalog'!$F$55,IF(((D428+E428)*C428)&lt;='Assumptions and Catalog'!$C$56,((D428+E428)*C428)*'Assumptions and Catalog'!$H$56+'Assumptions and Catalog'!$E$56+'Assumptions and Catalog'!$F$56,IF(((D428+E428)*C428)&lt;='Assumptions and Catalog'!$C$57,((D428+E428)*C428)*'Assumptions and Catalog'!$H$57+'Assumptions and Catalog'!$E$57+'Assumptions and Catalog'!$F$57,"Out of range")))))))),IF(((D428+E428)*C428)&lt;='Assumptions and Catalog'!$C$60,((D428+E428)*C428)*'Assumptions and Catalog'!$H$60+'Assumptions and Catalog'!$E$60+'Assumptions and Catalog'!$F$60,IF(((D428+E428)*C428)&lt;='Assumptions and Catalog'!$C$61,((D428+E428)*C428)*'Assumptions and Catalog'!$H$61+'Assumptions and Catalog'!$E$61+'Assumptions and Catalog'!$F$61,IF(((D428+E428)*C428)&lt;='Assumptions and Catalog'!$C$62,((D428+E428)*C428)*'Assumptions and Catalog'!$H$62+'Assumptions and Catalog'!$E$62+'Assumptions and Catalog'!$F$62,IF(((D428+E428)*C428)&lt;='Assumptions and Catalog'!$C$63,((D428+E428)*C428)*'Assumptions and Catalog'!$H$63+'Assumptions and Catalog'!$E$63+'Assumptions and Catalog'!$F$63,IF(((D428+E428)*C428)&lt;='Assumptions and Catalog'!$C$64,((D428+E428)*C428)*'Assumptions and Catalog'!$H$64+'Assumptions and Catalog'!$E$64+'Assumptions and Catalog'!$F$64,IF(((D428+E428)*C428)&lt;='Assumptions and Catalog'!$C$65,((D428+E428)*C428)*'Assumptions and Catalog'!$H$65+'Assumptions and Catalog'!$E$65+'Assumptions and Catalog'!$F$65,"Out of range")))))))))*(1+'Assumptions and Catalog'!$C$8)^(A428-1),0)</f>
        <v>8279</v>
      </c>
      <c r="N428" s="5">
        <f>IF(ISNUMBER(Inputs!$L$5),(IF(Inputs!$L$9="Actual flat rate",L428*Inputs!$L$10,IF(Inputs!$C$9="Residential",IF(L428&lt;='Assumptions and Catalog'!$C$50,L428*'Assumptions and Catalog'!$H$50+'Assumptions and Catalog'!$E$50+'Assumptions and Catalog'!$F$50,IF(L428&lt;='Assumptions and Catalog'!$C$51,L428*'Assumptions and Catalog'!$H$51+'Assumptions and Catalog'!$E$51+'Assumptions and Catalog'!$F$51,IF(L428&lt;='Assumptions and Catalog'!$C$52,L428*'Assumptions and Catalog'!$H$52+'Assumptions and Catalog'!$E$52+'Assumptions and Catalog'!$F$52,IF(L428&lt;='Assumptions and Catalog'!$C$53,L428*'Assumptions and Catalog'!$H$53+'Assumptions and Catalog'!$E$53+'Assumptions and Catalog'!$F$53,IF(L428&lt;='Assumptions and Catalog'!$C$54,L428*'Assumptions and Catalog'!$H$54+'Assumptions and Catalog'!$E$54+'Assumptions and Catalog'!$F$54,IF(L428&lt;='Assumptions and Catalog'!$C$55,L428*'Assumptions and Catalog'!$H$55+'Assumptions and Catalog'!$E$55+'Assumptions and Catalog'!$F$55,IF(L428&lt;='Assumptions and Catalog'!$C$56,L428*'Assumptions and Catalog'!$H$56+'Assumptions and Catalog'!$E$56+'Assumptions and Catalog'!$F$56,IF(L428&lt;='Assumptions and Catalog'!$C$57,L428*'Assumptions and Catalog'!$H$57+'Assumptions and Catalog'!$E$57+'Assumptions and Catalog'!$F$57,"Out of range")))))))),IF(L428&lt;='Assumptions and Catalog'!$C$60,L428*'Assumptions and Catalog'!$H$60+'Assumptions and Catalog'!$E$60+'Assumptions and Catalog'!$F$60,IF(L428&lt;='Assumptions and Catalog'!$C$61,L428*'Assumptions and Catalog'!$H$61+'Assumptions and Catalog'!$E$61+'Assumptions and Catalog'!$F$61,IF(L428&lt;='Assumptions and Catalog'!$C$62,L428*'Assumptions and Catalog'!$H$62+'Assumptions and Catalog'!$E$62+'Assumptions and Catalog'!$F$62,IF(L428&lt;='Assumptions and Catalog'!$C$63,L428*'Assumptions and Catalog'!$H$63+'Assumptions and Catalog'!$E$63+'Assumptions and Catalog'!$F$63,IF(L428&lt;='Assumptions and Catalog'!$C$64,L428*'Assumptions and Catalog'!$H$64+'Assumptions and Catalog'!$E$64+'Assumptions and Catalog'!$F$64,IF(L428&lt;='Assumptions and Catalog'!$C$65,L428*'Assumptions and Catalog'!$H$65+'Assumptions and Catalog'!$E$65+'Assumptions and Catalog'!$F$65,"Out of range")))))))))*(1+'Assumptions and Catalog'!$C$8)^(A428-1),0)</f>
        <v>8279</v>
      </c>
      <c r="O428" s="5">
        <f t="shared" si="35"/>
        <v>0</v>
      </c>
      <c r="P428" s="5">
        <f>D$55*(1-K$14)*(1-'Assumptions and Catalog'!$C$23)^R428</f>
        <v>0</v>
      </c>
      <c r="Q428" s="5">
        <f>IF(ISNUMBER(Inputs!$L$5),(IF(Inputs!$L$9="Actual flat rate",((D428+E428)*C428-G428)*Inputs!$L$10,IF(Inputs!$C$9="Residential",IF(((D428+E428)*C428-G428)&lt;='Assumptions and Catalog'!$C$50,((D428+E428)*C428-G428)*'Assumptions and Catalog'!$H$50+'Assumptions and Catalog'!$E$50+'Assumptions and Catalog'!$F$50,IF(((D428+E428)*C428-G428)&lt;='Assumptions and Catalog'!$C$51,((D428+E428)*C428-G428)*'Assumptions and Catalog'!$H$51+'Assumptions and Catalog'!$E$51+'Assumptions and Catalog'!$F$51,IF(((D428+E428)*C428-G428)&lt;='Assumptions and Catalog'!$C$52,((D428+E428)*C428-G428)*'Assumptions and Catalog'!$H$52+'Assumptions and Catalog'!$E$52+'Assumptions and Catalog'!$F$52,IF(((D428+E428)*C428-G428)&lt;='Assumptions and Catalog'!$C$53,((D428+E428)*C428-G428)*'Assumptions and Catalog'!$H$53+'Assumptions and Catalog'!$E$53+'Assumptions and Catalog'!$F$53,IF(((D428+E428)*C428-G428)&lt;='Assumptions and Catalog'!$C$54,((D428+E428)*C428-G428)*'Assumptions and Catalog'!$H$54+'Assumptions and Catalog'!$E$54+'Assumptions and Catalog'!$F$54,IF(((D428+E428)*C428-G428)&lt;='Assumptions and Catalog'!$C$55,((D428+E428)*C428-G428)*'Assumptions and Catalog'!$H$55+'Assumptions and Catalog'!$E$55+'Assumptions and Catalog'!$F$55,IF(((D428+E428)*C428-G428)&lt;='Assumptions and Catalog'!$C$56,((D428+E428)*C428-G428)*'Assumptions and Catalog'!$H$56+'Assumptions and Catalog'!$E$56+'Assumptions and Catalog'!$F$56,IF(((D428+E428)*C428-G428)&lt;='Assumptions and Catalog'!$C$57,((D428+E428)*C428-G428)*'Assumptions and Catalog'!$H$57+'Assumptions and Catalog'!$E$57+'Assumptions and Catalog'!$F$57,"Out of range")))))))),IF(((D428+E428)*C428-G428)&lt;='Assumptions and Catalog'!$C$60,((D428+E428)*C428-G428)*'Assumptions and Catalog'!$H$60+'Assumptions and Catalog'!$E$60+'Assumptions and Catalog'!$F$60,IF(((D428+E428)*C428-G428)&lt;='Assumptions and Catalog'!$C$61,((D428+E428)*C428-G428)*'Assumptions and Catalog'!$H$61+'Assumptions and Catalog'!$E$61+'Assumptions and Catalog'!$F$61,IF(((D428+E428)*C428-G428)&lt;='Assumptions and Catalog'!$C$62,((D428+E428)*C428-G428)*'Assumptions and Catalog'!$H$62+'Assumptions and Catalog'!$E$62+'Assumptions and Catalog'!$F$62,IF(((D428+E428)*C428-G428)&lt;='Assumptions and Catalog'!$C$63,((D428+E428)*C428-G428)*'Assumptions and Catalog'!$H$63+'Assumptions and Catalog'!$E$63+'Assumptions and Catalog'!$F$63,IF(((D428+E428)*C428-G428)&lt;='Assumptions and Catalog'!$C$64,((D428+E428)*C428-G428)*'Assumptions and Catalog'!$H$64+'Assumptions and Catalog'!$E$64+'Assumptions and Catalog'!$F$64,IF(((D428+E428)*C428-G428)&lt;='Assumptions and Catalog'!$C$65,((D428+E428)*C428-G428)*'Assumptions and Catalog'!$H$65+'Assumptions and Catalog'!$E$65+'Assumptions and Catalog'!$F$65,"Out of range")))))))))*(1+'Assumptions and Catalog'!$C$8)^(A428-1),0)</f>
        <v>8279</v>
      </c>
      <c r="R428" s="5">
        <f>IF(AND('Assumptions and Catalog'!$C$19&gt;0,A428&gt;='Assumptions and Catalog'!$C$19),A428-'Assumptions and Catalog'!$C$19,A428-1)</f>
        <v>1</v>
      </c>
      <c r="S428" s="5">
        <f>F428+L428-(D428+E428)*C428-J428-K428-IF(D$52&gt;0,'Assumptions and Catalog'!$C$26*C428,0)</f>
        <v>0</v>
      </c>
      <c r="T428" s="5"/>
      <c r="U428" s="5"/>
    </row>
    <row r="429" spans="1:21" ht="23.1" customHeight="1" outlineLevel="1" x14ac:dyDescent="0.2">
      <c r="A429" s="5">
        <v>2</v>
      </c>
      <c r="B429" s="5">
        <v>7</v>
      </c>
      <c r="C429" s="5">
        <f>DAY(DATE('Assumptions and Catalog'!$C$24+A429-1,B429+1,0))</f>
        <v>31</v>
      </c>
      <c r="D429" s="5">
        <f>IF(ISNUMBER(Inputs!$L$5),Inputs!$L$5*Inputs!$L$6,0)</f>
        <v>40.35</v>
      </c>
      <c r="E429" s="5">
        <f>IF(ISNUMBER(Inputs!$L$5),Inputs!$L$5-D429,0)</f>
        <v>40.35</v>
      </c>
      <c r="F429" s="5">
        <f>D$51*'Assumptions and Catalog'!$C$31*C429*(1-'Assumptions and Catalog'!$C$10)^(A429-1)</f>
        <v>0</v>
      </c>
      <c r="G429" s="5">
        <f t="shared" si="32"/>
        <v>0</v>
      </c>
      <c r="H429" s="5">
        <f>I429/('Assumptions and Catalog'!$C$11*'Assumptions and Catalog'!$C$12)</f>
        <v>0</v>
      </c>
      <c r="I429" s="5">
        <f>IF(K$15="Grid cycle",MIN(K$16,D429+E429,P429*'Assumptions and Catalog'!$C$12,D$57*(24-'Assumptions and Catalog'!$C$15),D$56*'Assumptions and Catalog'!$C$15*'Assumptions and Catalog'!$C$11*'Assumptions and Catalog'!$C$12)*C429,0)</f>
        <v>0</v>
      </c>
      <c r="J429" s="5">
        <f t="shared" si="33"/>
        <v>0</v>
      </c>
      <c r="K429" s="5">
        <f t="shared" si="34"/>
        <v>0</v>
      </c>
      <c r="L429" s="5">
        <f>(D429+E429)*C429-G429-I429+H429+IF(D$52&gt;0,'Assumptions and Catalog'!$C$26*C429,0)</f>
        <v>2501.7000000000003</v>
      </c>
      <c r="M429" s="5">
        <f>IF(ISNUMBER(Inputs!$L$5),(IF(Inputs!$L$9="Actual flat rate",((D429+E429)*C429)*Inputs!$L$10,IF(Inputs!$C$9="Residential",IF(((D429+E429)*C429)&lt;='Assumptions and Catalog'!$C$50,((D429+E429)*C429)*'Assumptions and Catalog'!$H$50+'Assumptions and Catalog'!$E$50+'Assumptions and Catalog'!$F$50,IF(((D429+E429)*C429)&lt;='Assumptions and Catalog'!$C$51,((D429+E429)*C429)*'Assumptions and Catalog'!$H$51+'Assumptions and Catalog'!$E$51+'Assumptions and Catalog'!$F$51,IF(((D429+E429)*C429)&lt;='Assumptions and Catalog'!$C$52,((D429+E429)*C429)*'Assumptions and Catalog'!$H$52+'Assumptions and Catalog'!$E$52+'Assumptions and Catalog'!$F$52,IF(((D429+E429)*C429)&lt;='Assumptions and Catalog'!$C$53,((D429+E429)*C429)*'Assumptions and Catalog'!$H$53+'Assumptions and Catalog'!$E$53+'Assumptions and Catalog'!$F$53,IF(((D429+E429)*C429)&lt;='Assumptions and Catalog'!$C$54,((D429+E429)*C429)*'Assumptions and Catalog'!$H$54+'Assumptions and Catalog'!$E$54+'Assumptions and Catalog'!$F$54,IF(((D429+E429)*C429)&lt;='Assumptions and Catalog'!$C$55,((D429+E429)*C429)*'Assumptions and Catalog'!$H$55+'Assumptions and Catalog'!$E$55+'Assumptions and Catalog'!$F$55,IF(((D429+E429)*C429)&lt;='Assumptions and Catalog'!$C$56,((D429+E429)*C429)*'Assumptions and Catalog'!$H$56+'Assumptions and Catalog'!$E$56+'Assumptions and Catalog'!$F$56,IF(((D429+E429)*C429)&lt;='Assumptions and Catalog'!$C$57,((D429+E429)*C429)*'Assumptions and Catalog'!$H$57+'Assumptions and Catalog'!$E$57+'Assumptions and Catalog'!$F$57,"Out of range")))))))),IF(((D429+E429)*C429)&lt;='Assumptions and Catalog'!$C$60,((D429+E429)*C429)*'Assumptions and Catalog'!$H$60+'Assumptions and Catalog'!$E$60+'Assumptions and Catalog'!$F$60,IF(((D429+E429)*C429)&lt;='Assumptions and Catalog'!$C$61,((D429+E429)*C429)*'Assumptions and Catalog'!$H$61+'Assumptions and Catalog'!$E$61+'Assumptions and Catalog'!$F$61,IF(((D429+E429)*C429)&lt;='Assumptions and Catalog'!$C$62,((D429+E429)*C429)*'Assumptions and Catalog'!$H$62+'Assumptions and Catalog'!$E$62+'Assumptions and Catalog'!$F$62,IF(((D429+E429)*C429)&lt;='Assumptions and Catalog'!$C$63,((D429+E429)*C429)*'Assumptions and Catalog'!$H$63+'Assumptions and Catalog'!$E$63+'Assumptions and Catalog'!$F$63,IF(((D429+E429)*C429)&lt;='Assumptions and Catalog'!$C$64,((D429+E429)*C429)*'Assumptions and Catalog'!$H$64+'Assumptions and Catalog'!$E$64+'Assumptions and Catalog'!$F$64,IF(((D429+E429)*C429)&lt;='Assumptions and Catalog'!$C$65,((D429+E429)*C429)*'Assumptions and Catalog'!$H$65+'Assumptions and Catalog'!$E$65+'Assumptions and Catalog'!$F$65,"Out of range")))))))))*(1+'Assumptions and Catalog'!$C$8)^(A429-1),0)</f>
        <v>8554.9666666666672</v>
      </c>
      <c r="N429" s="5">
        <f>IF(ISNUMBER(Inputs!$L$5),(IF(Inputs!$L$9="Actual flat rate",L429*Inputs!$L$10,IF(Inputs!$C$9="Residential",IF(L429&lt;='Assumptions and Catalog'!$C$50,L429*'Assumptions and Catalog'!$H$50+'Assumptions and Catalog'!$E$50+'Assumptions and Catalog'!$F$50,IF(L429&lt;='Assumptions and Catalog'!$C$51,L429*'Assumptions and Catalog'!$H$51+'Assumptions and Catalog'!$E$51+'Assumptions and Catalog'!$F$51,IF(L429&lt;='Assumptions and Catalog'!$C$52,L429*'Assumptions and Catalog'!$H$52+'Assumptions and Catalog'!$E$52+'Assumptions and Catalog'!$F$52,IF(L429&lt;='Assumptions and Catalog'!$C$53,L429*'Assumptions and Catalog'!$H$53+'Assumptions and Catalog'!$E$53+'Assumptions and Catalog'!$F$53,IF(L429&lt;='Assumptions and Catalog'!$C$54,L429*'Assumptions and Catalog'!$H$54+'Assumptions and Catalog'!$E$54+'Assumptions and Catalog'!$F$54,IF(L429&lt;='Assumptions and Catalog'!$C$55,L429*'Assumptions and Catalog'!$H$55+'Assumptions and Catalog'!$E$55+'Assumptions and Catalog'!$F$55,IF(L429&lt;='Assumptions and Catalog'!$C$56,L429*'Assumptions and Catalog'!$H$56+'Assumptions and Catalog'!$E$56+'Assumptions and Catalog'!$F$56,IF(L429&lt;='Assumptions and Catalog'!$C$57,L429*'Assumptions and Catalog'!$H$57+'Assumptions and Catalog'!$E$57+'Assumptions and Catalog'!$F$57,"Out of range")))))))),IF(L429&lt;='Assumptions and Catalog'!$C$60,L429*'Assumptions and Catalog'!$H$60+'Assumptions and Catalog'!$E$60+'Assumptions and Catalog'!$F$60,IF(L429&lt;='Assumptions and Catalog'!$C$61,L429*'Assumptions and Catalog'!$H$61+'Assumptions and Catalog'!$E$61+'Assumptions and Catalog'!$F$61,IF(L429&lt;='Assumptions and Catalog'!$C$62,L429*'Assumptions and Catalog'!$H$62+'Assumptions and Catalog'!$E$62+'Assumptions and Catalog'!$F$62,IF(L429&lt;='Assumptions and Catalog'!$C$63,L429*'Assumptions and Catalog'!$H$63+'Assumptions and Catalog'!$E$63+'Assumptions and Catalog'!$F$63,IF(L429&lt;='Assumptions and Catalog'!$C$64,L429*'Assumptions and Catalog'!$H$64+'Assumptions and Catalog'!$E$64+'Assumptions and Catalog'!$F$64,IF(L429&lt;='Assumptions and Catalog'!$C$65,L429*'Assumptions and Catalog'!$H$65+'Assumptions and Catalog'!$E$65+'Assumptions and Catalog'!$F$65,"Out of range")))))))))*(1+'Assumptions and Catalog'!$C$8)^(A429-1),0)</f>
        <v>8554.9666666666672</v>
      </c>
      <c r="O429" s="5">
        <f t="shared" si="35"/>
        <v>0</v>
      </c>
      <c r="P429" s="5">
        <f>D$55*(1-K$14)*(1-'Assumptions and Catalog'!$C$23)^R429</f>
        <v>0</v>
      </c>
      <c r="Q429" s="5">
        <f>IF(ISNUMBER(Inputs!$L$5),(IF(Inputs!$L$9="Actual flat rate",((D429+E429)*C429-G429)*Inputs!$L$10,IF(Inputs!$C$9="Residential",IF(((D429+E429)*C429-G429)&lt;='Assumptions and Catalog'!$C$50,((D429+E429)*C429-G429)*'Assumptions and Catalog'!$H$50+'Assumptions and Catalog'!$E$50+'Assumptions and Catalog'!$F$50,IF(((D429+E429)*C429-G429)&lt;='Assumptions and Catalog'!$C$51,((D429+E429)*C429-G429)*'Assumptions and Catalog'!$H$51+'Assumptions and Catalog'!$E$51+'Assumptions and Catalog'!$F$51,IF(((D429+E429)*C429-G429)&lt;='Assumptions and Catalog'!$C$52,((D429+E429)*C429-G429)*'Assumptions and Catalog'!$H$52+'Assumptions and Catalog'!$E$52+'Assumptions and Catalog'!$F$52,IF(((D429+E429)*C429-G429)&lt;='Assumptions and Catalog'!$C$53,((D429+E429)*C429-G429)*'Assumptions and Catalog'!$H$53+'Assumptions and Catalog'!$E$53+'Assumptions and Catalog'!$F$53,IF(((D429+E429)*C429-G429)&lt;='Assumptions and Catalog'!$C$54,((D429+E429)*C429-G429)*'Assumptions and Catalog'!$H$54+'Assumptions and Catalog'!$E$54+'Assumptions and Catalog'!$F$54,IF(((D429+E429)*C429-G429)&lt;='Assumptions and Catalog'!$C$55,((D429+E429)*C429-G429)*'Assumptions and Catalog'!$H$55+'Assumptions and Catalog'!$E$55+'Assumptions and Catalog'!$F$55,IF(((D429+E429)*C429-G429)&lt;='Assumptions and Catalog'!$C$56,((D429+E429)*C429-G429)*'Assumptions and Catalog'!$H$56+'Assumptions and Catalog'!$E$56+'Assumptions and Catalog'!$F$56,IF(((D429+E429)*C429-G429)&lt;='Assumptions and Catalog'!$C$57,((D429+E429)*C429-G429)*'Assumptions and Catalog'!$H$57+'Assumptions and Catalog'!$E$57+'Assumptions and Catalog'!$F$57,"Out of range")))))))),IF(((D429+E429)*C429-G429)&lt;='Assumptions and Catalog'!$C$60,((D429+E429)*C429-G429)*'Assumptions and Catalog'!$H$60+'Assumptions and Catalog'!$E$60+'Assumptions and Catalog'!$F$60,IF(((D429+E429)*C429-G429)&lt;='Assumptions and Catalog'!$C$61,((D429+E429)*C429-G429)*'Assumptions and Catalog'!$H$61+'Assumptions and Catalog'!$E$61+'Assumptions and Catalog'!$F$61,IF(((D429+E429)*C429-G429)&lt;='Assumptions and Catalog'!$C$62,((D429+E429)*C429-G429)*'Assumptions and Catalog'!$H$62+'Assumptions and Catalog'!$E$62+'Assumptions and Catalog'!$F$62,IF(((D429+E429)*C429-G429)&lt;='Assumptions and Catalog'!$C$63,((D429+E429)*C429-G429)*'Assumptions and Catalog'!$H$63+'Assumptions and Catalog'!$E$63+'Assumptions and Catalog'!$F$63,IF(((D429+E429)*C429-G429)&lt;='Assumptions and Catalog'!$C$64,((D429+E429)*C429-G429)*'Assumptions and Catalog'!$H$64+'Assumptions and Catalog'!$E$64+'Assumptions and Catalog'!$F$64,IF(((D429+E429)*C429-G429)&lt;='Assumptions and Catalog'!$C$65,((D429+E429)*C429-G429)*'Assumptions and Catalog'!$H$65+'Assumptions and Catalog'!$E$65+'Assumptions and Catalog'!$F$65,"Out of range")))))))))*(1+'Assumptions and Catalog'!$C$8)^(A429-1),0)</f>
        <v>8554.9666666666672</v>
      </c>
      <c r="R429" s="5">
        <f>IF(AND('Assumptions and Catalog'!$C$19&gt;0,A429&gt;='Assumptions and Catalog'!$C$19),A429-'Assumptions and Catalog'!$C$19,A429-1)</f>
        <v>1</v>
      </c>
      <c r="S429" s="5">
        <f>F429+L429-(D429+E429)*C429-J429-K429-IF(D$52&gt;0,'Assumptions and Catalog'!$C$26*C429,0)</f>
        <v>0</v>
      </c>
      <c r="T429" s="5"/>
      <c r="U429" s="5"/>
    </row>
    <row r="430" spans="1:21" ht="23.1" customHeight="1" outlineLevel="1" x14ac:dyDescent="0.2">
      <c r="A430" s="5">
        <v>2</v>
      </c>
      <c r="B430" s="5">
        <v>8</v>
      </c>
      <c r="C430" s="5">
        <f>DAY(DATE('Assumptions and Catalog'!$C$24+A430-1,B430+1,0))</f>
        <v>31</v>
      </c>
      <c r="D430" s="5">
        <f>IF(ISNUMBER(Inputs!$L$5),Inputs!$L$5*Inputs!$L$6,0)</f>
        <v>40.35</v>
      </c>
      <c r="E430" s="5">
        <f>IF(ISNUMBER(Inputs!$L$5),Inputs!$L$5-D430,0)</f>
        <v>40.35</v>
      </c>
      <c r="F430" s="5">
        <f>D$51*'Assumptions and Catalog'!$C$31*C430*(1-'Assumptions and Catalog'!$C$10)^(A430-1)</f>
        <v>0</v>
      </c>
      <c r="G430" s="5">
        <f t="shared" si="32"/>
        <v>0</v>
      </c>
      <c r="H430" s="5">
        <f>I430/('Assumptions and Catalog'!$C$11*'Assumptions and Catalog'!$C$12)</f>
        <v>0</v>
      </c>
      <c r="I430" s="5">
        <f>IF(K$15="Grid cycle",MIN(K$16,D430+E430,P430*'Assumptions and Catalog'!$C$12,D$57*(24-'Assumptions and Catalog'!$C$15),D$56*'Assumptions and Catalog'!$C$15*'Assumptions and Catalog'!$C$11*'Assumptions and Catalog'!$C$12)*C430,0)</f>
        <v>0</v>
      </c>
      <c r="J430" s="5">
        <f t="shared" si="33"/>
        <v>0</v>
      </c>
      <c r="K430" s="5">
        <f t="shared" si="34"/>
        <v>0</v>
      </c>
      <c r="L430" s="5">
        <f>(D430+E430)*C430-G430-I430+H430+IF(D$52&gt;0,'Assumptions and Catalog'!$C$26*C430,0)</f>
        <v>2501.7000000000003</v>
      </c>
      <c r="M430" s="5">
        <f>IF(ISNUMBER(Inputs!$L$5),(IF(Inputs!$L$9="Actual flat rate",((D430+E430)*C430)*Inputs!$L$10,IF(Inputs!$C$9="Residential",IF(((D430+E430)*C430)&lt;='Assumptions and Catalog'!$C$50,((D430+E430)*C430)*'Assumptions and Catalog'!$H$50+'Assumptions and Catalog'!$E$50+'Assumptions and Catalog'!$F$50,IF(((D430+E430)*C430)&lt;='Assumptions and Catalog'!$C$51,((D430+E430)*C430)*'Assumptions and Catalog'!$H$51+'Assumptions and Catalog'!$E$51+'Assumptions and Catalog'!$F$51,IF(((D430+E430)*C430)&lt;='Assumptions and Catalog'!$C$52,((D430+E430)*C430)*'Assumptions and Catalog'!$H$52+'Assumptions and Catalog'!$E$52+'Assumptions and Catalog'!$F$52,IF(((D430+E430)*C430)&lt;='Assumptions and Catalog'!$C$53,((D430+E430)*C430)*'Assumptions and Catalog'!$H$53+'Assumptions and Catalog'!$E$53+'Assumptions and Catalog'!$F$53,IF(((D430+E430)*C430)&lt;='Assumptions and Catalog'!$C$54,((D430+E430)*C430)*'Assumptions and Catalog'!$H$54+'Assumptions and Catalog'!$E$54+'Assumptions and Catalog'!$F$54,IF(((D430+E430)*C430)&lt;='Assumptions and Catalog'!$C$55,((D430+E430)*C430)*'Assumptions and Catalog'!$H$55+'Assumptions and Catalog'!$E$55+'Assumptions and Catalog'!$F$55,IF(((D430+E430)*C430)&lt;='Assumptions and Catalog'!$C$56,((D430+E430)*C430)*'Assumptions and Catalog'!$H$56+'Assumptions and Catalog'!$E$56+'Assumptions and Catalog'!$F$56,IF(((D430+E430)*C430)&lt;='Assumptions and Catalog'!$C$57,((D430+E430)*C430)*'Assumptions and Catalog'!$H$57+'Assumptions and Catalog'!$E$57+'Assumptions and Catalog'!$F$57,"Out of range")))))))),IF(((D430+E430)*C430)&lt;='Assumptions and Catalog'!$C$60,((D430+E430)*C430)*'Assumptions and Catalog'!$H$60+'Assumptions and Catalog'!$E$60+'Assumptions and Catalog'!$F$60,IF(((D430+E430)*C430)&lt;='Assumptions and Catalog'!$C$61,((D430+E430)*C430)*'Assumptions and Catalog'!$H$61+'Assumptions and Catalog'!$E$61+'Assumptions and Catalog'!$F$61,IF(((D430+E430)*C430)&lt;='Assumptions and Catalog'!$C$62,((D430+E430)*C430)*'Assumptions and Catalog'!$H$62+'Assumptions and Catalog'!$E$62+'Assumptions and Catalog'!$F$62,IF(((D430+E430)*C430)&lt;='Assumptions and Catalog'!$C$63,((D430+E430)*C430)*'Assumptions and Catalog'!$H$63+'Assumptions and Catalog'!$E$63+'Assumptions and Catalog'!$F$63,IF(((D430+E430)*C430)&lt;='Assumptions and Catalog'!$C$64,((D430+E430)*C430)*'Assumptions and Catalog'!$H$64+'Assumptions and Catalog'!$E$64+'Assumptions and Catalog'!$F$64,IF(((D430+E430)*C430)&lt;='Assumptions and Catalog'!$C$65,((D430+E430)*C430)*'Assumptions and Catalog'!$H$65+'Assumptions and Catalog'!$E$65+'Assumptions and Catalog'!$F$65,"Out of range")))))))))*(1+'Assumptions and Catalog'!$C$8)^(A430-1),0)</f>
        <v>8554.9666666666672</v>
      </c>
      <c r="N430" s="5">
        <f>IF(ISNUMBER(Inputs!$L$5),(IF(Inputs!$L$9="Actual flat rate",L430*Inputs!$L$10,IF(Inputs!$C$9="Residential",IF(L430&lt;='Assumptions and Catalog'!$C$50,L430*'Assumptions and Catalog'!$H$50+'Assumptions and Catalog'!$E$50+'Assumptions and Catalog'!$F$50,IF(L430&lt;='Assumptions and Catalog'!$C$51,L430*'Assumptions and Catalog'!$H$51+'Assumptions and Catalog'!$E$51+'Assumptions and Catalog'!$F$51,IF(L430&lt;='Assumptions and Catalog'!$C$52,L430*'Assumptions and Catalog'!$H$52+'Assumptions and Catalog'!$E$52+'Assumptions and Catalog'!$F$52,IF(L430&lt;='Assumptions and Catalog'!$C$53,L430*'Assumptions and Catalog'!$H$53+'Assumptions and Catalog'!$E$53+'Assumptions and Catalog'!$F$53,IF(L430&lt;='Assumptions and Catalog'!$C$54,L430*'Assumptions and Catalog'!$H$54+'Assumptions and Catalog'!$E$54+'Assumptions and Catalog'!$F$54,IF(L430&lt;='Assumptions and Catalog'!$C$55,L430*'Assumptions and Catalog'!$H$55+'Assumptions and Catalog'!$E$55+'Assumptions and Catalog'!$F$55,IF(L430&lt;='Assumptions and Catalog'!$C$56,L430*'Assumptions and Catalog'!$H$56+'Assumptions and Catalog'!$E$56+'Assumptions and Catalog'!$F$56,IF(L430&lt;='Assumptions and Catalog'!$C$57,L430*'Assumptions and Catalog'!$H$57+'Assumptions and Catalog'!$E$57+'Assumptions and Catalog'!$F$57,"Out of range")))))))),IF(L430&lt;='Assumptions and Catalog'!$C$60,L430*'Assumptions and Catalog'!$H$60+'Assumptions and Catalog'!$E$60+'Assumptions and Catalog'!$F$60,IF(L430&lt;='Assumptions and Catalog'!$C$61,L430*'Assumptions and Catalog'!$H$61+'Assumptions and Catalog'!$E$61+'Assumptions and Catalog'!$F$61,IF(L430&lt;='Assumptions and Catalog'!$C$62,L430*'Assumptions and Catalog'!$H$62+'Assumptions and Catalog'!$E$62+'Assumptions and Catalog'!$F$62,IF(L430&lt;='Assumptions and Catalog'!$C$63,L430*'Assumptions and Catalog'!$H$63+'Assumptions and Catalog'!$E$63+'Assumptions and Catalog'!$F$63,IF(L430&lt;='Assumptions and Catalog'!$C$64,L430*'Assumptions and Catalog'!$H$64+'Assumptions and Catalog'!$E$64+'Assumptions and Catalog'!$F$64,IF(L430&lt;='Assumptions and Catalog'!$C$65,L430*'Assumptions and Catalog'!$H$65+'Assumptions and Catalog'!$E$65+'Assumptions and Catalog'!$F$65,"Out of range")))))))))*(1+'Assumptions and Catalog'!$C$8)^(A430-1),0)</f>
        <v>8554.9666666666672</v>
      </c>
      <c r="O430" s="5">
        <f t="shared" si="35"/>
        <v>0</v>
      </c>
      <c r="P430" s="5">
        <f>D$55*(1-K$14)*(1-'Assumptions and Catalog'!$C$23)^R430</f>
        <v>0</v>
      </c>
      <c r="Q430" s="5">
        <f>IF(ISNUMBER(Inputs!$L$5),(IF(Inputs!$L$9="Actual flat rate",((D430+E430)*C430-G430)*Inputs!$L$10,IF(Inputs!$C$9="Residential",IF(((D430+E430)*C430-G430)&lt;='Assumptions and Catalog'!$C$50,((D430+E430)*C430-G430)*'Assumptions and Catalog'!$H$50+'Assumptions and Catalog'!$E$50+'Assumptions and Catalog'!$F$50,IF(((D430+E430)*C430-G430)&lt;='Assumptions and Catalog'!$C$51,((D430+E430)*C430-G430)*'Assumptions and Catalog'!$H$51+'Assumptions and Catalog'!$E$51+'Assumptions and Catalog'!$F$51,IF(((D430+E430)*C430-G430)&lt;='Assumptions and Catalog'!$C$52,((D430+E430)*C430-G430)*'Assumptions and Catalog'!$H$52+'Assumptions and Catalog'!$E$52+'Assumptions and Catalog'!$F$52,IF(((D430+E430)*C430-G430)&lt;='Assumptions and Catalog'!$C$53,((D430+E430)*C430-G430)*'Assumptions and Catalog'!$H$53+'Assumptions and Catalog'!$E$53+'Assumptions and Catalog'!$F$53,IF(((D430+E430)*C430-G430)&lt;='Assumptions and Catalog'!$C$54,((D430+E430)*C430-G430)*'Assumptions and Catalog'!$H$54+'Assumptions and Catalog'!$E$54+'Assumptions and Catalog'!$F$54,IF(((D430+E430)*C430-G430)&lt;='Assumptions and Catalog'!$C$55,((D430+E430)*C430-G430)*'Assumptions and Catalog'!$H$55+'Assumptions and Catalog'!$E$55+'Assumptions and Catalog'!$F$55,IF(((D430+E430)*C430-G430)&lt;='Assumptions and Catalog'!$C$56,((D430+E430)*C430-G430)*'Assumptions and Catalog'!$H$56+'Assumptions and Catalog'!$E$56+'Assumptions and Catalog'!$F$56,IF(((D430+E430)*C430-G430)&lt;='Assumptions and Catalog'!$C$57,((D430+E430)*C430-G430)*'Assumptions and Catalog'!$H$57+'Assumptions and Catalog'!$E$57+'Assumptions and Catalog'!$F$57,"Out of range")))))))),IF(((D430+E430)*C430-G430)&lt;='Assumptions and Catalog'!$C$60,((D430+E430)*C430-G430)*'Assumptions and Catalog'!$H$60+'Assumptions and Catalog'!$E$60+'Assumptions and Catalog'!$F$60,IF(((D430+E430)*C430-G430)&lt;='Assumptions and Catalog'!$C$61,((D430+E430)*C430-G430)*'Assumptions and Catalog'!$H$61+'Assumptions and Catalog'!$E$61+'Assumptions and Catalog'!$F$61,IF(((D430+E430)*C430-G430)&lt;='Assumptions and Catalog'!$C$62,((D430+E430)*C430-G430)*'Assumptions and Catalog'!$H$62+'Assumptions and Catalog'!$E$62+'Assumptions and Catalog'!$F$62,IF(((D430+E430)*C430-G430)&lt;='Assumptions and Catalog'!$C$63,((D430+E430)*C430-G430)*'Assumptions and Catalog'!$H$63+'Assumptions and Catalog'!$E$63+'Assumptions and Catalog'!$F$63,IF(((D430+E430)*C430-G430)&lt;='Assumptions and Catalog'!$C$64,((D430+E430)*C430-G430)*'Assumptions and Catalog'!$H$64+'Assumptions and Catalog'!$E$64+'Assumptions and Catalog'!$F$64,IF(((D430+E430)*C430-G430)&lt;='Assumptions and Catalog'!$C$65,((D430+E430)*C430-G430)*'Assumptions and Catalog'!$H$65+'Assumptions and Catalog'!$E$65+'Assumptions and Catalog'!$F$65,"Out of range")))))))))*(1+'Assumptions and Catalog'!$C$8)^(A430-1),0)</f>
        <v>8554.9666666666672</v>
      </c>
      <c r="R430" s="5">
        <f>IF(AND('Assumptions and Catalog'!$C$19&gt;0,A430&gt;='Assumptions and Catalog'!$C$19),A430-'Assumptions and Catalog'!$C$19,A430-1)</f>
        <v>1</v>
      </c>
      <c r="S430" s="5">
        <f>F430+L430-(D430+E430)*C430-J430-K430-IF(D$52&gt;0,'Assumptions and Catalog'!$C$26*C430,0)</f>
        <v>0</v>
      </c>
      <c r="T430" s="5"/>
      <c r="U430" s="5"/>
    </row>
    <row r="431" spans="1:21" ht="23.1" customHeight="1" outlineLevel="1" x14ac:dyDescent="0.2">
      <c r="A431" s="5">
        <v>2</v>
      </c>
      <c r="B431" s="5">
        <v>9</v>
      </c>
      <c r="C431" s="5">
        <f>DAY(DATE('Assumptions and Catalog'!$C$24+A431-1,B431+1,0))</f>
        <v>30</v>
      </c>
      <c r="D431" s="5">
        <f>IF(ISNUMBER(Inputs!$L$5),Inputs!$L$5*Inputs!$L$6,0)</f>
        <v>40.35</v>
      </c>
      <c r="E431" s="5">
        <f>IF(ISNUMBER(Inputs!$L$5),Inputs!$L$5-D431,0)</f>
        <v>40.35</v>
      </c>
      <c r="F431" s="5">
        <f>D$51*'Assumptions and Catalog'!$C$31*C431*(1-'Assumptions and Catalog'!$C$10)^(A431-1)</f>
        <v>0</v>
      </c>
      <c r="G431" s="5">
        <f t="shared" si="32"/>
        <v>0</v>
      </c>
      <c r="H431" s="5">
        <f>I431/('Assumptions and Catalog'!$C$11*'Assumptions and Catalog'!$C$12)</f>
        <v>0</v>
      </c>
      <c r="I431" s="5">
        <f>IF(K$15="Grid cycle",MIN(K$16,D431+E431,P431*'Assumptions and Catalog'!$C$12,D$57*(24-'Assumptions and Catalog'!$C$15),D$56*'Assumptions and Catalog'!$C$15*'Assumptions and Catalog'!$C$11*'Assumptions and Catalog'!$C$12)*C431,0)</f>
        <v>0</v>
      </c>
      <c r="J431" s="5">
        <f t="shared" si="33"/>
        <v>0</v>
      </c>
      <c r="K431" s="5">
        <f t="shared" si="34"/>
        <v>0</v>
      </c>
      <c r="L431" s="5">
        <f>(D431+E431)*C431-G431-I431+H431+IF(D$52&gt;0,'Assumptions and Catalog'!$C$26*C431,0)</f>
        <v>2421</v>
      </c>
      <c r="M431" s="5">
        <f>IF(ISNUMBER(Inputs!$L$5),(IF(Inputs!$L$9="Actual flat rate",((D431+E431)*C431)*Inputs!$L$10,IF(Inputs!$C$9="Residential",IF(((D431+E431)*C431)&lt;='Assumptions and Catalog'!$C$50,((D431+E431)*C431)*'Assumptions and Catalog'!$H$50+'Assumptions and Catalog'!$E$50+'Assumptions and Catalog'!$F$50,IF(((D431+E431)*C431)&lt;='Assumptions and Catalog'!$C$51,((D431+E431)*C431)*'Assumptions and Catalog'!$H$51+'Assumptions and Catalog'!$E$51+'Assumptions and Catalog'!$F$51,IF(((D431+E431)*C431)&lt;='Assumptions and Catalog'!$C$52,((D431+E431)*C431)*'Assumptions and Catalog'!$H$52+'Assumptions and Catalog'!$E$52+'Assumptions and Catalog'!$F$52,IF(((D431+E431)*C431)&lt;='Assumptions and Catalog'!$C$53,((D431+E431)*C431)*'Assumptions and Catalog'!$H$53+'Assumptions and Catalog'!$E$53+'Assumptions and Catalog'!$F$53,IF(((D431+E431)*C431)&lt;='Assumptions and Catalog'!$C$54,((D431+E431)*C431)*'Assumptions and Catalog'!$H$54+'Assumptions and Catalog'!$E$54+'Assumptions and Catalog'!$F$54,IF(((D431+E431)*C431)&lt;='Assumptions and Catalog'!$C$55,((D431+E431)*C431)*'Assumptions and Catalog'!$H$55+'Assumptions and Catalog'!$E$55+'Assumptions and Catalog'!$F$55,IF(((D431+E431)*C431)&lt;='Assumptions and Catalog'!$C$56,((D431+E431)*C431)*'Assumptions and Catalog'!$H$56+'Assumptions and Catalog'!$E$56+'Assumptions and Catalog'!$F$56,IF(((D431+E431)*C431)&lt;='Assumptions and Catalog'!$C$57,((D431+E431)*C431)*'Assumptions and Catalog'!$H$57+'Assumptions and Catalog'!$E$57+'Assumptions and Catalog'!$F$57,"Out of range")))))))),IF(((D431+E431)*C431)&lt;='Assumptions and Catalog'!$C$60,((D431+E431)*C431)*'Assumptions and Catalog'!$H$60+'Assumptions and Catalog'!$E$60+'Assumptions and Catalog'!$F$60,IF(((D431+E431)*C431)&lt;='Assumptions and Catalog'!$C$61,((D431+E431)*C431)*'Assumptions and Catalog'!$H$61+'Assumptions and Catalog'!$E$61+'Assumptions and Catalog'!$F$61,IF(((D431+E431)*C431)&lt;='Assumptions and Catalog'!$C$62,((D431+E431)*C431)*'Assumptions and Catalog'!$H$62+'Assumptions and Catalog'!$E$62+'Assumptions and Catalog'!$F$62,IF(((D431+E431)*C431)&lt;='Assumptions and Catalog'!$C$63,((D431+E431)*C431)*'Assumptions and Catalog'!$H$63+'Assumptions and Catalog'!$E$63+'Assumptions and Catalog'!$F$63,IF(((D431+E431)*C431)&lt;='Assumptions and Catalog'!$C$64,((D431+E431)*C431)*'Assumptions and Catalog'!$H$64+'Assumptions and Catalog'!$E$64+'Assumptions and Catalog'!$F$64,IF(((D431+E431)*C431)&lt;='Assumptions and Catalog'!$C$65,((D431+E431)*C431)*'Assumptions and Catalog'!$H$65+'Assumptions and Catalog'!$E$65+'Assumptions and Catalog'!$F$65,"Out of range")))))))))*(1+'Assumptions and Catalog'!$C$8)^(A431-1),0)</f>
        <v>8279</v>
      </c>
      <c r="N431" s="5">
        <f>IF(ISNUMBER(Inputs!$L$5),(IF(Inputs!$L$9="Actual flat rate",L431*Inputs!$L$10,IF(Inputs!$C$9="Residential",IF(L431&lt;='Assumptions and Catalog'!$C$50,L431*'Assumptions and Catalog'!$H$50+'Assumptions and Catalog'!$E$50+'Assumptions and Catalog'!$F$50,IF(L431&lt;='Assumptions and Catalog'!$C$51,L431*'Assumptions and Catalog'!$H$51+'Assumptions and Catalog'!$E$51+'Assumptions and Catalog'!$F$51,IF(L431&lt;='Assumptions and Catalog'!$C$52,L431*'Assumptions and Catalog'!$H$52+'Assumptions and Catalog'!$E$52+'Assumptions and Catalog'!$F$52,IF(L431&lt;='Assumptions and Catalog'!$C$53,L431*'Assumptions and Catalog'!$H$53+'Assumptions and Catalog'!$E$53+'Assumptions and Catalog'!$F$53,IF(L431&lt;='Assumptions and Catalog'!$C$54,L431*'Assumptions and Catalog'!$H$54+'Assumptions and Catalog'!$E$54+'Assumptions and Catalog'!$F$54,IF(L431&lt;='Assumptions and Catalog'!$C$55,L431*'Assumptions and Catalog'!$H$55+'Assumptions and Catalog'!$E$55+'Assumptions and Catalog'!$F$55,IF(L431&lt;='Assumptions and Catalog'!$C$56,L431*'Assumptions and Catalog'!$H$56+'Assumptions and Catalog'!$E$56+'Assumptions and Catalog'!$F$56,IF(L431&lt;='Assumptions and Catalog'!$C$57,L431*'Assumptions and Catalog'!$H$57+'Assumptions and Catalog'!$E$57+'Assumptions and Catalog'!$F$57,"Out of range")))))))),IF(L431&lt;='Assumptions and Catalog'!$C$60,L431*'Assumptions and Catalog'!$H$60+'Assumptions and Catalog'!$E$60+'Assumptions and Catalog'!$F$60,IF(L431&lt;='Assumptions and Catalog'!$C$61,L431*'Assumptions and Catalog'!$H$61+'Assumptions and Catalog'!$E$61+'Assumptions and Catalog'!$F$61,IF(L431&lt;='Assumptions and Catalog'!$C$62,L431*'Assumptions and Catalog'!$H$62+'Assumptions and Catalog'!$E$62+'Assumptions and Catalog'!$F$62,IF(L431&lt;='Assumptions and Catalog'!$C$63,L431*'Assumptions and Catalog'!$H$63+'Assumptions and Catalog'!$E$63+'Assumptions and Catalog'!$F$63,IF(L431&lt;='Assumptions and Catalog'!$C$64,L431*'Assumptions and Catalog'!$H$64+'Assumptions and Catalog'!$E$64+'Assumptions and Catalog'!$F$64,IF(L431&lt;='Assumptions and Catalog'!$C$65,L431*'Assumptions and Catalog'!$H$65+'Assumptions and Catalog'!$E$65+'Assumptions and Catalog'!$F$65,"Out of range")))))))))*(1+'Assumptions and Catalog'!$C$8)^(A431-1),0)</f>
        <v>8279</v>
      </c>
      <c r="O431" s="5">
        <f t="shared" si="35"/>
        <v>0</v>
      </c>
      <c r="P431" s="5">
        <f>D$55*(1-K$14)*(1-'Assumptions and Catalog'!$C$23)^R431</f>
        <v>0</v>
      </c>
      <c r="Q431" s="5">
        <f>IF(ISNUMBER(Inputs!$L$5),(IF(Inputs!$L$9="Actual flat rate",((D431+E431)*C431-G431)*Inputs!$L$10,IF(Inputs!$C$9="Residential",IF(((D431+E431)*C431-G431)&lt;='Assumptions and Catalog'!$C$50,((D431+E431)*C431-G431)*'Assumptions and Catalog'!$H$50+'Assumptions and Catalog'!$E$50+'Assumptions and Catalog'!$F$50,IF(((D431+E431)*C431-G431)&lt;='Assumptions and Catalog'!$C$51,((D431+E431)*C431-G431)*'Assumptions and Catalog'!$H$51+'Assumptions and Catalog'!$E$51+'Assumptions and Catalog'!$F$51,IF(((D431+E431)*C431-G431)&lt;='Assumptions and Catalog'!$C$52,((D431+E431)*C431-G431)*'Assumptions and Catalog'!$H$52+'Assumptions and Catalog'!$E$52+'Assumptions and Catalog'!$F$52,IF(((D431+E431)*C431-G431)&lt;='Assumptions and Catalog'!$C$53,((D431+E431)*C431-G431)*'Assumptions and Catalog'!$H$53+'Assumptions and Catalog'!$E$53+'Assumptions and Catalog'!$F$53,IF(((D431+E431)*C431-G431)&lt;='Assumptions and Catalog'!$C$54,((D431+E431)*C431-G431)*'Assumptions and Catalog'!$H$54+'Assumptions and Catalog'!$E$54+'Assumptions and Catalog'!$F$54,IF(((D431+E431)*C431-G431)&lt;='Assumptions and Catalog'!$C$55,((D431+E431)*C431-G431)*'Assumptions and Catalog'!$H$55+'Assumptions and Catalog'!$E$55+'Assumptions and Catalog'!$F$55,IF(((D431+E431)*C431-G431)&lt;='Assumptions and Catalog'!$C$56,((D431+E431)*C431-G431)*'Assumptions and Catalog'!$H$56+'Assumptions and Catalog'!$E$56+'Assumptions and Catalog'!$F$56,IF(((D431+E431)*C431-G431)&lt;='Assumptions and Catalog'!$C$57,((D431+E431)*C431-G431)*'Assumptions and Catalog'!$H$57+'Assumptions and Catalog'!$E$57+'Assumptions and Catalog'!$F$57,"Out of range")))))))),IF(((D431+E431)*C431-G431)&lt;='Assumptions and Catalog'!$C$60,((D431+E431)*C431-G431)*'Assumptions and Catalog'!$H$60+'Assumptions and Catalog'!$E$60+'Assumptions and Catalog'!$F$60,IF(((D431+E431)*C431-G431)&lt;='Assumptions and Catalog'!$C$61,((D431+E431)*C431-G431)*'Assumptions and Catalog'!$H$61+'Assumptions and Catalog'!$E$61+'Assumptions and Catalog'!$F$61,IF(((D431+E431)*C431-G431)&lt;='Assumptions and Catalog'!$C$62,((D431+E431)*C431-G431)*'Assumptions and Catalog'!$H$62+'Assumptions and Catalog'!$E$62+'Assumptions and Catalog'!$F$62,IF(((D431+E431)*C431-G431)&lt;='Assumptions and Catalog'!$C$63,((D431+E431)*C431-G431)*'Assumptions and Catalog'!$H$63+'Assumptions and Catalog'!$E$63+'Assumptions and Catalog'!$F$63,IF(((D431+E431)*C431-G431)&lt;='Assumptions and Catalog'!$C$64,((D431+E431)*C431-G431)*'Assumptions and Catalog'!$H$64+'Assumptions and Catalog'!$E$64+'Assumptions and Catalog'!$F$64,IF(((D431+E431)*C431-G431)&lt;='Assumptions and Catalog'!$C$65,((D431+E431)*C431-G431)*'Assumptions and Catalog'!$H$65+'Assumptions and Catalog'!$E$65+'Assumptions and Catalog'!$F$65,"Out of range")))))))))*(1+'Assumptions and Catalog'!$C$8)^(A431-1),0)</f>
        <v>8279</v>
      </c>
      <c r="R431" s="5">
        <f>IF(AND('Assumptions and Catalog'!$C$19&gt;0,A431&gt;='Assumptions and Catalog'!$C$19),A431-'Assumptions and Catalog'!$C$19,A431-1)</f>
        <v>1</v>
      </c>
      <c r="S431" s="5">
        <f>F431+L431-(D431+E431)*C431-J431-K431-IF(D$52&gt;0,'Assumptions and Catalog'!$C$26*C431,0)</f>
        <v>0</v>
      </c>
      <c r="T431" s="5"/>
      <c r="U431" s="5"/>
    </row>
    <row r="432" spans="1:21" ht="23.1" customHeight="1" outlineLevel="1" x14ac:dyDescent="0.2">
      <c r="A432" s="5">
        <v>2</v>
      </c>
      <c r="B432" s="5">
        <v>10</v>
      </c>
      <c r="C432" s="5">
        <f>DAY(DATE('Assumptions and Catalog'!$C$24+A432-1,B432+1,0))</f>
        <v>31</v>
      </c>
      <c r="D432" s="5">
        <f>IF(ISNUMBER(Inputs!$L$5),Inputs!$L$5*Inputs!$L$6,0)</f>
        <v>40.35</v>
      </c>
      <c r="E432" s="5">
        <f>IF(ISNUMBER(Inputs!$L$5),Inputs!$L$5-D432,0)</f>
        <v>40.35</v>
      </c>
      <c r="F432" s="5">
        <f>D$51*'Assumptions and Catalog'!$C$31*C432*(1-'Assumptions and Catalog'!$C$10)^(A432-1)</f>
        <v>0</v>
      </c>
      <c r="G432" s="5">
        <f t="shared" si="32"/>
        <v>0</v>
      </c>
      <c r="H432" s="5">
        <f>I432/('Assumptions and Catalog'!$C$11*'Assumptions and Catalog'!$C$12)</f>
        <v>0</v>
      </c>
      <c r="I432" s="5">
        <f>IF(K$15="Grid cycle",MIN(K$16,D432+E432,P432*'Assumptions and Catalog'!$C$12,D$57*(24-'Assumptions and Catalog'!$C$15),D$56*'Assumptions and Catalog'!$C$15*'Assumptions and Catalog'!$C$11*'Assumptions and Catalog'!$C$12)*C432,0)</f>
        <v>0</v>
      </c>
      <c r="J432" s="5">
        <f t="shared" si="33"/>
        <v>0</v>
      </c>
      <c r="K432" s="5">
        <f t="shared" si="34"/>
        <v>0</v>
      </c>
      <c r="L432" s="5">
        <f>(D432+E432)*C432-G432-I432+H432+IF(D$52&gt;0,'Assumptions and Catalog'!$C$26*C432,0)</f>
        <v>2501.7000000000003</v>
      </c>
      <c r="M432" s="5">
        <f>IF(ISNUMBER(Inputs!$L$5),(IF(Inputs!$L$9="Actual flat rate",((D432+E432)*C432)*Inputs!$L$10,IF(Inputs!$C$9="Residential",IF(((D432+E432)*C432)&lt;='Assumptions and Catalog'!$C$50,((D432+E432)*C432)*'Assumptions and Catalog'!$H$50+'Assumptions and Catalog'!$E$50+'Assumptions and Catalog'!$F$50,IF(((D432+E432)*C432)&lt;='Assumptions and Catalog'!$C$51,((D432+E432)*C432)*'Assumptions and Catalog'!$H$51+'Assumptions and Catalog'!$E$51+'Assumptions and Catalog'!$F$51,IF(((D432+E432)*C432)&lt;='Assumptions and Catalog'!$C$52,((D432+E432)*C432)*'Assumptions and Catalog'!$H$52+'Assumptions and Catalog'!$E$52+'Assumptions and Catalog'!$F$52,IF(((D432+E432)*C432)&lt;='Assumptions and Catalog'!$C$53,((D432+E432)*C432)*'Assumptions and Catalog'!$H$53+'Assumptions and Catalog'!$E$53+'Assumptions and Catalog'!$F$53,IF(((D432+E432)*C432)&lt;='Assumptions and Catalog'!$C$54,((D432+E432)*C432)*'Assumptions and Catalog'!$H$54+'Assumptions and Catalog'!$E$54+'Assumptions and Catalog'!$F$54,IF(((D432+E432)*C432)&lt;='Assumptions and Catalog'!$C$55,((D432+E432)*C432)*'Assumptions and Catalog'!$H$55+'Assumptions and Catalog'!$E$55+'Assumptions and Catalog'!$F$55,IF(((D432+E432)*C432)&lt;='Assumptions and Catalog'!$C$56,((D432+E432)*C432)*'Assumptions and Catalog'!$H$56+'Assumptions and Catalog'!$E$56+'Assumptions and Catalog'!$F$56,IF(((D432+E432)*C432)&lt;='Assumptions and Catalog'!$C$57,((D432+E432)*C432)*'Assumptions and Catalog'!$H$57+'Assumptions and Catalog'!$E$57+'Assumptions and Catalog'!$F$57,"Out of range")))))))),IF(((D432+E432)*C432)&lt;='Assumptions and Catalog'!$C$60,((D432+E432)*C432)*'Assumptions and Catalog'!$H$60+'Assumptions and Catalog'!$E$60+'Assumptions and Catalog'!$F$60,IF(((D432+E432)*C432)&lt;='Assumptions and Catalog'!$C$61,((D432+E432)*C432)*'Assumptions and Catalog'!$H$61+'Assumptions and Catalog'!$E$61+'Assumptions and Catalog'!$F$61,IF(((D432+E432)*C432)&lt;='Assumptions and Catalog'!$C$62,((D432+E432)*C432)*'Assumptions and Catalog'!$H$62+'Assumptions and Catalog'!$E$62+'Assumptions and Catalog'!$F$62,IF(((D432+E432)*C432)&lt;='Assumptions and Catalog'!$C$63,((D432+E432)*C432)*'Assumptions and Catalog'!$H$63+'Assumptions and Catalog'!$E$63+'Assumptions and Catalog'!$F$63,IF(((D432+E432)*C432)&lt;='Assumptions and Catalog'!$C$64,((D432+E432)*C432)*'Assumptions and Catalog'!$H$64+'Assumptions and Catalog'!$E$64+'Assumptions and Catalog'!$F$64,IF(((D432+E432)*C432)&lt;='Assumptions and Catalog'!$C$65,((D432+E432)*C432)*'Assumptions and Catalog'!$H$65+'Assumptions and Catalog'!$E$65+'Assumptions and Catalog'!$F$65,"Out of range")))))))))*(1+'Assumptions and Catalog'!$C$8)^(A432-1),0)</f>
        <v>8554.9666666666672</v>
      </c>
      <c r="N432" s="5">
        <f>IF(ISNUMBER(Inputs!$L$5),(IF(Inputs!$L$9="Actual flat rate",L432*Inputs!$L$10,IF(Inputs!$C$9="Residential",IF(L432&lt;='Assumptions and Catalog'!$C$50,L432*'Assumptions and Catalog'!$H$50+'Assumptions and Catalog'!$E$50+'Assumptions and Catalog'!$F$50,IF(L432&lt;='Assumptions and Catalog'!$C$51,L432*'Assumptions and Catalog'!$H$51+'Assumptions and Catalog'!$E$51+'Assumptions and Catalog'!$F$51,IF(L432&lt;='Assumptions and Catalog'!$C$52,L432*'Assumptions and Catalog'!$H$52+'Assumptions and Catalog'!$E$52+'Assumptions and Catalog'!$F$52,IF(L432&lt;='Assumptions and Catalog'!$C$53,L432*'Assumptions and Catalog'!$H$53+'Assumptions and Catalog'!$E$53+'Assumptions and Catalog'!$F$53,IF(L432&lt;='Assumptions and Catalog'!$C$54,L432*'Assumptions and Catalog'!$H$54+'Assumptions and Catalog'!$E$54+'Assumptions and Catalog'!$F$54,IF(L432&lt;='Assumptions and Catalog'!$C$55,L432*'Assumptions and Catalog'!$H$55+'Assumptions and Catalog'!$E$55+'Assumptions and Catalog'!$F$55,IF(L432&lt;='Assumptions and Catalog'!$C$56,L432*'Assumptions and Catalog'!$H$56+'Assumptions and Catalog'!$E$56+'Assumptions and Catalog'!$F$56,IF(L432&lt;='Assumptions and Catalog'!$C$57,L432*'Assumptions and Catalog'!$H$57+'Assumptions and Catalog'!$E$57+'Assumptions and Catalog'!$F$57,"Out of range")))))))),IF(L432&lt;='Assumptions and Catalog'!$C$60,L432*'Assumptions and Catalog'!$H$60+'Assumptions and Catalog'!$E$60+'Assumptions and Catalog'!$F$60,IF(L432&lt;='Assumptions and Catalog'!$C$61,L432*'Assumptions and Catalog'!$H$61+'Assumptions and Catalog'!$E$61+'Assumptions and Catalog'!$F$61,IF(L432&lt;='Assumptions and Catalog'!$C$62,L432*'Assumptions and Catalog'!$H$62+'Assumptions and Catalog'!$E$62+'Assumptions and Catalog'!$F$62,IF(L432&lt;='Assumptions and Catalog'!$C$63,L432*'Assumptions and Catalog'!$H$63+'Assumptions and Catalog'!$E$63+'Assumptions and Catalog'!$F$63,IF(L432&lt;='Assumptions and Catalog'!$C$64,L432*'Assumptions and Catalog'!$H$64+'Assumptions and Catalog'!$E$64+'Assumptions and Catalog'!$F$64,IF(L432&lt;='Assumptions and Catalog'!$C$65,L432*'Assumptions and Catalog'!$H$65+'Assumptions and Catalog'!$E$65+'Assumptions and Catalog'!$F$65,"Out of range")))))))))*(1+'Assumptions and Catalog'!$C$8)^(A432-1),0)</f>
        <v>8554.9666666666672</v>
      </c>
      <c r="O432" s="5">
        <f t="shared" si="35"/>
        <v>0</v>
      </c>
      <c r="P432" s="5">
        <f>D$55*(1-K$14)*(1-'Assumptions and Catalog'!$C$23)^R432</f>
        <v>0</v>
      </c>
      <c r="Q432" s="5">
        <f>IF(ISNUMBER(Inputs!$L$5),(IF(Inputs!$L$9="Actual flat rate",((D432+E432)*C432-G432)*Inputs!$L$10,IF(Inputs!$C$9="Residential",IF(((D432+E432)*C432-G432)&lt;='Assumptions and Catalog'!$C$50,((D432+E432)*C432-G432)*'Assumptions and Catalog'!$H$50+'Assumptions and Catalog'!$E$50+'Assumptions and Catalog'!$F$50,IF(((D432+E432)*C432-G432)&lt;='Assumptions and Catalog'!$C$51,((D432+E432)*C432-G432)*'Assumptions and Catalog'!$H$51+'Assumptions and Catalog'!$E$51+'Assumptions and Catalog'!$F$51,IF(((D432+E432)*C432-G432)&lt;='Assumptions and Catalog'!$C$52,((D432+E432)*C432-G432)*'Assumptions and Catalog'!$H$52+'Assumptions and Catalog'!$E$52+'Assumptions and Catalog'!$F$52,IF(((D432+E432)*C432-G432)&lt;='Assumptions and Catalog'!$C$53,((D432+E432)*C432-G432)*'Assumptions and Catalog'!$H$53+'Assumptions and Catalog'!$E$53+'Assumptions and Catalog'!$F$53,IF(((D432+E432)*C432-G432)&lt;='Assumptions and Catalog'!$C$54,((D432+E432)*C432-G432)*'Assumptions and Catalog'!$H$54+'Assumptions and Catalog'!$E$54+'Assumptions and Catalog'!$F$54,IF(((D432+E432)*C432-G432)&lt;='Assumptions and Catalog'!$C$55,((D432+E432)*C432-G432)*'Assumptions and Catalog'!$H$55+'Assumptions and Catalog'!$E$55+'Assumptions and Catalog'!$F$55,IF(((D432+E432)*C432-G432)&lt;='Assumptions and Catalog'!$C$56,((D432+E432)*C432-G432)*'Assumptions and Catalog'!$H$56+'Assumptions and Catalog'!$E$56+'Assumptions and Catalog'!$F$56,IF(((D432+E432)*C432-G432)&lt;='Assumptions and Catalog'!$C$57,((D432+E432)*C432-G432)*'Assumptions and Catalog'!$H$57+'Assumptions and Catalog'!$E$57+'Assumptions and Catalog'!$F$57,"Out of range")))))))),IF(((D432+E432)*C432-G432)&lt;='Assumptions and Catalog'!$C$60,((D432+E432)*C432-G432)*'Assumptions and Catalog'!$H$60+'Assumptions and Catalog'!$E$60+'Assumptions and Catalog'!$F$60,IF(((D432+E432)*C432-G432)&lt;='Assumptions and Catalog'!$C$61,((D432+E432)*C432-G432)*'Assumptions and Catalog'!$H$61+'Assumptions and Catalog'!$E$61+'Assumptions and Catalog'!$F$61,IF(((D432+E432)*C432-G432)&lt;='Assumptions and Catalog'!$C$62,((D432+E432)*C432-G432)*'Assumptions and Catalog'!$H$62+'Assumptions and Catalog'!$E$62+'Assumptions and Catalog'!$F$62,IF(((D432+E432)*C432-G432)&lt;='Assumptions and Catalog'!$C$63,((D432+E432)*C432-G432)*'Assumptions and Catalog'!$H$63+'Assumptions and Catalog'!$E$63+'Assumptions and Catalog'!$F$63,IF(((D432+E432)*C432-G432)&lt;='Assumptions and Catalog'!$C$64,((D432+E432)*C432-G432)*'Assumptions and Catalog'!$H$64+'Assumptions and Catalog'!$E$64+'Assumptions and Catalog'!$F$64,IF(((D432+E432)*C432-G432)&lt;='Assumptions and Catalog'!$C$65,((D432+E432)*C432-G432)*'Assumptions and Catalog'!$H$65+'Assumptions and Catalog'!$E$65+'Assumptions and Catalog'!$F$65,"Out of range")))))))))*(1+'Assumptions and Catalog'!$C$8)^(A432-1),0)</f>
        <v>8554.9666666666672</v>
      </c>
      <c r="R432" s="5">
        <f>IF(AND('Assumptions and Catalog'!$C$19&gt;0,A432&gt;='Assumptions and Catalog'!$C$19),A432-'Assumptions and Catalog'!$C$19,A432-1)</f>
        <v>1</v>
      </c>
      <c r="S432" s="5">
        <f>F432+L432-(D432+E432)*C432-J432-K432-IF(D$52&gt;0,'Assumptions and Catalog'!$C$26*C432,0)</f>
        <v>0</v>
      </c>
      <c r="T432" s="5"/>
      <c r="U432" s="5"/>
    </row>
    <row r="433" spans="1:21" ht="23.1" customHeight="1" outlineLevel="1" x14ac:dyDescent="0.2">
      <c r="A433" s="5">
        <v>2</v>
      </c>
      <c r="B433" s="5">
        <v>11</v>
      </c>
      <c r="C433" s="5">
        <f>DAY(DATE('Assumptions and Catalog'!$C$24+A433-1,B433+1,0))</f>
        <v>30</v>
      </c>
      <c r="D433" s="5">
        <f>IF(ISNUMBER(Inputs!$L$5),Inputs!$L$5*Inputs!$L$6,0)</f>
        <v>40.35</v>
      </c>
      <c r="E433" s="5">
        <f>IF(ISNUMBER(Inputs!$L$5),Inputs!$L$5-D433,0)</f>
        <v>40.35</v>
      </c>
      <c r="F433" s="5">
        <f>D$51*'Assumptions and Catalog'!$C$31*C433*(1-'Assumptions and Catalog'!$C$10)^(A433-1)</f>
        <v>0</v>
      </c>
      <c r="G433" s="5">
        <f t="shared" si="32"/>
        <v>0</v>
      </c>
      <c r="H433" s="5">
        <f>I433/('Assumptions and Catalog'!$C$11*'Assumptions and Catalog'!$C$12)</f>
        <v>0</v>
      </c>
      <c r="I433" s="5">
        <f>IF(K$15="Grid cycle",MIN(K$16,D433+E433,P433*'Assumptions and Catalog'!$C$12,D$57*(24-'Assumptions and Catalog'!$C$15),D$56*'Assumptions and Catalog'!$C$15*'Assumptions and Catalog'!$C$11*'Assumptions and Catalog'!$C$12)*C433,0)</f>
        <v>0</v>
      </c>
      <c r="J433" s="5">
        <f t="shared" si="33"/>
        <v>0</v>
      </c>
      <c r="K433" s="5">
        <f t="shared" si="34"/>
        <v>0</v>
      </c>
      <c r="L433" s="5">
        <f>(D433+E433)*C433-G433-I433+H433+IF(D$52&gt;0,'Assumptions and Catalog'!$C$26*C433,0)</f>
        <v>2421</v>
      </c>
      <c r="M433" s="5">
        <f>IF(ISNUMBER(Inputs!$L$5),(IF(Inputs!$L$9="Actual flat rate",((D433+E433)*C433)*Inputs!$L$10,IF(Inputs!$C$9="Residential",IF(((D433+E433)*C433)&lt;='Assumptions and Catalog'!$C$50,((D433+E433)*C433)*'Assumptions and Catalog'!$H$50+'Assumptions and Catalog'!$E$50+'Assumptions and Catalog'!$F$50,IF(((D433+E433)*C433)&lt;='Assumptions and Catalog'!$C$51,((D433+E433)*C433)*'Assumptions and Catalog'!$H$51+'Assumptions and Catalog'!$E$51+'Assumptions and Catalog'!$F$51,IF(((D433+E433)*C433)&lt;='Assumptions and Catalog'!$C$52,((D433+E433)*C433)*'Assumptions and Catalog'!$H$52+'Assumptions and Catalog'!$E$52+'Assumptions and Catalog'!$F$52,IF(((D433+E433)*C433)&lt;='Assumptions and Catalog'!$C$53,((D433+E433)*C433)*'Assumptions and Catalog'!$H$53+'Assumptions and Catalog'!$E$53+'Assumptions and Catalog'!$F$53,IF(((D433+E433)*C433)&lt;='Assumptions and Catalog'!$C$54,((D433+E433)*C433)*'Assumptions and Catalog'!$H$54+'Assumptions and Catalog'!$E$54+'Assumptions and Catalog'!$F$54,IF(((D433+E433)*C433)&lt;='Assumptions and Catalog'!$C$55,((D433+E433)*C433)*'Assumptions and Catalog'!$H$55+'Assumptions and Catalog'!$E$55+'Assumptions and Catalog'!$F$55,IF(((D433+E433)*C433)&lt;='Assumptions and Catalog'!$C$56,((D433+E433)*C433)*'Assumptions and Catalog'!$H$56+'Assumptions and Catalog'!$E$56+'Assumptions and Catalog'!$F$56,IF(((D433+E433)*C433)&lt;='Assumptions and Catalog'!$C$57,((D433+E433)*C433)*'Assumptions and Catalog'!$H$57+'Assumptions and Catalog'!$E$57+'Assumptions and Catalog'!$F$57,"Out of range")))))))),IF(((D433+E433)*C433)&lt;='Assumptions and Catalog'!$C$60,((D433+E433)*C433)*'Assumptions and Catalog'!$H$60+'Assumptions and Catalog'!$E$60+'Assumptions and Catalog'!$F$60,IF(((D433+E433)*C433)&lt;='Assumptions and Catalog'!$C$61,((D433+E433)*C433)*'Assumptions and Catalog'!$H$61+'Assumptions and Catalog'!$E$61+'Assumptions and Catalog'!$F$61,IF(((D433+E433)*C433)&lt;='Assumptions and Catalog'!$C$62,((D433+E433)*C433)*'Assumptions and Catalog'!$H$62+'Assumptions and Catalog'!$E$62+'Assumptions and Catalog'!$F$62,IF(((D433+E433)*C433)&lt;='Assumptions and Catalog'!$C$63,((D433+E433)*C433)*'Assumptions and Catalog'!$H$63+'Assumptions and Catalog'!$E$63+'Assumptions and Catalog'!$F$63,IF(((D433+E433)*C433)&lt;='Assumptions and Catalog'!$C$64,((D433+E433)*C433)*'Assumptions and Catalog'!$H$64+'Assumptions and Catalog'!$E$64+'Assumptions and Catalog'!$F$64,IF(((D433+E433)*C433)&lt;='Assumptions and Catalog'!$C$65,((D433+E433)*C433)*'Assumptions and Catalog'!$H$65+'Assumptions and Catalog'!$E$65+'Assumptions and Catalog'!$F$65,"Out of range")))))))))*(1+'Assumptions and Catalog'!$C$8)^(A433-1),0)</f>
        <v>8279</v>
      </c>
      <c r="N433" s="5">
        <f>IF(ISNUMBER(Inputs!$L$5),(IF(Inputs!$L$9="Actual flat rate",L433*Inputs!$L$10,IF(Inputs!$C$9="Residential",IF(L433&lt;='Assumptions and Catalog'!$C$50,L433*'Assumptions and Catalog'!$H$50+'Assumptions and Catalog'!$E$50+'Assumptions and Catalog'!$F$50,IF(L433&lt;='Assumptions and Catalog'!$C$51,L433*'Assumptions and Catalog'!$H$51+'Assumptions and Catalog'!$E$51+'Assumptions and Catalog'!$F$51,IF(L433&lt;='Assumptions and Catalog'!$C$52,L433*'Assumptions and Catalog'!$H$52+'Assumptions and Catalog'!$E$52+'Assumptions and Catalog'!$F$52,IF(L433&lt;='Assumptions and Catalog'!$C$53,L433*'Assumptions and Catalog'!$H$53+'Assumptions and Catalog'!$E$53+'Assumptions and Catalog'!$F$53,IF(L433&lt;='Assumptions and Catalog'!$C$54,L433*'Assumptions and Catalog'!$H$54+'Assumptions and Catalog'!$E$54+'Assumptions and Catalog'!$F$54,IF(L433&lt;='Assumptions and Catalog'!$C$55,L433*'Assumptions and Catalog'!$H$55+'Assumptions and Catalog'!$E$55+'Assumptions and Catalog'!$F$55,IF(L433&lt;='Assumptions and Catalog'!$C$56,L433*'Assumptions and Catalog'!$H$56+'Assumptions and Catalog'!$E$56+'Assumptions and Catalog'!$F$56,IF(L433&lt;='Assumptions and Catalog'!$C$57,L433*'Assumptions and Catalog'!$H$57+'Assumptions and Catalog'!$E$57+'Assumptions and Catalog'!$F$57,"Out of range")))))))),IF(L433&lt;='Assumptions and Catalog'!$C$60,L433*'Assumptions and Catalog'!$H$60+'Assumptions and Catalog'!$E$60+'Assumptions and Catalog'!$F$60,IF(L433&lt;='Assumptions and Catalog'!$C$61,L433*'Assumptions and Catalog'!$H$61+'Assumptions and Catalog'!$E$61+'Assumptions and Catalog'!$F$61,IF(L433&lt;='Assumptions and Catalog'!$C$62,L433*'Assumptions and Catalog'!$H$62+'Assumptions and Catalog'!$E$62+'Assumptions and Catalog'!$F$62,IF(L433&lt;='Assumptions and Catalog'!$C$63,L433*'Assumptions and Catalog'!$H$63+'Assumptions and Catalog'!$E$63+'Assumptions and Catalog'!$F$63,IF(L433&lt;='Assumptions and Catalog'!$C$64,L433*'Assumptions and Catalog'!$H$64+'Assumptions and Catalog'!$E$64+'Assumptions and Catalog'!$F$64,IF(L433&lt;='Assumptions and Catalog'!$C$65,L433*'Assumptions and Catalog'!$H$65+'Assumptions and Catalog'!$E$65+'Assumptions and Catalog'!$F$65,"Out of range")))))))))*(1+'Assumptions and Catalog'!$C$8)^(A433-1),0)</f>
        <v>8279</v>
      </c>
      <c r="O433" s="5">
        <f t="shared" si="35"/>
        <v>0</v>
      </c>
      <c r="P433" s="5">
        <f>D$55*(1-K$14)*(1-'Assumptions and Catalog'!$C$23)^R433</f>
        <v>0</v>
      </c>
      <c r="Q433" s="5">
        <f>IF(ISNUMBER(Inputs!$L$5),(IF(Inputs!$L$9="Actual flat rate",((D433+E433)*C433-G433)*Inputs!$L$10,IF(Inputs!$C$9="Residential",IF(((D433+E433)*C433-G433)&lt;='Assumptions and Catalog'!$C$50,((D433+E433)*C433-G433)*'Assumptions and Catalog'!$H$50+'Assumptions and Catalog'!$E$50+'Assumptions and Catalog'!$F$50,IF(((D433+E433)*C433-G433)&lt;='Assumptions and Catalog'!$C$51,((D433+E433)*C433-G433)*'Assumptions and Catalog'!$H$51+'Assumptions and Catalog'!$E$51+'Assumptions and Catalog'!$F$51,IF(((D433+E433)*C433-G433)&lt;='Assumptions and Catalog'!$C$52,((D433+E433)*C433-G433)*'Assumptions and Catalog'!$H$52+'Assumptions and Catalog'!$E$52+'Assumptions and Catalog'!$F$52,IF(((D433+E433)*C433-G433)&lt;='Assumptions and Catalog'!$C$53,((D433+E433)*C433-G433)*'Assumptions and Catalog'!$H$53+'Assumptions and Catalog'!$E$53+'Assumptions and Catalog'!$F$53,IF(((D433+E433)*C433-G433)&lt;='Assumptions and Catalog'!$C$54,((D433+E433)*C433-G433)*'Assumptions and Catalog'!$H$54+'Assumptions and Catalog'!$E$54+'Assumptions and Catalog'!$F$54,IF(((D433+E433)*C433-G433)&lt;='Assumptions and Catalog'!$C$55,((D433+E433)*C433-G433)*'Assumptions and Catalog'!$H$55+'Assumptions and Catalog'!$E$55+'Assumptions and Catalog'!$F$55,IF(((D433+E433)*C433-G433)&lt;='Assumptions and Catalog'!$C$56,((D433+E433)*C433-G433)*'Assumptions and Catalog'!$H$56+'Assumptions and Catalog'!$E$56+'Assumptions and Catalog'!$F$56,IF(((D433+E433)*C433-G433)&lt;='Assumptions and Catalog'!$C$57,((D433+E433)*C433-G433)*'Assumptions and Catalog'!$H$57+'Assumptions and Catalog'!$E$57+'Assumptions and Catalog'!$F$57,"Out of range")))))))),IF(((D433+E433)*C433-G433)&lt;='Assumptions and Catalog'!$C$60,((D433+E433)*C433-G433)*'Assumptions and Catalog'!$H$60+'Assumptions and Catalog'!$E$60+'Assumptions and Catalog'!$F$60,IF(((D433+E433)*C433-G433)&lt;='Assumptions and Catalog'!$C$61,((D433+E433)*C433-G433)*'Assumptions and Catalog'!$H$61+'Assumptions and Catalog'!$E$61+'Assumptions and Catalog'!$F$61,IF(((D433+E433)*C433-G433)&lt;='Assumptions and Catalog'!$C$62,((D433+E433)*C433-G433)*'Assumptions and Catalog'!$H$62+'Assumptions and Catalog'!$E$62+'Assumptions and Catalog'!$F$62,IF(((D433+E433)*C433-G433)&lt;='Assumptions and Catalog'!$C$63,((D433+E433)*C433-G433)*'Assumptions and Catalog'!$H$63+'Assumptions and Catalog'!$E$63+'Assumptions and Catalog'!$F$63,IF(((D433+E433)*C433-G433)&lt;='Assumptions and Catalog'!$C$64,((D433+E433)*C433-G433)*'Assumptions and Catalog'!$H$64+'Assumptions and Catalog'!$E$64+'Assumptions and Catalog'!$F$64,IF(((D433+E433)*C433-G433)&lt;='Assumptions and Catalog'!$C$65,((D433+E433)*C433-G433)*'Assumptions and Catalog'!$H$65+'Assumptions and Catalog'!$E$65+'Assumptions and Catalog'!$F$65,"Out of range")))))))))*(1+'Assumptions and Catalog'!$C$8)^(A433-1),0)</f>
        <v>8279</v>
      </c>
      <c r="R433" s="5">
        <f>IF(AND('Assumptions and Catalog'!$C$19&gt;0,A433&gt;='Assumptions and Catalog'!$C$19),A433-'Assumptions and Catalog'!$C$19,A433-1)</f>
        <v>1</v>
      </c>
      <c r="S433" s="5">
        <f>F433+L433-(D433+E433)*C433-J433-K433-IF(D$52&gt;0,'Assumptions and Catalog'!$C$26*C433,0)</f>
        <v>0</v>
      </c>
      <c r="T433" s="5"/>
      <c r="U433" s="5"/>
    </row>
    <row r="434" spans="1:21" ht="23.1" customHeight="1" outlineLevel="1" x14ac:dyDescent="0.2">
      <c r="A434" s="5">
        <v>2</v>
      </c>
      <c r="B434" s="5">
        <v>12</v>
      </c>
      <c r="C434" s="5">
        <f>DAY(DATE('Assumptions and Catalog'!$C$24+A434-1,B434+1,0))</f>
        <v>31</v>
      </c>
      <c r="D434" s="5">
        <f>IF(ISNUMBER(Inputs!$L$5),Inputs!$L$5*Inputs!$L$6,0)</f>
        <v>40.35</v>
      </c>
      <c r="E434" s="5">
        <f>IF(ISNUMBER(Inputs!$L$5),Inputs!$L$5-D434,0)</f>
        <v>40.35</v>
      </c>
      <c r="F434" s="5">
        <f>D$51*'Assumptions and Catalog'!$C$31*C434*(1-'Assumptions and Catalog'!$C$10)^(A434-1)</f>
        <v>0</v>
      </c>
      <c r="G434" s="5">
        <f t="shared" si="32"/>
        <v>0</v>
      </c>
      <c r="H434" s="5">
        <f>I434/('Assumptions and Catalog'!$C$11*'Assumptions and Catalog'!$C$12)</f>
        <v>0</v>
      </c>
      <c r="I434" s="5">
        <f>IF(K$15="Grid cycle",MIN(K$16,D434+E434,P434*'Assumptions and Catalog'!$C$12,D$57*(24-'Assumptions and Catalog'!$C$15),D$56*'Assumptions and Catalog'!$C$15*'Assumptions and Catalog'!$C$11*'Assumptions and Catalog'!$C$12)*C434,0)</f>
        <v>0</v>
      </c>
      <c r="J434" s="5">
        <f t="shared" si="33"/>
        <v>0</v>
      </c>
      <c r="K434" s="5">
        <f t="shared" si="34"/>
        <v>0</v>
      </c>
      <c r="L434" s="5">
        <f>(D434+E434)*C434-G434-I434+H434+IF(D$52&gt;0,'Assumptions and Catalog'!$C$26*C434,0)</f>
        <v>2501.7000000000003</v>
      </c>
      <c r="M434" s="5">
        <f>IF(ISNUMBER(Inputs!$L$5),(IF(Inputs!$L$9="Actual flat rate",((D434+E434)*C434)*Inputs!$L$10,IF(Inputs!$C$9="Residential",IF(((D434+E434)*C434)&lt;='Assumptions and Catalog'!$C$50,((D434+E434)*C434)*'Assumptions and Catalog'!$H$50+'Assumptions and Catalog'!$E$50+'Assumptions and Catalog'!$F$50,IF(((D434+E434)*C434)&lt;='Assumptions and Catalog'!$C$51,((D434+E434)*C434)*'Assumptions and Catalog'!$H$51+'Assumptions and Catalog'!$E$51+'Assumptions and Catalog'!$F$51,IF(((D434+E434)*C434)&lt;='Assumptions and Catalog'!$C$52,((D434+E434)*C434)*'Assumptions and Catalog'!$H$52+'Assumptions and Catalog'!$E$52+'Assumptions and Catalog'!$F$52,IF(((D434+E434)*C434)&lt;='Assumptions and Catalog'!$C$53,((D434+E434)*C434)*'Assumptions and Catalog'!$H$53+'Assumptions and Catalog'!$E$53+'Assumptions and Catalog'!$F$53,IF(((D434+E434)*C434)&lt;='Assumptions and Catalog'!$C$54,((D434+E434)*C434)*'Assumptions and Catalog'!$H$54+'Assumptions and Catalog'!$E$54+'Assumptions and Catalog'!$F$54,IF(((D434+E434)*C434)&lt;='Assumptions and Catalog'!$C$55,((D434+E434)*C434)*'Assumptions and Catalog'!$H$55+'Assumptions and Catalog'!$E$55+'Assumptions and Catalog'!$F$55,IF(((D434+E434)*C434)&lt;='Assumptions and Catalog'!$C$56,((D434+E434)*C434)*'Assumptions and Catalog'!$H$56+'Assumptions and Catalog'!$E$56+'Assumptions and Catalog'!$F$56,IF(((D434+E434)*C434)&lt;='Assumptions and Catalog'!$C$57,((D434+E434)*C434)*'Assumptions and Catalog'!$H$57+'Assumptions and Catalog'!$E$57+'Assumptions and Catalog'!$F$57,"Out of range")))))))),IF(((D434+E434)*C434)&lt;='Assumptions and Catalog'!$C$60,((D434+E434)*C434)*'Assumptions and Catalog'!$H$60+'Assumptions and Catalog'!$E$60+'Assumptions and Catalog'!$F$60,IF(((D434+E434)*C434)&lt;='Assumptions and Catalog'!$C$61,((D434+E434)*C434)*'Assumptions and Catalog'!$H$61+'Assumptions and Catalog'!$E$61+'Assumptions and Catalog'!$F$61,IF(((D434+E434)*C434)&lt;='Assumptions and Catalog'!$C$62,((D434+E434)*C434)*'Assumptions and Catalog'!$H$62+'Assumptions and Catalog'!$E$62+'Assumptions and Catalog'!$F$62,IF(((D434+E434)*C434)&lt;='Assumptions and Catalog'!$C$63,((D434+E434)*C434)*'Assumptions and Catalog'!$H$63+'Assumptions and Catalog'!$E$63+'Assumptions and Catalog'!$F$63,IF(((D434+E434)*C434)&lt;='Assumptions and Catalog'!$C$64,((D434+E434)*C434)*'Assumptions and Catalog'!$H$64+'Assumptions and Catalog'!$E$64+'Assumptions and Catalog'!$F$64,IF(((D434+E434)*C434)&lt;='Assumptions and Catalog'!$C$65,((D434+E434)*C434)*'Assumptions and Catalog'!$H$65+'Assumptions and Catalog'!$E$65+'Assumptions and Catalog'!$F$65,"Out of range")))))))))*(1+'Assumptions and Catalog'!$C$8)^(A434-1),0)</f>
        <v>8554.9666666666672</v>
      </c>
      <c r="N434" s="5">
        <f>IF(ISNUMBER(Inputs!$L$5),(IF(Inputs!$L$9="Actual flat rate",L434*Inputs!$L$10,IF(Inputs!$C$9="Residential",IF(L434&lt;='Assumptions and Catalog'!$C$50,L434*'Assumptions and Catalog'!$H$50+'Assumptions and Catalog'!$E$50+'Assumptions and Catalog'!$F$50,IF(L434&lt;='Assumptions and Catalog'!$C$51,L434*'Assumptions and Catalog'!$H$51+'Assumptions and Catalog'!$E$51+'Assumptions and Catalog'!$F$51,IF(L434&lt;='Assumptions and Catalog'!$C$52,L434*'Assumptions and Catalog'!$H$52+'Assumptions and Catalog'!$E$52+'Assumptions and Catalog'!$F$52,IF(L434&lt;='Assumptions and Catalog'!$C$53,L434*'Assumptions and Catalog'!$H$53+'Assumptions and Catalog'!$E$53+'Assumptions and Catalog'!$F$53,IF(L434&lt;='Assumptions and Catalog'!$C$54,L434*'Assumptions and Catalog'!$H$54+'Assumptions and Catalog'!$E$54+'Assumptions and Catalog'!$F$54,IF(L434&lt;='Assumptions and Catalog'!$C$55,L434*'Assumptions and Catalog'!$H$55+'Assumptions and Catalog'!$E$55+'Assumptions and Catalog'!$F$55,IF(L434&lt;='Assumptions and Catalog'!$C$56,L434*'Assumptions and Catalog'!$H$56+'Assumptions and Catalog'!$E$56+'Assumptions and Catalog'!$F$56,IF(L434&lt;='Assumptions and Catalog'!$C$57,L434*'Assumptions and Catalog'!$H$57+'Assumptions and Catalog'!$E$57+'Assumptions and Catalog'!$F$57,"Out of range")))))))),IF(L434&lt;='Assumptions and Catalog'!$C$60,L434*'Assumptions and Catalog'!$H$60+'Assumptions and Catalog'!$E$60+'Assumptions and Catalog'!$F$60,IF(L434&lt;='Assumptions and Catalog'!$C$61,L434*'Assumptions and Catalog'!$H$61+'Assumptions and Catalog'!$E$61+'Assumptions and Catalog'!$F$61,IF(L434&lt;='Assumptions and Catalog'!$C$62,L434*'Assumptions and Catalog'!$H$62+'Assumptions and Catalog'!$E$62+'Assumptions and Catalog'!$F$62,IF(L434&lt;='Assumptions and Catalog'!$C$63,L434*'Assumptions and Catalog'!$H$63+'Assumptions and Catalog'!$E$63+'Assumptions and Catalog'!$F$63,IF(L434&lt;='Assumptions and Catalog'!$C$64,L434*'Assumptions and Catalog'!$H$64+'Assumptions and Catalog'!$E$64+'Assumptions and Catalog'!$F$64,IF(L434&lt;='Assumptions and Catalog'!$C$65,L434*'Assumptions and Catalog'!$H$65+'Assumptions and Catalog'!$E$65+'Assumptions and Catalog'!$F$65,"Out of range")))))))))*(1+'Assumptions and Catalog'!$C$8)^(A434-1),0)</f>
        <v>8554.9666666666672</v>
      </c>
      <c r="O434" s="5">
        <f t="shared" si="35"/>
        <v>0</v>
      </c>
      <c r="P434" s="5">
        <f>D$55*(1-K$14)*(1-'Assumptions and Catalog'!$C$23)^R434</f>
        <v>0</v>
      </c>
      <c r="Q434" s="5">
        <f>IF(ISNUMBER(Inputs!$L$5),(IF(Inputs!$L$9="Actual flat rate",((D434+E434)*C434-G434)*Inputs!$L$10,IF(Inputs!$C$9="Residential",IF(((D434+E434)*C434-G434)&lt;='Assumptions and Catalog'!$C$50,((D434+E434)*C434-G434)*'Assumptions and Catalog'!$H$50+'Assumptions and Catalog'!$E$50+'Assumptions and Catalog'!$F$50,IF(((D434+E434)*C434-G434)&lt;='Assumptions and Catalog'!$C$51,((D434+E434)*C434-G434)*'Assumptions and Catalog'!$H$51+'Assumptions and Catalog'!$E$51+'Assumptions and Catalog'!$F$51,IF(((D434+E434)*C434-G434)&lt;='Assumptions and Catalog'!$C$52,((D434+E434)*C434-G434)*'Assumptions and Catalog'!$H$52+'Assumptions and Catalog'!$E$52+'Assumptions and Catalog'!$F$52,IF(((D434+E434)*C434-G434)&lt;='Assumptions and Catalog'!$C$53,((D434+E434)*C434-G434)*'Assumptions and Catalog'!$H$53+'Assumptions and Catalog'!$E$53+'Assumptions and Catalog'!$F$53,IF(((D434+E434)*C434-G434)&lt;='Assumptions and Catalog'!$C$54,((D434+E434)*C434-G434)*'Assumptions and Catalog'!$H$54+'Assumptions and Catalog'!$E$54+'Assumptions and Catalog'!$F$54,IF(((D434+E434)*C434-G434)&lt;='Assumptions and Catalog'!$C$55,((D434+E434)*C434-G434)*'Assumptions and Catalog'!$H$55+'Assumptions and Catalog'!$E$55+'Assumptions and Catalog'!$F$55,IF(((D434+E434)*C434-G434)&lt;='Assumptions and Catalog'!$C$56,((D434+E434)*C434-G434)*'Assumptions and Catalog'!$H$56+'Assumptions and Catalog'!$E$56+'Assumptions and Catalog'!$F$56,IF(((D434+E434)*C434-G434)&lt;='Assumptions and Catalog'!$C$57,((D434+E434)*C434-G434)*'Assumptions and Catalog'!$H$57+'Assumptions and Catalog'!$E$57+'Assumptions and Catalog'!$F$57,"Out of range")))))))),IF(((D434+E434)*C434-G434)&lt;='Assumptions and Catalog'!$C$60,((D434+E434)*C434-G434)*'Assumptions and Catalog'!$H$60+'Assumptions and Catalog'!$E$60+'Assumptions and Catalog'!$F$60,IF(((D434+E434)*C434-G434)&lt;='Assumptions and Catalog'!$C$61,((D434+E434)*C434-G434)*'Assumptions and Catalog'!$H$61+'Assumptions and Catalog'!$E$61+'Assumptions and Catalog'!$F$61,IF(((D434+E434)*C434-G434)&lt;='Assumptions and Catalog'!$C$62,((D434+E434)*C434-G434)*'Assumptions and Catalog'!$H$62+'Assumptions and Catalog'!$E$62+'Assumptions and Catalog'!$F$62,IF(((D434+E434)*C434-G434)&lt;='Assumptions and Catalog'!$C$63,((D434+E434)*C434-G434)*'Assumptions and Catalog'!$H$63+'Assumptions and Catalog'!$E$63+'Assumptions and Catalog'!$F$63,IF(((D434+E434)*C434-G434)&lt;='Assumptions and Catalog'!$C$64,((D434+E434)*C434-G434)*'Assumptions and Catalog'!$H$64+'Assumptions and Catalog'!$E$64+'Assumptions and Catalog'!$F$64,IF(((D434+E434)*C434-G434)&lt;='Assumptions and Catalog'!$C$65,((D434+E434)*C434-G434)*'Assumptions and Catalog'!$H$65+'Assumptions and Catalog'!$E$65+'Assumptions and Catalog'!$F$65,"Out of range")))))))))*(1+'Assumptions and Catalog'!$C$8)^(A434-1),0)</f>
        <v>8554.9666666666672</v>
      </c>
      <c r="R434" s="5">
        <f>IF(AND('Assumptions and Catalog'!$C$19&gt;0,A434&gt;='Assumptions and Catalog'!$C$19),A434-'Assumptions and Catalog'!$C$19,A434-1)</f>
        <v>1</v>
      </c>
      <c r="S434" s="5">
        <f>F434+L434-(D434+E434)*C434-J434-K434-IF(D$52&gt;0,'Assumptions and Catalog'!$C$26*C434,0)</f>
        <v>0</v>
      </c>
      <c r="T434" s="5"/>
      <c r="U434" s="5"/>
    </row>
    <row r="435" spans="1:21" ht="23.1" customHeight="1" outlineLevel="1" x14ac:dyDescent="0.2">
      <c r="A435" s="5">
        <v>3</v>
      </c>
      <c r="B435" s="5">
        <v>1</v>
      </c>
      <c r="C435" s="5">
        <f>DAY(DATE('Assumptions and Catalog'!$C$24+A435-1,B435+1,0))</f>
        <v>31</v>
      </c>
      <c r="D435" s="5">
        <f>IF(ISNUMBER(Inputs!$L$5),Inputs!$L$5*Inputs!$L$6,0)</f>
        <v>40.35</v>
      </c>
      <c r="E435" s="5">
        <f>IF(ISNUMBER(Inputs!$L$5),Inputs!$L$5-D435,0)</f>
        <v>40.35</v>
      </c>
      <c r="F435" s="5">
        <f>D$51*'Assumptions and Catalog'!$C$31*C435*(1-'Assumptions and Catalog'!$C$10)^(A435-1)</f>
        <v>0</v>
      </c>
      <c r="G435" s="5">
        <f t="shared" si="32"/>
        <v>0</v>
      </c>
      <c r="H435" s="5">
        <f>I435/('Assumptions and Catalog'!$C$11*'Assumptions and Catalog'!$C$12)</f>
        <v>0</v>
      </c>
      <c r="I435" s="5">
        <f>IF(K$15="Grid cycle",MIN(K$16,D435+E435,P435*'Assumptions and Catalog'!$C$12,D$57*(24-'Assumptions and Catalog'!$C$15),D$56*'Assumptions and Catalog'!$C$15*'Assumptions and Catalog'!$C$11*'Assumptions and Catalog'!$C$12)*C435,0)</f>
        <v>0</v>
      </c>
      <c r="J435" s="5">
        <f t="shared" si="33"/>
        <v>0</v>
      </c>
      <c r="K435" s="5">
        <f t="shared" si="34"/>
        <v>0</v>
      </c>
      <c r="L435" s="5">
        <f>(D435+E435)*C435-G435-I435+H435+IF(D$52&gt;0,'Assumptions and Catalog'!$C$26*C435,0)</f>
        <v>2501.7000000000003</v>
      </c>
      <c r="M435" s="5">
        <f>IF(ISNUMBER(Inputs!$L$5),(IF(Inputs!$L$9="Actual flat rate",((D435+E435)*C435)*Inputs!$L$10,IF(Inputs!$C$9="Residential",IF(((D435+E435)*C435)&lt;='Assumptions and Catalog'!$C$50,((D435+E435)*C435)*'Assumptions and Catalog'!$H$50+'Assumptions and Catalog'!$E$50+'Assumptions and Catalog'!$F$50,IF(((D435+E435)*C435)&lt;='Assumptions and Catalog'!$C$51,((D435+E435)*C435)*'Assumptions and Catalog'!$H$51+'Assumptions and Catalog'!$E$51+'Assumptions and Catalog'!$F$51,IF(((D435+E435)*C435)&lt;='Assumptions and Catalog'!$C$52,((D435+E435)*C435)*'Assumptions and Catalog'!$H$52+'Assumptions and Catalog'!$E$52+'Assumptions and Catalog'!$F$52,IF(((D435+E435)*C435)&lt;='Assumptions and Catalog'!$C$53,((D435+E435)*C435)*'Assumptions and Catalog'!$H$53+'Assumptions and Catalog'!$E$53+'Assumptions and Catalog'!$F$53,IF(((D435+E435)*C435)&lt;='Assumptions and Catalog'!$C$54,((D435+E435)*C435)*'Assumptions and Catalog'!$H$54+'Assumptions and Catalog'!$E$54+'Assumptions and Catalog'!$F$54,IF(((D435+E435)*C435)&lt;='Assumptions and Catalog'!$C$55,((D435+E435)*C435)*'Assumptions and Catalog'!$H$55+'Assumptions and Catalog'!$E$55+'Assumptions and Catalog'!$F$55,IF(((D435+E435)*C435)&lt;='Assumptions and Catalog'!$C$56,((D435+E435)*C435)*'Assumptions and Catalog'!$H$56+'Assumptions and Catalog'!$E$56+'Assumptions and Catalog'!$F$56,IF(((D435+E435)*C435)&lt;='Assumptions and Catalog'!$C$57,((D435+E435)*C435)*'Assumptions and Catalog'!$H$57+'Assumptions and Catalog'!$E$57+'Assumptions and Catalog'!$F$57,"Out of range")))))))),IF(((D435+E435)*C435)&lt;='Assumptions and Catalog'!$C$60,((D435+E435)*C435)*'Assumptions and Catalog'!$H$60+'Assumptions and Catalog'!$E$60+'Assumptions and Catalog'!$F$60,IF(((D435+E435)*C435)&lt;='Assumptions and Catalog'!$C$61,((D435+E435)*C435)*'Assumptions and Catalog'!$H$61+'Assumptions and Catalog'!$E$61+'Assumptions and Catalog'!$F$61,IF(((D435+E435)*C435)&lt;='Assumptions and Catalog'!$C$62,((D435+E435)*C435)*'Assumptions and Catalog'!$H$62+'Assumptions and Catalog'!$E$62+'Assumptions and Catalog'!$F$62,IF(((D435+E435)*C435)&lt;='Assumptions and Catalog'!$C$63,((D435+E435)*C435)*'Assumptions and Catalog'!$H$63+'Assumptions and Catalog'!$E$63+'Assumptions and Catalog'!$F$63,IF(((D435+E435)*C435)&lt;='Assumptions and Catalog'!$C$64,((D435+E435)*C435)*'Assumptions and Catalog'!$H$64+'Assumptions and Catalog'!$E$64+'Assumptions and Catalog'!$F$64,IF(((D435+E435)*C435)&lt;='Assumptions and Catalog'!$C$65,((D435+E435)*C435)*'Assumptions and Catalog'!$H$65+'Assumptions and Catalog'!$E$65+'Assumptions and Catalog'!$F$65,"Out of range")))))))))*(1+'Assumptions and Catalog'!$C$8)^(A435-1),0)</f>
        <v>8554.9666666666672</v>
      </c>
      <c r="N435" s="5">
        <f>IF(ISNUMBER(Inputs!$L$5),(IF(Inputs!$L$9="Actual flat rate",L435*Inputs!$L$10,IF(Inputs!$C$9="Residential",IF(L435&lt;='Assumptions and Catalog'!$C$50,L435*'Assumptions and Catalog'!$H$50+'Assumptions and Catalog'!$E$50+'Assumptions and Catalog'!$F$50,IF(L435&lt;='Assumptions and Catalog'!$C$51,L435*'Assumptions and Catalog'!$H$51+'Assumptions and Catalog'!$E$51+'Assumptions and Catalog'!$F$51,IF(L435&lt;='Assumptions and Catalog'!$C$52,L435*'Assumptions and Catalog'!$H$52+'Assumptions and Catalog'!$E$52+'Assumptions and Catalog'!$F$52,IF(L435&lt;='Assumptions and Catalog'!$C$53,L435*'Assumptions and Catalog'!$H$53+'Assumptions and Catalog'!$E$53+'Assumptions and Catalog'!$F$53,IF(L435&lt;='Assumptions and Catalog'!$C$54,L435*'Assumptions and Catalog'!$H$54+'Assumptions and Catalog'!$E$54+'Assumptions and Catalog'!$F$54,IF(L435&lt;='Assumptions and Catalog'!$C$55,L435*'Assumptions and Catalog'!$H$55+'Assumptions and Catalog'!$E$55+'Assumptions and Catalog'!$F$55,IF(L435&lt;='Assumptions and Catalog'!$C$56,L435*'Assumptions and Catalog'!$H$56+'Assumptions and Catalog'!$E$56+'Assumptions and Catalog'!$F$56,IF(L435&lt;='Assumptions and Catalog'!$C$57,L435*'Assumptions and Catalog'!$H$57+'Assumptions and Catalog'!$E$57+'Assumptions and Catalog'!$F$57,"Out of range")))))))),IF(L435&lt;='Assumptions and Catalog'!$C$60,L435*'Assumptions and Catalog'!$H$60+'Assumptions and Catalog'!$E$60+'Assumptions and Catalog'!$F$60,IF(L435&lt;='Assumptions and Catalog'!$C$61,L435*'Assumptions and Catalog'!$H$61+'Assumptions and Catalog'!$E$61+'Assumptions and Catalog'!$F$61,IF(L435&lt;='Assumptions and Catalog'!$C$62,L435*'Assumptions and Catalog'!$H$62+'Assumptions and Catalog'!$E$62+'Assumptions and Catalog'!$F$62,IF(L435&lt;='Assumptions and Catalog'!$C$63,L435*'Assumptions and Catalog'!$H$63+'Assumptions and Catalog'!$E$63+'Assumptions and Catalog'!$F$63,IF(L435&lt;='Assumptions and Catalog'!$C$64,L435*'Assumptions and Catalog'!$H$64+'Assumptions and Catalog'!$E$64+'Assumptions and Catalog'!$F$64,IF(L435&lt;='Assumptions and Catalog'!$C$65,L435*'Assumptions and Catalog'!$H$65+'Assumptions and Catalog'!$E$65+'Assumptions and Catalog'!$F$65,"Out of range")))))))))*(1+'Assumptions and Catalog'!$C$8)^(A435-1),0)</f>
        <v>8554.9666666666672</v>
      </c>
      <c r="O435" s="5">
        <f t="shared" si="35"/>
        <v>0</v>
      </c>
      <c r="P435" s="5">
        <f>D$55*(1-K$14)*(1-'Assumptions and Catalog'!$C$23)^R435</f>
        <v>0</v>
      </c>
      <c r="Q435" s="5">
        <f>IF(ISNUMBER(Inputs!$L$5),(IF(Inputs!$L$9="Actual flat rate",((D435+E435)*C435-G435)*Inputs!$L$10,IF(Inputs!$C$9="Residential",IF(((D435+E435)*C435-G435)&lt;='Assumptions and Catalog'!$C$50,((D435+E435)*C435-G435)*'Assumptions and Catalog'!$H$50+'Assumptions and Catalog'!$E$50+'Assumptions and Catalog'!$F$50,IF(((D435+E435)*C435-G435)&lt;='Assumptions and Catalog'!$C$51,((D435+E435)*C435-G435)*'Assumptions and Catalog'!$H$51+'Assumptions and Catalog'!$E$51+'Assumptions and Catalog'!$F$51,IF(((D435+E435)*C435-G435)&lt;='Assumptions and Catalog'!$C$52,((D435+E435)*C435-G435)*'Assumptions and Catalog'!$H$52+'Assumptions and Catalog'!$E$52+'Assumptions and Catalog'!$F$52,IF(((D435+E435)*C435-G435)&lt;='Assumptions and Catalog'!$C$53,((D435+E435)*C435-G435)*'Assumptions and Catalog'!$H$53+'Assumptions and Catalog'!$E$53+'Assumptions and Catalog'!$F$53,IF(((D435+E435)*C435-G435)&lt;='Assumptions and Catalog'!$C$54,((D435+E435)*C435-G435)*'Assumptions and Catalog'!$H$54+'Assumptions and Catalog'!$E$54+'Assumptions and Catalog'!$F$54,IF(((D435+E435)*C435-G435)&lt;='Assumptions and Catalog'!$C$55,((D435+E435)*C435-G435)*'Assumptions and Catalog'!$H$55+'Assumptions and Catalog'!$E$55+'Assumptions and Catalog'!$F$55,IF(((D435+E435)*C435-G435)&lt;='Assumptions and Catalog'!$C$56,((D435+E435)*C435-G435)*'Assumptions and Catalog'!$H$56+'Assumptions and Catalog'!$E$56+'Assumptions and Catalog'!$F$56,IF(((D435+E435)*C435-G435)&lt;='Assumptions and Catalog'!$C$57,((D435+E435)*C435-G435)*'Assumptions and Catalog'!$H$57+'Assumptions and Catalog'!$E$57+'Assumptions and Catalog'!$F$57,"Out of range")))))))),IF(((D435+E435)*C435-G435)&lt;='Assumptions and Catalog'!$C$60,((D435+E435)*C435-G435)*'Assumptions and Catalog'!$H$60+'Assumptions and Catalog'!$E$60+'Assumptions and Catalog'!$F$60,IF(((D435+E435)*C435-G435)&lt;='Assumptions and Catalog'!$C$61,((D435+E435)*C435-G435)*'Assumptions and Catalog'!$H$61+'Assumptions and Catalog'!$E$61+'Assumptions and Catalog'!$F$61,IF(((D435+E435)*C435-G435)&lt;='Assumptions and Catalog'!$C$62,((D435+E435)*C435-G435)*'Assumptions and Catalog'!$H$62+'Assumptions and Catalog'!$E$62+'Assumptions and Catalog'!$F$62,IF(((D435+E435)*C435-G435)&lt;='Assumptions and Catalog'!$C$63,((D435+E435)*C435-G435)*'Assumptions and Catalog'!$H$63+'Assumptions and Catalog'!$E$63+'Assumptions and Catalog'!$F$63,IF(((D435+E435)*C435-G435)&lt;='Assumptions and Catalog'!$C$64,((D435+E435)*C435-G435)*'Assumptions and Catalog'!$H$64+'Assumptions and Catalog'!$E$64+'Assumptions and Catalog'!$F$64,IF(((D435+E435)*C435-G435)&lt;='Assumptions and Catalog'!$C$65,((D435+E435)*C435-G435)*'Assumptions and Catalog'!$H$65+'Assumptions and Catalog'!$E$65+'Assumptions and Catalog'!$F$65,"Out of range")))))))))*(1+'Assumptions and Catalog'!$C$8)^(A435-1),0)</f>
        <v>8554.9666666666672</v>
      </c>
      <c r="R435" s="5">
        <f>IF(AND('Assumptions and Catalog'!$C$19&gt;0,A435&gt;='Assumptions and Catalog'!$C$19),A435-'Assumptions and Catalog'!$C$19,A435-1)</f>
        <v>2</v>
      </c>
      <c r="S435" s="5">
        <f>F435+L435-(D435+E435)*C435-J435-K435-IF(D$52&gt;0,'Assumptions and Catalog'!$C$26*C435,0)</f>
        <v>0</v>
      </c>
      <c r="T435" s="5"/>
      <c r="U435" s="5"/>
    </row>
    <row r="436" spans="1:21" ht="23.1" customHeight="1" outlineLevel="1" x14ac:dyDescent="0.2">
      <c r="A436" s="5">
        <v>3</v>
      </c>
      <c r="B436" s="5">
        <v>2</v>
      </c>
      <c r="C436" s="5">
        <f>DAY(DATE('Assumptions and Catalog'!$C$24+A436-1,B436+1,0))</f>
        <v>28</v>
      </c>
      <c r="D436" s="5">
        <f>IF(ISNUMBER(Inputs!$L$5),Inputs!$L$5*Inputs!$L$6,0)</f>
        <v>40.35</v>
      </c>
      <c r="E436" s="5">
        <f>IF(ISNUMBER(Inputs!$L$5),Inputs!$L$5-D436,0)</f>
        <v>40.35</v>
      </c>
      <c r="F436" s="5">
        <f>D$51*'Assumptions and Catalog'!$C$31*C436*(1-'Assumptions and Catalog'!$C$10)^(A436-1)</f>
        <v>0</v>
      </c>
      <c r="G436" s="5">
        <f t="shared" si="32"/>
        <v>0</v>
      </c>
      <c r="H436" s="5">
        <f>I436/('Assumptions and Catalog'!$C$11*'Assumptions and Catalog'!$C$12)</f>
        <v>0</v>
      </c>
      <c r="I436" s="5">
        <f>IF(K$15="Grid cycle",MIN(K$16,D436+E436,P436*'Assumptions and Catalog'!$C$12,D$57*(24-'Assumptions and Catalog'!$C$15),D$56*'Assumptions and Catalog'!$C$15*'Assumptions and Catalog'!$C$11*'Assumptions and Catalog'!$C$12)*C436,0)</f>
        <v>0</v>
      </c>
      <c r="J436" s="5">
        <f t="shared" si="33"/>
        <v>0</v>
      </c>
      <c r="K436" s="5">
        <f t="shared" si="34"/>
        <v>0</v>
      </c>
      <c r="L436" s="5">
        <f>(D436+E436)*C436-G436-I436+H436+IF(D$52&gt;0,'Assumptions and Catalog'!$C$26*C436,0)</f>
        <v>2259.6</v>
      </c>
      <c r="M436" s="5">
        <f>IF(ISNUMBER(Inputs!$L$5),(IF(Inputs!$L$9="Actual flat rate",((D436+E436)*C436)*Inputs!$L$10,IF(Inputs!$C$9="Residential",IF(((D436+E436)*C436)&lt;='Assumptions and Catalog'!$C$50,((D436+E436)*C436)*'Assumptions and Catalog'!$H$50+'Assumptions and Catalog'!$E$50+'Assumptions and Catalog'!$F$50,IF(((D436+E436)*C436)&lt;='Assumptions and Catalog'!$C$51,((D436+E436)*C436)*'Assumptions and Catalog'!$H$51+'Assumptions and Catalog'!$E$51+'Assumptions and Catalog'!$F$51,IF(((D436+E436)*C436)&lt;='Assumptions and Catalog'!$C$52,((D436+E436)*C436)*'Assumptions and Catalog'!$H$52+'Assumptions and Catalog'!$E$52+'Assumptions and Catalog'!$F$52,IF(((D436+E436)*C436)&lt;='Assumptions and Catalog'!$C$53,((D436+E436)*C436)*'Assumptions and Catalog'!$H$53+'Assumptions and Catalog'!$E$53+'Assumptions and Catalog'!$F$53,IF(((D436+E436)*C436)&lt;='Assumptions and Catalog'!$C$54,((D436+E436)*C436)*'Assumptions and Catalog'!$H$54+'Assumptions and Catalog'!$E$54+'Assumptions and Catalog'!$F$54,IF(((D436+E436)*C436)&lt;='Assumptions and Catalog'!$C$55,((D436+E436)*C436)*'Assumptions and Catalog'!$H$55+'Assumptions and Catalog'!$E$55+'Assumptions and Catalog'!$F$55,IF(((D436+E436)*C436)&lt;='Assumptions and Catalog'!$C$56,((D436+E436)*C436)*'Assumptions and Catalog'!$H$56+'Assumptions and Catalog'!$E$56+'Assumptions and Catalog'!$F$56,IF(((D436+E436)*C436)&lt;='Assumptions and Catalog'!$C$57,((D436+E436)*C436)*'Assumptions and Catalog'!$H$57+'Assumptions and Catalog'!$E$57+'Assumptions and Catalog'!$F$57,"Out of range")))))))),IF(((D436+E436)*C436)&lt;='Assumptions and Catalog'!$C$60,((D436+E436)*C436)*'Assumptions and Catalog'!$H$60+'Assumptions and Catalog'!$E$60+'Assumptions and Catalog'!$F$60,IF(((D436+E436)*C436)&lt;='Assumptions and Catalog'!$C$61,((D436+E436)*C436)*'Assumptions and Catalog'!$H$61+'Assumptions and Catalog'!$E$61+'Assumptions and Catalog'!$F$61,IF(((D436+E436)*C436)&lt;='Assumptions and Catalog'!$C$62,((D436+E436)*C436)*'Assumptions and Catalog'!$H$62+'Assumptions and Catalog'!$E$62+'Assumptions and Catalog'!$F$62,IF(((D436+E436)*C436)&lt;='Assumptions and Catalog'!$C$63,((D436+E436)*C436)*'Assumptions and Catalog'!$H$63+'Assumptions and Catalog'!$E$63+'Assumptions and Catalog'!$F$63,IF(((D436+E436)*C436)&lt;='Assumptions and Catalog'!$C$64,((D436+E436)*C436)*'Assumptions and Catalog'!$H$64+'Assumptions and Catalog'!$E$64+'Assumptions and Catalog'!$F$64,IF(((D436+E436)*C436)&lt;='Assumptions and Catalog'!$C$65,((D436+E436)*C436)*'Assumptions and Catalog'!$H$65+'Assumptions and Catalog'!$E$65+'Assumptions and Catalog'!$F$65,"Out of range")))))))))*(1+'Assumptions and Catalog'!$C$8)^(A436-1),0)</f>
        <v>7727.0666666666657</v>
      </c>
      <c r="N436" s="5">
        <f>IF(ISNUMBER(Inputs!$L$5),(IF(Inputs!$L$9="Actual flat rate",L436*Inputs!$L$10,IF(Inputs!$C$9="Residential",IF(L436&lt;='Assumptions and Catalog'!$C$50,L436*'Assumptions and Catalog'!$H$50+'Assumptions and Catalog'!$E$50+'Assumptions and Catalog'!$F$50,IF(L436&lt;='Assumptions and Catalog'!$C$51,L436*'Assumptions and Catalog'!$H$51+'Assumptions and Catalog'!$E$51+'Assumptions and Catalog'!$F$51,IF(L436&lt;='Assumptions and Catalog'!$C$52,L436*'Assumptions and Catalog'!$H$52+'Assumptions and Catalog'!$E$52+'Assumptions and Catalog'!$F$52,IF(L436&lt;='Assumptions and Catalog'!$C$53,L436*'Assumptions and Catalog'!$H$53+'Assumptions and Catalog'!$E$53+'Assumptions and Catalog'!$F$53,IF(L436&lt;='Assumptions and Catalog'!$C$54,L436*'Assumptions and Catalog'!$H$54+'Assumptions and Catalog'!$E$54+'Assumptions and Catalog'!$F$54,IF(L436&lt;='Assumptions and Catalog'!$C$55,L436*'Assumptions and Catalog'!$H$55+'Assumptions and Catalog'!$E$55+'Assumptions and Catalog'!$F$55,IF(L436&lt;='Assumptions and Catalog'!$C$56,L436*'Assumptions and Catalog'!$H$56+'Assumptions and Catalog'!$E$56+'Assumptions and Catalog'!$F$56,IF(L436&lt;='Assumptions and Catalog'!$C$57,L436*'Assumptions and Catalog'!$H$57+'Assumptions and Catalog'!$E$57+'Assumptions and Catalog'!$F$57,"Out of range")))))))),IF(L436&lt;='Assumptions and Catalog'!$C$60,L436*'Assumptions and Catalog'!$H$60+'Assumptions and Catalog'!$E$60+'Assumptions and Catalog'!$F$60,IF(L436&lt;='Assumptions and Catalog'!$C$61,L436*'Assumptions and Catalog'!$H$61+'Assumptions and Catalog'!$E$61+'Assumptions and Catalog'!$F$61,IF(L436&lt;='Assumptions and Catalog'!$C$62,L436*'Assumptions and Catalog'!$H$62+'Assumptions and Catalog'!$E$62+'Assumptions and Catalog'!$F$62,IF(L436&lt;='Assumptions and Catalog'!$C$63,L436*'Assumptions and Catalog'!$H$63+'Assumptions and Catalog'!$E$63+'Assumptions and Catalog'!$F$63,IF(L436&lt;='Assumptions and Catalog'!$C$64,L436*'Assumptions and Catalog'!$H$64+'Assumptions and Catalog'!$E$64+'Assumptions and Catalog'!$F$64,IF(L436&lt;='Assumptions and Catalog'!$C$65,L436*'Assumptions and Catalog'!$H$65+'Assumptions and Catalog'!$E$65+'Assumptions and Catalog'!$F$65,"Out of range")))))))))*(1+'Assumptions and Catalog'!$C$8)^(A436-1),0)</f>
        <v>7727.0666666666657</v>
      </c>
      <c r="O436" s="5">
        <f t="shared" si="35"/>
        <v>0</v>
      </c>
      <c r="P436" s="5">
        <f>D$55*(1-K$14)*(1-'Assumptions and Catalog'!$C$23)^R436</f>
        <v>0</v>
      </c>
      <c r="Q436" s="5">
        <f>IF(ISNUMBER(Inputs!$L$5),(IF(Inputs!$L$9="Actual flat rate",((D436+E436)*C436-G436)*Inputs!$L$10,IF(Inputs!$C$9="Residential",IF(((D436+E436)*C436-G436)&lt;='Assumptions and Catalog'!$C$50,((D436+E436)*C436-G436)*'Assumptions and Catalog'!$H$50+'Assumptions and Catalog'!$E$50+'Assumptions and Catalog'!$F$50,IF(((D436+E436)*C436-G436)&lt;='Assumptions and Catalog'!$C$51,((D436+E436)*C436-G436)*'Assumptions and Catalog'!$H$51+'Assumptions and Catalog'!$E$51+'Assumptions and Catalog'!$F$51,IF(((D436+E436)*C436-G436)&lt;='Assumptions and Catalog'!$C$52,((D436+E436)*C436-G436)*'Assumptions and Catalog'!$H$52+'Assumptions and Catalog'!$E$52+'Assumptions and Catalog'!$F$52,IF(((D436+E436)*C436-G436)&lt;='Assumptions and Catalog'!$C$53,((D436+E436)*C436-G436)*'Assumptions and Catalog'!$H$53+'Assumptions and Catalog'!$E$53+'Assumptions and Catalog'!$F$53,IF(((D436+E436)*C436-G436)&lt;='Assumptions and Catalog'!$C$54,((D436+E436)*C436-G436)*'Assumptions and Catalog'!$H$54+'Assumptions and Catalog'!$E$54+'Assumptions and Catalog'!$F$54,IF(((D436+E436)*C436-G436)&lt;='Assumptions and Catalog'!$C$55,((D436+E436)*C436-G436)*'Assumptions and Catalog'!$H$55+'Assumptions and Catalog'!$E$55+'Assumptions and Catalog'!$F$55,IF(((D436+E436)*C436-G436)&lt;='Assumptions and Catalog'!$C$56,((D436+E436)*C436-G436)*'Assumptions and Catalog'!$H$56+'Assumptions and Catalog'!$E$56+'Assumptions and Catalog'!$F$56,IF(((D436+E436)*C436-G436)&lt;='Assumptions and Catalog'!$C$57,((D436+E436)*C436-G436)*'Assumptions and Catalog'!$H$57+'Assumptions and Catalog'!$E$57+'Assumptions and Catalog'!$F$57,"Out of range")))))))),IF(((D436+E436)*C436-G436)&lt;='Assumptions and Catalog'!$C$60,((D436+E436)*C436-G436)*'Assumptions and Catalog'!$H$60+'Assumptions and Catalog'!$E$60+'Assumptions and Catalog'!$F$60,IF(((D436+E436)*C436-G436)&lt;='Assumptions and Catalog'!$C$61,((D436+E436)*C436-G436)*'Assumptions and Catalog'!$H$61+'Assumptions and Catalog'!$E$61+'Assumptions and Catalog'!$F$61,IF(((D436+E436)*C436-G436)&lt;='Assumptions and Catalog'!$C$62,((D436+E436)*C436-G436)*'Assumptions and Catalog'!$H$62+'Assumptions and Catalog'!$E$62+'Assumptions and Catalog'!$F$62,IF(((D436+E436)*C436-G436)&lt;='Assumptions and Catalog'!$C$63,((D436+E436)*C436-G436)*'Assumptions and Catalog'!$H$63+'Assumptions and Catalog'!$E$63+'Assumptions and Catalog'!$F$63,IF(((D436+E436)*C436-G436)&lt;='Assumptions and Catalog'!$C$64,((D436+E436)*C436-G436)*'Assumptions and Catalog'!$H$64+'Assumptions and Catalog'!$E$64+'Assumptions and Catalog'!$F$64,IF(((D436+E436)*C436-G436)&lt;='Assumptions and Catalog'!$C$65,((D436+E436)*C436-G436)*'Assumptions and Catalog'!$H$65+'Assumptions and Catalog'!$E$65+'Assumptions and Catalog'!$F$65,"Out of range")))))))))*(1+'Assumptions and Catalog'!$C$8)^(A436-1),0)</f>
        <v>7727.0666666666657</v>
      </c>
      <c r="R436" s="5">
        <f>IF(AND('Assumptions and Catalog'!$C$19&gt;0,A436&gt;='Assumptions and Catalog'!$C$19),A436-'Assumptions and Catalog'!$C$19,A436-1)</f>
        <v>2</v>
      </c>
      <c r="S436" s="5">
        <f>F436+L436-(D436+E436)*C436-J436-K436-IF(D$52&gt;0,'Assumptions and Catalog'!$C$26*C436,0)</f>
        <v>0</v>
      </c>
      <c r="T436" s="5"/>
      <c r="U436" s="5"/>
    </row>
    <row r="437" spans="1:21" ht="23.1" customHeight="1" outlineLevel="1" x14ac:dyDescent="0.2">
      <c r="A437" s="5">
        <v>3</v>
      </c>
      <c r="B437" s="5">
        <v>3</v>
      </c>
      <c r="C437" s="5">
        <f>DAY(DATE('Assumptions and Catalog'!$C$24+A437-1,B437+1,0))</f>
        <v>31</v>
      </c>
      <c r="D437" s="5">
        <f>IF(ISNUMBER(Inputs!$L$5),Inputs!$L$5*Inputs!$L$6,0)</f>
        <v>40.35</v>
      </c>
      <c r="E437" s="5">
        <f>IF(ISNUMBER(Inputs!$L$5),Inputs!$L$5-D437,0)</f>
        <v>40.35</v>
      </c>
      <c r="F437" s="5">
        <f>D$51*'Assumptions and Catalog'!$C$31*C437*(1-'Assumptions and Catalog'!$C$10)^(A437-1)</f>
        <v>0</v>
      </c>
      <c r="G437" s="5">
        <f t="shared" si="32"/>
        <v>0</v>
      </c>
      <c r="H437" s="5">
        <f>I437/('Assumptions and Catalog'!$C$11*'Assumptions and Catalog'!$C$12)</f>
        <v>0</v>
      </c>
      <c r="I437" s="5">
        <f>IF(K$15="Grid cycle",MIN(K$16,D437+E437,P437*'Assumptions and Catalog'!$C$12,D$57*(24-'Assumptions and Catalog'!$C$15),D$56*'Assumptions and Catalog'!$C$15*'Assumptions and Catalog'!$C$11*'Assumptions and Catalog'!$C$12)*C437,0)</f>
        <v>0</v>
      </c>
      <c r="J437" s="5">
        <f t="shared" si="33"/>
        <v>0</v>
      </c>
      <c r="K437" s="5">
        <f t="shared" si="34"/>
        <v>0</v>
      </c>
      <c r="L437" s="5">
        <f>(D437+E437)*C437-G437-I437+H437+IF(D$52&gt;0,'Assumptions and Catalog'!$C$26*C437,0)</f>
        <v>2501.7000000000003</v>
      </c>
      <c r="M437" s="5">
        <f>IF(ISNUMBER(Inputs!$L$5),(IF(Inputs!$L$9="Actual flat rate",((D437+E437)*C437)*Inputs!$L$10,IF(Inputs!$C$9="Residential",IF(((D437+E437)*C437)&lt;='Assumptions and Catalog'!$C$50,((D437+E437)*C437)*'Assumptions and Catalog'!$H$50+'Assumptions and Catalog'!$E$50+'Assumptions and Catalog'!$F$50,IF(((D437+E437)*C437)&lt;='Assumptions and Catalog'!$C$51,((D437+E437)*C437)*'Assumptions and Catalog'!$H$51+'Assumptions and Catalog'!$E$51+'Assumptions and Catalog'!$F$51,IF(((D437+E437)*C437)&lt;='Assumptions and Catalog'!$C$52,((D437+E437)*C437)*'Assumptions and Catalog'!$H$52+'Assumptions and Catalog'!$E$52+'Assumptions and Catalog'!$F$52,IF(((D437+E437)*C437)&lt;='Assumptions and Catalog'!$C$53,((D437+E437)*C437)*'Assumptions and Catalog'!$H$53+'Assumptions and Catalog'!$E$53+'Assumptions and Catalog'!$F$53,IF(((D437+E437)*C437)&lt;='Assumptions and Catalog'!$C$54,((D437+E437)*C437)*'Assumptions and Catalog'!$H$54+'Assumptions and Catalog'!$E$54+'Assumptions and Catalog'!$F$54,IF(((D437+E437)*C437)&lt;='Assumptions and Catalog'!$C$55,((D437+E437)*C437)*'Assumptions and Catalog'!$H$55+'Assumptions and Catalog'!$E$55+'Assumptions and Catalog'!$F$55,IF(((D437+E437)*C437)&lt;='Assumptions and Catalog'!$C$56,((D437+E437)*C437)*'Assumptions and Catalog'!$H$56+'Assumptions and Catalog'!$E$56+'Assumptions and Catalog'!$F$56,IF(((D437+E437)*C437)&lt;='Assumptions and Catalog'!$C$57,((D437+E437)*C437)*'Assumptions and Catalog'!$H$57+'Assumptions and Catalog'!$E$57+'Assumptions and Catalog'!$F$57,"Out of range")))))))),IF(((D437+E437)*C437)&lt;='Assumptions and Catalog'!$C$60,((D437+E437)*C437)*'Assumptions and Catalog'!$H$60+'Assumptions and Catalog'!$E$60+'Assumptions and Catalog'!$F$60,IF(((D437+E437)*C437)&lt;='Assumptions and Catalog'!$C$61,((D437+E437)*C437)*'Assumptions and Catalog'!$H$61+'Assumptions and Catalog'!$E$61+'Assumptions and Catalog'!$F$61,IF(((D437+E437)*C437)&lt;='Assumptions and Catalog'!$C$62,((D437+E437)*C437)*'Assumptions and Catalog'!$H$62+'Assumptions and Catalog'!$E$62+'Assumptions and Catalog'!$F$62,IF(((D437+E437)*C437)&lt;='Assumptions and Catalog'!$C$63,((D437+E437)*C437)*'Assumptions and Catalog'!$H$63+'Assumptions and Catalog'!$E$63+'Assumptions and Catalog'!$F$63,IF(((D437+E437)*C437)&lt;='Assumptions and Catalog'!$C$64,((D437+E437)*C437)*'Assumptions and Catalog'!$H$64+'Assumptions and Catalog'!$E$64+'Assumptions and Catalog'!$F$64,IF(((D437+E437)*C437)&lt;='Assumptions and Catalog'!$C$65,((D437+E437)*C437)*'Assumptions and Catalog'!$H$65+'Assumptions and Catalog'!$E$65+'Assumptions and Catalog'!$F$65,"Out of range")))))))))*(1+'Assumptions and Catalog'!$C$8)^(A437-1),0)</f>
        <v>8554.9666666666672</v>
      </c>
      <c r="N437" s="5">
        <f>IF(ISNUMBER(Inputs!$L$5),(IF(Inputs!$L$9="Actual flat rate",L437*Inputs!$L$10,IF(Inputs!$C$9="Residential",IF(L437&lt;='Assumptions and Catalog'!$C$50,L437*'Assumptions and Catalog'!$H$50+'Assumptions and Catalog'!$E$50+'Assumptions and Catalog'!$F$50,IF(L437&lt;='Assumptions and Catalog'!$C$51,L437*'Assumptions and Catalog'!$H$51+'Assumptions and Catalog'!$E$51+'Assumptions and Catalog'!$F$51,IF(L437&lt;='Assumptions and Catalog'!$C$52,L437*'Assumptions and Catalog'!$H$52+'Assumptions and Catalog'!$E$52+'Assumptions and Catalog'!$F$52,IF(L437&lt;='Assumptions and Catalog'!$C$53,L437*'Assumptions and Catalog'!$H$53+'Assumptions and Catalog'!$E$53+'Assumptions and Catalog'!$F$53,IF(L437&lt;='Assumptions and Catalog'!$C$54,L437*'Assumptions and Catalog'!$H$54+'Assumptions and Catalog'!$E$54+'Assumptions and Catalog'!$F$54,IF(L437&lt;='Assumptions and Catalog'!$C$55,L437*'Assumptions and Catalog'!$H$55+'Assumptions and Catalog'!$E$55+'Assumptions and Catalog'!$F$55,IF(L437&lt;='Assumptions and Catalog'!$C$56,L437*'Assumptions and Catalog'!$H$56+'Assumptions and Catalog'!$E$56+'Assumptions and Catalog'!$F$56,IF(L437&lt;='Assumptions and Catalog'!$C$57,L437*'Assumptions and Catalog'!$H$57+'Assumptions and Catalog'!$E$57+'Assumptions and Catalog'!$F$57,"Out of range")))))))),IF(L437&lt;='Assumptions and Catalog'!$C$60,L437*'Assumptions and Catalog'!$H$60+'Assumptions and Catalog'!$E$60+'Assumptions and Catalog'!$F$60,IF(L437&lt;='Assumptions and Catalog'!$C$61,L437*'Assumptions and Catalog'!$H$61+'Assumptions and Catalog'!$E$61+'Assumptions and Catalog'!$F$61,IF(L437&lt;='Assumptions and Catalog'!$C$62,L437*'Assumptions and Catalog'!$H$62+'Assumptions and Catalog'!$E$62+'Assumptions and Catalog'!$F$62,IF(L437&lt;='Assumptions and Catalog'!$C$63,L437*'Assumptions and Catalog'!$H$63+'Assumptions and Catalog'!$E$63+'Assumptions and Catalog'!$F$63,IF(L437&lt;='Assumptions and Catalog'!$C$64,L437*'Assumptions and Catalog'!$H$64+'Assumptions and Catalog'!$E$64+'Assumptions and Catalog'!$F$64,IF(L437&lt;='Assumptions and Catalog'!$C$65,L437*'Assumptions and Catalog'!$H$65+'Assumptions and Catalog'!$E$65+'Assumptions and Catalog'!$F$65,"Out of range")))))))))*(1+'Assumptions and Catalog'!$C$8)^(A437-1),0)</f>
        <v>8554.9666666666672</v>
      </c>
      <c r="O437" s="5">
        <f t="shared" si="35"/>
        <v>0</v>
      </c>
      <c r="P437" s="5">
        <f>D$55*(1-K$14)*(1-'Assumptions and Catalog'!$C$23)^R437</f>
        <v>0</v>
      </c>
      <c r="Q437" s="5">
        <f>IF(ISNUMBER(Inputs!$L$5),(IF(Inputs!$L$9="Actual flat rate",((D437+E437)*C437-G437)*Inputs!$L$10,IF(Inputs!$C$9="Residential",IF(((D437+E437)*C437-G437)&lt;='Assumptions and Catalog'!$C$50,((D437+E437)*C437-G437)*'Assumptions and Catalog'!$H$50+'Assumptions and Catalog'!$E$50+'Assumptions and Catalog'!$F$50,IF(((D437+E437)*C437-G437)&lt;='Assumptions and Catalog'!$C$51,((D437+E437)*C437-G437)*'Assumptions and Catalog'!$H$51+'Assumptions and Catalog'!$E$51+'Assumptions and Catalog'!$F$51,IF(((D437+E437)*C437-G437)&lt;='Assumptions and Catalog'!$C$52,((D437+E437)*C437-G437)*'Assumptions and Catalog'!$H$52+'Assumptions and Catalog'!$E$52+'Assumptions and Catalog'!$F$52,IF(((D437+E437)*C437-G437)&lt;='Assumptions and Catalog'!$C$53,((D437+E437)*C437-G437)*'Assumptions and Catalog'!$H$53+'Assumptions and Catalog'!$E$53+'Assumptions and Catalog'!$F$53,IF(((D437+E437)*C437-G437)&lt;='Assumptions and Catalog'!$C$54,((D437+E437)*C437-G437)*'Assumptions and Catalog'!$H$54+'Assumptions and Catalog'!$E$54+'Assumptions and Catalog'!$F$54,IF(((D437+E437)*C437-G437)&lt;='Assumptions and Catalog'!$C$55,((D437+E437)*C437-G437)*'Assumptions and Catalog'!$H$55+'Assumptions and Catalog'!$E$55+'Assumptions and Catalog'!$F$55,IF(((D437+E437)*C437-G437)&lt;='Assumptions and Catalog'!$C$56,((D437+E437)*C437-G437)*'Assumptions and Catalog'!$H$56+'Assumptions and Catalog'!$E$56+'Assumptions and Catalog'!$F$56,IF(((D437+E437)*C437-G437)&lt;='Assumptions and Catalog'!$C$57,((D437+E437)*C437-G437)*'Assumptions and Catalog'!$H$57+'Assumptions and Catalog'!$E$57+'Assumptions and Catalog'!$F$57,"Out of range")))))))),IF(((D437+E437)*C437-G437)&lt;='Assumptions and Catalog'!$C$60,((D437+E437)*C437-G437)*'Assumptions and Catalog'!$H$60+'Assumptions and Catalog'!$E$60+'Assumptions and Catalog'!$F$60,IF(((D437+E437)*C437-G437)&lt;='Assumptions and Catalog'!$C$61,((D437+E437)*C437-G437)*'Assumptions and Catalog'!$H$61+'Assumptions and Catalog'!$E$61+'Assumptions and Catalog'!$F$61,IF(((D437+E437)*C437-G437)&lt;='Assumptions and Catalog'!$C$62,((D437+E437)*C437-G437)*'Assumptions and Catalog'!$H$62+'Assumptions and Catalog'!$E$62+'Assumptions and Catalog'!$F$62,IF(((D437+E437)*C437-G437)&lt;='Assumptions and Catalog'!$C$63,((D437+E437)*C437-G437)*'Assumptions and Catalog'!$H$63+'Assumptions and Catalog'!$E$63+'Assumptions and Catalog'!$F$63,IF(((D437+E437)*C437-G437)&lt;='Assumptions and Catalog'!$C$64,((D437+E437)*C437-G437)*'Assumptions and Catalog'!$H$64+'Assumptions and Catalog'!$E$64+'Assumptions and Catalog'!$F$64,IF(((D437+E437)*C437-G437)&lt;='Assumptions and Catalog'!$C$65,((D437+E437)*C437-G437)*'Assumptions and Catalog'!$H$65+'Assumptions and Catalog'!$E$65+'Assumptions and Catalog'!$F$65,"Out of range")))))))))*(1+'Assumptions and Catalog'!$C$8)^(A437-1),0)</f>
        <v>8554.9666666666672</v>
      </c>
      <c r="R437" s="5">
        <f>IF(AND('Assumptions and Catalog'!$C$19&gt;0,A437&gt;='Assumptions and Catalog'!$C$19),A437-'Assumptions and Catalog'!$C$19,A437-1)</f>
        <v>2</v>
      </c>
      <c r="S437" s="5">
        <f>F437+L437-(D437+E437)*C437-J437-K437-IF(D$52&gt;0,'Assumptions and Catalog'!$C$26*C437,0)</f>
        <v>0</v>
      </c>
      <c r="T437" s="5"/>
      <c r="U437" s="5"/>
    </row>
    <row r="438" spans="1:21" ht="23.1" customHeight="1" outlineLevel="1" x14ac:dyDescent="0.2">
      <c r="A438" s="5">
        <v>3</v>
      </c>
      <c r="B438" s="5">
        <v>4</v>
      </c>
      <c r="C438" s="5">
        <f>DAY(DATE('Assumptions and Catalog'!$C$24+A438-1,B438+1,0))</f>
        <v>30</v>
      </c>
      <c r="D438" s="5">
        <f>IF(ISNUMBER(Inputs!$L$5),Inputs!$L$5*Inputs!$L$6,0)</f>
        <v>40.35</v>
      </c>
      <c r="E438" s="5">
        <f>IF(ISNUMBER(Inputs!$L$5),Inputs!$L$5-D438,0)</f>
        <v>40.35</v>
      </c>
      <c r="F438" s="5">
        <f>D$51*'Assumptions and Catalog'!$C$31*C438*(1-'Assumptions and Catalog'!$C$10)^(A438-1)</f>
        <v>0</v>
      </c>
      <c r="G438" s="5">
        <f t="shared" si="32"/>
        <v>0</v>
      </c>
      <c r="H438" s="5">
        <f>I438/('Assumptions and Catalog'!$C$11*'Assumptions and Catalog'!$C$12)</f>
        <v>0</v>
      </c>
      <c r="I438" s="5">
        <f>IF(K$15="Grid cycle",MIN(K$16,D438+E438,P438*'Assumptions and Catalog'!$C$12,D$57*(24-'Assumptions and Catalog'!$C$15),D$56*'Assumptions and Catalog'!$C$15*'Assumptions and Catalog'!$C$11*'Assumptions and Catalog'!$C$12)*C438,0)</f>
        <v>0</v>
      </c>
      <c r="J438" s="5">
        <f t="shared" si="33"/>
        <v>0</v>
      </c>
      <c r="K438" s="5">
        <f t="shared" si="34"/>
        <v>0</v>
      </c>
      <c r="L438" s="5">
        <f>(D438+E438)*C438-G438-I438+H438+IF(D$52&gt;0,'Assumptions and Catalog'!$C$26*C438,0)</f>
        <v>2421</v>
      </c>
      <c r="M438" s="5">
        <f>IF(ISNUMBER(Inputs!$L$5),(IF(Inputs!$L$9="Actual flat rate",((D438+E438)*C438)*Inputs!$L$10,IF(Inputs!$C$9="Residential",IF(((D438+E438)*C438)&lt;='Assumptions and Catalog'!$C$50,((D438+E438)*C438)*'Assumptions and Catalog'!$H$50+'Assumptions and Catalog'!$E$50+'Assumptions and Catalog'!$F$50,IF(((D438+E438)*C438)&lt;='Assumptions and Catalog'!$C$51,((D438+E438)*C438)*'Assumptions and Catalog'!$H$51+'Assumptions and Catalog'!$E$51+'Assumptions and Catalog'!$F$51,IF(((D438+E438)*C438)&lt;='Assumptions and Catalog'!$C$52,((D438+E438)*C438)*'Assumptions and Catalog'!$H$52+'Assumptions and Catalog'!$E$52+'Assumptions and Catalog'!$F$52,IF(((D438+E438)*C438)&lt;='Assumptions and Catalog'!$C$53,((D438+E438)*C438)*'Assumptions and Catalog'!$H$53+'Assumptions and Catalog'!$E$53+'Assumptions and Catalog'!$F$53,IF(((D438+E438)*C438)&lt;='Assumptions and Catalog'!$C$54,((D438+E438)*C438)*'Assumptions and Catalog'!$H$54+'Assumptions and Catalog'!$E$54+'Assumptions and Catalog'!$F$54,IF(((D438+E438)*C438)&lt;='Assumptions and Catalog'!$C$55,((D438+E438)*C438)*'Assumptions and Catalog'!$H$55+'Assumptions and Catalog'!$E$55+'Assumptions and Catalog'!$F$55,IF(((D438+E438)*C438)&lt;='Assumptions and Catalog'!$C$56,((D438+E438)*C438)*'Assumptions and Catalog'!$H$56+'Assumptions and Catalog'!$E$56+'Assumptions and Catalog'!$F$56,IF(((D438+E438)*C438)&lt;='Assumptions and Catalog'!$C$57,((D438+E438)*C438)*'Assumptions and Catalog'!$H$57+'Assumptions and Catalog'!$E$57+'Assumptions and Catalog'!$F$57,"Out of range")))))))),IF(((D438+E438)*C438)&lt;='Assumptions and Catalog'!$C$60,((D438+E438)*C438)*'Assumptions and Catalog'!$H$60+'Assumptions and Catalog'!$E$60+'Assumptions and Catalog'!$F$60,IF(((D438+E438)*C438)&lt;='Assumptions and Catalog'!$C$61,((D438+E438)*C438)*'Assumptions and Catalog'!$H$61+'Assumptions and Catalog'!$E$61+'Assumptions and Catalog'!$F$61,IF(((D438+E438)*C438)&lt;='Assumptions and Catalog'!$C$62,((D438+E438)*C438)*'Assumptions and Catalog'!$H$62+'Assumptions and Catalog'!$E$62+'Assumptions and Catalog'!$F$62,IF(((D438+E438)*C438)&lt;='Assumptions and Catalog'!$C$63,((D438+E438)*C438)*'Assumptions and Catalog'!$H$63+'Assumptions and Catalog'!$E$63+'Assumptions and Catalog'!$F$63,IF(((D438+E438)*C438)&lt;='Assumptions and Catalog'!$C$64,((D438+E438)*C438)*'Assumptions and Catalog'!$H$64+'Assumptions and Catalog'!$E$64+'Assumptions and Catalog'!$F$64,IF(((D438+E438)*C438)&lt;='Assumptions and Catalog'!$C$65,((D438+E438)*C438)*'Assumptions and Catalog'!$H$65+'Assumptions and Catalog'!$E$65+'Assumptions and Catalog'!$F$65,"Out of range")))))))))*(1+'Assumptions and Catalog'!$C$8)^(A438-1),0)</f>
        <v>8279</v>
      </c>
      <c r="N438" s="5">
        <f>IF(ISNUMBER(Inputs!$L$5),(IF(Inputs!$L$9="Actual flat rate",L438*Inputs!$L$10,IF(Inputs!$C$9="Residential",IF(L438&lt;='Assumptions and Catalog'!$C$50,L438*'Assumptions and Catalog'!$H$50+'Assumptions and Catalog'!$E$50+'Assumptions and Catalog'!$F$50,IF(L438&lt;='Assumptions and Catalog'!$C$51,L438*'Assumptions and Catalog'!$H$51+'Assumptions and Catalog'!$E$51+'Assumptions and Catalog'!$F$51,IF(L438&lt;='Assumptions and Catalog'!$C$52,L438*'Assumptions and Catalog'!$H$52+'Assumptions and Catalog'!$E$52+'Assumptions and Catalog'!$F$52,IF(L438&lt;='Assumptions and Catalog'!$C$53,L438*'Assumptions and Catalog'!$H$53+'Assumptions and Catalog'!$E$53+'Assumptions and Catalog'!$F$53,IF(L438&lt;='Assumptions and Catalog'!$C$54,L438*'Assumptions and Catalog'!$H$54+'Assumptions and Catalog'!$E$54+'Assumptions and Catalog'!$F$54,IF(L438&lt;='Assumptions and Catalog'!$C$55,L438*'Assumptions and Catalog'!$H$55+'Assumptions and Catalog'!$E$55+'Assumptions and Catalog'!$F$55,IF(L438&lt;='Assumptions and Catalog'!$C$56,L438*'Assumptions and Catalog'!$H$56+'Assumptions and Catalog'!$E$56+'Assumptions and Catalog'!$F$56,IF(L438&lt;='Assumptions and Catalog'!$C$57,L438*'Assumptions and Catalog'!$H$57+'Assumptions and Catalog'!$E$57+'Assumptions and Catalog'!$F$57,"Out of range")))))))),IF(L438&lt;='Assumptions and Catalog'!$C$60,L438*'Assumptions and Catalog'!$H$60+'Assumptions and Catalog'!$E$60+'Assumptions and Catalog'!$F$60,IF(L438&lt;='Assumptions and Catalog'!$C$61,L438*'Assumptions and Catalog'!$H$61+'Assumptions and Catalog'!$E$61+'Assumptions and Catalog'!$F$61,IF(L438&lt;='Assumptions and Catalog'!$C$62,L438*'Assumptions and Catalog'!$H$62+'Assumptions and Catalog'!$E$62+'Assumptions and Catalog'!$F$62,IF(L438&lt;='Assumptions and Catalog'!$C$63,L438*'Assumptions and Catalog'!$H$63+'Assumptions and Catalog'!$E$63+'Assumptions and Catalog'!$F$63,IF(L438&lt;='Assumptions and Catalog'!$C$64,L438*'Assumptions and Catalog'!$H$64+'Assumptions and Catalog'!$E$64+'Assumptions and Catalog'!$F$64,IF(L438&lt;='Assumptions and Catalog'!$C$65,L438*'Assumptions and Catalog'!$H$65+'Assumptions and Catalog'!$E$65+'Assumptions and Catalog'!$F$65,"Out of range")))))))))*(1+'Assumptions and Catalog'!$C$8)^(A438-1),0)</f>
        <v>8279</v>
      </c>
      <c r="O438" s="5">
        <f t="shared" si="35"/>
        <v>0</v>
      </c>
      <c r="P438" s="5">
        <f>D$55*(1-K$14)*(1-'Assumptions and Catalog'!$C$23)^R438</f>
        <v>0</v>
      </c>
      <c r="Q438" s="5">
        <f>IF(ISNUMBER(Inputs!$L$5),(IF(Inputs!$L$9="Actual flat rate",((D438+E438)*C438-G438)*Inputs!$L$10,IF(Inputs!$C$9="Residential",IF(((D438+E438)*C438-G438)&lt;='Assumptions and Catalog'!$C$50,((D438+E438)*C438-G438)*'Assumptions and Catalog'!$H$50+'Assumptions and Catalog'!$E$50+'Assumptions and Catalog'!$F$50,IF(((D438+E438)*C438-G438)&lt;='Assumptions and Catalog'!$C$51,((D438+E438)*C438-G438)*'Assumptions and Catalog'!$H$51+'Assumptions and Catalog'!$E$51+'Assumptions and Catalog'!$F$51,IF(((D438+E438)*C438-G438)&lt;='Assumptions and Catalog'!$C$52,((D438+E438)*C438-G438)*'Assumptions and Catalog'!$H$52+'Assumptions and Catalog'!$E$52+'Assumptions and Catalog'!$F$52,IF(((D438+E438)*C438-G438)&lt;='Assumptions and Catalog'!$C$53,((D438+E438)*C438-G438)*'Assumptions and Catalog'!$H$53+'Assumptions and Catalog'!$E$53+'Assumptions and Catalog'!$F$53,IF(((D438+E438)*C438-G438)&lt;='Assumptions and Catalog'!$C$54,((D438+E438)*C438-G438)*'Assumptions and Catalog'!$H$54+'Assumptions and Catalog'!$E$54+'Assumptions and Catalog'!$F$54,IF(((D438+E438)*C438-G438)&lt;='Assumptions and Catalog'!$C$55,((D438+E438)*C438-G438)*'Assumptions and Catalog'!$H$55+'Assumptions and Catalog'!$E$55+'Assumptions and Catalog'!$F$55,IF(((D438+E438)*C438-G438)&lt;='Assumptions and Catalog'!$C$56,((D438+E438)*C438-G438)*'Assumptions and Catalog'!$H$56+'Assumptions and Catalog'!$E$56+'Assumptions and Catalog'!$F$56,IF(((D438+E438)*C438-G438)&lt;='Assumptions and Catalog'!$C$57,((D438+E438)*C438-G438)*'Assumptions and Catalog'!$H$57+'Assumptions and Catalog'!$E$57+'Assumptions and Catalog'!$F$57,"Out of range")))))))),IF(((D438+E438)*C438-G438)&lt;='Assumptions and Catalog'!$C$60,((D438+E438)*C438-G438)*'Assumptions and Catalog'!$H$60+'Assumptions and Catalog'!$E$60+'Assumptions and Catalog'!$F$60,IF(((D438+E438)*C438-G438)&lt;='Assumptions and Catalog'!$C$61,((D438+E438)*C438-G438)*'Assumptions and Catalog'!$H$61+'Assumptions and Catalog'!$E$61+'Assumptions and Catalog'!$F$61,IF(((D438+E438)*C438-G438)&lt;='Assumptions and Catalog'!$C$62,((D438+E438)*C438-G438)*'Assumptions and Catalog'!$H$62+'Assumptions and Catalog'!$E$62+'Assumptions and Catalog'!$F$62,IF(((D438+E438)*C438-G438)&lt;='Assumptions and Catalog'!$C$63,((D438+E438)*C438-G438)*'Assumptions and Catalog'!$H$63+'Assumptions and Catalog'!$E$63+'Assumptions and Catalog'!$F$63,IF(((D438+E438)*C438-G438)&lt;='Assumptions and Catalog'!$C$64,((D438+E438)*C438-G438)*'Assumptions and Catalog'!$H$64+'Assumptions and Catalog'!$E$64+'Assumptions and Catalog'!$F$64,IF(((D438+E438)*C438-G438)&lt;='Assumptions and Catalog'!$C$65,((D438+E438)*C438-G438)*'Assumptions and Catalog'!$H$65+'Assumptions and Catalog'!$E$65+'Assumptions and Catalog'!$F$65,"Out of range")))))))))*(1+'Assumptions and Catalog'!$C$8)^(A438-1),0)</f>
        <v>8279</v>
      </c>
      <c r="R438" s="5">
        <f>IF(AND('Assumptions and Catalog'!$C$19&gt;0,A438&gt;='Assumptions and Catalog'!$C$19),A438-'Assumptions and Catalog'!$C$19,A438-1)</f>
        <v>2</v>
      </c>
      <c r="S438" s="5">
        <f>F438+L438-(D438+E438)*C438-J438-K438-IF(D$52&gt;0,'Assumptions and Catalog'!$C$26*C438,0)</f>
        <v>0</v>
      </c>
      <c r="T438" s="5"/>
      <c r="U438" s="5"/>
    </row>
    <row r="439" spans="1:21" ht="23.1" customHeight="1" outlineLevel="1" x14ac:dyDescent="0.2">
      <c r="A439" s="5">
        <v>3</v>
      </c>
      <c r="B439" s="5">
        <v>5</v>
      </c>
      <c r="C439" s="5">
        <f>DAY(DATE('Assumptions and Catalog'!$C$24+A439-1,B439+1,0))</f>
        <v>31</v>
      </c>
      <c r="D439" s="5">
        <f>IF(ISNUMBER(Inputs!$L$5),Inputs!$L$5*Inputs!$L$6,0)</f>
        <v>40.35</v>
      </c>
      <c r="E439" s="5">
        <f>IF(ISNUMBER(Inputs!$L$5),Inputs!$L$5-D439,0)</f>
        <v>40.35</v>
      </c>
      <c r="F439" s="5">
        <f>D$51*'Assumptions and Catalog'!$C$31*C439*(1-'Assumptions and Catalog'!$C$10)^(A439-1)</f>
        <v>0</v>
      </c>
      <c r="G439" s="5">
        <f t="shared" si="32"/>
        <v>0</v>
      </c>
      <c r="H439" s="5">
        <f>I439/('Assumptions and Catalog'!$C$11*'Assumptions and Catalog'!$C$12)</f>
        <v>0</v>
      </c>
      <c r="I439" s="5">
        <f>IF(K$15="Grid cycle",MIN(K$16,D439+E439,P439*'Assumptions and Catalog'!$C$12,D$57*(24-'Assumptions and Catalog'!$C$15),D$56*'Assumptions and Catalog'!$C$15*'Assumptions and Catalog'!$C$11*'Assumptions and Catalog'!$C$12)*C439,0)</f>
        <v>0</v>
      </c>
      <c r="J439" s="5">
        <f t="shared" si="33"/>
        <v>0</v>
      </c>
      <c r="K439" s="5">
        <f t="shared" si="34"/>
        <v>0</v>
      </c>
      <c r="L439" s="5">
        <f>(D439+E439)*C439-G439-I439+H439+IF(D$52&gt;0,'Assumptions and Catalog'!$C$26*C439,0)</f>
        <v>2501.7000000000003</v>
      </c>
      <c r="M439" s="5">
        <f>IF(ISNUMBER(Inputs!$L$5),(IF(Inputs!$L$9="Actual flat rate",((D439+E439)*C439)*Inputs!$L$10,IF(Inputs!$C$9="Residential",IF(((D439+E439)*C439)&lt;='Assumptions and Catalog'!$C$50,((D439+E439)*C439)*'Assumptions and Catalog'!$H$50+'Assumptions and Catalog'!$E$50+'Assumptions and Catalog'!$F$50,IF(((D439+E439)*C439)&lt;='Assumptions and Catalog'!$C$51,((D439+E439)*C439)*'Assumptions and Catalog'!$H$51+'Assumptions and Catalog'!$E$51+'Assumptions and Catalog'!$F$51,IF(((D439+E439)*C439)&lt;='Assumptions and Catalog'!$C$52,((D439+E439)*C439)*'Assumptions and Catalog'!$H$52+'Assumptions and Catalog'!$E$52+'Assumptions and Catalog'!$F$52,IF(((D439+E439)*C439)&lt;='Assumptions and Catalog'!$C$53,((D439+E439)*C439)*'Assumptions and Catalog'!$H$53+'Assumptions and Catalog'!$E$53+'Assumptions and Catalog'!$F$53,IF(((D439+E439)*C439)&lt;='Assumptions and Catalog'!$C$54,((D439+E439)*C439)*'Assumptions and Catalog'!$H$54+'Assumptions and Catalog'!$E$54+'Assumptions and Catalog'!$F$54,IF(((D439+E439)*C439)&lt;='Assumptions and Catalog'!$C$55,((D439+E439)*C439)*'Assumptions and Catalog'!$H$55+'Assumptions and Catalog'!$E$55+'Assumptions and Catalog'!$F$55,IF(((D439+E439)*C439)&lt;='Assumptions and Catalog'!$C$56,((D439+E439)*C439)*'Assumptions and Catalog'!$H$56+'Assumptions and Catalog'!$E$56+'Assumptions and Catalog'!$F$56,IF(((D439+E439)*C439)&lt;='Assumptions and Catalog'!$C$57,((D439+E439)*C439)*'Assumptions and Catalog'!$H$57+'Assumptions and Catalog'!$E$57+'Assumptions and Catalog'!$F$57,"Out of range")))))))),IF(((D439+E439)*C439)&lt;='Assumptions and Catalog'!$C$60,((D439+E439)*C439)*'Assumptions and Catalog'!$H$60+'Assumptions and Catalog'!$E$60+'Assumptions and Catalog'!$F$60,IF(((D439+E439)*C439)&lt;='Assumptions and Catalog'!$C$61,((D439+E439)*C439)*'Assumptions and Catalog'!$H$61+'Assumptions and Catalog'!$E$61+'Assumptions and Catalog'!$F$61,IF(((D439+E439)*C439)&lt;='Assumptions and Catalog'!$C$62,((D439+E439)*C439)*'Assumptions and Catalog'!$H$62+'Assumptions and Catalog'!$E$62+'Assumptions and Catalog'!$F$62,IF(((D439+E439)*C439)&lt;='Assumptions and Catalog'!$C$63,((D439+E439)*C439)*'Assumptions and Catalog'!$H$63+'Assumptions and Catalog'!$E$63+'Assumptions and Catalog'!$F$63,IF(((D439+E439)*C439)&lt;='Assumptions and Catalog'!$C$64,((D439+E439)*C439)*'Assumptions and Catalog'!$H$64+'Assumptions and Catalog'!$E$64+'Assumptions and Catalog'!$F$64,IF(((D439+E439)*C439)&lt;='Assumptions and Catalog'!$C$65,((D439+E439)*C439)*'Assumptions and Catalog'!$H$65+'Assumptions and Catalog'!$E$65+'Assumptions and Catalog'!$F$65,"Out of range")))))))))*(1+'Assumptions and Catalog'!$C$8)^(A439-1),0)</f>
        <v>8554.9666666666672</v>
      </c>
      <c r="N439" s="5">
        <f>IF(ISNUMBER(Inputs!$L$5),(IF(Inputs!$L$9="Actual flat rate",L439*Inputs!$L$10,IF(Inputs!$C$9="Residential",IF(L439&lt;='Assumptions and Catalog'!$C$50,L439*'Assumptions and Catalog'!$H$50+'Assumptions and Catalog'!$E$50+'Assumptions and Catalog'!$F$50,IF(L439&lt;='Assumptions and Catalog'!$C$51,L439*'Assumptions and Catalog'!$H$51+'Assumptions and Catalog'!$E$51+'Assumptions and Catalog'!$F$51,IF(L439&lt;='Assumptions and Catalog'!$C$52,L439*'Assumptions and Catalog'!$H$52+'Assumptions and Catalog'!$E$52+'Assumptions and Catalog'!$F$52,IF(L439&lt;='Assumptions and Catalog'!$C$53,L439*'Assumptions and Catalog'!$H$53+'Assumptions and Catalog'!$E$53+'Assumptions and Catalog'!$F$53,IF(L439&lt;='Assumptions and Catalog'!$C$54,L439*'Assumptions and Catalog'!$H$54+'Assumptions and Catalog'!$E$54+'Assumptions and Catalog'!$F$54,IF(L439&lt;='Assumptions and Catalog'!$C$55,L439*'Assumptions and Catalog'!$H$55+'Assumptions and Catalog'!$E$55+'Assumptions and Catalog'!$F$55,IF(L439&lt;='Assumptions and Catalog'!$C$56,L439*'Assumptions and Catalog'!$H$56+'Assumptions and Catalog'!$E$56+'Assumptions and Catalog'!$F$56,IF(L439&lt;='Assumptions and Catalog'!$C$57,L439*'Assumptions and Catalog'!$H$57+'Assumptions and Catalog'!$E$57+'Assumptions and Catalog'!$F$57,"Out of range")))))))),IF(L439&lt;='Assumptions and Catalog'!$C$60,L439*'Assumptions and Catalog'!$H$60+'Assumptions and Catalog'!$E$60+'Assumptions and Catalog'!$F$60,IF(L439&lt;='Assumptions and Catalog'!$C$61,L439*'Assumptions and Catalog'!$H$61+'Assumptions and Catalog'!$E$61+'Assumptions and Catalog'!$F$61,IF(L439&lt;='Assumptions and Catalog'!$C$62,L439*'Assumptions and Catalog'!$H$62+'Assumptions and Catalog'!$E$62+'Assumptions and Catalog'!$F$62,IF(L439&lt;='Assumptions and Catalog'!$C$63,L439*'Assumptions and Catalog'!$H$63+'Assumptions and Catalog'!$E$63+'Assumptions and Catalog'!$F$63,IF(L439&lt;='Assumptions and Catalog'!$C$64,L439*'Assumptions and Catalog'!$H$64+'Assumptions and Catalog'!$E$64+'Assumptions and Catalog'!$F$64,IF(L439&lt;='Assumptions and Catalog'!$C$65,L439*'Assumptions and Catalog'!$H$65+'Assumptions and Catalog'!$E$65+'Assumptions and Catalog'!$F$65,"Out of range")))))))))*(1+'Assumptions and Catalog'!$C$8)^(A439-1),0)</f>
        <v>8554.9666666666672</v>
      </c>
      <c r="O439" s="5">
        <f t="shared" si="35"/>
        <v>0</v>
      </c>
      <c r="P439" s="5">
        <f>D$55*(1-K$14)*(1-'Assumptions and Catalog'!$C$23)^R439</f>
        <v>0</v>
      </c>
      <c r="Q439" s="5">
        <f>IF(ISNUMBER(Inputs!$L$5),(IF(Inputs!$L$9="Actual flat rate",((D439+E439)*C439-G439)*Inputs!$L$10,IF(Inputs!$C$9="Residential",IF(((D439+E439)*C439-G439)&lt;='Assumptions and Catalog'!$C$50,((D439+E439)*C439-G439)*'Assumptions and Catalog'!$H$50+'Assumptions and Catalog'!$E$50+'Assumptions and Catalog'!$F$50,IF(((D439+E439)*C439-G439)&lt;='Assumptions and Catalog'!$C$51,((D439+E439)*C439-G439)*'Assumptions and Catalog'!$H$51+'Assumptions and Catalog'!$E$51+'Assumptions and Catalog'!$F$51,IF(((D439+E439)*C439-G439)&lt;='Assumptions and Catalog'!$C$52,((D439+E439)*C439-G439)*'Assumptions and Catalog'!$H$52+'Assumptions and Catalog'!$E$52+'Assumptions and Catalog'!$F$52,IF(((D439+E439)*C439-G439)&lt;='Assumptions and Catalog'!$C$53,((D439+E439)*C439-G439)*'Assumptions and Catalog'!$H$53+'Assumptions and Catalog'!$E$53+'Assumptions and Catalog'!$F$53,IF(((D439+E439)*C439-G439)&lt;='Assumptions and Catalog'!$C$54,((D439+E439)*C439-G439)*'Assumptions and Catalog'!$H$54+'Assumptions and Catalog'!$E$54+'Assumptions and Catalog'!$F$54,IF(((D439+E439)*C439-G439)&lt;='Assumptions and Catalog'!$C$55,((D439+E439)*C439-G439)*'Assumptions and Catalog'!$H$55+'Assumptions and Catalog'!$E$55+'Assumptions and Catalog'!$F$55,IF(((D439+E439)*C439-G439)&lt;='Assumptions and Catalog'!$C$56,((D439+E439)*C439-G439)*'Assumptions and Catalog'!$H$56+'Assumptions and Catalog'!$E$56+'Assumptions and Catalog'!$F$56,IF(((D439+E439)*C439-G439)&lt;='Assumptions and Catalog'!$C$57,((D439+E439)*C439-G439)*'Assumptions and Catalog'!$H$57+'Assumptions and Catalog'!$E$57+'Assumptions and Catalog'!$F$57,"Out of range")))))))),IF(((D439+E439)*C439-G439)&lt;='Assumptions and Catalog'!$C$60,((D439+E439)*C439-G439)*'Assumptions and Catalog'!$H$60+'Assumptions and Catalog'!$E$60+'Assumptions and Catalog'!$F$60,IF(((D439+E439)*C439-G439)&lt;='Assumptions and Catalog'!$C$61,((D439+E439)*C439-G439)*'Assumptions and Catalog'!$H$61+'Assumptions and Catalog'!$E$61+'Assumptions and Catalog'!$F$61,IF(((D439+E439)*C439-G439)&lt;='Assumptions and Catalog'!$C$62,((D439+E439)*C439-G439)*'Assumptions and Catalog'!$H$62+'Assumptions and Catalog'!$E$62+'Assumptions and Catalog'!$F$62,IF(((D439+E439)*C439-G439)&lt;='Assumptions and Catalog'!$C$63,((D439+E439)*C439-G439)*'Assumptions and Catalog'!$H$63+'Assumptions and Catalog'!$E$63+'Assumptions and Catalog'!$F$63,IF(((D439+E439)*C439-G439)&lt;='Assumptions and Catalog'!$C$64,((D439+E439)*C439-G439)*'Assumptions and Catalog'!$H$64+'Assumptions and Catalog'!$E$64+'Assumptions and Catalog'!$F$64,IF(((D439+E439)*C439-G439)&lt;='Assumptions and Catalog'!$C$65,((D439+E439)*C439-G439)*'Assumptions and Catalog'!$H$65+'Assumptions and Catalog'!$E$65+'Assumptions and Catalog'!$F$65,"Out of range")))))))))*(1+'Assumptions and Catalog'!$C$8)^(A439-1),0)</f>
        <v>8554.9666666666672</v>
      </c>
      <c r="R439" s="5">
        <f>IF(AND('Assumptions and Catalog'!$C$19&gt;0,A439&gt;='Assumptions and Catalog'!$C$19),A439-'Assumptions and Catalog'!$C$19,A439-1)</f>
        <v>2</v>
      </c>
      <c r="S439" s="5">
        <f>F439+L439-(D439+E439)*C439-J439-K439-IF(D$52&gt;0,'Assumptions and Catalog'!$C$26*C439,0)</f>
        <v>0</v>
      </c>
      <c r="T439" s="5"/>
      <c r="U439" s="5"/>
    </row>
    <row r="440" spans="1:21" ht="23.1" customHeight="1" outlineLevel="1" x14ac:dyDescent="0.2">
      <c r="A440" s="5">
        <v>3</v>
      </c>
      <c r="B440" s="5">
        <v>6</v>
      </c>
      <c r="C440" s="5">
        <f>DAY(DATE('Assumptions and Catalog'!$C$24+A440-1,B440+1,0))</f>
        <v>30</v>
      </c>
      <c r="D440" s="5">
        <f>IF(ISNUMBER(Inputs!$L$5),Inputs!$L$5*Inputs!$L$6,0)</f>
        <v>40.35</v>
      </c>
      <c r="E440" s="5">
        <f>IF(ISNUMBER(Inputs!$L$5),Inputs!$L$5-D440,0)</f>
        <v>40.35</v>
      </c>
      <c r="F440" s="5">
        <f>D$51*'Assumptions and Catalog'!$C$31*C440*(1-'Assumptions and Catalog'!$C$10)^(A440-1)</f>
        <v>0</v>
      </c>
      <c r="G440" s="5">
        <f t="shared" si="32"/>
        <v>0</v>
      </c>
      <c r="H440" s="5">
        <f>I440/('Assumptions and Catalog'!$C$11*'Assumptions and Catalog'!$C$12)</f>
        <v>0</v>
      </c>
      <c r="I440" s="5">
        <f>IF(K$15="Grid cycle",MIN(K$16,D440+E440,P440*'Assumptions and Catalog'!$C$12,D$57*(24-'Assumptions and Catalog'!$C$15),D$56*'Assumptions and Catalog'!$C$15*'Assumptions and Catalog'!$C$11*'Assumptions and Catalog'!$C$12)*C440,0)</f>
        <v>0</v>
      </c>
      <c r="J440" s="5">
        <f t="shared" si="33"/>
        <v>0</v>
      </c>
      <c r="K440" s="5">
        <f t="shared" si="34"/>
        <v>0</v>
      </c>
      <c r="L440" s="5">
        <f>(D440+E440)*C440-G440-I440+H440+IF(D$52&gt;0,'Assumptions and Catalog'!$C$26*C440,0)</f>
        <v>2421</v>
      </c>
      <c r="M440" s="5">
        <f>IF(ISNUMBER(Inputs!$L$5),(IF(Inputs!$L$9="Actual flat rate",((D440+E440)*C440)*Inputs!$L$10,IF(Inputs!$C$9="Residential",IF(((D440+E440)*C440)&lt;='Assumptions and Catalog'!$C$50,((D440+E440)*C440)*'Assumptions and Catalog'!$H$50+'Assumptions and Catalog'!$E$50+'Assumptions and Catalog'!$F$50,IF(((D440+E440)*C440)&lt;='Assumptions and Catalog'!$C$51,((D440+E440)*C440)*'Assumptions and Catalog'!$H$51+'Assumptions and Catalog'!$E$51+'Assumptions and Catalog'!$F$51,IF(((D440+E440)*C440)&lt;='Assumptions and Catalog'!$C$52,((D440+E440)*C440)*'Assumptions and Catalog'!$H$52+'Assumptions and Catalog'!$E$52+'Assumptions and Catalog'!$F$52,IF(((D440+E440)*C440)&lt;='Assumptions and Catalog'!$C$53,((D440+E440)*C440)*'Assumptions and Catalog'!$H$53+'Assumptions and Catalog'!$E$53+'Assumptions and Catalog'!$F$53,IF(((D440+E440)*C440)&lt;='Assumptions and Catalog'!$C$54,((D440+E440)*C440)*'Assumptions and Catalog'!$H$54+'Assumptions and Catalog'!$E$54+'Assumptions and Catalog'!$F$54,IF(((D440+E440)*C440)&lt;='Assumptions and Catalog'!$C$55,((D440+E440)*C440)*'Assumptions and Catalog'!$H$55+'Assumptions and Catalog'!$E$55+'Assumptions and Catalog'!$F$55,IF(((D440+E440)*C440)&lt;='Assumptions and Catalog'!$C$56,((D440+E440)*C440)*'Assumptions and Catalog'!$H$56+'Assumptions and Catalog'!$E$56+'Assumptions and Catalog'!$F$56,IF(((D440+E440)*C440)&lt;='Assumptions and Catalog'!$C$57,((D440+E440)*C440)*'Assumptions and Catalog'!$H$57+'Assumptions and Catalog'!$E$57+'Assumptions and Catalog'!$F$57,"Out of range")))))))),IF(((D440+E440)*C440)&lt;='Assumptions and Catalog'!$C$60,((D440+E440)*C440)*'Assumptions and Catalog'!$H$60+'Assumptions and Catalog'!$E$60+'Assumptions and Catalog'!$F$60,IF(((D440+E440)*C440)&lt;='Assumptions and Catalog'!$C$61,((D440+E440)*C440)*'Assumptions and Catalog'!$H$61+'Assumptions and Catalog'!$E$61+'Assumptions and Catalog'!$F$61,IF(((D440+E440)*C440)&lt;='Assumptions and Catalog'!$C$62,((D440+E440)*C440)*'Assumptions and Catalog'!$H$62+'Assumptions and Catalog'!$E$62+'Assumptions and Catalog'!$F$62,IF(((D440+E440)*C440)&lt;='Assumptions and Catalog'!$C$63,((D440+E440)*C440)*'Assumptions and Catalog'!$H$63+'Assumptions and Catalog'!$E$63+'Assumptions and Catalog'!$F$63,IF(((D440+E440)*C440)&lt;='Assumptions and Catalog'!$C$64,((D440+E440)*C440)*'Assumptions and Catalog'!$H$64+'Assumptions and Catalog'!$E$64+'Assumptions and Catalog'!$F$64,IF(((D440+E440)*C440)&lt;='Assumptions and Catalog'!$C$65,((D440+E440)*C440)*'Assumptions and Catalog'!$H$65+'Assumptions and Catalog'!$E$65+'Assumptions and Catalog'!$F$65,"Out of range")))))))))*(1+'Assumptions and Catalog'!$C$8)^(A440-1),0)</f>
        <v>8279</v>
      </c>
      <c r="N440" s="5">
        <f>IF(ISNUMBER(Inputs!$L$5),(IF(Inputs!$L$9="Actual flat rate",L440*Inputs!$L$10,IF(Inputs!$C$9="Residential",IF(L440&lt;='Assumptions and Catalog'!$C$50,L440*'Assumptions and Catalog'!$H$50+'Assumptions and Catalog'!$E$50+'Assumptions and Catalog'!$F$50,IF(L440&lt;='Assumptions and Catalog'!$C$51,L440*'Assumptions and Catalog'!$H$51+'Assumptions and Catalog'!$E$51+'Assumptions and Catalog'!$F$51,IF(L440&lt;='Assumptions and Catalog'!$C$52,L440*'Assumptions and Catalog'!$H$52+'Assumptions and Catalog'!$E$52+'Assumptions and Catalog'!$F$52,IF(L440&lt;='Assumptions and Catalog'!$C$53,L440*'Assumptions and Catalog'!$H$53+'Assumptions and Catalog'!$E$53+'Assumptions and Catalog'!$F$53,IF(L440&lt;='Assumptions and Catalog'!$C$54,L440*'Assumptions and Catalog'!$H$54+'Assumptions and Catalog'!$E$54+'Assumptions and Catalog'!$F$54,IF(L440&lt;='Assumptions and Catalog'!$C$55,L440*'Assumptions and Catalog'!$H$55+'Assumptions and Catalog'!$E$55+'Assumptions and Catalog'!$F$55,IF(L440&lt;='Assumptions and Catalog'!$C$56,L440*'Assumptions and Catalog'!$H$56+'Assumptions and Catalog'!$E$56+'Assumptions and Catalog'!$F$56,IF(L440&lt;='Assumptions and Catalog'!$C$57,L440*'Assumptions and Catalog'!$H$57+'Assumptions and Catalog'!$E$57+'Assumptions and Catalog'!$F$57,"Out of range")))))))),IF(L440&lt;='Assumptions and Catalog'!$C$60,L440*'Assumptions and Catalog'!$H$60+'Assumptions and Catalog'!$E$60+'Assumptions and Catalog'!$F$60,IF(L440&lt;='Assumptions and Catalog'!$C$61,L440*'Assumptions and Catalog'!$H$61+'Assumptions and Catalog'!$E$61+'Assumptions and Catalog'!$F$61,IF(L440&lt;='Assumptions and Catalog'!$C$62,L440*'Assumptions and Catalog'!$H$62+'Assumptions and Catalog'!$E$62+'Assumptions and Catalog'!$F$62,IF(L440&lt;='Assumptions and Catalog'!$C$63,L440*'Assumptions and Catalog'!$H$63+'Assumptions and Catalog'!$E$63+'Assumptions and Catalog'!$F$63,IF(L440&lt;='Assumptions and Catalog'!$C$64,L440*'Assumptions and Catalog'!$H$64+'Assumptions and Catalog'!$E$64+'Assumptions and Catalog'!$F$64,IF(L440&lt;='Assumptions and Catalog'!$C$65,L440*'Assumptions and Catalog'!$H$65+'Assumptions and Catalog'!$E$65+'Assumptions and Catalog'!$F$65,"Out of range")))))))))*(1+'Assumptions and Catalog'!$C$8)^(A440-1),0)</f>
        <v>8279</v>
      </c>
      <c r="O440" s="5">
        <f t="shared" si="35"/>
        <v>0</v>
      </c>
      <c r="P440" s="5">
        <f>D$55*(1-K$14)*(1-'Assumptions and Catalog'!$C$23)^R440</f>
        <v>0</v>
      </c>
      <c r="Q440" s="5">
        <f>IF(ISNUMBER(Inputs!$L$5),(IF(Inputs!$L$9="Actual flat rate",((D440+E440)*C440-G440)*Inputs!$L$10,IF(Inputs!$C$9="Residential",IF(((D440+E440)*C440-G440)&lt;='Assumptions and Catalog'!$C$50,((D440+E440)*C440-G440)*'Assumptions and Catalog'!$H$50+'Assumptions and Catalog'!$E$50+'Assumptions and Catalog'!$F$50,IF(((D440+E440)*C440-G440)&lt;='Assumptions and Catalog'!$C$51,((D440+E440)*C440-G440)*'Assumptions and Catalog'!$H$51+'Assumptions and Catalog'!$E$51+'Assumptions and Catalog'!$F$51,IF(((D440+E440)*C440-G440)&lt;='Assumptions and Catalog'!$C$52,((D440+E440)*C440-G440)*'Assumptions and Catalog'!$H$52+'Assumptions and Catalog'!$E$52+'Assumptions and Catalog'!$F$52,IF(((D440+E440)*C440-G440)&lt;='Assumptions and Catalog'!$C$53,((D440+E440)*C440-G440)*'Assumptions and Catalog'!$H$53+'Assumptions and Catalog'!$E$53+'Assumptions and Catalog'!$F$53,IF(((D440+E440)*C440-G440)&lt;='Assumptions and Catalog'!$C$54,((D440+E440)*C440-G440)*'Assumptions and Catalog'!$H$54+'Assumptions and Catalog'!$E$54+'Assumptions and Catalog'!$F$54,IF(((D440+E440)*C440-G440)&lt;='Assumptions and Catalog'!$C$55,((D440+E440)*C440-G440)*'Assumptions and Catalog'!$H$55+'Assumptions and Catalog'!$E$55+'Assumptions and Catalog'!$F$55,IF(((D440+E440)*C440-G440)&lt;='Assumptions and Catalog'!$C$56,((D440+E440)*C440-G440)*'Assumptions and Catalog'!$H$56+'Assumptions and Catalog'!$E$56+'Assumptions and Catalog'!$F$56,IF(((D440+E440)*C440-G440)&lt;='Assumptions and Catalog'!$C$57,((D440+E440)*C440-G440)*'Assumptions and Catalog'!$H$57+'Assumptions and Catalog'!$E$57+'Assumptions and Catalog'!$F$57,"Out of range")))))))),IF(((D440+E440)*C440-G440)&lt;='Assumptions and Catalog'!$C$60,((D440+E440)*C440-G440)*'Assumptions and Catalog'!$H$60+'Assumptions and Catalog'!$E$60+'Assumptions and Catalog'!$F$60,IF(((D440+E440)*C440-G440)&lt;='Assumptions and Catalog'!$C$61,((D440+E440)*C440-G440)*'Assumptions and Catalog'!$H$61+'Assumptions and Catalog'!$E$61+'Assumptions and Catalog'!$F$61,IF(((D440+E440)*C440-G440)&lt;='Assumptions and Catalog'!$C$62,((D440+E440)*C440-G440)*'Assumptions and Catalog'!$H$62+'Assumptions and Catalog'!$E$62+'Assumptions and Catalog'!$F$62,IF(((D440+E440)*C440-G440)&lt;='Assumptions and Catalog'!$C$63,((D440+E440)*C440-G440)*'Assumptions and Catalog'!$H$63+'Assumptions and Catalog'!$E$63+'Assumptions and Catalog'!$F$63,IF(((D440+E440)*C440-G440)&lt;='Assumptions and Catalog'!$C$64,((D440+E440)*C440-G440)*'Assumptions and Catalog'!$H$64+'Assumptions and Catalog'!$E$64+'Assumptions and Catalog'!$F$64,IF(((D440+E440)*C440-G440)&lt;='Assumptions and Catalog'!$C$65,((D440+E440)*C440-G440)*'Assumptions and Catalog'!$H$65+'Assumptions and Catalog'!$E$65+'Assumptions and Catalog'!$F$65,"Out of range")))))))))*(1+'Assumptions and Catalog'!$C$8)^(A440-1),0)</f>
        <v>8279</v>
      </c>
      <c r="R440" s="5">
        <f>IF(AND('Assumptions and Catalog'!$C$19&gt;0,A440&gt;='Assumptions and Catalog'!$C$19),A440-'Assumptions and Catalog'!$C$19,A440-1)</f>
        <v>2</v>
      </c>
      <c r="S440" s="5">
        <f>F440+L440-(D440+E440)*C440-J440-K440-IF(D$52&gt;0,'Assumptions and Catalog'!$C$26*C440,0)</f>
        <v>0</v>
      </c>
      <c r="T440" s="5"/>
      <c r="U440" s="5"/>
    </row>
    <row r="441" spans="1:21" ht="23.1" customHeight="1" outlineLevel="1" x14ac:dyDescent="0.2">
      <c r="A441" s="5">
        <v>3</v>
      </c>
      <c r="B441" s="5">
        <v>7</v>
      </c>
      <c r="C441" s="5">
        <f>DAY(DATE('Assumptions and Catalog'!$C$24+A441-1,B441+1,0))</f>
        <v>31</v>
      </c>
      <c r="D441" s="5">
        <f>IF(ISNUMBER(Inputs!$L$5),Inputs!$L$5*Inputs!$L$6,0)</f>
        <v>40.35</v>
      </c>
      <c r="E441" s="5">
        <f>IF(ISNUMBER(Inputs!$L$5),Inputs!$L$5-D441,0)</f>
        <v>40.35</v>
      </c>
      <c r="F441" s="5">
        <f>D$51*'Assumptions and Catalog'!$C$31*C441*(1-'Assumptions and Catalog'!$C$10)^(A441-1)</f>
        <v>0</v>
      </c>
      <c r="G441" s="5">
        <f t="shared" si="32"/>
        <v>0</v>
      </c>
      <c r="H441" s="5">
        <f>I441/('Assumptions and Catalog'!$C$11*'Assumptions and Catalog'!$C$12)</f>
        <v>0</v>
      </c>
      <c r="I441" s="5">
        <f>IF(K$15="Grid cycle",MIN(K$16,D441+E441,P441*'Assumptions and Catalog'!$C$12,D$57*(24-'Assumptions and Catalog'!$C$15),D$56*'Assumptions and Catalog'!$C$15*'Assumptions and Catalog'!$C$11*'Assumptions and Catalog'!$C$12)*C441,0)</f>
        <v>0</v>
      </c>
      <c r="J441" s="5">
        <f t="shared" si="33"/>
        <v>0</v>
      </c>
      <c r="K441" s="5">
        <f t="shared" si="34"/>
        <v>0</v>
      </c>
      <c r="L441" s="5">
        <f>(D441+E441)*C441-G441-I441+H441+IF(D$52&gt;0,'Assumptions and Catalog'!$C$26*C441,0)</f>
        <v>2501.7000000000003</v>
      </c>
      <c r="M441" s="5">
        <f>IF(ISNUMBER(Inputs!$L$5),(IF(Inputs!$L$9="Actual flat rate",((D441+E441)*C441)*Inputs!$L$10,IF(Inputs!$C$9="Residential",IF(((D441+E441)*C441)&lt;='Assumptions and Catalog'!$C$50,((D441+E441)*C441)*'Assumptions and Catalog'!$H$50+'Assumptions and Catalog'!$E$50+'Assumptions and Catalog'!$F$50,IF(((D441+E441)*C441)&lt;='Assumptions and Catalog'!$C$51,((D441+E441)*C441)*'Assumptions and Catalog'!$H$51+'Assumptions and Catalog'!$E$51+'Assumptions and Catalog'!$F$51,IF(((D441+E441)*C441)&lt;='Assumptions and Catalog'!$C$52,((D441+E441)*C441)*'Assumptions and Catalog'!$H$52+'Assumptions and Catalog'!$E$52+'Assumptions and Catalog'!$F$52,IF(((D441+E441)*C441)&lt;='Assumptions and Catalog'!$C$53,((D441+E441)*C441)*'Assumptions and Catalog'!$H$53+'Assumptions and Catalog'!$E$53+'Assumptions and Catalog'!$F$53,IF(((D441+E441)*C441)&lt;='Assumptions and Catalog'!$C$54,((D441+E441)*C441)*'Assumptions and Catalog'!$H$54+'Assumptions and Catalog'!$E$54+'Assumptions and Catalog'!$F$54,IF(((D441+E441)*C441)&lt;='Assumptions and Catalog'!$C$55,((D441+E441)*C441)*'Assumptions and Catalog'!$H$55+'Assumptions and Catalog'!$E$55+'Assumptions and Catalog'!$F$55,IF(((D441+E441)*C441)&lt;='Assumptions and Catalog'!$C$56,((D441+E441)*C441)*'Assumptions and Catalog'!$H$56+'Assumptions and Catalog'!$E$56+'Assumptions and Catalog'!$F$56,IF(((D441+E441)*C441)&lt;='Assumptions and Catalog'!$C$57,((D441+E441)*C441)*'Assumptions and Catalog'!$H$57+'Assumptions and Catalog'!$E$57+'Assumptions and Catalog'!$F$57,"Out of range")))))))),IF(((D441+E441)*C441)&lt;='Assumptions and Catalog'!$C$60,((D441+E441)*C441)*'Assumptions and Catalog'!$H$60+'Assumptions and Catalog'!$E$60+'Assumptions and Catalog'!$F$60,IF(((D441+E441)*C441)&lt;='Assumptions and Catalog'!$C$61,((D441+E441)*C441)*'Assumptions and Catalog'!$H$61+'Assumptions and Catalog'!$E$61+'Assumptions and Catalog'!$F$61,IF(((D441+E441)*C441)&lt;='Assumptions and Catalog'!$C$62,((D441+E441)*C441)*'Assumptions and Catalog'!$H$62+'Assumptions and Catalog'!$E$62+'Assumptions and Catalog'!$F$62,IF(((D441+E441)*C441)&lt;='Assumptions and Catalog'!$C$63,((D441+E441)*C441)*'Assumptions and Catalog'!$H$63+'Assumptions and Catalog'!$E$63+'Assumptions and Catalog'!$F$63,IF(((D441+E441)*C441)&lt;='Assumptions and Catalog'!$C$64,((D441+E441)*C441)*'Assumptions and Catalog'!$H$64+'Assumptions and Catalog'!$E$64+'Assumptions and Catalog'!$F$64,IF(((D441+E441)*C441)&lt;='Assumptions and Catalog'!$C$65,((D441+E441)*C441)*'Assumptions and Catalog'!$H$65+'Assumptions and Catalog'!$E$65+'Assumptions and Catalog'!$F$65,"Out of range")))))))))*(1+'Assumptions and Catalog'!$C$8)^(A441-1),0)</f>
        <v>8554.9666666666672</v>
      </c>
      <c r="N441" s="5">
        <f>IF(ISNUMBER(Inputs!$L$5),(IF(Inputs!$L$9="Actual flat rate",L441*Inputs!$L$10,IF(Inputs!$C$9="Residential",IF(L441&lt;='Assumptions and Catalog'!$C$50,L441*'Assumptions and Catalog'!$H$50+'Assumptions and Catalog'!$E$50+'Assumptions and Catalog'!$F$50,IF(L441&lt;='Assumptions and Catalog'!$C$51,L441*'Assumptions and Catalog'!$H$51+'Assumptions and Catalog'!$E$51+'Assumptions and Catalog'!$F$51,IF(L441&lt;='Assumptions and Catalog'!$C$52,L441*'Assumptions and Catalog'!$H$52+'Assumptions and Catalog'!$E$52+'Assumptions and Catalog'!$F$52,IF(L441&lt;='Assumptions and Catalog'!$C$53,L441*'Assumptions and Catalog'!$H$53+'Assumptions and Catalog'!$E$53+'Assumptions and Catalog'!$F$53,IF(L441&lt;='Assumptions and Catalog'!$C$54,L441*'Assumptions and Catalog'!$H$54+'Assumptions and Catalog'!$E$54+'Assumptions and Catalog'!$F$54,IF(L441&lt;='Assumptions and Catalog'!$C$55,L441*'Assumptions and Catalog'!$H$55+'Assumptions and Catalog'!$E$55+'Assumptions and Catalog'!$F$55,IF(L441&lt;='Assumptions and Catalog'!$C$56,L441*'Assumptions and Catalog'!$H$56+'Assumptions and Catalog'!$E$56+'Assumptions and Catalog'!$F$56,IF(L441&lt;='Assumptions and Catalog'!$C$57,L441*'Assumptions and Catalog'!$H$57+'Assumptions and Catalog'!$E$57+'Assumptions and Catalog'!$F$57,"Out of range")))))))),IF(L441&lt;='Assumptions and Catalog'!$C$60,L441*'Assumptions and Catalog'!$H$60+'Assumptions and Catalog'!$E$60+'Assumptions and Catalog'!$F$60,IF(L441&lt;='Assumptions and Catalog'!$C$61,L441*'Assumptions and Catalog'!$H$61+'Assumptions and Catalog'!$E$61+'Assumptions and Catalog'!$F$61,IF(L441&lt;='Assumptions and Catalog'!$C$62,L441*'Assumptions and Catalog'!$H$62+'Assumptions and Catalog'!$E$62+'Assumptions and Catalog'!$F$62,IF(L441&lt;='Assumptions and Catalog'!$C$63,L441*'Assumptions and Catalog'!$H$63+'Assumptions and Catalog'!$E$63+'Assumptions and Catalog'!$F$63,IF(L441&lt;='Assumptions and Catalog'!$C$64,L441*'Assumptions and Catalog'!$H$64+'Assumptions and Catalog'!$E$64+'Assumptions and Catalog'!$F$64,IF(L441&lt;='Assumptions and Catalog'!$C$65,L441*'Assumptions and Catalog'!$H$65+'Assumptions and Catalog'!$E$65+'Assumptions and Catalog'!$F$65,"Out of range")))))))))*(1+'Assumptions and Catalog'!$C$8)^(A441-1),0)</f>
        <v>8554.9666666666672</v>
      </c>
      <c r="O441" s="5">
        <f t="shared" si="35"/>
        <v>0</v>
      </c>
      <c r="P441" s="5">
        <f>D$55*(1-K$14)*(1-'Assumptions and Catalog'!$C$23)^R441</f>
        <v>0</v>
      </c>
      <c r="Q441" s="5">
        <f>IF(ISNUMBER(Inputs!$L$5),(IF(Inputs!$L$9="Actual flat rate",((D441+E441)*C441-G441)*Inputs!$L$10,IF(Inputs!$C$9="Residential",IF(((D441+E441)*C441-G441)&lt;='Assumptions and Catalog'!$C$50,((D441+E441)*C441-G441)*'Assumptions and Catalog'!$H$50+'Assumptions and Catalog'!$E$50+'Assumptions and Catalog'!$F$50,IF(((D441+E441)*C441-G441)&lt;='Assumptions and Catalog'!$C$51,((D441+E441)*C441-G441)*'Assumptions and Catalog'!$H$51+'Assumptions and Catalog'!$E$51+'Assumptions and Catalog'!$F$51,IF(((D441+E441)*C441-G441)&lt;='Assumptions and Catalog'!$C$52,((D441+E441)*C441-G441)*'Assumptions and Catalog'!$H$52+'Assumptions and Catalog'!$E$52+'Assumptions and Catalog'!$F$52,IF(((D441+E441)*C441-G441)&lt;='Assumptions and Catalog'!$C$53,((D441+E441)*C441-G441)*'Assumptions and Catalog'!$H$53+'Assumptions and Catalog'!$E$53+'Assumptions and Catalog'!$F$53,IF(((D441+E441)*C441-G441)&lt;='Assumptions and Catalog'!$C$54,((D441+E441)*C441-G441)*'Assumptions and Catalog'!$H$54+'Assumptions and Catalog'!$E$54+'Assumptions and Catalog'!$F$54,IF(((D441+E441)*C441-G441)&lt;='Assumptions and Catalog'!$C$55,((D441+E441)*C441-G441)*'Assumptions and Catalog'!$H$55+'Assumptions and Catalog'!$E$55+'Assumptions and Catalog'!$F$55,IF(((D441+E441)*C441-G441)&lt;='Assumptions and Catalog'!$C$56,((D441+E441)*C441-G441)*'Assumptions and Catalog'!$H$56+'Assumptions and Catalog'!$E$56+'Assumptions and Catalog'!$F$56,IF(((D441+E441)*C441-G441)&lt;='Assumptions and Catalog'!$C$57,((D441+E441)*C441-G441)*'Assumptions and Catalog'!$H$57+'Assumptions and Catalog'!$E$57+'Assumptions and Catalog'!$F$57,"Out of range")))))))),IF(((D441+E441)*C441-G441)&lt;='Assumptions and Catalog'!$C$60,((D441+E441)*C441-G441)*'Assumptions and Catalog'!$H$60+'Assumptions and Catalog'!$E$60+'Assumptions and Catalog'!$F$60,IF(((D441+E441)*C441-G441)&lt;='Assumptions and Catalog'!$C$61,((D441+E441)*C441-G441)*'Assumptions and Catalog'!$H$61+'Assumptions and Catalog'!$E$61+'Assumptions and Catalog'!$F$61,IF(((D441+E441)*C441-G441)&lt;='Assumptions and Catalog'!$C$62,((D441+E441)*C441-G441)*'Assumptions and Catalog'!$H$62+'Assumptions and Catalog'!$E$62+'Assumptions and Catalog'!$F$62,IF(((D441+E441)*C441-G441)&lt;='Assumptions and Catalog'!$C$63,((D441+E441)*C441-G441)*'Assumptions and Catalog'!$H$63+'Assumptions and Catalog'!$E$63+'Assumptions and Catalog'!$F$63,IF(((D441+E441)*C441-G441)&lt;='Assumptions and Catalog'!$C$64,((D441+E441)*C441-G441)*'Assumptions and Catalog'!$H$64+'Assumptions and Catalog'!$E$64+'Assumptions and Catalog'!$F$64,IF(((D441+E441)*C441-G441)&lt;='Assumptions and Catalog'!$C$65,((D441+E441)*C441-G441)*'Assumptions and Catalog'!$H$65+'Assumptions and Catalog'!$E$65+'Assumptions and Catalog'!$F$65,"Out of range")))))))))*(1+'Assumptions and Catalog'!$C$8)^(A441-1),0)</f>
        <v>8554.9666666666672</v>
      </c>
      <c r="R441" s="5">
        <f>IF(AND('Assumptions and Catalog'!$C$19&gt;0,A441&gt;='Assumptions and Catalog'!$C$19),A441-'Assumptions and Catalog'!$C$19,A441-1)</f>
        <v>2</v>
      </c>
      <c r="S441" s="5">
        <f>F441+L441-(D441+E441)*C441-J441-K441-IF(D$52&gt;0,'Assumptions and Catalog'!$C$26*C441,0)</f>
        <v>0</v>
      </c>
      <c r="T441" s="5"/>
      <c r="U441" s="5"/>
    </row>
    <row r="442" spans="1:21" ht="23.1" customHeight="1" outlineLevel="1" x14ac:dyDescent="0.2">
      <c r="A442" s="5">
        <v>3</v>
      </c>
      <c r="B442" s="5">
        <v>8</v>
      </c>
      <c r="C442" s="5">
        <f>DAY(DATE('Assumptions and Catalog'!$C$24+A442-1,B442+1,0))</f>
        <v>31</v>
      </c>
      <c r="D442" s="5">
        <f>IF(ISNUMBER(Inputs!$L$5),Inputs!$L$5*Inputs!$L$6,0)</f>
        <v>40.35</v>
      </c>
      <c r="E442" s="5">
        <f>IF(ISNUMBER(Inputs!$L$5),Inputs!$L$5-D442,0)</f>
        <v>40.35</v>
      </c>
      <c r="F442" s="5">
        <f>D$51*'Assumptions and Catalog'!$C$31*C442*(1-'Assumptions and Catalog'!$C$10)^(A442-1)</f>
        <v>0</v>
      </c>
      <c r="G442" s="5">
        <f t="shared" si="32"/>
        <v>0</v>
      </c>
      <c r="H442" s="5">
        <f>I442/('Assumptions and Catalog'!$C$11*'Assumptions and Catalog'!$C$12)</f>
        <v>0</v>
      </c>
      <c r="I442" s="5">
        <f>IF(K$15="Grid cycle",MIN(K$16,D442+E442,P442*'Assumptions and Catalog'!$C$12,D$57*(24-'Assumptions and Catalog'!$C$15),D$56*'Assumptions and Catalog'!$C$15*'Assumptions and Catalog'!$C$11*'Assumptions and Catalog'!$C$12)*C442,0)</f>
        <v>0</v>
      </c>
      <c r="J442" s="5">
        <f t="shared" si="33"/>
        <v>0</v>
      </c>
      <c r="K442" s="5">
        <f t="shared" si="34"/>
        <v>0</v>
      </c>
      <c r="L442" s="5">
        <f>(D442+E442)*C442-G442-I442+H442+IF(D$52&gt;0,'Assumptions and Catalog'!$C$26*C442,0)</f>
        <v>2501.7000000000003</v>
      </c>
      <c r="M442" s="5">
        <f>IF(ISNUMBER(Inputs!$L$5),(IF(Inputs!$L$9="Actual flat rate",((D442+E442)*C442)*Inputs!$L$10,IF(Inputs!$C$9="Residential",IF(((D442+E442)*C442)&lt;='Assumptions and Catalog'!$C$50,((D442+E442)*C442)*'Assumptions and Catalog'!$H$50+'Assumptions and Catalog'!$E$50+'Assumptions and Catalog'!$F$50,IF(((D442+E442)*C442)&lt;='Assumptions and Catalog'!$C$51,((D442+E442)*C442)*'Assumptions and Catalog'!$H$51+'Assumptions and Catalog'!$E$51+'Assumptions and Catalog'!$F$51,IF(((D442+E442)*C442)&lt;='Assumptions and Catalog'!$C$52,((D442+E442)*C442)*'Assumptions and Catalog'!$H$52+'Assumptions and Catalog'!$E$52+'Assumptions and Catalog'!$F$52,IF(((D442+E442)*C442)&lt;='Assumptions and Catalog'!$C$53,((D442+E442)*C442)*'Assumptions and Catalog'!$H$53+'Assumptions and Catalog'!$E$53+'Assumptions and Catalog'!$F$53,IF(((D442+E442)*C442)&lt;='Assumptions and Catalog'!$C$54,((D442+E442)*C442)*'Assumptions and Catalog'!$H$54+'Assumptions and Catalog'!$E$54+'Assumptions and Catalog'!$F$54,IF(((D442+E442)*C442)&lt;='Assumptions and Catalog'!$C$55,((D442+E442)*C442)*'Assumptions and Catalog'!$H$55+'Assumptions and Catalog'!$E$55+'Assumptions and Catalog'!$F$55,IF(((D442+E442)*C442)&lt;='Assumptions and Catalog'!$C$56,((D442+E442)*C442)*'Assumptions and Catalog'!$H$56+'Assumptions and Catalog'!$E$56+'Assumptions and Catalog'!$F$56,IF(((D442+E442)*C442)&lt;='Assumptions and Catalog'!$C$57,((D442+E442)*C442)*'Assumptions and Catalog'!$H$57+'Assumptions and Catalog'!$E$57+'Assumptions and Catalog'!$F$57,"Out of range")))))))),IF(((D442+E442)*C442)&lt;='Assumptions and Catalog'!$C$60,((D442+E442)*C442)*'Assumptions and Catalog'!$H$60+'Assumptions and Catalog'!$E$60+'Assumptions and Catalog'!$F$60,IF(((D442+E442)*C442)&lt;='Assumptions and Catalog'!$C$61,((D442+E442)*C442)*'Assumptions and Catalog'!$H$61+'Assumptions and Catalog'!$E$61+'Assumptions and Catalog'!$F$61,IF(((D442+E442)*C442)&lt;='Assumptions and Catalog'!$C$62,((D442+E442)*C442)*'Assumptions and Catalog'!$H$62+'Assumptions and Catalog'!$E$62+'Assumptions and Catalog'!$F$62,IF(((D442+E442)*C442)&lt;='Assumptions and Catalog'!$C$63,((D442+E442)*C442)*'Assumptions and Catalog'!$H$63+'Assumptions and Catalog'!$E$63+'Assumptions and Catalog'!$F$63,IF(((D442+E442)*C442)&lt;='Assumptions and Catalog'!$C$64,((D442+E442)*C442)*'Assumptions and Catalog'!$H$64+'Assumptions and Catalog'!$E$64+'Assumptions and Catalog'!$F$64,IF(((D442+E442)*C442)&lt;='Assumptions and Catalog'!$C$65,((D442+E442)*C442)*'Assumptions and Catalog'!$H$65+'Assumptions and Catalog'!$E$65+'Assumptions and Catalog'!$F$65,"Out of range")))))))))*(1+'Assumptions and Catalog'!$C$8)^(A442-1),0)</f>
        <v>8554.9666666666672</v>
      </c>
      <c r="N442" s="5">
        <f>IF(ISNUMBER(Inputs!$L$5),(IF(Inputs!$L$9="Actual flat rate",L442*Inputs!$L$10,IF(Inputs!$C$9="Residential",IF(L442&lt;='Assumptions and Catalog'!$C$50,L442*'Assumptions and Catalog'!$H$50+'Assumptions and Catalog'!$E$50+'Assumptions and Catalog'!$F$50,IF(L442&lt;='Assumptions and Catalog'!$C$51,L442*'Assumptions and Catalog'!$H$51+'Assumptions and Catalog'!$E$51+'Assumptions and Catalog'!$F$51,IF(L442&lt;='Assumptions and Catalog'!$C$52,L442*'Assumptions and Catalog'!$H$52+'Assumptions and Catalog'!$E$52+'Assumptions and Catalog'!$F$52,IF(L442&lt;='Assumptions and Catalog'!$C$53,L442*'Assumptions and Catalog'!$H$53+'Assumptions and Catalog'!$E$53+'Assumptions and Catalog'!$F$53,IF(L442&lt;='Assumptions and Catalog'!$C$54,L442*'Assumptions and Catalog'!$H$54+'Assumptions and Catalog'!$E$54+'Assumptions and Catalog'!$F$54,IF(L442&lt;='Assumptions and Catalog'!$C$55,L442*'Assumptions and Catalog'!$H$55+'Assumptions and Catalog'!$E$55+'Assumptions and Catalog'!$F$55,IF(L442&lt;='Assumptions and Catalog'!$C$56,L442*'Assumptions and Catalog'!$H$56+'Assumptions and Catalog'!$E$56+'Assumptions and Catalog'!$F$56,IF(L442&lt;='Assumptions and Catalog'!$C$57,L442*'Assumptions and Catalog'!$H$57+'Assumptions and Catalog'!$E$57+'Assumptions and Catalog'!$F$57,"Out of range")))))))),IF(L442&lt;='Assumptions and Catalog'!$C$60,L442*'Assumptions and Catalog'!$H$60+'Assumptions and Catalog'!$E$60+'Assumptions and Catalog'!$F$60,IF(L442&lt;='Assumptions and Catalog'!$C$61,L442*'Assumptions and Catalog'!$H$61+'Assumptions and Catalog'!$E$61+'Assumptions and Catalog'!$F$61,IF(L442&lt;='Assumptions and Catalog'!$C$62,L442*'Assumptions and Catalog'!$H$62+'Assumptions and Catalog'!$E$62+'Assumptions and Catalog'!$F$62,IF(L442&lt;='Assumptions and Catalog'!$C$63,L442*'Assumptions and Catalog'!$H$63+'Assumptions and Catalog'!$E$63+'Assumptions and Catalog'!$F$63,IF(L442&lt;='Assumptions and Catalog'!$C$64,L442*'Assumptions and Catalog'!$H$64+'Assumptions and Catalog'!$E$64+'Assumptions and Catalog'!$F$64,IF(L442&lt;='Assumptions and Catalog'!$C$65,L442*'Assumptions and Catalog'!$H$65+'Assumptions and Catalog'!$E$65+'Assumptions and Catalog'!$F$65,"Out of range")))))))))*(1+'Assumptions and Catalog'!$C$8)^(A442-1),0)</f>
        <v>8554.9666666666672</v>
      </c>
      <c r="O442" s="5">
        <f t="shared" si="35"/>
        <v>0</v>
      </c>
      <c r="P442" s="5">
        <f>D$55*(1-K$14)*(1-'Assumptions and Catalog'!$C$23)^R442</f>
        <v>0</v>
      </c>
      <c r="Q442" s="5">
        <f>IF(ISNUMBER(Inputs!$L$5),(IF(Inputs!$L$9="Actual flat rate",((D442+E442)*C442-G442)*Inputs!$L$10,IF(Inputs!$C$9="Residential",IF(((D442+E442)*C442-G442)&lt;='Assumptions and Catalog'!$C$50,((D442+E442)*C442-G442)*'Assumptions and Catalog'!$H$50+'Assumptions and Catalog'!$E$50+'Assumptions and Catalog'!$F$50,IF(((D442+E442)*C442-G442)&lt;='Assumptions and Catalog'!$C$51,((D442+E442)*C442-G442)*'Assumptions and Catalog'!$H$51+'Assumptions and Catalog'!$E$51+'Assumptions and Catalog'!$F$51,IF(((D442+E442)*C442-G442)&lt;='Assumptions and Catalog'!$C$52,((D442+E442)*C442-G442)*'Assumptions and Catalog'!$H$52+'Assumptions and Catalog'!$E$52+'Assumptions and Catalog'!$F$52,IF(((D442+E442)*C442-G442)&lt;='Assumptions and Catalog'!$C$53,((D442+E442)*C442-G442)*'Assumptions and Catalog'!$H$53+'Assumptions and Catalog'!$E$53+'Assumptions and Catalog'!$F$53,IF(((D442+E442)*C442-G442)&lt;='Assumptions and Catalog'!$C$54,((D442+E442)*C442-G442)*'Assumptions and Catalog'!$H$54+'Assumptions and Catalog'!$E$54+'Assumptions and Catalog'!$F$54,IF(((D442+E442)*C442-G442)&lt;='Assumptions and Catalog'!$C$55,((D442+E442)*C442-G442)*'Assumptions and Catalog'!$H$55+'Assumptions and Catalog'!$E$55+'Assumptions and Catalog'!$F$55,IF(((D442+E442)*C442-G442)&lt;='Assumptions and Catalog'!$C$56,((D442+E442)*C442-G442)*'Assumptions and Catalog'!$H$56+'Assumptions and Catalog'!$E$56+'Assumptions and Catalog'!$F$56,IF(((D442+E442)*C442-G442)&lt;='Assumptions and Catalog'!$C$57,((D442+E442)*C442-G442)*'Assumptions and Catalog'!$H$57+'Assumptions and Catalog'!$E$57+'Assumptions and Catalog'!$F$57,"Out of range")))))))),IF(((D442+E442)*C442-G442)&lt;='Assumptions and Catalog'!$C$60,((D442+E442)*C442-G442)*'Assumptions and Catalog'!$H$60+'Assumptions and Catalog'!$E$60+'Assumptions and Catalog'!$F$60,IF(((D442+E442)*C442-G442)&lt;='Assumptions and Catalog'!$C$61,((D442+E442)*C442-G442)*'Assumptions and Catalog'!$H$61+'Assumptions and Catalog'!$E$61+'Assumptions and Catalog'!$F$61,IF(((D442+E442)*C442-G442)&lt;='Assumptions and Catalog'!$C$62,((D442+E442)*C442-G442)*'Assumptions and Catalog'!$H$62+'Assumptions and Catalog'!$E$62+'Assumptions and Catalog'!$F$62,IF(((D442+E442)*C442-G442)&lt;='Assumptions and Catalog'!$C$63,((D442+E442)*C442-G442)*'Assumptions and Catalog'!$H$63+'Assumptions and Catalog'!$E$63+'Assumptions and Catalog'!$F$63,IF(((D442+E442)*C442-G442)&lt;='Assumptions and Catalog'!$C$64,((D442+E442)*C442-G442)*'Assumptions and Catalog'!$H$64+'Assumptions and Catalog'!$E$64+'Assumptions and Catalog'!$F$64,IF(((D442+E442)*C442-G442)&lt;='Assumptions and Catalog'!$C$65,((D442+E442)*C442-G442)*'Assumptions and Catalog'!$H$65+'Assumptions and Catalog'!$E$65+'Assumptions and Catalog'!$F$65,"Out of range")))))))))*(1+'Assumptions and Catalog'!$C$8)^(A442-1),0)</f>
        <v>8554.9666666666672</v>
      </c>
      <c r="R442" s="5">
        <f>IF(AND('Assumptions and Catalog'!$C$19&gt;0,A442&gt;='Assumptions and Catalog'!$C$19),A442-'Assumptions and Catalog'!$C$19,A442-1)</f>
        <v>2</v>
      </c>
      <c r="S442" s="5">
        <f>F442+L442-(D442+E442)*C442-J442-K442-IF(D$52&gt;0,'Assumptions and Catalog'!$C$26*C442,0)</f>
        <v>0</v>
      </c>
      <c r="T442" s="5"/>
      <c r="U442" s="5"/>
    </row>
    <row r="443" spans="1:21" ht="23.1" customHeight="1" outlineLevel="1" x14ac:dyDescent="0.2">
      <c r="A443" s="5">
        <v>3</v>
      </c>
      <c r="B443" s="5">
        <v>9</v>
      </c>
      <c r="C443" s="5">
        <f>DAY(DATE('Assumptions and Catalog'!$C$24+A443-1,B443+1,0))</f>
        <v>30</v>
      </c>
      <c r="D443" s="5">
        <f>IF(ISNUMBER(Inputs!$L$5),Inputs!$L$5*Inputs!$L$6,0)</f>
        <v>40.35</v>
      </c>
      <c r="E443" s="5">
        <f>IF(ISNUMBER(Inputs!$L$5),Inputs!$L$5-D443,0)</f>
        <v>40.35</v>
      </c>
      <c r="F443" s="5">
        <f>D$51*'Assumptions and Catalog'!$C$31*C443*(1-'Assumptions and Catalog'!$C$10)^(A443-1)</f>
        <v>0</v>
      </c>
      <c r="G443" s="5">
        <f t="shared" si="32"/>
        <v>0</v>
      </c>
      <c r="H443" s="5">
        <f>I443/('Assumptions and Catalog'!$C$11*'Assumptions and Catalog'!$C$12)</f>
        <v>0</v>
      </c>
      <c r="I443" s="5">
        <f>IF(K$15="Grid cycle",MIN(K$16,D443+E443,P443*'Assumptions and Catalog'!$C$12,D$57*(24-'Assumptions and Catalog'!$C$15),D$56*'Assumptions and Catalog'!$C$15*'Assumptions and Catalog'!$C$11*'Assumptions and Catalog'!$C$12)*C443,0)</f>
        <v>0</v>
      </c>
      <c r="J443" s="5">
        <f t="shared" si="33"/>
        <v>0</v>
      </c>
      <c r="K443" s="5">
        <f t="shared" si="34"/>
        <v>0</v>
      </c>
      <c r="L443" s="5">
        <f>(D443+E443)*C443-G443-I443+H443+IF(D$52&gt;0,'Assumptions and Catalog'!$C$26*C443,0)</f>
        <v>2421</v>
      </c>
      <c r="M443" s="5">
        <f>IF(ISNUMBER(Inputs!$L$5),(IF(Inputs!$L$9="Actual flat rate",((D443+E443)*C443)*Inputs!$L$10,IF(Inputs!$C$9="Residential",IF(((D443+E443)*C443)&lt;='Assumptions and Catalog'!$C$50,((D443+E443)*C443)*'Assumptions and Catalog'!$H$50+'Assumptions and Catalog'!$E$50+'Assumptions and Catalog'!$F$50,IF(((D443+E443)*C443)&lt;='Assumptions and Catalog'!$C$51,((D443+E443)*C443)*'Assumptions and Catalog'!$H$51+'Assumptions and Catalog'!$E$51+'Assumptions and Catalog'!$F$51,IF(((D443+E443)*C443)&lt;='Assumptions and Catalog'!$C$52,((D443+E443)*C443)*'Assumptions and Catalog'!$H$52+'Assumptions and Catalog'!$E$52+'Assumptions and Catalog'!$F$52,IF(((D443+E443)*C443)&lt;='Assumptions and Catalog'!$C$53,((D443+E443)*C443)*'Assumptions and Catalog'!$H$53+'Assumptions and Catalog'!$E$53+'Assumptions and Catalog'!$F$53,IF(((D443+E443)*C443)&lt;='Assumptions and Catalog'!$C$54,((D443+E443)*C443)*'Assumptions and Catalog'!$H$54+'Assumptions and Catalog'!$E$54+'Assumptions and Catalog'!$F$54,IF(((D443+E443)*C443)&lt;='Assumptions and Catalog'!$C$55,((D443+E443)*C443)*'Assumptions and Catalog'!$H$55+'Assumptions and Catalog'!$E$55+'Assumptions and Catalog'!$F$55,IF(((D443+E443)*C443)&lt;='Assumptions and Catalog'!$C$56,((D443+E443)*C443)*'Assumptions and Catalog'!$H$56+'Assumptions and Catalog'!$E$56+'Assumptions and Catalog'!$F$56,IF(((D443+E443)*C443)&lt;='Assumptions and Catalog'!$C$57,((D443+E443)*C443)*'Assumptions and Catalog'!$H$57+'Assumptions and Catalog'!$E$57+'Assumptions and Catalog'!$F$57,"Out of range")))))))),IF(((D443+E443)*C443)&lt;='Assumptions and Catalog'!$C$60,((D443+E443)*C443)*'Assumptions and Catalog'!$H$60+'Assumptions and Catalog'!$E$60+'Assumptions and Catalog'!$F$60,IF(((D443+E443)*C443)&lt;='Assumptions and Catalog'!$C$61,((D443+E443)*C443)*'Assumptions and Catalog'!$H$61+'Assumptions and Catalog'!$E$61+'Assumptions and Catalog'!$F$61,IF(((D443+E443)*C443)&lt;='Assumptions and Catalog'!$C$62,((D443+E443)*C443)*'Assumptions and Catalog'!$H$62+'Assumptions and Catalog'!$E$62+'Assumptions and Catalog'!$F$62,IF(((D443+E443)*C443)&lt;='Assumptions and Catalog'!$C$63,((D443+E443)*C443)*'Assumptions and Catalog'!$H$63+'Assumptions and Catalog'!$E$63+'Assumptions and Catalog'!$F$63,IF(((D443+E443)*C443)&lt;='Assumptions and Catalog'!$C$64,((D443+E443)*C443)*'Assumptions and Catalog'!$H$64+'Assumptions and Catalog'!$E$64+'Assumptions and Catalog'!$F$64,IF(((D443+E443)*C443)&lt;='Assumptions and Catalog'!$C$65,((D443+E443)*C443)*'Assumptions and Catalog'!$H$65+'Assumptions and Catalog'!$E$65+'Assumptions and Catalog'!$F$65,"Out of range")))))))))*(1+'Assumptions and Catalog'!$C$8)^(A443-1),0)</f>
        <v>8279</v>
      </c>
      <c r="N443" s="5">
        <f>IF(ISNUMBER(Inputs!$L$5),(IF(Inputs!$L$9="Actual flat rate",L443*Inputs!$L$10,IF(Inputs!$C$9="Residential",IF(L443&lt;='Assumptions and Catalog'!$C$50,L443*'Assumptions and Catalog'!$H$50+'Assumptions and Catalog'!$E$50+'Assumptions and Catalog'!$F$50,IF(L443&lt;='Assumptions and Catalog'!$C$51,L443*'Assumptions and Catalog'!$H$51+'Assumptions and Catalog'!$E$51+'Assumptions and Catalog'!$F$51,IF(L443&lt;='Assumptions and Catalog'!$C$52,L443*'Assumptions and Catalog'!$H$52+'Assumptions and Catalog'!$E$52+'Assumptions and Catalog'!$F$52,IF(L443&lt;='Assumptions and Catalog'!$C$53,L443*'Assumptions and Catalog'!$H$53+'Assumptions and Catalog'!$E$53+'Assumptions and Catalog'!$F$53,IF(L443&lt;='Assumptions and Catalog'!$C$54,L443*'Assumptions and Catalog'!$H$54+'Assumptions and Catalog'!$E$54+'Assumptions and Catalog'!$F$54,IF(L443&lt;='Assumptions and Catalog'!$C$55,L443*'Assumptions and Catalog'!$H$55+'Assumptions and Catalog'!$E$55+'Assumptions and Catalog'!$F$55,IF(L443&lt;='Assumptions and Catalog'!$C$56,L443*'Assumptions and Catalog'!$H$56+'Assumptions and Catalog'!$E$56+'Assumptions and Catalog'!$F$56,IF(L443&lt;='Assumptions and Catalog'!$C$57,L443*'Assumptions and Catalog'!$H$57+'Assumptions and Catalog'!$E$57+'Assumptions and Catalog'!$F$57,"Out of range")))))))),IF(L443&lt;='Assumptions and Catalog'!$C$60,L443*'Assumptions and Catalog'!$H$60+'Assumptions and Catalog'!$E$60+'Assumptions and Catalog'!$F$60,IF(L443&lt;='Assumptions and Catalog'!$C$61,L443*'Assumptions and Catalog'!$H$61+'Assumptions and Catalog'!$E$61+'Assumptions and Catalog'!$F$61,IF(L443&lt;='Assumptions and Catalog'!$C$62,L443*'Assumptions and Catalog'!$H$62+'Assumptions and Catalog'!$E$62+'Assumptions and Catalog'!$F$62,IF(L443&lt;='Assumptions and Catalog'!$C$63,L443*'Assumptions and Catalog'!$H$63+'Assumptions and Catalog'!$E$63+'Assumptions and Catalog'!$F$63,IF(L443&lt;='Assumptions and Catalog'!$C$64,L443*'Assumptions and Catalog'!$H$64+'Assumptions and Catalog'!$E$64+'Assumptions and Catalog'!$F$64,IF(L443&lt;='Assumptions and Catalog'!$C$65,L443*'Assumptions and Catalog'!$H$65+'Assumptions and Catalog'!$E$65+'Assumptions and Catalog'!$F$65,"Out of range")))))))))*(1+'Assumptions and Catalog'!$C$8)^(A443-1),0)</f>
        <v>8279</v>
      </c>
      <c r="O443" s="5">
        <f t="shared" si="35"/>
        <v>0</v>
      </c>
      <c r="P443" s="5">
        <f>D$55*(1-K$14)*(1-'Assumptions and Catalog'!$C$23)^R443</f>
        <v>0</v>
      </c>
      <c r="Q443" s="5">
        <f>IF(ISNUMBER(Inputs!$L$5),(IF(Inputs!$L$9="Actual flat rate",((D443+E443)*C443-G443)*Inputs!$L$10,IF(Inputs!$C$9="Residential",IF(((D443+E443)*C443-G443)&lt;='Assumptions and Catalog'!$C$50,((D443+E443)*C443-G443)*'Assumptions and Catalog'!$H$50+'Assumptions and Catalog'!$E$50+'Assumptions and Catalog'!$F$50,IF(((D443+E443)*C443-G443)&lt;='Assumptions and Catalog'!$C$51,((D443+E443)*C443-G443)*'Assumptions and Catalog'!$H$51+'Assumptions and Catalog'!$E$51+'Assumptions and Catalog'!$F$51,IF(((D443+E443)*C443-G443)&lt;='Assumptions and Catalog'!$C$52,((D443+E443)*C443-G443)*'Assumptions and Catalog'!$H$52+'Assumptions and Catalog'!$E$52+'Assumptions and Catalog'!$F$52,IF(((D443+E443)*C443-G443)&lt;='Assumptions and Catalog'!$C$53,((D443+E443)*C443-G443)*'Assumptions and Catalog'!$H$53+'Assumptions and Catalog'!$E$53+'Assumptions and Catalog'!$F$53,IF(((D443+E443)*C443-G443)&lt;='Assumptions and Catalog'!$C$54,((D443+E443)*C443-G443)*'Assumptions and Catalog'!$H$54+'Assumptions and Catalog'!$E$54+'Assumptions and Catalog'!$F$54,IF(((D443+E443)*C443-G443)&lt;='Assumptions and Catalog'!$C$55,((D443+E443)*C443-G443)*'Assumptions and Catalog'!$H$55+'Assumptions and Catalog'!$E$55+'Assumptions and Catalog'!$F$55,IF(((D443+E443)*C443-G443)&lt;='Assumptions and Catalog'!$C$56,((D443+E443)*C443-G443)*'Assumptions and Catalog'!$H$56+'Assumptions and Catalog'!$E$56+'Assumptions and Catalog'!$F$56,IF(((D443+E443)*C443-G443)&lt;='Assumptions and Catalog'!$C$57,((D443+E443)*C443-G443)*'Assumptions and Catalog'!$H$57+'Assumptions and Catalog'!$E$57+'Assumptions and Catalog'!$F$57,"Out of range")))))))),IF(((D443+E443)*C443-G443)&lt;='Assumptions and Catalog'!$C$60,((D443+E443)*C443-G443)*'Assumptions and Catalog'!$H$60+'Assumptions and Catalog'!$E$60+'Assumptions and Catalog'!$F$60,IF(((D443+E443)*C443-G443)&lt;='Assumptions and Catalog'!$C$61,((D443+E443)*C443-G443)*'Assumptions and Catalog'!$H$61+'Assumptions and Catalog'!$E$61+'Assumptions and Catalog'!$F$61,IF(((D443+E443)*C443-G443)&lt;='Assumptions and Catalog'!$C$62,((D443+E443)*C443-G443)*'Assumptions and Catalog'!$H$62+'Assumptions and Catalog'!$E$62+'Assumptions and Catalog'!$F$62,IF(((D443+E443)*C443-G443)&lt;='Assumptions and Catalog'!$C$63,((D443+E443)*C443-G443)*'Assumptions and Catalog'!$H$63+'Assumptions and Catalog'!$E$63+'Assumptions and Catalog'!$F$63,IF(((D443+E443)*C443-G443)&lt;='Assumptions and Catalog'!$C$64,((D443+E443)*C443-G443)*'Assumptions and Catalog'!$H$64+'Assumptions and Catalog'!$E$64+'Assumptions and Catalog'!$F$64,IF(((D443+E443)*C443-G443)&lt;='Assumptions and Catalog'!$C$65,((D443+E443)*C443-G443)*'Assumptions and Catalog'!$H$65+'Assumptions and Catalog'!$E$65+'Assumptions and Catalog'!$F$65,"Out of range")))))))))*(1+'Assumptions and Catalog'!$C$8)^(A443-1),0)</f>
        <v>8279</v>
      </c>
      <c r="R443" s="5">
        <f>IF(AND('Assumptions and Catalog'!$C$19&gt;0,A443&gt;='Assumptions and Catalog'!$C$19),A443-'Assumptions and Catalog'!$C$19,A443-1)</f>
        <v>2</v>
      </c>
      <c r="S443" s="5">
        <f>F443+L443-(D443+E443)*C443-J443-K443-IF(D$52&gt;0,'Assumptions and Catalog'!$C$26*C443,0)</f>
        <v>0</v>
      </c>
      <c r="T443" s="5"/>
      <c r="U443" s="5"/>
    </row>
    <row r="444" spans="1:21" ht="23.1" customHeight="1" outlineLevel="1" x14ac:dyDescent="0.2">
      <c r="A444" s="5">
        <v>3</v>
      </c>
      <c r="B444" s="5">
        <v>10</v>
      </c>
      <c r="C444" s="5">
        <f>DAY(DATE('Assumptions and Catalog'!$C$24+A444-1,B444+1,0))</f>
        <v>31</v>
      </c>
      <c r="D444" s="5">
        <f>IF(ISNUMBER(Inputs!$L$5),Inputs!$L$5*Inputs!$L$6,0)</f>
        <v>40.35</v>
      </c>
      <c r="E444" s="5">
        <f>IF(ISNUMBER(Inputs!$L$5),Inputs!$L$5-D444,0)</f>
        <v>40.35</v>
      </c>
      <c r="F444" s="5">
        <f>D$51*'Assumptions and Catalog'!$C$31*C444*(1-'Assumptions and Catalog'!$C$10)^(A444-1)</f>
        <v>0</v>
      </c>
      <c r="G444" s="5">
        <f t="shared" si="32"/>
        <v>0</v>
      </c>
      <c r="H444" s="5">
        <f>I444/('Assumptions and Catalog'!$C$11*'Assumptions and Catalog'!$C$12)</f>
        <v>0</v>
      </c>
      <c r="I444" s="5">
        <f>IF(K$15="Grid cycle",MIN(K$16,D444+E444,P444*'Assumptions and Catalog'!$C$12,D$57*(24-'Assumptions and Catalog'!$C$15),D$56*'Assumptions and Catalog'!$C$15*'Assumptions and Catalog'!$C$11*'Assumptions and Catalog'!$C$12)*C444,0)</f>
        <v>0</v>
      </c>
      <c r="J444" s="5">
        <f t="shared" si="33"/>
        <v>0</v>
      </c>
      <c r="K444" s="5">
        <f t="shared" si="34"/>
        <v>0</v>
      </c>
      <c r="L444" s="5">
        <f>(D444+E444)*C444-G444-I444+H444+IF(D$52&gt;0,'Assumptions and Catalog'!$C$26*C444,0)</f>
        <v>2501.7000000000003</v>
      </c>
      <c r="M444" s="5">
        <f>IF(ISNUMBER(Inputs!$L$5),(IF(Inputs!$L$9="Actual flat rate",((D444+E444)*C444)*Inputs!$L$10,IF(Inputs!$C$9="Residential",IF(((D444+E444)*C444)&lt;='Assumptions and Catalog'!$C$50,((D444+E444)*C444)*'Assumptions and Catalog'!$H$50+'Assumptions and Catalog'!$E$50+'Assumptions and Catalog'!$F$50,IF(((D444+E444)*C444)&lt;='Assumptions and Catalog'!$C$51,((D444+E444)*C444)*'Assumptions and Catalog'!$H$51+'Assumptions and Catalog'!$E$51+'Assumptions and Catalog'!$F$51,IF(((D444+E444)*C444)&lt;='Assumptions and Catalog'!$C$52,((D444+E444)*C444)*'Assumptions and Catalog'!$H$52+'Assumptions and Catalog'!$E$52+'Assumptions and Catalog'!$F$52,IF(((D444+E444)*C444)&lt;='Assumptions and Catalog'!$C$53,((D444+E444)*C444)*'Assumptions and Catalog'!$H$53+'Assumptions and Catalog'!$E$53+'Assumptions and Catalog'!$F$53,IF(((D444+E444)*C444)&lt;='Assumptions and Catalog'!$C$54,((D444+E444)*C444)*'Assumptions and Catalog'!$H$54+'Assumptions and Catalog'!$E$54+'Assumptions and Catalog'!$F$54,IF(((D444+E444)*C444)&lt;='Assumptions and Catalog'!$C$55,((D444+E444)*C444)*'Assumptions and Catalog'!$H$55+'Assumptions and Catalog'!$E$55+'Assumptions and Catalog'!$F$55,IF(((D444+E444)*C444)&lt;='Assumptions and Catalog'!$C$56,((D444+E444)*C444)*'Assumptions and Catalog'!$H$56+'Assumptions and Catalog'!$E$56+'Assumptions and Catalog'!$F$56,IF(((D444+E444)*C444)&lt;='Assumptions and Catalog'!$C$57,((D444+E444)*C444)*'Assumptions and Catalog'!$H$57+'Assumptions and Catalog'!$E$57+'Assumptions and Catalog'!$F$57,"Out of range")))))))),IF(((D444+E444)*C444)&lt;='Assumptions and Catalog'!$C$60,((D444+E444)*C444)*'Assumptions and Catalog'!$H$60+'Assumptions and Catalog'!$E$60+'Assumptions and Catalog'!$F$60,IF(((D444+E444)*C444)&lt;='Assumptions and Catalog'!$C$61,((D444+E444)*C444)*'Assumptions and Catalog'!$H$61+'Assumptions and Catalog'!$E$61+'Assumptions and Catalog'!$F$61,IF(((D444+E444)*C444)&lt;='Assumptions and Catalog'!$C$62,((D444+E444)*C444)*'Assumptions and Catalog'!$H$62+'Assumptions and Catalog'!$E$62+'Assumptions and Catalog'!$F$62,IF(((D444+E444)*C444)&lt;='Assumptions and Catalog'!$C$63,((D444+E444)*C444)*'Assumptions and Catalog'!$H$63+'Assumptions and Catalog'!$E$63+'Assumptions and Catalog'!$F$63,IF(((D444+E444)*C444)&lt;='Assumptions and Catalog'!$C$64,((D444+E444)*C444)*'Assumptions and Catalog'!$H$64+'Assumptions and Catalog'!$E$64+'Assumptions and Catalog'!$F$64,IF(((D444+E444)*C444)&lt;='Assumptions and Catalog'!$C$65,((D444+E444)*C444)*'Assumptions and Catalog'!$H$65+'Assumptions and Catalog'!$E$65+'Assumptions and Catalog'!$F$65,"Out of range")))))))))*(1+'Assumptions and Catalog'!$C$8)^(A444-1),0)</f>
        <v>8554.9666666666672</v>
      </c>
      <c r="N444" s="5">
        <f>IF(ISNUMBER(Inputs!$L$5),(IF(Inputs!$L$9="Actual flat rate",L444*Inputs!$L$10,IF(Inputs!$C$9="Residential",IF(L444&lt;='Assumptions and Catalog'!$C$50,L444*'Assumptions and Catalog'!$H$50+'Assumptions and Catalog'!$E$50+'Assumptions and Catalog'!$F$50,IF(L444&lt;='Assumptions and Catalog'!$C$51,L444*'Assumptions and Catalog'!$H$51+'Assumptions and Catalog'!$E$51+'Assumptions and Catalog'!$F$51,IF(L444&lt;='Assumptions and Catalog'!$C$52,L444*'Assumptions and Catalog'!$H$52+'Assumptions and Catalog'!$E$52+'Assumptions and Catalog'!$F$52,IF(L444&lt;='Assumptions and Catalog'!$C$53,L444*'Assumptions and Catalog'!$H$53+'Assumptions and Catalog'!$E$53+'Assumptions and Catalog'!$F$53,IF(L444&lt;='Assumptions and Catalog'!$C$54,L444*'Assumptions and Catalog'!$H$54+'Assumptions and Catalog'!$E$54+'Assumptions and Catalog'!$F$54,IF(L444&lt;='Assumptions and Catalog'!$C$55,L444*'Assumptions and Catalog'!$H$55+'Assumptions and Catalog'!$E$55+'Assumptions and Catalog'!$F$55,IF(L444&lt;='Assumptions and Catalog'!$C$56,L444*'Assumptions and Catalog'!$H$56+'Assumptions and Catalog'!$E$56+'Assumptions and Catalog'!$F$56,IF(L444&lt;='Assumptions and Catalog'!$C$57,L444*'Assumptions and Catalog'!$H$57+'Assumptions and Catalog'!$E$57+'Assumptions and Catalog'!$F$57,"Out of range")))))))),IF(L444&lt;='Assumptions and Catalog'!$C$60,L444*'Assumptions and Catalog'!$H$60+'Assumptions and Catalog'!$E$60+'Assumptions and Catalog'!$F$60,IF(L444&lt;='Assumptions and Catalog'!$C$61,L444*'Assumptions and Catalog'!$H$61+'Assumptions and Catalog'!$E$61+'Assumptions and Catalog'!$F$61,IF(L444&lt;='Assumptions and Catalog'!$C$62,L444*'Assumptions and Catalog'!$H$62+'Assumptions and Catalog'!$E$62+'Assumptions and Catalog'!$F$62,IF(L444&lt;='Assumptions and Catalog'!$C$63,L444*'Assumptions and Catalog'!$H$63+'Assumptions and Catalog'!$E$63+'Assumptions and Catalog'!$F$63,IF(L444&lt;='Assumptions and Catalog'!$C$64,L444*'Assumptions and Catalog'!$H$64+'Assumptions and Catalog'!$E$64+'Assumptions and Catalog'!$F$64,IF(L444&lt;='Assumptions and Catalog'!$C$65,L444*'Assumptions and Catalog'!$H$65+'Assumptions and Catalog'!$E$65+'Assumptions and Catalog'!$F$65,"Out of range")))))))))*(1+'Assumptions and Catalog'!$C$8)^(A444-1),0)</f>
        <v>8554.9666666666672</v>
      </c>
      <c r="O444" s="5">
        <f t="shared" si="35"/>
        <v>0</v>
      </c>
      <c r="P444" s="5">
        <f>D$55*(1-K$14)*(1-'Assumptions and Catalog'!$C$23)^R444</f>
        <v>0</v>
      </c>
      <c r="Q444" s="5">
        <f>IF(ISNUMBER(Inputs!$L$5),(IF(Inputs!$L$9="Actual flat rate",((D444+E444)*C444-G444)*Inputs!$L$10,IF(Inputs!$C$9="Residential",IF(((D444+E444)*C444-G444)&lt;='Assumptions and Catalog'!$C$50,((D444+E444)*C444-G444)*'Assumptions and Catalog'!$H$50+'Assumptions and Catalog'!$E$50+'Assumptions and Catalog'!$F$50,IF(((D444+E444)*C444-G444)&lt;='Assumptions and Catalog'!$C$51,((D444+E444)*C444-G444)*'Assumptions and Catalog'!$H$51+'Assumptions and Catalog'!$E$51+'Assumptions and Catalog'!$F$51,IF(((D444+E444)*C444-G444)&lt;='Assumptions and Catalog'!$C$52,((D444+E444)*C444-G444)*'Assumptions and Catalog'!$H$52+'Assumptions and Catalog'!$E$52+'Assumptions and Catalog'!$F$52,IF(((D444+E444)*C444-G444)&lt;='Assumptions and Catalog'!$C$53,((D444+E444)*C444-G444)*'Assumptions and Catalog'!$H$53+'Assumptions and Catalog'!$E$53+'Assumptions and Catalog'!$F$53,IF(((D444+E444)*C444-G444)&lt;='Assumptions and Catalog'!$C$54,((D444+E444)*C444-G444)*'Assumptions and Catalog'!$H$54+'Assumptions and Catalog'!$E$54+'Assumptions and Catalog'!$F$54,IF(((D444+E444)*C444-G444)&lt;='Assumptions and Catalog'!$C$55,((D444+E444)*C444-G444)*'Assumptions and Catalog'!$H$55+'Assumptions and Catalog'!$E$55+'Assumptions and Catalog'!$F$55,IF(((D444+E444)*C444-G444)&lt;='Assumptions and Catalog'!$C$56,((D444+E444)*C444-G444)*'Assumptions and Catalog'!$H$56+'Assumptions and Catalog'!$E$56+'Assumptions and Catalog'!$F$56,IF(((D444+E444)*C444-G444)&lt;='Assumptions and Catalog'!$C$57,((D444+E444)*C444-G444)*'Assumptions and Catalog'!$H$57+'Assumptions and Catalog'!$E$57+'Assumptions and Catalog'!$F$57,"Out of range")))))))),IF(((D444+E444)*C444-G444)&lt;='Assumptions and Catalog'!$C$60,((D444+E444)*C444-G444)*'Assumptions and Catalog'!$H$60+'Assumptions and Catalog'!$E$60+'Assumptions and Catalog'!$F$60,IF(((D444+E444)*C444-G444)&lt;='Assumptions and Catalog'!$C$61,((D444+E444)*C444-G444)*'Assumptions and Catalog'!$H$61+'Assumptions and Catalog'!$E$61+'Assumptions and Catalog'!$F$61,IF(((D444+E444)*C444-G444)&lt;='Assumptions and Catalog'!$C$62,((D444+E444)*C444-G444)*'Assumptions and Catalog'!$H$62+'Assumptions and Catalog'!$E$62+'Assumptions and Catalog'!$F$62,IF(((D444+E444)*C444-G444)&lt;='Assumptions and Catalog'!$C$63,((D444+E444)*C444-G444)*'Assumptions and Catalog'!$H$63+'Assumptions and Catalog'!$E$63+'Assumptions and Catalog'!$F$63,IF(((D444+E444)*C444-G444)&lt;='Assumptions and Catalog'!$C$64,((D444+E444)*C444-G444)*'Assumptions and Catalog'!$H$64+'Assumptions and Catalog'!$E$64+'Assumptions and Catalog'!$F$64,IF(((D444+E444)*C444-G444)&lt;='Assumptions and Catalog'!$C$65,((D444+E444)*C444-G444)*'Assumptions and Catalog'!$H$65+'Assumptions and Catalog'!$E$65+'Assumptions and Catalog'!$F$65,"Out of range")))))))))*(1+'Assumptions and Catalog'!$C$8)^(A444-1),0)</f>
        <v>8554.9666666666672</v>
      </c>
      <c r="R444" s="5">
        <f>IF(AND('Assumptions and Catalog'!$C$19&gt;0,A444&gt;='Assumptions and Catalog'!$C$19),A444-'Assumptions and Catalog'!$C$19,A444-1)</f>
        <v>2</v>
      </c>
      <c r="S444" s="5">
        <f>F444+L444-(D444+E444)*C444-J444-K444-IF(D$52&gt;0,'Assumptions and Catalog'!$C$26*C444,0)</f>
        <v>0</v>
      </c>
      <c r="T444" s="5"/>
      <c r="U444" s="5"/>
    </row>
    <row r="445" spans="1:21" ht="23.1" customHeight="1" outlineLevel="1" x14ac:dyDescent="0.2">
      <c r="A445" s="5">
        <v>3</v>
      </c>
      <c r="B445" s="5">
        <v>11</v>
      </c>
      <c r="C445" s="5">
        <f>DAY(DATE('Assumptions and Catalog'!$C$24+A445-1,B445+1,0))</f>
        <v>30</v>
      </c>
      <c r="D445" s="5">
        <f>IF(ISNUMBER(Inputs!$L$5),Inputs!$L$5*Inputs!$L$6,0)</f>
        <v>40.35</v>
      </c>
      <c r="E445" s="5">
        <f>IF(ISNUMBER(Inputs!$L$5),Inputs!$L$5-D445,0)</f>
        <v>40.35</v>
      </c>
      <c r="F445" s="5">
        <f>D$51*'Assumptions and Catalog'!$C$31*C445*(1-'Assumptions and Catalog'!$C$10)^(A445-1)</f>
        <v>0</v>
      </c>
      <c r="G445" s="5">
        <f t="shared" si="32"/>
        <v>0</v>
      </c>
      <c r="H445" s="5">
        <f>I445/('Assumptions and Catalog'!$C$11*'Assumptions and Catalog'!$C$12)</f>
        <v>0</v>
      </c>
      <c r="I445" s="5">
        <f>IF(K$15="Grid cycle",MIN(K$16,D445+E445,P445*'Assumptions and Catalog'!$C$12,D$57*(24-'Assumptions and Catalog'!$C$15),D$56*'Assumptions and Catalog'!$C$15*'Assumptions and Catalog'!$C$11*'Assumptions and Catalog'!$C$12)*C445,0)</f>
        <v>0</v>
      </c>
      <c r="J445" s="5">
        <f t="shared" si="33"/>
        <v>0</v>
      </c>
      <c r="K445" s="5">
        <f t="shared" si="34"/>
        <v>0</v>
      </c>
      <c r="L445" s="5">
        <f>(D445+E445)*C445-G445-I445+H445+IF(D$52&gt;0,'Assumptions and Catalog'!$C$26*C445,0)</f>
        <v>2421</v>
      </c>
      <c r="M445" s="5">
        <f>IF(ISNUMBER(Inputs!$L$5),(IF(Inputs!$L$9="Actual flat rate",((D445+E445)*C445)*Inputs!$L$10,IF(Inputs!$C$9="Residential",IF(((D445+E445)*C445)&lt;='Assumptions and Catalog'!$C$50,((D445+E445)*C445)*'Assumptions and Catalog'!$H$50+'Assumptions and Catalog'!$E$50+'Assumptions and Catalog'!$F$50,IF(((D445+E445)*C445)&lt;='Assumptions and Catalog'!$C$51,((D445+E445)*C445)*'Assumptions and Catalog'!$H$51+'Assumptions and Catalog'!$E$51+'Assumptions and Catalog'!$F$51,IF(((D445+E445)*C445)&lt;='Assumptions and Catalog'!$C$52,((D445+E445)*C445)*'Assumptions and Catalog'!$H$52+'Assumptions and Catalog'!$E$52+'Assumptions and Catalog'!$F$52,IF(((D445+E445)*C445)&lt;='Assumptions and Catalog'!$C$53,((D445+E445)*C445)*'Assumptions and Catalog'!$H$53+'Assumptions and Catalog'!$E$53+'Assumptions and Catalog'!$F$53,IF(((D445+E445)*C445)&lt;='Assumptions and Catalog'!$C$54,((D445+E445)*C445)*'Assumptions and Catalog'!$H$54+'Assumptions and Catalog'!$E$54+'Assumptions and Catalog'!$F$54,IF(((D445+E445)*C445)&lt;='Assumptions and Catalog'!$C$55,((D445+E445)*C445)*'Assumptions and Catalog'!$H$55+'Assumptions and Catalog'!$E$55+'Assumptions and Catalog'!$F$55,IF(((D445+E445)*C445)&lt;='Assumptions and Catalog'!$C$56,((D445+E445)*C445)*'Assumptions and Catalog'!$H$56+'Assumptions and Catalog'!$E$56+'Assumptions and Catalog'!$F$56,IF(((D445+E445)*C445)&lt;='Assumptions and Catalog'!$C$57,((D445+E445)*C445)*'Assumptions and Catalog'!$H$57+'Assumptions and Catalog'!$E$57+'Assumptions and Catalog'!$F$57,"Out of range")))))))),IF(((D445+E445)*C445)&lt;='Assumptions and Catalog'!$C$60,((D445+E445)*C445)*'Assumptions and Catalog'!$H$60+'Assumptions and Catalog'!$E$60+'Assumptions and Catalog'!$F$60,IF(((D445+E445)*C445)&lt;='Assumptions and Catalog'!$C$61,((D445+E445)*C445)*'Assumptions and Catalog'!$H$61+'Assumptions and Catalog'!$E$61+'Assumptions and Catalog'!$F$61,IF(((D445+E445)*C445)&lt;='Assumptions and Catalog'!$C$62,((D445+E445)*C445)*'Assumptions and Catalog'!$H$62+'Assumptions and Catalog'!$E$62+'Assumptions and Catalog'!$F$62,IF(((D445+E445)*C445)&lt;='Assumptions and Catalog'!$C$63,((D445+E445)*C445)*'Assumptions and Catalog'!$H$63+'Assumptions and Catalog'!$E$63+'Assumptions and Catalog'!$F$63,IF(((D445+E445)*C445)&lt;='Assumptions and Catalog'!$C$64,((D445+E445)*C445)*'Assumptions and Catalog'!$H$64+'Assumptions and Catalog'!$E$64+'Assumptions and Catalog'!$F$64,IF(((D445+E445)*C445)&lt;='Assumptions and Catalog'!$C$65,((D445+E445)*C445)*'Assumptions and Catalog'!$H$65+'Assumptions and Catalog'!$E$65+'Assumptions and Catalog'!$F$65,"Out of range")))))))))*(1+'Assumptions and Catalog'!$C$8)^(A445-1),0)</f>
        <v>8279</v>
      </c>
      <c r="N445" s="5">
        <f>IF(ISNUMBER(Inputs!$L$5),(IF(Inputs!$L$9="Actual flat rate",L445*Inputs!$L$10,IF(Inputs!$C$9="Residential",IF(L445&lt;='Assumptions and Catalog'!$C$50,L445*'Assumptions and Catalog'!$H$50+'Assumptions and Catalog'!$E$50+'Assumptions and Catalog'!$F$50,IF(L445&lt;='Assumptions and Catalog'!$C$51,L445*'Assumptions and Catalog'!$H$51+'Assumptions and Catalog'!$E$51+'Assumptions and Catalog'!$F$51,IF(L445&lt;='Assumptions and Catalog'!$C$52,L445*'Assumptions and Catalog'!$H$52+'Assumptions and Catalog'!$E$52+'Assumptions and Catalog'!$F$52,IF(L445&lt;='Assumptions and Catalog'!$C$53,L445*'Assumptions and Catalog'!$H$53+'Assumptions and Catalog'!$E$53+'Assumptions and Catalog'!$F$53,IF(L445&lt;='Assumptions and Catalog'!$C$54,L445*'Assumptions and Catalog'!$H$54+'Assumptions and Catalog'!$E$54+'Assumptions and Catalog'!$F$54,IF(L445&lt;='Assumptions and Catalog'!$C$55,L445*'Assumptions and Catalog'!$H$55+'Assumptions and Catalog'!$E$55+'Assumptions and Catalog'!$F$55,IF(L445&lt;='Assumptions and Catalog'!$C$56,L445*'Assumptions and Catalog'!$H$56+'Assumptions and Catalog'!$E$56+'Assumptions and Catalog'!$F$56,IF(L445&lt;='Assumptions and Catalog'!$C$57,L445*'Assumptions and Catalog'!$H$57+'Assumptions and Catalog'!$E$57+'Assumptions and Catalog'!$F$57,"Out of range")))))))),IF(L445&lt;='Assumptions and Catalog'!$C$60,L445*'Assumptions and Catalog'!$H$60+'Assumptions and Catalog'!$E$60+'Assumptions and Catalog'!$F$60,IF(L445&lt;='Assumptions and Catalog'!$C$61,L445*'Assumptions and Catalog'!$H$61+'Assumptions and Catalog'!$E$61+'Assumptions and Catalog'!$F$61,IF(L445&lt;='Assumptions and Catalog'!$C$62,L445*'Assumptions and Catalog'!$H$62+'Assumptions and Catalog'!$E$62+'Assumptions and Catalog'!$F$62,IF(L445&lt;='Assumptions and Catalog'!$C$63,L445*'Assumptions and Catalog'!$H$63+'Assumptions and Catalog'!$E$63+'Assumptions and Catalog'!$F$63,IF(L445&lt;='Assumptions and Catalog'!$C$64,L445*'Assumptions and Catalog'!$H$64+'Assumptions and Catalog'!$E$64+'Assumptions and Catalog'!$F$64,IF(L445&lt;='Assumptions and Catalog'!$C$65,L445*'Assumptions and Catalog'!$H$65+'Assumptions and Catalog'!$E$65+'Assumptions and Catalog'!$F$65,"Out of range")))))))))*(1+'Assumptions and Catalog'!$C$8)^(A445-1),0)</f>
        <v>8279</v>
      </c>
      <c r="O445" s="5">
        <f t="shared" si="35"/>
        <v>0</v>
      </c>
      <c r="P445" s="5">
        <f>D$55*(1-K$14)*(1-'Assumptions and Catalog'!$C$23)^R445</f>
        <v>0</v>
      </c>
      <c r="Q445" s="5">
        <f>IF(ISNUMBER(Inputs!$L$5),(IF(Inputs!$L$9="Actual flat rate",((D445+E445)*C445-G445)*Inputs!$L$10,IF(Inputs!$C$9="Residential",IF(((D445+E445)*C445-G445)&lt;='Assumptions and Catalog'!$C$50,((D445+E445)*C445-G445)*'Assumptions and Catalog'!$H$50+'Assumptions and Catalog'!$E$50+'Assumptions and Catalog'!$F$50,IF(((D445+E445)*C445-G445)&lt;='Assumptions and Catalog'!$C$51,((D445+E445)*C445-G445)*'Assumptions and Catalog'!$H$51+'Assumptions and Catalog'!$E$51+'Assumptions and Catalog'!$F$51,IF(((D445+E445)*C445-G445)&lt;='Assumptions and Catalog'!$C$52,((D445+E445)*C445-G445)*'Assumptions and Catalog'!$H$52+'Assumptions and Catalog'!$E$52+'Assumptions and Catalog'!$F$52,IF(((D445+E445)*C445-G445)&lt;='Assumptions and Catalog'!$C$53,((D445+E445)*C445-G445)*'Assumptions and Catalog'!$H$53+'Assumptions and Catalog'!$E$53+'Assumptions and Catalog'!$F$53,IF(((D445+E445)*C445-G445)&lt;='Assumptions and Catalog'!$C$54,((D445+E445)*C445-G445)*'Assumptions and Catalog'!$H$54+'Assumptions and Catalog'!$E$54+'Assumptions and Catalog'!$F$54,IF(((D445+E445)*C445-G445)&lt;='Assumptions and Catalog'!$C$55,((D445+E445)*C445-G445)*'Assumptions and Catalog'!$H$55+'Assumptions and Catalog'!$E$55+'Assumptions and Catalog'!$F$55,IF(((D445+E445)*C445-G445)&lt;='Assumptions and Catalog'!$C$56,((D445+E445)*C445-G445)*'Assumptions and Catalog'!$H$56+'Assumptions and Catalog'!$E$56+'Assumptions and Catalog'!$F$56,IF(((D445+E445)*C445-G445)&lt;='Assumptions and Catalog'!$C$57,((D445+E445)*C445-G445)*'Assumptions and Catalog'!$H$57+'Assumptions and Catalog'!$E$57+'Assumptions and Catalog'!$F$57,"Out of range")))))))),IF(((D445+E445)*C445-G445)&lt;='Assumptions and Catalog'!$C$60,((D445+E445)*C445-G445)*'Assumptions and Catalog'!$H$60+'Assumptions and Catalog'!$E$60+'Assumptions and Catalog'!$F$60,IF(((D445+E445)*C445-G445)&lt;='Assumptions and Catalog'!$C$61,((D445+E445)*C445-G445)*'Assumptions and Catalog'!$H$61+'Assumptions and Catalog'!$E$61+'Assumptions and Catalog'!$F$61,IF(((D445+E445)*C445-G445)&lt;='Assumptions and Catalog'!$C$62,((D445+E445)*C445-G445)*'Assumptions and Catalog'!$H$62+'Assumptions and Catalog'!$E$62+'Assumptions and Catalog'!$F$62,IF(((D445+E445)*C445-G445)&lt;='Assumptions and Catalog'!$C$63,((D445+E445)*C445-G445)*'Assumptions and Catalog'!$H$63+'Assumptions and Catalog'!$E$63+'Assumptions and Catalog'!$F$63,IF(((D445+E445)*C445-G445)&lt;='Assumptions and Catalog'!$C$64,((D445+E445)*C445-G445)*'Assumptions and Catalog'!$H$64+'Assumptions and Catalog'!$E$64+'Assumptions and Catalog'!$F$64,IF(((D445+E445)*C445-G445)&lt;='Assumptions and Catalog'!$C$65,((D445+E445)*C445-G445)*'Assumptions and Catalog'!$H$65+'Assumptions and Catalog'!$E$65+'Assumptions and Catalog'!$F$65,"Out of range")))))))))*(1+'Assumptions and Catalog'!$C$8)^(A445-1),0)</f>
        <v>8279</v>
      </c>
      <c r="R445" s="5">
        <f>IF(AND('Assumptions and Catalog'!$C$19&gt;0,A445&gt;='Assumptions and Catalog'!$C$19),A445-'Assumptions and Catalog'!$C$19,A445-1)</f>
        <v>2</v>
      </c>
      <c r="S445" s="5">
        <f>F445+L445-(D445+E445)*C445-J445-K445-IF(D$52&gt;0,'Assumptions and Catalog'!$C$26*C445,0)</f>
        <v>0</v>
      </c>
      <c r="T445" s="5"/>
      <c r="U445" s="5"/>
    </row>
    <row r="446" spans="1:21" ht="23.1" customHeight="1" outlineLevel="1" x14ac:dyDescent="0.2">
      <c r="A446" s="5">
        <v>3</v>
      </c>
      <c r="B446" s="5">
        <v>12</v>
      </c>
      <c r="C446" s="5">
        <f>DAY(DATE('Assumptions and Catalog'!$C$24+A446-1,B446+1,0))</f>
        <v>31</v>
      </c>
      <c r="D446" s="5">
        <f>IF(ISNUMBER(Inputs!$L$5),Inputs!$L$5*Inputs!$L$6,0)</f>
        <v>40.35</v>
      </c>
      <c r="E446" s="5">
        <f>IF(ISNUMBER(Inputs!$L$5),Inputs!$L$5-D446,0)</f>
        <v>40.35</v>
      </c>
      <c r="F446" s="5">
        <f>D$51*'Assumptions and Catalog'!$C$31*C446*(1-'Assumptions and Catalog'!$C$10)^(A446-1)</f>
        <v>0</v>
      </c>
      <c r="G446" s="5">
        <f t="shared" si="32"/>
        <v>0</v>
      </c>
      <c r="H446" s="5">
        <f>I446/('Assumptions and Catalog'!$C$11*'Assumptions and Catalog'!$C$12)</f>
        <v>0</v>
      </c>
      <c r="I446" s="5">
        <f>IF(K$15="Grid cycle",MIN(K$16,D446+E446,P446*'Assumptions and Catalog'!$C$12,D$57*(24-'Assumptions and Catalog'!$C$15),D$56*'Assumptions and Catalog'!$C$15*'Assumptions and Catalog'!$C$11*'Assumptions and Catalog'!$C$12)*C446,0)</f>
        <v>0</v>
      </c>
      <c r="J446" s="5">
        <f t="shared" si="33"/>
        <v>0</v>
      </c>
      <c r="K446" s="5">
        <f t="shared" si="34"/>
        <v>0</v>
      </c>
      <c r="L446" s="5">
        <f>(D446+E446)*C446-G446-I446+H446+IF(D$52&gt;0,'Assumptions and Catalog'!$C$26*C446,0)</f>
        <v>2501.7000000000003</v>
      </c>
      <c r="M446" s="5">
        <f>IF(ISNUMBER(Inputs!$L$5),(IF(Inputs!$L$9="Actual flat rate",((D446+E446)*C446)*Inputs!$L$10,IF(Inputs!$C$9="Residential",IF(((D446+E446)*C446)&lt;='Assumptions and Catalog'!$C$50,((D446+E446)*C446)*'Assumptions and Catalog'!$H$50+'Assumptions and Catalog'!$E$50+'Assumptions and Catalog'!$F$50,IF(((D446+E446)*C446)&lt;='Assumptions and Catalog'!$C$51,((D446+E446)*C446)*'Assumptions and Catalog'!$H$51+'Assumptions and Catalog'!$E$51+'Assumptions and Catalog'!$F$51,IF(((D446+E446)*C446)&lt;='Assumptions and Catalog'!$C$52,((D446+E446)*C446)*'Assumptions and Catalog'!$H$52+'Assumptions and Catalog'!$E$52+'Assumptions and Catalog'!$F$52,IF(((D446+E446)*C446)&lt;='Assumptions and Catalog'!$C$53,((D446+E446)*C446)*'Assumptions and Catalog'!$H$53+'Assumptions and Catalog'!$E$53+'Assumptions and Catalog'!$F$53,IF(((D446+E446)*C446)&lt;='Assumptions and Catalog'!$C$54,((D446+E446)*C446)*'Assumptions and Catalog'!$H$54+'Assumptions and Catalog'!$E$54+'Assumptions and Catalog'!$F$54,IF(((D446+E446)*C446)&lt;='Assumptions and Catalog'!$C$55,((D446+E446)*C446)*'Assumptions and Catalog'!$H$55+'Assumptions and Catalog'!$E$55+'Assumptions and Catalog'!$F$55,IF(((D446+E446)*C446)&lt;='Assumptions and Catalog'!$C$56,((D446+E446)*C446)*'Assumptions and Catalog'!$H$56+'Assumptions and Catalog'!$E$56+'Assumptions and Catalog'!$F$56,IF(((D446+E446)*C446)&lt;='Assumptions and Catalog'!$C$57,((D446+E446)*C446)*'Assumptions and Catalog'!$H$57+'Assumptions and Catalog'!$E$57+'Assumptions and Catalog'!$F$57,"Out of range")))))))),IF(((D446+E446)*C446)&lt;='Assumptions and Catalog'!$C$60,((D446+E446)*C446)*'Assumptions and Catalog'!$H$60+'Assumptions and Catalog'!$E$60+'Assumptions and Catalog'!$F$60,IF(((D446+E446)*C446)&lt;='Assumptions and Catalog'!$C$61,((D446+E446)*C446)*'Assumptions and Catalog'!$H$61+'Assumptions and Catalog'!$E$61+'Assumptions and Catalog'!$F$61,IF(((D446+E446)*C446)&lt;='Assumptions and Catalog'!$C$62,((D446+E446)*C446)*'Assumptions and Catalog'!$H$62+'Assumptions and Catalog'!$E$62+'Assumptions and Catalog'!$F$62,IF(((D446+E446)*C446)&lt;='Assumptions and Catalog'!$C$63,((D446+E446)*C446)*'Assumptions and Catalog'!$H$63+'Assumptions and Catalog'!$E$63+'Assumptions and Catalog'!$F$63,IF(((D446+E446)*C446)&lt;='Assumptions and Catalog'!$C$64,((D446+E446)*C446)*'Assumptions and Catalog'!$H$64+'Assumptions and Catalog'!$E$64+'Assumptions and Catalog'!$F$64,IF(((D446+E446)*C446)&lt;='Assumptions and Catalog'!$C$65,((D446+E446)*C446)*'Assumptions and Catalog'!$H$65+'Assumptions and Catalog'!$E$65+'Assumptions and Catalog'!$F$65,"Out of range")))))))))*(1+'Assumptions and Catalog'!$C$8)^(A446-1),0)</f>
        <v>8554.9666666666672</v>
      </c>
      <c r="N446" s="5">
        <f>IF(ISNUMBER(Inputs!$L$5),(IF(Inputs!$L$9="Actual flat rate",L446*Inputs!$L$10,IF(Inputs!$C$9="Residential",IF(L446&lt;='Assumptions and Catalog'!$C$50,L446*'Assumptions and Catalog'!$H$50+'Assumptions and Catalog'!$E$50+'Assumptions and Catalog'!$F$50,IF(L446&lt;='Assumptions and Catalog'!$C$51,L446*'Assumptions and Catalog'!$H$51+'Assumptions and Catalog'!$E$51+'Assumptions and Catalog'!$F$51,IF(L446&lt;='Assumptions and Catalog'!$C$52,L446*'Assumptions and Catalog'!$H$52+'Assumptions and Catalog'!$E$52+'Assumptions and Catalog'!$F$52,IF(L446&lt;='Assumptions and Catalog'!$C$53,L446*'Assumptions and Catalog'!$H$53+'Assumptions and Catalog'!$E$53+'Assumptions and Catalog'!$F$53,IF(L446&lt;='Assumptions and Catalog'!$C$54,L446*'Assumptions and Catalog'!$H$54+'Assumptions and Catalog'!$E$54+'Assumptions and Catalog'!$F$54,IF(L446&lt;='Assumptions and Catalog'!$C$55,L446*'Assumptions and Catalog'!$H$55+'Assumptions and Catalog'!$E$55+'Assumptions and Catalog'!$F$55,IF(L446&lt;='Assumptions and Catalog'!$C$56,L446*'Assumptions and Catalog'!$H$56+'Assumptions and Catalog'!$E$56+'Assumptions and Catalog'!$F$56,IF(L446&lt;='Assumptions and Catalog'!$C$57,L446*'Assumptions and Catalog'!$H$57+'Assumptions and Catalog'!$E$57+'Assumptions and Catalog'!$F$57,"Out of range")))))))),IF(L446&lt;='Assumptions and Catalog'!$C$60,L446*'Assumptions and Catalog'!$H$60+'Assumptions and Catalog'!$E$60+'Assumptions and Catalog'!$F$60,IF(L446&lt;='Assumptions and Catalog'!$C$61,L446*'Assumptions and Catalog'!$H$61+'Assumptions and Catalog'!$E$61+'Assumptions and Catalog'!$F$61,IF(L446&lt;='Assumptions and Catalog'!$C$62,L446*'Assumptions and Catalog'!$H$62+'Assumptions and Catalog'!$E$62+'Assumptions and Catalog'!$F$62,IF(L446&lt;='Assumptions and Catalog'!$C$63,L446*'Assumptions and Catalog'!$H$63+'Assumptions and Catalog'!$E$63+'Assumptions and Catalog'!$F$63,IF(L446&lt;='Assumptions and Catalog'!$C$64,L446*'Assumptions and Catalog'!$H$64+'Assumptions and Catalog'!$E$64+'Assumptions and Catalog'!$F$64,IF(L446&lt;='Assumptions and Catalog'!$C$65,L446*'Assumptions and Catalog'!$H$65+'Assumptions and Catalog'!$E$65+'Assumptions and Catalog'!$F$65,"Out of range")))))))))*(1+'Assumptions and Catalog'!$C$8)^(A446-1),0)</f>
        <v>8554.9666666666672</v>
      </c>
      <c r="O446" s="5">
        <f t="shared" si="35"/>
        <v>0</v>
      </c>
      <c r="P446" s="5">
        <f>D$55*(1-K$14)*(1-'Assumptions and Catalog'!$C$23)^R446</f>
        <v>0</v>
      </c>
      <c r="Q446" s="5">
        <f>IF(ISNUMBER(Inputs!$L$5),(IF(Inputs!$L$9="Actual flat rate",((D446+E446)*C446-G446)*Inputs!$L$10,IF(Inputs!$C$9="Residential",IF(((D446+E446)*C446-G446)&lt;='Assumptions and Catalog'!$C$50,((D446+E446)*C446-G446)*'Assumptions and Catalog'!$H$50+'Assumptions and Catalog'!$E$50+'Assumptions and Catalog'!$F$50,IF(((D446+E446)*C446-G446)&lt;='Assumptions and Catalog'!$C$51,((D446+E446)*C446-G446)*'Assumptions and Catalog'!$H$51+'Assumptions and Catalog'!$E$51+'Assumptions and Catalog'!$F$51,IF(((D446+E446)*C446-G446)&lt;='Assumptions and Catalog'!$C$52,((D446+E446)*C446-G446)*'Assumptions and Catalog'!$H$52+'Assumptions and Catalog'!$E$52+'Assumptions and Catalog'!$F$52,IF(((D446+E446)*C446-G446)&lt;='Assumptions and Catalog'!$C$53,((D446+E446)*C446-G446)*'Assumptions and Catalog'!$H$53+'Assumptions and Catalog'!$E$53+'Assumptions and Catalog'!$F$53,IF(((D446+E446)*C446-G446)&lt;='Assumptions and Catalog'!$C$54,((D446+E446)*C446-G446)*'Assumptions and Catalog'!$H$54+'Assumptions and Catalog'!$E$54+'Assumptions and Catalog'!$F$54,IF(((D446+E446)*C446-G446)&lt;='Assumptions and Catalog'!$C$55,((D446+E446)*C446-G446)*'Assumptions and Catalog'!$H$55+'Assumptions and Catalog'!$E$55+'Assumptions and Catalog'!$F$55,IF(((D446+E446)*C446-G446)&lt;='Assumptions and Catalog'!$C$56,((D446+E446)*C446-G446)*'Assumptions and Catalog'!$H$56+'Assumptions and Catalog'!$E$56+'Assumptions and Catalog'!$F$56,IF(((D446+E446)*C446-G446)&lt;='Assumptions and Catalog'!$C$57,((D446+E446)*C446-G446)*'Assumptions and Catalog'!$H$57+'Assumptions and Catalog'!$E$57+'Assumptions and Catalog'!$F$57,"Out of range")))))))),IF(((D446+E446)*C446-G446)&lt;='Assumptions and Catalog'!$C$60,((D446+E446)*C446-G446)*'Assumptions and Catalog'!$H$60+'Assumptions and Catalog'!$E$60+'Assumptions and Catalog'!$F$60,IF(((D446+E446)*C446-G446)&lt;='Assumptions and Catalog'!$C$61,((D446+E446)*C446-G446)*'Assumptions and Catalog'!$H$61+'Assumptions and Catalog'!$E$61+'Assumptions and Catalog'!$F$61,IF(((D446+E446)*C446-G446)&lt;='Assumptions and Catalog'!$C$62,((D446+E446)*C446-G446)*'Assumptions and Catalog'!$H$62+'Assumptions and Catalog'!$E$62+'Assumptions and Catalog'!$F$62,IF(((D446+E446)*C446-G446)&lt;='Assumptions and Catalog'!$C$63,((D446+E446)*C446-G446)*'Assumptions and Catalog'!$H$63+'Assumptions and Catalog'!$E$63+'Assumptions and Catalog'!$F$63,IF(((D446+E446)*C446-G446)&lt;='Assumptions and Catalog'!$C$64,((D446+E446)*C446-G446)*'Assumptions and Catalog'!$H$64+'Assumptions and Catalog'!$E$64+'Assumptions and Catalog'!$F$64,IF(((D446+E446)*C446-G446)&lt;='Assumptions and Catalog'!$C$65,((D446+E446)*C446-G446)*'Assumptions and Catalog'!$H$65+'Assumptions and Catalog'!$E$65+'Assumptions and Catalog'!$F$65,"Out of range")))))))))*(1+'Assumptions and Catalog'!$C$8)^(A446-1),0)</f>
        <v>8554.9666666666672</v>
      </c>
      <c r="R446" s="5">
        <f>IF(AND('Assumptions and Catalog'!$C$19&gt;0,A446&gt;='Assumptions and Catalog'!$C$19),A446-'Assumptions and Catalog'!$C$19,A446-1)</f>
        <v>2</v>
      </c>
      <c r="S446" s="5">
        <f>F446+L446-(D446+E446)*C446-J446-K446-IF(D$52&gt;0,'Assumptions and Catalog'!$C$26*C446,0)</f>
        <v>0</v>
      </c>
      <c r="T446" s="5"/>
      <c r="U446" s="5"/>
    </row>
    <row r="447" spans="1:21" ht="23.1" customHeight="1" outlineLevel="1" x14ac:dyDescent="0.2">
      <c r="A447" s="5">
        <v>4</v>
      </c>
      <c r="B447" s="5">
        <v>1</v>
      </c>
      <c r="C447" s="5">
        <f>DAY(DATE('Assumptions and Catalog'!$C$24+A447-1,B447+1,0))</f>
        <v>31</v>
      </c>
      <c r="D447" s="5">
        <f>IF(ISNUMBER(Inputs!$L$5),Inputs!$L$5*Inputs!$L$6,0)</f>
        <v>40.35</v>
      </c>
      <c r="E447" s="5">
        <f>IF(ISNUMBER(Inputs!$L$5),Inputs!$L$5-D447,0)</f>
        <v>40.35</v>
      </c>
      <c r="F447" s="5">
        <f>D$51*'Assumptions and Catalog'!$C$31*C447*(1-'Assumptions and Catalog'!$C$10)^(A447-1)</f>
        <v>0</v>
      </c>
      <c r="G447" s="5">
        <f t="shared" si="32"/>
        <v>0</v>
      </c>
      <c r="H447" s="5">
        <f>I447/('Assumptions and Catalog'!$C$11*'Assumptions and Catalog'!$C$12)</f>
        <v>0</v>
      </c>
      <c r="I447" s="5">
        <f>IF(K$15="Grid cycle",MIN(K$16,D447+E447,P447*'Assumptions and Catalog'!$C$12,D$57*(24-'Assumptions and Catalog'!$C$15),D$56*'Assumptions and Catalog'!$C$15*'Assumptions and Catalog'!$C$11*'Assumptions and Catalog'!$C$12)*C447,0)</f>
        <v>0</v>
      </c>
      <c r="J447" s="5">
        <f t="shared" si="33"/>
        <v>0</v>
      </c>
      <c r="K447" s="5">
        <f t="shared" si="34"/>
        <v>0</v>
      </c>
      <c r="L447" s="5">
        <f>(D447+E447)*C447-G447-I447+H447+IF(D$52&gt;0,'Assumptions and Catalog'!$C$26*C447,0)</f>
        <v>2501.7000000000003</v>
      </c>
      <c r="M447" s="5">
        <f>IF(ISNUMBER(Inputs!$L$5),(IF(Inputs!$L$9="Actual flat rate",((D447+E447)*C447)*Inputs!$L$10,IF(Inputs!$C$9="Residential",IF(((D447+E447)*C447)&lt;='Assumptions and Catalog'!$C$50,((D447+E447)*C447)*'Assumptions and Catalog'!$H$50+'Assumptions and Catalog'!$E$50+'Assumptions and Catalog'!$F$50,IF(((D447+E447)*C447)&lt;='Assumptions and Catalog'!$C$51,((D447+E447)*C447)*'Assumptions and Catalog'!$H$51+'Assumptions and Catalog'!$E$51+'Assumptions and Catalog'!$F$51,IF(((D447+E447)*C447)&lt;='Assumptions and Catalog'!$C$52,((D447+E447)*C447)*'Assumptions and Catalog'!$H$52+'Assumptions and Catalog'!$E$52+'Assumptions and Catalog'!$F$52,IF(((D447+E447)*C447)&lt;='Assumptions and Catalog'!$C$53,((D447+E447)*C447)*'Assumptions and Catalog'!$H$53+'Assumptions and Catalog'!$E$53+'Assumptions and Catalog'!$F$53,IF(((D447+E447)*C447)&lt;='Assumptions and Catalog'!$C$54,((D447+E447)*C447)*'Assumptions and Catalog'!$H$54+'Assumptions and Catalog'!$E$54+'Assumptions and Catalog'!$F$54,IF(((D447+E447)*C447)&lt;='Assumptions and Catalog'!$C$55,((D447+E447)*C447)*'Assumptions and Catalog'!$H$55+'Assumptions and Catalog'!$E$55+'Assumptions and Catalog'!$F$55,IF(((D447+E447)*C447)&lt;='Assumptions and Catalog'!$C$56,((D447+E447)*C447)*'Assumptions and Catalog'!$H$56+'Assumptions and Catalog'!$E$56+'Assumptions and Catalog'!$F$56,IF(((D447+E447)*C447)&lt;='Assumptions and Catalog'!$C$57,((D447+E447)*C447)*'Assumptions and Catalog'!$H$57+'Assumptions and Catalog'!$E$57+'Assumptions and Catalog'!$F$57,"Out of range")))))))),IF(((D447+E447)*C447)&lt;='Assumptions and Catalog'!$C$60,((D447+E447)*C447)*'Assumptions and Catalog'!$H$60+'Assumptions and Catalog'!$E$60+'Assumptions and Catalog'!$F$60,IF(((D447+E447)*C447)&lt;='Assumptions and Catalog'!$C$61,((D447+E447)*C447)*'Assumptions and Catalog'!$H$61+'Assumptions and Catalog'!$E$61+'Assumptions and Catalog'!$F$61,IF(((D447+E447)*C447)&lt;='Assumptions and Catalog'!$C$62,((D447+E447)*C447)*'Assumptions and Catalog'!$H$62+'Assumptions and Catalog'!$E$62+'Assumptions and Catalog'!$F$62,IF(((D447+E447)*C447)&lt;='Assumptions and Catalog'!$C$63,((D447+E447)*C447)*'Assumptions and Catalog'!$H$63+'Assumptions and Catalog'!$E$63+'Assumptions and Catalog'!$F$63,IF(((D447+E447)*C447)&lt;='Assumptions and Catalog'!$C$64,((D447+E447)*C447)*'Assumptions and Catalog'!$H$64+'Assumptions and Catalog'!$E$64+'Assumptions and Catalog'!$F$64,IF(((D447+E447)*C447)&lt;='Assumptions and Catalog'!$C$65,((D447+E447)*C447)*'Assumptions and Catalog'!$H$65+'Assumptions and Catalog'!$E$65+'Assumptions and Catalog'!$F$65,"Out of range")))))))))*(1+'Assumptions and Catalog'!$C$8)^(A447-1),0)</f>
        <v>8554.9666666666672</v>
      </c>
      <c r="N447" s="5">
        <f>IF(ISNUMBER(Inputs!$L$5),(IF(Inputs!$L$9="Actual flat rate",L447*Inputs!$L$10,IF(Inputs!$C$9="Residential",IF(L447&lt;='Assumptions and Catalog'!$C$50,L447*'Assumptions and Catalog'!$H$50+'Assumptions and Catalog'!$E$50+'Assumptions and Catalog'!$F$50,IF(L447&lt;='Assumptions and Catalog'!$C$51,L447*'Assumptions and Catalog'!$H$51+'Assumptions and Catalog'!$E$51+'Assumptions and Catalog'!$F$51,IF(L447&lt;='Assumptions and Catalog'!$C$52,L447*'Assumptions and Catalog'!$H$52+'Assumptions and Catalog'!$E$52+'Assumptions and Catalog'!$F$52,IF(L447&lt;='Assumptions and Catalog'!$C$53,L447*'Assumptions and Catalog'!$H$53+'Assumptions and Catalog'!$E$53+'Assumptions and Catalog'!$F$53,IF(L447&lt;='Assumptions and Catalog'!$C$54,L447*'Assumptions and Catalog'!$H$54+'Assumptions and Catalog'!$E$54+'Assumptions and Catalog'!$F$54,IF(L447&lt;='Assumptions and Catalog'!$C$55,L447*'Assumptions and Catalog'!$H$55+'Assumptions and Catalog'!$E$55+'Assumptions and Catalog'!$F$55,IF(L447&lt;='Assumptions and Catalog'!$C$56,L447*'Assumptions and Catalog'!$H$56+'Assumptions and Catalog'!$E$56+'Assumptions and Catalog'!$F$56,IF(L447&lt;='Assumptions and Catalog'!$C$57,L447*'Assumptions and Catalog'!$H$57+'Assumptions and Catalog'!$E$57+'Assumptions and Catalog'!$F$57,"Out of range")))))))),IF(L447&lt;='Assumptions and Catalog'!$C$60,L447*'Assumptions and Catalog'!$H$60+'Assumptions and Catalog'!$E$60+'Assumptions and Catalog'!$F$60,IF(L447&lt;='Assumptions and Catalog'!$C$61,L447*'Assumptions and Catalog'!$H$61+'Assumptions and Catalog'!$E$61+'Assumptions and Catalog'!$F$61,IF(L447&lt;='Assumptions and Catalog'!$C$62,L447*'Assumptions and Catalog'!$H$62+'Assumptions and Catalog'!$E$62+'Assumptions and Catalog'!$F$62,IF(L447&lt;='Assumptions and Catalog'!$C$63,L447*'Assumptions and Catalog'!$H$63+'Assumptions and Catalog'!$E$63+'Assumptions and Catalog'!$F$63,IF(L447&lt;='Assumptions and Catalog'!$C$64,L447*'Assumptions and Catalog'!$H$64+'Assumptions and Catalog'!$E$64+'Assumptions and Catalog'!$F$64,IF(L447&lt;='Assumptions and Catalog'!$C$65,L447*'Assumptions and Catalog'!$H$65+'Assumptions and Catalog'!$E$65+'Assumptions and Catalog'!$F$65,"Out of range")))))))))*(1+'Assumptions and Catalog'!$C$8)^(A447-1),0)</f>
        <v>8554.9666666666672</v>
      </c>
      <c r="O447" s="5">
        <f t="shared" si="35"/>
        <v>0</v>
      </c>
      <c r="P447" s="5">
        <f>D$55*(1-K$14)*(1-'Assumptions and Catalog'!$C$23)^R447</f>
        <v>0</v>
      </c>
      <c r="Q447" s="5">
        <f>IF(ISNUMBER(Inputs!$L$5),(IF(Inputs!$L$9="Actual flat rate",((D447+E447)*C447-G447)*Inputs!$L$10,IF(Inputs!$C$9="Residential",IF(((D447+E447)*C447-G447)&lt;='Assumptions and Catalog'!$C$50,((D447+E447)*C447-G447)*'Assumptions and Catalog'!$H$50+'Assumptions and Catalog'!$E$50+'Assumptions and Catalog'!$F$50,IF(((D447+E447)*C447-G447)&lt;='Assumptions and Catalog'!$C$51,((D447+E447)*C447-G447)*'Assumptions and Catalog'!$H$51+'Assumptions and Catalog'!$E$51+'Assumptions and Catalog'!$F$51,IF(((D447+E447)*C447-G447)&lt;='Assumptions and Catalog'!$C$52,((D447+E447)*C447-G447)*'Assumptions and Catalog'!$H$52+'Assumptions and Catalog'!$E$52+'Assumptions and Catalog'!$F$52,IF(((D447+E447)*C447-G447)&lt;='Assumptions and Catalog'!$C$53,((D447+E447)*C447-G447)*'Assumptions and Catalog'!$H$53+'Assumptions and Catalog'!$E$53+'Assumptions and Catalog'!$F$53,IF(((D447+E447)*C447-G447)&lt;='Assumptions and Catalog'!$C$54,((D447+E447)*C447-G447)*'Assumptions and Catalog'!$H$54+'Assumptions and Catalog'!$E$54+'Assumptions and Catalog'!$F$54,IF(((D447+E447)*C447-G447)&lt;='Assumptions and Catalog'!$C$55,((D447+E447)*C447-G447)*'Assumptions and Catalog'!$H$55+'Assumptions and Catalog'!$E$55+'Assumptions and Catalog'!$F$55,IF(((D447+E447)*C447-G447)&lt;='Assumptions and Catalog'!$C$56,((D447+E447)*C447-G447)*'Assumptions and Catalog'!$H$56+'Assumptions and Catalog'!$E$56+'Assumptions and Catalog'!$F$56,IF(((D447+E447)*C447-G447)&lt;='Assumptions and Catalog'!$C$57,((D447+E447)*C447-G447)*'Assumptions and Catalog'!$H$57+'Assumptions and Catalog'!$E$57+'Assumptions and Catalog'!$F$57,"Out of range")))))))),IF(((D447+E447)*C447-G447)&lt;='Assumptions and Catalog'!$C$60,((D447+E447)*C447-G447)*'Assumptions and Catalog'!$H$60+'Assumptions and Catalog'!$E$60+'Assumptions and Catalog'!$F$60,IF(((D447+E447)*C447-G447)&lt;='Assumptions and Catalog'!$C$61,((D447+E447)*C447-G447)*'Assumptions and Catalog'!$H$61+'Assumptions and Catalog'!$E$61+'Assumptions and Catalog'!$F$61,IF(((D447+E447)*C447-G447)&lt;='Assumptions and Catalog'!$C$62,((D447+E447)*C447-G447)*'Assumptions and Catalog'!$H$62+'Assumptions and Catalog'!$E$62+'Assumptions and Catalog'!$F$62,IF(((D447+E447)*C447-G447)&lt;='Assumptions and Catalog'!$C$63,((D447+E447)*C447-G447)*'Assumptions and Catalog'!$H$63+'Assumptions and Catalog'!$E$63+'Assumptions and Catalog'!$F$63,IF(((D447+E447)*C447-G447)&lt;='Assumptions and Catalog'!$C$64,((D447+E447)*C447-G447)*'Assumptions and Catalog'!$H$64+'Assumptions and Catalog'!$E$64+'Assumptions and Catalog'!$F$64,IF(((D447+E447)*C447-G447)&lt;='Assumptions and Catalog'!$C$65,((D447+E447)*C447-G447)*'Assumptions and Catalog'!$H$65+'Assumptions and Catalog'!$E$65+'Assumptions and Catalog'!$F$65,"Out of range")))))))))*(1+'Assumptions and Catalog'!$C$8)^(A447-1),0)</f>
        <v>8554.9666666666672</v>
      </c>
      <c r="R447" s="5">
        <f>IF(AND('Assumptions and Catalog'!$C$19&gt;0,A447&gt;='Assumptions and Catalog'!$C$19),A447-'Assumptions and Catalog'!$C$19,A447-1)</f>
        <v>3</v>
      </c>
      <c r="S447" s="5">
        <f>F447+L447-(D447+E447)*C447-J447-K447-IF(D$52&gt;0,'Assumptions and Catalog'!$C$26*C447,0)</f>
        <v>0</v>
      </c>
      <c r="T447" s="5"/>
      <c r="U447" s="5"/>
    </row>
    <row r="448" spans="1:21" ht="23.1" customHeight="1" outlineLevel="1" x14ac:dyDescent="0.2">
      <c r="A448" s="5">
        <v>4</v>
      </c>
      <c r="B448" s="5">
        <v>2</v>
      </c>
      <c r="C448" s="5">
        <f>DAY(DATE('Assumptions and Catalog'!$C$24+A448-1,B448+1,0))</f>
        <v>28</v>
      </c>
      <c r="D448" s="5">
        <f>IF(ISNUMBER(Inputs!$L$5),Inputs!$L$5*Inputs!$L$6,0)</f>
        <v>40.35</v>
      </c>
      <c r="E448" s="5">
        <f>IF(ISNUMBER(Inputs!$L$5),Inputs!$L$5-D448,0)</f>
        <v>40.35</v>
      </c>
      <c r="F448" s="5">
        <f>D$51*'Assumptions and Catalog'!$C$31*C448*(1-'Assumptions and Catalog'!$C$10)^(A448-1)</f>
        <v>0</v>
      </c>
      <c r="G448" s="5">
        <f t="shared" si="32"/>
        <v>0</v>
      </c>
      <c r="H448" s="5">
        <f>I448/('Assumptions and Catalog'!$C$11*'Assumptions and Catalog'!$C$12)</f>
        <v>0</v>
      </c>
      <c r="I448" s="5">
        <f>IF(K$15="Grid cycle",MIN(K$16,D448+E448,P448*'Assumptions and Catalog'!$C$12,D$57*(24-'Assumptions and Catalog'!$C$15),D$56*'Assumptions and Catalog'!$C$15*'Assumptions and Catalog'!$C$11*'Assumptions and Catalog'!$C$12)*C448,0)</f>
        <v>0</v>
      </c>
      <c r="J448" s="5">
        <f t="shared" si="33"/>
        <v>0</v>
      </c>
      <c r="K448" s="5">
        <f t="shared" si="34"/>
        <v>0</v>
      </c>
      <c r="L448" s="5">
        <f>(D448+E448)*C448-G448-I448+H448+IF(D$52&gt;0,'Assumptions and Catalog'!$C$26*C448,0)</f>
        <v>2259.6</v>
      </c>
      <c r="M448" s="5">
        <f>IF(ISNUMBER(Inputs!$L$5),(IF(Inputs!$L$9="Actual flat rate",((D448+E448)*C448)*Inputs!$L$10,IF(Inputs!$C$9="Residential",IF(((D448+E448)*C448)&lt;='Assumptions and Catalog'!$C$50,((D448+E448)*C448)*'Assumptions and Catalog'!$H$50+'Assumptions and Catalog'!$E$50+'Assumptions and Catalog'!$F$50,IF(((D448+E448)*C448)&lt;='Assumptions and Catalog'!$C$51,((D448+E448)*C448)*'Assumptions and Catalog'!$H$51+'Assumptions and Catalog'!$E$51+'Assumptions and Catalog'!$F$51,IF(((D448+E448)*C448)&lt;='Assumptions and Catalog'!$C$52,((D448+E448)*C448)*'Assumptions and Catalog'!$H$52+'Assumptions and Catalog'!$E$52+'Assumptions and Catalog'!$F$52,IF(((D448+E448)*C448)&lt;='Assumptions and Catalog'!$C$53,((D448+E448)*C448)*'Assumptions and Catalog'!$H$53+'Assumptions and Catalog'!$E$53+'Assumptions and Catalog'!$F$53,IF(((D448+E448)*C448)&lt;='Assumptions and Catalog'!$C$54,((D448+E448)*C448)*'Assumptions and Catalog'!$H$54+'Assumptions and Catalog'!$E$54+'Assumptions and Catalog'!$F$54,IF(((D448+E448)*C448)&lt;='Assumptions and Catalog'!$C$55,((D448+E448)*C448)*'Assumptions and Catalog'!$H$55+'Assumptions and Catalog'!$E$55+'Assumptions and Catalog'!$F$55,IF(((D448+E448)*C448)&lt;='Assumptions and Catalog'!$C$56,((D448+E448)*C448)*'Assumptions and Catalog'!$H$56+'Assumptions and Catalog'!$E$56+'Assumptions and Catalog'!$F$56,IF(((D448+E448)*C448)&lt;='Assumptions and Catalog'!$C$57,((D448+E448)*C448)*'Assumptions and Catalog'!$H$57+'Assumptions and Catalog'!$E$57+'Assumptions and Catalog'!$F$57,"Out of range")))))))),IF(((D448+E448)*C448)&lt;='Assumptions and Catalog'!$C$60,((D448+E448)*C448)*'Assumptions and Catalog'!$H$60+'Assumptions and Catalog'!$E$60+'Assumptions and Catalog'!$F$60,IF(((D448+E448)*C448)&lt;='Assumptions and Catalog'!$C$61,((D448+E448)*C448)*'Assumptions and Catalog'!$H$61+'Assumptions and Catalog'!$E$61+'Assumptions and Catalog'!$F$61,IF(((D448+E448)*C448)&lt;='Assumptions and Catalog'!$C$62,((D448+E448)*C448)*'Assumptions and Catalog'!$H$62+'Assumptions and Catalog'!$E$62+'Assumptions and Catalog'!$F$62,IF(((D448+E448)*C448)&lt;='Assumptions and Catalog'!$C$63,((D448+E448)*C448)*'Assumptions and Catalog'!$H$63+'Assumptions and Catalog'!$E$63+'Assumptions and Catalog'!$F$63,IF(((D448+E448)*C448)&lt;='Assumptions and Catalog'!$C$64,((D448+E448)*C448)*'Assumptions and Catalog'!$H$64+'Assumptions and Catalog'!$E$64+'Assumptions and Catalog'!$F$64,IF(((D448+E448)*C448)&lt;='Assumptions and Catalog'!$C$65,((D448+E448)*C448)*'Assumptions and Catalog'!$H$65+'Assumptions and Catalog'!$E$65+'Assumptions and Catalog'!$F$65,"Out of range")))))))))*(1+'Assumptions and Catalog'!$C$8)^(A448-1),0)</f>
        <v>7727.0666666666657</v>
      </c>
      <c r="N448" s="5">
        <f>IF(ISNUMBER(Inputs!$L$5),(IF(Inputs!$L$9="Actual flat rate",L448*Inputs!$L$10,IF(Inputs!$C$9="Residential",IF(L448&lt;='Assumptions and Catalog'!$C$50,L448*'Assumptions and Catalog'!$H$50+'Assumptions and Catalog'!$E$50+'Assumptions and Catalog'!$F$50,IF(L448&lt;='Assumptions and Catalog'!$C$51,L448*'Assumptions and Catalog'!$H$51+'Assumptions and Catalog'!$E$51+'Assumptions and Catalog'!$F$51,IF(L448&lt;='Assumptions and Catalog'!$C$52,L448*'Assumptions and Catalog'!$H$52+'Assumptions and Catalog'!$E$52+'Assumptions and Catalog'!$F$52,IF(L448&lt;='Assumptions and Catalog'!$C$53,L448*'Assumptions and Catalog'!$H$53+'Assumptions and Catalog'!$E$53+'Assumptions and Catalog'!$F$53,IF(L448&lt;='Assumptions and Catalog'!$C$54,L448*'Assumptions and Catalog'!$H$54+'Assumptions and Catalog'!$E$54+'Assumptions and Catalog'!$F$54,IF(L448&lt;='Assumptions and Catalog'!$C$55,L448*'Assumptions and Catalog'!$H$55+'Assumptions and Catalog'!$E$55+'Assumptions and Catalog'!$F$55,IF(L448&lt;='Assumptions and Catalog'!$C$56,L448*'Assumptions and Catalog'!$H$56+'Assumptions and Catalog'!$E$56+'Assumptions and Catalog'!$F$56,IF(L448&lt;='Assumptions and Catalog'!$C$57,L448*'Assumptions and Catalog'!$H$57+'Assumptions and Catalog'!$E$57+'Assumptions and Catalog'!$F$57,"Out of range")))))))),IF(L448&lt;='Assumptions and Catalog'!$C$60,L448*'Assumptions and Catalog'!$H$60+'Assumptions and Catalog'!$E$60+'Assumptions and Catalog'!$F$60,IF(L448&lt;='Assumptions and Catalog'!$C$61,L448*'Assumptions and Catalog'!$H$61+'Assumptions and Catalog'!$E$61+'Assumptions and Catalog'!$F$61,IF(L448&lt;='Assumptions and Catalog'!$C$62,L448*'Assumptions and Catalog'!$H$62+'Assumptions and Catalog'!$E$62+'Assumptions and Catalog'!$F$62,IF(L448&lt;='Assumptions and Catalog'!$C$63,L448*'Assumptions and Catalog'!$H$63+'Assumptions and Catalog'!$E$63+'Assumptions and Catalog'!$F$63,IF(L448&lt;='Assumptions and Catalog'!$C$64,L448*'Assumptions and Catalog'!$H$64+'Assumptions and Catalog'!$E$64+'Assumptions and Catalog'!$F$64,IF(L448&lt;='Assumptions and Catalog'!$C$65,L448*'Assumptions and Catalog'!$H$65+'Assumptions and Catalog'!$E$65+'Assumptions and Catalog'!$F$65,"Out of range")))))))))*(1+'Assumptions and Catalog'!$C$8)^(A448-1),0)</f>
        <v>7727.0666666666657</v>
      </c>
      <c r="O448" s="5">
        <f t="shared" si="35"/>
        <v>0</v>
      </c>
      <c r="P448" s="5">
        <f>D$55*(1-K$14)*(1-'Assumptions and Catalog'!$C$23)^R448</f>
        <v>0</v>
      </c>
      <c r="Q448" s="5">
        <f>IF(ISNUMBER(Inputs!$L$5),(IF(Inputs!$L$9="Actual flat rate",((D448+E448)*C448-G448)*Inputs!$L$10,IF(Inputs!$C$9="Residential",IF(((D448+E448)*C448-G448)&lt;='Assumptions and Catalog'!$C$50,((D448+E448)*C448-G448)*'Assumptions and Catalog'!$H$50+'Assumptions and Catalog'!$E$50+'Assumptions and Catalog'!$F$50,IF(((D448+E448)*C448-G448)&lt;='Assumptions and Catalog'!$C$51,((D448+E448)*C448-G448)*'Assumptions and Catalog'!$H$51+'Assumptions and Catalog'!$E$51+'Assumptions and Catalog'!$F$51,IF(((D448+E448)*C448-G448)&lt;='Assumptions and Catalog'!$C$52,((D448+E448)*C448-G448)*'Assumptions and Catalog'!$H$52+'Assumptions and Catalog'!$E$52+'Assumptions and Catalog'!$F$52,IF(((D448+E448)*C448-G448)&lt;='Assumptions and Catalog'!$C$53,((D448+E448)*C448-G448)*'Assumptions and Catalog'!$H$53+'Assumptions and Catalog'!$E$53+'Assumptions and Catalog'!$F$53,IF(((D448+E448)*C448-G448)&lt;='Assumptions and Catalog'!$C$54,((D448+E448)*C448-G448)*'Assumptions and Catalog'!$H$54+'Assumptions and Catalog'!$E$54+'Assumptions and Catalog'!$F$54,IF(((D448+E448)*C448-G448)&lt;='Assumptions and Catalog'!$C$55,((D448+E448)*C448-G448)*'Assumptions and Catalog'!$H$55+'Assumptions and Catalog'!$E$55+'Assumptions and Catalog'!$F$55,IF(((D448+E448)*C448-G448)&lt;='Assumptions and Catalog'!$C$56,((D448+E448)*C448-G448)*'Assumptions and Catalog'!$H$56+'Assumptions and Catalog'!$E$56+'Assumptions and Catalog'!$F$56,IF(((D448+E448)*C448-G448)&lt;='Assumptions and Catalog'!$C$57,((D448+E448)*C448-G448)*'Assumptions and Catalog'!$H$57+'Assumptions and Catalog'!$E$57+'Assumptions and Catalog'!$F$57,"Out of range")))))))),IF(((D448+E448)*C448-G448)&lt;='Assumptions and Catalog'!$C$60,((D448+E448)*C448-G448)*'Assumptions and Catalog'!$H$60+'Assumptions and Catalog'!$E$60+'Assumptions and Catalog'!$F$60,IF(((D448+E448)*C448-G448)&lt;='Assumptions and Catalog'!$C$61,((D448+E448)*C448-G448)*'Assumptions and Catalog'!$H$61+'Assumptions and Catalog'!$E$61+'Assumptions and Catalog'!$F$61,IF(((D448+E448)*C448-G448)&lt;='Assumptions and Catalog'!$C$62,((D448+E448)*C448-G448)*'Assumptions and Catalog'!$H$62+'Assumptions and Catalog'!$E$62+'Assumptions and Catalog'!$F$62,IF(((D448+E448)*C448-G448)&lt;='Assumptions and Catalog'!$C$63,((D448+E448)*C448-G448)*'Assumptions and Catalog'!$H$63+'Assumptions and Catalog'!$E$63+'Assumptions and Catalog'!$F$63,IF(((D448+E448)*C448-G448)&lt;='Assumptions and Catalog'!$C$64,((D448+E448)*C448-G448)*'Assumptions and Catalog'!$H$64+'Assumptions and Catalog'!$E$64+'Assumptions and Catalog'!$F$64,IF(((D448+E448)*C448-G448)&lt;='Assumptions and Catalog'!$C$65,((D448+E448)*C448-G448)*'Assumptions and Catalog'!$H$65+'Assumptions and Catalog'!$E$65+'Assumptions and Catalog'!$F$65,"Out of range")))))))))*(1+'Assumptions and Catalog'!$C$8)^(A448-1),0)</f>
        <v>7727.0666666666657</v>
      </c>
      <c r="R448" s="5">
        <f>IF(AND('Assumptions and Catalog'!$C$19&gt;0,A448&gt;='Assumptions and Catalog'!$C$19),A448-'Assumptions and Catalog'!$C$19,A448-1)</f>
        <v>3</v>
      </c>
      <c r="S448" s="5">
        <f>F448+L448-(D448+E448)*C448-J448-K448-IF(D$52&gt;0,'Assumptions and Catalog'!$C$26*C448,0)</f>
        <v>0</v>
      </c>
      <c r="T448" s="5"/>
      <c r="U448" s="5"/>
    </row>
    <row r="449" spans="1:21" ht="23.1" customHeight="1" outlineLevel="1" x14ac:dyDescent="0.2">
      <c r="A449" s="5">
        <v>4</v>
      </c>
      <c r="B449" s="5">
        <v>3</v>
      </c>
      <c r="C449" s="5">
        <f>DAY(DATE('Assumptions and Catalog'!$C$24+A449-1,B449+1,0))</f>
        <v>31</v>
      </c>
      <c r="D449" s="5">
        <f>IF(ISNUMBER(Inputs!$L$5),Inputs!$L$5*Inputs!$L$6,0)</f>
        <v>40.35</v>
      </c>
      <c r="E449" s="5">
        <f>IF(ISNUMBER(Inputs!$L$5),Inputs!$L$5-D449,0)</f>
        <v>40.35</v>
      </c>
      <c r="F449" s="5">
        <f>D$51*'Assumptions and Catalog'!$C$31*C449*(1-'Assumptions and Catalog'!$C$10)^(A449-1)</f>
        <v>0</v>
      </c>
      <c r="G449" s="5">
        <f t="shared" si="32"/>
        <v>0</v>
      </c>
      <c r="H449" s="5">
        <f>I449/('Assumptions and Catalog'!$C$11*'Assumptions and Catalog'!$C$12)</f>
        <v>0</v>
      </c>
      <c r="I449" s="5">
        <f>IF(K$15="Grid cycle",MIN(K$16,D449+E449,P449*'Assumptions and Catalog'!$C$12,D$57*(24-'Assumptions and Catalog'!$C$15),D$56*'Assumptions and Catalog'!$C$15*'Assumptions and Catalog'!$C$11*'Assumptions and Catalog'!$C$12)*C449,0)</f>
        <v>0</v>
      </c>
      <c r="J449" s="5">
        <f t="shared" si="33"/>
        <v>0</v>
      </c>
      <c r="K449" s="5">
        <f t="shared" si="34"/>
        <v>0</v>
      </c>
      <c r="L449" s="5">
        <f>(D449+E449)*C449-G449-I449+H449+IF(D$52&gt;0,'Assumptions and Catalog'!$C$26*C449,0)</f>
        <v>2501.7000000000003</v>
      </c>
      <c r="M449" s="5">
        <f>IF(ISNUMBER(Inputs!$L$5),(IF(Inputs!$L$9="Actual flat rate",((D449+E449)*C449)*Inputs!$L$10,IF(Inputs!$C$9="Residential",IF(((D449+E449)*C449)&lt;='Assumptions and Catalog'!$C$50,((D449+E449)*C449)*'Assumptions and Catalog'!$H$50+'Assumptions and Catalog'!$E$50+'Assumptions and Catalog'!$F$50,IF(((D449+E449)*C449)&lt;='Assumptions and Catalog'!$C$51,((D449+E449)*C449)*'Assumptions and Catalog'!$H$51+'Assumptions and Catalog'!$E$51+'Assumptions and Catalog'!$F$51,IF(((D449+E449)*C449)&lt;='Assumptions and Catalog'!$C$52,((D449+E449)*C449)*'Assumptions and Catalog'!$H$52+'Assumptions and Catalog'!$E$52+'Assumptions and Catalog'!$F$52,IF(((D449+E449)*C449)&lt;='Assumptions and Catalog'!$C$53,((D449+E449)*C449)*'Assumptions and Catalog'!$H$53+'Assumptions and Catalog'!$E$53+'Assumptions and Catalog'!$F$53,IF(((D449+E449)*C449)&lt;='Assumptions and Catalog'!$C$54,((D449+E449)*C449)*'Assumptions and Catalog'!$H$54+'Assumptions and Catalog'!$E$54+'Assumptions and Catalog'!$F$54,IF(((D449+E449)*C449)&lt;='Assumptions and Catalog'!$C$55,((D449+E449)*C449)*'Assumptions and Catalog'!$H$55+'Assumptions and Catalog'!$E$55+'Assumptions and Catalog'!$F$55,IF(((D449+E449)*C449)&lt;='Assumptions and Catalog'!$C$56,((D449+E449)*C449)*'Assumptions and Catalog'!$H$56+'Assumptions and Catalog'!$E$56+'Assumptions and Catalog'!$F$56,IF(((D449+E449)*C449)&lt;='Assumptions and Catalog'!$C$57,((D449+E449)*C449)*'Assumptions and Catalog'!$H$57+'Assumptions and Catalog'!$E$57+'Assumptions and Catalog'!$F$57,"Out of range")))))))),IF(((D449+E449)*C449)&lt;='Assumptions and Catalog'!$C$60,((D449+E449)*C449)*'Assumptions and Catalog'!$H$60+'Assumptions and Catalog'!$E$60+'Assumptions and Catalog'!$F$60,IF(((D449+E449)*C449)&lt;='Assumptions and Catalog'!$C$61,((D449+E449)*C449)*'Assumptions and Catalog'!$H$61+'Assumptions and Catalog'!$E$61+'Assumptions and Catalog'!$F$61,IF(((D449+E449)*C449)&lt;='Assumptions and Catalog'!$C$62,((D449+E449)*C449)*'Assumptions and Catalog'!$H$62+'Assumptions and Catalog'!$E$62+'Assumptions and Catalog'!$F$62,IF(((D449+E449)*C449)&lt;='Assumptions and Catalog'!$C$63,((D449+E449)*C449)*'Assumptions and Catalog'!$H$63+'Assumptions and Catalog'!$E$63+'Assumptions and Catalog'!$F$63,IF(((D449+E449)*C449)&lt;='Assumptions and Catalog'!$C$64,((D449+E449)*C449)*'Assumptions and Catalog'!$H$64+'Assumptions and Catalog'!$E$64+'Assumptions and Catalog'!$F$64,IF(((D449+E449)*C449)&lt;='Assumptions and Catalog'!$C$65,((D449+E449)*C449)*'Assumptions and Catalog'!$H$65+'Assumptions and Catalog'!$E$65+'Assumptions and Catalog'!$F$65,"Out of range")))))))))*(1+'Assumptions and Catalog'!$C$8)^(A449-1),0)</f>
        <v>8554.9666666666672</v>
      </c>
      <c r="N449" s="5">
        <f>IF(ISNUMBER(Inputs!$L$5),(IF(Inputs!$L$9="Actual flat rate",L449*Inputs!$L$10,IF(Inputs!$C$9="Residential",IF(L449&lt;='Assumptions and Catalog'!$C$50,L449*'Assumptions and Catalog'!$H$50+'Assumptions and Catalog'!$E$50+'Assumptions and Catalog'!$F$50,IF(L449&lt;='Assumptions and Catalog'!$C$51,L449*'Assumptions and Catalog'!$H$51+'Assumptions and Catalog'!$E$51+'Assumptions and Catalog'!$F$51,IF(L449&lt;='Assumptions and Catalog'!$C$52,L449*'Assumptions and Catalog'!$H$52+'Assumptions and Catalog'!$E$52+'Assumptions and Catalog'!$F$52,IF(L449&lt;='Assumptions and Catalog'!$C$53,L449*'Assumptions and Catalog'!$H$53+'Assumptions and Catalog'!$E$53+'Assumptions and Catalog'!$F$53,IF(L449&lt;='Assumptions and Catalog'!$C$54,L449*'Assumptions and Catalog'!$H$54+'Assumptions and Catalog'!$E$54+'Assumptions and Catalog'!$F$54,IF(L449&lt;='Assumptions and Catalog'!$C$55,L449*'Assumptions and Catalog'!$H$55+'Assumptions and Catalog'!$E$55+'Assumptions and Catalog'!$F$55,IF(L449&lt;='Assumptions and Catalog'!$C$56,L449*'Assumptions and Catalog'!$H$56+'Assumptions and Catalog'!$E$56+'Assumptions and Catalog'!$F$56,IF(L449&lt;='Assumptions and Catalog'!$C$57,L449*'Assumptions and Catalog'!$H$57+'Assumptions and Catalog'!$E$57+'Assumptions and Catalog'!$F$57,"Out of range")))))))),IF(L449&lt;='Assumptions and Catalog'!$C$60,L449*'Assumptions and Catalog'!$H$60+'Assumptions and Catalog'!$E$60+'Assumptions and Catalog'!$F$60,IF(L449&lt;='Assumptions and Catalog'!$C$61,L449*'Assumptions and Catalog'!$H$61+'Assumptions and Catalog'!$E$61+'Assumptions and Catalog'!$F$61,IF(L449&lt;='Assumptions and Catalog'!$C$62,L449*'Assumptions and Catalog'!$H$62+'Assumptions and Catalog'!$E$62+'Assumptions and Catalog'!$F$62,IF(L449&lt;='Assumptions and Catalog'!$C$63,L449*'Assumptions and Catalog'!$H$63+'Assumptions and Catalog'!$E$63+'Assumptions and Catalog'!$F$63,IF(L449&lt;='Assumptions and Catalog'!$C$64,L449*'Assumptions and Catalog'!$H$64+'Assumptions and Catalog'!$E$64+'Assumptions and Catalog'!$F$64,IF(L449&lt;='Assumptions and Catalog'!$C$65,L449*'Assumptions and Catalog'!$H$65+'Assumptions and Catalog'!$E$65+'Assumptions and Catalog'!$F$65,"Out of range")))))))))*(1+'Assumptions and Catalog'!$C$8)^(A449-1),0)</f>
        <v>8554.9666666666672</v>
      </c>
      <c r="O449" s="5">
        <f t="shared" si="35"/>
        <v>0</v>
      </c>
      <c r="P449" s="5">
        <f>D$55*(1-K$14)*(1-'Assumptions and Catalog'!$C$23)^R449</f>
        <v>0</v>
      </c>
      <c r="Q449" s="5">
        <f>IF(ISNUMBER(Inputs!$L$5),(IF(Inputs!$L$9="Actual flat rate",((D449+E449)*C449-G449)*Inputs!$L$10,IF(Inputs!$C$9="Residential",IF(((D449+E449)*C449-G449)&lt;='Assumptions and Catalog'!$C$50,((D449+E449)*C449-G449)*'Assumptions and Catalog'!$H$50+'Assumptions and Catalog'!$E$50+'Assumptions and Catalog'!$F$50,IF(((D449+E449)*C449-G449)&lt;='Assumptions and Catalog'!$C$51,((D449+E449)*C449-G449)*'Assumptions and Catalog'!$H$51+'Assumptions and Catalog'!$E$51+'Assumptions and Catalog'!$F$51,IF(((D449+E449)*C449-G449)&lt;='Assumptions and Catalog'!$C$52,((D449+E449)*C449-G449)*'Assumptions and Catalog'!$H$52+'Assumptions and Catalog'!$E$52+'Assumptions and Catalog'!$F$52,IF(((D449+E449)*C449-G449)&lt;='Assumptions and Catalog'!$C$53,((D449+E449)*C449-G449)*'Assumptions and Catalog'!$H$53+'Assumptions and Catalog'!$E$53+'Assumptions and Catalog'!$F$53,IF(((D449+E449)*C449-G449)&lt;='Assumptions and Catalog'!$C$54,((D449+E449)*C449-G449)*'Assumptions and Catalog'!$H$54+'Assumptions and Catalog'!$E$54+'Assumptions and Catalog'!$F$54,IF(((D449+E449)*C449-G449)&lt;='Assumptions and Catalog'!$C$55,((D449+E449)*C449-G449)*'Assumptions and Catalog'!$H$55+'Assumptions and Catalog'!$E$55+'Assumptions and Catalog'!$F$55,IF(((D449+E449)*C449-G449)&lt;='Assumptions and Catalog'!$C$56,((D449+E449)*C449-G449)*'Assumptions and Catalog'!$H$56+'Assumptions and Catalog'!$E$56+'Assumptions and Catalog'!$F$56,IF(((D449+E449)*C449-G449)&lt;='Assumptions and Catalog'!$C$57,((D449+E449)*C449-G449)*'Assumptions and Catalog'!$H$57+'Assumptions and Catalog'!$E$57+'Assumptions and Catalog'!$F$57,"Out of range")))))))),IF(((D449+E449)*C449-G449)&lt;='Assumptions and Catalog'!$C$60,((D449+E449)*C449-G449)*'Assumptions and Catalog'!$H$60+'Assumptions and Catalog'!$E$60+'Assumptions and Catalog'!$F$60,IF(((D449+E449)*C449-G449)&lt;='Assumptions and Catalog'!$C$61,((D449+E449)*C449-G449)*'Assumptions and Catalog'!$H$61+'Assumptions and Catalog'!$E$61+'Assumptions and Catalog'!$F$61,IF(((D449+E449)*C449-G449)&lt;='Assumptions and Catalog'!$C$62,((D449+E449)*C449-G449)*'Assumptions and Catalog'!$H$62+'Assumptions and Catalog'!$E$62+'Assumptions and Catalog'!$F$62,IF(((D449+E449)*C449-G449)&lt;='Assumptions and Catalog'!$C$63,((D449+E449)*C449-G449)*'Assumptions and Catalog'!$H$63+'Assumptions and Catalog'!$E$63+'Assumptions and Catalog'!$F$63,IF(((D449+E449)*C449-G449)&lt;='Assumptions and Catalog'!$C$64,((D449+E449)*C449-G449)*'Assumptions and Catalog'!$H$64+'Assumptions and Catalog'!$E$64+'Assumptions and Catalog'!$F$64,IF(((D449+E449)*C449-G449)&lt;='Assumptions and Catalog'!$C$65,((D449+E449)*C449-G449)*'Assumptions and Catalog'!$H$65+'Assumptions and Catalog'!$E$65+'Assumptions and Catalog'!$F$65,"Out of range")))))))))*(1+'Assumptions and Catalog'!$C$8)^(A449-1),0)</f>
        <v>8554.9666666666672</v>
      </c>
      <c r="R449" s="5">
        <f>IF(AND('Assumptions and Catalog'!$C$19&gt;0,A449&gt;='Assumptions and Catalog'!$C$19),A449-'Assumptions and Catalog'!$C$19,A449-1)</f>
        <v>3</v>
      </c>
      <c r="S449" s="5">
        <f>F449+L449-(D449+E449)*C449-J449-K449-IF(D$52&gt;0,'Assumptions and Catalog'!$C$26*C449,0)</f>
        <v>0</v>
      </c>
      <c r="T449" s="5"/>
      <c r="U449" s="5"/>
    </row>
    <row r="450" spans="1:21" ht="23.1" customHeight="1" outlineLevel="1" x14ac:dyDescent="0.2">
      <c r="A450" s="5">
        <v>4</v>
      </c>
      <c r="B450" s="5">
        <v>4</v>
      </c>
      <c r="C450" s="5">
        <f>DAY(DATE('Assumptions and Catalog'!$C$24+A450-1,B450+1,0))</f>
        <v>30</v>
      </c>
      <c r="D450" s="5">
        <f>IF(ISNUMBER(Inputs!$L$5),Inputs!$L$5*Inputs!$L$6,0)</f>
        <v>40.35</v>
      </c>
      <c r="E450" s="5">
        <f>IF(ISNUMBER(Inputs!$L$5),Inputs!$L$5-D450,0)</f>
        <v>40.35</v>
      </c>
      <c r="F450" s="5">
        <f>D$51*'Assumptions and Catalog'!$C$31*C450*(1-'Assumptions and Catalog'!$C$10)^(A450-1)</f>
        <v>0</v>
      </c>
      <c r="G450" s="5">
        <f t="shared" si="32"/>
        <v>0</v>
      </c>
      <c r="H450" s="5">
        <f>I450/('Assumptions and Catalog'!$C$11*'Assumptions and Catalog'!$C$12)</f>
        <v>0</v>
      </c>
      <c r="I450" s="5">
        <f>IF(K$15="Grid cycle",MIN(K$16,D450+E450,P450*'Assumptions and Catalog'!$C$12,D$57*(24-'Assumptions and Catalog'!$C$15),D$56*'Assumptions and Catalog'!$C$15*'Assumptions and Catalog'!$C$11*'Assumptions and Catalog'!$C$12)*C450,0)</f>
        <v>0</v>
      </c>
      <c r="J450" s="5">
        <f t="shared" si="33"/>
        <v>0</v>
      </c>
      <c r="K450" s="5">
        <f t="shared" si="34"/>
        <v>0</v>
      </c>
      <c r="L450" s="5">
        <f>(D450+E450)*C450-G450-I450+H450+IF(D$52&gt;0,'Assumptions and Catalog'!$C$26*C450,0)</f>
        <v>2421</v>
      </c>
      <c r="M450" s="5">
        <f>IF(ISNUMBER(Inputs!$L$5),(IF(Inputs!$L$9="Actual flat rate",((D450+E450)*C450)*Inputs!$L$10,IF(Inputs!$C$9="Residential",IF(((D450+E450)*C450)&lt;='Assumptions and Catalog'!$C$50,((D450+E450)*C450)*'Assumptions and Catalog'!$H$50+'Assumptions and Catalog'!$E$50+'Assumptions and Catalog'!$F$50,IF(((D450+E450)*C450)&lt;='Assumptions and Catalog'!$C$51,((D450+E450)*C450)*'Assumptions and Catalog'!$H$51+'Assumptions and Catalog'!$E$51+'Assumptions and Catalog'!$F$51,IF(((D450+E450)*C450)&lt;='Assumptions and Catalog'!$C$52,((D450+E450)*C450)*'Assumptions and Catalog'!$H$52+'Assumptions and Catalog'!$E$52+'Assumptions and Catalog'!$F$52,IF(((D450+E450)*C450)&lt;='Assumptions and Catalog'!$C$53,((D450+E450)*C450)*'Assumptions and Catalog'!$H$53+'Assumptions and Catalog'!$E$53+'Assumptions and Catalog'!$F$53,IF(((D450+E450)*C450)&lt;='Assumptions and Catalog'!$C$54,((D450+E450)*C450)*'Assumptions and Catalog'!$H$54+'Assumptions and Catalog'!$E$54+'Assumptions and Catalog'!$F$54,IF(((D450+E450)*C450)&lt;='Assumptions and Catalog'!$C$55,((D450+E450)*C450)*'Assumptions and Catalog'!$H$55+'Assumptions and Catalog'!$E$55+'Assumptions and Catalog'!$F$55,IF(((D450+E450)*C450)&lt;='Assumptions and Catalog'!$C$56,((D450+E450)*C450)*'Assumptions and Catalog'!$H$56+'Assumptions and Catalog'!$E$56+'Assumptions and Catalog'!$F$56,IF(((D450+E450)*C450)&lt;='Assumptions and Catalog'!$C$57,((D450+E450)*C450)*'Assumptions and Catalog'!$H$57+'Assumptions and Catalog'!$E$57+'Assumptions and Catalog'!$F$57,"Out of range")))))))),IF(((D450+E450)*C450)&lt;='Assumptions and Catalog'!$C$60,((D450+E450)*C450)*'Assumptions and Catalog'!$H$60+'Assumptions and Catalog'!$E$60+'Assumptions and Catalog'!$F$60,IF(((D450+E450)*C450)&lt;='Assumptions and Catalog'!$C$61,((D450+E450)*C450)*'Assumptions and Catalog'!$H$61+'Assumptions and Catalog'!$E$61+'Assumptions and Catalog'!$F$61,IF(((D450+E450)*C450)&lt;='Assumptions and Catalog'!$C$62,((D450+E450)*C450)*'Assumptions and Catalog'!$H$62+'Assumptions and Catalog'!$E$62+'Assumptions and Catalog'!$F$62,IF(((D450+E450)*C450)&lt;='Assumptions and Catalog'!$C$63,((D450+E450)*C450)*'Assumptions and Catalog'!$H$63+'Assumptions and Catalog'!$E$63+'Assumptions and Catalog'!$F$63,IF(((D450+E450)*C450)&lt;='Assumptions and Catalog'!$C$64,((D450+E450)*C450)*'Assumptions and Catalog'!$H$64+'Assumptions and Catalog'!$E$64+'Assumptions and Catalog'!$F$64,IF(((D450+E450)*C450)&lt;='Assumptions and Catalog'!$C$65,((D450+E450)*C450)*'Assumptions and Catalog'!$H$65+'Assumptions and Catalog'!$E$65+'Assumptions and Catalog'!$F$65,"Out of range")))))))))*(1+'Assumptions and Catalog'!$C$8)^(A450-1),0)</f>
        <v>8279</v>
      </c>
      <c r="N450" s="5">
        <f>IF(ISNUMBER(Inputs!$L$5),(IF(Inputs!$L$9="Actual flat rate",L450*Inputs!$L$10,IF(Inputs!$C$9="Residential",IF(L450&lt;='Assumptions and Catalog'!$C$50,L450*'Assumptions and Catalog'!$H$50+'Assumptions and Catalog'!$E$50+'Assumptions and Catalog'!$F$50,IF(L450&lt;='Assumptions and Catalog'!$C$51,L450*'Assumptions and Catalog'!$H$51+'Assumptions and Catalog'!$E$51+'Assumptions and Catalog'!$F$51,IF(L450&lt;='Assumptions and Catalog'!$C$52,L450*'Assumptions and Catalog'!$H$52+'Assumptions and Catalog'!$E$52+'Assumptions and Catalog'!$F$52,IF(L450&lt;='Assumptions and Catalog'!$C$53,L450*'Assumptions and Catalog'!$H$53+'Assumptions and Catalog'!$E$53+'Assumptions and Catalog'!$F$53,IF(L450&lt;='Assumptions and Catalog'!$C$54,L450*'Assumptions and Catalog'!$H$54+'Assumptions and Catalog'!$E$54+'Assumptions and Catalog'!$F$54,IF(L450&lt;='Assumptions and Catalog'!$C$55,L450*'Assumptions and Catalog'!$H$55+'Assumptions and Catalog'!$E$55+'Assumptions and Catalog'!$F$55,IF(L450&lt;='Assumptions and Catalog'!$C$56,L450*'Assumptions and Catalog'!$H$56+'Assumptions and Catalog'!$E$56+'Assumptions and Catalog'!$F$56,IF(L450&lt;='Assumptions and Catalog'!$C$57,L450*'Assumptions and Catalog'!$H$57+'Assumptions and Catalog'!$E$57+'Assumptions and Catalog'!$F$57,"Out of range")))))))),IF(L450&lt;='Assumptions and Catalog'!$C$60,L450*'Assumptions and Catalog'!$H$60+'Assumptions and Catalog'!$E$60+'Assumptions and Catalog'!$F$60,IF(L450&lt;='Assumptions and Catalog'!$C$61,L450*'Assumptions and Catalog'!$H$61+'Assumptions and Catalog'!$E$61+'Assumptions and Catalog'!$F$61,IF(L450&lt;='Assumptions and Catalog'!$C$62,L450*'Assumptions and Catalog'!$H$62+'Assumptions and Catalog'!$E$62+'Assumptions and Catalog'!$F$62,IF(L450&lt;='Assumptions and Catalog'!$C$63,L450*'Assumptions and Catalog'!$H$63+'Assumptions and Catalog'!$E$63+'Assumptions and Catalog'!$F$63,IF(L450&lt;='Assumptions and Catalog'!$C$64,L450*'Assumptions and Catalog'!$H$64+'Assumptions and Catalog'!$E$64+'Assumptions and Catalog'!$F$64,IF(L450&lt;='Assumptions and Catalog'!$C$65,L450*'Assumptions and Catalog'!$H$65+'Assumptions and Catalog'!$E$65+'Assumptions and Catalog'!$F$65,"Out of range")))))))))*(1+'Assumptions and Catalog'!$C$8)^(A450-1),0)</f>
        <v>8279</v>
      </c>
      <c r="O450" s="5">
        <f t="shared" si="35"/>
        <v>0</v>
      </c>
      <c r="P450" s="5">
        <f>D$55*(1-K$14)*(1-'Assumptions and Catalog'!$C$23)^R450</f>
        <v>0</v>
      </c>
      <c r="Q450" s="5">
        <f>IF(ISNUMBER(Inputs!$L$5),(IF(Inputs!$L$9="Actual flat rate",((D450+E450)*C450-G450)*Inputs!$L$10,IF(Inputs!$C$9="Residential",IF(((D450+E450)*C450-G450)&lt;='Assumptions and Catalog'!$C$50,((D450+E450)*C450-G450)*'Assumptions and Catalog'!$H$50+'Assumptions and Catalog'!$E$50+'Assumptions and Catalog'!$F$50,IF(((D450+E450)*C450-G450)&lt;='Assumptions and Catalog'!$C$51,((D450+E450)*C450-G450)*'Assumptions and Catalog'!$H$51+'Assumptions and Catalog'!$E$51+'Assumptions and Catalog'!$F$51,IF(((D450+E450)*C450-G450)&lt;='Assumptions and Catalog'!$C$52,((D450+E450)*C450-G450)*'Assumptions and Catalog'!$H$52+'Assumptions and Catalog'!$E$52+'Assumptions and Catalog'!$F$52,IF(((D450+E450)*C450-G450)&lt;='Assumptions and Catalog'!$C$53,((D450+E450)*C450-G450)*'Assumptions and Catalog'!$H$53+'Assumptions and Catalog'!$E$53+'Assumptions and Catalog'!$F$53,IF(((D450+E450)*C450-G450)&lt;='Assumptions and Catalog'!$C$54,((D450+E450)*C450-G450)*'Assumptions and Catalog'!$H$54+'Assumptions and Catalog'!$E$54+'Assumptions and Catalog'!$F$54,IF(((D450+E450)*C450-G450)&lt;='Assumptions and Catalog'!$C$55,((D450+E450)*C450-G450)*'Assumptions and Catalog'!$H$55+'Assumptions and Catalog'!$E$55+'Assumptions and Catalog'!$F$55,IF(((D450+E450)*C450-G450)&lt;='Assumptions and Catalog'!$C$56,((D450+E450)*C450-G450)*'Assumptions and Catalog'!$H$56+'Assumptions and Catalog'!$E$56+'Assumptions and Catalog'!$F$56,IF(((D450+E450)*C450-G450)&lt;='Assumptions and Catalog'!$C$57,((D450+E450)*C450-G450)*'Assumptions and Catalog'!$H$57+'Assumptions and Catalog'!$E$57+'Assumptions and Catalog'!$F$57,"Out of range")))))))),IF(((D450+E450)*C450-G450)&lt;='Assumptions and Catalog'!$C$60,((D450+E450)*C450-G450)*'Assumptions and Catalog'!$H$60+'Assumptions and Catalog'!$E$60+'Assumptions and Catalog'!$F$60,IF(((D450+E450)*C450-G450)&lt;='Assumptions and Catalog'!$C$61,((D450+E450)*C450-G450)*'Assumptions and Catalog'!$H$61+'Assumptions and Catalog'!$E$61+'Assumptions and Catalog'!$F$61,IF(((D450+E450)*C450-G450)&lt;='Assumptions and Catalog'!$C$62,((D450+E450)*C450-G450)*'Assumptions and Catalog'!$H$62+'Assumptions and Catalog'!$E$62+'Assumptions and Catalog'!$F$62,IF(((D450+E450)*C450-G450)&lt;='Assumptions and Catalog'!$C$63,((D450+E450)*C450-G450)*'Assumptions and Catalog'!$H$63+'Assumptions and Catalog'!$E$63+'Assumptions and Catalog'!$F$63,IF(((D450+E450)*C450-G450)&lt;='Assumptions and Catalog'!$C$64,((D450+E450)*C450-G450)*'Assumptions and Catalog'!$H$64+'Assumptions and Catalog'!$E$64+'Assumptions and Catalog'!$F$64,IF(((D450+E450)*C450-G450)&lt;='Assumptions and Catalog'!$C$65,((D450+E450)*C450-G450)*'Assumptions and Catalog'!$H$65+'Assumptions and Catalog'!$E$65+'Assumptions and Catalog'!$F$65,"Out of range")))))))))*(1+'Assumptions and Catalog'!$C$8)^(A450-1),0)</f>
        <v>8279</v>
      </c>
      <c r="R450" s="5">
        <f>IF(AND('Assumptions and Catalog'!$C$19&gt;0,A450&gt;='Assumptions and Catalog'!$C$19),A450-'Assumptions and Catalog'!$C$19,A450-1)</f>
        <v>3</v>
      </c>
      <c r="S450" s="5">
        <f>F450+L450-(D450+E450)*C450-J450-K450-IF(D$52&gt;0,'Assumptions and Catalog'!$C$26*C450,0)</f>
        <v>0</v>
      </c>
      <c r="T450" s="5"/>
      <c r="U450" s="5"/>
    </row>
    <row r="451" spans="1:21" ht="23.1" customHeight="1" outlineLevel="1" x14ac:dyDescent="0.2">
      <c r="A451" s="5">
        <v>4</v>
      </c>
      <c r="B451" s="5">
        <v>5</v>
      </c>
      <c r="C451" s="5">
        <f>DAY(DATE('Assumptions and Catalog'!$C$24+A451-1,B451+1,0))</f>
        <v>31</v>
      </c>
      <c r="D451" s="5">
        <f>IF(ISNUMBER(Inputs!$L$5),Inputs!$L$5*Inputs!$L$6,0)</f>
        <v>40.35</v>
      </c>
      <c r="E451" s="5">
        <f>IF(ISNUMBER(Inputs!$L$5),Inputs!$L$5-D451,0)</f>
        <v>40.35</v>
      </c>
      <c r="F451" s="5">
        <f>D$51*'Assumptions and Catalog'!$C$31*C451*(1-'Assumptions and Catalog'!$C$10)^(A451-1)</f>
        <v>0</v>
      </c>
      <c r="G451" s="5">
        <f t="shared" si="32"/>
        <v>0</v>
      </c>
      <c r="H451" s="5">
        <f>I451/('Assumptions and Catalog'!$C$11*'Assumptions and Catalog'!$C$12)</f>
        <v>0</v>
      </c>
      <c r="I451" s="5">
        <f>IF(K$15="Grid cycle",MIN(K$16,D451+E451,P451*'Assumptions and Catalog'!$C$12,D$57*(24-'Assumptions and Catalog'!$C$15),D$56*'Assumptions and Catalog'!$C$15*'Assumptions and Catalog'!$C$11*'Assumptions and Catalog'!$C$12)*C451,0)</f>
        <v>0</v>
      </c>
      <c r="J451" s="5">
        <f t="shared" si="33"/>
        <v>0</v>
      </c>
      <c r="K451" s="5">
        <f t="shared" si="34"/>
        <v>0</v>
      </c>
      <c r="L451" s="5">
        <f>(D451+E451)*C451-G451-I451+H451+IF(D$52&gt;0,'Assumptions and Catalog'!$C$26*C451,0)</f>
        <v>2501.7000000000003</v>
      </c>
      <c r="M451" s="5">
        <f>IF(ISNUMBER(Inputs!$L$5),(IF(Inputs!$L$9="Actual flat rate",((D451+E451)*C451)*Inputs!$L$10,IF(Inputs!$C$9="Residential",IF(((D451+E451)*C451)&lt;='Assumptions and Catalog'!$C$50,((D451+E451)*C451)*'Assumptions and Catalog'!$H$50+'Assumptions and Catalog'!$E$50+'Assumptions and Catalog'!$F$50,IF(((D451+E451)*C451)&lt;='Assumptions and Catalog'!$C$51,((D451+E451)*C451)*'Assumptions and Catalog'!$H$51+'Assumptions and Catalog'!$E$51+'Assumptions and Catalog'!$F$51,IF(((D451+E451)*C451)&lt;='Assumptions and Catalog'!$C$52,((D451+E451)*C451)*'Assumptions and Catalog'!$H$52+'Assumptions and Catalog'!$E$52+'Assumptions and Catalog'!$F$52,IF(((D451+E451)*C451)&lt;='Assumptions and Catalog'!$C$53,((D451+E451)*C451)*'Assumptions and Catalog'!$H$53+'Assumptions and Catalog'!$E$53+'Assumptions and Catalog'!$F$53,IF(((D451+E451)*C451)&lt;='Assumptions and Catalog'!$C$54,((D451+E451)*C451)*'Assumptions and Catalog'!$H$54+'Assumptions and Catalog'!$E$54+'Assumptions and Catalog'!$F$54,IF(((D451+E451)*C451)&lt;='Assumptions and Catalog'!$C$55,((D451+E451)*C451)*'Assumptions and Catalog'!$H$55+'Assumptions and Catalog'!$E$55+'Assumptions and Catalog'!$F$55,IF(((D451+E451)*C451)&lt;='Assumptions and Catalog'!$C$56,((D451+E451)*C451)*'Assumptions and Catalog'!$H$56+'Assumptions and Catalog'!$E$56+'Assumptions and Catalog'!$F$56,IF(((D451+E451)*C451)&lt;='Assumptions and Catalog'!$C$57,((D451+E451)*C451)*'Assumptions and Catalog'!$H$57+'Assumptions and Catalog'!$E$57+'Assumptions and Catalog'!$F$57,"Out of range")))))))),IF(((D451+E451)*C451)&lt;='Assumptions and Catalog'!$C$60,((D451+E451)*C451)*'Assumptions and Catalog'!$H$60+'Assumptions and Catalog'!$E$60+'Assumptions and Catalog'!$F$60,IF(((D451+E451)*C451)&lt;='Assumptions and Catalog'!$C$61,((D451+E451)*C451)*'Assumptions and Catalog'!$H$61+'Assumptions and Catalog'!$E$61+'Assumptions and Catalog'!$F$61,IF(((D451+E451)*C451)&lt;='Assumptions and Catalog'!$C$62,((D451+E451)*C451)*'Assumptions and Catalog'!$H$62+'Assumptions and Catalog'!$E$62+'Assumptions and Catalog'!$F$62,IF(((D451+E451)*C451)&lt;='Assumptions and Catalog'!$C$63,((D451+E451)*C451)*'Assumptions and Catalog'!$H$63+'Assumptions and Catalog'!$E$63+'Assumptions and Catalog'!$F$63,IF(((D451+E451)*C451)&lt;='Assumptions and Catalog'!$C$64,((D451+E451)*C451)*'Assumptions and Catalog'!$H$64+'Assumptions and Catalog'!$E$64+'Assumptions and Catalog'!$F$64,IF(((D451+E451)*C451)&lt;='Assumptions and Catalog'!$C$65,((D451+E451)*C451)*'Assumptions and Catalog'!$H$65+'Assumptions and Catalog'!$E$65+'Assumptions and Catalog'!$F$65,"Out of range")))))))))*(1+'Assumptions and Catalog'!$C$8)^(A451-1),0)</f>
        <v>8554.9666666666672</v>
      </c>
      <c r="N451" s="5">
        <f>IF(ISNUMBER(Inputs!$L$5),(IF(Inputs!$L$9="Actual flat rate",L451*Inputs!$L$10,IF(Inputs!$C$9="Residential",IF(L451&lt;='Assumptions and Catalog'!$C$50,L451*'Assumptions and Catalog'!$H$50+'Assumptions and Catalog'!$E$50+'Assumptions and Catalog'!$F$50,IF(L451&lt;='Assumptions and Catalog'!$C$51,L451*'Assumptions and Catalog'!$H$51+'Assumptions and Catalog'!$E$51+'Assumptions and Catalog'!$F$51,IF(L451&lt;='Assumptions and Catalog'!$C$52,L451*'Assumptions and Catalog'!$H$52+'Assumptions and Catalog'!$E$52+'Assumptions and Catalog'!$F$52,IF(L451&lt;='Assumptions and Catalog'!$C$53,L451*'Assumptions and Catalog'!$H$53+'Assumptions and Catalog'!$E$53+'Assumptions and Catalog'!$F$53,IF(L451&lt;='Assumptions and Catalog'!$C$54,L451*'Assumptions and Catalog'!$H$54+'Assumptions and Catalog'!$E$54+'Assumptions and Catalog'!$F$54,IF(L451&lt;='Assumptions and Catalog'!$C$55,L451*'Assumptions and Catalog'!$H$55+'Assumptions and Catalog'!$E$55+'Assumptions and Catalog'!$F$55,IF(L451&lt;='Assumptions and Catalog'!$C$56,L451*'Assumptions and Catalog'!$H$56+'Assumptions and Catalog'!$E$56+'Assumptions and Catalog'!$F$56,IF(L451&lt;='Assumptions and Catalog'!$C$57,L451*'Assumptions and Catalog'!$H$57+'Assumptions and Catalog'!$E$57+'Assumptions and Catalog'!$F$57,"Out of range")))))))),IF(L451&lt;='Assumptions and Catalog'!$C$60,L451*'Assumptions and Catalog'!$H$60+'Assumptions and Catalog'!$E$60+'Assumptions and Catalog'!$F$60,IF(L451&lt;='Assumptions and Catalog'!$C$61,L451*'Assumptions and Catalog'!$H$61+'Assumptions and Catalog'!$E$61+'Assumptions and Catalog'!$F$61,IF(L451&lt;='Assumptions and Catalog'!$C$62,L451*'Assumptions and Catalog'!$H$62+'Assumptions and Catalog'!$E$62+'Assumptions and Catalog'!$F$62,IF(L451&lt;='Assumptions and Catalog'!$C$63,L451*'Assumptions and Catalog'!$H$63+'Assumptions and Catalog'!$E$63+'Assumptions and Catalog'!$F$63,IF(L451&lt;='Assumptions and Catalog'!$C$64,L451*'Assumptions and Catalog'!$H$64+'Assumptions and Catalog'!$E$64+'Assumptions and Catalog'!$F$64,IF(L451&lt;='Assumptions and Catalog'!$C$65,L451*'Assumptions and Catalog'!$H$65+'Assumptions and Catalog'!$E$65+'Assumptions and Catalog'!$F$65,"Out of range")))))))))*(1+'Assumptions and Catalog'!$C$8)^(A451-1),0)</f>
        <v>8554.9666666666672</v>
      </c>
      <c r="O451" s="5">
        <f t="shared" si="35"/>
        <v>0</v>
      </c>
      <c r="P451" s="5">
        <f>D$55*(1-K$14)*(1-'Assumptions and Catalog'!$C$23)^R451</f>
        <v>0</v>
      </c>
      <c r="Q451" s="5">
        <f>IF(ISNUMBER(Inputs!$L$5),(IF(Inputs!$L$9="Actual flat rate",((D451+E451)*C451-G451)*Inputs!$L$10,IF(Inputs!$C$9="Residential",IF(((D451+E451)*C451-G451)&lt;='Assumptions and Catalog'!$C$50,((D451+E451)*C451-G451)*'Assumptions and Catalog'!$H$50+'Assumptions and Catalog'!$E$50+'Assumptions and Catalog'!$F$50,IF(((D451+E451)*C451-G451)&lt;='Assumptions and Catalog'!$C$51,((D451+E451)*C451-G451)*'Assumptions and Catalog'!$H$51+'Assumptions and Catalog'!$E$51+'Assumptions and Catalog'!$F$51,IF(((D451+E451)*C451-G451)&lt;='Assumptions and Catalog'!$C$52,((D451+E451)*C451-G451)*'Assumptions and Catalog'!$H$52+'Assumptions and Catalog'!$E$52+'Assumptions and Catalog'!$F$52,IF(((D451+E451)*C451-G451)&lt;='Assumptions and Catalog'!$C$53,((D451+E451)*C451-G451)*'Assumptions and Catalog'!$H$53+'Assumptions and Catalog'!$E$53+'Assumptions and Catalog'!$F$53,IF(((D451+E451)*C451-G451)&lt;='Assumptions and Catalog'!$C$54,((D451+E451)*C451-G451)*'Assumptions and Catalog'!$H$54+'Assumptions and Catalog'!$E$54+'Assumptions and Catalog'!$F$54,IF(((D451+E451)*C451-G451)&lt;='Assumptions and Catalog'!$C$55,((D451+E451)*C451-G451)*'Assumptions and Catalog'!$H$55+'Assumptions and Catalog'!$E$55+'Assumptions and Catalog'!$F$55,IF(((D451+E451)*C451-G451)&lt;='Assumptions and Catalog'!$C$56,((D451+E451)*C451-G451)*'Assumptions and Catalog'!$H$56+'Assumptions and Catalog'!$E$56+'Assumptions and Catalog'!$F$56,IF(((D451+E451)*C451-G451)&lt;='Assumptions and Catalog'!$C$57,((D451+E451)*C451-G451)*'Assumptions and Catalog'!$H$57+'Assumptions and Catalog'!$E$57+'Assumptions and Catalog'!$F$57,"Out of range")))))))),IF(((D451+E451)*C451-G451)&lt;='Assumptions and Catalog'!$C$60,((D451+E451)*C451-G451)*'Assumptions and Catalog'!$H$60+'Assumptions and Catalog'!$E$60+'Assumptions and Catalog'!$F$60,IF(((D451+E451)*C451-G451)&lt;='Assumptions and Catalog'!$C$61,((D451+E451)*C451-G451)*'Assumptions and Catalog'!$H$61+'Assumptions and Catalog'!$E$61+'Assumptions and Catalog'!$F$61,IF(((D451+E451)*C451-G451)&lt;='Assumptions and Catalog'!$C$62,((D451+E451)*C451-G451)*'Assumptions and Catalog'!$H$62+'Assumptions and Catalog'!$E$62+'Assumptions and Catalog'!$F$62,IF(((D451+E451)*C451-G451)&lt;='Assumptions and Catalog'!$C$63,((D451+E451)*C451-G451)*'Assumptions and Catalog'!$H$63+'Assumptions and Catalog'!$E$63+'Assumptions and Catalog'!$F$63,IF(((D451+E451)*C451-G451)&lt;='Assumptions and Catalog'!$C$64,((D451+E451)*C451-G451)*'Assumptions and Catalog'!$H$64+'Assumptions and Catalog'!$E$64+'Assumptions and Catalog'!$F$64,IF(((D451+E451)*C451-G451)&lt;='Assumptions and Catalog'!$C$65,((D451+E451)*C451-G451)*'Assumptions and Catalog'!$H$65+'Assumptions and Catalog'!$E$65+'Assumptions and Catalog'!$F$65,"Out of range")))))))))*(1+'Assumptions and Catalog'!$C$8)^(A451-1),0)</f>
        <v>8554.9666666666672</v>
      </c>
      <c r="R451" s="5">
        <f>IF(AND('Assumptions and Catalog'!$C$19&gt;0,A451&gt;='Assumptions and Catalog'!$C$19),A451-'Assumptions and Catalog'!$C$19,A451-1)</f>
        <v>3</v>
      </c>
      <c r="S451" s="5">
        <f>F451+L451-(D451+E451)*C451-J451-K451-IF(D$52&gt;0,'Assumptions and Catalog'!$C$26*C451,0)</f>
        <v>0</v>
      </c>
      <c r="T451" s="5"/>
      <c r="U451" s="5"/>
    </row>
    <row r="452" spans="1:21" ht="23.1" customHeight="1" outlineLevel="1" x14ac:dyDescent="0.2">
      <c r="A452" s="5">
        <v>4</v>
      </c>
      <c r="B452" s="5">
        <v>6</v>
      </c>
      <c r="C452" s="5">
        <f>DAY(DATE('Assumptions and Catalog'!$C$24+A452-1,B452+1,0))</f>
        <v>30</v>
      </c>
      <c r="D452" s="5">
        <f>IF(ISNUMBER(Inputs!$L$5),Inputs!$L$5*Inputs!$L$6,0)</f>
        <v>40.35</v>
      </c>
      <c r="E452" s="5">
        <f>IF(ISNUMBER(Inputs!$L$5),Inputs!$L$5-D452,0)</f>
        <v>40.35</v>
      </c>
      <c r="F452" s="5">
        <f>D$51*'Assumptions and Catalog'!$C$31*C452*(1-'Assumptions and Catalog'!$C$10)^(A452-1)</f>
        <v>0</v>
      </c>
      <c r="G452" s="5">
        <f t="shared" si="32"/>
        <v>0</v>
      </c>
      <c r="H452" s="5">
        <f>I452/('Assumptions and Catalog'!$C$11*'Assumptions and Catalog'!$C$12)</f>
        <v>0</v>
      </c>
      <c r="I452" s="5">
        <f>IF(K$15="Grid cycle",MIN(K$16,D452+E452,P452*'Assumptions and Catalog'!$C$12,D$57*(24-'Assumptions and Catalog'!$C$15),D$56*'Assumptions and Catalog'!$C$15*'Assumptions and Catalog'!$C$11*'Assumptions and Catalog'!$C$12)*C452,0)</f>
        <v>0</v>
      </c>
      <c r="J452" s="5">
        <f t="shared" si="33"/>
        <v>0</v>
      </c>
      <c r="K452" s="5">
        <f t="shared" si="34"/>
        <v>0</v>
      </c>
      <c r="L452" s="5">
        <f>(D452+E452)*C452-G452-I452+H452+IF(D$52&gt;0,'Assumptions and Catalog'!$C$26*C452,0)</f>
        <v>2421</v>
      </c>
      <c r="M452" s="5">
        <f>IF(ISNUMBER(Inputs!$L$5),(IF(Inputs!$L$9="Actual flat rate",((D452+E452)*C452)*Inputs!$L$10,IF(Inputs!$C$9="Residential",IF(((D452+E452)*C452)&lt;='Assumptions and Catalog'!$C$50,((D452+E452)*C452)*'Assumptions and Catalog'!$H$50+'Assumptions and Catalog'!$E$50+'Assumptions and Catalog'!$F$50,IF(((D452+E452)*C452)&lt;='Assumptions and Catalog'!$C$51,((D452+E452)*C452)*'Assumptions and Catalog'!$H$51+'Assumptions and Catalog'!$E$51+'Assumptions and Catalog'!$F$51,IF(((D452+E452)*C452)&lt;='Assumptions and Catalog'!$C$52,((D452+E452)*C452)*'Assumptions and Catalog'!$H$52+'Assumptions and Catalog'!$E$52+'Assumptions and Catalog'!$F$52,IF(((D452+E452)*C452)&lt;='Assumptions and Catalog'!$C$53,((D452+E452)*C452)*'Assumptions and Catalog'!$H$53+'Assumptions and Catalog'!$E$53+'Assumptions and Catalog'!$F$53,IF(((D452+E452)*C452)&lt;='Assumptions and Catalog'!$C$54,((D452+E452)*C452)*'Assumptions and Catalog'!$H$54+'Assumptions and Catalog'!$E$54+'Assumptions and Catalog'!$F$54,IF(((D452+E452)*C452)&lt;='Assumptions and Catalog'!$C$55,((D452+E452)*C452)*'Assumptions and Catalog'!$H$55+'Assumptions and Catalog'!$E$55+'Assumptions and Catalog'!$F$55,IF(((D452+E452)*C452)&lt;='Assumptions and Catalog'!$C$56,((D452+E452)*C452)*'Assumptions and Catalog'!$H$56+'Assumptions and Catalog'!$E$56+'Assumptions and Catalog'!$F$56,IF(((D452+E452)*C452)&lt;='Assumptions and Catalog'!$C$57,((D452+E452)*C452)*'Assumptions and Catalog'!$H$57+'Assumptions and Catalog'!$E$57+'Assumptions and Catalog'!$F$57,"Out of range")))))))),IF(((D452+E452)*C452)&lt;='Assumptions and Catalog'!$C$60,((D452+E452)*C452)*'Assumptions and Catalog'!$H$60+'Assumptions and Catalog'!$E$60+'Assumptions and Catalog'!$F$60,IF(((D452+E452)*C452)&lt;='Assumptions and Catalog'!$C$61,((D452+E452)*C452)*'Assumptions and Catalog'!$H$61+'Assumptions and Catalog'!$E$61+'Assumptions and Catalog'!$F$61,IF(((D452+E452)*C452)&lt;='Assumptions and Catalog'!$C$62,((D452+E452)*C452)*'Assumptions and Catalog'!$H$62+'Assumptions and Catalog'!$E$62+'Assumptions and Catalog'!$F$62,IF(((D452+E452)*C452)&lt;='Assumptions and Catalog'!$C$63,((D452+E452)*C452)*'Assumptions and Catalog'!$H$63+'Assumptions and Catalog'!$E$63+'Assumptions and Catalog'!$F$63,IF(((D452+E452)*C452)&lt;='Assumptions and Catalog'!$C$64,((D452+E452)*C452)*'Assumptions and Catalog'!$H$64+'Assumptions and Catalog'!$E$64+'Assumptions and Catalog'!$F$64,IF(((D452+E452)*C452)&lt;='Assumptions and Catalog'!$C$65,((D452+E452)*C452)*'Assumptions and Catalog'!$H$65+'Assumptions and Catalog'!$E$65+'Assumptions and Catalog'!$F$65,"Out of range")))))))))*(1+'Assumptions and Catalog'!$C$8)^(A452-1),0)</f>
        <v>8279</v>
      </c>
      <c r="N452" s="5">
        <f>IF(ISNUMBER(Inputs!$L$5),(IF(Inputs!$L$9="Actual flat rate",L452*Inputs!$L$10,IF(Inputs!$C$9="Residential",IF(L452&lt;='Assumptions and Catalog'!$C$50,L452*'Assumptions and Catalog'!$H$50+'Assumptions and Catalog'!$E$50+'Assumptions and Catalog'!$F$50,IF(L452&lt;='Assumptions and Catalog'!$C$51,L452*'Assumptions and Catalog'!$H$51+'Assumptions and Catalog'!$E$51+'Assumptions and Catalog'!$F$51,IF(L452&lt;='Assumptions and Catalog'!$C$52,L452*'Assumptions and Catalog'!$H$52+'Assumptions and Catalog'!$E$52+'Assumptions and Catalog'!$F$52,IF(L452&lt;='Assumptions and Catalog'!$C$53,L452*'Assumptions and Catalog'!$H$53+'Assumptions and Catalog'!$E$53+'Assumptions and Catalog'!$F$53,IF(L452&lt;='Assumptions and Catalog'!$C$54,L452*'Assumptions and Catalog'!$H$54+'Assumptions and Catalog'!$E$54+'Assumptions and Catalog'!$F$54,IF(L452&lt;='Assumptions and Catalog'!$C$55,L452*'Assumptions and Catalog'!$H$55+'Assumptions and Catalog'!$E$55+'Assumptions and Catalog'!$F$55,IF(L452&lt;='Assumptions and Catalog'!$C$56,L452*'Assumptions and Catalog'!$H$56+'Assumptions and Catalog'!$E$56+'Assumptions and Catalog'!$F$56,IF(L452&lt;='Assumptions and Catalog'!$C$57,L452*'Assumptions and Catalog'!$H$57+'Assumptions and Catalog'!$E$57+'Assumptions and Catalog'!$F$57,"Out of range")))))))),IF(L452&lt;='Assumptions and Catalog'!$C$60,L452*'Assumptions and Catalog'!$H$60+'Assumptions and Catalog'!$E$60+'Assumptions and Catalog'!$F$60,IF(L452&lt;='Assumptions and Catalog'!$C$61,L452*'Assumptions and Catalog'!$H$61+'Assumptions and Catalog'!$E$61+'Assumptions and Catalog'!$F$61,IF(L452&lt;='Assumptions and Catalog'!$C$62,L452*'Assumptions and Catalog'!$H$62+'Assumptions and Catalog'!$E$62+'Assumptions and Catalog'!$F$62,IF(L452&lt;='Assumptions and Catalog'!$C$63,L452*'Assumptions and Catalog'!$H$63+'Assumptions and Catalog'!$E$63+'Assumptions and Catalog'!$F$63,IF(L452&lt;='Assumptions and Catalog'!$C$64,L452*'Assumptions and Catalog'!$H$64+'Assumptions and Catalog'!$E$64+'Assumptions and Catalog'!$F$64,IF(L452&lt;='Assumptions and Catalog'!$C$65,L452*'Assumptions and Catalog'!$H$65+'Assumptions and Catalog'!$E$65+'Assumptions and Catalog'!$F$65,"Out of range")))))))))*(1+'Assumptions and Catalog'!$C$8)^(A452-1),0)</f>
        <v>8279</v>
      </c>
      <c r="O452" s="5">
        <f t="shared" si="35"/>
        <v>0</v>
      </c>
      <c r="P452" s="5">
        <f>D$55*(1-K$14)*(1-'Assumptions and Catalog'!$C$23)^R452</f>
        <v>0</v>
      </c>
      <c r="Q452" s="5">
        <f>IF(ISNUMBER(Inputs!$L$5),(IF(Inputs!$L$9="Actual flat rate",((D452+E452)*C452-G452)*Inputs!$L$10,IF(Inputs!$C$9="Residential",IF(((D452+E452)*C452-G452)&lt;='Assumptions and Catalog'!$C$50,((D452+E452)*C452-G452)*'Assumptions and Catalog'!$H$50+'Assumptions and Catalog'!$E$50+'Assumptions and Catalog'!$F$50,IF(((D452+E452)*C452-G452)&lt;='Assumptions and Catalog'!$C$51,((D452+E452)*C452-G452)*'Assumptions and Catalog'!$H$51+'Assumptions and Catalog'!$E$51+'Assumptions and Catalog'!$F$51,IF(((D452+E452)*C452-G452)&lt;='Assumptions and Catalog'!$C$52,((D452+E452)*C452-G452)*'Assumptions and Catalog'!$H$52+'Assumptions and Catalog'!$E$52+'Assumptions and Catalog'!$F$52,IF(((D452+E452)*C452-G452)&lt;='Assumptions and Catalog'!$C$53,((D452+E452)*C452-G452)*'Assumptions and Catalog'!$H$53+'Assumptions and Catalog'!$E$53+'Assumptions and Catalog'!$F$53,IF(((D452+E452)*C452-G452)&lt;='Assumptions and Catalog'!$C$54,((D452+E452)*C452-G452)*'Assumptions and Catalog'!$H$54+'Assumptions and Catalog'!$E$54+'Assumptions and Catalog'!$F$54,IF(((D452+E452)*C452-G452)&lt;='Assumptions and Catalog'!$C$55,((D452+E452)*C452-G452)*'Assumptions and Catalog'!$H$55+'Assumptions and Catalog'!$E$55+'Assumptions and Catalog'!$F$55,IF(((D452+E452)*C452-G452)&lt;='Assumptions and Catalog'!$C$56,((D452+E452)*C452-G452)*'Assumptions and Catalog'!$H$56+'Assumptions and Catalog'!$E$56+'Assumptions and Catalog'!$F$56,IF(((D452+E452)*C452-G452)&lt;='Assumptions and Catalog'!$C$57,((D452+E452)*C452-G452)*'Assumptions and Catalog'!$H$57+'Assumptions and Catalog'!$E$57+'Assumptions and Catalog'!$F$57,"Out of range")))))))),IF(((D452+E452)*C452-G452)&lt;='Assumptions and Catalog'!$C$60,((D452+E452)*C452-G452)*'Assumptions and Catalog'!$H$60+'Assumptions and Catalog'!$E$60+'Assumptions and Catalog'!$F$60,IF(((D452+E452)*C452-G452)&lt;='Assumptions and Catalog'!$C$61,((D452+E452)*C452-G452)*'Assumptions and Catalog'!$H$61+'Assumptions and Catalog'!$E$61+'Assumptions and Catalog'!$F$61,IF(((D452+E452)*C452-G452)&lt;='Assumptions and Catalog'!$C$62,((D452+E452)*C452-G452)*'Assumptions and Catalog'!$H$62+'Assumptions and Catalog'!$E$62+'Assumptions and Catalog'!$F$62,IF(((D452+E452)*C452-G452)&lt;='Assumptions and Catalog'!$C$63,((D452+E452)*C452-G452)*'Assumptions and Catalog'!$H$63+'Assumptions and Catalog'!$E$63+'Assumptions and Catalog'!$F$63,IF(((D452+E452)*C452-G452)&lt;='Assumptions and Catalog'!$C$64,((D452+E452)*C452-G452)*'Assumptions and Catalog'!$H$64+'Assumptions and Catalog'!$E$64+'Assumptions and Catalog'!$F$64,IF(((D452+E452)*C452-G452)&lt;='Assumptions and Catalog'!$C$65,((D452+E452)*C452-G452)*'Assumptions and Catalog'!$H$65+'Assumptions and Catalog'!$E$65+'Assumptions and Catalog'!$F$65,"Out of range")))))))))*(1+'Assumptions and Catalog'!$C$8)^(A452-1),0)</f>
        <v>8279</v>
      </c>
      <c r="R452" s="5">
        <f>IF(AND('Assumptions and Catalog'!$C$19&gt;0,A452&gt;='Assumptions and Catalog'!$C$19),A452-'Assumptions and Catalog'!$C$19,A452-1)</f>
        <v>3</v>
      </c>
      <c r="S452" s="5">
        <f>F452+L452-(D452+E452)*C452-J452-K452-IF(D$52&gt;0,'Assumptions and Catalog'!$C$26*C452,0)</f>
        <v>0</v>
      </c>
      <c r="T452" s="5"/>
      <c r="U452" s="5"/>
    </row>
    <row r="453" spans="1:21" ht="23.1" customHeight="1" outlineLevel="1" x14ac:dyDescent="0.2">
      <c r="A453" s="5">
        <v>4</v>
      </c>
      <c r="B453" s="5">
        <v>7</v>
      </c>
      <c r="C453" s="5">
        <f>DAY(DATE('Assumptions and Catalog'!$C$24+A453-1,B453+1,0))</f>
        <v>31</v>
      </c>
      <c r="D453" s="5">
        <f>IF(ISNUMBER(Inputs!$L$5),Inputs!$L$5*Inputs!$L$6,0)</f>
        <v>40.35</v>
      </c>
      <c r="E453" s="5">
        <f>IF(ISNUMBER(Inputs!$L$5),Inputs!$L$5-D453,0)</f>
        <v>40.35</v>
      </c>
      <c r="F453" s="5">
        <f>D$51*'Assumptions and Catalog'!$C$31*C453*(1-'Assumptions and Catalog'!$C$10)^(A453-1)</f>
        <v>0</v>
      </c>
      <c r="G453" s="5">
        <f t="shared" si="32"/>
        <v>0</v>
      </c>
      <c r="H453" s="5">
        <f>I453/('Assumptions and Catalog'!$C$11*'Assumptions and Catalog'!$C$12)</f>
        <v>0</v>
      </c>
      <c r="I453" s="5">
        <f>IF(K$15="Grid cycle",MIN(K$16,D453+E453,P453*'Assumptions and Catalog'!$C$12,D$57*(24-'Assumptions and Catalog'!$C$15),D$56*'Assumptions and Catalog'!$C$15*'Assumptions and Catalog'!$C$11*'Assumptions and Catalog'!$C$12)*C453,0)</f>
        <v>0</v>
      </c>
      <c r="J453" s="5">
        <f t="shared" si="33"/>
        <v>0</v>
      </c>
      <c r="K453" s="5">
        <f t="shared" si="34"/>
        <v>0</v>
      </c>
      <c r="L453" s="5">
        <f>(D453+E453)*C453-G453-I453+H453+IF(D$52&gt;0,'Assumptions and Catalog'!$C$26*C453,0)</f>
        <v>2501.7000000000003</v>
      </c>
      <c r="M453" s="5">
        <f>IF(ISNUMBER(Inputs!$L$5),(IF(Inputs!$L$9="Actual flat rate",((D453+E453)*C453)*Inputs!$L$10,IF(Inputs!$C$9="Residential",IF(((D453+E453)*C453)&lt;='Assumptions and Catalog'!$C$50,((D453+E453)*C453)*'Assumptions and Catalog'!$H$50+'Assumptions and Catalog'!$E$50+'Assumptions and Catalog'!$F$50,IF(((D453+E453)*C453)&lt;='Assumptions and Catalog'!$C$51,((D453+E453)*C453)*'Assumptions and Catalog'!$H$51+'Assumptions and Catalog'!$E$51+'Assumptions and Catalog'!$F$51,IF(((D453+E453)*C453)&lt;='Assumptions and Catalog'!$C$52,((D453+E453)*C453)*'Assumptions and Catalog'!$H$52+'Assumptions and Catalog'!$E$52+'Assumptions and Catalog'!$F$52,IF(((D453+E453)*C453)&lt;='Assumptions and Catalog'!$C$53,((D453+E453)*C453)*'Assumptions and Catalog'!$H$53+'Assumptions and Catalog'!$E$53+'Assumptions and Catalog'!$F$53,IF(((D453+E453)*C453)&lt;='Assumptions and Catalog'!$C$54,((D453+E453)*C453)*'Assumptions and Catalog'!$H$54+'Assumptions and Catalog'!$E$54+'Assumptions and Catalog'!$F$54,IF(((D453+E453)*C453)&lt;='Assumptions and Catalog'!$C$55,((D453+E453)*C453)*'Assumptions and Catalog'!$H$55+'Assumptions and Catalog'!$E$55+'Assumptions and Catalog'!$F$55,IF(((D453+E453)*C453)&lt;='Assumptions and Catalog'!$C$56,((D453+E453)*C453)*'Assumptions and Catalog'!$H$56+'Assumptions and Catalog'!$E$56+'Assumptions and Catalog'!$F$56,IF(((D453+E453)*C453)&lt;='Assumptions and Catalog'!$C$57,((D453+E453)*C453)*'Assumptions and Catalog'!$H$57+'Assumptions and Catalog'!$E$57+'Assumptions and Catalog'!$F$57,"Out of range")))))))),IF(((D453+E453)*C453)&lt;='Assumptions and Catalog'!$C$60,((D453+E453)*C453)*'Assumptions and Catalog'!$H$60+'Assumptions and Catalog'!$E$60+'Assumptions and Catalog'!$F$60,IF(((D453+E453)*C453)&lt;='Assumptions and Catalog'!$C$61,((D453+E453)*C453)*'Assumptions and Catalog'!$H$61+'Assumptions and Catalog'!$E$61+'Assumptions and Catalog'!$F$61,IF(((D453+E453)*C453)&lt;='Assumptions and Catalog'!$C$62,((D453+E453)*C453)*'Assumptions and Catalog'!$H$62+'Assumptions and Catalog'!$E$62+'Assumptions and Catalog'!$F$62,IF(((D453+E453)*C453)&lt;='Assumptions and Catalog'!$C$63,((D453+E453)*C453)*'Assumptions and Catalog'!$H$63+'Assumptions and Catalog'!$E$63+'Assumptions and Catalog'!$F$63,IF(((D453+E453)*C453)&lt;='Assumptions and Catalog'!$C$64,((D453+E453)*C453)*'Assumptions and Catalog'!$H$64+'Assumptions and Catalog'!$E$64+'Assumptions and Catalog'!$F$64,IF(((D453+E453)*C453)&lt;='Assumptions and Catalog'!$C$65,((D453+E453)*C453)*'Assumptions and Catalog'!$H$65+'Assumptions and Catalog'!$E$65+'Assumptions and Catalog'!$F$65,"Out of range")))))))))*(1+'Assumptions and Catalog'!$C$8)^(A453-1),0)</f>
        <v>8554.9666666666672</v>
      </c>
      <c r="N453" s="5">
        <f>IF(ISNUMBER(Inputs!$L$5),(IF(Inputs!$L$9="Actual flat rate",L453*Inputs!$L$10,IF(Inputs!$C$9="Residential",IF(L453&lt;='Assumptions and Catalog'!$C$50,L453*'Assumptions and Catalog'!$H$50+'Assumptions and Catalog'!$E$50+'Assumptions and Catalog'!$F$50,IF(L453&lt;='Assumptions and Catalog'!$C$51,L453*'Assumptions and Catalog'!$H$51+'Assumptions and Catalog'!$E$51+'Assumptions and Catalog'!$F$51,IF(L453&lt;='Assumptions and Catalog'!$C$52,L453*'Assumptions and Catalog'!$H$52+'Assumptions and Catalog'!$E$52+'Assumptions and Catalog'!$F$52,IF(L453&lt;='Assumptions and Catalog'!$C$53,L453*'Assumptions and Catalog'!$H$53+'Assumptions and Catalog'!$E$53+'Assumptions and Catalog'!$F$53,IF(L453&lt;='Assumptions and Catalog'!$C$54,L453*'Assumptions and Catalog'!$H$54+'Assumptions and Catalog'!$E$54+'Assumptions and Catalog'!$F$54,IF(L453&lt;='Assumptions and Catalog'!$C$55,L453*'Assumptions and Catalog'!$H$55+'Assumptions and Catalog'!$E$55+'Assumptions and Catalog'!$F$55,IF(L453&lt;='Assumptions and Catalog'!$C$56,L453*'Assumptions and Catalog'!$H$56+'Assumptions and Catalog'!$E$56+'Assumptions and Catalog'!$F$56,IF(L453&lt;='Assumptions and Catalog'!$C$57,L453*'Assumptions and Catalog'!$H$57+'Assumptions and Catalog'!$E$57+'Assumptions and Catalog'!$F$57,"Out of range")))))))),IF(L453&lt;='Assumptions and Catalog'!$C$60,L453*'Assumptions and Catalog'!$H$60+'Assumptions and Catalog'!$E$60+'Assumptions and Catalog'!$F$60,IF(L453&lt;='Assumptions and Catalog'!$C$61,L453*'Assumptions and Catalog'!$H$61+'Assumptions and Catalog'!$E$61+'Assumptions and Catalog'!$F$61,IF(L453&lt;='Assumptions and Catalog'!$C$62,L453*'Assumptions and Catalog'!$H$62+'Assumptions and Catalog'!$E$62+'Assumptions and Catalog'!$F$62,IF(L453&lt;='Assumptions and Catalog'!$C$63,L453*'Assumptions and Catalog'!$H$63+'Assumptions and Catalog'!$E$63+'Assumptions and Catalog'!$F$63,IF(L453&lt;='Assumptions and Catalog'!$C$64,L453*'Assumptions and Catalog'!$H$64+'Assumptions and Catalog'!$E$64+'Assumptions and Catalog'!$F$64,IF(L453&lt;='Assumptions and Catalog'!$C$65,L453*'Assumptions and Catalog'!$H$65+'Assumptions and Catalog'!$E$65+'Assumptions and Catalog'!$F$65,"Out of range")))))))))*(1+'Assumptions and Catalog'!$C$8)^(A453-1),0)</f>
        <v>8554.9666666666672</v>
      </c>
      <c r="O453" s="5">
        <f t="shared" si="35"/>
        <v>0</v>
      </c>
      <c r="P453" s="5">
        <f>D$55*(1-K$14)*(1-'Assumptions and Catalog'!$C$23)^R453</f>
        <v>0</v>
      </c>
      <c r="Q453" s="5">
        <f>IF(ISNUMBER(Inputs!$L$5),(IF(Inputs!$L$9="Actual flat rate",((D453+E453)*C453-G453)*Inputs!$L$10,IF(Inputs!$C$9="Residential",IF(((D453+E453)*C453-G453)&lt;='Assumptions and Catalog'!$C$50,((D453+E453)*C453-G453)*'Assumptions and Catalog'!$H$50+'Assumptions and Catalog'!$E$50+'Assumptions and Catalog'!$F$50,IF(((D453+E453)*C453-G453)&lt;='Assumptions and Catalog'!$C$51,((D453+E453)*C453-G453)*'Assumptions and Catalog'!$H$51+'Assumptions and Catalog'!$E$51+'Assumptions and Catalog'!$F$51,IF(((D453+E453)*C453-G453)&lt;='Assumptions and Catalog'!$C$52,((D453+E453)*C453-G453)*'Assumptions and Catalog'!$H$52+'Assumptions and Catalog'!$E$52+'Assumptions and Catalog'!$F$52,IF(((D453+E453)*C453-G453)&lt;='Assumptions and Catalog'!$C$53,((D453+E453)*C453-G453)*'Assumptions and Catalog'!$H$53+'Assumptions and Catalog'!$E$53+'Assumptions and Catalog'!$F$53,IF(((D453+E453)*C453-G453)&lt;='Assumptions and Catalog'!$C$54,((D453+E453)*C453-G453)*'Assumptions and Catalog'!$H$54+'Assumptions and Catalog'!$E$54+'Assumptions and Catalog'!$F$54,IF(((D453+E453)*C453-G453)&lt;='Assumptions and Catalog'!$C$55,((D453+E453)*C453-G453)*'Assumptions and Catalog'!$H$55+'Assumptions and Catalog'!$E$55+'Assumptions and Catalog'!$F$55,IF(((D453+E453)*C453-G453)&lt;='Assumptions and Catalog'!$C$56,((D453+E453)*C453-G453)*'Assumptions and Catalog'!$H$56+'Assumptions and Catalog'!$E$56+'Assumptions and Catalog'!$F$56,IF(((D453+E453)*C453-G453)&lt;='Assumptions and Catalog'!$C$57,((D453+E453)*C453-G453)*'Assumptions and Catalog'!$H$57+'Assumptions and Catalog'!$E$57+'Assumptions and Catalog'!$F$57,"Out of range")))))))),IF(((D453+E453)*C453-G453)&lt;='Assumptions and Catalog'!$C$60,((D453+E453)*C453-G453)*'Assumptions and Catalog'!$H$60+'Assumptions and Catalog'!$E$60+'Assumptions and Catalog'!$F$60,IF(((D453+E453)*C453-G453)&lt;='Assumptions and Catalog'!$C$61,((D453+E453)*C453-G453)*'Assumptions and Catalog'!$H$61+'Assumptions and Catalog'!$E$61+'Assumptions and Catalog'!$F$61,IF(((D453+E453)*C453-G453)&lt;='Assumptions and Catalog'!$C$62,((D453+E453)*C453-G453)*'Assumptions and Catalog'!$H$62+'Assumptions and Catalog'!$E$62+'Assumptions and Catalog'!$F$62,IF(((D453+E453)*C453-G453)&lt;='Assumptions and Catalog'!$C$63,((D453+E453)*C453-G453)*'Assumptions and Catalog'!$H$63+'Assumptions and Catalog'!$E$63+'Assumptions and Catalog'!$F$63,IF(((D453+E453)*C453-G453)&lt;='Assumptions and Catalog'!$C$64,((D453+E453)*C453-G453)*'Assumptions and Catalog'!$H$64+'Assumptions and Catalog'!$E$64+'Assumptions and Catalog'!$F$64,IF(((D453+E453)*C453-G453)&lt;='Assumptions and Catalog'!$C$65,((D453+E453)*C453-G453)*'Assumptions and Catalog'!$H$65+'Assumptions and Catalog'!$E$65+'Assumptions and Catalog'!$F$65,"Out of range")))))))))*(1+'Assumptions and Catalog'!$C$8)^(A453-1),0)</f>
        <v>8554.9666666666672</v>
      </c>
      <c r="R453" s="5">
        <f>IF(AND('Assumptions and Catalog'!$C$19&gt;0,A453&gt;='Assumptions and Catalog'!$C$19),A453-'Assumptions and Catalog'!$C$19,A453-1)</f>
        <v>3</v>
      </c>
      <c r="S453" s="5">
        <f>F453+L453-(D453+E453)*C453-J453-K453-IF(D$52&gt;0,'Assumptions and Catalog'!$C$26*C453,0)</f>
        <v>0</v>
      </c>
      <c r="T453" s="5"/>
      <c r="U453" s="5"/>
    </row>
    <row r="454" spans="1:21" ht="23.1" customHeight="1" outlineLevel="1" x14ac:dyDescent="0.2">
      <c r="A454" s="5">
        <v>4</v>
      </c>
      <c r="B454" s="5">
        <v>8</v>
      </c>
      <c r="C454" s="5">
        <f>DAY(DATE('Assumptions and Catalog'!$C$24+A454-1,B454+1,0))</f>
        <v>31</v>
      </c>
      <c r="D454" s="5">
        <f>IF(ISNUMBER(Inputs!$L$5),Inputs!$L$5*Inputs!$L$6,0)</f>
        <v>40.35</v>
      </c>
      <c r="E454" s="5">
        <f>IF(ISNUMBER(Inputs!$L$5),Inputs!$L$5-D454,0)</f>
        <v>40.35</v>
      </c>
      <c r="F454" s="5">
        <f>D$51*'Assumptions and Catalog'!$C$31*C454*(1-'Assumptions and Catalog'!$C$10)^(A454-1)</f>
        <v>0</v>
      </c>
      <c r="G454" s="5">
        <f t="shared" si="32"/>
        <v>0</v>
      </c>
      <c r="H454" s="5">
        <f>I454/('Assumptions and Catalog'!$C$11*'Assumptions and Catalog'!$C$12)</f>
        <v>0</v>
      </c>
      <c r="I454" s="5">
        <f>IF(K$15="Grid cycle",MIN(K$16,D454+E454,P454*'Assumptions and Catalog'!$C$12,D$57*(24-'Assumptions and Catalog'!$C$15),D$56*'Assumptions and Catalog'!$C$15*'Assumptions and Catalog'!$C$11*'Assumptions and Catalog'!$C$12)*C454,0)</f>
        <v>0</v>
      </c>
      <c r="J454" s="5">
        <f t="shared" si="33"/>
        <v>0</v>
      </c>
      <c r="K454" s="5">
        <f t="shared" si="34"/>
        <v>0</v>
      </c>
      <c r="L454" s="5">
        <f>(D454+E454)*C454-G454-I454+H454+IF(D$52&gt;0,'Assumptions and Catalog'!$C$26*C454,0)</f>
        <v>2501.7000000000003</v>
      </c>
      <c r="M454" s="5">
        <f>IF(ISNUMBER(Inputs!$L$5),(IF(Inputs!$L$9="Actual flat rate",((D454+E454)*C454)*Inputs!$L$10,IF(Inputs!$C$9="Residential",IF(((D454+E454)*C454)&lt;='Assumptions and Catalog'!$C$50,((D454+E454)*C454)*'Assumptions and Catalog'!$H$50+'Assumptions and Catalog'!$E$50+'Assumptions and Catalog'!$F$50,IF(((D454+E454)*C454)&lt;='Assumptions and Catalog'!$C$51,((D454+E454)*C454)*'Assumptions and Catalog'!$H$51+'Assumptions and Catalog'!$E$51+'Assumptions and Catalog'!$F$51,IF(((D454+E454)*C454)&lt;='Assumptions and Catalog'!$C$52,((D454+E454)*C454)*'Assumptions and Catalog'!$H$52+'Assumptions and Catalog'!$E$52+'Assumptions and Catalog'!$F$52,IF(((D454+E454)*C454)&lt;='Assumptions and Catalog'!$C$53,((D454+E454)*C454)*'Assumptions and Catalog'!$H$53+'Assumptions and Catalog'!$E$53+'Assumptions and Catalog'!$F$53,IF(((D454+E454)*C454)&lt;='Assumptions and Catalog'!$C$54,((D454+E454)*C454)*'Assumptions and Catalog'!$H$54+'Assumptions and Catalog'!$E$54+'Assumptions and Catalog'!$F$54,IF(((D454+E454)*C454)&lt;='Assumptions and Catalog'!$C$55,((D454+E454)*C454)*'Assumptions and Catalog'!$H$55+'Assumptions and Catalog'!$E$55+'Assumptions and Catalog'!$F$55,IF(((D454+E454)*C454)&lt;='Assumptions and Catalog'!$C$56,((D454+E454)*C454)*'Assumptions and Catalog'!$H$56+'Assumptions and Catalog'!$E$56+'Assumptions and Catalog'!$F$56,IF(((D454+E454)*C454)&lt;='Assumptions and Catalog'!$C$57,((D454+E454)*C454)*'Assumptions and Catalog'!$H$57+'Assumptions and Catalog'!$E$57+'Assumptions and Catalog'!$F$57,"Out of range")))))))),IF(((D454+E454)*C454)&lt;='Assumptions and Catalog'!$C$60,((D454+E454)*C454)*'Assumptions and Catalog'!$H$60+'Assumptions and Catalog'!$E$60+'Assumptions and Catalog'!$F$60,IF(((D454+E454)*C454)&lt;='Assumptions and Catalog'!$C$61,((D454+E454)*C454)*'Assumptions and Catalog'!$H$61+'Assumptions and Catalog'!$E$61+'Assumptions and Catalog'!$F$61,IF(((D454+E454)*C454)&lt;='Assumptions and Catalog'!$C$62,((D454+E454)*C454)*'Assumptions and Catalog'!$H$62+'Assumptions and Catalog'!$E$62+'Assumptions and Catalog'!$F$62,IF(((D454+E454)*C454)&lt;='Assumptions and Catalog'!$C$63,((D454+E454)*C454)*'Assumptions and Catalog'!$H$63+'Assumptions and Catalog'!$E$63+'Assumptions and Catalog'!$F$63,IF(((D454+E454)*C454)&lt;='Assumptions and Catalog'!$C$64,((D454+E454)*C454)*'Assumptions and Catalog'!$H$64+'Assumptions and Catalog'!$E$64+'Assumptions and Catalog'!$F$64,IF(((D454+E454)*C454)&lt;='Assumptions and Catalog'!$C$65,((D454+E454)*C454)*'Assumptions and Catalog'!$H$65+'Assumptions and Catalog'!$E$65+'Assumptions and Catalog'!$F$65,"Out of range")))))))))*(1+'Assumptions and Catalog'!$C$8)^(A454-1),0)</f>
        <v>8554.9666666666672</v>
      </c>
      <c r="N454" s="5">
        <f>IF(ISNUMBER(Inputs!$L$5),(IF(Inputs!$L$9="Actual flat rate",L454*Inputs!$L$10,IF(Inputs!$C$9="Residential",IF(L454&lt;='Assumptions and Catalog'!$C$50,L454*'Assumptions and Catalog'!$H$50+'Assumptions and Catalog'!$E$50+'Assumptions and Catalog'!$F$50,IF(L454&lt;='Assumptions and Catalog'!$C$51,L454*'Assumptions and Catalog'!$H$51+'Assumptions and Catalog'!$E$51+'Assumptions and Catalog'!$F$51,IF(L454&lt;='Assumptions and Catalog'!$C$52,L454*'Assumptions and Catalog'!$H$52+'Assumptions and Catalog'!$E$52+'Assumptions and Catalog'!$F$52,IF(L454&lt;='Assumptions and Catalog'!$C$53,L454*'Assumptions and Catalog'!$H$53+'Assumptions and Catalog'!$E$53+'Assumptions and Catalog'!$F$53,IF(L454&lt;='Assumptions and Catalog'!$C$54,L454*'Assumptions and Catalog'!$H$54+'Assumptions and Catalog'!$E$54+'Assumptions and Catalog'!$F$54,IF(L454&lt;='Assumptions and Catalog'!$C$55,L454*'Assumptions and Catalog'!$H$55+'Assumptions and Catalog'!$E$55+'Assumptions and Catalog'!$F$55,IF(L454&lt;='Assumptions and Catalog'!$C$56,L454*'Assumptions and Catalog'!$H$56+'Assumptions and Catalog'!$E$56+'Assumptions and Catalog'!$F$56,IF(L454&lt;='Assumptions and Catalog'!$C$57,L454*'Assumptions and Catalog'!$H$57+'Assumptions and Catalog'!$E$57+'Assumptions and Catalog'!$F$57,"Out of range")))))))),IF(L454&lt;='Assumptions and Catalog'!$C$60,L454*'Assumptions and Catalog'!$H$60+'Assumptions and Catalog'!$E$60+'Assumptions and Catalog'!$F$60,IF(L454&lt;='Assumptions and Catalog'!$C$61,L454*'Assumptions and Catalog'!$H$61+'Assumptions and Catalog'!$E$61+'Assumptions and Catalog'!$F$61,IF(L454&lt;='Assumptions and Catalog'!$C$62,L454*'Assumptions and Catalog'!$H$62+'Assumptions and Catalog'!$E$62+'Assumptions and Catalog'!$F$62,IF(L454&lt;='Assumptions and Catalog'!$C$63,L454*'Assumptions and Catalog'!$H$63+'Assumptions and Catalog'!$E$63+'Assumptions and Catalog'!$F$63,IF(L454&lt;='Assumptions and Catalog'!$C$64,L454*'Assumptions and Catalog'!$H$64+'Assumptions and Catalog'!$E$64+'Assumptions and Catalog'!$F$64,IF(L454&lt;='Assumptions and Catalog'!$C$65,L454*'Assumptions and Catalog'!$H$65+'Assumptions and Catalog'!$E$65+'Assumptions and Catalog'!$F$65,"Out of range")))))))))*(1+'Assumptions and Catalog'!$C$8)^(A454-1),0)</f>
        <v>8554.9666666666672</v>
      </c>
      <c r="O454" s="5">
        <f t="shared" si="35"/>
        <v>0</v>
      </c>
      <c r="P454" s="5">
        <f>D$55*(1-K$14)*(1-'Assumptions and Catalog'!$C$23)^R454</f>
        <v>0</v>
      </c>
      <c r="Q454" s="5">
        <f>IF(ISNUMBER(Inputs!$L$5),(IF(Inputs!$L$9="Actual flat rate",((D454+E454)*C454-G454)*Inputs!$L$10,IF(Inputs!$C$9="Residential",IF(((D454+E454)*C454-G454)&lt;='Assumptions and Catalog'!$C$50,((D454+E454)*C454-G454)*'Assumptions and Catalog'!$H$50+'Assumptions and Catalog'!$E$50+'Assumptions and Catalog'!$F$50,IF(((D454+E454)*C454-G454)&lt;='Assumptions and Catalog'!$C$51,((D454+E454)*C454-G454)*'Assumptions and Catalog'!$H$51+'Assumptions and Catalog'!$E$51+'Assumptions and Catalog'!$F$51,IF(((D454+E454)*C454-G454)&lt;='Assumptions and Catalog'!$C$52,((D454+E454)*C454-G454)*'Assumptions and Catalog'!$H$52+'Assumptions and Catalog'!$E$52+'Assumptions and Catalog'!$F$52,IF(((D454+E454)*C454-G454)&lt;='Assumptions and Catalog'!$C$53,((D454+E454)*C454-G454)*'Assumptions and Catalog'!$H$53+'Assumptions and Catalog'!$E$53+'Assumptions and Catalog'!$F$53,IF(((D454+E454)*C454-G454)&lt;='Assumptions and Catalog'!$C$54,((D454+E454)*C454-G454)*'Assumptions and Catalog'!$H$54+'Assumptions and Catalog'!$E$54+'Assumptions and Catalog'!$F$54,IF(((D454+E454)*C454-G454)&lt;='Assumptions and Catalog'!$C$55,((D454+E454)*C454-G454)*'Assumptions and Catalog'!$H$55+'Assumptions and Catalog'!$E$55+'Assumptions and Catalog'!$F$55,IF(((D454+E454)*C454-G454)&lt;='Assumptions and Catalog'!$C$56,((D454+E454)*C454-G454)*'Assumptions and Catalog'!$H$56+'Assumptions and Catalog'!$E$56+'Assumptions and Catalog'!$F$56,IF(((D454+E454)*C454-G454)&lt;='Assumptions and Catalog'!$C$57,((D454+E454)*C454-G454)*'Assumptions and Catalog'!$H$57+'Assumptions and Catalog'!$E$57+'Assumptions and Catalog'!$F$57,"Out of range")))))))),IF(((D454+E454)*C454-G454)&lt;='Assumptions and Catalog'!$C$60,((D454+E454)*C454-G454)*'Assumptions and Catalog'!$H$60+'Assumptions and Catalog'!$E$60+'Assumptions and Catalog'!$F$60,IF(((D454+E454)*C454-G454)&lt;='Assumptions and Catalog'!$C$61,((D454+E454)*C454-G454)*'Assumptions and Catalog'!$H$61+'Assumptions and Catalog'!$E$61+'Assumptions and Catalog'!$F$61,IF(((D454+E454)*C454-G454)&lt;='Assumptions and Catalog'!$C$62,((D454+E454)*C454-G454)*'Assumptions and Catalog'!$H$62+'Assumptions and Catalog'!$E$62+'Assumptions and Catalog'!$F$62,IF(((D454+E454)*C454-G454)&lt;='Assumptions and Catalog'!$C$63,((D454+E454)*C454-G454)*'Assumptions and Catalog'!$H$63+'Assumptions and Catalog'!$E$63+'Assumptions and Catalog'!$F$63,IF(((D454+E454)*C454-G454)&lt;='Assumptions and Catalog'!$C$64,((D454+E454)*C454-G454)*'Assumptions and Catalog'!$H$64+'Assumptions and Catalog'!$E$64+'Assumptions and Catalog'!$F$64,IF(((D454+E454)*C454-G454)&lt;='Assumptions and Catalog'!$C$65,((D454+E454)*C454-G454)*'Assumptions and Catalog'!$H$65+'Assumptions and Catalog'!$E$65+'Assumptions and Catalog'!$F$65,"Out of range")))))))))*(1+'Assumptions and Catalog'!$C$8)^(A454-1),0)</f>
        <v>8554.9666666666672</v>
      </c>
      <c r="R454" s="5">
        <f>IF(AND('Assumptions and Catalog'!$C$19&gt;0,A454&gt;='Assumptions and Catalog'!$C$19),A454-'Assumptions and Catalog'!$C$19,A454-1)</f>
        <v>3</v>
      </c>
      <c r="S454" s="5">
        <f>F454+L454-(D454+E454)*C454-J454-K454-IF(D$52&gt;0,'Assumptions and Catalog'!$C$26*C454,0)</f>
        <v>0</v>
      </c>
      <c r="T454" s="5"/>
      <c r="U454" s="5"/>
    </row>
    <row r="455" spans="1:21" ht="23.1" customHeight="1" outlineLevel="1" x14ac:dyDescent="0.2">
      <c r="A455" s="5">
        <v>4</v>
      </c>
      <c r="B455" s="5">
        <v>9</v>
      </c>
      <c r="C455" s="5">
        <f>DAY(DATE('Assumptions and Catalog'!$C$24+A455-1,B455+1,0))</f>
        <v>30</v>
      </c>
      <c r="D455" s="5">
        <f>IF(ISNUMBER(Inputs!$L$5),Inputs!$L$5*Inputs!$L$6,0)</f>
        <v>40.35</v>
      </c>
      <c r="E455" s="5">
        <f>IF(ISNUMBER(Inputs!$L$5),Inputs!$L$5-D455,0)</f>
        <v>40.35</v>
      </c>
      <c r="F455" s="5">
        <f>D$51*'Assumptions and Catalog'!$C$31*C455*(1-'Assumptions and Catalog'!$C$10)^(A455-1)</f>
        <v>0</v>
      </c>
      <c r="G455" s="5">
        <f t="shared" si="32"/>
        <v>0</v>
      </c>
      <c r="H455" s="5">
        <f>I455/('Assumptions and Catalog'!$C$11*'Assumptions and Catalog'!$C$12)</f>
        <v>0</v>
      </c>
      <c r="I455" s="5">
        <f>IF(K$15="Grid cycle",MIN(K$16,D455+E455,P455*'Assumptions and Catalog'!$C$12,D$57*(24-'Assumptions and Catalog'!$C$15),D$56*'Assumptions and Catalog'!$C$15*'Assumptions and Catalog'!$C$11*'Assumptions and Catalog'!$C$12)*C455,0)</f>
        <v>0</v>
      </c>
      <c r="J455" s="5">
        <f t="shared" si="33"/>
        <v>0</v>
      </c>
      <c r="K455" s="5">
        <f t="shared" si="34"/>
        <v>0</v>
      </c>
      <c r="L455" s="5">
        <f>(D455+E455)*C455-G455-I455+H455+IF(D$52&gt;0,'Assumptions and Catalog'!$C$26*C455,0)</f>
        <v>2421</v>
      </c>
      <c r="M455" s="5">
        <f>IF(ISNUMBER(Inputs!$L$5),(IF(Inputs!$L$9="Actual flat rate",((D455+E455)*C455)*Inputs!$L$10,IF(Inputs!$C$9="Residential",IF(((D455+E455)*C455)&lt;='Assumptions and Catalog'!$C$50,((D455+E455)*C455)*'Assumptions and Catalog'!$H$50+'Assumptions and Catalog'!$E$50+'Assumptions and Catalog'!$F$50,IF(((D455+E455)*C455)&lt;='Assumptions and Catalog'!$C$51,((D455+E455)*C455)*'Assumptions and Catalog'!$H$51+'Assumptions and Catalog'!$E$51+'Assumptions and Catalog'!$F$51,IF(((D455+E455)*C455)&lt;='Assumptions and Catalog'!$C$52,((D455+E455)*C455)*'Assumptions and Catalog'!$H$52+'Assumptions and Catalog'!$E$52+'Assumptions and Catalog'!$F$52,IF(((D455+E455)*C455)&lt;='Assumptions and Catalog'!$C$53,((D455+E455)*C455)*'Assumptions and Catalog'!$H$53+'Assumptions and Catalog'!$E$53+'Assumptions and Catalog'!$F$53,IF(((D455+E455)*C455)&lt;='Assumptions and Catalog'!$C$54,((D455+E455)*C455)*'Assumptions and Catalog'!$H$54+'Assumptions and Catalog'!$E$54+'Assumptions and Catalog'!$F$54,IF(((D455+E455)*C455)&lt;='Assumptions and Catalog'!$C$55,((D455+E455)*C455)*'Assumptions and Catalog'!$H$55+'Assumptions and Catalog'!$E$55+'Assumptions and Catalog'!$F$55,IF(((D455+E455)*C455)&lt;='Assumptions and Catalog'!$C$56,((D455+E455)*C455)*'Assumptions and Catalog'!$H$56+'Assumptions and Catalog'!$E$56+'Assumptions and Catalog'!$F$56,IF(((D455+E455)*C455)&lt;='Assumptions and Catalog'!$C$57,((D455+E455)*C455)*'Assumptions and Catalog'!$H$57+'Assumptions and Catalog'!$E$57+'Assumptions and Catalog'!$F$57,"Out of range")))))))),IF(((D455+E455)*C455)&lt;='Assumptions and Catalog'!$C$60,((D455+E455)*C455)*'Assumptions and Catalog'!$H$60+'Assumptions and Catalog'!$E$60+'Assumptions and Catalog'!$F$60,IF(((D455+E455)*C455)&lt;='Assumptions and Catalog'!$C$61,((D455+E455)*C455)*'Assumptions and Catalog'!$H$61+'Assumptions and Catalog'!$E$61+'Assumptions and Catalog'!$F$61,IF(((D455+E455)*C455)&lt;='Assumptions and Catalog'!$C$62,((D455+E455)*C455)*'Assumptions and Catalog'!$H$62+'Assumptions and Catalog'!$E$62+'Assumptions and Catalog'!$F$62,IF(((D455+E455)*C455)&lt;='Assumptions and Catalog'!$C$63,((D455+E455)*C455)*'Assumptions and Catalog'!$H$63+'Assumptions and Catalog'!$E$63+'Assumptions and Catalog'!$F$63,IF(((D455+E455)*C455)&lt;='Assumptions and Catalog'!$C$64,((D455+E455)*C455)*'Assumptions and Catalog'!$H$64+'Assumptions and Catalog'!$E$64+'Assumptions and Catalog'!$F$64,IF(((D455+E455)*C455)&lt;='Assumptions and Catalog'!$C$65,((D455+E455)*C455)*'Assumptions and Catalog'!$H$65+'Assumptions and Catalog'!$E$65+'Assumptions and Catalog'!$F$65,"Out of range")))))))))*(1+'Assumptions and Catalog'!$C$8)^(A455-1),0)</f>
        <v>8279</v>
      </c>
      <c r="N455" s="5">
        <f>IF(ISNUMBER(Inputs!$L$5),(IF(Inputs!$L$9="Actual flat rate",L455*Inputs!$L$10,IF(Inputs!$C$9="Residential",IF(L455&lt;='Assumptions and Catalog'!$C$50,L455*'Assumptions and Catalog'!$H$50+'Assumptions and Catalog'!$E$50+'Assumptions and Catalog'!$F$50,IF(L455&lt;='Assumptions and Catalog'!$C$51,L455*'Assumptions and Catalog'!$H$51+'Assumptions and Catalog'!$E$51+'Assumptions and Catalog'!$F$51,IF(L455&lt;='Assumptions and Catalog'!$C$52,L455*'Assumptions and Catalog'!$H$52+'Assumptions and Catalog'!$E$52+'Assumptions and Catalog'!$F$52,IF(L455&lt;='Assumptions and Catalog'!$C$53,L455*'Assumptions and Catalog'!$H$53+'Assumptions and Catalog'!$E$53+'Assumptions and Catalog'!$F$53,IF(L455&lt;='Assumptions and Catalog'!$C$54,L455*'Assumptions and Catalog'!$H$54+'Assumptions and Catalog'!$E$54+'Assumptions and Catalog'!$F$54,IF(L455&lt;='Assumptions and Catalog'!$C$55,L455*'Assumptions and Catalog'!$H$55+'Assumptions and Catalog'!$E$55+'Assumptions and Catalog'!$F$55,IF(L455&lt;='Assumptions and Catalog'!$C$56,L455*'Assumptions and Catalog'!$H$56+'Assumptions and Catalog'!$E$56+'Assumptions and Catalog'!$F$56,IF(L455&lt;='Assumptions and Catalog'!$C$57,L455*'Assumptions and Catalog'!$H$57+'Assumptions and Catalog'!$E$57+'Assumptions and Catalog'!$F$57,"Out of range")))))))),IF(L455&lt;='Assumptions and Catalog'!$C$60,L455*'Assumptions and Catalog'!$H$60+'Assumptions and Catalog'!$E$60+'Assumptions and Catalog'!$F$60,IF(L455&lt;='Assumptions and Catalog'!$C$61,L455*'Assumptions and Catalog'!$H$61+'Assumptions and Catalog'!$E$61+'Assumptions and Catalog'!$F$61,IF(L455&lt;='Assumptions and Catalog'!$C$62,L455*'Assumptions and Catalog'!$H$62+'Assumptions and Catalog'!$E$62+'Assumptions and Catalog'!$F$62,IF(L455&lt;='Assumptions and Catalog'!$C$63,L455*'Assumptions and Catalog'!$H$63+'Assumptions and Catalog'!$E$63+'Assumptions and Catalog'!$F$63,IF(L455&lt;='Assumptions and Catalog'!$C$64,L455*'Assumptions and Catalog'!$H$64+'Assumptions and Catalog'!$E$64+'Assumptions and Catalog'!$F$64,IF(L455&lt;='Assumptions and Catalog'!$C$65,L455*'Assumptions and Catalog'!$H$65+'Assumptions and Catalog'!$E$65+'Assumptions and Catalog'!$F$65,"Out of range")))))))))*(1+'Assumptions and Catalog'!$C$8)^(A455-1),0)</f>
        <v>8279</v>
      </c>
      <c r="O455" s="5">
        <f t="shared" si="35"/>
        <v>0</v>
      </c>
      <c r="P455" s="5">
        <f>D$55*(1-K$14)*(1-'Assumptions and Catalog'!$C$23)^R455</f>
        <v>0</v>
      </c>
      <c r="Q455" s="5">
        <f>IF(ISNUMBER(Inputs!$L$5),(IF(Inputs!$L$9="Actual flat rate",((D455+E455)*C455-G455)*Inputs!$L$10,IF(Inputs!$C$9="Residential",IF(((D455+E455)*C455-G455)&lt;='Assumptions and Catalog'!$C$50,((D455+E455)*C455-G455)*'Assumptions and Catalog'!$H$50+'Assumptions and Catalog'!$E$50+'Assumptions and Catalog'!$F$50,IF(((D455+E455)*C455-G455)&lt;='Assumptions and Catalog'!$C$51,((D455+E455)*C455-G455)*'Assumptions and Catalog'!$H$51+'Assumptions and Catalog'!$E$51+'Assumptions and Catalog'!$F$51,IF(((D455+E455)*C455-G455)&lt;='Assumptions and Catalog'!$C$52,((D455+E455)*C455-G455)*'Assumptions and Catalog'!$H$52+'Assumptions and Catalog'!$E$52+'Assumptions and Catalog'!$F$52,IF(((D455+E455)*C455-G455)&lt;='Assumptions and Catalog'!$C$53,((D455+E455)*C455-G455)*'Assumptions and Catalog'!$H$53+'Assumptions and Catalog'!$E$53+'Assumptions and Catalog'!$F$53,IF(((D455+E455)*C455-G455)&lt;='Assumptions and Catalog'!$C$54,((D455+E455)*C455-G455)*'Assumptions and Catalog'!$H$54+'Assumptions and Catalog'!$E$54+'Assumptions and Catalog'!$F$54,IF(((D455+E455)*C455-G455)&lt;='Assumptions and Catalog'!$C$55,((D455+E455)*C455-G455)*'Assumptions and Catalog'!$H$55+'Assumptions and Catalog'!$E$55+'Assumptions and Catalog'!$F$55,IF(((D455+E455)*C455-G455)&lt;='Assumptions and Catalog'!$C$56,((D455+E455)*C455-G455)*'Assumptions and Catalog'!$H$56+'Assumptions and Catalog'!$E$56+'Assumptions and Catalog'!$F$56,IF(((D455+E455)*C455-G455)&lt;='Assumptions and Catalog'!$C$57,((D455+E455)*C455-G455)*'Assumptions and Catalog'!$H$57+'Assumptions and Catalog'!$E$57+'Assumptions and Catalog'!$F$57,"Out of range")))))))),IF(((D455+E455)*C455-G455)&lt;='Assumptions and Catalog'!$C$60,((D455+E455)*C455-G455)*'Assumptions and Catalog'!$H$60+'Assumptions and Catalog'!$E$60+'Assumptions and Catalog'!$F$60,IF(((D455+E455)*C455-G455)&lt;='Assumptions and Catalog'!$C$61,((D455+E455)*C455-G455)*'Assumptions and Catalog'!$H$61+'Assumptions and Catalog'!$E$61+'Assumptions and Catalog'!$F$61,IF(((D455+E455)*C455-G455)&lt;='Assumptions and Catalog'!$C$62,((D455+E455)*C455-G455)*'Assumptions and Catalog'!$H$62+'Assumptions and Catalog'!$E$62+'Assumptions and Catalog'!$F$62,IF(((D455+E455)*C455-G455)&lt;='Assumptions and Catalog'!$C$63,((D455+E455)*C455-G455)*'Assumptions and Catalog'!$H$63+'Assumptions and Catalog'!$E$63+'Assumptions and Catalog'!$F$63,IF(((D455+E455)*C455-G455)&lt;='Assumptions and Catalog'!$C$64,((D455+E455)*C455-G455)*'Assumptions and Catalog'!$H$64+'Assumptions and Catalog'!$E$64+'Assumptions and Catalog'!$F$64,IF(((D455+E455)*C455-G455)&lt;='Assumptions and Catalog'!$C$65,((D455+E455)*C455-G455)*'Assumptions and Catalog'!$H$65+'Assumptions and Catalog'!$E$65+'Assumptions and Catalog'!$F$65,"Out of range")))))))))*(1+'Assumptions and Catalog'!$C$8)^(A455-1),0)</f>
        <v>8279</v>
      </c>
      <c r="R455" s="5">
        <f>IF(AND('Assumptions and Catalog'!$C$19&gt;0,A455&gt;='Assumptions and Catalog'!$C$19),A455-'Assumptions and Catalog'!$C$19,A455-1)</f>
        <v>3</v>
      </c>
      <c r="S455" s="5">
        <f>F455+L455-(D455+E455)*C455-J455-K455-IF(D$52&gt;0,'Assumptions and Catalog'!$C$26*C455,0)</f>
        <v>0</v>
      </c>
      <c r="T455" s="5"/>
      <c r="U455" s="5"/>
    </row>
    <row r="456" spans="1:21" ht="23.1" customHeight="1" outlineLevel="1" x14ac:dyDescent="0.2">
      <c r="A456" s="5">
        <v>4</v>
      </c>
      <c r="B456" s="5">
        <v>10</v>
      </c>
      <c r="C456" s="5">
        <f>DAY(DATE('Assumptions and Catalog'!$C$24+A456-1,B456+1,0))</f>
        <v>31</v>
      </c>
      <c r="D456" s="5">
        <f>IF(ISNUMBER(Inputs!$L$5),Inputs!$L$5*Inputs!$L$6,0)</f>
        <v>40.35</v>
      </c>
      <c r="E456" s="5">
        <f>IF(ISNUMBER(Inputs!$L$5),Inputs!$L$5-D456,0)</f>
        <v>40.35</v>
      </c>
      <c r="F456" s="5">
        <f>D$51*'Assumptions and Catalog'!$C$31*C456*(1-'Assumptions and Catalog'!$C$10)^(A456-1)</f>
        <v>0</v>
      </c>
      <c r="G456" s="5">
        <f t="shared" si="32"/>
        <v>0</v>
      </c>
      <c r="H456" s="5">
        <f>I456/('Assumptions and Catalog'!$C$11*'Assumptions and Catalog'!$C$12)</f>
        <v>0</v>
      </c>
      <c r="I456" s="5">
        <f>IF(K$15="Grid cycle",MIN(K$16,D456+E456,P456*'Assumptions and Catalog'!$C$12,D$57*(24-'Assumptions and Catalog'!$C$15),D$56*'Assumptions and Catalog'!$C$15*'Assumptions and Catalog'!$C$11*'Assumptions and Catalog'!$C$12)*C456,0)</f>
        <v>0</v>
      </c>
      <c r="J456" s="5">
        <f t="shared" si="33"/>
        <v>0</v>
      </c>
      <c r="K456" s="5">
        <f t="shared" si="34"/>
        <v>0</v>
      </c>
      <c r="L456" s="5">
        <f>(D456+E456)*C456-G456-I456+H456+IF(D$52&gt;0,'Assumptions and Catalog'!$C$26*C456,0)</f>
        <v>2501.7000000000003</v>
      </c>
      <c r="M456" s="5">
        <f>IF(ISNUMBER(Inputs!$L$5),(IF(Inputs!$L$9="Actual flat rate",((D456+E456)*C456)*Inputs!$L$10,IF(Inputs!$C$9="Residential",IF(((D456+E456)*C456)&lt;='Assumptions and Catalog'!$C$50,((D456+E456)*C456)*'Assumptions and Catalog'!$H$50+'Assumptions and Catalog'!$E$50+'Assumptions and Catalog'!$F$50,IF(((D456+E456)*C456)&lt;='Assumptions and Catalog'!$C$51,((D456+E456)*C456)*'Assumptions and Catalog'!$H$51+'Assumptions and Catalog'!$E$51+'Assumptions and Catalog'!$F$51,IF(((D456+E456)*C456)&lt;='Assumptions and Catalog'!$C$52,((D456+E456)*C456)*'Assumptions and Catalog'!$H$52+'Assumptions and Catalog'!$E$52+'Assumptions and Catalog'!$F$52,IF(((D456+E456)*C456)&lt;='Assumptions and Catalog'!$C$53,((D456+E456)*C456)*'Assumptions and Catalog'!$H$53+'Assumptions and Catalog'!$E$53+'Assumptions and Catalog'!$F$53,IF(((D456+E456)*C456)&lt;='Assumptions and Catalog'!$C$54,((D456+E456)*C456)*'Assumptions and Catalog'!$H$54+'Assumptions and Catalog'!$E$54+'Assumptions and Catalog'!$F$54,IF(((D456+E456)*C456)&lt;='Assumptions and Catalog'!$C$55,((D456+E456)*C456)*'Assumptions and Catalog'!$H$55+'Assumptions and Catalog'!$E$55+'Assumptions and Catalog'!$F$55,IF(((D456+E456)*C456)&lt;='Assumptions and Catalog'!$C$56,((D456+E456)*C456)*'Assumptions and Catalog'!$H$56+'Assumptions and Catalog'!$E$56+'Assumptions and Catalog'!$F$56,IF(((D456+E456)*C456)&lt;='Assumptions and Catalog'!$C$57,((D456+E456)*C456)*'Assumptions and Catalog'!$H$57+'Assumptions and Catalog'!$E$57+'Assumptions and Catalog'!$F$57,"Out of range")))))))),IF(((D456+E456)*C456)&lt;='Assumptions and Catalog'!$C$60,((D456+E456)*C456)*'Assumptions and Catalog'!$H$60+'Assumptions and Catalog'!$E$60+'Assumptions and Catalog'!$F$60,IF(((D456+E456)*C456)&lt;='Assumptions and Catalog'!$C$61,((D456+E456)*C456)*'Assumptions and Catalog'!$H$61+'Assumptions and Catalog'!$E$61+'Assumptions and Catalog'!$F$61,IF(((D456+E456)*C456)&lt;='Assumptions and Catalog'!$C$62,((D456+E456)*C456)*'Assumptions and Catalog'!$H$62+'Assumptions and Catalog'!$E$62+'Assumptions and Catalog'!$F$62,IF(((D456+E456)*C456)&lt;='Assumptions and Catalog'!$C$63,((D456+E456)*C456)*'Assumptions and Catalog'!$H$63+'Assumptions and Catalog'!$E$63+'Assumptions and Catalog'!$F$63,IF(((D456+E456)*C456)&lt;='Assumptions and Catalog'!$C$64,((D456+E456)*C456)*'Assumptions and Catalog'!$H$64+'Assumptions and Catalog'!$E$64+'Assumptions and Catalog'!$F$64,IF(((D456+E456)*C456)&lt;='Assumptions and Catalog'!$C$65,((D456+E456)*C456)*'Assumptions and Catalog'!$H$65+'Assumptions and Catalog'!$E$65+'Assumptions and Catalog'!$F$65,"Out of range")))))))))*(1+'Assumptions and Catalog'!$C$8)^(A456-1),0)</f>
        <v>8554.9666666666672</v>
      </c>
      <c r="N456" s="5">
        <f>IF(ISNUMBER(Inputs!$L$5),(IF(Inputs!$L$9="Actual flat rate",L456*Inputs!$L$10,IF(Inputs!$C$9="Residential",IF(L456&lt;='Assumptions and Catalog'!$C$50,L456*'Assumptions and Catalog'!$H$50+'Assumptions and Catalog'!$E$50+'Assumptions and Catalog'!$F$50,IF(L456&lt;='Assumptions and Catalog'!$C$51,L456*'Assumptions and Catalog'!$H$51+'Assumptions and Catalog'!$E$51+'Assumptions and Catalog'!$F$51,IF(L456&lt;='Assumptions and Catalog'!$C$52,L456*'Assumptions and Catalog'!$H$52+'Assumptions and Catalog'!$E$52+'Assumptions and Catalog'!$F$52,IF(L456&lt;='Assumptions and Catalog'!$C$53,L456*'Assumptions and Catalog'!$H$53+'Assumptions and Catalog'!$E$53+'Assumptions and Catalog'!$F$53,IF(L456&lt;='Assumptions and Catalog'!$C$54,L456*'Assumptions and Catalog'!$H$54+'Assumptions and Catalog'!$E$54+'Assumptions and Catalog'!$F$54,IF(L456&lt;='Assumptions and Catalog'!$C$55,L456*'Assumptions and Catalog'!$H$55+'Assumptions and Catalog'!$E$55+'Assumptions and Catalog'!$F$55,IF(L456&lt;='Assumptions and Catalog'!$C$56,L456*'Assumptions and Catalog'!$H$56+'Assumptions and Catalog'!$E$56+'Assumptions and Catalog'!$F$56,IF(L456&lt;='Assumptions and Catalog'!$C$57,L456*'Assumptions and Catalog'!$H$57+'Assumptions and Catalog'!$E$57+'Assumptions and Catalog'!$F$57,"Out of range")))))))),IF(L456&lt;='Assumptions and Catalog'!$C$60,L456*'Assumptions and Catalog'!$H$60+'Assumptions and Catalog'!$E$60+'Assumptions and Catalog'!$F$60,IF(L456&lt;='Assumptions and Catalog'!$C$61,L456*'Assumptions and Catalog'!$H$61+'Assumptions and Catalog'!$E$61+'Assumptions and Catalog'!$F$61,IF(L456&lt;='Assumptions and Catalog'!$C$62,L456*'Assumptions and Catalog'!$H$62+'Assumptions and Catalog'!$E$62+'Assumptions and Catalog'!$F$62,IF(L456&lt;='Assumptions and Catalog'!$C$63,L456*'Assumptions and Catalog'!$H$63+'Assumptions and Catalog'!$E$63+'Assumptions and Catalog'!$F$63,IF(L456&lt;='Assumptions and Catalog'!$C$64,L456*'Assumptions and Catalog'!$H$64+'Assumptions and Catalog'!$E$64+'Assumptions and Catalog'!$F$64,IF(L456&lt;='Assumptions and Catalog'!$C$65,L456*'Assumptions and Catalog'!$H$65+'Assumptions and Catalog'!$E$65+'Assumptions and Catalog'!$F$65,"Out of range")))))))))*(1+'Assumptions and Catalog'!$C$8)^(A456-1),0)</f>
        <v>8554.9666666666672</v>
      </c>
      <c r="O456" s="5">
        <f t="shared" si="35"/>
        <v>0</v>
      </c>
      <c r="P456" s="5">
        <f>D$55*(1-K$14)*(1-'Assumptions and Catalog'!$C$23)^R456</f>
        <v>0</v>
      </c>
      <c r="Q456" s="5">
        <f>IF(ISNUMBER(Inputs!$L$5),(IF(Inputs!$L$9="Actual flat rate",((D456+E456)*C456-G456)*Inputs!$L$10,IF(Inputs!$C$9="Residential",IF(((D456+E456)*C456-G456)&lt;='Assumptions and Catalog'!$C$50,((D456+E456)*C456-G456)*'Assumptions and Catalog'!$H$50+'Assumptions and Catalog'!$E$50+'Assumptions and Catalog'!$F$50,IF(((D456+E456)*C456-G456)&lt;='Assumptions and Catalog'!$C$51,((D456+E456)*C456-G456)*'Assumptions and Catalog'!$H$51+'Assumptions and Catalog'!$E$51+'Assumptions and Catalog'!$F$51,IF(((D456+E456)*C456-G456)&lt;='Assumptions and Catalog'!$C$52,((D456+E456)*C456-G456)*'Assumptions and Catalog'!$H$52+'Assumptions and Catalog'!$E$52+'Assumptions and Catalog'!$F$52,IF(((D456+E456)*C456-G456)&lt;='Assumptions and Catalog'!$C$53,((D456+E456)*C456-G456)*'Assumptions and Catalog'!$H$53+'Assumptions and Catalog'!$E$53+'Assumptions and Catalog'!$F$53,IF(((D456+E456)*C456-G456)&lt;='Assumptions and Catalog'!$C$54,((D456+E456)*C456-G456)*'Assumptions and Catalog'!$H$54+'Assumptions and Catalog'!$E$54+'Assumptions and Catalog'!$F$54,IF(((D456+E456)*C456-G456)&lt;='Assumptions and Catalog'!$C$55,((D456+E456)*C456-G456)*'Assumptions and Catalog'!$H$55+'Assumptions and Catalog'!$E$55+'Assumptions and Catalog'!$F$55,IF(((D456+E456)*C456-G456)&lt;='Assumptions and Catalog'!$C$56,((D456+E456)*C456-G456)*'Assumptions and Catalog'!$H$56+'Assumptions and Catalog'!$E$56+'Assumptions and Catalog'!$F$56,IF(((D456+E456)*C456-G456)&lt;='Assumptions and Catalog'!$C$57,((D456+E456)*C456-G456)*'Assumptions and Catalog'!$H$57+'Assumptions and Catalog'!$E$57+'Assumptions and Catalog'!$F$57,"Out of range")))))))),IF(((D456+E456)*C456-G456)&lt;='Assumptions and Catalog'!$C$60,((D456+E456)*C456-G456)*'Assumptions and Catalog'!$H$60+'Assumptions and Catalog'!$E$60+'Assumptions and Catalog'!$F$60,IF(((D456+E456)*C456-G456)&lt;='Assumptions and Catalog'!$C$61,((D456+E456)*C456-G456)*'Assumptions and Catalog'!$H$61+'Assumptions and Catalog'!$E$61+'Assumptions and Catalog'!$F$61,IF(((D456+E456)*C456-G456)&lt;='Assumptions and Catalog'!$C$62,((D456+E456)*C456-G456)*'Assumptions and Catalog'!$H$62+'Assumptions and Catalog'!$E$62+'Assumptions and Catalog'!$F$62,IF(((D456+E456)*C456-G456)&lt;='Assumptions and Catalog'!$C$63,((D456+E456)*C456-G456)*'Assumptions and Catalog'!$H$63+'Assumptions and Catalog'!$E$63+'Assumptions and Catalog'!$F$63,IF(((D456+E456)*C456-G456)&lt;='Assumptions and Catalog'!$C$64,((D456+E456)*C456-G456)*'Assumptions and Catalog'!$H$64+'Assumptions and Catalog'!$E$64+'Assumptions and Catalog'!$F$64,IF(((D456+E456)*C456-G456)&lt;='Assumptions and Catalog'!$C$65,((D456+E456)*C456-G456)*'Assumptions and Catalog'!$H$65+'Assumptions and Catalog'!$E$65+'Assumptions and Catalog'!$F$65,"Out of range")))))))))*(1+'Assumptions and Catalog'!$C$8)^(A456-1),0)</f>
        <v>8554.9666666666672</v>
      </c>
      <c r="R456" s="5">
        <f>IF(AND('Assumptions and Catalog'!$C$19&gt;0,A456&gt;='Assumptions and Catalog'!$C$19),A456-'Assumptions and Catalog'!$C$19,A456-1)</f>
        <v>3</v>
      </c>
      <c r="S456" s="5">
        <f>F456+L456-(D456+E456)*C456-J456-K456-IF(D$52&gt;0,'Assumptions and Catalog'!$C$26*C456,0)</f>
        <v>0</v>
      </c>
      <c r="T456" s="5"/>
      <c r="U456" s="5"/>
    </row>
    <row r="457" spans="1:21" ht="23.1" customHeight="1" outlineLevel="1" x14ac:dyDescent="0.2">
      <c r="A457" s="5">
        <v>4</v>
      </c>
      <c r="B457" s="5">
        <v>11</v>
      </c>
      <c r="C457" s="5">
        <f>DAY(DATE('Assumptions and Catalog'!$C$24+A457-1,B457+1,0))</f>
        <v>30</v>
      </c>
      <c r="D457" s="5">
        <f>IF(ISNUMBER(Inputs!$L$5),Inputs!$L$5*Inputs!$L$6,0)</f>
        <v>40.35</v>
      </c>
      <c r="E457" s="5">
        <f>IF(ISNUMBER(Inputs!$L$5),Inputs!$L$5-D457,0)</f>
        <v>40.35</v>
      </c>
      <c r="F457" s="5">
        <f>D$51*'Assumptions and Catalog'!$C$31*C457*(1-'Assumptions and Catalog'!$C$10)^(A457-1)</f>
        <v>0</v>
      </c>
      <c r="G457" s="5">
        <f t="shared" si="32"/>
        <v>0</v>
      </c>
      <c r="H457" s="5">
        <f>I457/('Assumptions and Catalog'!$C$11*'Assumptions and Catalog'!$C$12)</f>
        <v>0</v>
      </c>
      <c r="I457" s="5">
        <f>IF(K$15="Grid cycle",MIN(K$16,D457+E457,P457*'Assumptions and Catalog'!$C$12,D$57*(24-'Assumptions and Catalog'!$C$15),D$56*'Assumptions and Catalog'!$C$15*'Assumptions and Catalog'!$C$11*'Assumptions and Catalog'!$C$12)*C457,0)</f>
        <v>0</v>
      </c>
      <c r="J457" s="5">
        <f t="shared" si="33"/>
        <v>0</v>
      </c>
      <c r="K457" s="5">
        <f t="shared" si="34"/>
        <v>0</v>
      </c>
      <c r="L457" s="5">
        <f>(D457+E457)*C457-G457-I457+H457+IF(D$52&gt;0,'Assumptions and Catalog'!$C$26*C457,0)</f>
        <v>2421</v>
      </c>
      <c r="M457" s="5">
        <f>IF(ISNUMBER(Inputs!$L$5),(IF(Inputs!$L$9="Actual flat rate",((D457+E457)*C457)*Inputs!$L$10,IF(Inputs!$C$9="Residential",IF(((D457+E457)*C457)&lt;='Assumptions and Catalog'!$C$50,((D457+E457)*C457)*'Assumptions and Catalog'!$H$50+'Assumptions and Catalog'!$E$50+'Assumptions and Catalog'!$F$50,IF(((D457+E457)*C457)&lt;='Assumptions and Catalog'!$C$51,((D457+E457)*C457)*'Assumptions and Catalog'!$H$51+'Assumptions and Catalog'!$E$51+'Assumptions and Catalog'!$F$51,IF(((D457+E457)*C457)&lt;='Assumptions and Catalog'!$C$52,((D457+E457)*C457)*'Assumptions and Catalog'!$H$52+'Assumptions and Catalog'!$E$52+'Assumptions and Catalog'!$F$52,IF(((D457+E457)*C457)&lt;='Assumptions and Catalog'!$C$53,((D457+E457)*C457)*'Assumptions and Catalog'!$H$53+'Assumptions and Catalog'!$E$53+'Assumptions and Catalog'!$F$53,IF(((D457+E457)*C457)&lt;='Assumptions and Catalog'!$C$54,((D457+E457)*C457)*'Assumptions and Catalog'!$H$54+'Assumptions and Catalog'!$E$54+'Assumptions and Catalog'!$F$54,IF(((D457+E457)*C457)&lt;='Assumptions and Catalog'!$C$55,((D457+E457)*C457)*'Assumptions and Catalog'!$H$55+'Assumptions and Catalog'!$E$55+'Assumptions and Catalog'!$F$55,IF(((D457+E457)*C457)&lt;='Assumptions and Catalog'!$C$56,((D457+E457)*C457)*'Assumptions and Catalog'!$H$56+'Assumptions and Catalog'!$E$56+'Assumptions and Catalog'!$F$56,IF(((D457+E457)*C457)&lt;='Assumptions and Catalog'!$C$57,((D457+E457)*C457)*'Assumptions and Catalog'!$H$57+'Assumptions and Catalog'!$E$57+'Assumptions and Catalog'!$F$57,"Out of range")))))))),IF(((D457+E457)*C457)&lt;='Assumptions and Catalog'!$C$60,((D457+E457)*C457)*'Assumptions and Catalog'!$H$60+'Assumptions and Catalog'!$E$60+'Assumptions and Catalog'!$F$60,IF(((D457+E457)*C457)&lt;='Assumptions and Catalog'!$C$61,((D457+E457)*C457)*'Assumptions and Catalog'!$H$61+'Assumptions and Catalog'!$E$61+'Assumptions and Catalog'!$F$61,IF(((D457+E457)*C457)&lt;='Assumptions and Catalog'!$C$62,((D457+E457)*C457)*'Assumptions and Catalog'!$H$62+'Assumptions and Catalog'!$E$62+'Assumptions and Catalog'!$F$62,IF(((D457+E457)*C457)&lt;='Assumptions and Catalog'!$C$63,((D457+E457)*C457)*'Assumptions and Catalog'!$H$63+'Assumptions and Catalog'!$E$63+'Assumptions and Catalog'!$F$63,IF(((D457+E457)*C457)&lt;='Assumptions and Catalog'!$C$64,((D457+E457)*C457)*'Assumptions and Catalog'!$H$64+'Assumptions and Catalog'!$E$64+'Assumptions and Catalog'!$F$64,IF(((D457+E457)*C457)&lt;='Assumptions and Catalog'!$C$65,((D457+E457)*C457)*'Assumptions and Catalog'!$H$65+'Assumptions and Catalog'!$E$65+'Assumptions and Catalog'!$F$65,"Out of range")))))))))*(1+'Assumptions and Catalog'!$C$8)^(A457-1),0)</f>
        <v>8279</v>
      </c>
      <c r="N457" s="5">
        <f>IF(ISNUMBER(Inputs!$L$5),(IF(Inputs!$L$9="Actual flat rate",L457*Inputs!$L$10,IF(Inputs!$C$9="Residential",IF(L457&lt;='Assumptions and Catalog'!$C$50,L457*'Assumptions and Catalog'!$H$50+'Assumptions and Catalog'!$E$50+'Assumptions and Catalog'!$F$50,IF(L457&lt;='Assumptions and Catalog'!$C$51,L457*'Assumptions and Catalog'!$H$51+'Assumptions and Catalog'!$E$51+'Assumptions and Catalog'!$F$51,IF(L457&lt;='Assumptions and Catalog'!$C$52,L457*'Assumptions and Catalog'!$H$52+'Assumptions and Catalog'!$E$52+'Assumptions and Catalog'!$F$52,IF(L457&lt;='Assumptions and Catalog'!$C$53,L457*'Assumptions and Catalog'!$H$53+'Assumptions and Catalog'!$E$53+'Assumptions and Catalog'!$F$53,IF(L457&lt;='Assumptions and Catalog'!$C$54,L457*'Assumptions and Catalog'!$H$54+'Assumptions and Catalog'!$E$54+'Assumptions and Catalog'!$F$54,IF(L457&lt;='Assumptions and Catalog'!$C$55,L457*'Assumptions and Catalog'!$H$55+'Assumptions and Catalog'!$E$55+'Assumptions and Catalog'!$F$55,IF(L457&lt;='Assumptions and Catalog'!$C$56,L457*'Assumptions and Catalog'!$H$56+'Assumptions and Catalog'!$E$56+'Assumptions and Catalog'!$F$56,IF(L457&lt;='Assumptions and Catalog'!$C$57,L457*'Assumptions and Catalog'!$H$57+'Assumptions and Catalog'!$E$57+'Assumptions and Catalog'!$F$57,"Out of range")))))))),IF(L457&lt;='Assumptions and Catalog'!$C$60,L457*'Assumptions and Catalog'!$H$60+'Assumptions and Catalog'!$E$60+'Assumptions and Catalog'!$F$60,IF(L457&lt;='Assumptions and Catalog'!$C$61,L457*'Assumptions and Catalog'!$H$61+'Assumptions and Catalog'!$E$61+'Assumptions and Catalog'!$F$61,IF(L457&lt;='Assumptions and Catalog'!$C$62,L457*'Assumptions and Catalog'!$H$62+'Assumptions and Catalog'!$E$62+'Assumptions and Catalog'!$F$62,IF(L457&lt;='Assumptions and Catalog'!$C$63,L457*'Assumptions and Catalog'!$H$63+'Assumptions and Catalog'!$E$63+'Assumptions and Catalog'!$F$63,IF(L457&lt;='Assumptions and Catalog'!$C$64,L457*'Assumptions and Catalog'!$H$64+'Assumptions and Catalog'!$E$64+'Assumptions and Catalog'!$F$64,IF(L457&lt;='Assumptions and Catalog'!$C$65,L457*'Assumptions and Catalog'!$H$65+'Assumptions and Catalog'!$E$65+'Assumptions and Catalog'!$F$65,"Out of range")))))))))*(1+'Assumptions and Catalog'!$C$8)^(A457-1),0)</f>
        <v>8279</v>
      </c>
      <c r="O457" s="5">
        <f t="shared" si="35"/>
        <v>0</v>
      </c>
      <c r="P457" s="5">
        <f>D$55*(1-K$14)*(1-'Assumptions and Catalog'!$C$23)^R457</f>
        <v>0</v>
      </c>
      <c r="Q457" s="5">
        <f>IF(ISNUMBER(Inputs!$L$5),(IF(Inputs!$L$9="Actual flat rate",((D457+E457)*C457-G457)*Inputs!$L$10,IF(Inputs!$C$9="Residential",IF(((D457+E457)*C457-G457)&lt;='Assumptions and Catalog'!$C$50,((D457+E457)*C457-G457)*'Assumptions and Catalog'!$H$50+'Assumptions and Catalog'!$E$50+'Assumptions and Catalog'!$F$50,IF(((D457+E457)*C457-G457)&lt;='Assumptions and Catalog'!$C$51,((D457+E457)*C457-G457)*'Assumptions and Catalog'!$H$51+'Assumptions and Catalog'!$E$51+'Assumptions and Catalog'!$F$51,IF(((D457+E457)*C457-G457)&lt;='Assumptions and Catalog'!$C$52,((D457+E457)*C457-G457)*'Assumptions and Catalog'!$H$52+'Assumptions and Catalog'!$E$52+'Assumptions and Catalog'!$F$52,IF(((D457+E457)*C457-G457)&lt;='Assumptions and Catalog'!$C$53,((D457+E457)*C457-G457)*'Assumptions and Catalog'!$H$53+'Assumptions and Catalog'!$E$53+'Assumptions and Catalog'!$F$53,IF(((D457+E457)*C457-G457)&lt;='Assumptions and Catalog'!$C$54,((D457+E457)*C457-G457)*'Assumptions and Catalog'!$H$54+'Assumptions and Catalog'!$E$54+'Assumptions and Catalog'!$F$54,IF(((D457+E457)*C457-G457)&lt;='Assumptions and Catalog'!$C$55,((D457+E457)*C457-G457)*'Assumptions and Catalog'!$H$55+'Assumptions and Catalog'!$E$55+'Assumptions and Catalog'!$F$55,IF(((D457+E457)*C457-G457)&lt;='Assumptions and Catalog'!$C$56,((D457+E457)*C457-G457)*'Assumptions and Catalog'!$H$56+'Assumptions and Catalog'!$E$56+'Assumptions and Catalog'!$F$56,IF(((D457+E457)*C457-G457)&lt;='Assumptions and Catalog'!$C$57,((D457+E457)*C457-G457)*'Assumptions and Catalog'!$H$57+'Assumptions and Catalog'!$E$57+'Assumptions and Catalog'!$F$57,"Out of range")))))))),IF(((D457+E457)*C457-G457)&lt;='Assumptions and Catalog'!$C$60,((D457+E457)*C457-G457)*'Assumptions and Catalog'!$H$60+'Assumptions and Catalog'!$E$60+'Assumptions and Catalog'!$F$60,IF(((D457+E457)*C457-G457)&lt;='Assumptions and Catalog'!$C$61,((D457+E457)*C457-G457)*'Assumptions and Catalog'!$H$61+'Assumptions and Catalog'!$E$61+'Assumptions and Catalog'!$F$61,IF(((D457+E457)*C457-G457)&lt;='Assumptions and Catalog'!$C$62,((D457+E457)*C457-G457)*'Assumptions and Catalog'!$H$62+'Assumptions and Catalog'!$E$62+'Assumptions and Catalog'!$F$62,IF(((D457+E457)*C457-G457)&lt;='Assumptions and Catalog'!$C$63,((D457+E457)*C457-G457)*'Assumptions and Catalog'!$H$63+'Assumptions and Catalog'!$E$63+'Assumptions and Catalog'!$F$63,IF(((D457+E457)*C457-G457)&lt;='Assumptions and Catalog'!$C$64,((D457+E457)*C457-G457)*'Assumptions and Catalog'!$H$64+'Assumptions and Catalog'!$E$64+'Assumptions and Catalog'!$F$64,IF(((D457+E457)*C457-G457)&lt;='Assumptions and Catalog'!$C$65,((D457+E457)*C457-G457)*'Assumptions and Catalog'!$H$65+'Assumptions and Catalog'!$E$65+'Assumptions and Catalog'!$F$65,"Out of range")))))))))*(1+'Assumptions and Catalog'!$C$8)^(A457-1),0)</f>
        <v>8279</v>
      </c>
      <c r="R457" s="5">
        <f>IF(AND('Assumptions and Catalog'!$C$19&gt;0,A457&gt;='Assumptions and Catalog'!$C$19),A457-'Assumptions and Catalog'!$C$19,A457-1)</f>
        <v>3</v>
      </c>
      <c r="S457" s="5">
        <f>F457+L457-(D457+E457)*C457-J457-K457-IF(D$52&gt;0,'Assumptions and Catalog'!$C$26*C457,0)</f>
        <v>0</v>
      </c>
      <c r="T457" s="5"/>
      <c r="U457" s="5"/>
    </row>
    <row r="458" spans="1:21" ht="23.1" customHeight="1" outlineLevel="1" x14ac:dyDescent="0.2">
      <c r="A458" s="5">
        <v>4</v>
      </c>
      <c r="B458" s="5">
        <v>12</v>
      </c>
      <c r="C458" s="5">
        <f>DAY(DATE('Assumptions and Catalog'!$C$24+A458-1,B458+1,0))</f>
        <v>31</v>
      </c>
      <c r="D458" s="5">
        <f>IF(ISNUMBER(Inputs!$L$5),Inputs!$L$5*Inputs!$L$6,0)</f>
        <v>40.35</v>
      </c>
      <c r="E458" s="5">
        <f>IF(ISNUMBER(Inputs!$L$5),Inputs!$L$5-D458,0)</f>
        <v>40.35</v>
      </c>
      <c r="F458" s="5">
        <f>D$51*'Assumptions and Catalog'!$C$31*C458*(1-'Assumptions and Catalog'!$C$10)^(A458-1)</f>
        <v>0</v>
      </c>
      <c r="G458" s="5">
        <f t="shared" si="32"/>
        <v>0</v>
      </c>
      <c r="H458" s="5">
        <f>I458/('Assumptions and Catalog'!$C$11*'Assumptions and Catalog'!$C$12)</f>
        <v>0</v>
      </c>
      <c r="I458" s="5">
        <f>IF(K$15="Grid cycle",MIN(K$16,D458+E458,P458*'Assumptions and Catalog'!$C$12,D$57*(24-'Assumptions and Catalog'!$C$15),D$56*'Assumptions and Catalog'!$C$15*'Assumptions and Catalog'!$C$11*'Assumptions and Catalog'!$C$12)*C458,0)</f>
        <v>0</v>
      </c>
      <c r="J458" s="5">
        <f t="shared" si="33"/>
        <v>0</v>
      </c>
      <c r="K458" s="5">
        <f t="shared" si="34"/>
        <v>0</v>
      </c>
      <c r="L458" s="5">
        <f>(D458+E458)*C458-G458-I458+H458+IF(D$52&gt;0,'Assumptions and Catalog'!$C$26*C458,0)</f>
        <v>2501.7000000000003</v>
      </c>
      <c r="M458" s="5">
        <f>IF(ISNUMBER(Inputs!$L$5),(IF(Inputs!$L$9="Actual flat rate",((D458+E458)*C458)*Inputs!$L$10,IF(Inputs!$C$9="Residential",IF(((D458+E458)*C458)&lt;='Assumptions and Catalog'!$C$50,((D458+E458)*C458)*'Assumptions and Catalog'!$H$50+'Assumptions and Catalog'!$E$50+'Assumptions and Catalog'!$F$50,IF(((D458+E458)*C458)&lt;='Assumptions and Catalog'!$C$51,((D458+E458)*C458)*'Assumptions and Catalog'!$H$51+'Assumptions and Catalog'!$E$51+'Assumptions and Catalog'!$F$51,IF(((D458+E458)*C458)&lt;='Assumptions and Catalog'!$C$52,((D458+E458)*C458)*'Assumptions and Catalog'!$H$52+'Assumptions and Catalog'!$E$52+'Assumptions and Catalog'!$F$52,IF(((D458+E458)*C458)&lt;='Assumptions and Catalog'!$C$53,((D458+E458)*C458)*'Assumptions and Catalog'!$H$53+'Assumptions and Catalog'!$E$53+'Assumptions and Catalog'!$F$53,IF(((D458+E458)*C458)&lt;='Assumptions and Catalog'!$C$54,((D458+E458)*C458)*'Assumptions and Catalog'!$H$54+'Assumptions and Catalog'!$E$54+'Assumptions and Catalog'!$F$54,IF(((D458+E458)*C458)&lt;='Assumptions and Catalog'!$C$55,((D458+E458)*C458)*'Assumptions and Catalog'!$H$55+'Assumptions and Catalog'!$E$55+'Assumptions and Catalog'!$F$55,IF(((D458+E458)*C458)&lt;='Assumptions and Catalog'!$C$56,((D458+E458)*C458)*'Assumptions and Catalog'!$H$56+'Assumptions and Catalog'!$E$56+'Assumptions and Catalog'!$F$56,IF(((D458+E458)*C458)&lt;='Assumptions and Catalog'!$C$57,((D458+E458)*C458)*'Assumptions and Catalog'!$H$57+'Assumptions and Catalog'!$E$57+'Assumptions and Catalog'!$F$57,"Out of range")))))))),IF(((D458+E458)*C458)&lt;='Assumptions and Catalog'!$C$60,((D458+E458)*C458)*'Assumptions and Catalog'!$H$60+'Assumptions and Catalog'!$E$60+'Assumptions and Catalog'!$F$60,IF(((D458+E458)*C458)&lt;='Assumptions and Catalog'!$C$61,((D458+E458)*C458)*'Assumptions and Catalog'!$H$61+'Assumptions and Catalog'!$E$61+'Assumptions and Catalog'!$F$61,IF(((D458+E458)*C458)&lt;='Assumptions and Catalog'!$C$62,((D458+E458)*C458)*'Assumptions and Catalog'!$H$62+'Assumptions and Catalog'!$E$62+'Assumptions and Catalog'!$F$62,IF(((D458+E458)*C458)&lt;='Assumptions and Catalog'!$C$63,((D458+E458)*C458)*'Assumptions and Catalog'!$H$63+'Assumptions and Catalog'!$E$63+'Assumptions and Catalog'!$F$63,IF(((D458+E458)*C458)&lt;='Assumptions and Catalog'!$C$64,((D458+E458)*C458)*'Assumptions and Catalog'!$H$64+'Assumptions and Catalog'!$E$64+'Assumptions and Catalog'!$F$64,IF(((D458+E458)*C458)&lt;='Assumptions and Catalog'!$C$65,((D458+E458)*C458)*'Assumptions and Catalog'!$H$65+'Assumptions and Catalog'!$E$65+'Assumptions and Catalog'!$F$65,"Out of range")))))))))*(1+'Assumptions and Catalog'!$C$8)^(A458-1),0)</f>
        <v>8554.9666666666672</v>
      </c>
      <c r="N458" s="5">
        <f>IF(ISNUMBER(Inputs!$L$5),(IF(Inputs!$L$9="Actual flat rate",L458*Inputs!$L$10,IF(Inputs!$C$9="Residential",IF(L458&lt;='Assumptions and Catalog'!$C$50,L458*'Assumptions and Catalog'!$H$50+'Assumptions and Catalog'!$E$50+'Assumptions and Catalog'!$F$50,IF(L458&lt;='Assumptions and Catalog'!$C$51,L458*'Assumptions and Catalog'!$H$51+'Assumptions and Catalog'!$E$51+'Assumptions and Catalog'!$F$51,IF(L458&lt;='Assumptions and Catalog'!$C$52,L458*'Assumptions and Catalog'!$H$52+'Assumptions and Catalog'!$E$52+'Assumptions and Catalog'!$F$52,IF(L458&lt;='Assumptions and Catalog'!$C$53,L458*'Assumptions and Catalog'!$H$53+'Assumptions and Catalog'!$E$53+'Assumptions and Catalog'!$F$53,IF(L458&lt;='Assumptions and Catalog'!$C$54,L458*'Assumptions and Catalog'!$H$54+'Assumptions and Catalog'!$E$54+'Assumptions and Catalog'!$F$54,IF(L458&lt;='Assumptions and Catalog'!$C$55,L458*'Assumptions and Catalog'!$H$55+'Assumptions and Catalog'!$E$55+'Assumptions and Catalog'!$F$55,IF(L458&lt;='Assumptions and Catalog'!$C$56,L458*'Assumptions and Catalog'!$H$56+'Assumptions and Catalog'!$E$56+'Assumptions and Catalog'!$F$56,IF(L458&lt;='Assumptions and Catalog'!$C$57,L458*'Assumptions and Catalog'!$H$57+'Assumptions and Catalog'!$E$57+'Assumptions and Catalog'!$F$57,"Out of range")))))))),IF(L458&lt;='Assumptions and Catalog'!$C$60,L458*'Assumptions and Catalog'!$H$60+'Assumptions and Catalog'!$E$60+'Assumptions and Catalog'!$F$60,IF(L458&lt;='Assumptions and Catalog'!$C$61,L458*'Assumptions and Catalog'!$H$61+'Assumptions and Catalog'!$E$61+'Assumptions and Catalog'!$F$61,IF(L458&lt;='Assumptions and Catalog'!$C$62,L458*'Assumptions and Catalog'!$H$62+'Assumptions and Catalog'!$E$62+'Assumptions and Catalog'!$F$62,IF(L458&lt;='Assumptions and Catalog'!$C$63,L458*'Assumptions and Catalog'!$H$63+'Assumptions and Catalog'!$E$63+'Assumptions and Catalog'!$F$63,IF(L458&lt;='Assumptions and Catalog'!$C$64,L458*'Assumptions and Catalog'!$H$64+'Assumptions and Catalog'!$E$64+'Assumptions and Catalog'!$F$64,IF(L458&lt;='Assumptions and Catalog'!$C$65,L458*'Assumptions and Catalog'!$H$65+'Assumptions and Catalog'!$E$65+'Assumptions and Catalog'!$F$65,"Out of range")))))))))*(1+'Assumptions and Catalog'!$C$8)^(A458-1),0)</f>
        <v>8554.9666666666672</v>
      </c>
      <c r="O458" s="5">
        <f t="shared" si="35"/>
        <v>0</v>
      </c>
      <c r="P458" s="5">
        <f>D$55*(1-K$14)*(1-'Assumptions and Catalog'!$C$23)^R458</f>
        <v>0</v>
      </c>
      <c r="Q458" s="5">
        <f>IF(ISNUMBER(Inputs!$L$5),(IF(Inputs!$L$9="Actual flat rate",((D458+E458)*C458-G458)*Inputs!$L$10,IF(Inputs!$C$9="Residential",IF(((D458+E458)*C458-G458)&lt;='Assumptions and Catalog'!$C$50,((D458+E458)*C458-G458)*'Assumptions and Catalog'!$H$50+'Assumptions and Catalog'!$E$50+'Assumptions and Catalog'!$F$50,IF(((D458+E458)*C458-G458)&lt;='Assumptions and Catalog'!$C$51,((D458+E458)*C458-G458)*'Assumptions and Catalog'!$H$51+'Assumptions and Catalog'!$E$51+'Assumptions and Catalog'!$F$51,IF(((D458+E458)*C458-G458)&lt;='Assumptions and Catalog'!$C$52,((D458+E458)*C458-G458)*'Assumptions and Catalog'!$H$52+'Assumptions and Catalog'!$E$52+'Assumptions and Catalog'!$F$52,IF(((D458+E458)*C458-G458)&lt;='Assumptions and Catalog'!$C$53,((D458+E458)*C458-G458)*'Assumptions and Catalog'!$H$53+'Assumptions and Catalog'!$E$53+'Assumptions and Catalog'!$F$53,IF(((D458+E458)*C458-G458)&lt;='Assumptions and Catalog'!$C$54,((D458+E458)*C458-G458)*'Assumptions and Catalog'!$H$54+'Assumptions and Catalog'!$E$54+'Assumptions and Catalog'!$F$54,IF(((D458+E458)*C458-G458)&lt;='Assumptions and Catalog'!$C$55,((D458+E458)*C458-G458)*'Assumptions and Catalog'!$H$55+'Assumptions and Catalog'!$E$55+'Assumptions and Catalog'!$F$55,IF(((D458+E458)*C458-G458)&lt;='Assumptions and Catalog'!$C$56,((D458+E458)*C458-G458)*'Assumptions and Catalog'!$H$56+'Assumptions and Catalog'!$E$56+'Assumptions and Catalog'!$F$56,IF(((D458+E458)*C458-G458)&lt;='Assumptions and Catalog'!$C$57,((D458+E458)*C458-G458)*'Assumptions and Catalog'!$H$57+'Assumptions and Catalog'!$E$57+'Assumptions and Catalog'!$F$57,"Out of range")))))))),IF(((D458+E458)*C458-G458)&lt;='Assumptions and Catalog'!$C$60,((D458+E458)*C458-G458)*'Assumptions and Catalog'!$H$60+'Assumptions and Catalog'!$E$60+'Assumptions and Catalog'!$F$60,IF(((D458+E458)*C458-G458)&lt;='Assumptions and Catalog'!$C$61,((D458+E458)*C458-G458)*'Assumptions and Catalog'!$H$61+'Assumptions and Catalog'!$E$61+'Assumptions and Catalog'!$F$61,IF(((D458+E458)*C458-G458)&lt;='Assumptions and Catalog'!$C$62,((D458+E458)*C458-G458)*'Assumptions and Catalog'!$H$62+'Assumptions and Catalog'!$E$62+'Assumptions and Catalog'!$F$62,IF(((D458+E458)*C458-G458)&lt;='Assumptions and Catalog'!$C$63,((D458+E458)*C458-G458)*'Assumptions and Catalog'!$H$63+'Assumptions and Catalog'!$E$63+'Assumptions and Catalog'!$F$63,IF(((D458+E458)*C458-G458)&lt;='Assumptions and Catalog'!$C$64,((D458+E458)*C458-G458)*'Assumptions and Catalog'!$H$64+'Assumptions and Catalog'!$E$64+'Assumptions and Catalog'!$F$64,IF(((D458+E458)*C458-G458)&lt;='Assumptions and Catalog'!$C$65,((D458+E458)*C458-G458)*'Assumptions and Catalog'!$H$65+'Assumptions and Catalog'!$E$65+'Assumptions and Catalog'!$F$65,"Out of range")))))))))*(1+'Assumptions and Catalog'!$C$8)^(A458-1),0)</f>
        <v>8554.9666666666672</v>
      </c>
      <c r="R458" s="5">
        <f>IF(AND('Assumptions and Catalog'!$C$19&gt;0,A458&gt;='Assumptions and Catalog'!$C$19),A458-'Assumptions and Catalog'!$C$19,A458-1)</f>
        <v>3</v>
      </c>
      <c r="S458" s="5">
        <f>F458+L458-(D458+E458)*C458-J458-K458-IF(D$52&gt;0,'Assumptions and Catalog'!$C$26*C458,0)</f>
        <v>0</v>
      </c>
      <c r="T458" s="5"/>
      <c r="U458" s="5"/>
    </row>
    <row r="459" spans="1:21" ht="23.1" customHeight="1" outlineLevel="1" x14ac:dyDescent="0.2">
      <c r="A459" s="5">
        <v>5</v>
      </c>
      <c r="B459" s="5">
        <v>1</v>
      </c>
      <c r="C459" s="5">
        <f>DAY(DATE('Assumptions and Catalog'!$C$24+A459-1,B459+1,0))</f>
        <v>31</v>
      </c>
      <c r="D459" s="5">
        <f>IF(ISNUMBER(Inputs!$L$5),Inputs!$L$5*Inputs!$L$6,0)</f>
        <v>40.35</v>
      </c>
      <c r="E459" s="5">
        <f>IF(ISNUMBER(Inputs!$L$5),Inputs!$L$5-D459,0)</f>
        <v>40.35</v>
      </c>
      <c r="F459" s="5">
        <f>D$51*'Assumptions and Catalog'!$C$31*C459*(1-'Assumptions and Catalog'!$C$10)^(A459-1)</f>
        <v>0</v>
      </c>
      <c r="G459" s="5">
        <f t="shared" si="32"/>
        <v>0</v>
      </c>
      <c r="H459" s="5">
        <f>I459/('Assumptions and Catalog'!$C$11*'Assumptions and Catalog'!$C$12)</f>
        <v>0</v>
      </c>
      <c r="I459" s="5">
        <f>IF(K$15="Grid cycle",MIN(K$16,D459+E459,P459*'Assumptions and Catalog'!$C$12,D$57*(24-'Assumptions and Catalog'!$C$15),D$56*'Assumptions and Catalog'!$C$15*'Assumptions and Catalog'!$C$11*'Assumptions and Catalog'!$C$12)*C459,0)</f>
        <v>0</v>
      </c>
      <c r="J459" s="5">
        <f t="shared" si="33"/>
        <v>0</v>
      </c>
      <c r="K459" s="5">
        <f t="shared" si="34"/>
        <v>0</v>
      </c>
      <c r="L459" s="5">
        <f>(D459+E459)*C459-G459-I459+H459+IF(D$52&gt;0,'Assumptions and Catalog'!$C$26*C459,0)</f>
        <v>2501.7000000000003</v>
      </c>
      <c r="M459" s="5">
        <f>IF(ISNUMBER(Inputs!$L$5),(IF(Inputs!$L$9="Actual flat rate",((D459+E459)*C459)*Inputs!$L$10,IF(Inputs!$C$9="Residential",IF(((D459+E459)*C459)&lt;='Assumptions and Catalog'!$C$50,((D459+E459)*C459)*'Assumptions and Catalog'!$H$50+'Assumptions and Catalog'!$E$50+'Assumptions and Catalog'!$F$50,IF(((D459+E459)*C459)&lt;='Assumptions and Catalog'!$C$51,((D459+E459)*C459)*'Assumptions and Catalog'!$H$51+'Assumptions and Catalog'!$E$51+'Assumptions and Catalog'!$F$51,IF(((D459+E459)*C459)&lt;='Assumptions and Catalog'!$C$52,((D459+E459)*C459)*'Assumptions and Catalog'!$H$52+'Assumptions and Catalog'!$E$52+'Assumptions and Catalog'!$F$52,IF(((D459+E459)*C459)&lt;='Assumptions and Catalog'!$C$53,((D459+E459)*C459)*'Assumptions and Catalog'!$H$53+'Assumptions and Catalog'!$E$53+'Assumptions and Catalog'!$F$53,IF(((D459+E459)*C459)&lt;='Assumptions and Catalog'!$C$54,((D459+E459)*C459)*'Assumptions and Catalog'!$H$54+'Assumptions and Catalog'!$E$54+'Assumptions and Catalog'!$F$54,IF(((D459+E459)*C459)&lt;='Assumptions and Catalog'!$C$55,((D459+E459)*C459)*'Assumptions and Catalog'!$H$55+'Assumptions and Catalog'!$E$55+'Assumptions and Catalog'!$F$55,IF(((D459+E459)*C459)&lt;='Assumptions and Catalog'!$C$56,((D459+E459)*C459)*'Assumptions and Catalog'!$H$56+'Assumptions and Catalog'!$E$56+'Assumptions and Catalog'!$F$56,IF(((D459+E459)*C459)&lt;='Assumptions and Catalog'!$C$57,((D459+E459)*C459)*'Assumptions and Catalog'!$H$57+'Assumptions and Catalog'!$E$57+'Assumptions and Catalog'!$F$57,"Out of range")))))))),IF(((D459+E459)*C459)&lt;='Assumptions and Catalog'!$C$60,((D459+E459)*C459)*'Assumptions and Catalog'!$H$60+'Assumptions and Catalog'!$E$60+'Assumptions and Catalog'!$F$60,IF(((D459+E459)*C459)&lt;='Assumptions and Catalog'!$C$61,((D459+E459)*C459)*'Assumptions and Catalog'!$H$61+'Assumptions and Catalog'!$E$61+'Assumptions and Catalog'!$F$61,IF(((D459+E459)*C459)&lt;='Assumptions and Catalog'!$C$62,((D459+E459)*C459)*'Assumptions and Catalog'!$H$62+'Assumptions and Catalog'!$E$62+'Assumptions and Catalog'!$F$62,IF(((D459+E459)*C459)&lt;='Assumptions and Catalog'!$C$63,((D459+E459)*C459)*'Assumptions and Catalog'!$H$63+'Assumptions and Catalog'!$E$63+'Assumptions and Catalog'!$F$63,IF(((D459+E459)*C459)&lt;='Assumptions and Catalog'!$C$64,((D459+E459)*C459)*'Assumptions and Catalog'!$H$64+'Assumptions and Catalog'!$E$64+'Assumptions and Catalog'!$F$64,IF(((D459+E459)*C459)&lt;='Assumptions and Catalog'!$C$65,((D459+E459)*C459)*'Assumptions and Catalog'!$H$65+'Assumptions and Catalog'!$E$65+'Assumptions and Catalog'!$F$65,"Out of range")))))))))*(1+'Assumptions and Catalog'!$C$8)^(A459-1),0)</f>
        <v>8554.9666666666672</v>
      </c>
      <c r="N459" s="5">
        <f>IF(ISNUMBER(Inputs!$L$5),(IF(Inputs!$L$9="Actual flat rate",L459*Inputs!$L$10,IF(Inputs!$C$9="Residential",IF(L459&lt;='Assumptions and Catalog'!$C$50,L459*'Assumptions and Catalog'!$H$50+'Assumptions and Catalog'!$E$50+'Assumptions and Catalog'!$F$50,IF(L459&lt;='Assumptions and Catalog'!$C$51,L459*'Assumptions and Catalog'!$H$51+'Assumptions and Catalog'!$E$51+'Assumptions and Catalog'!$F$51,IF(L459&lt;='Assumptions and Catalog'!$C$52,L459*'Assumptions and Catalog'!$H$52+'Assumptions and Catalog'!$E$52+'Assumptions and Catalog'!$F$52,IF(L459&lt;='Assumptions and Catalog'!$C$53,L459*'Assumptions and Catalog'!$H$53+'Assumptions and Catalog'!$E$53+'Assumptions and Catalog'!$F$53,IF(L459&lt;='Assumptions and Catalog'!$C$54,L459*'Assumptions and Catalog'!$H$54+'Assumptions and Catalog'!$E$54+'Assumptions and Catalog'!$F$54,IF(L459&lt;='Assumptions and Catalog'!$C$55,L459*'Assumptions and Catalog'!$H$55+'Assumptions and Catalog'!$E$55+'Assumptions and Catalog'!$F$55,IF(L459&lt;='Assumptions and Catalog'!$C$56,L459*'Assumptions and Catalog'!$H$56+'Assumptions and Catalog'!$E$56+'Assumptions and Catalog'!$F$56,IF(L459&lt;='Assumptions and Catalog'!$C$57,L459*'Assumptions and Catalog'!$H$57+'Assumptions and Catalog'!$E$57+'Assumptions and Catalog'!$F$57,"Out of range")))))))),IF(L459&lt;='Assumptions and Catalog'!$C$60,L459*'Assumptions and Catalog'!$H$60+'Assumptions and Catalog'!$E$60+'Assumptions and Catalog'!$F$60,IF(L459&lt;='Assumptions and Catalog'!$C$61,L459*'Assumptions and Catalog'!$H$61+'Assumptions and Catalog'!$E$61+'Assumptions and Catalog'!$F$61,IF(L459&lt;='Assumptions and Catalog'!$C$62,L459*'Assumptions and Catalog'!$H$62+'Assumptions and Catalog'!$E$62+'Assumptions and Catalog'!$F$62,IF(L459&lt;='Assumptions and Catalog'!$C$63,L459*'Assumptions and Catalog'!$H$63+'Assumptions and Catalog'!$E$63+'Assumptions and Catalog'!$F$63,IF(L459&lt;='Assumptions and Catalog'!$C$64,L459*'Assumptions and Catalog'!$H$64+'Assumptions and Catalog'!$E$64+'Assumptions and Catalog'!$F$64,IF(L459&lt;='Assumptions and Catalog'!$C$65,L459*'Assumptions and Catalog'!$H$65+'Assumptions and Catalog'!$E$65+'Assumptions and Catalog'!$F$65,"Out of range")))))))))*(1+'Assumptions and Catalog'!$C$8)^(A459-1),0)</f>
        <v>8554.9666666666672</v>
      </c>
      <c r="O459" s="5">
        <f t="shared" si="35"/>
        <v>0</v>
      </c>
      <c r="P459" s="5">
        <f>D$55*(1-K$14)*(1-'Assumptions and Catalog'!$C$23)^R459</f>
        <v>0</v>
      </c>
      <c r="Q459" s="5">
        <f>IF(ISNUMBER(Inputs!$L$5),(IF(Inputs!$L$9="Actual flat rate",((D459+E459)*C459-G459)*Inputs!$L$10,IF(Inputs!$C$9="Residential",IF(((D459+E459)*C459-G459)&lt;='Assumptions and Catalog'!$C$50,((D459+E459)*C459-G459)*'Assumptions and Catalog'!$H$50+'Assumptions and Catalog'!$E$50+'Assumptions and Catalog'!$F$50,IF(((D459+E459)*C459-G459)&lt;='Assumptions and Catalog'!$C$51,((D459+E459)*C459-G459)*'Assumptions and Catalog'!$H$51+'Assumptions and Catalog'!$E$51+'Assumptions and Catalog'!$F$51,IF(((D459+E459)*C459-G459)&lt;='Assumptions and Catalog'!$C$52,((D459+E459)*C459-G459)*'Assumptions and Catalog'!$H$52+'Assumptions and Catalog'!$E$52+'Assumptions and Catalog'!$F$52,IF(((D459+E459)*C459-G459)&lt;='Assumptions and Catalog'!$C$53,((D459+E459)*C459-G459)*'Assumptions and Catalog'!$H$53+'Assumptions and Catalog'!$E$53+'Assumptions and Catalog'!$F$53,IF(((D459+E459)*C459-G459)&lt;='Assumptions and Catalog'!$C$54,((D459+E459)*C459-G459)*'Assumptions and Catalog'!$H$54+'Assumptions and Catalog'!$E$54+'Assumptions and Catalog'!$F$54,IF(((D459+E459)*C459-G459)&lt;='Assumptions and Catalog'!$C$55,((D459+E459)*C459-G459)*'Assumptions and Catalog'!$H$55+'Assumptions and Catalog'!$E$55+'Assumptions and Catalog'!$F$55,IF(((D459+E459)*C459-G459)&lt;='Assumptions and Catalog'!$C$56,((D459+E459)*C459-G459)*'Assumptions and Catalog'!$H$56+'Assumptions and Catalog'!$E$56+'Assumptions and Catalog'!$F$56,IF(((D459+E459)*C459-G459)&lt;='Assumptions and Catalog'!$C$57,((D459+E459)*C459-G459)*'Assumptions and Catalog'!$H$57+'Assumptions and Catalog'!$E$57+'Assumptions and Catalog'!$F$57,"Out of range")))))))),IF(((D459+E459)*C459-G459)&lt;='Assumptions and Catalog'!$C$60,((D459+E459)*C459-G459)*'Assumptions and Catalog'!$H$60+'Assumptions and Catalog'!$E$60+'Assumptions and Catalog'!$F$60,IF(((D459+E459)*C459-G459)&lt;='Assumptions and Catalog'!$C$61,((D459+E459)*C459-G459)*'Assumptions and Catalog'!$H$61+'Assumptions and Catalog'!$E$61+'Assumptions and Catalog'!$F$61,IF(((D459+E459)*C459-G459)&lt;='Assumptions and Catalog'!$C$62,((D459+E459)*C459-G459)*'Assumptions and Catalog'!$H$62+'Assumptions and Catalog'!$E$62+'Assumptions and Catalog'!$F$62,IF(((D459+E459)*C459-G459)&lt;='Assumptions and Catalog'!$C$63,((D459+E459)*C459-G459)*'Assumptions and Catalog'!$H$63+'Assumptions and Catalog'!$E$63+'Assumptions and Catalog'!$F$63,IF(((D459+E459)*C459-G459)&lt;='Assumptions and Catalog'!$C$64,((D459+E459)*C459-G459)*'Assumptions and Catalog'!$H$64+'Assumptions and Catalog'!$E$64+'Assumptions and Catalog'!$F$64,IF(((D459+E459)*C459-G459)&lt;='Assumptions and Catalog'!$C$65,((D459+E459)*C459-G459)*'Assumptions and Catalog'!$H$65+'Assumptions and Catalog'!$E$65+'Assumptions and Catalog'!$F$65,"Out of range")))))))))*(1+'Assumptions and Catalog'!$C$8)^(A459-1),0)</f>
        <v>8554.9666666666672</v>
      </c>
      <c r="R459" s="5">
        <f>IF(AND('Assumptions and Catalog'!$C$19&gt;0,A459&gt;='Assumptions and Catalog'!$C$19),A459-'Assumptions and Catalog'!$C$19,A459-1)</f>
        <v>4</v>
      </c>
      <c r="S459" s="5">
        <f>F459+L459-(D459+E459)*C459-J459-K459-IF(D$52&gt;0,'Assumptions and Catalog'!$C$26*C459,0)</f>
        <v>0</v>
      </c>
      <c r="T459" s="5"/>
      <c r="U459" s="5"/>
    </row>
    <row r="460" spans="1:21" ht="23.1" customHeight="1" outlineLevel="1" x14ac:dyDescent="0.2">
      <c r="A460" s="5">
        <v>5</v>
      </c>
      <c r="B460" s="5">
        <v>2</v>
      </c>
      <c r="C460" s="5">
        <f>DAY(DATE('Assumptions and Catalog'!$C$24+A460-1,B460+1,0))</f>
        <v>28</v>
      </c>
      <c r="D460" s="5">
        <f>IF(ISNUMBER(Inputs!$L$5),Inputs!$L$5*Inputs!$L$6,0)</f>
        <v>40.35</v>
      </c>
      <c r="E460" s="5">
        <f>IF(ISNUMBER(Inputs!$L$5),Inputs!$L$5-D460,0)</f>
        <v>40.35</v>
      </c>
      <c r="F460" s="5">
        <f>D$51*'Assumptions and Catalog'!$C$31*C460*(1-'Assumptions and Catalog'!$C$10)^(A460-1)</f>
        <v>0</v>
      </c>
      <c r="G460" s="5">
        <f t="shared" si="32"/>
        <v>0</v>
      </c>
      <c r="H460" s="5">
        <f>I460/('Assumptions and Catalog'!$C$11*'Assumptions and Catalog'!$C$12)</f>
        <v>0</v>
      </c>
      <c r="I460" s="5">
        <f>IF(K$15="Grid cycle",MIN(K$16,D460+E460,P460*'Assumptions and Catalog'!$C$12,D$57*(24-'Assumptions and Catalog'!$C$15),D$56*'Assumptions and Catalog'!$C$15*'Assumptions and Catalog'!$C$11*'Assumptions and Catalog'!$C$12)*C460,0)</f>
        <v>0</v>
      </c>
      <c r="J460" s="5">
        <f t="shared" si="33"/>
        <v>0</v>
      </c>
      <c r="K460" s="5">
        <f t="shared" si="34"/>
        <v>0</v>
      </c>
      <c r="L460" s="5">
        <f>(D460+E460)*C460-G460-I460+H460+IF(D$52&gt;0,'Assumptions and Catalog'!$C$26*C460,0)</f>
        <v>2259.6</v>
      </c>
      <c r="M460" s="5">
        <f>IF(ISNUMBER(Inputs!$L$5),(IF(Inputs!$L$9="Actual flat rate",((D460+E460)*C460)*Inputs!$L$10,IF(Inputs!$C$9="Residential",IF(((D460+E460)*C460)&lt;='Assumptions and Catalog'!$C$50,((D460+E460)*C460)*'Assumptions and Catalog'!$H$50+'Assumptions and Catalog'!$E$50+'Assumptions and Catalog'!$F$50,IF(((D460+E460)*C460)&lt;='Assumptions and Catalog'!$C$51,((D460+E460)*C460)*'Assumptions and Catalog'!$H$51+'Assumptions and Catalog'!$E$51+'Assumptions and Catalog'!$F$51,IF(((D460+E460)*C460)&lt;='Assumptions and Catalog'!$C$52,((D460+E460)*C460)*'Assumptions and Catalog'!$H$52+'Assumptions and Catalog'!$E$52+'Assumptions and Catalog'!$F$52,IF(((D460+E460)*C460)&lt;='Assumptions and Catalog'!$C$53,((D460+E460)*C460)*'Assumptions and Catalog'!$H$53+'Assumptions and Catalog'!$E$53+'Assumptions and Catalog'!$F$53,IF(((D460+E460)*C460)&lt;='Assumptions and Catalog'!$C$54,((D460+E460)*C460)*'Assumptions and Catalog'!$H$54+'Assumptions and Catalog'!$E$54+'Assumptions and Catalog'!$F$54,IF(((D460+E460)*C460)&lt;='Assumptions and Catalog'!$C$55,((D460+E460)*C460)*'Assumptions and Catalog'!$H$55+'Assumptions and Catalog'!$E$55+'Assumptions and Catalog'!$F$55,IF(((D460+E460)*C460)&lt;='Assumptions and Catalog'!$C$56,((D460+E460)*C460)*'Assumptions and Catalog'!$H$56+'Assumptions and Catalog'!$E$56+'Assumptions and Catalog'!$F$56,IF(((D460+E460)*C460)&lt;='Assumptions and Catalog'!$C$57,((D460+E460)*C460)*'Assumptions and Catalog'!$H$57+'Assumptions and Catalog'!$E$57+'Assumptions and Catalog'!$F$57,"Out of range")))))))),IF(((D460+E460)*C460)&lt;='Assumptions and Catalog'!$C$60,((D460+E460)*C460)*'Assumptions and Catalog'!$H$60+'Assumptions and Catalog'!$E$60+'Assumptions and Catalog'!$F$60,IF(((D460+E460)*C460)&lt;='Assumptions and Catalog'!$C$61,((D460+E460)*C460)*'Assumptions and Catalog'!$H$61+'Assumptions and Catalog'!$E$61+'Assumptions and Catalog'!$F$61,IF(((D460+E460)*C460)&lt;='Assumptions and Catalog'!$C$62,((D460+E460)*C460)*'Assumptions and Catalog'!$H$62+'Assumptions and Catalog'!$E$62+'Assumptions and Catalog'!$F$62,IF(((D460+E460)*C460)&lt;='Assumptions and Catalog'!$C$63,((D460+E460)*C460)*'Assumptions and Catalog'!$H$63+'Assumptions and Catalog'!$E$63+'Assumptions and Catalog'!$F$63,IF(((D460+E460)*C460)&lt;='Assumptions and Catalog'!$C$64,((D460+E460)*C460)*'Assumptions and Catalog'!$H$64+'Assumptions and Catalog'!$E$64+'Assumptions and Catalog'!$F$64,IF(((D460+E460)*C460)&lt;='Assumptions and Catalog'!$C$65,((D460+E460)*C460)*'Assumptions and Catalog'!$H$65+'Assumptions and Catalog'!$E$65+'Assumptions and Catalog'!$F$65,"Out of range")))))))))*(1+'Assumptions and Catalog'!$C$8)^(A460-1),0)</f>
        <v>7727.0666666666657</v>
      </c>
      <c r="N460" s="5">
        <f>IF(ISNUMBER(Inputs!$L$5),(IF(Inputs!$L$9="Actual flat rate",L460*Inputs!$L$10,IF(Inputs!$C$9="Residential",IF(L460&lt;='Assumptions and Catalog'!$C$50,L460*'Assumptions and Catalog'!$H$50+'Assumptions and Catalog'!$E$50+'Assumptions and Catalog'!$F$50,IF(L460&lt;='Assumptions and Catalog'!$C$51,L460*'Assumptions and Catalog'!$H$51+'Assumptions and Catalog'!$E$51+'Assumptions and Catalog'!$F$51,IF(L460&lt;='Assumptions and Catalog'!$C$52,L460*'Assumptions and Catalog'!$H$52+'Assumptions and Catalog'!$E$52+'Assumptions and Catalog'!$F$52,IF(L460&lt;='Assumptions and Catalog'!$C$53,L460*'Assumptions and Catalog'!$H$53+'Assumptions and Catalog'!$E$53+'Assumptions and Catalog'!$F$53,IF(L460&lt;='Assumptions and Catalog'!$C$54,L460*'Assumptions and Catalog'!$H$54+'Assumptions and Catalog'!$E$54+'Assumptions and Catalog'!$F$54,IF(L460&lt;='Assumptions and Catalog'!$C$55,L460*'Assumptions and Catalog'!$H$55+'Assumptions and Catalog'!$E$55+'Assumptions and Catalog'!$F$55,IF(L460&lt;='Assumptions and Catalog'!$C$56,L460*'Assumptions and Catalog'!$H$56+'Assumptions and Catalog'!$E$56+'Assumptions and Catalog'!$F$56,IF(L460&lt;='Assumptions and Catalog'!$C$57,L460*'Assumptions and Catalog'!$H$57+'Assumptions and Catalog'!$E$57+'Assumptions and Catalog'!$F$57,"Out of range")))))))),IF(L460&lt;='Assumptions and Catalog'!$C$60,L460*'Assumptions and Catalog'!$H$60+'Assumptions and Catalog'!$E$60+'Assumptions and Catalog'!$F$60,IF(L460&lt;='Assumptions and Catalog'!$C$61,L460*'Assumptions and Catalog'!$H$61+'Assumptions and Catalog'!$E$61+'Assumptions and Catalog'!$F$61,IF(L460&lt;='Assumptions and Catalog'!$C$62,L460*'Assumptions and Catalog'!$H$62+'Assumptions and Catalog'!$E$62+'Assumptions and Catalog'!$F$62,IF(L460&lt;='Assumptions and Catalog'!$C$63,L460*'Assumptions and Catalog'!$H$63+'Assumptions and Catalog'!$E$63+'Assumptions and Catalog'!$F$63,IF(L460&lt;='Assumptions and Catalog'!$C$64,L460*'Assumptions and Catalog'!$H$64+'Assumptions and Catalog'!$E$64+'Assumptions and Catalog'!$F$64,IF(L460&lt;='Assumptions and Catalog'!$C$65,L460*'Assumptions and Catalog'!$H$65+'Assumptions and Catalog'!$E$65+'Assumptions and Catalog'!$F$65,"Out of range")))))))))*(1+'Assumptions and Catalog'!$C$8)^(A460-1),0)</f>
        <v>7727.0666666666657</v>
      </c>
      <c r="O460" s="5">
        <f t="shared" si="35"/>
        <v>0</v>
      </c>
      <c r="P460" s="5">
        <f>D$55*(1-K$14)*(1-'Assumptions and Catalog'!$C$23)^R460</f>
        <v>0</v>
      </c>
      <c r="Q460" s="5">
        <f>IF(ISNUMBER(Inputs!$L$5),(IF(Inputs!$L$9="Actual flat rate",((D460+E460)*C460-G460)*Inputs!$L$10,IF(Inputs!$C$9="Residential",IF(((D460+E460)*C460-G460)&lt;='Assumptions and Catalog'!$C$50,((D460+E460)*C460-G460)*'Assumptions and Catalog'!$H$50+'Assumptions and Catalog'!$E$50+'Assumptions and Catalog'!$F$50,IF(((D460+E460)*C460-G460)&lt;='Assumptions and Catalog'!$C$51,((D460+E460)*C460-G460)*'Assumptions and Catalog'!$H$51+'Assumptions and Catalog'!$E$51+'Assumptions and Catalog'!$F$51,IF(((D460+E460)*C460-G460)&lt;='Assumptions and Catalog'!$C$52,((D460+E460)*C460-G460)*'Assumptions and Catalog'!$H$52+'Assumptions and Catalog'!$E$52+'Assumptions and Catalog'!$F$52,IF(((D460+E460)*C460-G460)&lt;='Assumptions and Catalog'!$C$53,((D460+E460)*C460-G460)*'Assumptions and Catalog'!$H$53+'Assumptions and Catalog'!$E$53+'Assumptions and Catalog'!$F$53,IF(((D460+E460)*C460-G460)&lt;='Assumptions and Catalog'!$C$54,((D460+E460)*C460-G460)*'Assumptions and Catalog'!$H$54+'Assumptions and Catalog'!$E$54+'Assumptions and Catalog'!$F$54,IF(((D460+E460)*C460-G460)&lt;='Assumptions and Catalog'!$C$55,((D460+E460)*C460-G460)*'Assumptions and Catalog'!$H$55+'Assumptions and Catalog'!$E$55+'Assumptions and Catalog'!$F$55,IF(((D460+E460)*C460-G460)&lt;='Assumptions and Catalog'!$C$56,((D460+E460)*C460-G460)*'Assumptions and Catalog'!$H$56+'Assumptions and Catalog'!$E$56+'Assumptions and Catalog'!$F$56,IF(((D460+E460)*C460-G460)&lt;='Assumptions and Catalog'!$C$57,((D460+E460)*C460-G460)*'Assumptions and Catalog'!$H$57+'Assumptions and Catalog'!$E$57+'Assumptions and Catalog'!$F$57,"Out of range")))))))),IF(((D460+E460)*C460-G460)&lt;='Assumptions and Catalog'!$C$60,((D460+E460)*C460-G460)*'Assumptions and Catalog'!$H$60+'Assumptions and Catalog'!$E$60+'Assumptions and Catalog'!$F$60,IF(((D460+E460)*C460-G460)&lt;='Assumptions and Catalog'!$C$61,((D460+E460)*C460-G460)*'Assumptions and Catalog'!$H$61+'Assumptions and Catalog'!$E$61+'Assumptions and Catalog'!$F$61,IF(((D460+E460)*C460-G460)&lt;='Assumptions and Catalog'!$C$62,((D460+E460)*C460-G460)*'Assumptions and Catalog'!$H$62+'Assumptions and Catalog'!$E$62+'Assumptions and Catalog'!$F$62,IF(((D460+E460)*C460-G460)&lt;='Assumptions and Catalog'!$C$63,((D460+E460)*C460-G460)*'Assumptions and Catalog'!$H$63+'Assumptions and Catalog'!$E$63+'Assumptions and Catalog'!$F$63,IF(((D460+E460)*C460-G460)&lt;='Assumptions and Catalog'!$C$64,((D460+E460)*C460-G460)*'Assumptions and Catalog'!$H$64+'Assumptions and Catalog'!$E$64+'Assumptions and Catalog'!$F$64,IF(((D460+E460)*C460-G460)&lt;='Assumptions and Catalog'!$C$65,((D460+E460)*C460-G460)*'Assumptions and Catalog'!$H$65+'Assumptions and Catalog'!$E$65+'Assumptions and Catalog'!$F$65,"Out of range")))))))))*(1+'Assumptions and Catalog'!$C$8)^(A460-1),0)</f>
        <v>7727.0666666666657</v>
      </c>
      <c r="R460" s="5">
        <f>IF(AND('Assumptions and Catalog'!$C$19&gt;0,A460&gt;='Assumptions and Catalog'!$C$19),A460-'Assumptions and Catalog'!$C$19,A460-1)</f>
        <v>4</v>
      </c>
      <c r="S460" s="5">
        <f>F460+L460-(D460+E460)*C460-J460-K460-IF(D$52&gt;0,'Assumptions and Catalog'!$C$26*C460,0)</f>
        <v>0</v>
      </c>
      <c r="T460" s="5"/>
      <c r="U460" s="5"/>
    </row>
    <row r="461" spans="1:21" ht="23.1" customHeight="1" outlineLevel="1" x14ac:dyDescent="0.2">
      <c r="A461" s="5">
        <v>5</v>
      </c>
      <c r="B461" s="5">
        <v>3</v>
      </c>
      <c r="C461" s="5">
        <f>DAY(DATE('Assumptions and Catalog'!$C$24+A461-1,B461+1,0))</f>
        <v>31</v>
      </c>
      <c r="D461" s="5">
        <f>IF(ISNUMBER(Inputs!$L$5),Inputs!$L$5*Inputs!$L$6,0)</f>
        <v>40.35</v>
      </c>
      <c r="E461" s="5">
        <f>IF(ISNUMBER(Inputs!$L$5),Inputs!$L$5-D461,0)</f>
        <v>40.35</v>
      </c>
      <c r="F461" s="5">
        <f>D$51*'Assumptions and Catalog'!$C$31*C461*(1-'Assumptions and Catalog'!$C$10)^(A461-1)</f>
        <v>0</v>
      </c>
      <c r="G461" s="5">
        <f t="shared" si="32"/>
        <v>0</v>
      </c>
      <c r="H461" s="5">
        <f>I461/('Assumptions and Catalog'!$C$11*'Assumptions and Catalog'!$C$12)</f>
        <v>0</v>
      </c>
      <c r="I461" s="5">
        <f>IF(K$15="Grid cycle",MIN(K$16,D461+E461,P461*'Assumptions and Catalog'!$C$12,D$57*(24-'Assumptions and Catalog'!$C$15),D$56*'Assumptions and Catalog'!$C$15*'Assumptions and Catalog'!$C$11*'Assumptions and Catalog'!$C$12)*C461,0)</f>
        <v>0</v>
      </c>
      <c r="J461" s="5">
        <f t="shared" si="33"/>
        <v>0</v>
      </c>
      <c r="K461" s="5">
        <f t="shared" si="34"/>
        <v>0</v>
      </c>
      <c r="L461" s="5">
        <f>(D461+E461)*C461-G461-I461+H461+IF(D$52&gt;0,'Assumptions and Catalog'!$C$26*C461,0)</f>
        <v>2501.7000000000003</v>
      </c>
      <c r="M461" s="5">
        <f>IF(ISNUMBER(Inputs!$L$5),(IF(Inputs!$L$9="Actual flat rate",((D461+E461)*C461)*Inputs!$L$10,IF(Inputs!$C$9="Residential",IF(((D461+E461)*C461)&lt;='Assumptions and Catalog'!$C$50,((D461+E461)*C461)*'Assumptions and Catalog'!$H$50+'Assumptions and Catalog'!$E$50+'Assumptions and Catalog'!$F$50,IF(((D461+E461)*C461)&lt;='Assumptions and Catalog'!$C$51,((D461+E461)*C461)*'Assumptions and Catalog'!$H$51+'Assumptions and Catalog'!$E$51+'Assumptions and Catalog'!$F$51,IF(((D461+E461)*C461)&lt;='Assumptions and Catalog'!$C$52,((D461+E461)*C461)*'Assumptions and Catalog'!$H$52+'Assumptions and Catalog'!$E$52+'Assumptions and Catalog'!$F$52,IF(((D461+E461)*C461)&lt;='Assumptions and Catalog'!$C$53,((D461+E461)*C461)*'Assumptions and Catalog'!$H$53+'Assumptions and Catalog'!$E$53+'Assumptions and Catalog'!$F$53,IF(((D461+E461)*C461)&lt;='Assumptions and Catalog'!$C$54,((D461+E461)*C461)*'Assumptions and Catalog'!$H$54+'Assumptions and Catalog'!$E$54+'Assumptions and Catalog'!$F$54,IF(((D461+E461)*C461)&lt;='Assumptions and Catalog'!$C$55,((D461+E461)*C461)*'Assumptions and Catalog'!$H$55+'Assumptions and Catalog'!$E$55+'Assumptions and Catalog'!$F$55,IF(((D461+E461)*C461)&lt;='Assumptions and Catalog'!$C$56,((D461+E461)*C461)*'Assumptions and Catalog'!$H$56+'Assumptions and Catalog'!$E$56+'Assumptions and Catalog'!$F$56,IF(((D461+E461)*C461)&lt;='Assumptions and Catalog'!$C$57,((D461+E461)*C461)*'Assumptions and Catalog'!$H$57+'Assumptions and Catalog'!$E$57+'Assumptions and Catalog'!$F$57,"Out of range")))))))),IF(((D461+E461)*C461)&lt;='Assumptions and Catalog'!$C$60,((D461+E461)*C461)*'Assumptions and Catalog'!$H$60+'Assumptions and Catalog'!$E$60+'Assumptions and Catalog'!$F$60,IF(((D461+E461)*C461)&lt;='Assumptions and Catalog'!$C$61,((D461+E461)*C461)*'Assumptions and Catalog'!$H$61+'Assumptions and Catalog'!$E$61+'Assumptions and Catalog'!$F$61,IF(((D461+E461)*C461)&lt;='Assumptions and Catalog'!$C$62,((D461+E461)*C461)*'Assumptions and Catalog'!$H$62+'Assumptions and Catalog'!$E$62+'Assumptions and Catalog'!$F$62,IF(((D461+E461)*C461)&lt;='Assumptions and Catalog'!$C$63,((D461+E461)*C461)*'Assumptions and Catalog'!$H$63+'Assumptions and Catalog'!$E$63+'Assumptions and Catalog'!$F$63,IF(((D461+E461)*C461)&lt;='Assumptions and Catalog'!$C$64,((D461+E461)*C461)*'Assumptions and Catalog'!$H$64+'Assumptions and Catalog'!$E$64+'Assumptions and Catalog'!$F$64,IF(((D461+E461)*C461)&lt;='Assumptions and Catalog'!$C$65,((D461+E461)*C461)*'Assumptions and Catalog'!$H$65+'Assumptions and Catalog'!$E$65+'Assumptions and Catalog'!$F$65,"Out of range")))))))))*(1+'Assumptions and Catalog'!$C$8)^(A461-1),0)</f>
        <v>8554.9666666666672</v>
      </c>
      <c r="N461" s="5">
        <f>IF(ISNUMBER(Inputs!$L$5),(IF(Inputs!$L$9="Actual flat rate",L461*Inputs!$L$10,IF(Inputs!$C$9="Residential",IF(L461&lt;='Assumptions and Catalog'!$C$50,L461*'Assumptions and Catalog'!$H$50+'Assumptions and Catalog'!$E$50+'Assumptions and Catalog'!$F$50,IF(L461&lt;='Assumptions and Catalog'!$C$51,L461*'Assumptions and Catalog'!$H$51+'Assumptions and Catalog'!$E$51+'Assumptions and Catalog'!$F$51,IF(L461&lt;='Assumptions and Catalog'!$C$52,L461*'Assumptions and Catalog'!$H$52+'Assumptions and Catalog'!$E$52+'Assumptions and Catalog'!$F$52,IF(L461&lt;='Assumptions and Catalog'!$C$53,L461*'Assumptions and Catalog'!$H$53+'Assumptions and Catalog'!$E$53+'Assumptions and Catalog'!$F$53,IF(L461&lt;='Assumptions and Catalog'!$C$54,L461*'Assumptions and Catalog'!$H$54+'Assumptions and Catalog'!$E$54+'Assumptions and Catalog'!$F$54,IF(L461&lt;='Assumptions and Catalog'!$C$55,L461*'Assumptions and Catalog'!$H$55+'Assumptions and Catalog'!$E$55+'Assumptions and Catalog'!$F$55,IF(L461&lt;='Assumptions and Catalog'!$C$56,L461*'Assumptions and Catalog'!$H$56+'Assumptions and Catalog'!$E$56+'Assumptions and Catalog'!$F$56,IF(L461&lt;='Assumptions and Catalog'!$C$57,L461*'Assumptions and Catalog'!$H$57+'Assumptions and Catalog'!$E$57+'Assumptions and Catalog'!$F$57,"Out of range")))))))),IF(L461&lt;='Assumptions and Catalog'!$C$60,L461*'Assumptions and Catalog'!$H$60+'Assumptions and Catalog'!$E$60+'Assumptions and Catalog'!$F$60,IF(L461&lt;='Assumptions and Catalog'!$C$61,L461*'Assumptions and Catalog'!$H$61+'Assumptions and Catalog'!$E$61+'Assumptions and Catalog'!$F$61,IF(L461&lt;='Assumptions and Catalog'!$C$62,L461*'Assumptions and Catalog'!$H$62+'Assumptions and Catalog'!$E$62+'Assumptions and Catalog'!$F$62,IF(L461&lt;='Assumptions and Catalog'!$C$63,L461*'Assumptions and Catalog'!$H$63+'Assumptions and Catalog'!$E$63+'Assumptions and Catalog'!$F$63,IF(L461&lt;='Assumptions and Catalog'!$C$64,L461*'Assumptions and Catalog'!$H$64+'Assumptions and Catalog'!$E$64+'Assumptions and Catalog'!$F$64,IF(L461&lt;='Assumptions and Catalog'!$C$65,L461*'Assumptions and Catalog'!$H$65+'Assumptions and Catalog'!$E$65+'Assumptions and Catalog'!$F$65,"Out of range")))))))))*(1+'Assumptions and Catalog'!$C$8)^(A461-1),0)</f>
        <v>8554.9666666666672</v>
      </c>
      <c r="O461" s="5">
        <f t="shared" si="35"/>
        <v>0</v>
      </c>
      <c r="P461" s="5">
        <f>D$55*(1-K$14)*(1-'Assumptions and Catalog'!$C$23)^R461</f>
        <v>0</v>
      </c>
      <c r="Q461" s="5">
        <f>IF(ISNUMBER(Inputs!$L$5),(IF(Inputs!$L$9="Actual flat rate",((D461+E461)*C461-G461)*Inputs!$L$10,IF(Inputs!$C$9="Residential",IF(((D461+E461)*C461-G461)&lt;='Assumptions and Catalog'!$C$50,((D461+E461)*C461-G461)*'Assumptions and Catalog'!$H$50+'Assumptions and Catalog'!$E$50+'Assumptions and Catalog'!$F$50,IF(((D461+E461)*C461-G461)&lt;='Assumptions and Catalog'!$C$51,((D461+E461)*C461-G461)*'Assumptions and Catalog'!$H$51+'Assumptions and Catalog'!$E$51+'Assumptions and Catalog'!$F$51,IF(((D461+E461)*C461-G461)&lt;='Assumptions and Catalog'!$C$52,((D461+E461)*C461-G461)*'Assumptions and Catalog'!$H$52+'Assumptions and Catalog'!$E$52+'Assumptions and Catalog'!$F$52,IF(((D461+E461)*C461-G461)&lt;='Assumptions and Catalog'!$C$53,((D461+E461)*C461-G461)*'Assumptions and Catalog'!$H$53+'Assumptions and Catalog'!$E$53+'Assumptions and Catalog'!$F$53,IF(((D461+E461)*C461-G461)&lt;='Assumptions and Catalog'!$C$54,((D461+E461)*C461-G461)*'Assumptions and Catalog'!$H$54+'Assumptions and Catalog'!$E$54+'Assumptions and Catalog'!$F$54,IF(((D461+E461)*C461-G461)&lt;='Assumptions and Catalog'!$C$55,((D461+E461)*C461-G461)*'Assumptions and Catalog'!$H$55+'Assumptions and Catalog'!$E$55+'Assumptions and Catalog'!$F$55,IF(((D461+E461)*C461-G461)&lt;='Assumptions and Catalog'!$C$56,((D461+E461)*C461-G461)*'Assumptions and Catalog'!$H$56+'Assumptions and Catalog'!$E$56+'Assumptions and Catalog'!$F$56,IF(((D461+E461)*C461-G461)&lt;='Assumptions and Catalog'!$C$57,((D461+E461)*C461-G461)*'Assumptions and Catalog'!$H$57+'Assumptions and Catalog'!$E$57+'Assumptions and Catalog'!$F$57,"Out of range")))))))),IF(((D461+E461)*C461-G461)&lt;='Assumptions and Catalog'!$C$60,((D461+E461)*C461-G461)*'Assumptions and Catalog'!$H$60+'Assumptions and Catalog'!$E$60+'Assumptions and Catalog'!$F$60,IF(((D461+E461)*C461-G461)&lt;='Assumptions and Catalog'!$C$61,((D461+E461)*C461-G461)*'Assumptions and Catalog'!$H$61+'Assumptions and Catalog'!$E$61+'Assumptions and Catalog'!$F$61,IF(((D461+E461)*C461-G461)&lt;='Assumptions and Catalog'!$C$62,((D461+E461)*C461-G461)*'Assumptions and Catalog'!$H$62+'Assumptions and Catalog'!$E$62+'Assumptions and Catalog'!$F$62,IF(((D461+E461)*C461-G461)&lt;='Assumptions and Catalog'!$C$63,((D461+E461)*C461-G461)*'Assumptions and Catalog'!$H$63+'Assumptions and Catalog'!$E$63+'Assumptions and Catalog'!$F$63,IF(((D461+E461)*C461-G461)&lt;='Assumptions and Catalog'!$C$64,((D461+E461)*C461-G461)*'Assumptions and Catalog'!$H$64+'Assumptions and Catalog'!$E$64+'Assumptions and Catalog'!$F$64,IF(((D461+E461)*C461-G461)&lt;='Assumptions and Catalog'!$C$65,((D461+E461)*C461-G461)*'Assumptions and Catalog'!$H$65+'Assumptions and Catalog'!$E$65+'Assumptions and Catalog'!$F$65,"Out of range")))))))))*(1+'Assumptions and Catalog'!$C$8)^(A461-1),0)</f>
        <v>8554.9666666666672</v>
      </c>
      <c r="R461" s="5">
        <f>IF(AND('Assumptions and Catalog'!$C$19&gt;0,A461&gt;='Assumptions and Catalog'!$C$19),A461-'Assumptions and Catalog'!$C$19,A461-1)</f>
        <v>4</v>
      </c>
      <c r="S461" s="5">
        <f>F461+L461-(D461+E461)*C461-J461-K461-IF(D$52&gt;0,'Assumptions and Catalog'!$C$26*C461,0)</f>
        <v>0</v>
      </c>
      <c r="T461" s="5"/>
      <c r="U461" s="5"/>
    </row>
    <row r="462" spans="1:21" ht="23.1" customHeight="1" outlineLevel="1" x14ac:dyDescent="0.2">
      <c r="A462" s="5">
        <v>5</v>
      </c>
      <c r="B462" s="5">
        <v>4</v>
      </c>
      <c r="C462" s="5">
        <f>DAY(DATE('Assumptions and Catalog'!$C$24+A462-1,B462+1,0))</f>
        <v>30</v>
      </c>
      <c r="D462" s="5">
        <f>IF(ISNUMBER(Inputs!$L$5),Inputs!$L$5*Inputs!$L$6,0)</f>
        <v>40.35</v>
      </c>
      <c r="E462" s="5">
        <f>IF(ISNUMBER(Inputs!$L$5),Inputs!$L$5-D462,0)</f>
        <v>40.35</v>
      </c>
      <c r="F462" s="5">
        <f>D$51*'Assumptions and Catalog'!$C$31*C462*(1-'Assumptions and Catalog'!$C$10)^(A462-1)</f>
        <v>0</v>
      </c>
      <c r="G462" s="5">
        <f t="shared" si="32"/>
        <v>0</v>
      </c>
      <c r="H462" s="5">
        <f>I462/('Assumptions and Catalog'!$C$11*'Assumptions and Catalog'!$C$12)</f>
        <v>0</v>
      </c>
      <c r="I462" s="5">
        <f>IF(K$15="Grid cycle",MIN(K$16,D462+E462,P462*'Assumptions and Catalog'!$C$12,D$57*(24-'Assumptions and Catalog'!$C$15),D$56*'Assumptions and Catalog'!$C$15*'Assumptions and Catalog'!$C$11*'Assumptions and Catalog'!$C$12)*C462,0)</f>
        <v>0</v>
      </c>
      <c r="J462" s="5">
        <f t="shared" si="33"/>
        <v>0</v>
      </c>
      <c r="K462" s="5">
        <f t="shared" si="34"/>
        <v>0</v>
      </c>
      <c r="L462" s="5">
        <f>(D462+E462)*C462-G462-I462+H462+IF(D$52&gt;0,'Assumptions and Catalog'!$C$26*C462,0)</f>
        <v>2421</v>
      </c>
      <c r="M462" s="5">
        <f>IF(ISNUMBER(Inputs!$L$5),(IF(Inputs!$L$9="Actual flat rate",((D462+E462)*C462)*Inputs!$L$10,IF(Inputs!$C$9="Residential",IF(((D462+E462)*C462)&lt;='Assumptions and Catalog'!$C$50,((D462+E462)*C462)*'Assumptions and Catalog'!$H$50+'Assumptions and Catalog'!$E$50+'Assumptions and Catalog'!$F$50,IF(((D462+E462)*C462)&lt;='Assumptions and Catalog'!$C$51,((D462+E462)*C462)*'Assumptions and Catalog'!$H$51+'Assumptions and Catalog'!$E$51+'Assumptions and Catalog'!$F$51,IF(((D462+E462)*C462)&lt;='Assumptions and Catalog'!$C$52,((D462+E462)*C462)*'Assumptions and Catalog'!$H$52+'Assumptions and Catalog'!$E$52+'Assumptions and Catalog'!$F$52,IF(((D462+E462)*C462)&lt;='Assumptions and Catalog'!$C$53,((D462+E462)*C462)*'Assumptions and Catalog'!$H$53+'Assumptions and Catalog'!$E$53+'Assumptions and Catalog'!$F$53,IF(((D462+E462)*C462)&lt;='Assumptions and Catalog'!$C$54,((D462+E462)*C462)*'Assumptions and Catalog'!$H$54+'Assumptions and Catalog'!$E$54+'Assumptions and Catalog'!$F$54,IF(((D462+E462)*C462)&lt;='Assumptions and Catalog'!$C$55,((D462+E462)*C462)*'Assumptions and Catalog'!$H$55+'Assumptions and Catalog'!$E$55+'Assumptions and Catalog'!$F$55,IF(((D462+E462)*C462)&lt;='Assumptions and Catalog'!$C$56,((D462+E462)*C462)*'Assumptions and Catalog'!$H$56+'Assumptions and Catalog'!$E$56+'Assumptions and Catalog'!$F$56,IF(((D462+E462)*C462)&lt;='Assumptions and Catalog'!$C$57,((D462+E462)*C462)*'Assumptions and Catalog'!$H$57+'Assumptions and Catalog'!$E$57+'Assumptions and Catalog'!$F$57,"Out of range")))))))),IF(((D462+E462)*C462)&lt;='Assumptions and Catalog'!$C$60,((D462+E462)*C462)*'Assumptions and Catalog'!$H$60+'Assumptions and Catalog'!$E$60+'Assumptions and Catalog'!$F$60,IF(((D462+E462)*C462)&lt;='Assumptions and Catalog'!$C$61,((D462+E462)*C462)*'Assumptions and Catalog'!$H$61+'Assumptions and Catalog'!$E$61+'Assumptions and Catalog'!$F$61,IF(((D462+E462)*C462)&lt;='Assumptions and Catalog'!$C$62,((D462+E462)*C462)*'Assumptions and Catalog'!$H$62+'Assumptions and Catalog'!$E$62+'Assumptions and Catalog'!$F$62,IF(((D462+E462)*C462)&lt;='Assumptions and Catalog'!$C$63,((D462+E462)*C462)*'Assumptions and Catalog'!$H$63+'Assumptions and Catalog'!$E$63+'Assumptions and Catalog'!$F$63,IF(((D462+E462)*C462)&lt;='Assumptions and Catalog'!$C$64,((D462+E462)*C462)*'Assumptions and Catalog'!$H$64+'Assumptions and Catalog'!$E$64+'Assumptions and Catalog'!$F$64,IF(((D462+E462)*C462)&lt;='Assumptions and Catalog'!$C$65,((D462+E462)*C462)*'Assumptions and Catalog'!$H$65+'Assumptions and Catalog'!$E$65+'Assumptions and Catalog'!$F$65,"Out of range")))))))))*(1+'Assumptions and Catalog'!$C$8)^(A462-1),0)</f>
        <v>8279</v>
      </c>
      <c r="N462" s="5">
        <f>IF(ISNUMBER(Inputs!$L$5),(IF(Inputs!$L$9="Actual flat rate",L462*Inputs!$L$10,IF(Inputs!$C$9="Residential",IF(L462&lt;='Assumptions and Catalog'!$C$50,L462*'Assumptions and Catalog'!$H$50+'Assumptions and Catalog'!$E$50+'Assumptions and Catalog'!$F$50,IF(L462&lt;='Assumptions and Catalog'!$C$51,L462*'Assumptions and Catalog'!$H$51+'Assumptions and Catalog'!$E$51+'Assumptions and Catalog'!$F$51,IF(L462&lt;='Assumptions and Catalog'!$C$52,L462*'Assumptions and Catalog'!$H$52+'Assumptions and Catalog'!$E$52+'Assumptions and Catalog'!$F$52,IF(L462&lt;='Assumptions and Catalog'!$C$53,L462*'Assumptions and Catalog'!$H$53+'Assumptions and Catalog'!$E$53+'Assumptions and Catalog'!$F$53,IF(L462&lt;='Assumptions and Catalog'!$C$54,L462*'Assumptions and Catalog'!$H$54+'Assumptions and Catalog'!$E$54+'Assumptions and Catalog'!$F$54,IF(L462&lt;='Assumptions and Catalog'!$C$55,L462*'Assumptions and Catalog'!$H$55+'Assumptions and Catalog'!$E$55+'Assumptions and Catalog'!$F$55,IF(L462&lt;='Assumptions and Catalog'!$C$56,L462*'Assumptions and Catalog'!$H$56+'Assumptions and Catalog'!$E$56+'Assumptions and Catalog'!$F$56,IF(L462&lt;='Assumptions and Catalog'!$C$57,L462*'Assumptions and Catalog'!$H$57+'Assumptions and Catalog'!$E$57+'Assumptions and Catalog'!$F$57,"Out of range")))))))),IF(L462&lt;='Assumptions and Catalog'!$C$60,L462*'Assumptions and Catalog'!$H$60+'Assumptions and Catalog'!$E$60+'Assumptions and Catalog'!$F$60,IF(L462&lt;='Assumptions and Catalog'!$C$61,L462*'Assumptions and Catalog'!$H$61+'Assumptions and Catalog'!$E$61+'Assumptions and Catalog'!$F$61,IF(L462&lt;='Assumptions and Catalog'!$C$62,L462*'Assumptions and Catalog'!$H$62+'Assumptions and Catalog'!$E$62+'Assumptions and Catalog'!$F$62,IF(L462&lt;='Assumptions and Catalog'!$C$63,L462*'Assumptions and Catalog'!$H$63+'Assumptions and Catalog'!$E$63+'Assumptions and Catalog'!$F$63,IF(L462&lt;='Assumptions and Catalog'!$C$64,L462*'Assumptions and Catalog'!$H$64+'Assumptions and Catalog'!$E$64+'Assumptions and Catalog'!$F$64,IF(L462&lt;='Assumptions and Catalog'!$C$65,L462*'Assumptions and Catalog'!$H$65+'Assumptions and Catalog'!$E$65+'Assumptions and Catalog'!$F$65,"Out of range")))))))))*(1+'Assumptions and Catalog'!$C$8)^(A462-1),0)</f>
        <v>8279</v>
      </c>
      <c r="O462" s="5">
        <f t="shared" si="35"/>
        <v>0</v>
      </c>
      <c r="P462" s="5">
        <f>D$55*(1-K$14)*(1-'Assumptions and Catalog'!$C$23)^R462</f>
        <v>0</v>
      </c>
      <c r="Q462" s="5">
        <f>IF(ISNUMBER(Inputs!$L$5),(IF(Inputs!$L$9="Actual flat rate",((D462+E462)*C462-G462)*Inputs!$L$10,IF(Inputs!$C$9="Residential",IF(((D462+E462)*C462-G462)&lt;='Assumptions and Catalog'!$C$50,((D462+E462)*C462-G462)*'Assumptions and Catalog'!$H$50+'Assumptions and Catalog'!$E$50+'Assumptions and Catalog'!$F$50,IF(((D462+E462)*C462-G462)&lt;='Assumptions and Catalog'!$C$51,((D462+E462)*C462-G462)*'Assumptions and Catalog'!$H$51+'Assumptions and Catalog'!$E$51+'Assumptions and Catalog'!$F$51,IF(((D462+E462)*C462-G462)&lt;='Assumptions and Catalog'!$C$52,((D462+E462)*C462-G462)*'Assumptions and Catalog'!$H$52+'Assumptions and Catalog'!$E$52+'Assumptions and Catalog'!$F$52,IF(((D462+E462)*C462-G462)&lt;='Assumptions and Catalog'!$C$53,((D462+E462)*C462-G462)*'Assumptions and Catalog'!$H$53+'Assumptions and Catalog'!$E$53+'Assumptions and Catalog'!$F$53,IF(((D462+E462)*C462-G462)&lt;='Assumptions and Catalog'!$C$54,((D462+E462)*C462-G462)*'Assumptions and Catalog'!$H$54+'Assumptions and Catalog'!$E$54+'Assumptions and Catalog'!$F$54,IF(((D462+E462)*C462-G462)&lt;='Assumptions and Catalog'!$C$55,((D462+E462)*C462-G462)*'Assumptions and Catalog'!$H$55+'Assumptions and Catalog'!$E$55+'Assumptions and Catalog'!$F$55,IF(((D462+E462)*C462-G462)&lt;='Assumptions and Catalog'!$C$56,((D462+E462)*C462-G462)*'Assumptions and Catalog'!$H$56+'Assumptions and Catalog'!$E$56+'Assumptions and Catalog'!$F$56,IF(((D462+E462)*C462-G462)&lt;='Assumptions and Catalog'!$C$57,((D462+E462)*C462-G462)*'Assumptions and Catalog'!$H$57+'Assumptions and Catalog'!$E$57+'Assumptions and Catalog'!$F$57,"Out of range")))))))),IF(((D462+E462)*C462-G462)&lt;='Assumptions and Catalog'!$C$60,((D462+E462)*C462-G462)*'Assumptions and Catalog'!$H$60+'Assumptions and Catalog'!$E$60+'Assumptions and Catalog'!$F$60,IF(((D462+E462)*C462-G462)&lt;='Assumptions and Catalog'!$C$61,((D462+E462)*C462-G462)*'Assumptions and Catalog'!$H$61+'Assumptions and Catalog'!$E$61+'Assumptions and Catalog'!$F$61,IF(((D462+E462)*C462-G462)&lt;='Assumptions and Catalog'!$C$62,((D462+E462)*C462-G462)*'Assumptions and Catalog'!$H$62+'Assumptions and Catalog'!$E$62+'Assumptions and Catalog'!$F$62,IF(((D462+E462)*C462-G462)&lt;='Assumptions and Catalog'!$C$63,((D462+E462)*C462-G462)*'Assumptions and Catalog'!$H$63+'Assumptions and Catalog'!$E$63+'Assumptions and Catalog'!$F$63,IF(((D462+E462)*C462-G462)&lt;='Assumptions and Catalog'!$C$64,((D462+E462)*C462-G462)*'Assumptions and Catalog'!$H$64+'Assumptions and Catalog'!$E$64+'Assumptions and Catalog'!$F$64,IF(((D462+E462)*C462-G462)&lt;='Assumptions and Catalog'!$C$65,((D462+E462)*C462-G462)*'Assumptions and Catalog'!$H$65+'Assumptions and Catalog'!$E$65+'Assumptions and Catalog'!$F$65,"Out of range")))))))))*(1+'Assumptions and Catalog'!$C$8)^(A462-1),0)</f>
        <v>8279</v>
      </c>
      <c r="R462" s="5">
        <f>IF(AND('Assumptions and Catalog'!$C$19&gt;0,A462&gt;='Assumptions and Catalog'!$C$19),A462-'Assumptions and Catalog'!$C$19,A462-1)</f>
        <v>4</v>
      </c>
      <c r="S462" s="5">
        <f>F462+L462-(D462+E462)*C462-J462-K462-IF(D$52&gt;0,'Assumptions and Catalog'!$C$26*C462,0)</f>
        <v>0</v>
      </c>
      <c r="T462" s="5"/>
      <c r="U462" s="5"/>
    </row>
    <row r="463" spans="1:21" ht="23.1" customHeight="1" outlineLevel="1" x14ac:dyDescent="0.2">
      <c r="A463" s="5">
        <v>5</v>
      </c>
      <c r="B463" s="5">
        <v>5</v>
      </c>
      <c r="C463" s="5">
        <f>DAY(DATE('Assumptions and Catalog'!$C$24+A463-1,B463+1,0))</f>
        <v>31</v>
      </c>
      <c r="D463" s="5">
        <f>IF(ISNUMBER(Inputs!$L$5),Inputs!$L$5*Inputs!$L$6,0)</f>
        <v>40.35</v>
      </c>
      <c r="E463" s="5">
        <f>IF(ISNUMBER(Inputs!$L$5),Inputs!$L$5-D463,0)</f>
        <v>40.35</v>
      </c>
      <c r="F463" s="5">
        <f>D$51*'Assumptions and Catalog'!$C$31*C463*(1-'Assumptions and Catalog'!$C$10)^(A463-1)</f>
        <v>0</v>
      </c>
      <c r="G463" s="5">
        <f t="shared" si="32"/>
        <v>0</v>
      </c>
      <c r="H463" s="5">
        <f>I463/('Assumptions and Catalog'!$C$11*'Assumptions and Catalog'!$C$12)</f>
        <v>0</v>
      </c>
      <c r="I463" s="5">
        <f>IF(K$15="Grid cycle",MIN(K$16,D463+E463,P463*'Assumptions and Catalog'!$C$12,D$57*(24-'Assumptions and Catalog'!$C$15),D$56*'Assumptions and Catalog'!$C$15*'Assumptions and Catalog'!$C$11*'Assumptions and Catalog'!$C$12)*C463,0)</f>
        <v>0</v>
      </c>
      <c r="J463" s="5">
        <f t="shared" si="33"/>
        <v>0</v>
      </c>
      <c r="K463" s="5">
        <f t="shared" si="34"/>
        <v>0</v>
      </c>
      <c r="L463" s="5">
        <f>(D463+E463)*C463-G463-I463+H463+IF(D$52&gt;0,'Assumptions and Catalog'!$C$26*C463,0)</f>
        <v>2501.7000000000003</v>
      </c>
      <c r="M463" s="5">
        <f>IF(ISNUMBER(Inputs!$L$5),(IF(Inputs!$L$9="Actual flat rate",((D463+E463)*C463)*Inputs!$L$10,IF(Inputs!$C$9="Residential",IF(((D463+E463)*C463)&lt;='Assumptions and Catalog'!$C$50,((D463+E463)*C463)*'Assumptions and Catalog'!$H$50+'Assumptions and Catalog'!$E$50+'Assumptions and Catalog'!$F$50,IF(((D463+E463)*C463)&lt;='Assumptions and Catalog'!$C$51,((D463+E463)*C463)*'Assumptions and Catalog'!$H$51+'Assumptions and Catalog'!$E$51+'Assumptions and Catalog'!$F$51,IF(((D463+E463)*C463)&lt;='Assumptions and Catalog'!$C$52,((D463+E463)*C463)*'Assumptions and Catalog'!$H$52+'Assumptions and Catalog'!$E$52+'Assumptions and Catalog'!$F$52,IF(((D463+E463)*C463)&lt;='Assumptions and Catalog'!$C$53,((D463+E463)*C463)*'Assumptions and Catalog'!$H$53+'Assumptions and Catalog'!$E$53+'Assumptions and Catalog'!$F$53,IF(((D463+E463)*C463)&lt;='Assumptions and Catalog'!$C$54,((D463+E463)*C463)*'Assumptions and Catalog'!$H$54+'Assumptions and Catalog'!$E$54+'Assumptions and Catalog'!$F$54,IF(((D463+E463)*C463)&lt;='Assumptions and Catalog'!$C$55,((D463+E463)*C463)*'Assumptions and Catalog'!$H$55+'Assumptions and Catalog'!$E$55+'Assumptions and Catalog'!$F$55,IF(((D463+E463)*C463)&lt;='Assumptions and Catalog'!$C$56,((D463+E463)*C463)*'Assumptions and Catalog'!$H$56+'Assumptions and Catalog'!$E$56+'Assumptions and Catalog'!$F$56,IF(((D463+E463)*C463)&lt;='Assumptions and Catalog'!$C$57,((D463+E463)*C463)*'Assumptions and Catalog'!$H$57+'Assumptions and Catalog'!$E$57+'Assumptions and Catalog'!$F$57,"Out of range")))))))),IF(((D463+E463)*C463)&lt;='Assumptions and Catalog'!$C$60,((D463+E463)*C463)*'Assumptions and Catalog'!$H$60+'Assumptions and Catalog'!$E$60+'Assumptions and Catalog'!$F$60,IF(((D463+E463)*C463)&lt;='Assumptions and Catalog'!$C$61,((D463+E463)*C463)*'Assumptions and Catalog'!$H$61+'Assumptions and Catalog'!$E$61+'Assumptions and Catalog'!$F$61,IF(((D463+E463)*C463)&lt;='Assumptions and Catalog'!$C$62,((D463+E463)*C463)*'Assumptions and Catalog'!$H$62+'Assumptions and Catalog'!$E$62+'Assumptions and Catalog'!$F$62,IF(((D463+E463)*C463)&lt;='Assumptions and Catalog'!$C$63,((D463+E463)*C463)*'Assumptions and Catalog'!$H$63+'Assumptions and Catalog'!$E$63+'Assumptions and Catalog'!$F$63,IF(((D463+E463)*C463)&lt;='Assumptions and Catalog'!$C$64,((D463+E463)*C463)*'Assumptions and Catalog'!$H$64+'Assumptions and Catalog'!$E$64+'Assumptions and Catalog'!$F$64,IF(((D463+E463)*C463)&lt;='Assumptions and Catalog'!$C$65,((D463+E463)*C463)*'Assumptions and Catalog'!$H$65+'Assumptions and Catalog'!$E$65+'Assumptions and Catalog'!$F$65,"Out of range")))))))))*(1+'Assumptions and Catalog'!$C$8)^(A463-1),0)</f>
        <v>8554.9666666666672</v>
      </c>
      <c r="N463" s="5">
        <f>IF(ISNUMBER(Inputs!$L$5),(IF(Inputs!$L$9="Actual flat rate",L463*Inputs!$L$10,IF(Inputs!$C$9="Residential",IF(L463&lt;='Assumptions and Catalog'!$C$50,L463*'Assumptions and Catalog'!$H$50+'Assumptions and Catalog'!$E$50+'Assumptions and Catalog'!$F$50,IF(L463&lt;='Assumptions and Catalog'!$C$51,L463*'Assumptions and Catalog'!$H$51+'Assumptions and Catalog'!$E$51+'Assumptions and Catalog'!$F$51,IF(L463&lt;='Assumptions and Catalog'!$C$52,L463*'Assumptions and Catalog'!$H$52+'Assumptions and Catalog'!$E$52+'Assumptions and Catalog'!$F$52,IF(L463&lt;='Assumptions and Catalog'!$C$53,L463*'Assumptions and Catalog'!$H$53+'Assumptions and Catalog'!$E$53+'Assumptions and Catalog'!$F$53,IF(L463&lt;='Assumptions and Catalog'!$C$54,L463*'Assumptions and Catalog'!$H$54+'Assumptions and Catalog'!$E$54+'Assumptions and Catalog'!$F$54,IF(L463&lt;='Assumptions and Catalog'!$C$55,L463*'Assumptions and Catalog'!$H$55+'Assumptions and Catalog'!$E$55+'Assumptions and Catalog'!$F$55,IF(L463&lt;='Assumptions and Catalog'!$C$56,L463*'Assumptions and Catalog'!$H$56+'Assumptions and Catalog'!$E$56+'Assumptions and Catalog'!$F$56,IF(L463&lt;='Assumptions and Catalog'!$C$57,L463*'Assumptions and Catalog'!$H$57+'Assumptions and Catalog'!$E$57+'Assumptions and Catalog'!$F$57,"Out of range")))))))),IF(L463&lt;='Assumptions and Catalog'!$C$60,L463*'Assumptions and Catalog'!$H$60+'Assumptions and Catalog'!$E$60+'Assumptions and Catalog'!$F$60,IF(L463&lt;='Assumptions and Catalog'!$C$61,L463*'Assumptions and Catalog'!$H$61+'Assumptions and Catalog'!$E$61+'Assumptions and Catalog'!$F$61,IF(L463&lt;='Assumptions and Catalog'!$C$62,L463*'Assumptions and Catalog'!$H$62+'Assumptions and Catalog'!$E$62+'Assumptions and Catalog'!$F$62,IF(L463&lt;='Assumptions and Catalog'!$C$63,L463*'Assumptions and Catalog'!$H$63+'Assumptions and Catalog'!$E$63+'Assumptions and Catalog'!$F$63,IF(L463&lt;='Assumptions and Catalog'!$C$64,L463*'Assumptions and Catalog'!$H$64+'Assumptions and Catalog'!$E$64+'Assumptions and Catalog'!$F$64,IF(L463&lt;='Assumptions and Catalog'!$C$65,L463*'Assumptions and Catalog'!$H$65+'Assumptions and Catalog'!$E$65+'Assumptions and Catalog'!$F$65,"Out of range")))))))))*(1+'Assumptions and Catalog'!$C$8)^(A463-1),0)</f>
        <v>8554.9666666666672</v>
      </c>
      <c r="O463" s="5">
        <f t="shared" si="35"/>
        <v>0</v>
      </c>
      <c r="P463" s="5">
        <f>D$55*(1-K$14)*(1-'Assumptions and Catalog'!$C$23)^R463</f>
        <v>0</v>
      </c>
      <c r="Q463" s="5">
        <f>IF(ISNUMBER(Inputs!$L$5),(IF(Inputs!$L$9="Actual flat rate",((D463+E463)*C463-G463)*Inputs!$L$10,IF(Inputs!$C$9="Residential",IF(((D463+E463)*C463-G463)&lt;='Assumptions and Catalog'!$C$50,((D463+E463)*C463-G463)*'Assumptions and Catalog'!$H$50+'Assumptions and Catalog'!$E$50+'Assumptions and Catalog'!$F$50,IF(((D463+E463)*C463-G463)&lt;='Assumptions and Catalog'!$C$51,((D463+E463)*C463-G463)*'Assumptions and Catalog'!$H$51+'Assumptions and Catalog'!$E$51+'Assumptions and Catalog'!$F$51,IF(((D463+E463)*C463-G463)&lt;='Assumptions and Catalog'!$C$52,((D463+E463)*C463-G463)*'Assumptions and Catalog'!$H$52+'Assumptions and Catalog'!$E$52+'Assumptions and Catalog'!$F$52,IF(((D463+E463)*C463-G463)&lt;='Assumptions and Catalog'!$C$53,((D463+E463)*C463-G463)*'Assumptions and Catalog'!$H$53+'Assumptions and Catalog'!$E$53+'Assumptions and Catalog'!$F$53,IF(((D463+E463)*C463-G463)&lt;='Assumptions and Catalog'!$C$54,((D463+E463)*C463-G463)*'Assumptions and Catalog'!$H$54+'Assumptions and Catalog'!$E$54+'Assumptions and Catalog'!$F$54,IF(((D463+E463)*C463-G463)&lt;='Assumptions and Catalog'!$C$55,((D463+E463)*C463-G463)*'Assumptions and Catalog'!$H$55+'Assumptions and Catalog'!$E$55+'Assumptions and Catalog'!$F$55,IF(((D463+E463)*C463-G463)&lt;='Assumptions and Catalog'!$C$56,((D463+E463)*C463-G463)*'Assumptions and Catalog'!$H$56+'Assumptions and Catalog'!$E$56+'Assumptions and Catalog'!$F$56,IF(((D463+E463)*C463-G463)&lt;='Assumptions and Catalog'!$C$57,((D463+E463)*C463-G463)*'Assumptions and Catalog'!$H$57+'Assumptions and Catalog'!$E$57+'Assumptions and Catalog'!$F$57,"Out of range")))))))),IF(((D463+E463)*C463-G463)&lt;='Assumptions and Catalog'!$C$60,((D463+E463)*C463-G463)*'Assumptions and Catalog'!$H$60+'Assumptions and Catalog'!$E$60+'Assumptions and Catalog'!$F$60,IF(((D463+E463)*C463-G463)&lt;='Assumptions and Catalog'!$C$61,((D463+E463)*C463-G463)*'Assumptions and Catalog'!$H$61+'Assumptions and Catalog'!$E$61+'Assumptions and Catalog'!$F$61,IF(((D463+E463)*C463-G463)&lt;='Assumptions and Catalog'!$C$62,((D463+E463)*C463-G463)*'Assumptions and Catalog'!$H$62+'Assumptions and Catalog'!$E$62+'Assumptions and Catalog'!$F$62,IF(((D463+E463)*C463-G463)&lt;='Assumptions and Catalog'!$C$63,((D463+E463)*C463-G463)*'Assumptions and Catalog'!$H$63+'Assumptions and Catalog'!$E$63+'Assumptions and Catalog'!$F$63,IF(((D463+E463)*C463-G463)&lt;='Assumptions and Catalog'!$C$64,((D463+E463)*C463-G463)*'Assumptions and Catalog'!$H$64+'Assumptions and Catalog'!$E$64+'Assumptions and Catalog'!$F$64,IF(((D463+E463)*C463-G463)&lt;='Assumptions and Catalog'!$C$65,((D463+E463)*C463-G463)*'Assumptions and Catalog'!$H$65+'Assumptions and Catalog'!$E$65+'Assumptions and Catalog'!$F$65,"Out of range")))))))))*(1+'Assumptions and Catalog'!$C$8)^(A463-1),0)</f>
        <v>8554.9666666666672</v>
      </c>
      <c r="R463" s="5">
        <f>IF(AND('Assumptions and Catalog'!$C$19&gt;0,A463&gt;='Assumptions and Catalog'!$C$19),A463-'Assumptions and Catalog'!$C$19,A463-1)</f>
        <v>4</v>
      </c>
      <c r="S463" s="5">
        <f>F463+L463-(D463+E463)*C463-J463-K463-IF(D$52&gt;0,'Assumptions and Catalog'!$C$26*C463,0)</f>
        <v>0</v>
      </c>
      <c r="T463" s="5"/>
      <c r="U463" s="5"/>
    </row>
    <row r="464" spans="1:21" ht="23.1" customHeight="1" outlineLevel="1" x14ac:dyDescent="0.2">
      <c r="A464" s="5">
        <v>5</v>
      </c>
      <c r="B464" s="5">
        <v>6</v>
      </c>
      <c r="C464" s="5">
        <f>DAY(DATE('Assumptions and Catalog'!$C$24+A464-1,B464+1,0))</f>
        <v>30</v>
      </c>
      <c r="D464" s="5">
        <f>IF(ISNUMBER(Inputs!$L$5),Inputs!$L$5*Inputs!$L$6,0)</f>
        <v>40.35</v>
      </c>
      <c r="E464" s="5">
        <f>IF(ISNUMBER(Inputs!$L$5),Inputs!$L$5-D464,0)</f>
        <v>40.35</v>
      </c>
      <c r="F464" s="5">
        <f>D$51*'Assumptions and Catalog'!$C$31*C464*(1-'Assumptions and Catalog'!$C$10)^(A464-1)</f>
        <v>0</v>
      </c>
      <c r="G464" s="5">
        <f t="shared" si="32"/>
        <v>0</v>
      </c>
      <c r="H464" s="5">
        <f>I464/('Assumptions and Catalog'!$C$11*'Assumptions and Catalog'!$C$12)</f>
        <v>0</v>
      </c>
      <c r="I464" s="5">
        <f>IF(K$15="Grid cycle",MIN(K$16,D464+E464,P464*'Assumptions and Catalog'!$C$12,D$57*(24-'Assumptions and Catalog'!$C$15),D$56*'Assumptions and Catalog'!$C$15*'Assumptions and Catalog'!$C$11*'Assumptions and Catalog'!$C$12)*C464,0)</f>
        <v>0</v>
      </c>
      <c r="J464" s="5">
        <f t="shared" si="33"/>
        <v>0</v>
      </c>
      <c r="K464" s="5">
        <f t="shared" si="34"/>
        <v>0</v>
      </c>
      <c r="L464" s="5">
        <f>(D464+E464)*C464-G464-I464+H464+IF(D$52&gt;0,'Assumptions and Catalog'!$C$26*C464,0)</f>
        <v>2421</v>
      </c>
      <c r="M464" s="5">
        <f>IF(ISNUMBER(Inputs!$L$5),(IF(Inputs!$L$9="Actual flat rate",((D464+E464)*C464)*Inputs!$L$10,IF(Inputs!$C$9="Residential",IF(((D464+E464)*C464)&lt;='Assumptions and Catalog'!$C$50,((D464+E464)*C464)*'Assumptions and Catalog'!$H$50+'Assumptions and Catalog'!$E$50+'Assumptions and Catalog'!$F$50,IF(((D464+E464)*C464)&lt;='Assumptions and Catalog'!$C$51,((D464+E464)*C464)*'Assumptions and Catalog'!$H$51+'Assumptions and Catalog'!$E$51+'Assumptions and Catalog'!$F$51,IF(((D464+E464)*C464)&lt;='Assumptions and Catalog'!$C$52,((D464+E464)*C464)*'Assumptions and Catalog'!$H$52+'Assumptions and Catalog'!$E$52+'Assumptions and Catalog'!$F$52,IF(((D464+E464)*C464)&lt;='Assumptions and Catalog'!$C$53,((D464+E464)*C464)*'Assumptions and Catalog'!$H$53+'Assumptions and Catalog'!$E$53+'Assumptions and Catalog'!$F$53,IF(((D464+E464)*C464)&lt;='Assumptions and Catalog'!$C$54,((D464+E464)*C464)*'Assumptions and Catalog'!$H$54+'Assumptions and Catalog'!$E$54+'Assumptions and Catalog'!$F$54,IF(((D464+E464)*C464)&lt;='Assumptions and Catalog'!$C$55,((D464+E464)*C464)*'Assumptions and Catalog'!$H$55+'Assumptions and Catalog'!$E$55+'Assumptions and Catalog'!$F$55,IF(((D464+E464)*C464)&lt;='Assumptions and Catalog'!$C$56,((D464+E464)*C464)*'Assumptions and Catalog'!$H$56+'Assumptions and Catalog'!$E$56+'Assumptions and Catalog'!$F$56,IF(((D464+E464)*C464)&lt;='Assumptions and Catalog'!$C$57,((D464+E464)*C464)*'Assumptions and Catalog'!$H$57+'Assumptions and Catalog'!$E$57+'Assumptions and Catalog'!$F$57,"Out of range")))))))),IF(((D464+E464)*C464)&lt;='Assumptions and Catalog'!$C$60,((D464+E464)*C464)*'Assumptions and Catalog'!$H$60+'Assumptions and Catalog'!$E$60+'Assumptions and Catalog'!$F$60,IF(((D464+E464)*C464)&lt;='Assumptions and Catalog'!$C$61,((D464+E464)*C464)*'Assumptions and Catalog'!$H$61+'Assumptions and Catalog'!$E$61+'Assumptions and Catalog'!$F$61,IF(((D464+E464)*C464)&lt;='Assumptions and Catalog'!$C$62,((D464+E464)*C464)*'Assumptions and Catalog'!$H$62+'Assumptions and Catalog'!$E$62+'Assumptions and Catalog'!$F$62,IF(((D464+E464)*C464)&lt;='Assumptions and Catalog'!$C$63,((D464+E464)*C464)*'Assumptions and Catalog'!$H$63+'Assumptions and Catalog'!$E$63+'Assumptions and Catalog'!$F$63,IF(((D464+E464)*C464)&lt;='Assumptions and Catalog'!$C$64,((D464+E464)*C464)*'Assumptions and Catalog'!$H$64+'Assumptions and Catalog'!$E$64+'Assumptions and Catalog'!$F$64,IF(((D464+E464)*C464)&lt;='Assumptions and Catalog'!$C$65,((D464+E464)*C464)*'Assumptions and Catalog'!$H$65+'Assumptions and Catalog'!$E$65+'Assumptions and Catalog'!$F$65,"Out of range")))))))))*(1+'Assumptions and Catalog'!$C$8)^(A464-1),0)</f>
        <v>8279</v>
      </c>
      <c r="N464" s="5">
        <f>IF(ISNUMBER(Inputs!$L$5),(IF(Inputs!$L$9="Actual flat rate",L464*Inputs!$L$10,IF(Inputs!$C$9="Residential",IF(L464&lt;='Assumptions and Catalog'!$C$50,L464*'Assumptions and Catalog'!$H$50+'Assumptions and Catalog'!$E$50+'Assumptions and Catalog'!$F$50,IF(L464&lt;='Assumptions and Catalog'!$C$51,L464*'Assumptions and Catalog'!$H$51+'Assumptions and Catalog'!$E$51+'Assumptions and Catalog'!$F$51,IF(L464&lt;='Assumptions and Catalog'!$C$52,L464*'Assumptions and Catalog'!$H$52+'Assumptions and Catalog'!$E$52+'Assumptions and Catalog'!$F$52,IF(L464&lt;='Assumptions and Catalog'!$C$53,L464*'Assumptions and Catalog'!$H$53+'Assumptions and Catalog'!$E$53+'Assumptions and Catalog'!$F$53,IF(L464&lt;='Assumptions and Catalog'!$C$54,L464*'Assumptions and Catalog'!$H$54+'Assumptions and Catalog'!$E$54+'Assumptions and Catalog'!$F$54,IF(L464&lt;='Assumptions and Catalog'!$C$55,L464*'Assumptions and Catalog'!$H$55+'Assumptions and Catalog'!$E$55+'Assumptions and Catalog'!$F$55,IF(L464&lt;='Assumptions and Catalog'!$C$56,L464*'Assumptions and Catalog'!$H$56+'Assumptions and Catalog'!$E$56+'Assumptions and Catalog'!$F$56,IF(L464&lt;='Assumptions and Catalog'!$C$57,L464*'Assumptions and Catalog'!$H$57+'Assumptions and Catalog'!$E$57+'Assumptions and Catalog'!$F$57,"Out of range")))))))),IF(L464&lt;='Assumptions and Catalog'!$C$60,L464*'Assumptions and Catalog'!$H$60+'Assumptions and Catalog'!$E$60+'Assumptions and Catalog'!$F$60,IF(L464&lt;='Assumptions and Catalog'!$C$61,L464*'Assumptions and Catalog'!$H$61+'Assumptions and Catalog'!$E$61+'Assumptions and Catalog'!$F$61,IF(L464&lt;='Assumptions and Catalog'!$C$62,L464*'Assumptions and Catalog'!$H$62+'Assumptions and Catalog'!$E$62+'Assumptions and Catalog'!$F$62,IF(L464&lt;='Assumptions and Catalog'!$C$63,L464*'Assumptions and Catalog'!$H$63+'Assumptions and Catalog'!$E$63+'Assumptions and Catalog'!$F$63,IF(L464&lt;='Assumptions and Catalog'!$C$64,L464*'Assumptions and Catalog'!$H$64+'Assumptions and Catalog'!$E$64+'Assumptions and Catalog'!$F$64,IF(L464&lt;='Assumptions and Catalog'!$C$65,L464*'Assumptions and Catalog'!$H$65+'Assumptions and Catalog'!$E$65+'Assumptions and Catalog'!$F$65,"Out of range")))))))))*(1+'Assumptions and Catalog'!$C$8)^(A464-1),0)</f>
        <v>8279</v>
      </c>
      <c r="O464" s="5">
        <f t="shared" si="35"/>
        <v>0</v>
      </c>
      <c r="P464" s="5">
        <f>D$55*(1-K$14)*(1-'Assumptions and Catalog'!$C$23)^R464</f>
        <v>0</v>
      </c>
      <c r="Q464" s="5">
        <f>IF(ISNUMBER(Inputs!$L$5),(IF(Inputs!$L$9="Actual flat rate",((D464+E464)*C464-G464)*Inputs!$L$10,IF(Inputs!$C$9="Residential",IF(((D464+E464)*C464-G464)&lt;='Assumptions and Catalog'!$C$50,((D464+E464)*C464-G464)*'Assumptions and Catalog'!$H$50+'Assumptions and Catalog'!$E$50+'Assumptions and Catalog'!$F$50,IF(((D464+E464)*C464-G464)&lt;='Assumptions and Catalog'!$C$51,((D464+E464)*C464-G464)*'Assumptions and Catalog'!$H$51+'Assumptions and Catalog'!$E$51+'Assumptions and Catalog'!$F$51,IF(((D464+E464)*C464-G464)&lt;='Assumptions and Catalog'!$C$52,((D464+E464)*C464-G464)*'Assumptions and Catalog'!$H$52+'Assumptions and Catalog'!$E$52+'Assumptions and Catalog'!$F$52,IF(((D464+E464)*C464-G464)&lt;='Assumptions and Catalog'!$C$53,((D464+E464)*C464-G464)*'Assumptions and Catalog'!$H$53+'Assumptions and Catalog'!$E$53+'Assumptions and Catalog'!$F$53,IF(((D464+E464)*C464-G464)&lt;='Assumptions and Catalog'!$C$54,((D464+E464)*C464-G464)*'Assumptions and Catalog'!$H$54+'Assumptions and Catalog'!$E$54+'Assumptions and Catalog'!$F$54,IF(((D464+E464)*C464-G464)&lt;='Assumptions and Catalog'!$C$55,((D464+E464)*C464-G464)*'Assumptions and Catalog'!$H$55+'Assumptions and Catalog'!$E$55+'Assumptions and Catalog'!$F$55,IF(((D464+E464)*C464-G464)&lt;='Assumptions and Catalog'!$C$56,((D464+E464)*C464-G464)*'Assumptions and Catalog'!$H$56+'Assumptions and Catalog'!$E$56+'Assumptions and Catalog'!$F$56,IF(((D464+E464)*C464-G464)&lt;='Assumptions and Catalog'!$C$57,((D464+E464)*C464-G464)*'Assumptions and Catalog'!$H$57+'Assumptions and Catalog'!$E$57+'Assumptions and Catalog'!$F$57,"Out of range")))))))),IF(((D464+E464)*C464-G464)&lt;='Assumptions and Catalog'!$C$60,((D464+E464)*C464-G464)*'Assumptions and Catalog'!$H$60+'Assumptions and Catalog'!$E$60+'Assumptions and Catalog'!$F$60,IF(((D464+E464)*C464-G464)&lt;='Assumptions and Catalog'!$C$61,((D464+E464)*C464-G464)*'Assumptions and Catalog'!$H$61+'Assumptions and Catalog'!$E$61+'Assumptions and Catalog'!$F$61,IF(((D464+E464)*C464-G464)&lt;='Assumptions and Catalog'!$C$62,((D464+E464)*C464-G464)*'Assumptions and Catalog'!$H$62+'Assumptions and Catalog'!$E$62+'Assumptions and Catalog'!$F$62,IF(((D464+E464)*C464-G464)&lt;='Assumptions and Catalog'!$C$63,((D464+E464)*C464-G464)*'Assumptions and Catalog'!$H$63+'Assumptions and Catalog'!$E$63+'Assumptions and Catalog'!$F$63,IF(((D464+E464)*C464-G464)&lt;='Assumptions and Catalog'!$C$64,((D464+E464)*C464-G464)*'Assumptions and Catalog'!$H$64+'Assumptions and Catalog'!$E$64+'Assumptions and Catalog'!$F$64,IF(((D464+E464)*C464-G464)&lt;='Assumptions and Catalog'!$C$65,((D464+E464)*C464-G464)*'Assumptions and Catalog'!$H$65+'Assumptions and Catalog'!$E$65+'Assumptions and Catalog'!$F$65,"Out of range")))))))))*(1+'Assumptions and Catalog'!$C$8)^(A464-1),0)</f>
        <v>8279</v>
      </c>
      <c r="R464" s="5">
        <f>IF(AND('Assumptions and Catalog'!$C$19&gt;0,A464&gt;='Assumptions and Catalog'!$C$19),A464-'Assumptions and Catalog'!$C$19,A464-1)</f>
        <v>4</v>
      </c>
      <c r="S464" s="5">
        <f>F464+L464-(D464+E464)*C464-J464-K464-IF(D$52&gt;0,'Assumptions and Catalog'!$C$26*C464,0)</f>
        <v>0</v>
      </c>
      <c r="T464" s="5"/>
      <c r="U464" s="5"/>
    </row>
    <row r="465" spans="1:21" ht="23.1" customHeight="1" outlineLevel="1" x14ac:dyDescent="0.2">
      <c r="A465" s="5">
        <v>5</v>
      </c>
      <c r="B465" s="5">
        <v>7</v>
      </c>
      <c r="C465" s="5">
        <f>DAY(DATE('Assumptions and Catalog'!$C$24+A465-1,B465+1,0))</f>
        <v>31</v>
      </c>
      <c r="D465" s="5">
        <f>IF(ISNUMBER(Inputs!$L$5),Inputs!$L$5*Inputs!$L$6,0)</f>
        <v>40.35</v>
      </c>
      <c r="E465" s="5">
        <f>IF(ISNUMBER(Inputs!$L$5),Inputs!$L$5-D465,0)</f>
        <v>40.35</v>
      </c>
      <c r="F465" s="5">
        <f>D$51*'Assumptions and Catalog'!$C$31*C465*(1-'Assumptions and Catalog'!$C$10)^(A465-1)</f>
        <v>0</v>
      </c>
      <c r="G465" s="5">
        <f t="shared" si="32"/>
        <v>0</v>
      </c>
      <c r="H465" s="5">
        <f>I465/('Assumptions and Catalog'!$C$11*'Assumptions and Catalog'!$C$12)</f>
        <v>0</v>
      </c>
      <c r="I465" s="5">
        <f>IF(K$15="Grid cycle",MIN(K$16,D465+E465,P465*'Assumptions and Catalog'!$C$12,D$57*(24-'Assumptions and Catalog'!$C$15),D$56*'Assumptions and Catalog'!$C$15*'Assumptions and Catalog'!$C$11*'Assumptions and Catalog'!$C$12)*C465,0)</f>
        <v>0</v>
      </c>
      <c r="J465" s="5">
        <f t="shared" si="33"/>
        <v>0</v>
      </c>
      <c r="K465" s="5">
        <f t="shared" si="34"/>
        <v>0</v>
      </c>
      <c r="L465" s="5">
        <f>(D465+E465)*C465-G465-I465+H465+IF(D$52&gt;0,'Assumptions and Catalog'!$C$26*C465,0)</f>
        <v>2501.7000000000003</v>
      </c>
      <c r="M465" s="5">
        <f>IF(ISNUMBER(Inputs!$L$5),(IF(Inputs!$L$9="Actual flat rate",((D465+E465)*C465)*Inputs!$L$10,IF(Inputs!$C$9="Residential",IF(((D465+E465)*C465)&lt;='Assumptions and Catalog'!$C$50,((D465+E465)*C465)*'Assumptions and Catalog'!$H$50+'Assumptions and Catalog'!$E$50+'Assumptions and Catalog'!$F$50,IF(((D465+E465)*C465)&lt;='Assumptions and Catalog'!$C$51,((D465+E465)*C465)*'Assumptions and Catalog'!$H$51+'Assumptions and Catalog'!$E$51+'Assumptions and Catalog'!$F$51,IF(((D465+E465)*C465)&lt;='Assumptions and Catalog'!$C$52,((D465+E465)*C465)*'Assumptions and Catalog'!$H$52+'Assumptions and Catalog'!$E$52+'Assumptions and Catalog'!$F$52,IF(((D465+E465)*C465)&lt;='Assumptions and Catalog'!$C$53,((D465+E465)*C465)*'Assumptions and Catalog'!$H$53+'Assumptions and Catalog'!$E$53+'Assumptions and Catalog'!$F$53,IF(((D465+E465)*C465)&lt;='Assumptions and Catalog'!$C$54,((D465+E465)*C465)*'Assumptions and Catalog'!$H$54+'Assumptions and Catalog'!$E$54+'Assumptions and Catalog'!$F$54,IF(((D465+E465)*C465)&lt;='Assumptions and Catalog'!$C$55,((D465+E465)*C465)*'Assumptions and Catalog'!$H$55+'Assumptions and Catalog'!$E$55+'Assumptions and Catalog'!$F$55,IF(((D465+E465)*C465)&lt;='Assumptions and Catalog'!$C$56,((D465+E465)*C465)*'Assumptions and Catalog'!$H$56+'Assumptions and Catalog'!$E$56+'Assumptions and Catalog'!$F$56,IF(((D465+E465)*C465)&lt;='Assumptions and Catalog'!$C$57,((D465+E465)*C465)*'Assumptions and Catalog'!$H$57+'Assumptions and Catalog'!$E$57+'Assumptions and Catalog'!$F$57,"Out of range")))))))),IF(((D465+E465)*C465)&lt;='Assumptions and Catalog'!$C$60,((D465+E465)*C465)*'Assumptions and Catalog'!$H$60+'Assumptions and Catalog'!$E$60+'Assumptions and Catalog'!$F$60,IF(((D465+E465)*C465)&lt;='Assumptions and Catalog'!$C$61,((D465+E465)*C465)*'Assumptions and Catalog'!$H$61+'Assumptions and Catalog'!$E$61+'Assumptions and Catalog'!$F$61,IF(((D465+E465)*C465)&lt;='Assumptions and Catalog'!$C$62,((D465+E465)*C465)*'Assumptions and Catalog'!$H$62+'Assumptions and Catalog'!$E$62+'Assumptions and Catalog'!$F$62,IF(((D465+E465)*C465)&lt;='Assumptions and Catalog'!$C$63,((D465+E465)*C465)*'Assumptions and Catalog'!$H$63+'Assumptions and Catalog'!$E$63+'Assumptions and Catalog'!$F$63,IF(((D465+E465)*C465)&lt;='Assumptions and Catalog'!$C$64,((D465+E465)*C465)*'Assumptions and Catalog'!$H$64+'Assumptions and Catalog'!$E$64+'Assumptions and Catalog'!$F$64,IF(((D465+E465)*C465)&lt;='Assumptions and Catalog'!$C$65,((D465+E465)*C465)*'Assumptions and Catalog'!$H$65+'Assumptions and Catalog'!$E$65+'Assumptions and Catalog'!$F$65,"Out of range")))))))))*(1+'Assumptions and Catalog'!$C$8)^(A465-1),0)</f>
        <v>8554.9666666666672</v>
      </c>
      <c r="N465" s="5">
        <f>IF(ISNUMBER(Inputs!$L$5),(IF(Inputs!$L$9="Actual flat rate",L465*Inputs!$L$10,IF(Inputs!$C$9="Residential",IF(L465&lt;='Assumptions and Catalog'!$C$50,L465*'Assumptions and Catalog'!$H$50+'Assumptions and Catalog'!$E$50+'Assumptions and Catalog'!$F$50,IF(L465&lt;='Assumptions and Catalog'!$C$51,L465*'Assumptions and Catalog'!$H$51+'Assumptions and Catalog'!$E$51+'Assumptions and Catalog'!$F$51,IF(L465&lt;='Assumptions and Catalog'!$C$52,L465*'Assumptions and Catalog'!$H$52+'Assumptions and Catalog'!$E$52+'Assumptions and Catalog'!$F$52,IF(L465&lt;='Assumptions and Catalog'!$C$53,L465*'Assumptions and Catalog'!$H$53+'Assumptions and Catalog'!$E$53+'Assumptions and Catalog'!$F$53,IF(L465&lt;='Assumptions and Catalog'!$C$54,L465*'Assumptions and Catalog'!$H$54+'Assumptions and Catalog'!$E$54+'Assumptions and Catalog'!$F$54,IF(L465&lt;='Assumptions and Catalog'!$C$55,L465*'Assumptions and Catalog'!$H$55+'Assumptions and Catalog'!$E$55+'Assumptions and Catalog'!$F$55,IF(L465&lt;='Assumptions and Catalog'!$C$56,L465*'Assumptions and Catalog'!$H$56+'Assumptions and Catalog'!$E$56+'Assumptions and Catalog'!$F$56,IF(L465&lt;='Assumptions and Catalog'!$C$57,L465*'Assumptions and Catalog'!$H$57+'Assumptions and Catalog'!$E$57+'Assumptions and Catalog'!$F$57,"Out of range")))))))),IF(L465&lt;='Assumptions and Catalog'!$C$60,L465*'Assumptions and Catalog'!$H$60+'Assumptions and Catalog'!$E$60+'Assumptions and Catalog'!$F$60,IF(L465&lt;='Assumptions and Catalog'!$C$61,L465*'Assumptions and Catalog'!$H$61+'Assumptions and Catalog'!$E$61+'Assumptions and Catalog'!$F$61,IF(L465&lt;='Assumptions and Catalog'!$C$62,L465*'Assumptions and Catalog'!$H$62+'Assumptions and Catalog'!$E$62+'Assumptions and Catalog'!$F$62,IF(L465&lt;='Assumptions and Catalog'!$C$63,L465*'Assumptions and Catalog'!$H$63+'Assumptions and Catalog'!$E$63+'Assumptions and Catalog'!$F$63,IF(L465&lt;='Assumptions and Catalog'!$C$64,L465*'Assumptions and Catalog'!$H$64+'Assumptions and Catalog'!$E$64+'Assumptions and Catalog'!$F$64,IF(L465&lt;='Assumptions and Catalog'!$C$65,L465*'Assumptions and Catalog'!$H$65+'Assumptions and Catalog'!$E$65+'Assumptions and Catalog'!$F$65,"Out of range")))))))))*(1+'Assumptions and Catalog'!$C$8)^(A465-1),0)</f>
        <v>8554.9666666666672</v>
      </c>
      <c r="O465" s="5">
        <f t="shared" si="35"/>
        <v>0</v>
      </c>
      <c r="P465" s="5">
        <f>D$55*(1-K$14)*(1-'Assumptions and Catalog'!$C$23)^R465</f>
        <v>0</v>
      </c>
      <c r="Q465" s="5">
        <f>IF(ISNUMBER(Inputs!$L$5),(IF(Inputs!$L$9="Actual flat rate",((D465+E465)*C465-G465)*Inputs!$L$10,IF(Inputs!$C$9="Residential",IF(((D465+E465)*C465-G465)&lt;='Assumptions and Catalog'!$C$50,((D465+E465)*C465-G465)*'Assumptions and Catalog'!$H$50+'Assumptions and Catalog'!$E$50+'Assumptions and Catalog'!$F$50,IF(((D465+E465)*C465-G465)&lt;='Assumptions and Catalog'!$C$51,((D465+E465)*C465-G465)*'Assumptions and Catalog'!$H$51+'Assumptions and Catalog'!$E$51+'Assumptions and Catalog'!$F$51,IF(((D465+E465)*C465-G465)&lt;='Assumptions and Catalog'!$C$52,((D465+E465)*C465-G465)*'Assumptions and Catalog'!$H$52+'Assumptions and Catalog'!$E$52+'Assumptions and Catalog'!$F$52,IF(((D465+E465)*C465-G465)&lt;='Assumptions and Catalog'!$C$53,((D465+E465)*C465-G465)*'Assumptions and Catalog'!$H$53+'Assumptions and Catalog'!$E$53+'Assumptions and Catalog'!$F$53,IF(((D465+E465)*C465-G465)&lt;='Assumptions and Catalog'!$C$54,((D465+E465)*C465-G465)*'Assumptions and Catalog'!$H$54+'Assumptions and Catalog'!$E$54+'Assumptions and Catalog'!$F$54,IF(((D465+E465)*C465-G465)&lt;='Assumptions and Catalog'!$C$55,((D465+E465)*C465-G465)*'Assumptions and Catalog'!$H$55+'Assumptions and Catalog'!$E$55+'Assumptions and Catalog'!$F$55,IF(((D465+E465)*C465-G465)&lt;='Assumptions and Catalog'!$C$56,((D465+E465)*C465-G465)*'Assumptions and Catalog'!$H$56+'Assumptions and Catalog'!$E$56+'Assumptions and Catalog'!$F$56,IF(((D465+E465)*C465-G465)&lt;='Assumptions and Catalog'!$C$57,((D465+E465)*C465-G465)*'Assumptions and Catalog'!$H$57+'Assumptions and Catalog'!$E$57+'Assumptions and Catalog'!$F$57,"Out of range")))))))),IF(((D465+E465)*C465-G465)&lt;='Assumptions and Catalog'!$C$60,((D465+E465)*C465-G465)*'Assumptions and Catalog'!$H$60+'Assumptions and Catalog'!$E$60+'Assumptions and Catalog'!$F$60,IF(((D465+E465)*C465-G465)&lt;='Assumptions and Catalog'!$C$61,((D465+E465)*C465-G465)*'Assumptions and Catalog'!$H$61+'Assumptions and Catalog'!$E$61+'Assumptions and Catalog'!$F$61,IF(((D465+E465)*C465-G465)&lt;='Assumptions and Catalog'!$C$62,((D465+E465)*C465-G465)*'Assumptions and Catalog'!$H$62+'Assumptions and Catalog'!$E$62+'Assumptions and Catalog'!$F$62,IF(((D465+E465)*C465-G465)&lt;='Assumptions and Catalog'!$C$63,((D465+E465)*C465-G465)*'Assumptions and Catalog'!$H$63+'Assumptions and Catalog'!$E$63+'Assumptions and Catalog'!$F$63,IF(((D465+E465)*C465-G465)&lt;='Assumptions and Catalog'!$C$64,((D465+E465)*C465-G465)*'Assumptions and Catalog'!$H$64+'Assumptions and Catalog'!$E$64+'Assumptions and Catalog'!$F$64,IF(((D465+E465)*C465-G465)&lt;='Assumptions and Catalog'!$C$65,((D465+E465)*C465-G465)*'Assumptions and Catalog'!$H$65+'Assumptions and Catalog'!$E$65+'Assumptions and Catalog'!$F$65,"Out of range")))))))))*(1+'Assumptions and Catalog'!$C$8)^(A465-1),0)</f>
        <v>8554.9666666666672</v>
      </c>
      <c r="R465" s="5">
        <f>IF(AND('Assumptions and Catalog'!$C$19&gt;0,A465&gt;='Assumptions and Catalog'!$C$19),A465-'Assumptions and Catalog'!$C$19,A465-1)</f>
        <v>4</v>
      </c>
      <c r="S465" s="5">
        <f>F465+L465-(D465+E465)*C465-J465-K465-IF(D$52&gt;0,'Assumptions and Catalog'!$C$26*C465,0)</f>
        <v>0</v>
      </c>
      <c r="T465" s="5"/>
      <c r="U465" s="5"/>
    </row>
    <row r="466" spans="1:21" ht="23.1" customHeight="1" outlineLevel="1" x14ac:dyDescent="0.2">
      <c r="A466" s="5">
        <v>5</v>
      </c>
      <c r="B466" s="5">
        <v>8</v>
      </c>
      <c r="C466" s="5">
        <f>DAY(DATE('Assumptions and Catalog'!$C$24+A466-1,B466+1,0))</f>
        <v>31</v>
      </c>
      <c r="D466" s="5">
        <f>IF(ISNUMBER(Inputs!$L$5),Inputs!$L$5*Inputs!$L$6,0)</f>
        <v>40.35</v>
      </c>
      <c r="E466" s="5">
        <f>IF(ISNUMBER(Inputs!$L$5),Inputs!$L$5-D466,0)</f>
        <v>40.35</v>
      </c>
      <c r="F466" s="5">
        <f>D$51*'Assumptions and Catalog'!$C$31*C466*(1-'Assumptions and Catalog'!$C$10)^(A466-1)</f>
        <v>0</v>
      </c>
      <c r="G466" s="5">
        <f t="shared" si="32"/>
        <v>0</v>
      </c>
      <c r="H466" s="5">
        <f>I466/('Assumptions and Catalog'!$C$11*'Assumptions and Catalog'!$C$12)</f>
        <v>0</v>
      </c>
      <c r="I466" s="5">
        <f>IF(K$15="Grid cycle",MIN(K$16,D466+E466,P466*'Assumptions and Catalog'!$C$12,D$57*(24-'Assumptions and Catalog'!$C$15),D$56*'Assumptions and Catalog'!$C$15*'Assumptions and Catalog'!$C$11*'Assumptions and Catalog'!$C$12)*C466,0)</f>
        <v>0</v>
      </c>
      <c r="J466" s="5">
        <f t="shared" si="33"/>
        <v>0</v>
      </c>
      <c r="K466" s="5">
        <f t="shared" si="34"/>
        <v>0</v>
      </c>
      <c r="L466" s="5">
        <f>(D466+E466)*C466-G466-I466+H466+IF(D$52&gt;0,'Assumptions and Catalog'!$C$26*C466,0)</f>
        <v>2501.7000000000003</v>
      </c>
      <c r="M466" s="5">
        <f>IF(ISNUMBER(Inputs!$L$5),(IF(Inputs!$L$9="Actual flat rate",((D466+E466)*C466)*Inputs!$L$10,IF(Inputs!$C$9="Residential",IF(((D466+E466)*C466)&lt;='Assumptions and Catalog'!$C$50,((D466+E466)*C466)*'Assumptions and Catalog'!$H$50+'Assumptions and Catalog'!$E$50+'Assumptions and Catalog'!$F$50,IF(((D466+E466)*C466)&lt;='Assumptions and Catalog'!$C$51,((D466+E466)*C466)*'Assumptions and Catalog'!$H$51+'Assumptions and Catalog'!$E$51+'Assumptions and Catalog'!$F$51,IF(((D466+E466)*C466)&lt;='Assumptions and Catalog'!$C$52,((D466+E466)*C466)*'Assumptions and Catalog'!$H$52+'Assumptions and Catalog'!$E$52+'Assumptions and Catalog'!$F$52,IF(((D466+E466)*C466)&lt;='Assumptions and Catalog'!$C$53,((D466+E466)*C466)*'Assumptions and Catalog'!$H$53+'Assumptions and Catalog'!$E$53+'Assumptions and Catalog'!$F$53,IF(((D466+E466)*C466)&lt;='Assumptions and Catalog'!$C$54,((D466+E466)*C466)*'Assumptions and Catalog'!$H$54+'Assumptions and Catalog'!$E$54+'Assumptions and Catalog'!$F$54,IF(((D466+E466)*C466)&lt;='Assumptions and Catalog'!$C$55,((D466+E466)*C466)*'Assumptions and Catalog'!$H$55+'Assumptions and Catalog'!$E$55+'Assumptions and Catalog'!$F$55,IF(((D466+E466)*C466)&lt;='Assumptions and Catalog'!$C$56,((D466+E466)*C466)*'Assumptions and Catalog'!$H$56+'Assumptions and Catalog'!$E$56+'Assumptions and Catalog'!$F$56,IF(((D466+E466)*C466)&lt;='Assumptions and Catalog'!$C$57,((D466+E466)*C466)*'Assumptions and Catalog'!$H$57+'Assumptions and Catalog'!$E$57+'Assumptions and Catalog'!$F$57,"Out of range")))))))),IF(((D466+E466)*C466)&lt;='Assumptions and Catalog'!$C$60,((D466+E466)*C466)*'Assumptions and Catalog'!$H$60+'Assumptions and Catalog'!$E$60+'Assumptions and Catalog'!$F$60,IF(((D466+E466)*C466)&lt;='Assumptions and Catalog'!$C$61,((D466+E466)*C466)*'Assumptions and Catalog'!$H$61+'Assumptions and Catalog'!$E$61+'Assumptions and Catalog'!$F$61,IF(((D466+E466)*C466)&lt;='Assumptions and Catalog'!$C$62,((D466+E466)*C466)*'Assumptions and Catalog'!$H$62+'Assumptions and Catalog'!$E$62+'Assumptions and Catalog'!$F$62,IF(((D466+E466)*C466)&lt;='Assumptions and Catalog'!$C$63,((D466+E466)*C466)*'Assumptions and Catalog'!$H$63+'Assumptions and Catalog'!$E$63+'Assumptions and Catalog'!$F$63,IF(((D466+E466)*C466)&lt;='Assumptions and Catalog'!$C$64,((D466+E466)*C466)*'Assumptions and Catalog'!$H$64+'Assumptions and Catalog'!$E$64+'Assumptions and Catalog'!$F$64,IF(((D466+E466)*C466)&lt;='Assumptions and Catalog'!$C$65,((D466+E466)*C466)*'Assumptions and Catalog'!$H$65+'Assumptions and Catalog'!$E$65+'Assumptions and Catalog'!$F$65,"Out of range")))))))))*(1+'Assumptions and Catalog'!$C$8)^(A466-1),0)</f>
        <v>8554.9666666666672</v>
      </c>
      <c r="N466" s="5">
        <f>IF(ISNUMBER(Inputs!$L$5),(IF(Inputs!$L$9="Actual flat rate",L466*Inputs!$L$10,IF(Inputs!$C$9="Residential",IF(L466&lt;='Assumptions and Catalog'!$C$50,L466*'Assumptions and Catalog'!$H$50+'Assumptions and Catalog'!$E$50+'Assumptions and Catalog'!$F$50,IF(L466&lt;='Assumptions and Catalog'!$C$51,L466*'Assumptions and Catalog'!$H$51+'Assumptions and Catalog'!$E$51+'Assumptions and Catalog'!$F$51,IF(L466&lt;='Assumptions and Catalog'!$C$52,L466*'Assumptions and Catalog'!$H$52+'Assumptions and Catalog'!$E$52+'Assumptions and Catalog'!$F$52,IF(L466&lt;='Assumptions and Catalog'!$C$53,L466*'Assumptions and Catalog'!$H$53+'Assumptions and Catalog'!$E$53+'Assumptions and Catalog'!$F$53,IF(L466&lt;='Assumptions and Catalog'!$C$54,L466*'Assumptions and Catalog'!$H$54+'Assumptions and Catalog'!$E$54+'Assumptions and Catalog'!$F$54,IF(L466&lt;='Assumptions and Catalog'!$C$55,L466*'Assumptions and Catalog'!$H$55+'Assumptions and Catalog'!$E$55+'Assumptions and Catalog'!$F$55,IF(L466&lt;='Assumptions and Catalog'!$C$56,L466*'Assumptions and Catalog'!$H$56+'Assumptions and Catalog'!$E$56+'Assumptions and Catalog'!$F$56,IF(L466&lt;='Assumptions and Catalog'!$C$57,L466*'Assumptions and Catalog'!$H$57+'Assumptions and Catalog'!$E$57+'Assumptions and Catalog'!$F$57,"Out of range")))))))),IF(L466&lt;='Assumptions and Catalog'!$C$60,L466*'Assumptions and Catalog'!$H$60+'Assumptions and Catalog'!$E$60+'Assumptions and Catalog'!$F$60,IF(L466&lt;='Assumptions and Catalog'!$C$61,L466*'Assumptions and Catalog'!$H$61+'Assumptions and Catalog'!$E$61+'Assumptions and Catalog'!$F$61,IF(L466&lt;='Assumptions and Catalog'!$C$62,L466*'Assumptions and Catalog'!$H$62+'Assumptions and Catalog'!$E$62+'Assumptions and Catalog'!$F$62,IF(L466&lt;='Assumptions and Catalog'!$C$63,L466*'Assumptions and Catalog'!$H$63+'Assumptions and Catalog'!$E$63+'Assumptions and Catalog'!$F$63,IF(L466&lt;='Assumptions and Catalog'!$C$64,L466*'Assumptions and Catalog'!$H$64+'Assumptions and Catalog'!$E$64+'Assumptions and Catalog'!$F$64,IF(L466&lt;='Assumptions and Catalog'!$C$65,L466*'Assumptions and Catalog'!$H$65+'Assumptions and Catalog'!$E$65+'Assumptions and Catalog'!$F$65,"Out of range")))))))))*(1+'Assumptions and Catalog'!$C$8)^(A466-1),0)</f>
        <v>8554.9666666666672</v>
      </c>
      <c r="O466" s="5">
        <f t="shared" si="35"/>
        <v>0</v>
      </c>
      <c r="P466" s="5">
        <f>D$55*(1-K$14)*(1-'Assumptions and Catalog'!$C$23)^R466</f>
        <v>0</v>
      </c>
      <c r="Q466" s="5">
        <f>IF(ISNUMBER(Inputs!$L$5),(IF(Inputs!$L$9="Actual flat rate",((D466+E466)*C466-G466)*Inputs!$L$10,IF(Inputs!$C$9="Residential",IF(((D466+E466)*C466-G466)&lt;='Assumptions and Catalog'!$C$50,((D466+E466)*C466-G466)*'Assumptions and Catalog'!$H$50+'Assumptions and Catalog'!$E$50+'Assumptions and Catalog'!$F$50,IF(((D466+E466)*C466-G466)&lt;='Assumptions and Catalog'!$C$51,((D466+E466)*C466-G466)*'Assumptions and Catalog'!$H$51+'Assumptions and Catalog'!$E$51+'Assumptions and Catalog'!$F$51,IF(((D466+E466)*C466-G466)&lt;='Assumptions and Catalog'!$C$52,((D466+E466)*C466-G466)*'Assumptions and Catalog'!$H$52+'Assumptions and Catalog'!$E$52+'Assumptions and Catalog'!$F$52,IF(((D466+E466)*C466-G466)&lt;='Assumptions and Catalog'!$C$53,((D466+E466)*C466-G466)*'Assumptions and Catalog'!$H$53+'Assumptions and Catalog'!$E$53+'Assumptions and Catalog'!$F$53,IF(((D466+E466)*C466-G466)&lt;='Assumptions and Catalog'!$C$54,((D466+E466)*C466-G466)*'Assumptions and Catalog'!$H$54+'Assumptions and Catalog'!$E$54+'Assumptions and Catalog'!$F$54,IF(((D466+E466)*C466-G466)&lt;='Assumptions and Catalog'!$C$55,((D466+E466)*C466-G466)*'Assumptions and Catalog'!$H$55+'Assumptions and Catalog'!$E$55+'Assumptions and Catalog'!$F$55,IF(((D466+E466)*C466-G466)&lt;='Assumptions and Catalog'!$C$56,((D466+E466)*C466-G466)*'Assumptions and Catalog'!$H$56+'Assumptions and Catalog'!$E$56+'Assumptions and Catalog'!$F$56,IF(((D466+E466)*C466-G466)&lt;='Assumptions and Catalog'!$C$57,((D466+E466)*C466-G466)*'Assumptions and Catalog'!$H$57+'Assumptions and Catalog'!$E$57+'Assumptions and Catalog'!$F$57,"Out of range")))))))),IF(((D466+E466)*C466-G466)&lt;='Assumptions and Catalog'!$C$60,((D466+E466)*C466-G466)*'Assumptions and Catalog'!$H$60+'Assumptions and Catalog'!$E$60+'Assumptions and Catalog'!$F$60,IF(((D466+E466)*C466-G466)&lt;='Assumptions and Catalog'!$C$61,((D466+E466)*C466-G466)*'Assumptions and Catalog'!$H$61+'Assumptions and Catalog'!$E$61+'Assumptions and Catalog'!$F$61,IF(((D466+E466)*C466-G466)&lt;='Assumptions and Catalog'!$C$62,((D466+E466)*C466-G466)*'Assumptions and Catalog'!$H$62+'Assumptions and Catalog'!$E$62+'Assumptions and Catalog'!$F$62,IF(((D466+E466)*C466-G466)&lt;='Assumptions and Catalog'!$C$63,((D466+E466)*C466-G466)*'Assumptions and Catalog'!$H$63+'Assumptions and Catalog'!$E$63+'Assumptions and Catalog'!$F$63,IF(((D466+E466)*C466-G466)&lt;='Assumptions and Catalog'!$C$64,((D466+E466)*C466-G466)*'Assumptions and Catalog'!$H$64+'Assumptions and Catalog'!$E$64+'Assumptions and Catalog'!$F$64,IF(((D466+E466)*C466-G466)&lt;='Assumptions and Catalog'!$C$65,((D466+E466)*C466-G466)*'Assumptions and Catalog'!$H$65+'Assumptions and Catalog'!$E$65+'Assumptions and Catalog'!$F$65,"Out of range")))))))))*(1+'Assumptions and Catalog'!$C$8)^(A466-1),0)</f>
        <v>8554.9666666666672</v>
      </c>
      <c r="R466" s="5">
        <f>IF(AND('Assumptions and Catalog'!$C$19&gt;0,A466&gt;='Assumptions and Catalog'!$C$19),A466-'Assumptions and Catalog'!$C$19,A466-1)</f>
        <v>4</v>
      </c>
      <c r="S466" s="5">
        <f>F466+L466-(D466+E466)*C466-J466-K466-IF(D$52&gt;0,'Assumptions and Catalog'!$C$26*C466,0)</f>
        <v>0</v>
      </c>
      <c r="T466" s="5"/>
      <c r="U466" s="5"/>
    </row>
    <row r="467" spans="1:21" ht="23.1" customHeight="1" outlineLevel="1" x14ac:dyDescent="0.2">
      <c r="A467" s="5">
        <v>5</v>
      </c>
      <c r="B467" s="5">
        <v>9</v>
      </c>
      <c r="C467" s="5">
        <f>DAY(DATE('Assumptions and Catalog'!$C$24+A467-1,B467+1,0))</f>
        <v>30</v>
      </c>
      <c r="D467" s="5">
        <f>IF(ISNUMBER(Inputs!$L$5),Inputs!$L$5*Inputs!$L$6,0)</f>
        <v>40.35</v>
      </c>
      <c r="E467" s="5">
        <f>IF(ISNUMBER(Inputs!$L$5),Inputs!$L$5-D467,0)</f>
        <v>40.35</v>
      </c>
      <c r="F467" s="5">
        <f>D$51*'Assumptions and Catalog'!$C$31*C467*(1-'Assumptions and Catalog'!$C$10)^(A467-1)</f>
        <v>0</v>
      </c>
      <c r="G467" s="5">
        <f t="shared" si="32"/>
        <v>0</v>
      </c>
      <c r="H467" s="5">
        <f>I467/('Assumptions and Catalog'!$C$11*'Assumptions and Catalog'!$C$12)</f>
        <v>0</v>
      </c>
      <c r="I467" s="5">
        <f>IF(K$15="Grid cycle",MIN(K$16,D467+E467,P467*'Assumptions and Catalog'!$C$12,D$57*(24-'Assumptions and Catalog'!$C$15),D$56*'Assumptions and Catalog'!$C$15*'Assumptions and Catalog'!$C$11*'Assumptions and Catalog'!$C$12)*C467,0)</f>
        <v>0</v>
      </c>
      <c r="J467" s="5">
        <f t="shared" si="33"/>
        <v>0</v>
      </c>
      <c r="K467" s="5">
        <f t="shared" si="34"/>
        <v>0</v>
      </c>
      <c r="L467" s="5">
        <f>(D467+E467)*C467-G467-I467+H467+IF(D$52&gt;0,'Assumptions and Catalog'!$C$26*C467,0)</f>
        <v>2421</v>
      </c>
      <c r="M467" s="5">
        <f>IF(ISNUMBER(Inputs!$L$5),(IF(Inputs!$L$9="Actual flat rate",((D467+E467)*C467)*Inputs!$L$10,IF(Inputs!$C$9="Residential",IF(((D467+E467)*C467)&lt;='Assumptions and Catalog'!$C$50,((D467+E467)*C467)*'Assumptions and Catalog'!$H$50+'Assumptions and Catalog'!$E$50+'Assumptions and Catalog'!$F$50,IF(((D467+E467)*C467)&lt;='Assumptions and Catalog'!$C$51,((D467+E467)*C467)*'Assumptions and Catalog'!$H$51+'Assumptions and Catalog'!$E$51+'Assumptions and Catalog'!$F$51,IF(((D467+E467)*C467)&lt;='Assumptions and Catalog'!$C$52,((D467+E467)*C467)*'Assumptions and Catalog'!$H$52+'Assumptions and Catalog'!$E$52+'Assumptions and Catalog'!$F$52,IF(((D467+E467)*C467)&lt;='Assumptions and Catalog'!$C$53,((D467+E467)*C467)*'Assumptions and Catalog'!$H$53+'Assumptions and Catalog'!$E$53+'Assumptions and Catalog'!$F$53,IF(((D467+E467)*C467)&lt;='Assumptions and Catalog'!$C$54,((D467+E467)*C467)*'Assumptions and Catalog'!$H$54+'Assumptions and Catalog'!$E$54+'Assumptions and Catalog'!$F$54,IF(((D467+E467)*C467)&lt;='Assumptions and Catalog'!$C$55,((D467+E467)*C467)*'Assumptions and Catalog'!$H$55+'Assumptions and Catalog'!$E$55+'Assumptions and Catalog'!$F$55,IF(((D467+E467)*C467)&lt;='Assumptions and Catalog'!$C$56,((D467+E467)*C467)*'Assumptions and Catalog'!$H$56+'Assumptions and Catalog'!$E$56+'Assumptions and Catalog'!$F$56,IF(((D467+E467)*C467)&lt;='Assumptions and Catalog'!$C$57,((D467+E467)*C467)*'Assumptions and Catalog'!$H$57+'Assumptions and Catalog'!$E$57+'Assumptions and Catalog'!$F$57,"Out of range")))))))),IF(((D467+E467)*C467)&lt;='Assumptions and Catalog'!$C$60,((D467+E467)*C467)*'Assumptions and Catalog'!$H$60+'Assumptions and Catalog'!$E$60+'Assumptions and Catalog'!$F$60,IF(((D467+E467)*C467)&lt;='Assumptions and Catalog'!$C$61,((D467+E467)*C467)*'Assumptions and Catalog'!$H$61+'Assumptions and Catalog'!$E$61+'Assumptions and Catalog'!$F$61,IF(((D467+E467)*C467)&lt;='Assumptions and Catalog'!$C$62,((D467+E467)*C467)*'Assumptions and Catalog'!$H$62+'Assumptions and Catalog'!$E$62+'Assumptions and Catalog'!$F$62,IF(((D467+E467)*C467)&lt;='Assumptions and Catalog'!$C$63,((D467+E467)*C467)*'Assumptions and Catalog'!$H$63+'Assumptions and Catalog'!$E$63+'Assumptions and Catalog'!$F$63,IF(((D467+E467)*C467)&lt;='Assumptions and Catalog'!$C$64,((D467+E467)*C467)*'Assumptions and Catalog'!$H$64+'Assumptions and Catalog'!$E$64+'Assumptions and Catalog'!$F$64,IF(((D467+E467)*C467)&lt;='Assumptions and Catalog'!$C$65,((D467+E467)*C467)*'Assumptions and Catalog'!$H$65+'Assumptions and Catalog'!$E$65+'Assumptions and Catalog'!$F$65,"Out of range")))))))))*(1+'Assumptions and Catalog'!$C$8)^(A467-1),0)</f>
        <v>8279</v>
      </c>
      <c r="N467" s="5">
        <f>IF(ISNUMBER(Inputs!$L$5),(IF(Inputs!$L$9="Actual flat rate",L467*Inputs!$L$10,IF(Inputs!$C$9="Residential",IF(L467&lt;='Assumptions and Catalog'!$C$50,L467*'Assumptions and Catalog'!$H$50+'Assumptions and Catalog'!$E$50+'Assumptions and Catalog'!$F$50,IF(L467&lt;='Assumptions and Catalog'!$C$51,L467*'Assumptions and Catalog'!$H$51+'Assumptions and Catalog'!$E$51+'Assumptions and Catalog'!$F$51,IF(L467&lt;='Assumptions and Catalog'!$C$52,L467*'Assumptions and Catalog'!$H$52+'Assumptions and Catalog'!$E$52+'Assumptions and Catalog'!$F$52,IF(L467&lt;='Assumptions and Catalog'!$C$53,L467*'Assumptions and Catalog'!$H$53+'Assumptions and Catalog'!$E$53+'Assumptions and Catalog'!$F$53,IF(L467&lt;='Assumptions and Catalog'!$C$54,L467*'Assumptions and Catalog'!$H$54+'Assumptions and Catalog'!$E$54+'Assumptions and Catalog'!$F$54,IF(L467&lt;='Assumptions and Catalog'!$C$55,L467*'Assumptions and Catalog'!$H$55+'Assumptions and Catalog'!$E$55+'Assumptions and Catalog'!$F$55,IF(L467&lt;='Assumptions and Catalog'!$C$56,L467*'Assumptions and Catalog'!$H$56+'Assumptions and Catalog'!$E$56+'Assumptions and Catalog'!$F$56,IF(L467&lt;='Assumptions and Catalog'!$C$57,L467*'Assumptions and Catalog'!$H$57+'Assumptions and Catalog'!$E$57+'Assumptions and Catalog'!$F$57,"Out of range")))))))),IF(L467&lt;='Assumptions and Catalog'!$C$60,L467*'Assumptions and Catalog'!$H$60+'Assumptions and Catalog'!$E$60+'Assumptions and Catalog'!$F$60,IF(L467&lt;='Assumptions and Catalog'!$C$61,L467*'Assumptions and Catalog'!$H$61+'Assumptions and Catalog'!$E$61+'Assumptions and Catalog'!$F$61,IF(L467&lt;='Assumptions and Catalog'!$C$62,L467*'Assumptions and Catalog'!$H$62+'Assumptions and Catalog'!$E$62+'Assumptions and Catalog'!$F$62,IF(L467&lt;='Assumptions and Catalog'!$C$63,L467*'Assumptions and Catalog'!$H$63+'Assumptions and Catalog'!$E$63+'Assumptions and Catalog'!$F$63,IF(L467&lt;='Assumptions and Catalog'!$C$64,L467*'Assumptions and Catalog'!$H$64+'Assumptions and Catalog'!$E$64+'Assumptions and Catalog'!$F$64,IF(L467&lt;='Assumptions and Catalog'!$C$65,L467*'Assumptions and Catalog'!$H$65+'Assumptions and Catalog'!$E$65+'Assumptions and Catalog'!$F$65,"Out of range")))))))))*(1+'Assumptions and Catalog'!$C$8)^(A467-1),0)</f>
        <v>8279</v>
      </c>
      <c r="O467" s="5">
        <f t="shared" si="35"/>
        <v>0</v>
      </c>
      <c r="P467" s="5">
        <f>D$55*(1-K$14)*(1-'Assumptions and Catalog'!$C$23)^R467</f>
        <v>0</v>
      </c>
      <c r="Q467" s="5">
        <f>IF(ISNUMBER(Inputs!$L$5),(IF(Inputs!$L$9="Actual flat rate",((D467+E467)*C467-G467)*Inputs!$L$10,IF(Inputs!$C$9="Residential",IF(((D467+E467)*C467-G467)&lt;='Assumptions and Catalog'!$C$50,((D467+E467)*C467-G467)*'Assumptions and Catalog'!$H$50+'Assumptions and Catalog'!$E$50+'Assumptions and Catalog'!$F$50,IF(((D467+E467)*C467-G467)&lt;='Assumptions and Catalog'!$C$51,((D467+E467)*C467-G467)*'Assumptions and Catalog'!$H$51+'Assumptions and Catalog'!$E$51+'Assumptions and Catalog'!$F$51,IF(((D467+E467)*C467-G467)&lt;='Assumptions and Catalog'!$C$52,((D467+E467)*C467-G467)*'Assumptions and Catalog'!$H$52+'Assumptions and Catalog'!$E$52+'Assumptions and Catalog'!$F$52,IF(((D467+E467)*C467-G467)&lt;='Assumptions and Catalog'!$C$53,((D467+E467)*C467-G467)*'Assumptions and Catalog'!$H$53+'Assumptions and Catalog'!$E$53+'Assumptions and Catalog'!$F$53,IF(((D467+E467)*C467-G467)&lt;='Assumptions and Catalog'!$C$54,((D467+E467)*C467-G467)*'Assumptions and Catalog'!$H$54+'Assumptions and Catalog'!$E$54+'Assumptions and Catalog'!$F$54,IF(((D467+E467)*C467-G467)&lt;='Assumptions and Catalog'!$C$55,((D467+E467)*C467-G467)*'Assumptions and Catalog'!$H$55+'Assumptions and Catalog'!$E$55+'Assumptions and Catalog'!$F$55,IF(((D467+E467)*C467-G467)&lt;='Assumptions and Catalog'!$C$56,((D467+E467)*C467-G467)*'Assumptions and Catalog'!$H$56+'Assumptions and Catalog'!$E$56+'Assumptions and Catalog'!$F$56,IF(((D467+E467)*C467-G467)&lt;='Assumptions and Catalog'!$C$57,((D467+E467)*C467-G467)*'Assumptions and Catalog'!$H$57+'Assumptions and Catalog'!$E$57+'Assumptions and Catalog'!$F$57,"Out of range")))))))),IF(((D467+E467)*C467-G467)&lt;='Assumptions and Catalog'!$C$60,((D467+E467)*C467-G467)*'Assumptions and Catalog'!$H$60+'Assumptions and Catalog'!$E$60+'Assumptions and Catalog'!$F$60,IF(((D467+E467)*C467-G467)&lt;='Assumptions and Catalog'!$C$61,((D467+E467)*C467-G467)*'Assumptions and Catalog'!$H$61+'Assumptions and Catalog'!$E$61+'Assumptions and Catalog'!$F$61,IF(((D467+E467)*C467-G467)&lt;='Assumptions and Catalog'!$C$62,((D467+E467)*C467-G467)*'Assumptions and Catalog'!$H$62+'Assumptions and Catalog'!$E$62+'Assumptions and Catalog'!$F$62,IF(((D467+E467)*C467-G467)&lt;='Assumptions and Catalog'!$C$63,((D467+E467)*C467-G467)*'Assumptions and Catalog'!$H$63+'Assumptions and Catalog'!$E$63+'Assumptions and Catalog'!$F$63,IF(((D467+E467)*C467-G467)&lt;='Assumptions and Catalog'!$C$64,((D467+E467)*C467-G467)*'Assumptions and Catalog'!$H$64+'Assumptions and Catalog'!$E$64+'Assumptions and Catalog'!$F$64,IF(((D467+E467)*C467-G467)&lt;='Assumptions and Catalog'!$C$65,((D467+E467)*C467-G467)*'Assumptions and Catalog'!$H$65+'Assumptions and Catalog'!$E$65+'Assumptions and Catalog'!$F$65,"Out of range")))))))))*(1+'Assumptions and Catalog'!$C$8)^(A467-1),0)</f>
        <v>8279</v>
      </c>
      <c r="R467" s="5">
        <f>IF(AND('Assumptions and Catalog'!$C$19&gt;0,A467&gt;='Assumptions and Catalog'!$C$19),A467-'Assumptions and Catalog'!$C$19,A467-1)</f>
        <v>4</v>
      </c>
      <c r="S467" s="5">
        <f>F467+L467-(D467+E467)*C467-J467-K467-IF(D$52&gt;0,'Assumptions and Catalog'!$C$26*C467,0)</f>
        <v>0</v>
      </c>
      <c r="T467" s="5"/>
      <c r="U467" s="5"/>
    </row>
    <row r="468" spans="1:21" ht="23.1" customHeight="1" outlineLevel="1" x14ac:dyDescent="0.2">
      <c r="A468" s="5">
        <v>5</v>
      </c>
      <c r="B468" s="5">
        <v>10</v>
      </c>
      <c r="C468" s="5">
        <f>DAY(DATE('Assumptions and Catalog'!$C$24+A468-1,B468+1,0))</f>
        <v>31</v>
      </c>
      <c r="D468" s="5">
        <f>IF(ISNUMBER(Inputs!$L$5),Inputs!$L$5*Inputs!$L$6,0)</f>
        <v>40.35</v>
      </c>
      <c r="E468" s="5">
        <f>IF(ISNUMBER(Inputs!$L$5),Inputs!$L$5-D468,0)</f>
        <v>40.35</v>
      </c>
      <c r="F468" s="5">
        <f>D$51*'Assumptions and Catalog'!$C$31*C468*(1-'Assumptions and Catalog'!$C$10)^(A468-1)</f>
        <v>0</v>
      </c>
      <c r="G468" s="5">
        <f t="shared" si="32"/>
        <v>0</v>
      </c>
      <c r="H468" s="5">
        <f>I468/('Assumptions and Catalog'!$C$11*'Assumptions and Catalog'!$C$12)</f>
        <v>0</v>
      </c>
      <c r="I468" s="5">
        <f>IF(K$15="Grid cycle",MIN(K$16,D468+E468,P468*'Assumptions and Catalog'!$C$12,D$57*(24-'Assumptions and Catalog'!$C$15),D$56*'Assumptions and Catalog'!$C$15*'Assumptions and Catalog'!$C$11*'Assumptions and Catalog'!$C$12)*C468,0)</f>
        <v>0</v>
      </c>
      <c r="J468" s="5">
        <f t="shared" si="33"/>
        <v>0</v>
      </c>
      <c r="K468" s="5">
        <f t="shared" si="34"/>
        <v>0</v>
      </c>
      <c r="L468" s="5">
        <f>(D468+E468)*C468-G468-I468+H468+IF(D$52&gt;0,'Assumptions and Catalog'!$C$26*C468,0)</f>
        <v>2501.7000000000003</v>
      </c>
      <c r="M468" s="5">
        <f>IF(ISNUMBER(Inputs!$L$5),(IF(Inputs!$L$9="Actual flat rate",((D468+E468)*C468)*Inputs!$L$10,IF(Inputs!$C$9="Residential",IF(((D468+E468)*C468)&lt;='Assumptions and Catalog'!$C$50,((D468+E468)*C468)*'Assumptions and Catalog'!$H$50+'Assumptions and Catalog'!$E$50+'Assumptions and Catalog'!$F$50,IF(((D468+E468)*C468)&lt;='Assumptions and Catalog'!$C$51,((D468+E468)*C468)*'Assumptions and Catalog'!$H$51+'Assumptions and Catalog'!$E$51+'Assumptions and Catalog'!$F$51,IF(((D468+E468)*C468)&lt;='Assumptions and Catalog'!$C$52,((D468+E468)*C468)*'Assumptions and Catalog'!$H$52+'Assumptions and Catalog'!$E$52+'Assumptions and Catalog'!$F$52,IF(((D468+E468)*C468)&lt;='Assumptions and Catalog'!$C$53,((D468+E468)*C468)*'Assumptions and Catalog'!$H$53+'Assumptions and Catalog'!$E$53+'Assumptions and Catalog'!$F$53,IF(((D468+E468)*C468)&lt;='Assumptions and Catalog'!$C$54,((D468+E468)*C468)*'Assumptions and Catalog'!$H$54+'Assumptions and Catalog'!$E$54+'Assumptions and Catalog'!$F$54,IF(((D468+E468)*C468)&lt;='Assumptions and Catalog'!$C$55,((D468+E468)*C468)*'Assumptions and Catalog'!$H$55+'Assumptions and Catalog'!$E$55+'Assumptions and Catalog'!$F$55,IF(((D468+E468)*C468)&lt;='Assumptions and Catalog'!$C$56,((D468+E468)*C468)*'Assumptions and Catalog'!$H$56+'Assumptions and Catalog'!$E$56+'Assumptions and Catalog'!$F$56,IF(((D468+E468)*C468)&lt;='Assumptions and Catalog'!$C$57,((D468+E468)*C468)*'Assumptions and Catalog'!$H$57+'Assumptions and Catalog'!$E$57+'Assumptions and Catalog'!$F$57,"Out of range")))))))),IF(((D468+E468)*C468)&lt;='Assumptions and Catalog'!$C$60,((D468+E468)*C468)*'Assumptions and Catalog'!$H$60+'Assumptions and Catalog'!$E$60+'Assumptions and Catalog'!$F$60,IF(((D468+E468)*C468)&lt;='Assumptions and Catalog'!$C$61,((D468+E468)*C468)*'Assumptions and Catalog'!$H$61+'Assumptions and Catalog'!$E$61+'Assumptions and Catalog'!$F$61,IF(((D468+E468)*C468)&lt;='Assumptions and Catalog'!$C$62,((D468+E468)*C468)*'Assumptions and Catalog'!$H$62+'Assumptions and Catalog'!$E$62+'Assumptions and Catalog'!$F$62,IF(((D468+E468)*C468)&lt;='Assumptions and Catalog'!$C$63,((D468+E468)*C468)*'Assumptions and Catalog'!$H$63+'Assumptions and Catalog'!$E$63+'Assumptions and Catalog'!$F$63,IF(((D468+E468)*C468)&lt;='Assumptions and Catalog'!$C$64,((D468+E468)*C468)*'Assumptions and Catalog'!$H$64+'Assumptions and Catalog'!$E$64+'Assumptions and Catalog'!$F$64,IF(((D468+E468)*C468)&lt;='Assumptions and Catalog'!$C$65,((D468+E468)*C468)*'Assumptions and Catalog'!$H$65+'Assumptions and Catalog'!$E$65+'Assumptions and Catalog'!$F$65,"Out of range")))))))))*(1+'Assumptions and Catalog'!$C$8)^(A468-1),0)</f>
        <v>8554.9666666666672</v>
      </c>
      <c r="N468" s="5">
        <f>IF(ISNUMBER(Inputs!$L$5),(IF(Inputs!$L$9="Actual flat rate",L468*Inputs!$L$10,IF(Inputs!$C$9="Residential",IF(L468&lt;='Assumptions and Catalog'!$C$50,L468*'Assumptions and Catalog'!$H$50+'Assumptions and Catalog'!$E$50+'Assumptions and Catalog'!$F$50,IF(L468&lt;='Assumptions and Catalog'!$C$51,L468*'Assumptions and Catalog'!$H$51+'Assumptions and Catalog'!$E$51+'Assumptions and Catalog'!$F$51,IF(L468&lt;='Assumptions and Catalog'!$C$52,L468*'Assumptions and Catalog'!$H$52+'Assumptions and Catalog'!$E$52+'Assumptions and Catalog'!$F$52,IF(L468&lt;='Assumptions and Catalog'!$C$53,L468*'Assumptions and Catalog'!$H$53+'Assumptions and Catalog'!$E$53+'Assumptions and Catalog'!$F$53,IF(L468&lt;='Assumptions and Catalog'!$C$54,L468*'Assumptions and Catalog'!$H$54+'Assumptions and Catalog'!$E$54+'Assumptions and Catalog'!$F$54,IF(L468&lt;='Assumptions and Catalog'!$C$55,L468*'Assumptions and Catalog'!$H$55+'Assumptions and Catalog'!$E$55+'Assumptions and Catalog'!$F$55,IF(L468&lt;='Assumptions and Catalog'!$C$56,L468*'Assumptions and Catalog'!$H$56+'Assumptions and Catalog'!$E$56+'Assumptions and Catalog'!$F$56,IF(L468&lt;='Assumptions and Catalog'!$C$57,L468*'Assumptions and Catalog'!$H$57+'Assumptions and Catalog'!$E$57+'Assumptions and Catalog'!$F$57,"Out of range")))))))),IF(L468&lt;='Assumptions and Catalog'!$C$60,L468*'Assumptions and Catalog'!$H$60+'Assumptions and Catalog'!$E$60+'Assumptions and Catalog'!$F$60,IF(L468&lt;='Assumptions and Catalog'!$C$61,L468*'Assumptions and Catalog'!$H$61+'Assumptions and Catalog'!$E$61+'Assumptions and Catalog'!$F$61,IF(L468&lt;='Assumptions and Catalog'!$C$62,L468*'Assumptions and Catalog'!$H$62+'Assumptions and Catalog'!$E$62+'Assumptions and Catalog'!$F$62,IF(L468&lt;='Assumptions and Catalog'!$C$63,L468*'Assumptions and Catalog'!$H$63+'Assumptions and Catalog'!$E$63+'Assumptions and Catalog'!$F$63,IF(L468&lt;='Assumptions and Catalog'!$C$64,L468*'Assumptions and Catalog'!$H$64+'Assumptions and Catalog'!$E$64+'Assumptions and Catalog'!$F$64,IF(L468&lt;='Assumptions and Catalog'!$C$65,L468*'Assumptions and Catalog'!$H$65+'Assumptions and Catalog'!$E$65+'Assumptions and Catalog'!$F$65,"Out of range")))))))))*(1+'Assumptions and Catalog'!$C$8)^(A468-1),0)</f>
        <v>8554.9666666666672</v>
      </c>
      <c r="O468" s="5">
        <f t="shared" si="35"/>
        <v>0</v>
      </c>
      <c r="P468" s="5">
        <f>D$55*(1-K$14)*(1-'Assumptions and Catalog'!$C$23)^R468</f>
        <v>0</v>
      </c>
      <c r="Q468" s="5">
        <f>IF(ISNUMBER(Inputs!$L$5),(IF(Inputs!$L$9="Actual flat rate",((D468+E468)*C468-G468)*Inputs!$L$10,IF(Inputs!$C$9="Residential",IF(((D468+E468)*C468-G468)&lt;='Assumptions and Catalog'!$C$50,((D468+E468)*C468-G468)*'Assumptions and Catalog'!$H$50+'Assumptions and Catalog'!$E$50+'Assumptions and Catalog'!$F$50,IF(((D468+E468)*C468-G468)&lt;='Assumptions and Catalog'!$C$51,((D468+E468)*C468-G468)*'Assumptions and Catalog'!$H$51+'Assumptions and Catalog'!$E$51+'Assumptions and Catalog'!$F$51,IF(((D468+E468)*C468-G468)&lt;='Assumptions and Catalog'!$C$52,((D468+E468)*C468-G468)*'Assumptions and Catalog'!$H$52+'Assumptions and Catalog'!$E$52+'Assumptions and Catalog'!$F$52,IF(((D468+E468)*C468-G468)&lt;='Assumptions and Catalog'!$C$53,((D468+E468)*C468-G468)*'Assumptions and Catalog'!$H$53+'Assumptions and Catalog'!$E$53+'Assumptions and Catalog'!$F$53,IF(((D468+E468)*C468-G468)&lt;='Assumptions and Catalog'!$C$54,((D468+E468)*C468-G468)*'Assumptions and Catalog'!$H$54+'Assumptions and Catalog'!$E$54+'Assumptions and Catalog'!$F$54,IF(((D468+E468)*C468-G468)&lt;='Assumptions and Catalog'!$C$55,((D468+E468)*C468-G468)*'Assumptions and Catalog'!$H$55+'Assumptions and Catalog'!$E$55+'Assumptions and Catalog'!$F$55,IF(((D468+E468)*C468-G468)&lt;='Assumptions and Catalog'!$C$56,((D468+E468)*C468-G468)*'Assumptions and Catalog'!$H$56+'Assumptions and Catalog'!$E$56+'Assumptions and Catalog'!$F$56,IF(((D468+E468)*C468-G468)&lt;='Assumptions and Catalog'!$C$57,((D468+E468)*C468-G468)*'Assumptions and Catalog'!$H$57+'Assumptions and Catalog'!$E$57+'Assumptions and Catalog'!$F$57,"Out of range")))))))),IF(((D468+E468)*C468-G468)&lt;='Assumptions and Catalog'!$C$60,((D468+E468)*C468-G468)*'Assumptions and Catalog'!$H$60+'Assumptions and Catalog'!$E$60+'Assumptions and Catalog'!$F$60,IF(((D468+E468)*C468-G468)&lt;='Assumptions and Catalog'!$C$61,((D468+E468)*C468-G468)*'Assumptions and Catalog'!$H$61+'Assumptions and Catalog'!$E$61+'Assumptions and Catalog'!$F$61,IF(((D468+E468)*C468-G468)&lt;='Assumptions and Catalog'!$C$62,((D468+E468)*C468-G468)*'Assumptions and Catalog'!$H$62+'Assumptions and Catalog'!$E$62+'Assumptions and Catalog'!$F$62,IF(((D468+E468)*C468-G468)&lt;='Assumptions and Catalog'!$C$63,((D468+E468)*C468-G468)*'Assumptions and Catalog'!$H$63+'Assumptions and Catalog'!$E$63+'Assumptions and Catalog'!$F$63,IF(((D468+E468)*C468-G468)&lt;='Assumptions and Catalog'!$C$64,((D468+E468)*C468-G468)*'Assumptions and Catalog'!$H$64+'Assumptions and Catalog'!$E$64+'Assumptions and Catalog'!$F$64,IF(((D468+E468)*C468-G468)&lt;='Assumptions and Catalog'!$C$65,((D468+E468)*C468-G468)*'Assumptions and Catalog'!$H$65+'Assumptions and Catalog'!$E$65+'Assumptions and Catalog'!$F$65,"Out of range")))))))))*(1+'Assumptions and Catalog'!$C$8)^(A468-1),0)</f>
        <v>8554.9666666666672</v>
      </c>
      <c r="R468" s="5">
        <f>IF(AND('Assumptions and Catalog'!$C$19&gt;0,A468&gt;='Assumptions and Catalog'!$C$19),A468-'Assumptions and Catalog'!$C$19,A468-1)</f>
        <v>4</v>
      </c>
      <c r="S468" s="5">
        <f>F468+L468-(D468+E468)*C468-J468-K468-IF(D$52&gt;0,'Assumptions and Catalog'!$C$26*C468,0)</f>
        <v>0</v>
      </c>
      <c r="T468" s="5"/>
      <c r="U468" s="5"/>
    </row>
    <row r="469" spans="1:21" ht="23.1" customHeight="1" outlineLevel="1" x14ac:dyDescent="0.2">
      <c r="A469" s="5">
        <v>5</v>
      </c>
      <c r="B469" s="5">
        <v>11</v>
      </c>
      <c r="C469" s="5">
        <f>DAY(DATE('Assumptions and Catalog'!$C$24+A469-1,B469+1,0))</f>
        <v>30</v>
      </c>
      <c r="D469" s="5">
        <f>IF(ISNUMBER(Inputs!$L$5),Inputs!$L$5*Inputs!$L$6,0)</f>
        <v>40.35</v>
      </c>
      <c r="E469" s="5">
        <f>IF(ISNUMBER(Inputs!$L$5),Inputs!$L$5-D469,0)</f>
        <v>40.35</v>
      </c>
      <c r="F469" s="5">
        <f>D$51*'Assumptions and Catalog'!$C$31*C469*(1-'Assumptions and Catalog'!$C$10)^(A469-1)</f>
        <v>0</v>
      </c>
      <c r="G469" s="5">
        <f t="shared" si="32"/>
        <v>0</v>
      </c>
      <c r="H469" s="5">
        <f>I469/('Assumptions and Catalog'!$C$11*'Assumptions and Catalog'!$C$12)</f>
        <v>0</v>
      </c>
      <c r="I469" s="5">
        <f>IF(K$15="Grid cycle",MIN(K$16,D469+E469,P469*'Assumptions and Catalog'!$C$12,D$57*(24-'Assumptions and Catalog'!$C$15),D$56*'Assumptions and Catalog'!$C$15*'Assumptions and Catalog'!$C$11*'Assumptions and Catalog'!$C$12)*C469,0)</f>
        <v>0</v>
      </c>
      <c r="J469" s="5">
        <f t="shared" si="33"/>
        <v>0</v>
      </c>
      <c r="K469" s="5">
        <f t="shared" si="34"/>
        <v>0</v>
      </c>
      <c r="L469" s="5">
        <f>(D469+E469)*C469-G469-I469+H469+IF(D$52&gt;0,'Assumptions and Catalog'!$C$26*C469,0)</f>
        <v>2421</v>
      </c>
      <c r="M469" s="5">
        <f>IF(ISNUMBER(Inputs!$L$5),(IF(Inputs!$L$9="Actual flat rate",((D469+E469)*C469)*Inputs!$L$10,IF(Inputs!$C$9="Residential",IF(((D469+E469)*C469)&lt;='Assumptions and Catalog'!$C$50,((D469+E469)*C469)*'Assumptions and Catalog'!$H$50+'Assumptions and Catalog'!$E$50+'Assumptions and Catalog'!$F$50,IF(((D469+E469)*C469)&lt;='Assumptions and Catalog'!$C$51,((D469+E469)*C469)*'Assumptions and Catalog'!$H$51+'Assumptions and Catalog'!$E$51+'Assumptions and Catalog'!$F$51,IF(((D469+E469)*C469)&lt;='Assumptions and Catalog'!$C$52,((D469+E469)*C469)*'Assumptions and Catalog'!$H$52+'Assumptions and Catalog'!$E$52+'Assumptions and Catalog'!$F$52,IF(((D469+E469)*C469)&lt;='Assumptions and Catalog'!$C$53,((D469+E469)*C469)*'Assumptions and Catalog'!$H$53+'Assumptions and Catalog'!$E$53+'Assumptions and Catalog'!$F$53,IF(((D469+E469)*C469)&lt;='Assumptions and Catalog'!$C$54,((D469+E469)*C469)*'Assumptions and Catalog'!$H$54+'Assumptions and Catalog'!$E$54+'Assumptions and Catalog'!$F$54,IF(((D469+E469)*C469)&lt;='Assumptions and Catalog'!$C$55,((D469+E469)*C469)*'Assumptions and Catalog'!$H$55+'Assumptions and Catalog'!$E$55+'Assumptions and Catalog'!$F$55,IF(((D469+E469)*C469)&lt;='Assumptions and Catalog'!$C$56,((D469+E469)*C469)*'Assumptions and Catalog'!$H$56+'Assumptions and Catalog'!$E$56+'Assumptions and Catalog'!$F$56,IF(((D469+E469)*C469)&lt;='Assumptions and Catalog'!$C$57,((D469+E469)*C469)*'Assumptions and Catalog'!$H$57+'Assumptions and Catalog'!$E$57+'Assumptions and Catalog'!$F$57,"Out of range")))))))),IF(((D469+E469)*C469)&lt;='Assumptions and Catalog'!$C$60,((D469+E469)*C469)*'Assumptions and Catalog'!$H$60+'Assumptions and Catalog'!$E$60+'Assumptions and Catalog'!$F$60,IF(((D469+E469)*C469)&lt;='Assumptions and Catalog'!$C$61,((D469+E469)*C469)*'Assumptions and Catalog'!$H$61+'Assumptions and Catalog'!$E$61+'Assumptions and Catalog'!$F$61,IF(((D469+E469)*C469)&lt;='Assumptions and Catalog'!$C$62,((D469+E469)*C469)*'Assumptions and Catalog'!$H$62+'Assumptions and Catalog'!$E$62+'Assumptions and Catalog'!$F$62,IF(((D469+E469)*C469)&lt;='Assumptions and Catalog'!$C$63,((D469+E469)*C469)*'Assumptions and Catalog'!$H$63+'Assumptions and Catalog'!$E$63+'Assumptions and Catalog'!$F$63,IF(((D469+E469)*C469)&lt;='Assumptions and Catalog'!$C$64,((D469+E469)*C469)*'Assumptions and Catalog'!$H$64+'Assumptions and Catalog'!$E$64+'Assumptions and Catalog'!$F$64,IF(((D469+E469)*C469)&lt;='Assumptions and Catalog'!$C$65,((D469+E469)*C469)*'Assumptions and Catalog'!$H$65+'Assumptions and Catalog'!$E$65+'Assumptions and Catalog'!$F$65,"Out of range")))))))))*(1+'Assumptions and Catalog'!$C$8)^(A469-1),0)</f>
        <v>8279</v>
      </c>
      <c r="N469" s="5">
        <f>IF(ISNUMBER(Inputs!$L$5),(IF(Inputs!$L$9="Actual flat rate",L469*Inputs!$L$10,IF(Inputs!$C$9="Residential",IF(L469&lt;='Assumptions and Catalog'!$C$50,L469*'Assumptions and Catalog'!$H$50+'Assumptions and Catalog'!$E$50+'Assumptions and Catalog'!$F$50,IF(L469&lt;='Assumptions and Catalog'!$C$51,L469*'Assumptions and Catalog'!$H$51+'Assumptions and Catalog'!$E$51+'Assumptions and Catalog'!$F$51,IF(L469&lt;='Assumptions and Catalog'!$C$52,L469*'Assumptions and Catalog'!$H$52+'Assumptions and Catalog'!$E$52+'Assumptions and Catalog'!$F$52,IF(L469&lt;='Assumptions and Catalog'!$C$53,L469*'Assumptions and Catalog'!$H$53+'Assumptions and Catalog'!$E$53+'Assumptions and Catalog'!$F$53,IF(L469&lt;='Assumptions and Catalog'!$C$54,L469*'Assumptions and Catalog'!$H$54+'Assumptions and Catalog'!$E$54+'Assumptions and Catalog'!$F$54,IF(L469&lt;='Assumptions and Catalog'!$C$55,L469*'Assumptions and Catalog'!$H$55+'Assumptions and Catalog'!$E$55+'Assumptions and Catalog'!$F$55,IF(L469&lt;='Assumptions and Catalog'!$C$56,L469*'Assumptions and Catalog'!$H$56+'Assumptions and Catalog'!$E$56+'Assumptions and Catalog'!$F$56,IF(L469&lt;='Assumptions and Catalog'!$C$57,L469*'Assumptions and Catalog'!$H$57+'Assumptions and Catalog'!$E$57+'Assumptions and Catalog'!$F$57,"Out of range")))))))),IF(L469&lt;='Assumptions and Catalog'!$C$60,L469*'Assumptions and Catalog'!$H$60+'Assumptions and Catalog'!$E$60+'Assumptions and Catalog'!$F$60,IF(L469&lt;='Assumptions and Catalog'!$C$61,L469*'Assumptions and Catalog'!$H$61+'Assumptions and Catalog'!$E$61+'Assumptions and Catalog'!$F$61,IF(L469&lt;='Assumptions and Catalog'!$C$62,L469*'Assumptions and Catalog'!$H$62+'Assumptions and Catalog'!$E$62+'Assumptions and Catalog'!$F$62,IF(L469&lt;='Assumptions and Catalog'!$C$63,L469*'Assumptions and Catalog'!$H$63+'Assumptions and Catalog'!$E$63+'Assumptions and Catalog'!$F$63,IF(L469&lt;='Assumptions and Catalog'!$C$64,L469*'Assumptions and Catalog'!$H$64+'Assumptions and Catalog'!$E$64+'Assumptions and Catalog'!$F$64,IF(L469&lt;='Assumptions and Catalog'!$C$65,L469*'Assumptions and Catalog'!$H$65+'Assumptions and Catalog'!$E$65+'Assumptions and Catalog'!$F$65,"Out of range")))))))))*(1+'Assumptions and Catalog'!$C$8)^(A469-1),0)</f>
        <v>8279</v>
      </c>
      <c r="O469" s="5">
        <f t="shared" si="35"/>
        <v>0</v>
      </c>
      <c r="P469" s="5">
        <f>D$55*(1-K$14)*(1-'Assumptions and Catalog'!$C$23)^R469</f>
        <v>0</v>
      </c>
      <c r="Q469" s="5">
        <f>IF(ISNUMBER(Inputs!$L$5),(IF(Inputs!$L$9="Actual flat rate",((D469+E469)*C469-G469)*Inputs!$L$10,IF(Inputs!$C$9="Residential",IF(((D469+E469)*C469-G469)&lt;='Assumptions and Catalog'!$C$50,((D469+E469)*C469-G469)*'Assumptions and Catalog'!$H$50+'Assumptions and Catalog'!$E$50+'Assumptions and Catalog'!$F$50,IF(((D469+E469)*C469-G469)&lt;='Assumptions and Catalog'!$C$51,((D469+E469)*C469-G469)*'Assumptions and Catalog'!$H$51+'Assumptions and Catalog'!$E$51+'Assumptions and Catalog'!$F$51,IF(((D469+E469)*C469-G469)&lt;='Assumptions and Catalog'!$C$52,((D469+E469)*C469-G469)*'Assumptions and Catalog'!$H$52+'Assumptions and Catalog'!$E$52+'Assumptions and Catalog'!$F$52,IF(((D469+E469)*C469-G469)&lt;='Assumptions and Catalog'!$C$53,((D469+E469)*C469-G469)*'Assumptions and Catalog'!$H$53+'Assumptions and Catalog'!$E$53+'Assumptions and Catalog'!$F$53,IF(((D469+E469)*C469-G469)&lt;='Assumptions and Catalog'!$C$54,((D469+E469)*C469-G469)*'Assumptions and Catalog'!$H$54+'Assumptions and Catalog'!$E$54+'Assumptions and Catalog'!$F$54,IF(((D469+E469)*C469-G469)&lt;='Assumptions and Catalog'!$C$55,((D469+E469)*C469-G469)*'Assumptions and Catalog'!$H$55+'Assumptions and Catalog'!$E$55+'Assumptions and Catalog'!$F$55,IF(((D469+E469)*C469-G469)&lt;='Assumptions and Catalog'!$C$56,((D469+E469)*C469-G469)*'Assumptions and Catalog'!$H$56+'Assumptions and Catalog'!$E$56+'Assumptions and Catalog'!$F$56,IF(((D469+E469)*C469-G469)&lt;='Assumptions and Catalog'!$C$57,((D469+E469)*C469-G469)*'Assumptions and Catalog'!$H$57+'Assumptions and Catalog'!$E$57+'Assumptions and Catalog'!$F$57,"Out of range")))))))),IF(((D469+E469)*C469-G469)&lt;='Assumptions and Catalog'!$C$60,((D469+E469)*C469-G469)*'Assumptions and Catalog'!$H$60+'Assumptions and Catalog'!$E$60+'Assumptions and Catalog'!$F$60,IF(((D469+E469)*C469-G469)&lt;='Assumptions and Catalog'!$C$61,((D469+E469)*C469-G469)*'Assumptions and Catalog'!$H$61+'Assumptions and Catalog'!$E$61+'Assumptions and Catalog'!$F$61,IF(((D469+E469)*C469-G469)&lt;='Assumptions and Catalog'!$C$62,((D469+E469)*C469-G469)*'Assumptions and Catalog'!$H$62+'Assumptions and Catalog'!$E$62+'Assumptions and Catalog'!$F$62,IF(((D469+E469)*C469-G469)&lt;='Assumptions and Catalog'!$C$63,((D469+E469)*C469-G469)*'Assumptions and Catalog'!$H$63+'Assumptions and Catalog'!$E$63+'Assumptions and Catalog'!$F$63,IF(((D469+E469)*C469-G469)&lt;='Assumptions and Catalog'!$C$64,((D469+E469)*C469-G469)*'Assumptions and Catalog'!$H$64+'Assumptions and Catalog'!$E$64+'Assumptions and Catalog'!$F$64,IF(((D469+E469)*C469-G469)&lt;='Assumptions and Catalog'!$C$65,((D469+E469)*C469-G469)*'Assumptions and Catalog'!$H$65+'Assumptions and Catalog'!$E$65+'Assumptions and Catalog'!$F$65,"Out of range")))))))))*(1+'Assumptions and Catalog'!$C$8)^(A469-1),0)</f>
        <v>8279</v>
      </c>
      <c r="R469" s="5">
        <f>IF(AND('Assumptions and Catalog'!$C$19&gt;0,A469&gt;='Assumptions and Catalog'!$C$19),A469-'Assumptions and Catalog'!$C$19,A469-1)</f>
        <v>4</v>
      </c>
      <c r="S469" s="5">
        <f>F469+L469-(D469+E469)*C469-J469-K469-IF(D$52&gt;0,'Assumptions and Catalog'!$C$26*C469,0)</f>
        <v>0</v>
      </c>
      <c r="T469" s="5"/>
      <c r="U469" s="5"/>
    </row>
    <row r="470" spans="1:21" ht="23.1" customHeight="1" outlineLevel="1" x14ac:dyDescent="0.2">
      <c r="A470" s="5">
        <v>5</v>
      </c>
      <c r="B470" s="5">
        <v>12</v>
      </c>
      <c r="C470" s="5">
        <f>DAY(DATE('Assumptions and Catalog'!$C$24+A470-1,B470+1,0))</f>
        <v>31</v>
      </c>
      <c r="D470" s="5">
        <f>IF(ISNUMBER(Inputs!$L$5),Inputs!$L$5*Inputs!$L$6,0)</f>
        <v>40.35</v>
      </c>
      <c r="E470" s="5">
        <f>IF(ISNUMBER(Inputs!$L$5),Inputs!$L$5-D470,0)</f>
        <v>40.35</v>
      </c>
      <c r="F470" s="5">
        <f>D$51*'Assumptions and Catalog'!$C$31*C470*(1-'Assumptions and Catalog'!$C$10)^(A470-1)</f>
        <v>0</v>
      </c>
      <c r="G470" s="5">
        <f t="shared" si="32"/>
        <v>0</v>
      </c>
      <c r="H470" s="5">
        <f>I470/('Assumptions and Catalog'!$C$11*'Assumptions and Catalog'!$C$12)</f>
        <v>0</v>
      </c>
      <c r="I470" s="5">
        <f>IF(K$15="Grid cycle",MIN(K$16,D470+E470,P470*'Assumptions and Catalog'!$C$12,D$57*(24-'Assumptions and Catalog'!$C$15),D$56*'Assumptions and Catalog'!$C$15*'Assumptions and Catalog'!$C$11*'Assumptions and Catalog'!$C$12)*C470,0)</f>
        <v>0</v>
      </c>
      <c r="J470" s="5">
        <f t="shared" si="33"/>
        <v>0</v>
      </c>
      <c r="K470" s="5">
        <f t="shared" si="34"/>
        <v>0</v>
      </c>
      <c r="L470" s="5">
        <f>(D470+E470)*C470-G470-I470+H470+IF(D$52&gt;0,'Assumptions and Catalog'!$C$26*C470,0)</f>
        <v>2501.7000000000003</v>
      </c>
      <c r="M470" s="5">
        <f>IF(ISNUMBER(Inputs!$L$5),(IF(Inputs!$L$9="Actual flat rate",((D470+E470)*C470)*Inputs!$L$10,IF(Inputs!$C$9="Residential",IF(((D470+E470)*C470)&lt;='Assumptions and Catalog'!$C$50,((D470+E470)*C470)*'Assumptions and Catalog'!$H$50+'Assumptions and Catalog'!$E$50+'Assumptions and Catalog'!$F$50,IF(((D470+E470)*C470)&lt;='Assumptions and Catalog'!$C$51,((D470+E470)*C470)*'Assumptions and Catalog'!$H$51+'Assumptions and Catalog'!$E$51+'Assumptions and Catalog'!$F$51,IF(((D470+E470)*C470)&lt;='Assumptions and Catalog'!$C$52,((D470+E470)*C470)*'Assumptions and Catalog'!$H$52+'Assumptions and Catalog'!$E$52+'Assumptions and Catalog'!$F$52,IF(((D470+E470)*C470)&lt;='Assumptions and Catalog'!$C$53,((D470+E470)*C470)*'Assumptions and Catalog'!$H$53+'Assumptions and Catalog'!$E$53+'Assumptions and Catalog'!$F$53,IF(((D470+E470)*C470)&lt;='Assumptions and Catalog'!$C$54,((D470+E470)*C470)*'Assumptions and Catalog'!$H$54+'Assumptions and Catalog'!$E$54+'Assumptions and Catalog'!$F$54,IF(((D470+E470)*C470)&lt;='Assumptions and Catalog'!$C$55,((D470+E470)*C470)*'Assumptions and Catalog'!$H$55+'Assumptions and Catalog'!$E$55+'Assumptions and Catalog'!$F$55,IF(((D470+E470)*C470)&lt;='Assumptions and Catalog'!$C$56,((D470+E470)*C470)*'Assumptions and Catalog'!$H$56+'Assumptions and Catalog'!$E$56+'Assumptions and Catalog'!$F$56,IF(((D470+E470)*C470)&lt;='Assumptions and Catalog'!$C$57,((D470+E470)*C470)*'Assumptions and Catalog'!$H$57+'Assumptions and Catalog'!$E$57+'Assumptions and Catalog'!$F$57,"Out of range")))))))),IF(((D470+E470)*C470)&lt;='Assumptions and Catalog'!$C$60,((D470+E470)*C470)*'Assumptions and Catalog'!$H$60+'Assumptions and Catalog'!$E$60+'Assumptions and Catalog'!$F$60,IF(((D470+E470)*C470)&lt;='Assumptions and Catalog'!$C$61,((D470+E470)*C470)*'Assumptions and Catalog'!$H$61+'Assumptions and Catalog'!$E$61+'Assumptions and Catalog'!$F$61,IF(((D470+E470)*C470)&lt;='Assumptions and Catalog'!$C$62,((D470+E470)*C470)*'Assumptions and Catalog'!$H$62+'Assumptions and Catalog'!$E$62+'Assumptions and Catalog'!$F$62,IF(((D470+E470)*C470)&lt;='Assumptions and Catalog'!$C$63,((D470+E470)*C470)*'Assumptions and Catalog'!$H$63+'Assumptions and Catalog'!$E$63+'Assumptions and Catalog'!$F$63,IF(((D470+E470)*C470)&lt;='Assumptions and Catalog'!$C$64,((D470+E470)*C470)*'Assumptions and Catalog'!$H$64+'Assumptions and Catalog'!$E$64+'Assumptions and Catalog'!$F$64,IF(((D470+E470)*C470)&lt;='Assumptions and Catalog'!$C$65,((D470+E470)*C470)*'Assumptions and Catalog'!$H$65+'Assumptions and Catalog'!$E$65+'Assumptions and Catalog'!$F$65,"Out of range")))))))))*(1+'Assumptions and Catalog'!$C$8)^(A470-1),0)</f>
        <v>8554.9666666666672</v>
      </c>
      <c r="N470" s="5">
        <f>IF(ISNUMBER(Inputs!$L$5),(IF(Inputs!$L$9="Actual flat rate",L470*Inputs!$L$10,IF(Inputs!$C$9="Residential",IF(L470&lt;='Assumptions and Catalog'!$C$50,L470*'Assumptions and Catalog'!$H$50+'Assumptions and Catalog'!$E$50+'Assumptions and Catalog'!$F$50,IF(L470&lt;='Assumptions and Catalog'!$C$51,L470*'Assumptions and Catalog'!$H$51+'Assumptions and Catalog'!$E$51+'Assumptions and Catalog'!$F$51,IF(L470&lt;='Assumptions and Catalog'!$C$52,L470*'Assumptions and Catalog'!$H$52+'Assumptions and Catalog'!$E$52+'Assumptions and Catalog'!$F$52,IF(L470&lt;='Assumptions and Catalog'!$C$53,L470*'Assumptions and Catalog'!$H$53+'Assumptions and Catalog'!$E$53+'Assumptions and Catalog'!$F$53,IF(L470&lt;='Assumptions and Catalog'!$C$54,L470*'Assumptions and Catalog'!$H$54+'Assumptions and Catalog'!$E$54+'Assumptions and Catalog'!$F$54,IF(L470&lt;='Assumptions and Catalog'!$C$55,L470*'Assumptions and Catalog'!$H$55+'Assumptions and Catalog'!$E$55+'Assumptions and Catalog'!$F$55,IF(L470&lt;='Assumptions and Catalog'!$C$56,L470*'Assumptions and Catalog'!$H$56+'Assumptions and Catalog'!$E$56+'Assumptions and Catalog'!$F$56,IF(L470&lt;='Assumptions and Catalog'!$C$57,L470*'Assumptions and Catalog'!$H$57+'Assumptions and Catalog'!$E$57+'Assumptions and Catalog'!$F$57,"Out of range")))))))),IF(L470&lt;='Assumptions and Catalog'!$C$60,L470*'Assumptions and Catalog'!$H$60+'Assumptions and Catalog'!$E$60+'Assumptions and Catalog'!$F$60,IF(L470&lt;='Assumptions and Catalog'!$C$61,L470*'Assumptions and Catalog'!$H$61+'Assumptions and Catalog'!$E$61+'Assumptions and Catalog'!$F$61,IF(L470&lt;='Assumptions and Catalog'!$C$62,L470*'Assumptions and Catalog'!$H$62+'Assumptions and Catalog'!$E$62+'Assumptions and Catalog'!$F$62,IF(L470&lt;='Assumptions and Catalog'!$C$63,L470*'Assumptions and Catalog'!$H$63+'Assumptions and Catalog'!$E$63+'Assumptions and Catalog'!$F$63,IF(L470&lt;='Assumptions and Catalog'!$C$64,L470*'Assumptions and Catalog'!$H$64+'Assumptions and Catalog'!$E$64+'Assumptions and Catalog'!$F$64,IF(L470&lt;='Assumptions and Catalog'!$C$65,L470*'Assumptions and Catalog'!$H$65+'Assumptions and Catalog'!$E$65+'Assumptions and Catalog'!$F$65,"Out of range")))))))))*(1+'Assumptions and Catalog'!$C$8)^(A470-1),0)</f>
        <v>8554.9666666666672</v>
      </c>
      <c r="O470" s="5">
        <f t="shared" si="35"/>
        <v>0</v>
      </c>
      <c r="P470" s="5">
        <f>D$55*(1-K$14)*(1-'Assumptions and Catalog'!$C$23)^R470</f>
        <v>0</v>
      </c>
      <c r="Q470" s="5">
        <f>IF(ISNUMBER(Inputs!$L$5),(IF(Inputs!$L$9="Actual flat rate",((D470+E470)*C470-G470)*Inputs!$L$10,IF(Inputs!$C$9="Residential",IF(((D470+E470)*C470-G470)&lt;='Assumptions and Catalog'!$C$50,((D470+E470)*C470-G470)*'Assumptions and Catalog'!$H$50+'Assumptions and Catalog'!$E$50+'Assumptions and Catalog'!$F$50,IF(((D470+E470)*C470-G470)&lt;='Assumptions and Catalog'!$C$51,((D470+E470)*C470-G470)*'Assumptions and Catalog'!$H$51+'Assumptions and Catalog'!$E$51+'Assumptions and Catalog'!$F$51,IF(((D470+E470)*C470-G470)&lt;='Assumptions and Catalog'!$C$52,((D470+E470)*C470-G470)*'Assumptions and Catalog'!$H$52+'Assumptions and Catalog'!$E$52+'Assumptions and Catalog'!$F$52,IF(((D470+E470)*C470-G470)&lt;='Assumptions and Catalog'!$C$53,((D470+E470)*C470-G470)*'Assumptions and Catalog'!$H$53+'Assumptions and Catalog'!$E$53+'Assumptions and Catalog'!$F$53,IF(((D470+E470)*C470-G470)&lt;='Assumptions and Catalog'!$C$54,((D470+E470)*C470-G470)*'Assumptions and Catalog'!$H$54+'Assumptions and Catalog'!$E$54+'Assumptions and Catalog'!$F$54,IF(((D470+E470)*C470-G470)&lt;='Assumptions and Catalog'!$C$55,((D470+E470)*C470-G470)*'Assumptions and Catalog'!$H$55+'Assumptions and Catalog'!$E$55+'Assumptions and Catalog'!$F$55,IF(((D470+E470)*C470-G470)&lt;='Assumptions and Catalog'!$C$56,((D470+E470)*C470-G470)*'Assumptions and Catalog'!$H$56+'Assumptions and Catalog'!$E$56+'Assumptions and Catalog'!$F$56,IF(((D470+E470)*C470-G470)&lt;='Assumptions and Catalog'!$C$57,((D470+E470)*C470-G470)*'Assumptions and Catalog'!$H$57+'Assumptions and Catalog'!$E$57+'Assumptions and Catalog'!$F$57,"Out of range")))))))),IF(((D470+E470)*C470-G470)&lt;='Assumptions and Catalog'!$C$60,((D470+E470)*C470-G470)*'Assumptions and Catalog'!$H$60+'Assumptions and Catalog'!$E$60+'Assumptions and Catalog'!$F$60,IF(((D470+E470)*C470-G470)&lt;='Assumptions and Catalog'!$C$61,((D470+E470)*C470-G470)*'Assumptions and Catalog'!$H$61+'Assumptions and Catalog'!$E$61+'Assumptions and Catalog'!$F$61,IF(((D470+E470)*C470-G470)&lt;='Assumptions and Catalog'!$C$62,((D470+E470)*C470-G470)*'Assumptions and Catalog'!$H$62+'Assumptions and Catalog'!$E$62+'Assumptions and Catalog'!$F$62,IF(((D470+E470)*C470-G470)&lt;='Assumptions and Catalog'!$C$63,((D470+E470)*C470-G470)*'Assumptions and Catalog'!$H$63+'Assumptions and Catalog'!$E$63+'Assumptions and Catalog'!$F$63,IF(((D470+E470)*C470-G470)&lt;='Assumptions and Catalog'!$C$64,((D470+E470)*C470-G470)*'Assumptions and Catalog'!$H$64+'Assumptions and Catalog'!$E$64+'Assumptions and Catalog'!$F$64,IF(((D470+E470)*C470-G470)&lt;='Assumptions and Catalog'!$C$65,((D470+E470)*C470-G470)*'Assumptions and Catalog'!$H$65+'Assumptions and Catalog'!$E$65+'Assumptions and Catalog'!$F$65,"Out of range")))))))))*(1+'Assumptions and Catalog'!$C$8)^(A470-1),0)</f>
        <v>8554.9666666666672</v>
      </c>
      <c r="R470" s="5">
        <f>IF(AND('Assumptions and Catalog'!$C$19&gt;0,A470&gt;='Assumptions and Catalog'!$C$19),A470-'Assumptions and Catalog'!$C$19,A470-1)</f>
        <v>4</v>
      </c>
      <c r="S470" s="5">
        <f>F470+L470-(D470+E470)*C470-J470-K470-IF(D$52&gt;0,'Assumptions and Catalog'!$C$26*C470,0)</f>
        <v>0</v>
      </c>
      <c r="T470" s="5"/>
      <c r="U470" s="5"/>
    </row>
    <row r="471" spans="1:21" ht="23.1" customHeight="1" outlineLevel="1" x14ac:dyDescent="0.2">
      <c r="A471" s="5">
        <v>6</v>
      </c>
      <c r="B471" s="5">
        <v>1</v>
      </c>
      <c r="C471" s="5">
        <f>DAY(DATE('Assumptions and Catalog'!$C$24+A471-1,B471+1,0))</f>
        <v>31</v>
      </c>
      <c r="D471" s="5">
        <f>IF(ISNUMBER(Inputs!$L$5),Inputs!$L$5*Inputs!$L$6,0)</f>
        <v>40.35</v>
      </c>
      <c r="E471" s="5">
        <f>IF(ISNUMBER(Inputs!$L$5),Inputs!$L$5-D471,0)</f>
        <v>40.35</v>
      </c>
      <c r="F471" s="5">
        <f>D$51*'Assumptions and Catalog'!$C$31*C471*(1-'Assumptions and Catalog'!$C$10)^(A471-1)</f>
        <v>0</v>
      </c>
      <c r="G471" s="5">
        <f t="shared" si="32"/>
        <v>0</v>
      </c>
      <c r="H471" s="5">
        <f>I471/('Assumptions and Catalog'!$C$11*'Assumptions and Catalog'!$C$12)</f>
        <v>0</v>
      </c>
      <c r="I471" s="5">
        <f>IF(K$15="Grid cycle",MIN(K$16,D471+E471,P471*'Assumptions and Catalog'!$C$12,D$57*(24-'Assumptions and Catalog'!$C$15),D$56*'Assumptions and Catalog'!$C$15*'Assumptions and Catalog'!$C$11*'Assumptions and Catalog'!$C$12)*C471,0)</f>
        <v>0</v>
      </c>
      <c r="J471" s="5">
        <f t="shared" si="33"/>
        <v>0</v>
      </c>
      <c r="K471" s="5">
        <f t="shared" si="34"/>
        <v>0</v>
      </c>
      <c r="L471" s="5">
        <f>(D471+E471)*C471-G471-I471+H471+IF(D$52&gt;0,'Assumptions and Catalog'!$C$26*C471,0)</f>
        <v>2501.7000000000003</v>
      </c>
      <c r="M471" s="5">
        <f>IF(ISNUMBER(Inputs!$L$5),(IF(Inputs!$L$9="Actual flat rate",((D471+E471)*C471)*Inputs!$L$10,IF(Inputs!$C$9="Residential",IF(((D471+E471)*C471)&lt;='Assumptions and Catalog'!$C$50,((D471+E471)*C471)*'Assumptions and Catalog'!$H$50+'Assumptions and Catalog'!$E$50+'Assumptions and Catalog'!$F$50,IF(((D471+E471)*C471)&lt;='Assumptions and Catalog'!$C$51,((D471+E471)*C471)*'Assumptions and Catalog'!$H$51+'Assumptions and Catalog'!$E$51+'Assumptions and Catalog'!$F$51,IF(((D471+E471)*C471)&lt;='Assumptions and Catalog'!$C$52,((D471+E471)*C471)*'Assumptions and Catalog'!$H$52+'Assumptions and Catalog'!$E$52+'Assumptions and Catalog'!$F$52,IF(((D471+E471)*C471)&lt;='Assumptions and Catalog'!$C$53,((D471+E471)*C471)*'Assumptions and Catalog'!$H$53+'Assumptions and Catalog'!$E$53+'Assumptions and Catalog'!$F$53,IF(((D471+E471)*C471)&lt;='Assumptions and Catalog'!$C$54,((D471+E471)*C471)*'Assumptions and Catalog'!$H$54+'Assumptions and Catalog'!$E$54+'Assumptions and Catalog'!$F$54,IF(((D471+E471)*C471)&lt;='Assumptions and Catalog'!$C$55,((D471+E471)*C471)*'Assumptions and Catalog'!$H$55+'Assumptions and Catalog'!$E$55+'Assumptions and Catalog'!$F$55,IF(((D471+E471)*C471)&lt;='Assumptions and Catalog'!$C$56,((D471+E471)*C471)*'Assumptions and Catalog'!$H$56+'Assumptions and Catalog'!$E$56+'Assumptions and Catalog'!$F$56,IF(((D471+E471)*C471)&lt;='Assumptions and Catalog'!$C$57,((D471+E471)*C471)*'Assumptions and Catalog'!$H$57+'Assumptions and Catalog'!$E$57+'Assumptions and Catalog'!$F$57,"Out of range")))))))),IF(((D471+E471)*C471)&lt;='Assumptions and Catalog'!$C$60,((D471+E471)*C471)*'Assumptions and Catalog'!$H$60+'Assumptions and Catalog'!$E$60+'Assumptions and Catalog'!$F$60,IF(((D471+E471)*C471)&lt;='Assumptions and Catalog'!$C$61,((D471+E471)*C471)*'Assumptions and Catalog'!$H$61+'Assumptions and Catalog'!$E$61+'Assumptions and Catalog'!$F$61,IF(((D471+E471)*C471)&lt;='Assumptions and Catalog'!$C$62,((D471+E471)*C471)*'Assumptions and Catalog'!$H$62+'Assumptions and Catalog'!$E$62+'Assumptions and Catalog'!$F$62,IF(((D471+E471)*C471)&lt;='Assumptions and Catalog'!$C$63,((D471+E471)*C471)*'Assumptions and Catalog'!$H$63+'Assumptions and Catalog'!$E$63+'Assumptions and Catalog'!$F$63,IF(((D471+E471)*C471)&lt;='Assumptions and Catalog'!$C$64,((D471+E471)*C471)*'Assumptions and Catalog'!$H$64+'Assumptions and Catalog'!$E$64+'Assumptions and Catalog'!$F$64,IF(((D471+E471)*C471)&lt;='Assumptions and Catalog'!$C$65,((D471+E471)*C471)*'Assumptions and Catalog'!$H$65+'Assumptions and Catalog'!$E$65+'Assumptions and Catalog'!$F$65,"Out of range")))))))))*(1+'Assumptions and Catalog'!$C$8)^(A471-1),0)</f>
        <v>8554.9666666666672</v>
      </c>
      <c r="N471" s="5">
        <f>IF(ISNUMBER(Inputs!$L$5),(IF(Inputs!$L$9="Actual flat rate",L471*Inputs!$L$10,IF(Inputs!$C$9="Residential",IF(L471&lt;='Assumptions and Catalog'!$C$50,L471*'Assumptions and Catalog'!$H$50+'Assumptions and Catalog'!$E$50+'Assumptions and Catalog'!$F$50,IF(L471&lt;='Assumptions and Catalog'!$C$51,L471*'Assumptions and Catalog'!$H$51+'Assumptions and Catalog'!$E$51+'Assumptions and Catalog'!$F$51,IF(L471&lt;='Assumptions and Catalog'!$C$52,L471*'Assumptions and Catalog'!$H$52+'Assumptions and Catalog'!$E$52+'Assumptions and Catalog'!$F$52,IF(L471&lt;='Assumptions and Catalog'!$C$53,L471*'Assumptions and Catalog'!$H$53+'Assumptions and Catalog'!$E$53+'Assumptions and Catalog'!$F$53,IF(L471&lt;='Assumptions and Catalog'!$C$54,L471*'Assumptions and Catalog'!$H$54+'Assumptions and Catalog'!$E$54+'Assumptions and Catalog'!$F$54,IF(L471&lt;='Assumptions and Catalog'!$C$55,L471*'Assumptions and Catalog'!$H$55+'Assumptions and Catalog'!$E$55+'Assumptions and Catalog'!$F$55,IF(L471&lt;='Assumptions and Catalog'!$C$56,L471*'Assumptions and Catalog'!$H$56+'Assumptions and Catalog'!$E$56+'Assumptions and Catalog'!$F$56,IF(L471&lt;='Assumptions and Catalog'!$C$57,L471*'Assumptions and Catalog'!$H$57+'Assumptions and Catalog'!$E$57+'Assumptions and Catalog'!$F$57,"Out of range")))))))),IF(L471&lt;='Assumptions and Catalog'!$C$60,L471*'Assumptions and Catalog'!$H$60+'Assumptions and Catalog'!$E$60+'Assumptions and Catalog'!$F$60,IF(L471&lt;='Assumptions and Catalog'!$C$61,L471*'Assumptions and Catalog'!$H$61+'Assumptions and Catalog'!$E$61+'Assumptions and Catalog'!$F$61,IF(L471&lt;='Assumptions and Catalog'!$C$62,L471*'Assumptions and Catalog'!$H$62+'Assumptions and Catalog'!$E$62+'Assumptions and Catalog'!$F$62,IF(L471&lt;='Assumptions and Catalog'!$C$63,L471*'Assumptions and Catalog'!$H$63+'Assumptions and Catalog'!$E$63+'Assumptions and Catalog'!$F$63,IF(L471&lt;='Assumptions and Catalog'!$C$64,L471*'Assumptions and Catalog'!$H$64+'Assumptions and Catalog'!$E$64+'Assumptions and Catalog'!$F$64,IF(L471&lt;='Assumptions and Catalog'!$C$65,L471*'Assumptions and Catalog'!$H$65+'Assumptions and Catalog'!$E$65+'Assumptions and Catalog'!$F$65,"Out of range")))))))))*(1+'Assumptions and Catalog'!$C$8)^(A471-1),0)</f>
        <v>8554.9666666666672</v>
      </c>
      <c r="O471" s="5">
        <f t="shared" si="35"/>
        <v>0</v>
      </c>
      <c r="P471" s="5">
        <f>D$55*(1-K$14)*(1-'Assumptions and Catalog'!$C$23)^R471</f>
        <v>0</v>
      </c>
      <c r="Q471" s="5">
        <f>IF(ISNUMBER(Inputs!$L$5),(IF(Inputs!$L$9="Actual flat rate",((D471+E471)*C471-G471)*Inputs!$L$10,IF(Inputs!$C$9="Residential",IF(((D471+E471)*C471-G471)&lt;='Assumptions and Catalog'!$C$50,((D471+E471)*C471-G471)*'Assumptions and Catalog'!$H$50+'Assumptions and Catalog'!$E$50+'Assumptions and Catalog'!$F$50,IF(((D471+E471)*C471-G471)&lt;='Assumptions and Catalog'!$C$51,((D471+E471)*C471-G471)*'Assumptions and Catalog'!$H$51+'Assumptions and Catalog'!$E$51+'Assumptions and Catalog'!$F$51,IF(((D471+E471)*C471-G471)&lt;='Assumptions and Catalog'!$C$52,((D471+E471)*C471-G471)*'Assumptions and Catalog'!$H$52+'Assumptions and Catalog'!$E$52+'Assumptions and Catalog'!$F$52,IF(((D471+E471)*C471-G471)&lt;='Assumptions and Catalog'!$C$53,((D471+E471)*C471-G471)*'Assumptions and Catalog'!$H$53+'Assumptions and Catalog'!$E$53+'Assumptions and Catalog'!$F$53,IF(((D471+E471)*C471-G471)&lt;='Assumptions and Catalog'!$C$54,((D471+E471)*C471-G471)*'Assumptions and Catalog'!$H$54+'Assumptions and Catalog'!$E$54+'Assumptions and Catalog'!$F$54,IF(((D471+E471)*C471-G471)&lt;='Assumptions and Catalog'!$C$55,((D471+E471)*C471-G471)*'Assumptions and Catalog'!$H$55+'Assumptions and Catalog'!$E$55+'Assumptions and Catalog'!$F$55,IF(((D471+E471)*C471-G471)&lt;='Assumptions and Catalog'!$C$56,((D471+E471)*C471-G471)*'Assumptions and Catalog'!$H$56+'Assumptions and Catalog'!$E$56+'Assumptions and Catalog'!$F$56,IF(((D471+E471)*C471-G471)&lt;='Assumptions and Catalog'!$C$57,((D471+E471)*C471-G471)*'Assumptions and Catalog'!$H$57+'Assumptions and Catalog'!$E$57+'Assumptions and Catalog'!$F$57,"Out of range")))))))),IF(((D471+E471)*C471-G471)&lt;='Assumptions and Catalog'!$C$60,((D471+E471)*C471-G471)*'Assumptions and Catalog'!$H$60+'Assumptions and Catalog'!$E$60+'Assumptions and Catalog'!$F$60,IF(((D471+E471)*C471-G471)&lt;='Assumptions and Catalog'!$C$61,((D471+E471)*C471-G471)*'Assumptions and Catalog'!$H$61+'Assumptions and Catalog'!$E$61+'Assumptions and Catalog'!$F$61,IF(((D471+E471)*C471-G471)&lt;='Assumptions and Catalog'!$C$62,((D471+E471)*C471-G471)*'Assumptions and Catalog'!$H$62+'Assumptions and Catalog'!$E$62+'Assumptions and Catalog'!$F$62,IF(((D471+E471)*C471-G471)&lt;='Assumptions and Catalog'!$C$63,((D471+E471)*C471-G471)*'Assumptions and Catalog'!$H$63+'Assumptions and Catalog'!$E$63+'Assumptions and Catalog'!$F$63,IF(((D471+E471)*C471-G471)&lt;='Assumptions and Catalog'!$C$64,((D471+E471)*C471-G471)*'Assumptions and Catalog'!$H$64+'Assumptions and Catalog'!$E$64+'Assumptions and Catalog'!$F$64,IF(((D471+E471)*C471-G471)&lt;='Assumptions and Catalog'!$C$65,((D471+E471)*C471-G471)*'Assumptions and Catalog'!$H$65+'Assumptions and Catalog'!$E$65+'Assumptions and Catalog'!$F$65,"Out of range")))))))))*(1+'Assumptions and Catalog'!$C$8)^(A471-1),0)</f>
        <v>8554.9666666666672</v>
      </c>
      <c r="R471" s="5">
        <f>IF(AND('Assumptions and Catalog'!$C$19&gt;0,A471&gt;='Assumptions and Catalog'!$C$19),A471-'Assumptions and Catalog'!$C$19,A471-1)</f>
        <v>5</v>
      </c>
      <c r="S471" s="5">
        <f>F471+L471-(D471+E471)*C471-J471-K471-IF(D$52&gt;0,'Assumptions and Catalog'!$C$26*C471,0)</f>
        <v>0</v>
      </c>
      <c r="T471" s="5"/>
      <c r="U471" s="5"/>
    </row>
    <row r="472" spans="1:21" ht="23.1" customHeight="1" outlineLevel="1" x14ac:dyDescent="0.2">
      <c r="A472" s="5">
        <v>6</v>
      </c>
      <c r="B472" s="5">
        <v>2</v>
      </c>
      <c r="C472" s="5">
        <f>DAY(DATE('Assumptions and Catalog'!$C$24+A472-1,B472+1,0))</f>
        <v>29</v>
      </c>
      <c r="D472" s="5">
        <f>IF(ISNUMBER(Inputs!$L$5),Inputs!$L$5*Inputs!$L$6,0)</f>
        <v>40.35</v>
      </c>
      <c r="E472" s="5">
        <f>IF(ISNUMBER(Inputs!$L$5),Inputs!$L$5-D472,0)</f>
        <v>40.35</v>
      </c>
      <c r="F472" s="5">
        <f>D$51*'Assumptions and Catalog'!$C$31*C472*(1-'Assumptions and Catalog'!$C$10)^(A472-1)</f>
        <v>0</v>
      </c>
      <c r="G472" s="5">
        <f t="shared" si="32"/>
        <v>0</v>
      </c>
      <c r="H472" s="5">
        <f>I472/('Assumptions and Catalog'!$C$11*'Assumptions and Catalog'!$C$12)</f>
        <v>0</v>
      </c>
      <c r="I472" s="5">
        <f>IF(K$15="Grid cycle",MIN(K$16,D472+E472,P472*'Assumptions and Catalog'!$C$12,D$57*(24-'Assumptions and Catalog'!$C$15),D$56*'Assumptions and Catalog'!$C$15*'Assumptions and Catalog'!$C$11*'Assumptions and Catalog'!$C$12)*C472,0)</f>
        <v>0</v>
      </c>
      <c r="J472" s="5">
        <f t="shared" si="33"/>
        <v>0</v>
      </c>
      <c r="K472" s="5">
        <f t="shared" si="34"/>
        <v>0</v>
      </c>
      <c r="L472" s="5">
        <f>(D472+E472)*C472-G472-I472+H472+IF(D$52&gt;0,'Assumptions and Catalog'!$C$26*C472,0)</f>
        <v>2340.3000000000002</v>
      </c>
      <c r="M472" s="5">
        <f>IF(ISNUMBER(Inputs!$L$5),(IF(Inputs!$L$9="Actual flat rate",((D472+E472)*C472)*Inputs!$L$10,IF(Inputs!$C$9="Residential",IF(((D472+E472)*C472)&lt;='Assumptions and Catalog'!$C$50,((D472+E472)*C472)*'Assumptions and Catalog'!$H$50+'Assumptions and Catalog'!$E$50+'Assumptions and Catalog'!$F$50,IF(((D472+E472)*C472)&lt;='Assumptions and Catalog'!$C$51,((D472+E472)*C472)*'Assumptions and Catalog'!$H$51+'Assumptions and Catalog'!$E$51+'Assumptions and Catalog'!$F$51,IF(((D472+E472)*C472)&lt;='Assumptions and Catalog'!$C$52,((D472+E472)*C472)*'Assumptions and Catalog'!$H$52+'Assumptions and Catalog'!$E$52+'Assumptions and Catalog'!$F$52,IF(((D472+E472)*C472)&lt;='Assumptions and Catalog'!$C$53,((D472+E472)*C472)*'Assumptions and Catalog'!$H$53+'Assumptions and Catalog'!$E$53+'Assumptions and Catalog'!$F$53,IF(((D472+E472)*C472)&lt;='Assumptions and Catalog'!$C$54,((D472+E472)*C472)*'Assumptions and Catalog'!$H$54+'Assumptions and Catalog'!$E$54+'Assumptions and Catalog'!$F$54,IF(((D472+E472)*C472)&lt;='Assumptions and Catalog'!$C$55,((D472+E472)*C472)*'Assumptions and Catalog'!$H$55+'Assumptions and Catalog'!$E$55+'Assumptions and Catalog'!$F$55,IF(((D472+E472)*C472)&lt;='Assumptions and Catalog'!$C$56,((D472+E472)*C472)*'Assumptions and Catalog'!$H$56+'Assumptions and Catalog'!$E$56+'Assumptions and Catalog'!$F$56,IF(((D472+E472)*C472)&lt;='Assumptions and Catalog'!$C$57,((D472+E472)*C472)*'Assumptions and Catalog'!$H$57+'Assumptions and Catalog'!$E$57+'Assumptions and Catalog'!$F$57,"Out of range")))))))),IF(((D472+E472)*C472)&lt;='Assumptions and Catalog'!$C$60,((D472+E472)*C472)*'Assumptions and Catalog'!$H$60+'Assumptions and Catalog'!$E$60+'Assumptions and Catalog'!$F$60,IF(((D472+E472)*C472)&lt;='Assumptions and Catalog'!$C$61,((D472+E472)*C472)*'Assumptions and Catalog'!$H$61+'Assumptions and Catalog'!$E$61+'Assumptions and Catalog'!$F$61,IF(((D472+E472)*C472)&lt;='Assumptions and Catalog'!$C$62,((D472+E472)*C472)*'Assumptions and Catalog'!$H$62+'Assumptions and Catalog'!$E$62+'Assumptions and Catalog'!$F$62,IF(((D472+E472)*C472)&lt;='Assumptions and Catalog'!$C$63,((D472+E472)*C472)*'Assumptions and Catalog'!$H$63+'Assumptions and Catalog'!$E$63+'Assumptions and Catalog'!$F$63,IF(((D472+E472)*C472)&lt;='Assumptions and Catalog'!$C$64,((D472+E472)*C472)*'Assumptions and Catalog'!$H$64+'Assumptions and Catalog'!$E$64+'Assumptions and Catalog'!$F$64,IF(((D472+E472)*C472)&lt;='Assumptions and Catalog'!$C$65,((D472+E472)*C472)*'Assumptions and Catalog'!$H$65+'Assumptions and Catalog'!$E$65+'Assumptions and Catalog'!$F$65,"Out of range")))))))))*(1+'Assumptions and Catalog'!$C$8)^(A472-1),0)</f>
        <v>8003.0333333333338</v>
      </c>
      <c r="N472" s="5">
        <f>IF(ISNUMBER(Inputs!$L$5),(IF(Inputs!$L$9="Actual flat rate",L472*Inputs!$L$10,IF(Inputs!$C$9="Residential",IF(L472&lt;='Assumptions and Catalog'!$C$50,L472*'Assumptions and Catalog'!$H$50+'Assumptions and Catalog'!$E$50+'Assumptions and Catalog'!$F$50,IF(L472&lt;='Assumptions and Catalog'!$C$51,L472*'Assumptions and Catalog'!$H$51+'Assumptions and Catalog'!$E$51+'Assumptions and Catalog'!$F$51,IF(L472&lt;='Assumptions and Catalog'!$C$52,L472*'Assumptions and Catalog'!$H$52+'Assumptions and Catalog'!$E$52+'Assumptions and Catalog'!$F$52,IF(L472&lt;='Assumptions and Catalog'!$C$53,L472*'Assumptions and Catalog'!$H$53+'Assumptions and Catalog'!$E$53+'Assumptions and Catalog'!$F$53,IF(L472&lt;='Assumptions and Catalog'!$C$54,L472*'Assumptions and Catalog'!$H$54+'Assumptions and Catalog'!$E$54+'Assumptions and Catalog'!$F$54,IF(L472&lt;='Assumptions and Catalog'!$C$55,L472*'Assumptions and Catalog'!$H$55+'Assumptions and Catalog'!$E$55+'Assumptions and Catalog'!$F$55,IF(L472&lt;='Assumptions and Catalog'!$C$56,L472*'Assumptions and Catalog'!$H$56+'Assumptions and Catalog'!$E$56+'Assumptions and Catalog'!$F$56,IF(L472&lt;='Assumptions and Catalog'!$C$57,L472*'Assumptions and Catalog'!$H$57+'Assumptions and Catalog'!$E$57+'Assumptions and Catalog'!$F$57,"Out of range")))))))),IF(L472&lt;='Assumptions and Catalog'!$C$60,L472*'Assumptions and Catalog'!$H$60+'Assumptions and Catalog'!$E$60+'Assumptions and Catalog'!$F$60,IF(L472&lt;='Assumptions and Catalog'!$C$61,L472*'Assumptions and Catalog'!$H$61+'Assumptions and Catalog'!$E$61+'Assumptions and Catalog'!$F$61,IF(L472&lt;='Assumptions and Catalog'!$C$62,L472*'Assumptions and Catalog'!$H$62+'Assumptions and Catalog'!$E$62+'Assumptions and Catalog'!$F$62,IF(L472&lt;='Assumptions and Catalog'!$C$63,L472*'Assumptions and Catalog'!$H$63+'Assumptions and Catalog'!$E$63+'Assumptions and Catalog'!$F$63,IF(L472&lt;='Assumptions and Catalog'!$C$64,L472*'Assumptions and Catalog'!$H$64+'Assumptions and Catalog'!$E$64+'Assumptions and Catalog'!$F$64,IF(L472&lt;='Assumptions and Catalog'!$C$65,L472*'Assumptions and Catalog'!$H$65+'Assumptions and Catalog'!$E$65+'Assumptions and Catalog'!$F$65,"Out of range")))))))))*(1+'Assumptions and Catalog'!$C$8)^(A472-1),0)</f>
        <v>8003.0333333333338</v>
      </c>
      <c r="O472" s="5">
        <f t="shared" si="35"/>
        <v>0</v>
      </c>
      <c r="P472" s="5">
        <f>D$55*(1-K$14)*(1-'Assumptions and Catalog'!$C$23)^R472</f>
        <v>0</v>
      </c>
      <c r="Q472" s="5">
        <f>IF(ISNUMBER(Inputs!$L$5),(IF(Inputs!$L$9="Actual flat rate",((D472+E472)*C472-G472)*Inputs!$L$10,IF(Inputs!$C$9="Residential",IF(((D472+E472)*C472-G472)&lt;='Assumptions and Catalog'!$C$50,((D472+E472)*C472-G472)*'Assumptions and Catalog'!$H$50+'Assumptions and Catalog'!$E$50+'Assumptions and Catalog'!$F$50,IF(((D472+E472)*C472-G472)&lt;='Assumptions and Catalog'!$C$51,((D472+E472)*C472-G472)*'Assumptions and Catalog'!$H$51+'Assumptions and Catalog'!$E$51+'Assumptions and Catalog'!$F$51,IF(((D472+E472)*C472-G472)&lt;='Assumptions and Catalog'!$C$52,((D472+E472)*C472-G472)*'Assumptions and Catalog'!$H$52+'Assumptions and Catalog'!$E$52+'Assumptions and Catalog'!$F$52,IF(((D472+E472)*C472-G472)&lt;='Assumptions and Catalog'!$C$53,((D472+E472)*C472-G472)*'Assumptions and Catalog'!$H$53+'Assumptions and Catalog'!$E$53+'Assumptions and Catalog'!$F$53,IF(((D472+E472)*C472-G472)&lt;='Assumptions and Catalog'!$C$54,((D472+E472)*C472-G472)*'Assumptions and Catalog'!$H$54+'Assumptions and Catalog'!$E$54+'Assumptions and Catalog'!$F$54,IF(((D472+E472)*C472-G472)&lt;='Assumptions and Catalog'!$C$55,((D472+E472)*C472-G472)*'Assumptions and Catalog'!$H$55+'Assumptions and Catalog'!$E$55+'Assumptions and Catalog'!$F$55,IF(((D472+E472)*C472-G472)&lt;='Assumptions and Catalog'!$C$56,((D472+E472)*C472-G472)*'Assumptions and Catalog'!$H$56+'Assumptions and Catalog'!$E$56+'Assumptions and Catalog'!$F$56,IF(((D472+E472)*C472-G472)&lt;='Assumptions and Catalog'!$C$57,((D472+E472)*C472-G472)*'Assumptions and Catalog'!$H$57+'Assumptions and Catalog'!$E$57+'Assumptions and Catalog'!$F$57,"Out of range")))))))),IF(((D472+E472)*C472-G472)&lt;='Assumptions and Catalog'!$C$60,((D472+E472)*C472-G472)*'Assumptions and Catalog'!$H$60+'Assumptions and Catalog'!$E$60+'Assumptions and Catalog'!$F$60,IF(((D472+E472)*C472-G472)&lt;='Assumptions and Catalog'!$C$61,((D472+E472)*C472-G472)*'Assumptions and Catalog'!$H$61+'Assumptions and Catalog'!$E$61+'Assumptions and Catalog'!$F$61,IF(((D472+E472)*C472-G472)&lt;='Assumptions and Catalog'!$C$62,((D472+E472)*C472-G472)*'Assumptions and Catalog'!$H$62+'Assumptions and Catalog'!$E$62+'Assumptions and Catalog'!$F$62,IF(((D472+E472)*C472-G472)&lt;='Assumptions and Catalog'!$C$63,((D472+E472)*C472-G472)*'Assumptions and Catalog'!$H$63+'Assumptions and Catalog'!$E$63+'Assumptions and Catalog'!$F$63,IF(((D472+E472)*C472-G472)&lt;='Assumptions and Catalog'!$C$64,((D472+E472)*C472-G472)*'Assumptions and Catalog'!$H$64+'Assumptions and Catalog'!$E$64+'Assumptions and Catalog'!$F$64,IF(((D472+E472)*C472-G472)&lt;='Assumptions and Catalog'!$C$65,((D472+E472)*C472-G472)*'Assumptions and Catalog'!$H$65+'Assumptions and Catalog'!$E$65+'Assumptions and Catalog'!$F$65,"Out of range")))))))))*(1+'Assumptions and Catalog'!$C$8)^(A472-1),0)</f>
        <v>8003.0333333333338</v>
      </c>
      <c r="R472" s="5">
        <f>IF(AND('Assumptions and Catalog'!$C$19&gt;0,A472&gt;='Assumptions and Catalog'!$C$19),A472-'Assumptions and Catalog'!$C$19,A472-1)</f>
        <v>5</v>
      </c>
      <c r="S472" s="5">
        <f>F472+L472-(D472+E472)*C472-J472-K472-IF(D$52&gt;0,'Assumptions and Catalog'!$C$26*C472,0)</f>
        <v>0</v>
      </c>
      <c r="T472" s="5"/>
      <c r="U472" s="5"/>
    </row>
    <row r="473" spans="1:21" ht="23.1" customHeight="1" outlineLevel="1" x14ac:dyDescent="0.2">
      <c r="A473" s="5">
        <v>6</v>
      </c>
      <c r="B473" s="5">
        <v>3</v>
      </c>
      <c r="C473" s="5">
        <f>DAY(DATE('Assumptions and Catalog'!$C$24+A473-1,B473+1,0))</f>
        <v>31</v>
      </c>
      <c r="D473" s="5">
        <f>IF(ISNUMBER(Inputs!$L$5),Inputs!$L$5*Inputs!$L$6,0)</f>
        <v>40.35</v>
      </c>
      <c r="E473" s="5">
        <f>IF(ISNUMBER(Inputs!$L$5),Inputs!$L$5-D473,0)</f>
        <v>40.35</v>
      </c>
      <c r="F473" s="5">
        <f>D$51*'Assumptions and Catalog'!$C$31*C473*(1-'Assumptions and Catalog'!$C$10)^(A473-1)</f>
        <v>0</v>
      </c>
      <c r="G473" s="5">
        <f t="shared" si="32"/>
        <v>0</v>
      </c>
      <c r="H473" s="5">
        <f>I473/('Assumptions and Catalog'!$C$11*'Assumptions and Catalog'!$C$12)</f>
        <v>0</v>
      </c>
      <c r="I473" s="5">
        <f>IF(K$15="Grid cycle",MIN(K$16,D473+E473,P473*'Assumptions and Catalog'!$C$12,D$57*(24-'Assumptions and Catalog'!$C$15),D$56*'Assumptions and Catalog'!$C$15*'Assumptions and Catalog'!$C$11*'Assumptions and Catalog'!$C$12)*C473,0)</f>
        <v>0</v>
      </c>
      <c r="J473" s="5">
        <f t="shared" si="33"/>
        <v>0</v>
      </c>
      <c r="K473" s="5">
        <f t="shared" si="34"/>
        <v>0</v>
      </c>
      <c r="L473" s="5">
        <f>(D473+E473)*C473-G473-I473+H473+IF(D$52&gt;0,'Assumptions and Catalog'!$C$26*C473,0)</f>
        <v>2501.7000000000003</v>
      </c>
      <c r="M473" s="5">
        <f>IF(ISNUMBER(Inputs!$L$5),(IF(Inputs!$L$9="Actual flat rate",((D473+E473)*C473)*Inputs!$L$10,IF(Inputs!$C$9="Residential",IF(((D473+E473)*C473)&lt;='Assumptions and Catalog'!$C$50,((D473+E473)*C473)*'Assumptions and Catalog'!$H$50+'Assumptions and Catalog'!$E$50+'Assumptions and Catalog'!$F$50,IF(((D473+E473)*C473)&lt;='Assumptions and Catalog'!$C$51,((D473+E473)*C473)*'Assumptions and Catalog'!$H$51+'Assumptions and Catalog'!$E$51+'Assumptions and Catalog'!$F$51,IF(((D473+E473)*C473)&lt;='Assumptions and Catalog'!$C$52,((D473+E473)*C473)*'Assumptions and Catalog'!$H$52+'Assumptions and Catalog'!$E$52+'Assumptions and Catalog'!$F$52,IF(((D473+E473)*C473)&lt;='Assumptions and Catalog'!$C$53,((D473+E473)*C473)*'Assumptions and Catalog'!$H$53+'Assumptions and Catalog'!$E$53+'Assumptions and Catalog'!$F$53,IF(((D473+E473)*C473)&lt;='Assumptions and Catalog'!$C$54,((D473+E473)*C473)*'Assumptions and Catalog'!$H$54+'Assumptions and Catalog'!$E$54+'Assumptions and Catalog'!$F$54,IF(((D473+E473)*C473)&lt;='Assumptions and Catalog'!$C$55,((D473+E473)*C473)*'Assumptions and Catalog'!$H$55+'Assumptions and Catalog'!$E$55+'Assumptions and Catalog'!$F$55,IF(((D473+E473)*C473)&lt;='Assumptions and Catalog'!$C$56,((D473+E473)*C473)*'Assumptions and Catalog'!$H$56+'Assumptions and Catalog'!$E$56+'Assumptions and Catalog'!$F$56,IF(((D473+E473)*C473)&lt;='Assumptions and Catalog'!$C$57,((D473+E473)*C473)*'Assumptions and Catalog'!$H$57+'Assumptions and Catalog'!$E$57+'Assumptions and Catalog'!$F$57,"Out of range")))))))),IF(((D473+E473)*C473)&lt;='Assumptions and Catalog'!$C$60,((D473+E473)*C473)*'Assumptions and Catalog'!$H$60+'Assumptions and Catalog'!$E$60+'Assumptions and Catalog'!$F$60,IF(((D473+E473)*C473)&lt;='Assumptions and Catalog'!$C$61,((D473+E473)*C473)*'Assumptions and Catalog'!$H$61+'Assumptions and Catalog'!$E$61+'Assumptions and Catalog'!$F$61,IF(((D473+E473)*C473)&lt;='Assumptions and Catalog'!$C$62,((D473+E473)*C473)*'Assumptions and Catalog'!$H$62+'Assumptions and Catalog'!$E$62+'Assumptions and Catalog'!$F$62,IF(((D473+E473)*C473)&lt;='Assumptions and Catalog'!$C$63,((D473+E473)*C473)*'Assumptions and Catalog'!$H$63+'Assumptions and Catalog'!$E$63+'Assumptions and Catalog'!$F$63,IF(((D473+E473)*C473)&lt;='Assumptions and Catalog'!$C$64,((D473+E473)*C473)*'Assumptions and Catalog'!$H$64+'Assumptions and Catalog'!$E$64+'Assumptions and Catalog'!$F$64,IF(((D473+E473)*C473)&lt;='Assumptions and Catalog'!$C$65,((D473+E473)*C473)*'Assumptions and Catalog'!$H$65+'Assumptions and Catalog'!$E$65+'Assumptions and Catalog'!$F$65,"Out of range")))))))))*(1+'Assumptions and Catalog'!$C$8)^(A473-1),0)</f>
        <v>8554.9666666666672</v>
      </c>
      <c r="N473" s="5">
        <f>IF(ISNUMBER(Inputs!$L$5),(IF(Inputs!$L$9="Actual flat rate",L473*Inputs!$L$10,IF(Inputs!$C$9="Residential",IF(L473&lt;='Assumptions and Catalog'!$C$50,L473*'Assumptions and Catalog'!$H$50+'Assumptions and Catalog'!$E$50+'Assumptions and Catalog'!$F$50,IF(L473&lt;='Assumptions and Catalog'!$C$51,L473*'Assumptions and Catalog'!$H$51+'Assumptions and Catalog'!$E$51+'Assumptions and Catalog'!$F$51,IF(L473&lt;='Assumptions and Catalog'!$C$52,L473*'Assumptions and Catalog'!$H$52+'Assumptions and Catalog'!$E$52+'Assumptions and Catalog'!$F$52,IF(L473&lt;='Assumptions and Catalog'!$C$53,L473*'Assumptions and Catalog'!$H$53+'Assumptions and Catalog'!$E$53+'Assumptions and Catalog'!$F$53,IF(L473&lt;='Assumptions and Catalog'!$C$54,L473*'Assumptions and Catalog'!$H$54+'Assumptions and Catalog'!$E$54+'Assumptions and Catalog'!$F$54,IF(L473&lt;='Assumptions and Catalog'!$C$55,L473*'Assumptions and Catalog'!$H$55+'Assumptions and Catalog'!$E$55+'Assumptions and Catalog'!$F$55,IF(L473&lt;='Assumptions and Catalog'!$C$56,L473*'Assumptions and Catalog'!$H$56+'Assumptions and Catalog'!$E$56+'Assumptions and Catalog'!$F$56,IF(L473&lt;='Assumptions and Catalog'!$C$57,L473*'Assumptions and Catalog'!$H$57+'Assumptions and Catalog'!$E$57+'Assumptions and Catalog'!$F$57,"Out of range")))))))),IF(L473&lt;='Assumptions and Catalog'!$C$60,L473*'Assumptions and Catalog'!$H$60+'Assumptions and Catalog'!$E$60+'Assumptions and Catalog'!$F$60,IF(L473&lt;='Assumptions and Catalog'!$C$61,L473*'Assumptions and Catalog'!$H$61+'Assumptions and Catalog'!$E$61+'Assumptions and Catalog'!$F$61,IF(L473&lt;='Assumptions and Catalog'!$C$62,L473*'Assumptions and Catalog'!$H$62+'Assumptions and Catalog'!$E$62+'Assumptions and Catalog'!$F$62,IF(L473&lt;='Assumptions and Catalog'!$C$63,L473*'Assumptions and Catalog'!$H$63+'Assumptions and Catalog'!$E$63+'Assumptions and Catalog'!$F$63,IF(L473&lt;='Assumptions and Catalog'!$C$64,L473*'Assumptions and Catalog'!$H$64+'Assumptions and Catalog'!$E$64+'Assumptions and Catalog'!$F$64,IF(L473&lt;='Assumptions and Catalog'!$C$65,L473*'Assumptions and Catalog'!$H$65+'Assumptions and Catalog'!$E$65+'Assumptions and Catalog'!$F$65,"Out of range")))))))))*(1+'Assumptions and Catalog'!$C$8)^(A473-1),0)</f>
        <v>8554.9666666666672</v>
      </c>
      <c r="O473" s="5">
        <f t="shared" si="35"/>
        <v>0</v>
      </c>
      <c r="P473" s="5">
        <f>D$55*(1-K$14)*(1-'Assumptions and Catalog'!$C$23)^R473</f>
        <v>0</v>
      </c>
      <c r="Q473" s="5">
        <f>IF(ISNUMBER(Inputs!$L$5),(IF(Inputs!$L$9="Actual flat rate",((D473+E473)*C473-G473)*Inputs!$L$10,IF(Inputs!$C$9="Residential",IF(((D473+E473)*C473-G473)&lt;='Assumptions and Catalog'!$C$50,((D473+E473)*C473-G473)*'Assumptions and Catalog'!$H$50+'Assumptions and Catalog'!$E$50+'Assumptions and Catalog'!$F$50,IF(((D473+E473)*C473-G473)&lt;='Assumptions and Catalog'!$C$51,((D473+E473)*C473-G473)*'Assumptions and Catalog'!$H$51+'Assumptions and Catalog'!$E$51+'Assumptions and Catalog'!$F$51,IF(((D473+E473)*C473-G473)&lt;='Assumptions and Catalog'!$C$52,((D473+E473)*C473-G473)*'Assumptions and Catalog'!$H$52+'Assumptions and Catalog'!$E$52+'Assumptions and Catalog'!$F$52,IF(((D473+E473)*C473-G473)&lt;='Assumptions and Catalog'!$C$53,((D473+E473)*C473-G473)*'Assumptions and Catalog'!$H$53+'Assumptions and Catalog'!$E$53+'Assumptions and Catalog'!$F$53,IF(((D473+E473)*C473-G473)&lt;='Assumptions and Catalog'!$C$54,((D473+E473)*C473-G473)*'Assumptions and Catalog'!$H$54+'Assumptions and Catalog'!$E$54+'Assumptions and Catalog'!$F$54,IF(((D473+E473)*C473-G473)&lt;='Assumptions and Catalog'!$C$55,((D473+E473)*C473-G473)*'Assumptions and Catalog'!$H$55+'Assumptions and Catalog'!$E$55+'Assumptions and Catalog'!$F$55,IF(((D473+E473)*C473-G473)&lt;='Assumptions and Catalog'!$C$56,((D473+E473)*C473-G473)*'Assumptions and Catalog'!$H$56+'Assumptions and Catalog'!$E$56+'Assumptions and Catalog'!$F$56,IF(((D473+E473)*C473-G473)&lt;='Assumptions and Catalog'!$C$57,((D473+E473)*C473-G473)*'Assumptions and Catalog'!$H$57+'Assumptions and Catalog'!$E$57+'Assumptions and Catalog'!$F$57,"Out of range")))))))),IF(((D473+E473)*C473-G473)&lt;='Assumptions and Catalog'!$C$60,((D473+E473)*C473-G473)*'Assumptions and Catalog'!$H$60+'Assumptions and Catalog'!$E$60+'Assumptions and Catalog'!$F$60,IF(((D473+E473)*C473-G473)&lt;='Assumptions and Catalog'!$C$61,((D473+E473)*C473-G473)*'Assumptions and Catalog'!$H$61+'Assumptions and Catalog'!$E$61+'Assumptions and Catalog'!$F$61,IF(((D473+E473)*C473-G473)&lt;='Assumptions and Catalog'!$C$62,((D473+E473)*C473-G473)*'Assumptions and Catalog'!$H$62+'Assumptions and Catalog'!$E$62+'Assumptions and Catalog'!$F$62,IF(((D473+E473)*C473-G473)&lt;='Assumptions and Catalog'!$C$63,((D473+E473)*C473-G473)*'Assumptions and Catalog'!$H$63+'Assumptions and Catalog'!$E$63+'Assumptions and Catalog'!$F$63,IF(((D473+E473)*C473-G473)&lt;='Assumptions and Catalog'!$C$64,((D473+E473)*C473-G473)*'Assumptions and Catalog'!$H$64+'Assumptions and Catalog'!$E$64+'Assumptions and Catalog'!$F$64,IF(((D473+E473)*C473-G473)&lt;='Assumptions and Catalog'!$C$65,((D473+E473)*C473-G473)*'Assumptions and Catalog'!$H$65+'Assumptions and Catalog'!$E$65+'Assumptions and Catalog'!$F$65,"Out of range")))))))))*(1+'Assumptions and Catalog'!$C$8)^(A473-1),0)</f>
        <v>8554.9666666666672</v>
      </c>
      <c r="R473" s="5">
        <f>IF(AND('Assumptions and Catalog'!$C$19&gt;0,A473&gt;='Assumptions and Catalog'!$C$19),A473-'Assumptions and Catalog'!$C$19,A473-1)</f>
        <v>5</v>
      </c>
      <c r="S473" s="5">
        <f>F473+L473-(D473+E473)*C473-J473-K473-IF(D$52&gt;0,'Assumptions and Catalog'!$C$26*C473,0)</f>
        <v>0</v>
      </c>
      <c r="T473" s="5"/>
      <c r="U473" s="5"/>
    </row>
    <row r="474" spans="1:21" ht="23.1" customHeight="1" outlineLevel="1" x14ac:dyDescent="0.2">
      <c r="A474" s="5">
        <v>6</v>
      </c>
      <c r="B474" s="5">
        <v>4</v>
      </c>
      <c r="C474" s="5">
        <f>DAY(DATE('Assumptions and Catalog'!$C$24+A474-1,B474+1,0))</f>
        <v>30</v>
      </c>
      <c r="D474" s="5">
        <f>IF(ISNUMBER(Inputs!$L$5),Inputs!$L$5*Inputs!$L$6,0)</f>
        <v>40.35</v>
      </c>
      <c r="E474" s="5">
        <f>IF(ISNUMBER(Inputs!$L$5),Inputs!$L$5-D474,0)</f>
        <v>40.35</v>
      </c>
      <c r="F474" s="5">
        <f>D$51*'Assumptions and Catalog'!$C$31*C474*(1-'Assumptions and Catalog'!$C$10)^(A474-1)</f>
        <v>0</v>
      </c>
      <c r="G474" s="5">
        <f t="shared" si="32"/>
        <v>0</v>
      </c>
      <c r="H474" s="5">
        <f>I474/('Assumptions and Catalog'!$C$11*'Assumptions and Catalog'!$C$12)</f>
        <v>0</v>
      </c>
      <c r="I474" s="5">
        <f>IF(K$15="Grid cycle",MIN(K$16,D474+E474,P474*'Assumptions and Catalog'!$C$12,D$57*(24-'Assumptions and Catalog'!$C$15),D$56*'Assumptions and Catalog'!$C$15*'Assumptions and Catalog'!$C$11*'Assumptions and Catalog'!$C$12)*C474,0)</f>
        <v>0</v>
      </c>
      <c r="J474" s="5">
        <f t="shared" si="33"/>
        <v>0</v>
      </c>
      <c r="K474" s="5">
        <f t="shared" si="34"/>
        <v>0</v>
      </c>
      <c r="L474" s="5">
        <f>(D474+E474)*C474-G474-I474+H474+IF(D$52&gt;0,'Assumptions and Catalog'!$C$26*C474,0)</f>
        <v>2421</v>
      </c>
      <c r="M474" s="5">
        <f>IF(ISNUMBER(Inputs!$L$5),(IF(Inputs!$L$9="Actual flat rate",((D474+E474)*C474)*Inputs!$L$10,IF(Inputs!$C$9="Residential",IF(((D474+E474)*C474)&lt;='Assumptions and Catalog'!$C$50,((D474+E474)*C474)*'Assumptions and Catalog'!$H$50+'Assumptions and Catalog'!$E$50+'Assumptions and Catalog'!$F$50,IF(((D474+E474)*C474)&lt;='Assumptions and Catalog'!$C$51,((D474+E474)*C474)*'Assumptions and Catalog'!$H$51+'Assumptions and Catalog'!$E$51+'Assumptions and Catalog'!$F$51,IF(((D474+E474)*C474)&lt;='Assumptions and Catalog'!$C$52,((D474+E474)*C474)*'Assumptions and Catalog'!$H$52+'Assumptions and Catalog'!$E$52+'Assumptions and Catalog'!$F$52,IF(((D474+E474)*C474)&lt;='Assumptions and Catalog'!$C$53,((D474+E474)*C474)*'Assumptions and Catalog'!$H$53+'Assumptions and Catalog'!$E$53+'Assumptions and Catalog'!$F$53,IF(((D474+E474)*C474)&lt;='Assumptions and Catalog'!$C$54,((D474+E474)*C474)*'Assumptions and Catalog'!$H$54+'Assumptions and Catalog'!$E$54+'Assumptions and Catalog'!$F$54,IF(((D474+E474)*C474)&lt;='Assumptions and Catalog'!$C$55,((D474+E474)*C474)*'Assumptions and Catalog'!$H$55+'Assumptions and Catalog'!$E$55+'Assumptions and Catalog'!$F$55,IF(((D474+E474)*C474)&lt;='Assumptions and Catalog'!$C$56,((D474+E474)*C474)*'Assumptions and Catalog'!$H$56+'Assumptions and Catalog'!$E$56+'Assumptions and Catalog'!$F$56,IF(((D474+E474)*C474)&lt;='Assumptions and Catalog'!$C$57,((D474+E474)*C474)*'Assumptions and Catalog'!$H$57+'Assumptions and Catalog'!$E$57+'Assumptions and Catalog'!$F$57,"Out of range")))))))),IF(((D474+E474)*C474)&lt;='Assumptions and Catalog'!$C$60,((D474+E474)*C474)*'Assumptions and Catalog'!$H$60+'Assumptions and Catalog'!$E$60+'Assumptions and Catalog'!$F$60,IF(((D474+E474)*C474)&lt;='Assumptions and Catalog'!$C$61,((D474+E474)*C474)*'Assumptions and Catalog'!$H$61+'Assumptions and Catalog'!$E$61+'Assumptions and Catalog'!$F$61,IF(((D474+E474)*C474)&lt;='Assumptions and Catalog'!$C$62,((D474+E474)*C474)*'Assumptions and Catalog'!$H$62+'Assumptions and Catalog'!$E$62+'Assumptions and Catalog'!$F$62,IF(((D474+E474)*C474)&lt;='Assumptions and Catalog'!$C$63,((D474+E474)*C474)*'Assumptions and Catalog'!$H$63+'Assumptions and Catalog'!$E$63+'Assumptions and Catalog'!$F$63,IF(((D474+E474)*C474)&lt;='Assumptions and Catalog'!$C$64,((D474+E474)*C474)*'Assumptions and Catalog'!$H$64+'Assumptions and Catalog'!$E$64+'Assumptions and Catalog'!$F$64,IF(((D474+E474)*C474)&lt;='Assumptions and Catalog'!$C$65,((D474+E474)*C474)*'Assumptions and Catalog'!$H$65+'Assumptions and Catalog'!$E$65+'Assumptions and Catalog'!$F$65,"Out of range")))))))))*(1+'Assumptions and Catalog'!$C$8)^(A474-1),0)</f>
        <v>8279</v>
      </c>
      <c r="N474" s="5">
        <f>IF(ISNUMBER(Inputs!$L$5),(IF(Inputs!$L$9="Actual flat rate",L474*Inputs!$L$10,IF(Inputs!$C$9="Residential",IF(L474&lt;='Assumptions and Catalog'!$C$50,L474*'Assumptions and Catalog'!$H$50+'Assumptions and Catalog'!$E$50+'Assumptions and Catalog'!$F$50,IF(L474&lt;='Assumptions and Catalog'!$C$51,L474*'Assumptions and Catalog'!$H$51+'Assumptions and Catalog'!$E$51+'Assumptions and Catalog'!$F$51,IF(L474&lt;='Assumptions and Catalog'!$C$52,L474*'Assumptions and Catalog'!$H$52+'Assumptions and Catalog'!$E$52+'Assumptions and Catalog'!$F$52,IF(L474&lt;='Assumptions and Catalog'!$C$53,L474*'Assumptions and Catalog'!$H$53+'Assumptions and Catalog'!$E$53+'Assumptions and Catalog'!$F$53,IF(L474&lt;='Assumptions and Catalog'!$C$54,L474*'Assumptions and Catalog'!$H$54+'Assumptions and Catalog'!$E$54+'Assumptions and Catalog'!$F$54,IF(L474&lt;='Assumptions and Catalog'!$C$55,L474*'Assumptions and Catalog'!$H$55+'Assumptions and Catalog'!$E$55+'Assumptions and Catalog'!$F$55,IF(L474&lt;='Assumptions and Catalog'!$C$56,L474*'Assumptions and Catalog'!$H$56+'Assumptions and Catalog'!$E$56+'Assumptions and Catalog'!$F$56,IF(L474&lt;='Assumptions and Catalog'!$C$57,L474*'Assumptions and Catalog'!$H$57+'Assumptions and Catalog'!$E$57+'Assumptions and Catalog'!$F$57,"Out of range")))))))),IF(L474&lt;='Assumptions and Catalog'!$C$60,L474*'Assumptions and Catalog'!$H$60+'Assumptions and Catalog'!$E$60+'Assumptions and Catalog'!$F$60,IF(L474&lt;='Assumptions and Catalog'!$C$61,L474*'Assumptions and Catalog'!$H$61+'Assumptions and Catalog'!$E$61+'Assumptions and Catalog'!$F$61,IF(L474&lt;='Assumptions and Catalog'!$C$62,L474*'Assumptions and Catalog'!$H$62+'Assumptions and Catalog'!$E$62+'Assumptions and Catalog'!$F$62,IF(L474&lt;='Assumptions and Catalog'!$C$63,L474*'Assumptions and Catalog'!$H$63+'Assumptions and Catalog'!$E$63+'Assumptions and Catalog'!$F$63,IF(L474&lt;='Assumptions and Catalog'!$C$64,L474*'Assumptions and Catalog'!$H$64+'Assumptions and Catalog'!$E$64+'Assumptions and Catalog'!$F$64,IF(L474&lt;='Assumptions and Catalog'!$C$65,L474*'Assumptions and Catalog'!$H$65+'Assumptions and Catalog'!$E$65+'Assumptions and Catalog'!$F$65,"Out of range")))))))))*(1+'Assumptions and Catalog'!$C$8)^(A474-1),0)</f>
        <v>8279</v>
      </c>
      <c r="O474" s="5">
        <f t="shared" si="35"/>
        <v>0</v>
      </c>
      <c r="P474" s="5">
        <f>D$55*(1-K$14)*(1-'Assumptions and Catalog'!$C$23)^R474</f>
        <v>0</v>
      </c>
      <c r="Q474" s="5">
        <f>IF(ISNUMBER(Inputs!$L$5),(IF(Inputs!$L$9="Actual flat rate",((D474+E474)*C474-G474)*Inputs!$L$10,IF(Inputs!$C$9="Residential",IF(((D474+E474)*C474-G474)&lt;='Assumptions and Catalog'!$C$50,((D474+E474)*C474-G474)*'Assumptions and Catalog'!$H$50+'Assumptions and Catalog'!$E$50+'Assumptions and Catalog'!$F$50,IF(((D474+E474)*C474-G474)&lt;='Assumptions and Catalog'!$C$51,((D474+E474)*C474-G474)*'Assumptions and Catalog'!$H$51+'Assumptions and Catalog'!$E$51+'Assumptions and Catalog'!$F$51,IF(((D474+E474)*C474-G474)&lt;='Assumptions and Catalog'!$C$52,((D474+E474)*C474-G474)*'Assumptions and Catalog'!$H$52+'Assumptions and Catalog'!$E$52+'Assumptions and Catalog'!$F$52,IF(((D474+E474)*C474-G474)&lt;='Assumptions and Catalog'!$C$53,((D474+E474)*C474-G474)*'Assumptions and Catalog'!$H$53+'Assumptions and Catalog'!$E$53+'Assumptions and Catalog'!$F$53,IF(((D474+E474)*C474-G474)&lt;='Assumptions and Catalog'!$C$54,((D474+E474)*C474-G474)*'Assumptions and Catalog'!$H$54+'Assumptions and Catalog'!$E$54+'Assumptions and Catalog'!$F$54,IF(((D474+E474)*C474-G474)&lt;='Assumptions and Catalog'!$C$55,((D474+E474)*C474-G474)*'Assumptions and Catalog'!$H$55+'Assumptions and Catalog'!$E$55+'Assumptions and Catalog'!$F$55,IF(((D474+E474)*C474-G474)&lt;='Assumptions and Catalog'!$C$56,((D474+E474)*C474-G474)*'Assumptions and Catalog'!$H$56+'Assumptions and Catalog'!$E$56+'Assumptions and Catalog'!$F$56,IF(((D474+E474)*C474-G474)&lt;='Assumptions and Catalog'!$C$57,((D474+E474)*C474-G474)*'Assumptions and Catalog'!$H$57+'Assumptions and Catalog'!$E$57+'Assumptions and Catalog'!$F$57,"Out of range")))))))),IF(((D474+E474)*C474-G474)&lt;='Assumptions and Catalog'!$C$60,((D474+E474)*C474-G474)*'Assumptions and Catalog'!$H$60+'Assumptions and Catalog'!$E$60+'Assumptions and Catalog'!$F$60,IF(((D474+E474)*C474-G474)&lt;='Assumptions and Catalog'!$C$61,((D474+E474)*C474-G474)*'Assumptions and Catalog'!$H$61+'Assumptions and Catalog'!$E$61+'Assumptions and Catalog'!$F$61,IF(((D474+E474)*C474-G474)&lt;='Assumptions and Catalog'!$C$62,((D474+E474)*C474-G474)*'Assumptions and Catalog'!$H$62+'Assumptions and Catalog'!$E$62+'Assumptions and Catalog'!$F$62,IF(((D474+E474)*C474-G474)&lt;='Assumptions and Catalog'!$C$63,((D474+E474)*C474-G474)*'Assumptions and Catalog'!$H$63+'Assumptions and Catalog'!$E$63+'Assumptions and Catalog'!$F$63,IF(((D474+E474)*C474-G474)&lt;='Assumptions and Catalog'!$C$64,((D474+E474)*C474-G474)*'Assumptions and Catalog'!$H$64+'Assumptions and Catalog'!$E$64+'Assumptions and Catalog'!$F$64,IF(((D474+E474)*C474-G474)&lt;='Assumptions and Catalog'!$C$65,((D474+E474)*C474-G474)*'Assumptions and Catalog'!$H$65+'Assumptions and Catalog'!$E$65+'Assumptions and Catalog'!$F$65,"Out of range")))))))))*(1+'Assumptions and Catalog'!$C$8)^(A474-1),0)</f>
        <v>8279</v>
      </c>
      <c r="R474" s="5">
        <f>IF(AND('Assumptions and Catalog'!$C$19&gt;0,A474&gt;='Assumptions and Catalog'!$C$19),A474-'Assumptions and Catalog'!$C$19,A474-1)</f>
        <v>5</v>
      </c>
      <c r="S474" s="5">
        <f>F474+L474-(D474+E474)*C474-J474-K474-IF(D$52&gt;0,'Assumptions and Catalog'!$C$26*C474,0)</f>
        <v>0</v>
      </c>
      <c r="T474" s="5"/>
      <c r="U474" s="5"/>
    </row>
    <row r="475" spans="1:21" ht="23.1" customHeight="1" outlineLevel="1" x14ac:dyDescent="0.2">
      <c r="A475" s="5">
        <v>6</v>
      </c>
      <c r="B475" s="5">
        <v>5</v>
      </c>
      <c r="C475" s="5">
        <f>DAY(DATE('Assumptions and Catalog'!$C$24+A475-1,B475+1,0))</f>
        <v>31</v>
      </c>
      <c r="D475" s="5">
        <f>IF(ISNUMBER(Inputs!$L$5),Inputs!$L$5*Inputs!$L$6,0)</f>
        <v>40.35</v>
      </c>
      <c r="E475" s="5">
        <f>IF(ISNUMBER(Inputs!$L$5),Inputs!$L$5-D475,0)</f>
        <v>40.35</v>
      </c>
      <c r="F475" s="5">
        <f>D$51*'Assumptions and Catalog'!$C$31*C475*(1-'Assumptions and Catalog'!$C$10)^(A475-1)</f>
        <v>0</v>
      </c>
      <c r="G475" s="5">
        <f t="shared" ref="G475:G538" si="36">MIN(F475,D475*C475)</f>
        <v>0</v>
      </c>
      <c r="H475" s="5">
        <f>I475/('Assumptions and Catalog'!$C$11*'Assumptions and Catalog'!$C$12)</f>
        <v>0</v>
      </c>
      <c r="I475" s="5">
        <f>IF(K$15="Grid cycle",MIN(K$16,D475+E475,P475*'Assumptions and Catalog'!$C$12,D$57*(24-'Assumptions and Catalog'!$C$15),D$56*'Assumptions and Catalog'!$C$15*'Assumptions and Catalog'!$C$11*'Assumptions and Catalog'!$C$12)*C475,0)</f>
        <v>0</v>
      </c>
      <c r="J475" s="5">
        <f t="shared" ref="J475:J538" si="37">MAX(F475-G475-0,0)</f>
        <v>0</v>
      </c>
      <c r="K475" s="5">
        <f t="shared" ref="K475:K538" si="38">H475-I475</f>
        <v>0</v>
      </c>
      <c r="L475" s="5">
        <f>(D475+E475)*C475-G475-I475+H475+IF(D$52&gt;0,'Assumptions and Catalog'!$C$26*C475,0)</f>
        <v>2501.7000000000003</v>
      </c>
      <c r="M475" s="5">
        <f>IF(ISNUMBER(Inputs!$L$5),(IF(Inputs!$L$9="Actual flat rate",((D475+E475)*C475)*Inputs!$L$10,IF(Inputs!$C$9="Residential",IF(((D475+E475)*C475)&lt;='Assumptions and Catalog'!$C$50,((D475+E475)*C475)*'Assumptions and Catalog'!$H$50+'Assumptions and Catalog'!$E$50+'Assumptions and Catalog'!$F$50,IF(((D475+E475)*C475)&lt;='Assumptions and Catalog'!$C$51,((D475+E475)*C475)*'Assumptions and Catalog'!$H$51+'Assumptions and Catalog'!$E$51+'Assumptions and Catalog'!$F$51,IF(((D475+E475)*C475)&lt;='Assumptions and Catalog'!$C$52,((D475+E475)*C475)*'Assumptions and Catalog'!$H$52+'Assumptions and Catalog'!$E$52+'Assumptions and Catalog'!$F$52,IF(((D475+E475)*C475)&lt;='Assumptions and Catalog'!$C$53,((D475+E475)*C475)*'Assumptions and Catalog'!$H$53+'Assumptions and Catalog'!$E$53+'Assumptions and Catalog'!$F$53,IF(((D475+E475)*C475)&lt;='Assumptions and Catalog'!$C$54,((D475+E475)*C475)*'Assumptions and Catalog'!$H$54+'Assumptions and Catalog'!$E$54+'Assumptions and Catalog'!$F$54,IF(((D475+E475)*C475)&lt;='Assumptions and Catalog'!$C$55,((D475+E475)*C475)*'Assumptions and Catalog'!$H$55+'Assumptions and Catalog'!$E$55+'Assumptions and Catalog'!$F$55,IF(((D475+E475)*C475)&lt;='Assumptions and Catalog'!$C$56,((D475+E475)*C475)*'Assumptions and Catalog'!$H$56+'Assumptions and Catalog'!$E$56+'Assumptions and Catalog'!$F$56,IF(((D475+E475)*C475)&lt;='Assumptions and Catalog'!$C$57,((D475+E475)*C475)*'Assumptions and Catalog'!$H$57+'Assumptions and Catalog'!$E$57+'Assumptions and Catalog'!$F$57,"Out of range")))))))),IF(((D475+E475)*C475)&lt;='Assumptions and Catalog'!$C$60,((D475+E475)*C475)*'Assumptions and Catalog'!$H$60+'Assumptions and Catalog'!$E$60+'Assumptions and Catalog'!$F$60,IF(((D475+E475)*C475)&lt;='Assumptions and Catalog'!$C$61,((D475+E475)*C475)*'Assumptions and Catalog'!$H$61+'Assumptions and Catalog'!$E$61+'Assumptions and Catalog'!$F$61,IF(((D475+E475)*C475)&lt;='Assumptions and Catalog'!$C$62,((D475+E475)*C475)*'Assumptions and Catalog'!$H$62+'Assumptions and Catalog'!$E$62+'Assumptions and Catalog'!$F$62,IF(((D475+E475)*C475)&lt;='Assumptions and Catalog'!$C$63,((D475+E475)*C475)*'Assumptions and Catalog'!$H$63+'Assumptions and Catalog'!$E$63+'Assumptions and Catalog'!$F$63,IF(((D475+E475)*C475)&lt;='Assumptions and Catalog'!$C$64,((D475+E475)*C475)*'Assumptions and Catalog'!$H$64+'Assumptions and Catalog'!$E$64+'Assumptions and Catalog'!$F$64,IF(((D475+E475)*C475)&lt;='Assumptions and Catalog'!$C$65,((D475+E475)*C475)*'Assumptions and Catalog'!$H$65+'Assumptions and Catalog'!$E$65+'Assumptions and Catalog'!$F$65,"Out of range")))))))))*(1+'Assumptions and Catalog'!$C$8)^(A475-1),0)</f>
        <v>8554.9666666666672</v>
      </c>
      <c r="N475" s="5">
        <f>IF(ISNUMBER(Inputs!$L$5),(IF(Inputs!$L$9="Actual flat rate",L475*Inputs!$L$10,IF(Inputs!$C$9="Residential",IF(L475&lt;='Assumptions and Catalog'!$C$50,L475*'Assumptions and Catalog'!$H$50+'Assumptions and Catalog'!$E$50+'Assumptions and Catalog'!$F$50,IF(L475&lt;='Assumptions and Catalog'!$C$51,L475*'Assumptions and Catalog'!$H$51+'Assumptions and Catalog'!$E$51+'Assumptions and Catalog'!$F$51,IF(L475&lt;='Assumptions and Catalog'!$C$52,L475*'Assumptions and Catalog'!$H$52+'Assumptions and Catalog'!$E$52+'Assumptions and Catalog'!$F$52,IF(L475&lt;='Assumptions and Catalog'!$C$53,L475*'Assumptions and Catalog'!$H$53+'Assumptions and Catalog'!$E$53+'Assumptions and Catalog'!$F$53,IF(L475&lt;='Assumptions and Catalog'!$C$54,L475*'Assumptions and Catalog'!$H$54+'Assumptions and Catalog'!$E$54+'Assumptions and Catalog'!$F$54,IF(L475&lt;='Assumptions and Catalog'!$C$55,L475*'Assumptions and Catalog'!$H$55+'Assumptions and Catalog'!$E$55+'Assumptions and Catalog'!$F$55,IF(L475&lt;='Assumptions and Catalog'!$C$56,L475*'Assumptions and Catalog'!$H$56+'Assumptions and Catalog'!$E$56+'Assumptions and Catalog'!$F$56,IF(L475&lt;='Assumptions and Catalog'!$C$57,L475*'Assumptions and Catalog'!$H$57+'Assumptions and Catalog'!$E$57+'Assumptions and Catalog'!$F$57,"Out of range")))))))),IF(L475&lt;='Assumptions and Catalog'!$C$60,L475*'Assumptions and Catalog'!$H$60+'Assumptions and Catalog'!$E$60+'Assumptions and Catalog'!$F$60,IF(L475&lt;='Assumptions and Catalog'!$C$61,L475*'Assumptions and Catalog'!$H$61+'Assumptions and Catalog'!$E$61+'Assumptions and Catalog'!$F$61,IF(L475&lt;='Assumptions and Catalog'!$C$62,L475*'Assumptions and Catalog'!$H$62+'Assumptions and Catalog'!$E$62+'Assumptions and Catalog'!$F$62,IF(L475&lt;='Assumptions and Catalog'!$C$63,L475*'Assumptions and Catalog'!$H$63+'Assumptions and Catalog'!$E$63+'Assumptions and Catalog'!$F$63,IF(L475&lt;='Assumptions and Catalog'!$C$64,L475*'Assumptions and Catalog'!$H$64+'Assumptions and Catalog'!$E$64+'Assumptions and Catalog'!$F$64,IF(L475&lt;='Assumptions and Catalog'!$C$65,L475*'Assumptions and Catalog'!$H$65+'Assumptions and Catalog'!$E$65+'Assumptions and Catalog'!$F$65,"Out of range")))))))))*(1+'Assumptions and Catalog'!$C$8)^(A475-1),0)</f>
        <v>8554.9666666666672</v>
      </c>
      <c r="O475" s="5">
        <f t="shared" ref="O475:O538" si="39">M475-N475</f>
        <v>0</v>
      </c>
      <c r="P475" s="5">
        <f>D$55*(1-K$14)*(1-'Assumptions and Catalog'!$C$23)^R475</f>
        <v>0</v>
      </c>
      <c r="Q475" s="5">
        <f>IF(ISNUMBER(Inputs!$L$5),(IF(Inputs!$L$9="Actual flat rate",((D475+E475)*C475-G475)*Inputs!$L$10,IF(Inputs!$C$9="Residential",IF(((D475+E475)*C475-G475)&lt;='Assumptions and Catalog'!$C$50,((D475+E475)*C475-G475)*'Assumptions and Catalog'!$H$50+'Assumptions and Catalog'!$E$50+'Assumptions and Catalog'!$F$50,IF(((D475+E475)*C475-G475)&lt;='Assumptions and Catalog'!$C$51,((D475+E475)*C475-G475)*'Assumptions and Catalog'!$H$51+'Assumptions and Catalog'!$E$51+'Assumptions and Catalog'!$F$51,IF(((D475+E475)*C475-G475)&lt;='Assumptions and Catalog'!$C$52,((D475+E475)*C475-G475)*'Assumptions and Catalog'!$H$52+'Assumptions and Catalog'!$E$52+'Assumptions and Catalog'!$F$52,IF(((D475+E475)*C475-G475)&lt;='Assumptions and Catalog'!$C$53,((D475+E475)*C475-G475)*'Assumptions and Catalog'!$H$53+'Assumptions and Catalog'!$E$53+'Assumptions and Catalog'!$F$53,IF(((D475+E475)*C475-G475)&lt;='Assumptions and Catalog'!$C$54,((D475+E475)*C475-G475)*'Assumptions and Catalog'!$H$54+'Assumptions and Catalog'!$E$54+'Assumptions and Catalog'!$F$54,IF(((D475+E475)*C475-G475)&lt;='Assumptions and Catalog'!$C$55,((D475+E475)*C475-G475)*'Assumptions and Catalog'!$H$55+'Assumptions and Catalog'!$E$55+'Assumptions and Catalog'!$F$55,IF(((D475+E475)*C475-G475)&lt;='Assumptions and Catalog'!$C$56,((D475+E475)*C475-G475)*'Assumptions and Catalog'!$H$56+'Assumptions and Catalog'!$E$56+'Assumptions and Catalog'!$F$56,IF(((D475+E475)*C475-G475)&lt;='Assumptions and Catalog'!$C$57,((D475+E475)*C475-G475)*'Assumptions and Catalog'!$H$57+'Assumptions and Catalog'!$E$57+'Assumptions and Catalog'!$F$57,"Out of range")))))))),IF(((D475+E475)*C475-G475)&lt;='Assumptions and Catalog'!$C$60,((D475+E475)*C475-G475)*'Assumptions and Catalog'!$H$60+'Assumptions and Catalog'!$E$60+'Assumptions and Catalog'!$F$60,IF(((D475+E475)*C475-G475)&lt;='Assumptions and Catalog'!$C$61,((D475+E475)*C475-G475)*'Assumptions and Catalog'!$H$61+'Assumptions and Catalog'!$E$61+'Assumptions and Catalog'!$F$61,IF(((D475+E475)*C475-G475)&lt;='Assumptions and Catalog'!$C$62,((D475+E475)*C475-G475)*'Assumptions and Catalog'!$H$62+'Assumptions and Catalog'!$E$62+'Assumptions and Catalog'!$F$62,IF(((D475+E475)*C475-G475)&lt;='Assumptions and Catalog'!$C$63,((D475+E475)*C475-G475)*'Assumptions and Catalog'!$H$63+'Assumptions and Catalog'!$E$63+'Assumptions and Catalog'!$F$63,IF(((D475+E475)*C475-G475)&lt;='Assumptions and Catalog'!$C$64,((D475+E475)*C475-G475)*'Assumptions and Catalog'!$H$64+'Assumptions and Catalog'!$E$64+'Assumptions and Catalog'!$F$64,IF(((D475+E475)*C475-G475)&lt;='Assumptions and Catalog'!$C$65,((D475+E475)*C475-G475)*'Assumptions and Catalog'!$H$65+'Assumptions and Catalog'!$E$65+'Assumptions and Catalog'!$F$65,"Out of range")))))))))*(1+'Assumptions and Catalog'!$C$8)^(A475-1),0)</f>
        <v>8554.9666666666672</v>
      </c>
      <c r="R475" s="5">
        <f>IF(AND('Assumptions and Catalog'!$C$19&gt;0,A475&gt;='Assumptions and Catalog'!$C$19),A475-'Assumptions and Catalog'!$C$19,A475-1)</f>
        <v>5</v>
      </c>
      <c r="S475" s="5">
        <f>F475+L475-(D475+E475)*C475-J475-K475-IF(D$52&gt;0,'Assumptions and Catalog'!$C$26*C475,0)</f>
        <v>0</v>
      </c>
      <c r="T475" s="5"/>
      <c r="U475" s="5"/>
    </row>
    <row r="476" spans="1:21" ht="23.1" customHeight="1" outlineLevel="1" x14ac:dyDescent="0.2">
      <c r="A476" s="5">
        <v>6</v>
      </c>
      <c r="B476" s="5">
        <v>6</v>
      </c>
      <c r="C476" s="5">
        <f>DAY(DATE('Assumptions and Catalog'!$C$24+A476-1,B476+1,0))</f>
        <v>30</v>
      </c>
      <c r="D476" s="5">
        <f>IF(ISNUMBER(Inputs!$L$5),Inputs!$L$5*Inputs!$L$6,0)</f>
        <v>40.35</v>
      </c>
      <c r="E476" s="5">
        <f>IF(ISNUMBER(Inputs!$L$5),Inputs!$L$5-D476,0)</f>
        <v>40.35</v>
      </c>
      <c r="F476" s="5">
        <f>D$51*'Assumptions and Catalog'!$C$31*C476*(1-'Assumptions and Catalog'!$C$10)^(A476-1)</f>
        <v>0</v>
      </c>
      <c r="G476" s="5">
        <f t="shared" si="36"/>
        <v>0</v>
      </c>
      <c r="H476" s="5">
        <f>I476/('Assumptions and Catalog'!$C$11*'Assumptions and Catalog'!$C$12)</f>
        <v>0</v>
      </c>
      <c r="I476" s="5">
        <f>IF(K$15="Grid cycle",MIN(K$16,D476+E476,P476*'Assumptions and Catalog'!$C$12,D$57*(24-'Assumptions and Catalog'!$C$15),D$56*'Assumptions and Catalog'!$C$15*'Assumptions and Catalog'!$C$11*'Assumptions and Catalog'!$C$12)*C476,0)</f>
        <v>0</v>
      </c>
      <c r="J476" s="5">
        <f t="shared" si="37"/>
        <v>0</v>
      </c>
      <c r="K476" s="5">
        <f t="shared" si="38"/>
        <v>0</v>
      </c>
      <c r="L476" s="5">
        <f>(D476+E476)*C476-G476-I476+H476+IF(D$52&gt;0,'Assumptions and Catalog'!$C$26*C476,0)</f>
        <v>2421</v>
      </c>
      <c r="M476" s="5">
        <f>IF(ISNUMBER(Inputs!$L$5),(IF(Inputs!$L$9="Actual flat rate",((D476+E476)*C476)*Inputs!$L$10,IF(Inputs!$C$9="Residential",IF(((D476+E476)*C476)&lt;='Assumptions and Catalog'!$C$50,((D476+E476)*C476)*'Assumptions and Catalog'!$H$50+'Assumptions and Catalog'!$E$50+'Assumptions and Catalog'!$F$50,IF(((D476+E476)*C476)&lt;='Assumptions and Catalog'!$C$51,((D476+E476)*C476)*'Assumptions and Catalog'!$H$51+'Assumptions and Catalog'!$E$51+'Assumptions and Catalog'!$F$51,IF(((D476+E476)*C476)&lt;='Assumptions and Catalog'!$C$52,((D476+E476)*C476)*'Assumptions and Catalog'!$H$52+'Assumptions and Catalog'!$E$52+'Assumptions and Catalog'!$F$52,IF(((D476+E476)*C476)&lt;='Assumptions and Catalog'!$C$53,((D476+E476)*C476)*'Assumptions and Catalog'!$H$53+'Assumptions and Catalog'!$E$53+'Assumptions and Catalog'!$F$53,IF(((D476+E476)*C476)&lt;='Assumptions and Catalog'!$C$54,((D476+E476)*C476)*'Assumptions and Catalog'!$H$54+'Assumptions and Catalog'!$E$54+'Assumptions and Catalog'!$F$54,IF(((D476+E476)*C476)&lt;='Assumptions and Catalog'!$C$55,((D476+E476)*C476)*'Assumptions and Catalog'!$H$55+'Assumptions and Catalog'!$E$55+'Assumptions and Catalog'!$F$55,IF(((D476+E476)*C476)&lt;='Assumptions and Catalog'!$C$56,((D476+E476)*C476)*'Assumptions and Catalog'!$H$56+'Assumptions and Catalog'!$E$56+'Assumptions and Catalog'!$F$56,IF(((D476+E476)*C476)&lt;='Assumptions and Catalog'!$C$57,((D476+E476)*C476)*'Assumptions and Catalog'!$H$57+'Assumptions and Catalog'!$E$57+'Assumptions and Catalog'!$F$57,"Out of range")))))))),IF(((D476+E476)*C476)&lt;='Assumptions and Catalog'!$C$60,((D476+E476)*C476)*'Assumptions and Catalog'!$H$60+'Assumptions and Catalog'!$E$60+'Assumptions and Catalog'!$F$60,IF(((D476+E476)*C476)&lt;='Assumptions and Catalog'!$C$61,((D476+E476)*C476)*'Assumptions and Catalog'!$H$61+'Assumptions and Catalog'!$E$61+'Assumptions and Catalog'!$F$61,IF(((D476+E476)*C476)&lt;='Assumptions and Catalog'!$C$62,((D476+E476)*C476)*'Assumptions and Catalog'!$H$62+'Assumptions and Catalog'!$E$62+'Assumptions and Catalog'!$F$62,IF(((D476+E476)*C476)&lt;='Assumptions and Catalog'!$C$63,((D476+E476)*C476)*'Assumptions and Catalog'!$H$63+'Assumptions and Catalog'!$E$63+'Assumptions and Catalog'!$F$63,IF(((D476+E476)*C476)&lt;='Assumptions and Catalog'!$C$64,((D476+E476)*C476)*'Assumptions and Catalog'!$H$64+'Assumptions and Catalog'!$E$64+'Assumptions and Catalog'!$F$64,IF(((D476+E476)*C476)&lt;='Assumptions and Catalog'!$C$65,((D476+E476)*C476)*'Assumptions and Catalog'!$H$65+'Assumptions and Catalog'!$E$65+'Assumptions and Catalog'!$F$65,"Out of range")))))))))*(1+'Assumptions and Catalog'!$C$8)^(A476-1),0)</f>
        <v>8279</v>
      </c>
      <c r="N476" s="5">
        <f>IF(ISNUMBER(Inputs!$L$5),(IF(Inputs!$L$9="Actual flat rate",L476*Inputs!$L$10,IF(Inputs!$C$9="Residential",IF(L476&lt;='Assumptions and Catalog'!$C$50,L476*'Assumptions and Catalog'!$H$50+'Assumptions and Catalog'!$E$50+'Assumptions and Catalog'!$F$50,IF(L476&lt;='Assumptions and Catalog'!$C$51,L476*'Assumptions and Catalog'!$H$51+'Assumptions and Catalog'!$E$51+'Assumptions and Catalog'!$F$51,IF(L476&lt;='Assumptions and Catalog'!$C$52,L476*'Assumptions and Catalog'!$H$52+'Assumptions and Catalog'!$E$52+'Assumptions and Catalog'!$F$52,IF(L476&lt;='Assumptions and Catalog'!$C$53,L476*'Assumptions and Catalog'!$H$53+'Assumptions and Catalog'!$E$53+'Assumptions and Catalog'!$F$53,IF(L476&lt;='Assumptions and Catalog'!$C$54,L476*'Assumptions and Catalog'!$H$54+'Assumptions and Catalog'!$E$54+'Assumptions and Catalog'!$F$54,IF(L476&lt;='Assumptions and Catalog'!$C$55,L476*'Assumptions and Catalog'!$H$55+'Assumptions and Catalog'!$E$55+'Assumptions and Catalog'!$F$55,IF(L476&lt;='Assumptions and Catalog'!$C$56,L476*'Assumptions and Catalog'!$H$56+'Assumptions and Catalog'!$E$56+'Assumptions and Catalog'!$F$56,IF(L476&lt;='Assumptions and Catalog'!$C$57,L476*'Assumptions and Catalog'!$H$57+'Assumptions and Catalog'!$E$57+'Assumptions and Catalog'!$F$57,"Out of range")))))))),IF(L476&lt;='Assumptions and Catalog'!$C$60,L476*'Assumptions and Catalog'!$H$60+'Assumptions and Catalog'!$E$60+'Assumptions and Catalog'!$F$60,IF(L476&lt;='Assumptions and Catalog'!$C$61,L476*'Assumptions and Catalog'!$H$61+'Assumptions and Catalog'!$E$61+'Assumptions and Catalog'!$F$61,IF(L476&lt;='Assumptions and Catalog'!$C$62,L476*'Assumptions and Catalog'!$H$62+'Assumptions and Catalog'!$E$62+'Assumptions and Catalog'!$F$62,IF(L476&lt;='Assumptions and Catalog'!$C$63,L476*'Assumptions and Catalog'!$H$63+'Assumptions and Catalog'!$E$63+'Assumptions and Catalog'!$F$63,IF(L476&lt;='Assumptions and Catalog'!$C$64,L476*'Assumptions and Catalog'!$H$64+'Assumptions and Catalog'!$E$64+'Assumptions and Catalog'!$F$64,IF(L476&lt;='Assumptions and Catalog'!$C$65,L476*'Assumptions and Catalog'!$H$65+'Assumptions and Catalog'!$E$65+'Assumptions and Catalog'!$F$65,"Out of range")))))))))*(1+'Assumptions and Catalog'!$C$8)^(A476-1),0)</f>
        <v>8279</v>
      </c>
      <c r="O476" s="5">
        <f t="shared" si="39"/>
        <v>0</v>
      </c>
      <c r="P476" s="5">
        <f>D$55*(1-K$14)*(1-'Assumptions and Catalog'!$C$23)^R476</f>
        <v>0</v>
      </c>
      <c r="Q476" s="5">
        <f>IF(ISNUMBER(Inputs!$L$5),(IF(Inputs!$L$9="Actual flat rate",((D476+E476)*C476-G476)*Inputs!$L$10,IF(Inputs!$C$9="Residential",IF(((D476+E476)*C476-G476)&lt;='Assumptions and Catalog'!$C$50,((D476+E476)*C476-G476)*'Assumptions and Catalog'!$H$50+'Assumptions and Catalog'!$E$50+'Assumptions and Catalog'!$F$50,IF(((D476+E476)*C476-G476)&lt;='Assumptions and Catalog'!$C$51,((D476+E476)*C476-G476)*'Assumptions and Catalog'!$H$51+'Assumptions and Catalog'!$E$51+'Assumptions and Catalog'!$F$51,IF(((D476+E476)*C476-G476)&lt;='Assumptions and Catalog'!$C$52,((D476+E476)*C476-G476)*'Assumptions and Catalog'!$H$52+'Assumptions and Catalog'!$E$52+'Assumptions and Catalog'!$F$52,IF(((D476+E476)*C476-G476)&lt;='Assumptions and Catalog'!$C$53,((D476+E476)*C476-G476)*'Assumptions and Catalog'!$H$53+'Assumptions and Catalog'!$E$53+'Assumptions and Catalog'!$F$53,IF(((D476+E476)*C476-G476)&lt;='Assumptions and Catalog'!$C$54,((D476+E476)*C476-G476)*'Assumptions and Catalog'!$H$54+'Assumptions and Catalog'!$E$54+'Assumptions and Catalog'!$F$54,IF(((D476+E476)*C476-G476)&lt;='Assumptions and Catalog'!$C$55,((D476+E476)*C476-G476)*'Assumptions and Catalog'!$H$55+'Assumptions and Catalog'!$E$55+'Assumptions and Catalog'!$F$55,IF(((D476+E476)*C476-G476)&lt;='Assumptions and Catalog'!$C$56,((D476+E476)*C476-G476)*'Assumptions and Catalog'!$H$56+'Assumptions and Catalog'!$E$56+'Assumptions and Catalog'!$F$56,IF(((D476+E476)*C476-G476)&lt;='Assumptions and Catalog'!$C$57,((D476+E476)*C476-G476)*'Assumptions and Catalog'!$H$57+'Assumptions and Catalog'!$E$57+'Assumptions and Catalog'!$F$57,"Out of range")))))))),IF(((D476+E476)*C476-G476)&lt;='Assumptions and Catalog'!$C$60,((D476+E476)*C476-G476)*'Assumptions and Catalog'!$H$60+'Assumptions and Catalog'!$E$60+'Assumptions and Catalog'!$F$60,IF(((D476+E476)*C476-G476)&lt;='Assumptions and Catalog'!$C$61,((D476+E476)*C476-G476)*'Assumptions and Catalog'!$H$61+'Assumptions and Catalog'!$E$61+'Assumptions and Catalog'!$F$61,IF(((D476+E476)*C476-G476)&lt;='Assumptions and Catalog'!$C$62,((D476+E476)*C476-G476)*'Assumptions and Catalog'!$H$62+'Assumptions and Catalog'!$E$62+'Assumptions and Catalog'!$F$62,IF(((D476+E476)*C476-G476)&lt;='Assumptions and Catalog'!$C$63,((D476+E476)*C476-G476)*'Assumptions and Catalog'!$H$63+'Assumptions and Catalog'!$E$63+'Assumptions and Catalog'!$F$63,IF(((D476+E476)*C476-G476)&lt;='Assumptions and Catalog'!$C$64,((D476+E476)*C476-G476)*'Assumptions and Catalog'!$H$64+'Assumptions and Catalog'!$E$64+'Assumptions and Catalog'!$F$64,IF(((D476+E476)*C476-G476)&lt;='Assumptions and Catalog'!$C$65,((D476+E476)*C476-G476)*'Assumptions and Catalog'!$H$65+'Assumptions and Catalog'!$E$65+'Assumptions and Catalog'!$F$65,"Out of range")))))))))*(1+'Assumptions and Catalog'!$C$8)^(A476-1),0)</f>
        <v>8279</v>
      </c>
      <c r="R476" s="5">
        <f>IF(AND('Assumptions and Catalog'!$C$19&gt;0,A476&gt;='Assumptions and Catalog'!$C$19),A476-'Assumptions and Catalog'!$C$19,A476-1)</f>
        <v>5</v>
      </c>
      <c r="S476" s="5">
        <f>F476+L476-(D476+E476)*C476-J476-K476-IF(D$52&gt;0,'Assumptions and Catalog'!$C$26*C476,0)</f>
        <v>0</v>
      </c>
      <c r="T476" s="5"/>
      <c r="U476" s="5"/>
    </row>
    <row r="477" spans="1:21" ht="23.1" customHeight="1" outlineLevel="1" x14ac:dyDescent="0.2">
      <c r="A477" s="5">
        <v>6</v>
      </c>
      <c r="B477" s="5">
        <v>7</v>
      </c>
      <c r="C477" s="5">
        <f>DAY(DATE('Assumptions and Catalog'!$C$24+A477-1,B477+1,0))</f>
        <v>31</v>
      </c>
      <c r="D477" s="5">
        <f>IF(ISNUMBER(Inputs!$L$5),Inputs!$L$5*Inputs!$L$6,0)</f>
        <v>40.35</v>
      </c>
      <c r="E477" s="5">
        <f>IF(ISNUMBER(Inputs!$L$5),Inputs!$L$5-D477,0)</f>
        <v>40.35</v>
      </c>
      <c r="F477" s="5">
        <f>D$51*'Assumptions and Catalog'!$C$31*C477*(1-'Assumptions and Catalog'!$C$10)^(A477-1)</f>
        <v>0</v>
      </c>
      <c r="G477" s="5">
        <f t="shared" si="36"/>
        <v>0</v>
      </c>
      <c r="H477" s="5">
        <f>I477/('Assumptions and Catalog'!$C$11*'Assumptions and Catalog'!$C$12)</f>
        <v>0</v>
      </c>
      <c r="I477" s="5">
        <f>IF(K$15="Grid cycle",MIN(K$16,D477+E477,P477*'Assumptions and Catalog'!$C$12,D$57*(24-'Assumptions and Catalog'!$C$15),D$56*'Assumptions and Catalog'!$C$15*'Assumptions and Catalog'!$C$11*'Assumptions and Catalog'!$C$12)*C477,0)</f>
        <v>0</v>
      </c>
      <c r="J477" s="5">
        <f t="shared" si="37"/>
        <v>0</v>
      </c>
      <c r="K477" s="5">
        <f t="shared" si="38"/>
        <v>0</v>
      </c>
      <c r="L477" s="5">
        <f>(D477+E477)*C477-G477-I477+H477+IF(D$52&gt;0,'Assumptions and Catalog'!$C$26*C477,0)</f>
        <v>2501.7000000000003</v>
      </c>
      <c r="M477" s="5">
        <f>IF(ISNUMBER(Inputs!$L$5),(IF(Inputs!$L$9="Actual flat rate",((D477+E477)*C477)*Inputs!$L$10,IF(Inputs!$C$9="Residential",IF(((D477+E477)*C477)&lt;='Assumptions and Catalog'!$C$50,((D477+E477)*C477)*'Assumptions and Catalog'!$H$50+'Assumptions and Catalog'!$E$50+'Assumptions and Catalog'!$F$50,IF(((D477+E477)*C477)&lt;='Assumptions and Catalog'!$C$51,((D477+E477)*C477)*'Assumptions and Catalog'!$H$51+'Assumptions and Catalog'!$E$51+'Assumptions and Catalog'!$F$51,IF(((D477+E477)*C477)&lt;='Assumptions and Catalog'!$C$52,((D477+E477)*C477)*'Assumptions and Catalog'!$H$52+'Assumptions and Catalog'!$E$52+'Assumptions and Catalog'!$F$52,IF(((D477+E477)*C477)&lt;='Assumptions and Catalog'!$C$53,((D477+E477)*C477)*'Assumptions and Catalog'!$H$53+'Assumptions and Catalog'!$E$53+'Assumptions and Catalog'!$F$53,IF(((D477+E477)*C477)&lt;='Assumptions and Catalog'!$C$54,((D477+E477)*C477)*'Assumptions and Catalog'!$H$54+'Assumptions and Catalog'!$E$54+'Assumptions and Catalog'!$F$54,IF(((D477+E477)*C477)&lt;='Assumptions and Catalog'!$C$55,((D477+E477)*C477)*'Assumptions and Catalog'!$H$55+'Assumptions and Catalog'!$E$55+'Assumptions and Catalog'!$F$55,IF(((D477+E477)*C477)&lt;='Assumptions and Catalog'!$C$56,((D477+E477)*C477)*'Assumptions and Catalog'!$H$56+'Assumptions and Catalog'!$E$56+'Assumptions and Catalog'!$F$56,IF(((D477+E477)*C477)&lt;='Assumptions and Catalog'!$C$57,((D477+E477)*C477)*'Assumptions and Catalog'!$H$57+'Assumptions and Catalog'!$E$57+'Assumptions and Catalog'!$F$57,"Out of range")))))))),IF(((D477+E477)*C477)&lt;='Assumptions and Catalog'!$C$60,((D477+E477)*C477)*'Assumptions and Catalog'!$H$60+'Assumptions and Catalog'!$E$60+'Assumptions and Catalog'!$F$60,IF(((D477+E477)*C477)&lt;='Assumptions and Catalog'!$C$61,((D477+E477)*C477)*'Assumptions and Catalog'!$H$61+'Assumptions and Catalog'!$E$61+'Assumptions and Catalog'!$F$61,IF(((D477+E477)*C477)&lt;='Assumptions and Catalog'!$C$62,((D477+E477)*C477)*'Assumptions and Catalog'!$H$62+'Assumptions and Catalog'!$E$62+'Assumptions and Catalog'!$F$62,IF(((D477+E477)*C477)&lt;='Assumptions and Catalog'!$C$63,((D477+E477)*C477)*'Assumptions and Catalog'!$H$63+'Assumptions and Catalog'!$E$63+'Assumptions and Catalog'!$F$63,IF(((D477+E477)*C477)&lt;='Assumptions and Catalog'!$C$64,((D477+E477)*C477)*'Assumptions and Catalog'!$H$64+'Assumptions and Catalog'!$E$64+'Assumptions and Catalog'!$F$64,IF(((D477+E477)*C477)&lt;='Assumptions and Catalog'!$C$65,((D477+E477)*C477)*'Assumptions and Catalog'!$H$65+'Assumptions and Catalog'!$E$65+'Assumptions and Catalog'!$F$65,"Out of range")))))))))*(1+'Assumptions and Catalog'!$C$8)^(A477-1),0)</f>
        <v>8554.9666666666672</v>
      </c>
      <c r="N477" s="5">
        <f>IF(ISNUMBER(Inputs!$L$5),(IF(Inputs!$L$9="Actual flat rate",L477*Inputs!$L$10,IF(Inputs!$C$9="Residential",IF(L477&lt;='Assumptions and Catalog'!$C$50,L477*'Assumptions and Catalog'!$H$50+'Assumptions and Catalog'!$E$50+'Assumptions and Catalog'!$F$50,IF(L477&lt;='Assumptions and Catalog'!$C$51,L477*'Assumptions and Catalog'!$H$51+'Assumptions and Catalog'!$E$51+'Assumptions and Catalog'!$F$51,IF(L477&lt;='Assumptions and Catalog'!$C$52,L477*'Assumptions and Catalog'!$H$52+'Assumptions and Catalog'!$E$52+'Assumptions and Catalog'!$F$52,IF(L477&lt;='Assumptions and Catalog'!$C$53,L477*'Assumptions and Catalog'!$H$53+'Assumptions and Catalog'!$E$53+'Assumptions and Catalog'!$F$53,IF(L477&lt;='Assumptions and Catalog'!$C$54,L477*'Assumptions and Catalog'!$H$54+'Assumptions and Catalog'!$E$54+'Assumptions and Catalog'!$F$54,IF(L477&lt;='Assumptions and Catalog'!$C$55,L477*'Assumptions and Catalog'!$H$55+'Assumptions and Catalog'!$E$55+'Assumptions and Catalog'!$F$55,IF(L477&lt;='Assumptions and Catalog'!$C$56,L477*'Assumptions and Catalog'!$H$56+'Assumptions and Catalog'!$E$56+'Assumptions and Catalog'!$F$56,IF(L477&lt;='Assumptions and Catalog'!$C$57,L477*'Assumptions and Catalog'!$H$57+'Assumptions and Catalog'!$E$57+'Assumptions and Catalog'!$F$57,"Out of range")))))))),IF(L477&lt;='Assumptions and Catalog'!$C$60,L477*'Assumptions and Catalog'!$H$60+'Assumptions and Catalog'!$E$60+'Assumptions and Catalog'!$F$60,IF(L477&lt;='Assumptions and Catalog'!$C$61,L477*'Assumptions and Catalog'!$H$61+'Assumptions and Catalog'!$E$61+'Assumptions and Catalog'!$F$61,IF(L477&lt;='Assumptions and Catalog'!$C$62,L477*'Assumptions and Catalog'!$H$62+'Assumptions and Catalog'!$E$62+'Assumptions and Catalog'!$F$62,IF(L477&lt;='Assumptions and Catalog'!$C$63,L477*'Assumptions and Catalog'!$H$63+'Assumptions and Catalog'!$E$63+'Assumptions and Catalog'!$F$63,IF(L477&lt;='Assumptions and Catalog'!$C$64,L477*'Assumptions and Catalog'!$H$64+'Assumptions and Catalog'!$E$64+'Assumptions and Catalog'!$F$64,IF(L477&lt;='Assumptions and Catalog'!$C$65,L477*'Assumptions and Catalog'!$H$65+'Assumptions and Catalog'!$E$65+'Assumptions and Catalog'!$F$65,"Out of range")))))))))*(1+'Assumptions and Catalog'!$C$8)^(A477-1),0)</f>
        <v>8554.9666666666672</v>
      </c>
      <c r="O477" s="5">
        <f t="shared" si="39"/>
        <v>0</v>
      </c>
      <c r="P477" s="5">
        <f>D$55*(1-K$14)*(1-'Assumptions and Catalog'!$C$23)^R477</f>
        <v>0</v>
      </c>
      <c r="Q477" s="5">
        <f>IF(ISNUMBER(Inputs!$L$5),(IF(Inputs!$L$9="Actual flat rate",((D477+E477)*C477-G477)*Inputs!$L$10,IF(Inputs!$C$9="Residential",IF(((D477+E477)*C477-G477)&lt;='Assumptions and Catalog'!$C$50,((D477+E477)*C477-G477)*'Assumptions and Catalog'!$H$50+'Assumptions and Catalog'!$E$50+'Assumptions and Catalog'!$F$50,IF(((D477+E477)*C477-G477)&lt;='Assumptions and Catalog'!$C$51,((D477+E477)*C477-G477)*'Assumptions and Catalog'!$H$51+'Assumptions and Catalog'!$E$51+'Assumptions and Catalog'!$F$51,IF(((D477+E477)*C477-G477)&lt;='Assumptions and Catalog'!$C$52,((D477+E477)*C477-G477)*'Assumptions and Catalog'!$H$52+'Assumptions and Catalog'!$E$52+'Assumptions and Catalog'!$F$52,IF(((D477+E477)*C477-G477)&lt;='Assumptions and Catalog'!$C$53,((D477+E477)*C477-G477)*'Assumptions and Catalog'!$H$53+'Assumptions and Catalog'!$E$53+'Assumptions and Catalog'!$F$53,IF(((D477+E477)*C477-G477)&lt;='Assumptions and Catalog'!$C$54,((D477+E477)*C477-G477)*'Assumptions and Catalog'!$H$54+'Assumptions and Catalog'!$E$54+'Assumptions and Catalog'!$F$54,IF(((D477+E477)*C477-G477)&lt;='Assumptions and Catalog'!$C$55,((D477+E477)*C477-G477)*'Assumptions and Catalog'!$H$55+'Assumptions and Catalog'!$E$55+'Assumptions and Catalog'!$F$55,IF(((D477+E477)*C477-G477)&lt;='Assumptions and Catalog'!$C$56,((D477+E477)*C477-G477)*'Assumptions and Catalog'!$H$56+'Assumptions and Catalog'!$E$56+'Assumptions and Catalog'!$F$56,IF(((D477+E477)*C477-G477)&lt;='Assumptions and Catalog'!$C$57,((D477+E477)*C477-G477)*'Assumptions and Catalog'!$H$57+'Assumptions and Catalog'!$E$57+'Assumptions and Catalog'!$F$57,"Out of range")))))))),IF(((D477+E477)*C477-G477)&lt;='Assumptions and Catalog'!$C$60,((D477+E477)*C477-G477)*'Assumptions and Catalog'!$H$60+'Assumptions and Catalog'!$E$60+'Assumptions and Catalog'!$F$60,IF(((D477+E477)*C477-G477)&lt;='Assumptions and Catalog'!$C$61,((D477+E477)*C477-G477)*'Assumptions and Catalog'!$H$61+'Assumptions and Catalog'!$E$61+'Assumptions and Catalog'!$F$61,IF(((D477+E477)*C477-G477)&lt;='Assumptions and Catalog'!$C$62,((D477+E477)*C477-G477)*'Assumptions and Catalog'!$H$62+'Assumptions and Catalog'!$E$62+'Assumptions and Catalog'!$F$62,IF(((D477+E477)*C477-G477)&lt;='Assumptions and Catalog'!$C$63,((D477+E477)*C477-G477)*'Assumptions and Catalog'!$H$63+'Assumptions and Catalog'!$E$63+'Assumptions and Catalog'!$F$63,IF(((D477+E477)*C477-G477)&lt;='Assumptions and Catalog'!$C$64,((D477+E477)*C477-G477)*'Assumptions and Catalog'!$H$64+'Assumptions and Catalog'!$E$64+'Assumptions and Catalog'!$F$64,IF(((D477+E477)*C477-G477)&lt;='Assumptions and Catalog'!$C$65,((D477+E477)*C477-G477)*'Assumptions and Catalog'!$H$65+'Assumptions and Catalog'!$E$65+'Assumptions and Catalog'!$F$65,"Out of range")))))))))*(1+'Assumptions and Catalog'!$C$8)^(A477-1),0)</f>
        <v>8554.9666666666672</v>
      </c>
      <c r="R477" s="5">
        <f>IF(AND('Assumptions and Catalog'!$C$19&gt;0,A477&gt;='Assumptions and Catalog'!$C$19),A477-'Assumptions and Catalog'!$C$19,A477-1)</f>
        <v>5</v>
      </c>
      <c r="S477" s="5">
        <f>F477+L477-(D477+E477)*C477-J477-K477-IF(D$52&gt;0,'Assumptions and Catalog'!$C$26*C477,0)</f>
        <v>0</v>
      </c>
      <c r="T477" s="5"/>
      <c r="U477" s="5"/>
    </row>
    <row r="478" spans="1:21" ht="23.1" customHeight="1" outlineLevel="1" x14ac:dyDescent="0.2">
      <c r="A478" s="5">
        <v>6</v>
      </c>
      <c r="B478" s="5">
        <v>8</v>
      </c>
      <c r="C478" s="5">
        <f>DAY(DATE('Assumptions and Catalog'!$C$24+A478-1,B478+1,0))</f>
        <v>31</v>
      </c>
      <c r="D478" s="5">
        <f>IF(ISNUMBER(Inputs!$L$5),Inputs!$L$5*Inputs!$L$6,0)</f>
        <v>40.35</v>
      </c>
      <c r="E478" s="5">
        <f>IF(ISNUMBER(Inputs!$L$5),Inputs!$L$5-D478,0)</f>
        <v>40.35</v>
      </c>
      <c r="F478" s="5">
        <f>D$51*'Assumptions and Catalog'!$C$31*C478*(1-'Assumptions and Catalog'!$C$10)^(A478-1)</f>
        <v>0</v>
      </c>
      <c r="G478" s="5">
        <f t="shared" si="36"/>
        <v>0</v>
      </c>
      <c r="H478" s="5">
        <f>I478/('Assumptions and Catalog'!$C$11*'Assumptions and Catalog'!$C$12)</f>
        <v>0</v>
      </c>
      <c r="I478" s="5">
        <f>IF(K$15="Grid cycle",MIN(K$16,D478+E478,P478*'Assumptions and Catalog'!$C$12,D$57*(24-'Assumptions and Catalog'!$C$15),D$56*'Assumptions and Catalog'!$C$15*'Assumptions and Catalog'!$C$11*'Assumptions and Catalog'!$C$12)*C478,0)</f>
        <v>0</v>
      </c>
      <c r="J478" s="5">
        <f t="shared" si="37"/>
        <v>0</v>
      </c>
      <c r="K478" s="5">
        <f t="shared" si="38"/>
        <v>0</v>
      </c>
      <c r="L478" s="5">
        <f>(D478+E478)*C478-G478-I478+H478+IF(D$52&gt;0,'Assumptions and Catalog'!$C$26*C478,0)</f>
        <v>2501.7000000000003</v>
      </c>
      <c r="M478" s="5">
        <f>IF(ISNUMBER(Inputs!$L$5),(IF(Inputs!$L$9="Actual flat rate",((D478+E478)*C478)*Inputs!$L$10,IF(Inputs!$C$9="Residential",IF(((D478+E478)*C478)&lt;='Assumptions and Catalog'!$C$50,((D478+E478)*C478)*'Assumptions and Catalog'!$H$50+'Assumptions and Catalog'!$E$50+'Assumptions and Catalog'!$F$50,IF(((D478+E478)*C478)&lt;='Assumptions and Catalog'!$C$51,((D478+E478)*C478)*'Assumptions and Catalog'!$H$51+'Assumptions and Catalog'!$E$51+'Assumptions and Catalog'!$F$51,IF(((D478+E478)*C478)&lt;='Assumptions and Catalog'!$C$52,((D478+E478)*C478)*'Assumptions and Catalog'!$H$52+'Assumptions and Catalog'!$E$52+'Assumptions and Catalog'!$F$52,IF(((D478+E478)*C478)&lt;='Assumptions and Catalog'!$C$53,((D478+E478)*C478)*'Assumptions and Catalog'!$H$53+'Assumptions and Catalog'!$E$53+'Assumptions and Catalog'!$F$53,IF(((D478+E478)*C478)&lt;='Assumptions and Catalog'!$C$54,((D478+E478)*C478)*'Assumptions and Catalog'!$H$54+'Assumptions and Catalog'!$E$54+'Assumptions and Catalog'!$F$54,IF(((D478+E478)*C478)&lt;='Assumptions and Catalog'!$C$55,((D478+E478)*C478)*'Assumptions and Catalog'!$H$55+'Assumptions and Catalog'!$E$55+'Assumptions and Catalog'!$F$55,IF(((D478+E478)*C478)&lt;='Assumptions and Catalog'!$C$56,((D478+E478)*C478)*'Assumptions and Catalog'!$H$56+'Assumptions and Catalog'!$E$56+'Assumptions and Catalog'!$F$56,IF(((D478+E478)*C478)&lt;='Assumptions and Catalog'!$C$57,((D478+E478)*C478)*'Assumptions and Catalog'!$H$57+'Assumptions and Catalog'!$E$57+'Assumptions and Catalog'!$F$57,"Out of range")))))))),IF(((D478+E478)*C478)&lt;='Assumptions and Catalog'!$C$60,((D478+E478)*C478)*'Assumptions and Catalog'!$H$60+'Assumptions and Catalog'!$E$60+'Assumptions and Catalog'!$F$60,IF(((D478+E478)*C478)&lt;='Assumptions and Catalog'!$C$61,((D478+E478)*C478)*'Assumptions and Catalog'!$H$61+'Assumptions and Catalog'!$E$61+'Assumptions and Catalog'!$F$61,IF(((D478+E478)*C478)&lt;='Assumptions and Catalog'!$C$62,((D478+E478)*C478)*'Assumptions and Catalog'!$H$62+'Assumptions and Catalog'!$E$62+'Assumptions and Catalog'!$F$62,IF(((D478+E478)*C478)&lt;='Assumptions and Catalog'!$C$63,((D478+E478)*C478)*'Assumptions and Catalog'!$H$63+'Assumptions and Catalog'!$E$63+'Assumptions and Catalog'!$F$63,IF(((D478+E478)*C478)&lt;='Assumptions and Catalog'!$C$64,((D478+E478)*C478)*'Assumptions and Catalog'!$H$64+'Assumptions and Catalog'!$E$64+'Assumptions and Catalog'!$F$64,IF(((D478+E478)*C478)&lt;='Assumptions and Catalog'!$C$65,((D478+E478)*C478)*'Assumptions and Catalog'!$H$65+'Assumptions and Catalog'!$E$65+'Assumptions and Catalog'!$F$65,"Out of range")))))))))*(1+'Assumptions and Catalog'!$C$8)^(A478-1),0)</f>
        <v>8554.9666666666672</v>
      </c>
      <c r="N478" s="5">
        <f>IF(ISNUMBER(Inputs!$L$5),(IF(Inputs!$L$9="Actual flat rate",L478*Inputs!$L$10,IF(Inputs!$C$9="Residential",IF(L478&lt;='Assumptions and Catalog'!$C$50,L478*'Assumptions and Catalog'!$H$50+'Assumptions and Catalog'!$E$50+'Assumptions and Catalog'!$F$50,IF(L478&lt;='Assumptions and Catalog'!$C$51,L478*'Assumptions and Catalog'!$H$51+'Assumptions and Catalog'!$E$51+'Assumptions and Catalog'!$F$51,IF(L478&lt;='Assumptions and Catalog'!$C$52,L478*'Assumptions and Catalog'!$H$52+'Assumptions and Catalog'!$E$52+'Assumptions and Catalog'!$F$52,IF(L478&lt;='Assumptions and Catalog'!$C$53,L478*'Assumptions and Catalog'!$H$53+'Assumptions and Catalog'!$E$53+'Assumptions and Catalog'!$F$53,IF(L478&lt;='Assumptions and Catalog'!$C$54,L478*'Assumptions and Catalog'!$H$54+'Assumptions and Catalog'!$E$54+'Assumptions and Catalog'!$F$54,IF(L478&lt;='Assumptions and Catalog'!$C$55,L478*'Assumptions and Catalog'!$H$55+'Assumptions and Catalog'!$E$55+'Assumptions and Catalog'!$F$55,IF(L478&lt;='Assumptions and Catalog'!$C$56,L478*'Assumptions and Catalog'!$H$56+'Assumptions and Catalog'!$E$56+'Assumptions and Catalog'!$F$56,IF(L478&lt;='Assumptions and Catalog'!$C$57,L478*'Assumptions and Catalog'!$H$57+'Assumptions and Catalog'!$E$57+'Assumptions and Catalog'!$F$57,"Out of range")))))))),IF(L478&lt;='Assumptions and Catalog'!$C$60,L478*'Assumptions and Catalog'!$H$60+'Assumptions and Catalog'!$E$60+'Assumptions and Catalog'!$F$60,IF(L478&lt;='Assumptions and Catalog'!$C$61,L478*'Assumptions and Catalog'!$H$61+'Assumptions and Catalog'!$E$61+'Assumptions and Catalog'!$F$61,IF(L478&lt;='Assumptions and Catalog'!$C$62,L478*'Assumptions and Catalog'!$H$62+'Assumptions and Catalog'!$E$62+'Assumptions and Catalog'!$F$62,IF(L478&lt;='Assumptions and Catalog'!$C$63,L478*'Assumptions and Catalog'!$H$63+'Assumptions and Catalog'!$E$63+'Assumptions and Catalog'!$F$63,IF(L478&lt;='Assumptions and Catalog'!$C$64,L478*'Assumptions and Catalog'!$H$64+'Assumptions and Catalog'!$E$64+'Assumptions and Catalog'!$F$64,IF(L478&lt;='Assumptions and Catalog'!$C$65,L478*'Assumptions and Catalog'!$H$65+'Assumptions and Catalog'!$E$65+'Assumptions and Catalog'!$F$65,"Out of range")))))))))*(1+'Assumptions and Catalog'!$C$8)^(A478-1),0)</f>
        <v>8554.9666666666672</v>
      </c>
      <c r="O478" s="5">
        <f t="shared" si="39"/>
        <v>0</v>
      </c>
      <c r="P478" s="5">
        <f>D$55*(1-K$14)*(1-'Assumptions and Catalog'!$C$23)^R478</f>
        <v>0</v>
      </c>
      <c r="Q478" s="5">
        <f>IF(ISNUMBER(Inputs!$L$5),(IF(Inputs!$L$9="Actual flat rate",((D478+E478)*C478-G478)*Inputs!$L$10,IF(Inputs!$C$9="Residential",IF(((D478+E478)*C478-G478)&lt;='Assumptions and Catalog'!$C$50,((D478+E478)*C478-G478)*'Assumptions and Catalog'!$H$50+'Assumptions and Catalog'!$E$50+'Assumptions and Catalog'!$F$50,IF(((D478+E478)*C478-G478)&lt;='Assumptions and Catalog'!$C$51,((D478+E478)*C478-G478)*'Assumptions and Catalog'!$H$51+'Assumptions and Catalog'!$E$51+'Assumptions and Catalog'!$F$51,IF(((D478+E478)*C478-G478)&lt;='Assumptions and Catalog'!$C$52,((D478+E478)*C478-G478)*'Assumptions and Catalog'!$H$52+'Assumptions and Catalog'!$E$52+'Assumptions and Catalog'!$F$52,IF(((D478+E478)*C478-G478)&lt;='Assumptions and Catalog'!$C$53,((D478+E478)*C478-G478)*'Assumptions and Catalog'!$H$53+'Assumptions and Catalog'!$E$53+'Assumptions and Catalog'!$F$53,IF(((D478+E478)*C478-G478)&lt;='Assumptions and Catalog'!$C$54,((D478+E478)*C478-G478)*'Assumptions and Catalog'!$H$54+'Assumptions and Catalog'!$E$54+'Assumptions and Catalog'!$F$54,IF(((D478+E478)*C478-G478)&lt;='Assumptions and Catalog'!$C$55,((D478+E478)*C478-G478)*'Assumptions and Catalog'!$H$55+'Assumptions and Catalog'!$E$55+'Assumptions and Catalog'!$F$55,IF(((D478+E478)*C478-G478)&lt;='Assumptions and Catalog'!$C$56,((D478+E478)*C478-G478)*'Assumptions and Catalog'!$H$56+'Assumptions and Catalog'!$E$56+'Assumptions and Catalog'!$F$56,IF(((D478+E478)*C478-G478)&lt;='Assumptions and Catalog'!$C$57,((D478+E478)*C478-G478)*'Assumptions and Catalog'!$H$57+'Assumptions and Catalog'!$E$57+'Assumptions and Catalog'!$F$57,"Out of range")))))))),IF(((D478+E478)*C478-G478)&lt;='Assumptions and Catalog'!$C$60,((D478+E478)*C478-G478)*'Assumptions and Catalog'!$H$60+'Assumptions and Catalog'!$E$60+'Assumptions and Catalog'!$F$60,IF(((D478+E478)*C478-G478)&lt;='Assumptions and Catalog'!$C$61,((D478+E478)*C478-G478)*'Assumptions and Catalog'!$H$61+'Assumptions and Catalog'!$E$61+'Assumptions and Catalog'!$F$61,IF(((D478+E478)*C478-G478)&lt;='Assumptions and Catalog'!$C$62,((D478+E478)*C478-G478)*'Assumptions and Catalog'!$H$62+'Assumptions and Catalog'!$E$62+'Assumptions and Catalog'!$F$62,IF(((D478+E478)*C478-G478)&lt;='Assumptions and Catalog'!$C$63,((D478+E478)*C478-G478)*'Assumptions and Catalog'!$H$63+'Assumptions and Catalog'!$E$63+'Assumptions and Catalog'!$F$63,IF(((D478+E478)*C478-G478)&lt;='Assumptions and Catalog'!$C$64,((D478+E478)*C478-G478)*'Assumptions and Catalog'!$H$64+'Assumptions and Catalog'!$E$64+'Assumptions and Catalog'!$F$64,IF(((D478+E478)*C478-G478)&lt;='Assumptions and Catalog'!$C$65,((D478+E478)*C478-G478)*'Assumptions and Catalog'!$H$65+'Assumptions and Catalog'!$E$65+'Assumptions and Catalog'!$F$65,"Out of range")))))))))*(1+'Assumptions and Catalog'!$C$8)^(A478-1),0)</f>
        <v>8554.9666666666672</v>
      </c>
      <c r="R478" s="5">
        <f>IF(AND('Assumptions and Catalog'!$C$19&gt;0,A478&gt;='Assumptions and Catalog'!$C$19),A478-'Assumptions and Catalog'!$C$19,A478-1)</f>
        <v>5</v>
      </c>
      <c r="S478" s="5">
        <f>F478+L478-(D478+E478)*C478-J478-K478-IF(D$52&gt;0,'Assumptions and Catalog'!$C$26*C478,0)</f>
        <v>0</v>
      </c>
      <c r="T478" s="5"/>
      <c r="U478" s="5"/>
    </row>
    <row r="479" spans="1:21" ht="23.1" customHeight="1" outlineLevel="1" x14ac:dyDescent="0.2">
      <c r="A479" s="5">
        <v>6</v>
      </c>
      <c r="B479" s="5">
        <v>9</v>
      </c>
      <c r="C479" s="5">
        <f>DAY(DATE('Assumptions and Catalog'!$C$24+A479-1,B479+1,0))</f>
        <v>30</v>
      </c>
      <c r="D479" s="5">
        <f>IF(ISNUMBER(Inputs!$L$5),Inputs!$L$5*Inputs!$L$6,0)</f>
        <v>40.35</v>
      </c>
      <c r="E479" s="5">
        <f>IF(ISNUMBER(Inputs!$L$5),Inputs!$L$5-D479,0)</f>
        <v>40.35</v>
      </c>
      <c r="F479" s="5">
        <f>D$51*'Assumptions and Catalog'!$C$31*C479*(1-'Assumptions and Catalog'!$C$10)^(A479-1)</f>
        <v>0</v>
      </c>
      <c r="G479" s="5">
        <f t="shared" si="36"/>
        <v>0</v>
      </c>
      <c r="H479" s="5">
        <f>I479/('Assumptions and Catalog'!$C$11*'Assumptions and Catalog'!$C$12)</f>
        <v>0</v>
      </c>
      <c r="I479" s="5">
        <f>IF(K$15="Grid cycle",MIN(K$16,D479+E479,P479*'Assumptions and Catalog'!$C$12,D$57*(24-'Assumptions and Catalog'!$C$15),D$56*'Assumptions and Catalog'!$C$15*'Assumptions and Catalog'!$C$11*'Assumptions and Catalog'!$C$12)*C479,0)</f>
        <v>0</v>
      </c>
      <c r="J479" s="5">
        <f t="shared" si="37"/>
        <v>0</v>
      </c>
      <c r="K479" s="5">
        <f t="shared" si="38"/>
        <v>0</v>
      </c>
      <c r="L479" s="5">
        <f>(D479+E479)*C479-G479-I479+H479+IF(D$52&gt;0,'Assumptions and Catalog'!$C$26*C479,0)</f>
        <v>2421</v>
      </c>
      <c r="M479" s="5">
        <f>IF(ISNUMBER(Inputs!$L$5),(IF(Inputs!$L$9="Actual flat rate",((D479+E479)*C479)*Inputs!$L$10,IF(Inputs!$C$9="Residential",IF(((D479+E479)*C479)&lt;='Assumptions and Catalog'!$C$50,((D479+E479)*C479)*'Assumptions and Catalog'!$H$50+'Assumptions and Catalog'!$E$50+'Assumptions and Catalog'!$F$50,IF(((D479+E479)*C479)&lt;='Assumptions and Catalog'!$C$51,((D479+E479)*C479)*'Assumptions and Catalog'!$H$51+'Assumptions and Catalog'!$E$51+'Assumptions and Catalog'!$F$51,IF(((D479+E479)*C479)&lt;='Assumptions and Catalog'!$C$52,((D479+E479)*C479)*'Assumptions and Catalog'!$H$52+'Assumptions and Catalog'!$E$52+'Assumptions and Catalog'!$F$52,IF(((D479+E479)*C479)&lt;='Assumptions and Catalog'!$C$53,((D479+E479)*C479)*'Assumptions and Catalog'!$H$53+'Assumptions and Catalog'!$E$53+'Assumptions and Catalog'!$F$53,IF(((D479+E479)*C479)&lt;='Assumptions and Catalog'!$C$54,((D479+E479)*C479)*'Assumptions and Catalog'!$H$54+'Assumptions and Catalog'!$E$54+'Assumptions and Catalog'!$F$54,IF(((D479+E479)*C479)&lt;='Assumptions and Catalog'!$C$55,((D479+E479)*C479)*'Assumptions and Catalog'!$H$55+'Assumptions and Catalog'!$E$55+'Assumptions and Catalog'!$F$55,IF(((D479+E479)*C479)&lt;='Assumptions and Catalog'!$C$56,((D479+E479)*C479)*'Assumptions and Catalog'!$H$56+'Assumptions and Catalog'!$E$56+'Assumptions and Catalog'!$F$56,IF(((D479+E479)*C479)&lt;='Assumptions and Catalog'!$C$57,((D479+E479)*C479)*'Assumptions and Catalog'!$H$57+'Assumptions and Catalog'!$E$57+'Assumptions and Catalog'!$F$57,"Out of range")))))))),IF(((D479+E479)*C479)&lt;='Assumptions and Catalog'!$C$60,((D479+E479)*C479)*'Assumptions and Catalog'!$H$60+'Assumptions and Catalog'!$E$60+'Assumptions and Catalog'!$F$60,IF(((D479+E479)*C479)&lt;='Assumptions and Catalog'!$C$61,((D479+E479)*C479)*'Assumptions and Catalog'!$H$61+'Assumptions and Catalog'!$E$61+'Assumptions and Catalog'!$F$61,IF(((D479+E479)*C479)&lt;='Assumptions and Catalog'!$C$62,((D479+E479)*C479)*'Assumptions and Catalog'!$H$62+'Assumptions and Catalog'!$E$62+'Assumptions and Catalog'!$F$62,IF(((D479+E479)*C479)&lt;='Assumptions and Catalog'!$C$63,((D479+E479)*C479)*'Assumptions and Catalog'!$H$63+'Assumptions and Catalog'!$E$63+'Assumptions and Catalog'!$F$63,IF(((D479+E479)*C479)&lt;='Assumptions and Catalog'!$C$64,((D479+E479)*C479)*'Assumptions and Catalog'!$H$64+'Assumptions and Catalog'!$E$64+'Assumptions and Catalog'!$F$64,IF(((D479+E479)*C479)&lt;='Assumptions and Catalog'!$C$65,((D479+E479)*C479)*'Assumptions and Catalog'!$H$65+'Assumptions and Catalog'!$E$65+'Assumptions and Catalog'!$F$65,"Out of range")))))))))*(1+'Assumptions and Catalog'!$C$8)^(A479-1),0)</f>
        <v>8279</v>
      </c>
      <c r="N479" s="5">
        <f>IF(ISNUMBER(Inputs!$L$5),(IF(Inputs!$L$9="Actual flat rate",L479*Inputs!$L$10,IF(Inputs!$C$9="Residential",IF(L479&lt;='Assumptions and Catalog'!$C$50,L479*'Assumptions and Catalog'!$H$50+'Assumptions and Catalog'!$E$50+'Assumptions and Catalog'!$F$50,IF(L479&lt;='Assumptions and Catalog'!$C$51,L479*'Assumptions and Catalog'!$H$51+'Assumptions and Catalog'!$E$51+'Assumptions and Catalog'!$F$51,IF(L479&lt;='Assumptions and Catalog'!$C$52,L479*'Assumptions and Catalog'!$H$52+'Assumptions and Catalog'!$E$52+'Assumptions and Catalog'!$F$52,IF(L479&lt;='Assumptions and Catalog'!$C$53,L479*'Assumptions and Catalog'!$H$53+'Assumptions and Catalog'!$E$53+'Assumptions and Catalog'!$F$53,IF(L479&lt;='Assumptions and Catalog'!$C$54,L479*'Assumptions and Catalog'!$H$54+'Assumptions and Catalog'!$E$54+'Assumptions and Catalog'!$F$54,IF(L479&lt;='Assumptions and Catalog'!$C$55,L479*'Assumptions and Catalog'!$H$55+'Assumptions and Catalog'!$E$55+'Assumptions and Catalog'!$F$55,IF(L479&lt;='Assumptions and Catalog'!$C$56,L479*'Assumptions and Catalog'!$H$56+'Assumptions and Catalog'!$E$56+'Assumptions and Catalog'!$F$56,IF(L479&lt;='Assumptions and Catalog'!$C$57,L479*'Assumptions and Catalog'!$H$57+'Assumptions and Catalog'!$E$57+'Assumptions and Catalog'!$F$57,"Out of range")))))))),IF(L479&lt;='Assumptions and Catalog'!$C$60,L479*'Assumptions and Catalog'!$H$60+'Assumptions and Catalog'!$E$60+'Assumptions and Catalog'!$F$60,IF(L479&lt;='Assumptions and Catalog'!$C$61,L479*'Assumptions and Catalog'!$H$61+'Assumptions and Catalog'!$E$61+'Assumptions and Catalog'!$F$61,IF(L479&lt;='Assumptions and Catalog'!$C$62,L479*'Assumptions and Catalog'!$H$62+'Assumptions and Catalog'!$E$62+'Assumptions and Catalog'!$F$62,IF(L479&lt;='Assumptions and Catalog'!$C$63,L479*'Assumptions and Catalog'!$H$63+'Assumptions and Catalog'!$E$63+'Assumptions and Catalog'!$F$63,IF(L479&lt;='Assumptions and Catalog'!$C$64,L479*'Assumptions and Catalog'!$H$64+'Assumptions and Catalog'!$E$64+'Assumptions and Catalog'!$F$64,IF(L479&lt;='Assumptions and Catalog'!$C$65,L479*'Assumptions and Catalog'!$H$65+'Assumptions and Catalog'!$E$65+'Assumptions and Catalog'!$F$65,"Out of range")))))))))*(1+'Assumptions and Catalog'!$C$8)^(A479-1),0)</f>
        <v>8279</v>
      </c>
      <c r="O479" s="5">
        <f t="shared" si="39"/>
        <v>0</v>
      </c>
      <c r="P479" s="5">
        <f>D$55*(1-K$14)*(1-'Assumptions and Catalog'!$C$23)^R479</f>
        <v>0</v>
      </c>
      <c r="Q479" s="5">
        <f>IF(ISNUMBER(Inputs!$L$5),(IF(Inputs!$L$9="Actual flat rate",((D479+E479)*C479-G479)*Inputs!$L$10,IF(Inputs!$C$9="Residential",IF(((D479+E479)*C479-G479)&lt;='Assumptions and Catalog'!$C$50,((D479+E479)*C479-G479)*'Assumptions and Catalog'!$H$50+'Assumptions and Catalog'!$E$50+'Assumptions and Catalog'!$F$50,IF(((D479+E479)*C479-G479)&lt;='Assumptions and Catalog'!$C$51,((D479+E479)*C479-G479)*'Assumptions and Catalog'!$H$51+'Assumptions and Catalog'!$E$51+'Assumptions and Catalog'!$F$51,IF(((D479+E479)*C479-G479)&lt;='Assumptions and Catalog'!$C$52,((D479+E479)*C479-G479)*'Assumptions and Catalog'!$H$52+'Assumptions and Catalog'!$E$52+'Assumptions and Catalog'!$F$52,IF(((D479+E479)*C479-G479)&lt;='Assumptions and Catalog'!$C$53,((D479+E479)*C479-G479)*'Assumptions and Catalog'!$H$53+'Assumptions and Catalog'!$E$53+'Assumptions and Catalog'!$F$53,IF(((D479+E479)*C479-G479)&lt;='Assumptions and Catalog'!$C$54,((D479+E479)*C479-G479)*'Assumptions and Catalog'!$H$54+'Assumptions and Catalog'!$E$54+'Assumptions and Catalog'!$F$54,IF(((D479+E479)*C479-G479)&lt;='Assumptions and Catalog'!$C$55,((D479+E479)*C479-G479)*'Assumptions and Catalog'!$H$55+'Assumptions and Catalog'!$E$55+'Assumptions and Catalog'!$F$55,IF(((D479+E479)*C479-G479)&lt;='Assumptions and Catalog'!$C$56,((D479+E479)*C479-G479)*'Assumptions and Catalog'!$H$56+'Assumptions and Catalog'!$E$56+'Assumptions and Catalog'!$F$56,IF(((D479+E479)*C479-G479)&lt;='Assumptions and Catalog'!$C$57,((D479+E479)*C479-G479)*'Assumptions and Catalog'!$H$57+'Assumptions and Catalog'!$E$57+'Assumptions and Catalog'!$F$57,"Out of range")))))))),IF(((D479+E479)*C479-G479)&lt;='Assumptions and Catalog'!$C$60,((D479+E479)*C479-G479)*'Assumptions and Catalog'!$H$60+'Assumptions and Catalog'!$E$60+'Assumptions and Catalog'!$F$60,IF(((D479+E479)*C479-G479)&lt;='Assumptions and Catalog'!$C$61,((D479+E479)*C479-G479)*'Assumptions and Catalog'!$H$61+'Assumptions and Catalog'!$E$61+'Assumptions and Catalog'!$F$61,IF(((D479+E479)*C479-G479)&lt;='Assumptions and Catalog'!$C$62,((D479+E479)*C479-G479)*'Assumptions and Catalog'!$H$62+'Assumptions and Catalog'!$E$62+'Assumptions and Catalog'!$F$62,IF(((D479+E479)*C479-G479)&lt;='Assumptions and Catalog'!$C$63,((D479+E479)*C479-G479)*'Assumptions and Catalog'!$H$63+'Assumptions and Catalog'!$E$63+'Assumptions and Catalog'!$F$63,IF(((D479+E479)*C479-G479)&lt;='Assumptions and Catalog'!$C$64,((D479+E479)*C479-G479)*'Assumptions and Catalog'!$H$64+'Assumptions and Catalog'!$E$64+'Assumptions and Catalog'!$F$64,IF(((D479+E479)*C479-G479)&lt;='Assumptions and Catalog'!$C$65,((D479+E479)*C479-G479)*'Assumptions and Catalog'!$H$65+'Assumptions and Catalog'!$E$65+'Assumptions and Catalog'!$F$65,"Out of range")))))))))*(1+'Assumptions and Catalog'!$C$8)^(A479-1),0)</f>
        <v>8279</v>
      </c>
      <c r="R479" s="5">
        <f>IF(AND('Assumptions and Catalog'!$C$19&gt;0,A479&gt;='Assumptions and Catalog'!$C$19),A479-'Assumptions and Catalog'!$C$19,A479-1)</f>
        <v>5</v>
      </c>
      <c r="S479" s="5">
        <f>F479+L479-(D479+E479)*C479-J479-K479-IF(D$52&gt;0,'Assumptions and Catalog'!$C$26*C479,0)</f>
        <v>0</v>
      </c>
      <c r="T479" s="5"/>
      <c r="U479" s="5"/>
    </row>
    <row r="480" spans="1:21" ht="23.1" customHeight="1" outlineLevel="1" x14ac:dyDescent="0.2">
      <c r="A480" s="5">
        <v>6</v>
      </c>
      <c r="B480" s="5">
        <v>10</v>
      </c>
      <c r="C480" s="5">
        <f>DAY(DATE('Assumptions and Catalog'!$C$24+A480-1,B480+1,0))</f>
        <v>31</v>
      </c>
      <c r="D480" s="5">
        <f>IF(ISNUMBER(Inputs!$L$5),Inputs!$L$5*Inputs!$L$6,0)</f>
        <v>40.35</v>
      </c>
      <c r="E480" s="5">
        <f>IF(ISNUMBER(Inputs!$L$5),Inputs!$L$5-D480,0)</f>
        <v>40.35</v>
      </c>
      <c r="F480" s="5">
        <f>D$51*'Assumptions and Catalog'!$C$31*C480*(1-'Assumptions and Catalog'!$C$10)^(A480-1)</f>
        <v>0</v>
      </c>
      <c r="G480" s="5">
        <f t="shared" si="36"/>
        <v>0</v>
      </c>
      <c r="H480" s="5">
        <f>I480/('Assumptions and Catalog'!$C$11*'Assumptions and Catalog'!$C$12)</f>
        <v>0</v>
      </c>
      <c r="I480" s="5">
        <f>IF(K$15="Grid cycle",MIN(K$16,D480+E480,P480*'Assumptions and Catalog'!$C$12,D$57*(24-'Assumptions and Catalog'!$C$15),D$56*'Assumptions and Catalog'!$C$15*'Assumptions and Catalog'!$C$11*'Assumptions and Catalog'!$C$12)*C480,0)</f>
        <v>0</v>
      </c>
      <c r="J480" s="5">
        <f t="shared" si="37"/>
        <v>0</v>
      </c>
      <c r="K480" s="5">
        <f t="shared" si="38"/>
        <v>0</v>
      </c>
      <c r="L480" s="5">
        <f>(D480+E480)*C480-G480-I480+H480+IF(D$52&gt;0,'Assumptions and Catalog'!$C$26*C480,0)</f>
        <v>2501.7000000000003</v>
      </c>
      <c r="M480" s="5">
        <f>IF(ISNUMBER(Inputs!$L$5),(IF(Inputs!$L$9="Actual flat rate",((D480+E480)*C480)*Inputs!$L$10,IF(Inputs!$C$9="Residential",IF(((D480+E480)*C480)&lt;='Assumptions and Catalog'!$C$50,((D480+E480)*C480)*'Assumptions and Catalog'!$H$50+'Assumptions and Catalog'!$E$50+'Assumptions and Catalog'!$F$50,IF(((D480+E480)*C480)&lt;='Assumptions and Catalog'!$C$51,((D480+E480)*C480)*'Assumptions and Catalog'!$H$51+'Assumptions and Catalog'!$E$51+'Assumptions and Catalog'!$F$51,IF(((D480+E480)*C480)&lt;='Assumptions and Catalog'!$C$52,((D480+E480)*C480)*'Assumptions and Catalog'!$H$52+'Assumptions and Catalog'!$E$52+'Assumptions and Catalog'!$F$52,IF(((D480+E480)*C480)&lt;='Assumptions and Catalog'!$C$53,((D480+E480)*C480)*'Assumptions and Catalog'!$H$53+'Assumptions and Catalog'!$E$53+'Assumptions and Catalog'!$F$53,IF(((D480+E480)*C480)&lt;='Assumptions and Catalog'!$C$54,((D480+E480)*C480)*'Assumptions and Catalog'!$H$54+'Assumptions and Catalog'!$E$54+'Assumptions and Catalog'!$F$54,IF(((D480+E480)*C480)&lt;='Assumptions and Catalog'!$C$55,((D480+E480)*C480)*'Assumptions and Catalog'!$H$55+'Assumptions and Catalog'!$E$55+'Assumptions and Catalog'!$F$55,IF(((D480+E480)*C480)&lt;='Assumptions and Catalog'!$C$56,((D480+E480)*C480)*'Assumptions and Catalog'!$H$56+'Assumptions and Catalog'!$E$56+'Assumptions and Catalog'!$F$56,IF(((D480+E480)*C480)&lt;='Assumptions and Catalog'!$C$57,((D480+E480)*C480)*'Assumptions and Catalog'!$H$57+'Assumptions and Catalog'!$E$57+'Assumptions and Catalog'!$F$57,"Out of range")))))))),IF(((D480+E480)*C480)&lt;='Assumptions and Catalog'!$C$60,((D480+E480)*C480)*'Assumptions and Catalog'!$H$60+'Assumptions and Catalog'!$E$60+'Assumptions and Catalog'!$F$60,IF(((D480+E480)*C480)&lt;='Assumptions and Catalog'!$C$61,((D480+E480)*C480)*'Assumptions and Catalog'!$H$61+'Assumptions and Catalog'!$E$61+'Assumptions and Catalog'!$F$61,IF(((D480+E480)*C480)&lt;='Assumptions and Catalog'!$C$62,((D480+E480)*C480)*'Assumptions and Catalog'!$H$62+'Assumptions and Catalog'!$E$62+'Assumptions and Catalog'!$F$62,IF(((D480+E480)*C480)&lt;='Assumptions and Catalog'!$C$63,((D480+E480)*C480)*'Assumptions and Catalog'!$H$63+'Assumptions and Catalog'!$E$63+'Assumptions and Catalog'!$F$63,IF(((D480+E480)*C480)&lt;='Assumptions and Catalog'!$C$64,((D480+E480)*C480)*'Assumptions and Catalog'!$H$64+'Assumptions and Catalog'!$E$64+'Assumptions and Catalog'!$F$64,IF(((D480+E480)*C480)&lt;='Assumptions and Catalog'!$C$65,((D480+E480)*C480)*'Assumptions and Catalog'!$H$65+'Assumptions and Catalog'!$E$65+'Assumptions and Catalog'!$F$65,"Out of range")))))))))*(1+'Assumptions and Catalog'!$C$8)^(A480-1),0)</f>
        <v>8554.9666666666672</v>
      </c>
      <c r="N480" s="5">
        <f>IF(ISNUMBER(Inputs!$L$5),(IF(Inputs!$L$9="Actual flat rate",L480*Inputs!$L$10,IF(Inputs!$C$9="Residential",IF(L480&lt;='Assumptions and Catalog'!$C$50,L480*'Assumptions and Catalog'!$H$50+'Assumptions and Catalog'!$E$50+'Assumptions and Catalog'!$F$50,IF(L480&lt;='Assumptions and Catalog'!$C$51,L480*'Assumptions and Catalog'!$H$51+'Assumptions and Catalog'!$E$51+'Assumptions and Catalog'!$F$51,IF(L480&lt;='Assumptions and Catalog'!$C$52,L480*'Assumptions and Catalog'!$H$52+'Assumptions and Catalog'!$E$52+'Assumptions and Catalog'!$F$52,IF(L480&lt;='Assumptions and Catalog'!$C$53,L480*'Assumptions and Catalog'!$H$53+'Assumptions and Catalog'!$E$53+'Assumptions and Catalog'!$F$53,IF(L480&lt;='Assumptions and Catalog'!$C$54,L480*'Assumptions and Catalog'!$H$54+'Assumptions and Catalog'!$E$54+'Assumptions and Catalog'!$F$54,IF(L480&lt;='Assumptions and Catalog'!$C$55,L480*'Assumptions and Catalog'!$H$55+'Assumptions and Catalog'!$E$55+'Assumptions and Catalog'!$F$55,IF(L480&lt;='Assumptions and Catalog'!$C$56,L480*'Assumptions and Catalog'!$H$56+'Assumptions and Catalog'!$E$56+'Assumptions and Catalog'!$F$56,IF(L480&lt;='Assumptions and Catalog'!$C$57,L480*'Assumptions and Catalog'!$H$57+'Assumptions and Catalog'!$E$57+'Assumptions and Catalog'!$F$57,"Out of range")))))))),IF(L480&lt;='Assumptions and Catalog'!$C$60,L480*'Assumptions and Catalog'!$H$60+'Assumptions and Catalog'!$E$60+'Assumptions and Catalog'!$F$60,IF(L480&lt;='Assumptions and Catalog'!$C$61,L480*'Assumptions and Catalog'!$H$61+'Assumptions and Catalog'!$E$61+'Assumptions and Catalog'!$F$61,IF(L480&lt;='Assumptions and Catalog'!$C$62,L480*'Assumptions and Catalog'!$H$62+'Assumptions and Catalog'!$E$62+'Assumptions and Catalog'!$F$62,IF(L480&lt;='Assumptions and Catalog'!$C$63,L480*'Assumptions and Catalog'!$H$63+'Assumptions and Catalog'!$E$63+'Assumptions and Catalog'!$F$63,IF(L480&lt;='Assumptions and Catalog'!$C$64,L480*'Assumptions and Catalog'!$H$64+'Assumptions and Catalog'!$E$64+'Assumptions and Catalog'!$F$64,IF(L480&lt;='Assumptions and Catalog'!$C$65,L480*'Assumptions and Catalog'!$H$65+'Assumptions and Catalog'!$E$65+'Assumptions and Catalog'!$F$65,"Out of range")))))))))*(1+'Assumptions and Catalog'!$C$8)^(A480-1),0)</f>
        <v>8554.9666666666672</v>
      </c>
      <c r="O480" s="5">
        <f t="shared" si="39"/>
        <v>0</v>
      </c>
      <c r="P480" s="5">
        <f>D$55*(1-K$14)*(1-'Assumptions and Catalog'!$C$23)^R480</f>
        <v>0</v>
      </c>
      <c r="Q480" s="5">
        <f>IF(ISNUMBER(Inputs!$L$5),(IF(Inputs!$L$9="Actual flat rate",((D480+E480)*C480-G480)*Inputs!$L$10,IF(Inputs!$C$9="Residential",IF(((D480+E480)*C480-G480)&lt;='Assumptions and Catalog'!$C$50,((D480+E480)*C480-G480)*'Assumptions and Catalog'!$H$50+'Assumptions and Catalog'!$E$50+'Assumptions and Catalog'!$F$50,IF(((D480+E480)*C480-G480)&lt;='Assumptions and Catalog'!$C$51,((D480+E480)*C480-G480)*'Assumptions and Catalog'!$H$51+'Assumptions and Catalog'!$E$51+'Assumptions and Catalog'!$F$51,IF(((D480+E480)*C480-G480)&lt;='Assumptions and Catalog'!$C$52,((D480+E480)*C480-G480)*'Assumptions and Catalog'!$H$52+'Assumptions and Catalog'!$E$52+'Assumptions and Catalog'!$F$52,IF(((D480+E480)*C480-G480)&lt;='Assumptions and Catalog'!$C$53,((D480+E480)*C480-G480)*'Assumptions and Catalog'!$H$53+'Assumptions and Catalog'!$E$53+'Assumptions and Catalog'!$F$53,IF(((D480+E480)*C480-G480)&lt;='Assumptions and Catalog'!$C$54,((D480+E480)*C480-G480)*'Assumptions and Catalog'!$H$54+'Assumptions and Catalog'!$E$54+'Assumptions and Catalog'!$F$54,IF(((D480+E480)*C480-G480)&lt;='Assumptions and Catalog'!$C$55,((D480+E480)*C480-G480)*'Assumptions and Catalog'!$H$55+'Assumptions and Catalog'!$E$55+'Assumptions and Catalog'!$F$55,IF(((D480+E480)*C480-G480)&lt;='Assumptions and Catalog'!$C$56,((D480+E480)*C480-G480)*'Assumptions and Catalog'!$H$56+'Assumptions and Catalog'!$E$56+'Assumptions and Catalog'!$F$56,IF(((D480+E480)*C480-G480)&lt;='Assumptions and Catalog'!$C$57,((D480+E480)*C480-G480)*'Assumptions and Catalog'!$H$57+'Assumptions and Catalog'!$E$57+'Assumptions and Catalog'!$F$57,"Out of range")))))))),IF(((D480+E480)*C480-G480)&lt;='Assumptions and Catalog'!$C$60,((D480+E480)*C480-G480)*'Assumptions and Catalog'!$H$60+'Assumptions and Catalog'!$E$60+'Assumptions and Catalog'!$F$60,IF(((D480+E480)*C480-G480)&lt;='Assumptions and Catalog'!$C$61,((D480+E480)*C480-G480)*'Assumptions and Catalog'!$H$61+'Assumptions and Catalog'!$E$61+'Assumptions and Catalog'!$F$61,IF(((D480+E480)*C480-G480)&lt;='Assumptions and Catalog'!$C$62,((D480+E480)*C480-G480)*'Assumptions and Catalog'!$H$62+'Assumptions and Catalog'!$E$62+'Assumptions and Catalog'!$F$62,IF(((D480+E480)*C480-G480)&lt;='Assumptions and Catalog'!$C$63,((D480+E480)*C480-G480)*'Assumptions and Catalog'!$H$63+'Assumptions and Catalog'!$E$63+'Assumptions and Catalog'!$F$63,IF(((D480+E480)*C480-G480)&lt;='Assumptions and Catalog'!$C$64,((D480+E480)*C480-G480)*'Assumptions and Catalog'!$H$64+'Assumptions and Catalog'!$E$64+'Assumptions and Catalog'!$F$64,IF(((D480+E480)*C480-G480)&lt;='Assumptions and Catalog'!$C$65,((D480+E480)*C480-G480)*'Assumptions and Catalog'!$H$65+'Assumptions and Catalog'!$E$65+'Assumptions and Catalog'!$F$65,"Out of range")))))))))*(1+'Assumptions and Catalog'!$C$8)^(A480-1),0)</f>
        <v>8554.9666666666672</v>
      </c>
      <c r="R480" s="5">
        <f>IF(AND('Assumptions and Catalog'!$C$19&gt;0,A480&gt;='Assumptions and Catalog'!$C$19),A480-'Assumptions and Catalog'!$C$19,A480-1)</f>
        <v>5</v>
      </c>
      <c r="S480" s="5">
        <f>F480+L480-(D480+E480)*C480-J480-K480-IF(D$52&gt;0,'Assumptions and Catalog'!$C$26*C480,0)</f>
        <v>0</v>
      </c>
      <c r="T480" s="5"/>
      <c r="U480" s="5"/>
    </row>
    <row r="481" spans="1:21" ht="23.1" customHeight="1" outlineLevel="1" x14ac:dyDescent="0.2">
      <c r="A481" s="5">
        <v>6</v>
      </c>
      <c r="B481" s="5">
        <v>11</v>
      </c>
      <c r="C481" s="5">
        <f>DAY(DATE('Assumptions and Catalog'!$C$24+A481-1,B481+1,0))</f>
        <v>30</v>
      </c>
      <c r="D481" s="5">
        <f>IF(ISNUMBER(Inputs!$L$5),Inputs!$L$5*Inputs!$L$6,0)</f>
        <v>40.35</v>
      </c>
      <c r="E481" s="5">
        <f>IF(ISNUMBER(Inputs!$L$5),Inputs!$L$5-D481,0)</f>
        <v>40.35</v>
      </c>
      <c r="F481" s="5">
        <f>D$51*'Assumptions and Catalog'!$C$31*C481*(1-'Assumptions and Catalog'!$C$10)^(A481-1)</f>
        <v>0</v>
      </c>
      <c r="G481" s="5">
        <f t="shared" si="36"/>
        <v>0</v>
      </c>
      <c r="H481" s="5">
        <f>I481/('Assumptions and Catalog'!$C$11*'Assumptions and Catalog'!$C$12)</f>
        <v>0</v>
      </c>
      <c r="I481" s="5">
        <f>IF(K$15="Grid cycle",MIN(K$16,D481+E481,P481*'Assumptions and Catalog'!$C$12,D$57*(24-'Assumptions and Catalog'!$C$15),D$56*'Assumptions and Catalog'!$C$15*'Assumptions and Catalog'!$C$11*'Assumptions and Catalog'!$C$12)*C481,0)</f>
        <v>0</v>
      </c>
      <c r="J481" s="5">
        <f t="shared" si="37"/>
        <v>0</v>
      </c>
      <c r="K481" s="5">
        <f t="shared" si="38"/>
        <v>0</v>
      </c>
      <c r="L481" s="5">
        <f>(D481+E481)*C481-G481-I481+H481+IF(D$52&gt;0,'Assumptions and Catalog'!$C$26*C481,0)</f>
        <v>2421</v>
      </c>
      <c r="M481" s="5">
        <f>IF(ISNUMBER(Inputs!$L$5),(IF(Inputs!$L$9="Actual flat rate",((D481+E481)*C481)*Inputs!$L$10,IF(Inputs!$C$9="Residential",IF(((D481+E481)*C481)&lt;='Assumptions and Catalog'!$C$50,((D481+E481)*C481)*'Assumptions and Catalog'!$H$50+'Assumptions and Catalog'!$E$50+'Assumptions and Catalog'!$F$50,IF(((D481+E481)*C481)&lt;='Assumptions and Catalog'!$C$51,((D481+E481)*C481)*'Assumptions and Catalog'!$H$51+'Assumptions and Catalog'!$E$51+'Assumptions and Catalog'!$F$51,IF(((D481+E481)*C481)&lt;='Assumptions and Catalog'!$C$52,((D481+E481)*C481)*'Assumptions and Catalog'!$H$52+'Assumptions and Catalog'!$E$52+'Assumptions and Catalog'!$F$52,IF(((D481+E481)*C481)&lt;='Assumptions and Catalog'!$C$53,((D481+E481)*C481)*'Assumptions and Catalog'!$H$53+'Assumptions and Catalog'!$E$53+'Assumptions and Catalog'!$F$53,IF(((D481+E481)*C481)&lt;='Assumptions and Catalog'!$C$54,((D481+E481)*C481)*'Assumptions and Catalog'!$H$54+'Assumptions and Catalog'!$E$54+'Assumptions and Catalog'!$F$54,IF(((D481+E481)*C481)&lt;='Assumptions and Catalog'!$C$55,((D481+E481)*C481)*'Assumptions and Catalog'!$H$55+'Assumptions and Catalog'!$E$55+'Assumptions and Catalog'!$F$55,IF(((D481+E481)*C481)&lt;='Assumptions and Catalog'!$C$56,((D481+E481)*C481)*'Assumptions and Catalog'!$H$56+'Assumptions and Catalog'!$E$56+'Assumptions and Catalog'!$F$56,IF(((D481+E481)*C481)&lt;='Assumptions and Catalog'!$C$57,((D481+E481)*C481)*'Assumptions and Catalog'!$H$57+'Assumptions and Catalog'!$E$57+'Assumptions and Catalog'!$F$57,"Out of range")))))))),IF(((D481+E481)*C481)&lt;='Assumptions and Catalog'!$C$60,((D481+E481)*C481)*'Assumptions and Catalog'!$H$60+'Assumptions and Catalog'!$E$60+'Assumptions and Catalog'!$F$60,IF(((D481+E481)*C481)&lt;='Assumptions and Catalog'!$C$61,((D481+E481)*C481)*'Assumptions and Catalog'!$H$61+'Assumptions and Catalog'!$E$61+'Assumptions and Catalog'!$F$61,IF(((D481+E481)*C481)&lt;='Assumptions and Catalog'!$C$62,((D481+E481)*C481)*'Assumptions and Catalog'!$H$62+'Assumptions and Catalog'!$E$62+'Assumptions and Catalog'!$F$62,IF(((D481+E481)*C481)&lt;='Assumptions and Catalog'!$C$63,((D481+E481)*C481)*'Assumptions and Catalog'!$H$63+'Assumptions and Catalog'!$E$63+'Assumptions and Catalog'!$F$63,IF(((D481+E481)*C481)&lt;='Assumptions and Catalog'!$C$64,((D481+E481)*C481)*'Assumptions and Catalog'!$H$64+'Assumptions and Catalog'!$E$64+'Assumptions and Catalog'!$F$64,IF(((D481+E481)*C481)&lt;='Assumptions and Catalog'!$C$65,((D481+E481)*C481)*'Assumptions and Catalog'!$H$65+'Assumptions and Catalog'!$E$65+'Assumptions and Catalog'!$F$65,"Out of range")))))))))*(1+'Assumptions and Catalog'!$C$8)^(A481-1),0)</f>
        <v>8279</v>
      </c>
      <c r="N481" s="5">
        <f>IF(ISNUMBER(Inputs!$L$5),(IF(Inputs!$L$9="Actual flat rate",L481*Inputs!$L$10,IF(Inputs!$C$9="Residential",IF(L481&lt;='Assumptions and Catalog'!$C$50,L481*'Assumptions and Catalog'!$H$50+'Assumptions and Catalog'!$E$50+'Assumptions and Catalog'!$F$50,IF(L481&lt;='Assumptions and Catalog'!$C$51,L481*'Assumptions and Catalog'!$H$51+'Assumptions and Catalog'!$E$51+'Assumptions and Catalog'!$F$51,IF(L481&lt;='Assumptions and Catalog'!$C$52,L481*'Assumptions and Catalog'!$H$52+'Assumptions and Catalog'!$E$52+'Assumptions and Catalog'!$F$52,IF(L481&lt;='Assumptions and Catalog'!$C$53,L481*'Assumptions and Catalog'!$H$53+'Assumptions and Catalog'!$E$53+'Assumptions and Catalog'!$F$53,IF(L481&lt;='Assumptions and Catalog'!$C$54,L481*'Assumptions and Catalog'!$H$54+'Assumptions and Catalog'!$E$54+'Assumptions and Catalog'!$F$54,IF(L481&lt;='Assumptions and Catalog'!$C$55,L481*'Assumptions and Catalog'!$H$55+'Assumptions and Catalog'!$E$55+'Assumptions and Catalog'!$F$55,IF(L481&lt;='Assumptions and Catalog'!$C$56,L481*'Assumptions and Catalog'!$H$56+'Assumptions and Catalog'!$E$56+'Assumptions and Catalog'!$F$56,IF(L481&lt;='Assumptions and Catalog'!$C$57,L481*'Assumptions and Catalog'!$H$57+'Assumptions and Catalog'!$E$57+'Assumptions and Catalog'!$F$57,"Out of range")))))))),IF(L481&lt;='Assumptions and Catalog'!$C$60,L481*'Assumptions and Catalog'!$H$60+'Assumptions and Catalog'!$E$60+'Assumptions and Catalog'!$F$60,IF(L481&lt;='Assumptions and Catalog'!$C$61,L481*'Assumptions and Catalog'!$H$61+'Assumptions and Catalog'!$E$61+'Assumptions and Catalog'!$F$61,IF(L481&lt;='Assumptions and Catalog'!$C$62,L481*'Assumptions and Catalog'!$H$62+'Assumptions and Catalog'!$E$62+'Assumptions and Catalog'!$F$62,IF(L481&lt;='Assumptions and Catalog'!$C$63,L481*'Assumptions and Catalog'!$H$63+'Assumptions and Catalog'!$E$63+'Assumptions and Catalog'!$F$63,IF(L481&lt;='Assumptions and Catalog'!$C$64,L481*'Assumptions and Catalog'!$H$64+'Assumptions and Catalog'!$E$64+'Assumptions and Catalog'!$F$64,IF(L481&lt;='Assumptions and Catalog'!$C$65,L481*'Assumptions and Catalog'!$H$65+'Assumptions and Catalog'!$E$65+'Assumptions and Catalog'!$F$65,"Out of range")))))))))*(1+'Assumptions and Catalog'!$C$8)^(A481-1),0)</f>
        <v>8279</v>
      </c>
      <c r="O481" s="5">
        <f t="shared" si="39"/>
        <v>0</v>
      </c>
      <c r="P481" s="5">
        <f>D$55*(1-K$14)*(1-'Assumptions and Catalog'!$C$23)^R481</f>
        <v>0</v>
      </c>
      <c r="Q481" s="5">
        <f>IF(ISNUMBER(Inputs!$L$5),(IF(Inputs!$L$9="Actual flat rate",((D481+E481)*C481-G481)*Inputs!$L$10,IF(Inputs!$C$9="Residential",IF(((D481+E481)*C481-G481)&lt;='Assumptions and Catalog'!$C$50,((D481+E481)*C481-G481)*'Assumptions and Catalog'!$H$50+'Assumptions and Catalog'!$E$50+'Assumptions and Catalog'!$F$50,IF(((D481+E481)*C481-G481)&lt;='Assumptions and Catalog'!$C$51,((D481+E481)*C481-G481)*'Assumptions and Catalog'!$H$51+'Assumptions and Catalog'!$E$51+'Assumptions and Catalog'!$F$51,IF(((D481+E481)*C481-G481)&lt;='Assumptions and Catalog'!$C$52,((D481+E481)*C481-G481)*'Assumptions and Catalog'!$H$52+'Assumptions and Catalog'!$E$52+'Assumptions and Catalog'!$F$52,IF(((D481+E481)*C481-G481)&lt;='Assumptions and Catalog'!$C$53,((D481+E481)*C481-G481)*'Assumptions and Catalog'!$H$53+'Assumptions and Catalog'!$E$53+'Assumptions and Catalog'!$F$53,IF(((D481+E481)*C481-G481)&lt;='Assumptions and Catalog'!$C$54,((D481+E481)*C481-G481)*'Assumptions and Catalog'!$H$54+'Assumptions and Catalog'!$E$54+'Assumptions and Catalog'!$F$54,IF(((D481+E481)*C481-G481)&lt;='Assumptions and Catalog'!$C$55,((D481+E481)*C481-G481)*'Assumptions and Catalog'!$H$55+'Assumptions and Catalog'!$E$55+'Assumptions and Catalog'!$F$55,IF(((D481+E481)*C481-G481)&lt;='Assumptions and Catalog'!$C$56,((D481+E481)*C481-G481)*'Assumptions and Catalog'!$H$56+'Assumptions and Catalog'!$E$56+'Assumptions and Catalog'!$F$56,IF(((D481+E481)*C481-G481)&lt;='Assumptions and Catalog'!$C$57,((D481+E481)*C481-G481)*'Assumptions and Catalog'!$H$57+'Assumptions and Catalog'!$E$57+'Assumptions and Catalog'!$F$57,"Out of range")))))))),IF(((D481+E481)*C481-G481)&lt;='Assumptions and Catalog'!$C$60,((D481+E481)*C481-G481)*'Assumptions and Catalog'!$H$60+'Assumptions and Catalog'!$E$60+'Assumptions and Catalog'!$F$60,IF(((D481+E481)*C481-G481)&lt;='Assumptions and Catalog'!$C$61,((D481+E481)*C481-G481)*'Assumptions and Catalog'!$H$61+'Assumptions and Catalog'!$E$61+'Assumptions and Catalog'!$F$61,IF(((D481+E481)*C481-G481)&lt;='Assumptions and Catalog'!$C$62,((D481+E481)*C481-G481)*'Assumptions and Catalog'!$H$62+'Assumptions and Catalog'!$E$62+'Assumptions and Catalog'!$F$62,IF(((D481+E481)*C481-G481)&lt;='Assumptions and Catalog'!$C$63,((D481+E481)*C481-G481)*'Assumptions and Catalog'!$H$63+'Assumptions and Catalog'!$E$63+'Assumptions and Catalog'!$F$63,IF(((D481+E481)*C481-G481)&lt;='Assumptions and Catalog'!$C$64,((D481+E481)*C481-G481)*'Assumptions and Catalog'!$H$64+'Assumptions and Catalog'!$E$64+'Assumptions and Catalog'!$F$64,IF(((D481+E481)*C481-G481)&lt;='Assumptions and Catalog'!$C$65,((D481+E481)*C481-G481)*'Assumptions and Catalog'!$H$65+'Assumptions and Catalog'!$E$65+'Assumptions and Catalog'!$F$65,"Out of range")))))))))*(1+'Assumptions and Catalog'!$C$8)^(A481-1),0)</f>
        <v>8279</v>
      </c>
      <c r="R481" s="5">
        <f>IF(AND('Assumptions and Catalog'!$C$19&gt;0,A481&gt;='Assumptions and Catalog'!$C$19),A481-'Assumptions and Catalog'!$C$19,A481-1)</f>
        <v>5</v>
      </c>
      <c r="S481" s="5">
        <f>F481+L481-(D481+E481)*C481-J481-K481-IF(D$52&gt;0,'Assumptions and Catalog'!$C$26*C481,0)</f>
        <v>0</v>
      </c>
      <c r="T481" s="5"/>
      <c r="U481" s="5"/>
    </row>
    <row r="482" spans="1:21" ht="23.1" customHeight="1" outlineLevel="1" x14ac:dyDescent="0.2">
      <c r="A482" s="5">
        <v>6</v>
      </c>
      <c r="B482" s="5">
        <v>12</v>
      </c>
      <c r="C482" s="5">
        <f>DAY(DATE('Assumptions and Catalog'!$C$24+A482-1,B482+1,0))</f>
        <v>31</v>
      </c>
      <c r="D482" s="5">
        <f>IF(ISNUMBER(Inputs!$L$5),Inputs!$L$5*Inputs!$L$6,0)</f>
        <v>40.35</v>
      </c>
      <c r="E482" s="5">
        <f>IF(ISNUMBER(Inputs!$L$5),Inputs!$L$5-D482,0)</f>
        <v>40.35</v>
      </c>
      <c r="F482" s="5">
        <f>D$51*'Assumptions and Catalog'!$C$31*C482*(1-'Assumptions and Catalog'!$C$10)^(A482-1)</f>
        <v>0</v>
      </c>
      <c r="G482" s="5">
        <f t="shared" si="36"/>
        <v>0</v>
      </c>
      <c r="H482" s="5">
        <f>I482/('Assumptions and Catalog'!$C$11*'Assumptions and Catalog'!$C$12)</f>
        <v>0</v>
      </c>
      <c r="I482" s="5">
        <f>IF(K$15="Grid cycle",MIN(K$16,D482+E482,P482*'Assumptions and Catalog'!$C$12,D$57*(24-'Assumptions and Catalog'!$C$15),D$56*'Assumptions and Catalog'!$C$15*'Assumptions and Catalog'!$C$11*'Assumptions and Catalog'!$C$12)*C482,0)</f>
        <v>0</v>
      </c>
      <c r="J482" s="5">
        <f t="shared" si="37"/>
        <v>0</v>
      </c>
      <c r="K482" s="5">
        <f t="shared" si="38"/>
        <v>0</v>
      </c>
      <c r="L482" s="5">
        <f>(D482+E482)*C482-G482-I482+H482+IF(D$52&gt;0,'Assumptions and Catalog'!$C$26*C482,0)</f>
        <v>2501.7000000000003</v>
      </c>
      <c r="M482" s="5">
        <f>IF(ISNUMBER(Inputs!$L$5),(IF(Inputs!$L$9="Actual flat rate",((D482+E482)*C482)*Inputs!$L$10,IF(Inputs!$C$9="Residential",IF(((D482+E482)*C482)&lt;='Assumptions and Catalog'!$C$50,((D482+E482)*C482)*'Assumptions and Catalog'!$H$50+'Assumptions and Catalog'!$E$50+'Assumptions and Catalog'!$F$50,IF(((D482+E482)*C482)&lt;='Assumptions and Catalog'!$C$51,((D482+E482)*C482)*'Assumptions and Catalog'!$H$51+'Assumptions and Catalog'!$E$51+'Assumptions and Catalog'!$F$51,IF(((D482+E482)*C482)&lt;='Assumptions and Catalog'!$C$52,((D482+E482)*C482)*'Assumptions and Catalog'!$H$52+'Assumptions and Catalog'!$E$52+'Assumptions and Catalog'!$F$52,IF(((D482+E482)*C482)&lt;='Assumptions and Catalog'!$C$53,((D482+E482)*C482)*'Assumptions and Catalog'!$H$53+'Assumptions and Catalog'!$E$53+'Assumptions and Catalog'!$F$53,IF(((D482+E482)*C482)&lt;='Assumptions and Catalog'!$C$54,((D482+E482)*C482)*'Assumptions and Catalog'!$H$54+'Assumptions and Catalog'!$E$54+'Assumptions and Catalog'!$F$54,IF(((D482+E482)*C482)&lt;='Assumptions and Catalog'!$C$55,((D482+E482)*C482)*'Assumptions and Catalog'!$H$55+'Assumptions and Catalog'!$E$55+'Assumptions and Catalog'!$F$55,IF(((D482+E482)*C482)&lt;='Assumptions and Catalog'!$C$56,((D482+E482)*C482)*'Assumptions and Catalog'!$H$56+'Assumptions and Catalog'!$E$56+'Assumptions and Catalog'!$F$56,IF(((D482+E482)*C482)&lt;='Assumptions and Catalog'!$C$57,((D482+E482)*C482)*'Assumptions and Catalog'!$H$57+'Assumptions and Catalog'!$E$57+'Assumptions and Catalog'!$F$57,"Out of range")))))))),IF(((D482+E482)*C482)&lt;='Assumptions and Catalog'!$C$60,((D482+E482)*C482)*'Assumptions and Catalog'!$H$60+'Assumptions and Catalog'!$E$60+'Assumptions and Catalog'!$F$60,IF(((D482+E482)*C482)&lt;='Assumptions and Catalog'!$C$61,((D482+E482)*C482)*'Assumptions and Catalog'!$H$61+'Assumptions and Catalog'!$E$61+'Assumptions and Catalog'!$F$61,IF(((D482+E482)*C482)&lt;='Assumptions and Catalog'!$C$62,((D482+E482)*C482)*'Assumptions and Catalog'!$H$62+'Assumptions and Catalog'!$E$62+'Assumptions and Catalog'!$F$62,IF(((D482+E482)*C482)&lt;='Assumptions and Catalog'!$C$63,((D482+E482)*C482)*'Assumptions and Catalog'!$H$63+'Assumptions and Catalog'!$E$63+'Assumptions and Catalog'!$F$63,IF(((D482+E482)*C482)&lt;='Assumptions and Catalog'!$C$64,((D482+E482)*C482)*'Assumptions and Catalog'!$H$64+'Assumptions and Catalog'!$E$64+'Assumptions and Catalog'!$F$64,IF(((D482+E482)*C482)&lt;='Assumptions and Catalog'!$C$65,((D482+E482)*C482)*'Assumptions and Catalog'!$H$65+'Assumptions and Catalog'!$E$65+'Assumptions and Catalog'!$F$65,"Out of range")))))))))*(1+'Assumptions and Catalog'!$C$8)^(A482-1),0)</f>
        <v>8554.9666666666672</v>
      </c>
      <c r="N482" s="5">
        <f>IF(ISNUMBER(Inputs!$L$5),(IF(Inputs!$L$9="Actual flat rate",L482*Inputs!$L$10,IF(Inputs!$C$9="Residential",IF(L482&lt;='Assumptions and Catalog'!$C$50,L482*'Assumptions and Catalog'!$H$50+'Assumptions and Catalog'!$E$50+'Assumptions and Catalog'!$F$50,IF(L482&lt;='Assumptions and Catalog'!$C$51,L482*'Assumptions and Catalog'!$H$51+'Assumptions and Catalog'!$E$51+'Assumptions and Catalog'!$F$51,IF(L482&lt;='Assumptions and Catalog'!$C$52,L482*'Assumptions and Catalog'!$H$52+'Assumptions and Catalog'!$E$52+'Assumptions and Catalog'!$F$52,IF(L482&lt;='Assumptions and Catalog'!$C$53,L482*'Assumptions and Catalog'!$H$53+'Assumptions and Catalog'!$E$53+'Assumptions and Catalog'!$F$53,IF(L482&lt;='Assumptions and Catalog'!$C$54,L482*'Assumptions and Catalog'!$H$54+'Assumptions and Catalog'!$E$54+'Assumptions and Catalog'!$F$54,IF(L482&lt;='Assumptions and Catalog'!$C$55,L482*'Assumptions and Catalog'!$H$55+'Assumptions and Catalog'!$E$55+'Assumptions and Catalog'!$F$55,IF(L482&lt;='Assumptions and Catalog'!$C$56,L482*'Assumptions and Catalog'!$H$56+'Assumptions and Catalog'!$E$56+'Assumptions and Catalog'!$F$56,IF(L482&lt;='Assumptions and Catalog'!$C$57,L482*'Assumptions and Catalog'!$H$57+'Assumptions and Catalog'!$E$57+'Assumptions and Catalog'!$F$57,"Out of range")))))))),IF(L482&lt;='Assumptions and Catalog'!$C$60,L482*'Assumptions and Catalog'!$H$60+'Assumptions and Catalog'!$E$60+'Assumptions and Catalog'!$F$60,IF(L482&lt;='Assumptions and Catalog'!$C$61,L482*'Assumptions and Catalog'!$H$61+'Assumptions and Catalog'!$E$61+'Assumptions and Catalog'!$F$61,IF(L482&lt;='Assumptions and Catalog'!$C$62,L482*'Assumptions and Catalog'!$H$62+'Assumptions and Catalog'!$E$62+'Assumptions and Catalog'!$F$62,IF(L482&lt;='Assumptions and Catalog'!$C$63,L482*'Assumptions and Catalog'!$H$63+'Assumptions and Catalog'!$E$63+'Assumptions and Catalog'!$F$63,IF(L482&lt;='Assumptions and Catalog'!$C$64,L482*'Assumptions and Catalog'!$H$64+'Assumptions and Catalog'!$E$64+'Assumptions and Catalog'!$F$64,IF(L482&lt;='Assumptions and Catalog'!$C$65,L482*'Assumptions and Catalog'!$H$65+'Assumptions and Catalog'!$E$65+'Assumptions and Catalog'!$F$65,"Out of range")))))))))*(1+'Assumptions and Catalog'!$C$8)^(A482-1),0)</f>
        <v>8554.9666666666672</v>
      </c>
      <c r="O482" s="5">
        <f t="shared" si="39"/>
        <v>0</v>
      </c>
      <c r="P482" s="5">
        <f>D$55*(1-K$14)*(1-'Assumptions and Catalog'!$C$23)^R482</f>
        <v>0</v>
      </c>
      <c r="Q482" s="5">
        <f>IF(ISNUMBER(Inputs!$L$5),(IF(Inputs!$L$9="Actual flat rate",((D482+E482)*C482-G482)*Inputs!$L$10,IF(Inputs!$C$9="Residential",IF(((D482+E482)*C482-G482)&lt;='Assumptions and Catalog'!$C$50,((D482+E482)*C482-G482)*'Assumptions and Catalog'!$H$50+'Assumptions and Catalog'!$E$50+'Assumptions and Catalog'!$F$50,IF(((D482+E482)*C482-G482)&lt;='Assumptions and Catalog'!$C$51,((D482+E482)*C482-G482)*'Assumptions and Catalog'!$H$51+'Assumptions and Catalog'!$E$51+'Assumptions and Catalog'!$F$51,IF(((D482+E482)*C482-G482)&lt;='Assumptions and Catalog'!$C$52,((D482+E482)*C482-G482)*'Assumptions and Catalog'!$H$52+'Assumptions and Catalog'!$E$52+'Assumptions and Catalog'!$F$52,IF(((D482+E482)*C482-G482)&lt;='Assumptions and Catalog'!$C$53,((D482+E482)*C482-G482)*'Assumptions and Catalog'!$H$53+'Assumptions and Catalog'!$E$53+'Assumptions and Catalog'!$F$53,IF(((D482+E482)*C482-G482)&lt;='Assumptions and Catalog'!$C$54,((D482+E482)*C482-G482)*'Assumptions and Catalog'!$H$54+'Assumptions and Catalog'!$E$54+'Assumptions and Catalog'!$F$54,IF(((D482+E482)*C482-G482)&lt;='Assumptions and Catalog'!$C$55,((D482+E482)*C482-G482)*'Assumptions and Catalog'!$H$55+'Assumptions and Catalog'!$E$55+'Assumptions and Catalog'!$F$55,IF(((D482+E482)*C482-G482)&lt;='Assumptions and Catalog'!$C$56,((D482+E482)*C482-G482)*'Assumptions and Catalog'!$H$56+'Assumptions and Catalog'!$E$56+'Assumptions and Catalog'!$F$56,IF(((D482+E482)*C482-G482)&lt;='Assumptions and Catalog'!$C$57,((D482+E482)*C482-G482)*'Assumptions and Catalog'!$H$57+'Assumptions and Catalog'!$E$57+'Assumptions and Catalog'!$F$57,"Out of range")))))))),IF(((D482+E482)*C482-G482)&lt;='Assumptions and Catalog'!$C$60,((D482+E482)*C482-G482)*'Assumptions and Catalog'!$H$60+'Assumptions and Catalog'!$E$60+'Assumptions and Catalog'!$F$60,IF(((D482+E482)*C482-G482)&lt;='Assumptions and Catalog'!$C$61,((D482+E482)*C482-G482)*'Assumptions and Catalog'!$H$61+'Assumptions and Catalog'!$E$61+'Assumptions and Catalog'!$F$61,IF(((D482+E482)*C482-G482)&lt;='Assumptions and Catalog'!$C$62,((D482+E482)*C482-G482)*'Assumptions and Catalog'!$H$62+'Assumptions and Catalog'!$E$62+'Assumptions and Catalog'!$F$62,IF(((D482+E482)*C482-G482)&lt;='Assumptions and Catalog'!$C$63,((D482+E482)*C482-G482)*'Assumptions and Catalog'!$H$63+'Assumptions and Catalog'!$E$63+'Assumptions and Catalog'!$F$63,IF(((D482+E482)*C482-G482)&lt;='Assumptions and Catalog'!$C$64,((D482+E482)*C482-G482)*'Assumptions and Catalog'!$H$64+'Assumptions and Catalog'!$E$64+'Assumptions and Catalog'!$F$64,IF(((D482+E482)*C482-G482)&lt;='Assumptions and Catalog'!$C$65,((D482+E482)*C482-G482)*'Assumptions and Catalog'!$H$65+'Assumptions and Catalog'!$E$65+'Assumptions and Catalog'!$F$65,"Out of range")))))))))*(1+'Assumptions and Catalog'!$C$8)^(A482-1),0)</f>
        <v>8554.9666666666672</v>
      </c>
      <c r="R482" s="5">
        <f>IF(AND('Assumptions and Catalog'!$C$19&gt;0,A482&gt;='Assumptions and Catalog'!$C$19),A482-'Assumptions and Catalog'!$C$19,A482-1)</f>
        <v>5</v>
      </c>
      <c r="S482" s="5">
        <f>F482+L482-(D482+E482)*C482-J482-K482-IF(D$52&gt;0,'Assumptions and Catalog'!$C$26*C482,0)</f>
        <v>0</v>
      </c>
      <c r="T482" s="5"/>
      <c r="U482" s="5"/>
    </row>
    <row r="483" spans="1:21" ht="23.1" customHeight="1" outlineLevel="1" x14ac:dyDescent="0.2">
      <c r="A483" s="5">
        <v>7</v>
      </c>
      <c r="B483" s="5">
        <v>1</v>
      </c>
      <c r="C483" s="5">
        <f>DAY(DATE('Assumptions and Catalog'!$C$24+A483-1,B483+1,0))</f>
        <v>31</v>
      </c>
      <c r="D483" s="5">
        <f>IF(ISNUMBER(Inputs!$L$5),Inputs!$L$5*Inputs!$L$6,0)</f>
        <v>40.35</v>
      </c>
      <c r="E483" s="5">
        <f>IF(ISNUMBER(Inputs!$L$5),Inputs!$L$5-D483,0)</f>
        <v>40.35</v>
      </c>
      <c r="F483" s="5">
        <f>D$51*'Assumptions and Catalog'!$C$31*C483*(1-'Assumptions and Catalog'!$C$10)^(A483-1)</f>
        <v>0</v>
      </c>
      <c r="G483" s="5">
        <f t="shared" si="36"/>
        <v>0</v>
      </c>
      <c r="H483" s="5">
        <f>I483/('Assumptions and Catalog'!$C$11*'Assumptions and Catalog'!$C$12)</f>
        <v>0</v>
      </c>
      <c r="I483" s="5">
        <f>IF(K$15="Grid cycle",MIN(K$16,D483+E483,P483*'Assumptions and Catalog'!$C$12,D$57*(24-'Assumptions and Catalog'!$C$15),D$56*'Assumptions and Catalog'!$C$15*'Assumptions and Catalog'!$C$11*'Assumptions and Catalog'!$C$12)*C483,0)</f>
        <v>0</v>
      </c>
      <c r="J483" s="5">
        <f t="shared" si="37"/>
        <v>0</v>
      </c>
      <c r="K483" s="5">
        <f t="shared" si="38"/>
        <v>0</v>
      </c>
      <c r="L483" s="5">
        <f>(D483+E483)*C483-G483-I483+H483+IF(D$52&gt;0,'Assumptions and Catalog'!$C$26*C483,0)</f>
        <v>2501.7000000000003</v>
      </c>
      <c r="M483" s="5">
        <f>IF(ISNUMBER(Inputs!$L$5),(IF(Inputs!$L$9="Actual flat rate",((D483+E483)*C483)*Inputs!$L$10,IF(Inputs!$C$9="Residential",IF(((D483+E483)*C483)&lt;='Assumptions and Catalog'!$C$50,((D483+E483)*C483)*'Assumptions and Catalog'!$H$50+'Assumptions and Catalog'!$E$50+'Assumptions and Catalog'!$F$50,IF(((D483+E483)*C483)&lt;='Assumptions and Catalog'!$C$51,((D483+E483)*C483)*'Assumptions and Catalog'!$H$51+'Assumptions and Catalog'!$E$51+'Assumptions and Catalog'!$F$51,IF(((D483+E483)*C483)&lt;='Assumptions and Catalog'!$C$52,((D483+E483)*C483)*'Assumptions and Catalog'!$H$52+'Assumptions and Catalog'!$E$52+'Assumptions and Catalog'!$F$52,IF(((D483+E483)*C483)&lt;='Assumptions and Catalog'!$C$53,((D483+E483)*C483)*'Assumptions and Catalog'!$H$53+'Assumptions and Catalog'!$E$53+'Assumptions and Catalog'!$F$53,IF(((D483+E483)*C483)&lt;='Assumptions and Catalog'!$C$54,((D483+E483)*C483)*'Assumptions and Catalog'!$H$54+'Assumptions and Catalog'!$E$54+'Assumptions and Catalog'!$F$54,IF(((D483+E483)*C483)&lt;='Assumptions and Catalog'!$C$55,((D483+E483)*C483)*'Assumptions and Catalog'!$H$55+'Assumptions and Catalog'!$E$55+'Assumptions and Catalog'!$F$55,IF(((D483+E483)*C483)&lt;='Assumptions and Catalog'!$C$56,((D483+E483)*C483)*'Assumptions and Catalog'!$H$56+'Assumptions and Catalog'!$E$56+'Assumptions and Catalog'!$F$56,IF(((D483+E483)*C483)&lt;='Assumptions and Catalog'!$C$57,((D483+E483)*C483)*'Assumptions and Catalog'!$H$57+'Assumptions and Catalog'!$E$57+'Assumptions and Catalog'!$F$57,"Out of range")))))))),IF(((D483+E483)*C483)&lt;='Assumptions and Catalog'!$C$60,((D483+E483)*C483)*'Assumptions and Catalog'!$H$60+'Assumptions and Catalog'!$E$60+'Assumptions and Catalog'!$F$60,IF(((D483+E483)*C483)&lt;='Assumptions and Catalog'!$C$61,((D483+E483)*C483)*'Assumptions and Catalog'!$H$61+'Assumptions and Catalog'!$E$61+'Assumptions and Catalog'!$F$61,IF(((D483+E483)*C483)&lt;='Assumptions and Catalog'!$C$62,((D483+E483)*C483)*'Assumptions and Catalog'!$H$62+'Assumptions and Catalog'!$E$62+'Assumptions and Catalog'!$F$62,IF(((D483+E483)*C483)&lt;='Assumptions and Catalog'!$C$63,((D483+E483)*C483)*'Assumptions and Catalog'!$H$63+'Assumptions and Catalog'!$E$63+'Assumptions and Catalog'!$F$63,IF(((D483+E483)*C483)&lt;='Assumptions and Catalog'!$C$64,((D483+E483)*C483)*'Assumptions and Catalog'!$H$64+'Assumptions and Catalog'!$E$64+'Assumptions and Catalog'!$F$64,IF(((D483+E483)*C483)&lt;='Assumptions and Catalog'!$C$65,((D483+E483)*C483)*'Assumptions and Catalog'!$H$65+'Assumptions and Catalog'!$E$65+'Assumptions and Catalog'!$F$65,"Out of range")))))))))*(1+'Assumptions and Catalog'!$C$8)^(A483-1),0)</f>
        <v>8554.9666666666672</v>
      </c>
      <c r="N483" s="5">
        <f>IF(ISNUMBER(Inputs!$L$5),(IF(Inputs!$L$9="Actual flat rate",L483*Inputs!$L$10,IF(Inputs!$C$9="Residential",IF(L483&lt;='Assumptions and Catalog'!$C$50,L483*'Assumptions and Catalog'!$H$50+'Assumptions and Catalog'!$E$50+'Assumptions and Catalog'!$F$50,IF(L483&lt;='Assumptions and Catalog'!$C$51,L483*'Assumptions and Catalog'!$H$51+'Assumptions and Catalog'!$E$51+'Assumptions and Catalog'!$F$51,IF(L483&lt;='Assumptions and Catalog'!$C$52,L483*'Assumptions and Catalog'!$H$52+'Assumptions and Catalog'!$E$52+'Assumptions and Catalog'!$F$52,IF(L483&lt;='Assumptions and Catalog'!$C$53,L483*'Assumptions and Catalog'!$H$53+'Assumptions and Catalog'!$E$53+'Assumptions and Catalog'!$F$53,IF(L483&lt;='Assumptions and Catalog'!$C$54,L483*'Assumptions and Catalog'!$H$54+'Assumptions and Catalog'!$E$54+'Assumptions and Catalog'!$F$54,IF(L483&lt;='Assumptions and Catalog'!$C$55,L483*'Assumptions and Catalog'!$H$55+'Assumptions and Catalog'!$E$55+'Assumptions and Catalog'!$F$55,IF(L483&lt;='Assumptions and Catalog'!$C$56,L483*'Assumptions and Catalog'!$H$56+'Assumptions and Catalog'!$E$56+'Assumptions and Catalog'!$F$56,IF(L483&lt;='Assumptions and Catalog'!$C$57,L483*'Assumptions and Catalog'!$H$57+'Assumptions and Catalog'!$E$57+'Assumptions and Catalog'!$F$57,"Out of range")))))))),IF(L483&lt;='Assumptions and Catalog'!$C$60,L483*'Assumptions and Catalog'!$H$60+'Assumptions and Catalog'!$E$60+'Assumptions and Catalog'!$F$60,IF(L483&lt;='Assumptions and Catalog'!$C$61,L483*'Assumptions and Catalog'!$H$61+'Assumptions and Catalog'!$E$61+'Assumptions and Catalog'!$F$61,IF(L483&lt;='Assumptions and Catalog'!$C$62,L483*'Assumptions and Catalog'!$H$62+'Assumptions and Catalog'!$E$62+'Assumptions and Catalog'!$F$62,IF(L483&lt;='Assumptions and Catalog'!$C$63,L483*'Assumptions and Catalog'!$H$63+'Assumptions and Catalog'!$E$63+'Assumptions and Catalog'!$F$63,IF(L483&lt;='Assumptions and Catalog'!$C$64,L483*'Assumptions and Catalog'!$H$64+'Assumptions and Catalog'!$E$64+'Assumptions and Catalog'!$F$64,IF(L483&lt;='Assumptions and Catalog'!$C$65,L483*'Assumptions and Catalog'!$H$65+'Assumptions and Catalog'!$E$65+'Assumptions and Catalog'!$F$65,"Out of range")))))))))*(1+'Assumptions and Catalog'!$C$8)^(A483-1),0)</f>
        <v>8554.9666666666672</v>
      </c>
      <c r="O483" s="5">
        <f t="shared" si="39"/>
        <v>0</v>
      </c>
      <c r="P483" s="5">
        <f>D$55*(1-K$14)*(1-'Assumptions and Catalog'!$C$23)^R483</f>
        <v>0</v>
      </c>
      <c r="Q483" s="5">
        <f>IF(ISNUMBER(Inputs!$L$5),(IF(Inputs!$L$9="Actual flat rate",((D483+E483)*C483-G483)*Inputs!$L$10,IF(Inputs!$C$9="Residential",IF(((D483+E483)*C483-G483)&lt;='Assumptions and Catalog'!$C$50,((D483+E483)*C483-G483)*'Assumptions and Catalog'!$H$50+'Assumptions and Catalog'!$E$50+'Assumptions and Catalog'!$F$50,IF(((D483+E483)*C483-G483)&lt;='Assumptions and Catalog'!$C$51,((D483+E483)*C483-G483)*'Assumptions and Catalog'!$H$51+'Assumptions and Catalog'!$E$51+'Assumptions and Catalog'!$F$51,IF(((D483+E483)*C483-G483)&lt;='Assumptions and Catalog'!$C$52,((D483+E483)*C483-G483)*'Assumptions and Catalog'!$H$52+'Assumptions and Catalog'!$E$52+'Assumptions and Catalog'!$F$52,IF(((D483+E483)*C483-G483)&lt;='Assumptions and Catalog'!$C$53,((D483+E483)*C483-G483)*'Assumptions and Catalog'!$H$53+'Assumptions and Catalog'!$E$53+'Assumptions and Catalog'!$F$53,IF(((D483+E483)*C483-G483)&lt;='Assumptions and Catalog'!$C$54,((D483+E483)*C483-G483)*'Assumptions and Catalog'!$H$54+'Assumptions and Catalog'!$E$54+'Assumptions and Catalog'!$F$54,IF(((D483+E483)*C483-G483)&lt;='Assumptions and Catalog'!$C$55,((D483+E483)*C483-G483)*'Assumptions and Catalog'!$H$55+'Assumptions and Catalog'!$E$55+'Assumptions and Catalog'!$F$55,IF(((D483+E483)*C483-G483)&lt;='Assumptions and Catalog'!$C$56,((D483+E483)*C483-G483)*'Assumptions and Catalog'!$H$56+'Assumptions and Catalog'!$E$56+'Assumptions and Catalog'!$F$56,IF(((D483+E483)*C483-G483)&lt;='Assumptions and Catalog'!$C$57,((D483+E483)*C483-G483)*'Assumptions and Catalog'!$H$57+'Assumptions and Catalog'!$E$57+'Assumptions and Catalog'!$F$57,"Out of range")))))))),IF(((D483+E483)*C483-G483)&lt;='Assumptions and Catalog'!$C$60,((D483+E483)*C483-G483)*'Assumptions and Catalog'!$H$60+'Assumptions and Catalog'!$E$60+'Assumptions and Catalog'!$F$60,IF(((D483+E483)*C483-G483)&lt;='Assumptions and Catalog'!$C$61,((D483+E483)*C483-G483)*'Assumptions and Catalog'!$H$61+'Assumptions and Catalog'!$E$61+'Assumptions and Catalog'!$F$61,IF(((D483+E483)*C483-G483)&lt;='Assumptions and Catalog'!$C$62,((D483+E483)*C483-G483)*'Assumptions and Catalog'!$H$62+'Assumptions and Catalog'!$E$62+'Assumptions and Catalog'!$F$62,IF(((D483+E483)*C483-G483)&lt;='Assumptions and Catalog'!$C$63,((D483+E483)*C483-G483)*'Assumptions and Catalog'!$H$63+'Assumptions and Catalog'!$E$63+'Assumptions and Catalog'!$F$63,IF(((D483+E483)*C483-G483)&lt;='Assumptions and Catalog'!$C$64,((D483+E483)*C483-G483)*'Assumptions and Catalog'!$H$64+'Assumptions and Catalog'!$E$64+'Assumptions and Catalog'!$F$64,IF(((D483+E483)*C483-G483)&lt;='Assumptions and Catalog'!$C$65,((D483+E483)*C483-G483)*'Assumptions and Catalog'!$H$65+'Assumptions and Catalog'!$E$65+'Assumptions and Catalog'!$F$65,"Out of range")))))))))*(1+'Assumptions and Catalog'!$C$8)^(A483-1),0)</f>
        <v>8554.9666666666672</v>
      </c>
      <c r="R483" s="5">
        <f>IF(AND('Assumptions and Catalog'!$C$19&gt;0,A483&gt;='Assumptions and Catalog'!$C$19),A483-'Assumptions and Catalog'!$C$19,A483-1)</f>
        <v>6</v>
      </c>
      <c r="S483" s="5">
        <f>F483+L483-(D483+E483)*C483-J483-K483-IF(D$52&gt;0,'Assumptions and Catalog'!$C$26*C483,0)</f>
        <v>0</v>
      </c>
      <c r="T483" s="5"/>
      <c r="U483" s="5"/>
    </row>
    <row r="484" spans="1:21" ht="23.1" customHeight="1" outlineLevel="1" x14ac:dyDescent="0.2">
      <c r="A484" s="5">
        <v>7</v>
      </c>
      <c r="B484" s="5">
        <v>2</v>
      </c>
      <c r="C484" s="5">
        <f>DAY(DATE('Assumptions and Catalog'!$C$24+A484-1,B484+1,0))</f>
        <v>28</v>
      </c>
      <c r="D484" s="5">
        <f>IF(ISNUMBER(Inputs!$L$5),Inputs!$L$5*Inputs!$L$6,0)</f>
        <v>40.35</v>
      </c>
      <c r="E484" s="5">
        <f>IF(ISNUMBER(Inputs!$L$5),Inputs!$L$5-D484,0)</f>
        <v>40.35</v>
      </c>
      <c r="F484" s="5">
        <f>D$51*'Assumptions and Catalog'!$C$31*C484*(1-'Assumptions and Catalog'!$C$10)^(A484-1)</f>
        <v>0</v>
      </c>
      <c r="G484" s="5">
        <f t="shared" si="36"/>
        <v>0</v>
      </c>
      <c r="H484" s="5">
        <f>I484/('Assumptions and Catalog'!$C$11*'Assumptions and Catalog'!$C$12)</f>
        <v>0</v>
      </c>
      <c r="I484" s="5">
        <f>IF(K$15="Grid cycle",MIN(K$16,D484+E484,P484*'Assumptions and Catalog'!$C$12,D$57*(24-'Assumptions and Catalog'!$C$15),D$56*'Assumptions and Catalog'!$C$15*'Assumptions and Catalog'!$C$11*'Assumptions and Catalog'!$C$12)*C484,0)</f>
        <v>0</v>
      </c>
      <c r="J484" s="5">
        <f t="shared" si="37"/>
        <v>0</v>
      </c>
      <c r="K484" s="5">
        <f t="shared" si="38"/>
        <v>0</v>
      </c>
      <c r="L484" s="5">
        <f>(D484+E484)*C484-G484-I484+H484+IF(D$52&gt;0,'Assumptions and Catalog'!$C$26*C484,0)</f>
        <v>2259.6</v>
      </c>
      <c r="M484" s="5">
        <f>IF(ISNUMBER(Inputs!$L$5),(IF(Inputs!$L$9="Actual flat rate",((D484+E484)*C484)*Inputs!$L$10,IF(Inputs!$C$9="Residential",IF(((D484+E484)*C484)&lt;='Assumptions and Catalog'!$C$50,((D484+E484)*C484)*'Assumptions and Catalog'!$H$50+'Assumptions and Catalog'!$E$50+'Assumptions and Catalog'!$F$50,IF(((D484+E484)*C484)&lt;='Assumptions and Catalog'!$C$51,((D484+E484)*C484)*'Assumptions and Catalog'!$H$51+'Assumptions and Catalog'!$E$51+'Assumptions and Catalog'!$F$51,IF(((D484+E484)*C484)&lt;='Assumptions and Catalog'!$C$52,((D484+E484)*C484)*'Assumptions and Catalog'!$H$52+'Assumptions and Catalog'!$E$52+'Assumptions and Catalog'!$F$52,IF(((D484+E484)*C484)&lt;='Assumptions and Catalog'!$C$53,((D484+E484)*C484)*'Assumptions and Catalog'!$H$53+'Assumptions and Catalog'!$E$53+'Assumptions and Catalog'!$F$53,IF(((D484+E484)*C484)&lt;='Assumptions and Catalog'!$C$54,((D484+E484)*C484)*'Assumptions and Catalog'!$H$54+'Assumptions and Catalog'!$E$54+'Assumptions and Catalog'!$F$54,IF(((D484+E484)*C484)&lt;='Assumptions and Catalog'!$C$55,((D484+E484)*C484)*'Assumptions and Catalog'!$H$55+'Assumptions and Catalog'!$E$55+'Assumptions and Catalog'!$F$55,IF(((D484+E484)*C484)&lt;='Assumptions and Catalog'!$C$56,((D484+E484)*C484)*'Assumptions and Catalog'!$H$56+'Assumptions and Catalog'!$E$56+'Assumptions and Catalog'!$F$56,IF(((D484+E484)*C484)&lt;='Assumptions and Catalog'!$C$57,((D484+E484)*C484)*'Assumptions and Catalog'!$H$57+'Assumptions and Catalog'!$E$57+'Assumptions and Catalog'!$F$57,"Out of range")))))))),IF(((D484+E484)*C484)&lt;='Assumptions and Catalog'!$C$60,((D484+E484)*C484)*'Assumptions and Catalog'!$H$60+'Assumptions and Catalog'!$E$60+'Assumptions and Catalog'!$F$60,IF(((D484+E484)*C484)&lt;='Assumptions and Catalog'!$C$61,((D484+E484)*C484)*'Assumptions and Catalog'!$H$61+'Assumptions and Catalog'!$E$61+'Assumptions and Catalog'!$F$61,IF(((D484+E484)*C484)&lt;='Assumptions and Catalog'!$C$62,((D484+E484)*C484)*'Assumptions and Catalog'!$H$62+'Assumptions and Catalog'!$E$62+'Assumptions and Catalog'!$F$62,IF(((D484+E484)*C484)&lt;='Assumptions and Catalog'!$C$63,((D484+E484)*C484)*'Assumptions and Catalog'!$H$63+'Assumptions and Catalog'!$E$63+'Assumptions and Catalog'!$F$63,IF(((D484+E484)*C484)&lt;='Assumptions and Catalog'!$C$64,((D484+E484)*C484)*'Assumptions and Catalog'!$H$64+'Assumptions and Catalog'!$E$64+'Assumptions and Catalog'!$F$64,IF(((D484+E484)*C484)&lt;='Assumptions and Catalog'!$C$65,((D484+E484)*C484)*'Assumptions and Catalog'!$H$65+'Assumptions and Catalog'!$E$65+'Assumptions and Catalog'!$F$65,"Out of range")))))))))*(1+'Assumptions and Catalog'!$C$8)^(A484-1),0)</f>
        <v>7727.0666666666657</v>
      </c>
      <c r="N484" s="5">
        <f>IF(ISNUMBER(Inputs!$L$5),(IF(Inputs!$L$9="Actual flat rate",L484*Inputs!$L$10,IF(Inputs!$C$9="Residential",IF(L484&lt;='Assumptions and Catalog'!$C$50,L484*'Assumptions and Catalog'!$H$50+'Assumptions and Catalog'!$E$50+'Assumptions and Catalog'!$F$50,IF(L484&lt;='Assumptions and Catalog'!$C$51,L484*'Assumptions and Catalog'!$H$51+'Assumptions and Catalog'!$E$51+'Assumptions and Catalog'!$F$51,IF(L484&lt;='Assumptions and Catalog'!$C$52,L484*'Assumptions and Catalog'!$H$52+'Assumptions and Catalog'!$E$52+'Assumptions and Catalog'!$F$52,IF(L484&lt;='Assumptions and Catalog'!$C$53,L484*'Assumptions and Catalog'!$H$53+'Assumptions and Catalog'!$E$53+'Assumptions and Catalog'!$F$53,IF(L484&lt;='Assumptions and Catalog'!$C$54,L484*'Assumptions and Catalog'!$H$54+'Assumptions and Catalog'!$E$54+'Assumptions and Catalog'!$F$54,IF(L484&lt;='Assumptions and Catalog'!$C$55,L484*'Assumptions and Catalog'!$H$55+'Assumptions and Catalog'!$E$55+'Assumptions and Catalog'!$F$55,IF(L484&lt;='Assumptions and Catalog'!$C$56,L484*'Assumptions and Catalog'!$H$56+'Assumptions and Catalog'!$E$56+'Assumptions and Catalog'!$F$56,IF(L484&lt;='Assumptions and Catalog'!$C$57,L484*'Assumptions and Catalog'!$H$57+'Assumptions and Catalog'!$E$57+'Assumptions and Catalog'!$F$57,"Out of range")))))))),IF(L484&lt;='Assumptions and Catalog'!$C$60,L484*'Assumptions and Catalog'!$H$60+'Assumptions and Catalog'!$E$60+'Assumptions and Catalog'!$F$60,IF(L484&lt;='Assumptions and Catalog'!$C$61,L484*'Assumptions and Catalog'!$H$61+'Assumptions and Catalog'!$E$61+'Assumptions and Catalog'!$F$61,IF(L484&lt;='Assumptions and Catalog'!$C$62,L484*'Assumptions and Catalog'!$H$62+'Assumptions and Catalog'!$E$62+'Assumptions and Catalog'!$F$62,IF(L484&lt;='Assumptions and Catalog'!$C$63,L484*'Assumptions and Catalog'!$H$63+'Assumptions and Catalog'!$E$63+'Assumptions and Catalog'!$F$63,IF(L484&lt;='Assumptions and Catalog'!$C$64,L484*'Assumptions and Catalog'!$H$64+'Assumptions and Catalog'!$E$64+'Assumptions and Catalog'!$F$64,IF(L484&lt;='Assumptions and Catalog'!$C$65,L484*'Assumptions and Catalog'!$H$65+'Assumptions and Catalog'!$E$65+'Assumptions and Catalog'!$F$65,"Out of range")))))))))*(1+'Assumptions and Catalog'!$C$8)^(A484-1),0)</f>
        <v>7727.0666666666657</v>
      </c>
      <c r="O484" s="5">
        <f t="shared" si="39"/>
        <v>0</v>
      </c>
      <c r="P484" s="5">
        <f>D$55*(1-K$14)*(1-'Assumptions and Catalog'!$C$23)^R484</f>
        <v>0</v>
      </c>
      <c r="Q484" s="5">
        <f>IF(ISNUMBER(Inputs!$L$5),(IF(Inputs!$L$9="Actual flat rate",((D484+E484)*C484-G484)*Inputs!$L$10,IF(Inputs!$C$9="Residential",IF(((D484+E484)*C484-G484)&lt;='Assumptions and Catalog'!$C$50,((D484+E484)*C484-G484)*'Assumptions and Catalog'!$H$50+'Assumptions and Catalog'!$E$50+'Assumptions and Catalog'!$F$50,IF(((D484+E484)*C484-G484)&lt;='Assumptions and Catalog'!$C$51,((D484+E484)*C484-G484)*'Assumptions and Catalog'!$H$51+'Assumptions and Catalog'!$E$51+'Assumptions and Catalog'!$F$51,IF(((D484+E484)*C484-G484)&lt;='Assumptions and Catalog'!$C$52,((D484+E484)*C484-G484)*'Assumptions and Catalog'!$H$52+'Assumptions and Catalog'!$E$52+'Assumptions and Catalog'!$F$52,IF(((D484+E484)*C484-G484)&lt;='Assumptions and Catalog'!$C$53,((D484+E484)*C484-G484)*'Assumptions and Catalog'!$H$53+'Assumptions and Catalog'!$E$53+'Assumptions and Catalog'!$F$53,IF(((D484+E484)*C484-G484)&lt;='Assumptions and Catalog'!$C$54,((D484+E484)*C484-G484)*'Assumptions and Catalog'!$H$54+'Assumptions and Catalog'!$E$54+'Assumptions and Catalog'!$F$54,IF(((D484+E484)*C484-G484)&lt;='Assumptions and Catalog'!$C$55,((D484+E484)*C484-G484)*'Assumptions and Catalog'!$H$55+'Assumptions and Catalog'!$E$55+'Assumptions and Catalog'!$F$55,IF(((D484+E484)*C484-G484)&lt;='Assumptions and Catalog'!$C$56,((D484+E484)*C484-G484)*'Assumptions and Catalog'!$H$56+'Assumptions and Catalog'!$E$56+'Assumptions and Catalog'!$F$56,IF(((D484+E484)*C484-G484)&lt;='Assumptions and Catalog'!$C$57,((D484+E484)*C484-G484)*'Assumptions and Catalog'!$H$57+'Assumptions and Catalog'!$E$57+'Assumptions and Catalog'!$F$57,"Out of range")))))))),IF(((D484+E484)*C484-G484)&lt;='Assumptions and Catalog'!$C$60,((D484+E484)*C484-G484)*'Assumptions and Catalog'!$H$60+'Assumptions and Catalog'!$E$60+'Assumptions and Catalog'!$F$60,IF(((D484+E484)*C484-G484)&lt;='Assumptions and Catalog'!$C$61,((D484+E484)*C484-G484)*'Assumptions and Catalog'!$H$61+'Assumptions and Catalog'!$E$61+'Assumptions and Catalog'!$F$61,IF(((D484+E484)*C484-G484)&lt;='Assumptions and Catalog'!$C$62,((D484+E484)*C484-G484)*'Assumptions and Catalog'!$H$62+'Assumptions and Catalog'!$E$62+'Assumptions and Catalog'!$F$62,IF(((D484+E484)*C484-G484)&lt;='Assumptions and Catalog'!$C$63,((D484+E484)*C484-G484)*'Assumptions and Catalog'!$H$63+'Assumptions and Catalog'!$E$63+'Assumptions and Catalog'!$F$63,IF(((D484+E484)*C484-G484)&lt;='Assumptions and Catalog'!$C$64,((D484+E484)*C484-G484)*'Assumptions and Catalog'!$H$64+'Assumptions and Catalog'!$E$64+'Assumptions and Catalog'!$F$64,IF(((D484+E484)*C484-G484)&lt;='Assumptions and Catalog'!$C$65,((D484+E484)*C484-G484)*'Assumptions and Catalog'!$H$65+'Assumptions and Catalog'!$E$65+'Assumptions and Catalog'!$F$65,"Out of range")))))))))*(1+'Assumptions and Catalog'!$C$8)^(A484-1),0)</f>
        <v>7727.0666666666657</v>
      </c>
      <c r="R484" s="5">
        <f>IF(AND('Assumptions and Catalog'!$C$19&gt;0,A484&gt;='Assumptions and Catalog'!$C$19),A484-'Assumptions and Catalog'!$C$19,A484-1)</f>
        <v>6</v>
      </c>
      <c r="S484" s="5">
        <f>F484+L484-(D484+E484)*C484-J484-K484-IF(D$52&gt;0,'Assumptions and Catalog'!$C$26*C484,0)</f>
        <v>0</v>
      </c>
      <c r="T484" s="5"/>
      <c r="U484" s="5"/>
    </row>
    <row r="485" spans="1:21" ht="23.1" customHeight="1" outlineLevel="1" x14ac:dyDescent="0.2">
      <c r="A485" s="5">
        <v>7</v>
      </c>
      <c r="B485" s="5">
        <v>3</v>
      </c>
      <c r="C485" s="5">
        <f>DAY(DATE('Assumptions and Catalog'!$C$24+A485-1,B485+1,0))</f>
        <v>31</v>
      </c>
      <c r="D485" s="5">
        <f>IF(ISNUMBER(Inputs!$L$5),Inputs!$L$5*Inputs!$L$6,0)</f>
        <v>40.35</v>
      </c>
      <c r="E485" s="5">
        <f>IF(ISNUMBER(Inputs!$L$5),Inputs!$L$5-D485,0)</f>
        <v>40.35</v>
      </c>
      <c r="F485" s="5">
        <f>D$51*'Assumptions and Catalog'!$C$31*C485*(1-'Assumptions and Catalog'!$C$10)^(A485-1)</f>
        <v>0</v>
      </c>
      <c r="G485" s="5">
        <f t="shared" si="36"/>
        <v>0</v>
      </c>
      <c r="H485" s="5">
        <f>I485/('Assumptions and Catalog'!$C$11*'Assumptions and Catalog'!$C$12)</f>
        <v>0</v>
      </c>
      <c r="I485" s="5">
        <f>IF(K$15="Grid cycle",MIN(K$16,D485+E485,P485*'Assumptions and Catalog'!$C$12,D$57*(24-'Assumptions and Catalog'!$C$15),D$56*'Assumptions and Catalog'!$C$15*'Assumptions and Catalog'!$C$11*'Assumptions and Catalog'!$C$12)*C485,0)</f>
        <v>0</v>
      </c>
      <c r="J485" s="5">
        <f t="shared" si="37"/>
        <v>0</v>
      </c>
      <c r="K485" s="5">
        <f t="shared" si="38"/>
        <v>0</v>
      </c>
      <c r="L485" s="5">
        <f>(D485+E485)*C485-G485-I485+H485+IF(D$52&gt;0,'Assumptions and Catalog'!$C$26*C485,0)</f>
        <v>2501.7000000000003</v>
      </c>
      <c r="M485" s="5">
        <f>IF(ISNUMBER(Inputs!$L$5),(IF(Inputs!$L$9="Actual flat rate",((D485+E485)*C485)*Inputs!$L$10,IF(Inputs!$C$9="Residential",IF(((D485+E485)*C485)&lt;='Assumptions and Catalog'!$C$50,((D485+E485)*C485)*'Assumptions and Catalog'!$H$50+'Assumptions and Catalog'!$E$50+'Assumptions and Catalog'!$F$50,IF(((D485+E485)*C485)&lt;='Assumptions and Catalog'!$C$51,((D485+E485)*C485)*'Assumptions and Catalog'!$H$51+'Assumptions and Catalog'!$E$51+'Assumptions and Catalog'!$F$51,IF(((D485+E485)*C485)&lt;='Assumptions and Catalog'!$C$52,((D485+E485)*C485)*'Assumptions and Catalog'!$H$52+'Assumptions and Catalog'!$E$52+'Assumptions and Catalog'!$F$52,IF(((D485+E485)*C485)&lt;='Assumptions and Catalog'!$C$53,((D485+E485)*C485)*'Assumptions and Catalog'!$H$53+'Assumptions and Catalog'!$E$53+'Assumptions and Catalog'!$F$53,IF(((D485+E485)*C485)&lt;='Assumptions and Catalog'!$C$54,((D485+E485)*C485)*'Assumptions and Catalog'!$H$54+'Assumptions and Catalog'!$E$54+'Assumptions and Catalog'!$F$54,IF(((D485+E485)*C485)&lt;='Assumptions and Catalog'!$C$55,((D485+E485)*C485)*'Assumptions and Catalog'!$H$55+'Assumptions and Catalog'!$E$55+'Assumptions and Catalog'!$F$55,IF(((D485+E485)*C485)&lt;='Assumptions and Catalog'!$C$56,((D485+E485)*C485)*'Assumptions and Catalog'!$H$56+'Assumptions and Catalog'!$E$56+'Assumptions and Catalog'!$F$56,IF(((D485+E485)*C485)&lt;='Assumptions and Catalog'!$C$57,((D485+E485)*C485)*'Assumptions and Catalog'!$H$57+'Assumptions and Catalog'!$E$57+'Assumptions and Catalog'!$F$57,"Out of range")))))))),IF(((D485+E485)*C485)&lt;='Assumptions and Catalog'!$C$60,((D485+E485)*C485)*'Assumptions and Catalog'!$H$60+'Assumptions and Catalog'!$E$60+'Assumptions and Catalog'!$F$60,IF(((D485+E485)*C485)&lt;='Assumptions and Catalog'!$C$61,((D485+E485)*C485)*'Assumptions and Catalog'!$H$61+'Assumptions and Catalog'!$E$61+'Assumptions and Catalog'!$F$61,IF(((D485+E485)*C485)&lt;='Assumptions and Catalog'!$C$62,((D485+E485)*C485)*'Assumptions and Catalog'!$H$62+'Assumptions and Catalog'!$E$62+'Assumptions and Catalog'!$F$62,IF(((D485+E485)*C485)&lt;='Assumptions and Catalog'!$C$63,((D485+E485)*C485)*'Assumptions and Catalog'!$H$63+'Assumptions and Catalog'!$E$63+'Assumptions and Catalog'!$F$63,IF(((D485+E485)*C485)&lt;='Assumptions and Catalog'!$C$64,((D485+E485)*C485)*'Assumptions and Catalog'!$H$64+'Assumptions and Catalog'!$E$64+'Assumptions and Catalog'!$F$64,IF(((D485+E485)*C485)&lt;='Assumptions and Catalog'!$C$65,((D485+E485)*C485)*'Assumptions and Catalog'!$H$65+'Assumptions and Catalog'!$E$65+'Assumptions and Catalog'!$F$65,"Out of range")))))))))*(1+'Assumptions and Catalog'!$C$8)^(A485-1),0)</f>
        <v>8554.9666666666672</v>
      </c>
      <c r="N485" s="5">
        <f>IF(ISNUMBER(Inputs!$L$5),(IF(Inputs!$L$9="Actual flat rate",L485*Inputs!$L$10,IF(Inputs!$C$9="Residential",IF(L485&lt;='Assumptions and Catalog'!$C$50,L485*'Assumptions and Catalog'!$H$50+'Assumptions and Catalog'!$E$50+'Assumptions and Catalog'!$F$50,IF(L485&lt;='Assumptions and Catalog'!$C$51,L485*'Assumptions and Catalog'!$H$51+'Assumptions and Catalog'!$E$51+'Assumptions and Catalog'!$F$51,IF(L485&lt;='Assumptions and Catalog'!$C$52,L485*'Assumptions and Catalog'!$H$52+'Assumptions and Catalog'!$E$52+'Assumptions and Catalog'!$F$52,IF(L485&lt;='Assumptions and Catalog'!$C$53,L485*'Assumptions and Catalog'!$H$53+'Assumptions and Catalog'!$E$53+'Assumptions and Catalog'!$F$53,IF(L485&lt;='Assumptions and Catalog'!$C$54,L485*'Assumptions and Catalog'!$H$54+'Assumptions and Catalog'!$E$54+'Assumptions and Catalog'!$F$54,IF(L485&lt;='Assumptions and Catalog'!$C$55,L485*'Assumptions and Catalog'!$H$55+'Assumptions and Catalog'!$E$55+'Assumptions and Catalog'!$F$55,IF(L485&lt;='Assumptions and Catalog'!$C$56,L485*'Assumptions and Catalog'!$H$56+'Assumptions and Catalog'!$E$56+'Assumptions and Catalog'!$F$56,IF(L485&lt;='Assumptions and Catalog'!$C$57,L485*'Assumptions and Catalog'!$H$57+'Assumptions and Catalog'!$E$57+'Assumptions and Catalog'!$F$57,"Out of range")))))))),IF(L485&lt;='Assumptions and Catalog'!$C$60,L485*'Assumptions and Catalog'!$H$60+'Assumptions and Catalog'!$E$60+'Assumptions and Catalog'!$F$60,IF(L485&lt;='Assumptions and Catalog'!$C$61,L485*'Assumptions and Catalog'!$H$61+'Assumptions and Catalog'!$E$61+'Assumptions and Catalog'!$F$61,IF(L485&lt;='Assumptions and Catalog'!$C$62,L485*'Assumptions and Catalog'!$H$62+'Assumptions and Catalog'!$E$62+'Assumptions and Catalog'!$F$62,IF(L485&lt;='Assumptions and Catalog'!$C$63,L485*'Assumptions and Catalog'!$H$63+'Assumptions and Catalog'!$E$63+'Assumptions and Catalog'!$F$63,IF(L485&lt;='Assumptions and Catalog'!$C$64,L485*'Assumptions and Catalog'!$H$64+'Assumptions and Catalog'!$E$64+'Assumptions and Catalog'!$F$64,IF(L485&lt;='Assumptions and Catalog'!$C$65,L485*'Assumptions and Catalog'!$H$65+'Assumptions and Catalog'!$E$65+'Assumptions and Catalog'!$F$65,"Out of range")))))))))*(1+'Assumptions and Catalog'!$C$8)^(A485-1),0)</f>
        <v>8554.9666666666672</v>
      </c>
      <c r="O485" s="5">
        <f t="shared" si="39"/>
        <v>0</v>
      </c>
      <c r="P485" s="5">
        <f>D$55*(1-K$14)*(1-'Assumptions and Catalog'!$C$23)^R485</f>
        <v>0</v>
      </c>
      <c r="Q485" s="5">
        <f>IF(ISNUMBER(Inputs!$L$5),(IF(Inputs!$L$9="Actual flat rate",((D485+E485)*C485-G485)*Inputs!$L$10,IF(Inputs!$C$9="Residential",IF(((D485+E485)*C485-G485)&lt;='Assumptions and Catalog'!$C$50,((D485+E485)*C485-G485)*'Assumptions and Catalog'!$H$50+'Assumptions and Catalog'!$E$50+'Assumptions and Catalog'!$F$50,IF(((D485+E485)*C485-G485)&lt;='Assumptions and Catalog'!$C$51,((D485+E485)*C485-G485)*'Assumptions and Catalog'!$H$51+'Assumptions and Catalog'!$E$51+'Assumptions and Catalog'!$F$51,IF(((D485+E485)*C485-G485)&lt;='Assumptions and Catalog'!$C$52,((D485+E485)*C485-G485)*'Assumptions and Catalog'!$H$52+'Assumptions and Catalog'!$E$52+'Assumptions and Catalog'!$F$52,IF(((D485+E485)*C485-G485)&lt;='Assumptions and Catalog'!$C$53,((D485+E485)*C485-G485)*'Assumptions and Catalog'!$H$53+'Assumptions and Catalog'!$E$53+'Assumptions and Catalog'!$F$53,IF(((D485+E485)*C485-G485)&lt;='Assumptions and Catalog'!$C$54,((D485+E485)*C485-G485)*'Assumptions and Catalog'!$H$54+'Assumptions and Catalog'!$E$54+'Assumptions and Catalog'!$F$54,IF(((D485+E485)*C485-G485)&lt;='Assumptions and Catalog'!$C$55,((D485+E485)*C485-G485)*'Assumptions and Catalog'!$H$55+'Assumptions and Catalog'!$E$55+'Assumptions and Catalog'!$F$55,IF(((D485+E485)*C485-G485)&lt;='Assumptions and Catalog'!$C$56,((D485+E485)*C485-G485)*'Assumptions and Catalog'!$H$56+'Assumptions and Catalog'!$E$56+'Assumptions and Catalog'!$F$56,IF(((D485+E485)*C485-G485)&lt;='Assumptions and Catalog'!$C$57,((D485+E485)*C485-G485)*'Assumptions and Catalog'!$H$57+'Assumptions and Catalog'!$E$57+'Assumptions and Catalog'!$F$57,"Out of range")))))))),IF(((D485+E485)*C485-G485)&lt;='Assumptions and Catalog'!$C$60,((D485+E485)*C485-G485)*'Assumptions and Catalog'!$H$60+'Assumptions and Catalog'!$E$60+'Assumptions and Catalog'!$F$60,IF(((D485+E485)*C485-G485)&lt;='Assumptions and Catalog'!$C$61,((D485+E485)*C485-G485)*'Assumptions and Catalog'!$H$61+'Assumptions and Catalog'!$E$61+'Assumptions and Catalog'!$F$61,IF(((D485+E485)*C485-G485)&lt;='Assumptions and Catalog'!$C$62,((D485+E485)*C485-G485)*'Assumptions and Catalog'!$H$62+'Assumptions and Catalog'!$E$62+'Assumptions and Catalog'!$F$62,IF(((D485+E485)*C485-G485)&lt;='Assumptions and Catalog'!$C$63,((D485+E485)*C485-G485)*'Assumptions and Catalog'!$H$63+'Assumptions and Catalog'!$E$63+'Assumptions and Catalog'!$F$63,IF(((D485+E485)*C485-G485)&lt;='Assumptions and Catalog'!$C$64,((D485+E485)*C485-G485)*'Assumptions and Catalog'!$H$64+'Assumptions and Catalog'!$E$64+'Assumptions and Catalog'!$F$64,IF(((D485+E485)*C485-G485)&lt;='Assumptions and Catalog'!$C$65,((D485+E485)*C485-G485)*'Assumptions and Catalog'!$H$65+'Assumptions and Catalog'!$E$65+'Assumptions and Catalog'!$F$65,"Out of range")))))))))*(1+'Assumptions and Catalog'!$C$8)^(A485-1),0)</f>
        <v>8554.9666666666672</v>
      </c>
      <c r="R485" s="5">
        <f>IF(AND('Assumptions and Catalog'!$C$19&gt;0,A485&gt;='Assumptions and Catalog'!$C$19),A485-'Assumptions and Catalog'!$C$19,A485-1)</f>
        <v>6</v>
      </c>
      <c r="S485" s="5">
        <f>F485+L485-(D485+E485)*C485-J485-K485-IF(D$52&gt;0,'Assumptions and Catalog'!$C$26*C485,0)</f>
        <v>0</v>
      </c>
      <c r="T485" s="5"/>
      <c r="U485" s="5"/>
    </row>
    <row r="486" spans="1:21" ht="23.1" customHeight="1" outlineLevel="1" x14ac:dyDescent="0.2">
      <c r="A486" s="5">
        <v>7</v>
      </c>
      <c r="B486" s="5">
        <v>4</v>
      </c>
      <c r="C486" s="5">
        <f>DAY(DATE('Assumptions and Catalog'!$C$24+A486-1,B486+1,0))</f>
        <v>30</v>
      </c>
      <c r="D486" s="5">
        <f>IF(ISNUMBER(Inputs!$L$5),Inputs!$L$5*Inputs!$L$6,0)</f>
        <v>40.35</v>
      </c>
      <c r="E486" s="5">
        <f>IF(ISNUMBER(Inputs!$L$5),Inputs!$L$5-D486,0)</f>
        <v>40.35</v>
      </c>
      <c r="F486" s="5">
        <f>D$51*'Assumptions and Catalog'!$C$31*C486*(1-'Assumptions and Catalog'!$C$10)^(A486-1)</f>
        <v>0</v>
      </c>
      <c r="G486" s="5">
        <f t="shared" si="36"/>
        <v>0</v>
      </c>
      <c r="H486" s="5">
        <f>I486/('Assumptions and Catalog'!$C$11*'Assumptions and Catalog'!$C$12)</f>
        <v>0</v>
      </c>
      <c r="I486" s="5">
        <f>IF(K$15="Grid cycle",MIN(K$16,D486+E486,P486*'Assumptions and Catalog'!$C$12,D$57*(24-'Assumptions and Catalog'!$C$15),D$56*'Assumptions and Catalog'!$C$15*'Assumptions and Catalog'!$C$11*'Assumptions and Catalog'!$C$12)*C486,0)</f>
        <v>0</v>
      </c>
      <c r="J486" s="5">
        <f t="shared" si="37"/>
        <v>0</v>
      </c>
      <c r="K486" s="5">
        <f t="shared" si="38"/>
        <v>0</v>
      </c>
      <c r="L486" s="5">
        <f>(D486+E486)*C486-G486-I486+H486+IF(D$52&gt;0,'Assumptions and Catalog'!$C$26*C486,0)</f>
        <v>2421</v>
      </c>
      <c r="M486" s="5">
        <f>IF(ISNUMBER(Inputs!$L$5),(IF(Inputs!$L$9="Actual flat rate",((D486+E486)*C486)*Inputs!$L$10,IF(Inputs!$C$9="Residential",IF(((D486+E486)*C486)&lt;='Assumptions and Catalog'!$C$50,((D486+E486)*C486)*'Assumptions and Catalog'!$H$50+'Assumptions and Catalog'!$E$50+'Assumptions and Catalog'!$F$50,IF(((D486+E486)*C486)&lt;='Assumptions and Catalog'!$C$51,((D486+E486)*C486)*'Assumptions and Catalog'!$H$51+'Assumptions and Catalog'!$E$51+'Assumptions and Catalog'!$F$51,IF(((D486+E486)*C486)&lt;='Assumptions and Catalog'!$C$52,((D486+E486)*C486)*'Assumptions and Catalog'!$H$52+'Assumptions and Catalog'!$E$52+'Assumptions and Catalog'!$F$52,IF(((D486+E486)*C486)&lt;='Assumptions and Catalog'!$C$53,((D486+E486)*C486)*'Assumptions and Catalog'!$H$53+'Assumptions and Catalog'!$E$53+'Assumptions and Catalog'!$F$53,IF(((D486+E486)*C486)&lt;='Assumptions and Catalog'!$C$54,((D486+E486)*C486)*'Assumptions and Catalog'!$H$54+'Assumptions and Catalog'!$E$54+'Assumptions and Catalog'!$F$54,IF(((D486+E486)*C486)&lt;='Assumptions and Catalog'!$C$55,((D486+E486)*C486)*'Assumptions and Catalog'!$H$55+'Assumptions and Catalog'!$E$55+'Assumptions and Catalog'!$F$55,IF(((D486+E486)*C486)&lt;='Assumptions and Catalog'!$C$56,((D486+E486)*C486)*'Assumptions and Catalog'!$H$56+'Assumptions and Catalog'!$E$56+'Assumptions and Catalog'!$F$56,IF(((D486+E486)*C486)&lt;='Assumptions and Catalog'!$C$57,((D486+E486)*C486)*'Assumptions and Catalog'!$H$57+'Assumptions and Catalog'!$E$57+'Assumptions and Catalog'!$F$57,"Out of range")))))))),IF(((D486+E486)*C486)&lt;='Assumptions and Catalog'!$C$60,((D486+E486)*C486)*'Assumptions and Catalog'!$H$60+'Assumptions and Catalog'!$E$60+'Assumptions and Catalog'!$F$60,IF(((D486+E486)*C486)&lt;='Assumptions and Catalog'!$C$61,((D486+E486)*C486)*'Assumptions and Catalog'!$H$61+'Assumptions and Catalog'!$E$61+'Assumptions and Catalog'!$F$61,IF(((D486+E486)*C486)&lt;='Assumptions and Catalog'!$C$62,((D486+E486)*C486)*'Assumptions and Catalog'!$H$62+'Assumptions and Catalog'!$E$62+'Assumptions and Catalog'!$F$62,IF(((D486+E486)*C486)&lt;='Assumptions and Catalog'!$C$63,((D486+E486)*C486)*'Assumptions and Catalog'!$H$63+'Assumptions and Catalog'!$E$63+'Assumptions and Catalog'!$F$63,IF(((D486+E486)*C486)&lt;='Assumptions and Catalog'!$C$64,((D486+E486)*C486)*'Assumptions and Catalog'!$H$64+'Assumptions and Catalog'!$E$64+'Assumptions and Catalog'!$F$64,IF(((D486+E486)*C486)&lt;='Assumptions and Catalog'!$C$65,((D486+E486)*C486)*'Assumptions and Catalog'!$H$65+'Assumptions and Catalog'!$E$65+'Assumptions and Catalog'!$F$65,"Out of range")))))))))*(1+'Assumptions and Catalog'!$C$8)^(A486-1),0)</f>
        <v>8279</v>
      </c>
      <c r="N486" s="5">
        <f>IF(ISNUMBER(Inputs!$L$5),(IF(Inputs!$L$9="Actual flat rate",L486*Inputs!$L$10,IF(Inputs!$C$9="Residential",IF(L486&lt;='Assumptions and Catalog'!$C$50,L486*'Assumptions and Catalog'!$H$50+'Assumptions and Catalog'!$E$50+'Assumptions and Catalog'!$F$50,IF(L486&lt;='Assumptions and Catalog'!$C$51,L486*'Assumptions and Catalog'!$H$51+'Assumptions and Catalog'!$E$51+'Assumptions and Catalog'!$F$51,IF(L486&lt;='Assumptions and Catalog'!$C$52,L486*'Assumptions and Catalog'!$H$52+'Assumptions and Catalog'!$E$52+'Assumptions and Catalog'!$F$52,IF(L486&lt;='Assumptions and Catalog'!$C$53,L486*'Assumptions and Catalog'!$H$53+'Assumptions and Catalog'!$E$53+'Assumptions and Catalog'!$F$53,IF(L486&lt;='Assumptions and Catalog'!$C$54,L486*'Assumptions and Catalog'!$H$54+'Assumptions and Catalog'!$E$54+'Assumptions and Catalog'!$F$54,IF(L486&lt;='Assumptions and Catalog'!$C$55,L486*'Assumptions and Catalog'!$H$55+'Assumptions and Catalog'!$E$55+'Assumptions and Catalog'!$F$55,IF(L486&lt;='Assumptions and Catalog'!$C$56,L486*'Assumptions and Catalog'!$H$56+'Assumptions and Catalog'!$E$56+'Assumptions and Catalog'!$F$56,IF(L486&lt;='Assumptions and Catalog'!$C$57,L486*'Assumptions and Catalog'!$H$57+'Assumptions and Catalog'!$E$57+'Assumptions and Catalog'!$F$57,"Out of range")))))))),IF(L486&lt;='Assumptions and Catalog'!$C$60,L486*'Assumptions and Catalog'!$H$60+'Assumptions and Catalog'!$E$60+'Assumptions and Catalog'!$F$60,IF(L486&lt;='Assumptions and Catalog'!$C$61,L486*'Assumptions and Catalog'!$H$61+'Assumptions and Catalog'!$E$61+'Assumptions and Catalog'!$F$61,IF(L486&lt;='Assumptions and Catalog'!$C$62,L486*'Assumptions and Catalog'!$H$62+'Assumptions and Catalog'!$E$62+'Assumptions and Catalog'!$F$62,IF(L486&lt;='Assumptions and Catalog'!$C$63,L486*'Assumptions and Catalog'!$H$63+'Assumptions and Catalog'!$E$63+'Assumptions and Catalog'!$F$63,IF(L486&lt;='Assumptions and Catalog'!$C$64,L486*'Assumptions and Catalog'!$H$64+'Assumptions and Catalog'!$E$64+'Assumptions and Catalog'!$F$64,IF(L486&lt;='Assumptions and Catalog'!$C$65,L486*'Assumptions and Catalog'!$H$65+'Assumptions and Catalog'!$E$65+'Assumptions and Catalog'!$F$65,"Out of range")))))))))*(1+'Assumptions and Catalog'!$C$8)^(A486-1),0)</f>
        <v>8279</v>
      </c>
      <c r="O486" s="5">
        <f t="shared" si="39"/>
        <v>0</v>
      </c>
      <c r="P486" s="5">
        <f>D$55*(1-K$14)*(1-'Assumptions and Catalog'!$C$23)^R486</f>
        <v>0</v>
      </c>
      <c r="Q486" s="5">
        <f>IF(ISNUMBER(Inputs!$L$5),(IF(Inputs!$L$9="Actual flat rate",((D486+E486)*C486-G486)*Inputs!$L$10,IF(Inputs!$C$9="Residential",IF(((D486+E486)*C486-G486)&lt;='Assumptions and Catalog'!$C$50,((D486+E486)*C486-G486)*'Assumptions and Catalog'!$H$50+'Assumptions and Catalog'!$E$50+'Assumptions and Catalog'!$F$50,IF(((D486+E486)*C486-G486)&lt;='Assumptions and Catalog'!$C$51,((D486+E486)*C486-G486)*'Assumptions and Catalog'!$H$51+'Assumptions and Catalog'!$E$51+'Assumptions and Catalog'!$F$51,IF(((D486+E486)*C486-G486)&lt;='Assumptions and Catalog'!$C$52,((D486+E486)*C486-G486)*'Assumptions and Catalog'!$H$52+'Assumptions and Catalog'!$E$52+'Assumptions and Catalog'!$F$52,IF(((D486+E486)*C486-G486)&lt;='Assumptions and Catalog'!$C$53,((D486+E486)*C486-G486)*'Assumptions and Catalog'!$H$53+'Assumptions and Catalog'!$E$53+'Assumptions and Catalog'!$F$53,IF(((D486+E486)*C486-G486)&lt;='Assumptions and Catalog'!$C$54,((D486+E486)*C486-G486)*'Assumptions and Catalog'!$H$54+'Assumptions and Catalog'!$E$54+'Assumptions and Catalog'!$F$54,IF(((D486+E486)*C486-G486)&lt;='Assumptions and Catalog'!$C$55,((D486+E486)*C486-G486)*'Assumptions and Catalog'!$H$55+'Assumptions and Catalog'!$E$55+'Assumptions and Catalog'!$F$55,IF(((D486+E486)*C486-G486)&lt;='Assumptions and Catalog'!$C$56,((D486+E486)*C486-G486)*'Assumptions and Catalog'!$H$56+'Assumptions and Catalog'!$E$56+'Assumptions and Catalog'!$F$56,IF(((D486+E486)*C486-G486)&lt;='Assumptions and Catalog'!$C$57,((D486+E486)*C486-G486)*'Assumptions and Catalog'!$H$57+'Assumptions and Catalog'!$E$57+'Assumptions and Catalog'!$F$57,"Out of range")))))))),IF(((D486+E486)*C486-G486)&lt;='Assumptions and Catalog'!$C$60,((D486+E486)*C486-G486)*'Assumptions and Catalog'!$H$60+'Assumptions and Catalog'!$E$60+'Assumptions and Catalog'!$F$60,IF(((D486+E486)*C486-G486)&lt;='Assumptions and Catalog'!$C$61,((D486+E486)*C486-G486)*'Assumptions and Catalog'!$H$61+'Assumptions and Catalog'!$E$61+'Assumptions and Catalog'!$F$61,IF(((D486+E486)*C486-G486)&lt;='Assumptions and Catalog'!$C$62,((D486+E486)*C486-G486)*'Assumptions and Catalog'!$H$62+'Assumptions and Catalog'!$E$62+'Assumptions and Catalog'!$F$62,IF(((D486+E486)*C486-G486)&lt;='Assumptions and Catalog'!$C$63,((D486+E486)*C486-G486)*'Assumptions and Catalog'!$H$63+'Assumptions and Catalog'!$E$63+'Assumptions and Catalog'!$F$63,IF(((D486+E486)*C486-G486)&lt;='Assumptions and Catalog'!$C$64,((D486+E486)*C486-G486)*'Assumptions and Catalog'!$H$64+'Assumptions and Catalog'!$E$64+'Assumptions and Catalog'!$F$64,IF(((D486+E486)*C486-G486)&lt;='Assumptions and Catalog'!$C$65,((D486+E486)*C486-G486)*'Assumptions and Catalog'!$H$65+'Assumptions and Catalog'!$E$65+'Assumptions and Catalog'!$F$65,"Out of range")))))))))*(1+'Assumptions and Catalog'!$C$8)^(A486-1),0)</f>
        <v>8279</v>
      </c>
      <c r="R486" s="5">
        <f>IF(AND('Assumptions and Catalog'!$C$19&gt;0,A486&gt;='Assumptions and Catalog'!$C$19),A486-'Assumptions and Catalog'!$C$19,A486-1)</f>
        <v>6</v>
      </c>
      <c r="S486" s="5">
        <f>F486+L486-(D486+E486)*C486-J486-K486-IF(D$52&gt;0,'Assumptions and Catalog'!$C$26*C486,0)</f>
        <v>0</v>
      </c>
      <c r="T486" s="5"/>
      <c r="U486" s="5"/>
    </row>
    <row r="487" spans="1:21" ht="23.1" customHeight="1" outlineLevel="1" x14ac:dyDescent="0.2">
      <c r="A487" s="5">
        <v>7</v>
      </c>
      <c r="B487" s="5">
        <v>5</v>
      </c>
      <c r="C487" s="5">
        <f>DAY(DATE('Assumptions and Catalog'!$C$24+A487-1,B487+1,0))</f>
        <v>31</v>
      </c>
      <c r="D487" s="5">
        <f>IF(ISNUMBER(Inputs!$L$5),Inputs!$L$5*Inputs!$L$6,0)</f>
        <v>40.35</v>
      </c>
      <c r="E487" s="5">
        <f>IF(ISNUMBER(Inputs!$L$5),Inputs!$L$5-D487,0)</f>
        <v>40.35</v>
      </c>
      <c r="F487" s="5">
        <f>D$51*'Assumptions and Catalog'!$C$31*C487*(1-'Assumptions and Catalog'!$C$10)^(A487-1)</f>
        <v>0</v>
      </c>
      <c r="G487" s="5">
        <f t="shared" si="36"/>
        <v>0</v>
      </c>
      <c r="H487" s="5">
        <f>I487/('Assumptions and Catalog'!$C$11*'Assumptions and Catalog'!$C$12)</f>
        <v>0</v>
      </c>
      <c r="I487" s="5">
        <f>IF(K$15="Grid cycle",MIN(K$16,D487+E487,P487*'Assumptions and Catalog'!$C$12,D$57*(24-'Assumptions and Catalog'!$C$15),D$56*'Assumptions and Catalog'!$C$15*'Assumptions and Catalog'!$C$11*'Assumptions and Catalog'!$C$12)*C487,0)</f>
        <v>0</v>
      </c>
      <c r="J487" s="5">
        <f t="shared" si="37"/>
        <v>0</v>
      </c>
      <c r="K487" s="5">
        <f t="shared" si="38"/>
        <v>0</v>
      </c>
      <c r="L487" s="5">
        <f>(D487+E487)*C487-G487-I487+H487+IF(D$52&gt;0,'Assumptions and Catalog'!$C$26*C487,0)</f>
        <v>2501.7000000000003</v>
      </c>
      <c r="M487" s="5">
        <f>IF(ISNUMBER(Inputs!$L$5),(IF(Inputs!$L$9="Actual flat rate",((D487+E487)*C487)*Inputs!$L$10,IF(Inputs!$C$9="Residential",IF(((D487+E487)*C487)&lt;='Assumptions and Catalog'!$C$50,((D487+E487)*C487)*'Assumptions and Catalog'!$H$50+'Assumptions and Catalog'!$E$50+'Assumptions and Catalog'!$F$50,IF(((D487+E487)*C487)&lt;='Assumptions and Catalog'!$C$51,((D487+E487)*C487)*'Assumptions and Catalog'!$H$51+'Assumptions and Catalog'!$E$51+'Assumptions and Catalog'!$F$51,IF(((D487+E487)*C487)&lt;='Assumptions and Catalog'!$C$52,((D487+E487)*C487)*'Assumptions and Catalog'!$H$52+'Assumptions and Catalog'!$E$52+'Assumptions and Catalog'!$F$52,IF(((D487+E487)*C487)&lt;='Assumptions and Catalog'!$C$53,((D487+E487)*C487)*'Assumptions and Catalog'!$H$53+'Assumptions and Catalog'!$E$53+'Assumptions and Catalog'!$F$53,IF(((D487+E487)*C487)&lt;='Assumptions and Catalog'!$C$54,((D487+E487)*C487)*'Assumptions and Catalog'!$H$54+'Assumptions and Catalog'!$E$54+'Assumptions and Catalog'!$F$54,IF(((D487+E487)*C487)&lt;='Assumptions and Catalog'!$C$55,((D487+E487)*C487)*'Assumptions and Catalog'!$H$55+'Assumptions and Catalog'!$E$55+'Assumptions and Catalog'!$F$55,IF(((D487+E487)*C487)&lt;='Assumptions and Catalog'!$C$56,((D487+E487)*C487)*'Assumptions and Catalog'!$H$56+'Assumptions and Catalog'!$E$56+'Assumptions and Catalog'!$F$56,IF(((D487+E487)*C487)&lt;='Assumptions and Catalog'!$C$57,((D487+E487)*C487)*'Assumptions and Catalog'!$H$57+'Assumptions and Catalog'!$E$57+'Assumptions and Catalog'!$F$57,"Out of range")))))))),IF(((D487+E487)*C487)&lt;='Assumptions and Catalog'!$C$60,((D487+E487)*C487)*'Assumptions and Catalog'!$H$60+'Assumptions and Catalog'!$E$60+'Assumptions and Catalog'!$F$60,IF(((D487+E487)*C487)&lt;='Assumptions and Catalog'!$C$61,((D487+E487)*C487)*'Assumptions and Catalog'!$H$61+'Assumptions and Catalog'!$E$61+'Assumptions and Catalog'!$F$61,IF(((D487+E487)*C487)&lt;='Assumptions and Catalog'!$C$62,((D487+E487)*C487)*'Assumptions and Catalog'!$H$62+'Assumptions and Catalog'!$E$62+'Assumptions and Catalog'!$F$62,IF(((D487+E487)*C487)&lt;='Assumptions and Catalog'!$C$63,((D487+E487)*C487)*'Assumptions and Catalog'!$H$63+'Assumptions and Catalog'!$E$63+'Assumptions and Catalog'!$F$63,IF(((D487+E487)*C487)&lt;='Assumptions and Catalog'!$C$64,((D487+E487)*C487)*'Assumptions and Catalog'!$H$64+'Assumptions and Catalog'!$E$64+'Assumptions and Catalog'!$F$64,IF(((D487+E487)*C487)&lt;='Assumptions and Catalog'!$C$65,((D487+E487)*C487)*'Assumptions and Catalog'!$H$65+'Assumptions and Catalog'!$E$65+'Assumptions and Catalog'!$F$65,"Out of range")))))))))*(1+'Assumptions and Catalog'!$C$8)^(A487-1),0)</f>
        <v>8554.9666666666672</v>
      </c>
      <c r="N487" s="5">
        <f>IF(ISNUMBER(Inputs!$L$5),(IF(Inputs!$L$9="Actual flat rate",L487*Inputs!$L$10,IF(Inputs!$C$9="Residential",IF(L487&lt;='Assumptions and Catalog'!$C$50,L487*'Assumptions and Catalog'!$H$50+'Assumptions and Catalog'!$E$50+'Assumptions and Catalog'!$F$50,IF(L487&lt;='Assumptions and Catalog'!$C$51,L487*'Assumptions and Catalog'!$H$51+'Assumptions and Catalog'!$E$51+'Assumptions and Catalog'!$F$51,IF(L487&lt;='Assumptions and Catalog'!$C$52,L487*'Assumptions and Catalog'!$H$52+'Assumptions and Catalog'!$E$52+'Assumptions and Catalog'!$F$52,IF(L487&lt;='Assumptions and Catalog'!$C$53,L487*'Assumptions and Catalog'!$H$53+'Assumptions and Catalog'!$E$53+'Assumptions and Catalog'!$F$53,IF(L487&lt;='Assumptions and Catalog'!$C$54,L487*'Assumptions and Catalog'!$H$54+'Assumptions and Catalog'!$E$54+'Assumptions and Catalog'!$F$54,IF(L487&lt;='Assumptions and Catalog'!$C$55,L487*'Assumptions and Catalog'!$H$55+'Assumptions and Catalog'!$E$55+'Assumptions and Catalog'!$F$55,IF(L487&lt;='Assumptions and Catalog'!$C$56,L487*'Assumptions and Catalog'!$H$56+'Assumptions and Catalog'!$E$56+'Assumptions and Catalog'!$F$56,IF(L487&lt;='Assumptions and Catalog'!$C$57,L487*'Assumptions and Catalog'!$H$57+'Assumptions and Catalog'!$E$57+'Assumptions and Catalog'!$F$57,"Out of range")))))))),IF(L487&lt;='Assumptions and Catalog'!$C$60,L487*'Assumptions and Catalog'!$H$60+'Assumptions and Catalog'!$E$60+'Assumptions and Catalog'!$F$60,IF(L487&lt;='Assumptions and Catalog'!$C$61,L487*'Assumptions and Catalog'!$H$61+'Assumptions and Catalog'!$E$61+'Assumptions and Catalog'!$F$61,IF(L487&lt;='Assumptions and Catalog'!$C$62,L487*'Assumptions and Catalog'!$H$62+'Assumptions and Catalog'!$E$62+'Assumptions and Catalog'!$F$62,IF(L487&lt;='Assumptions and Catalog'!$C$63,L487*'Assumptions and Catalog'!$H$63+'Assumptions and Catalog'!$E$63+'Assumptions and Catalog'!$F$63,IF(L487&lt;='Assumptions and Catalog'!$C$64,L487*'Assumptions and Catalog'!$H$64+'Assumptions and Catalog'!$E$64+'Assumptions and Catalog'!$F$64,IF(L487&lt;='Assumptions and Catalog'!$C$65,L487*'Assumptions and Catalog'!$H$65+'Assumptions and Catalog'!$E$65+'Assumptions and Catalog'!$F$65,"Out of range")))))))))*(1+'Assumptions and Catalog'!$C$8)^(A487-1),0)</f>
        <v>8554.9666666666672</v>
      </c>
      <c r="O487" s="5">
        <f t="shared" si="39"/>
        <v>0</v>
      </c>
      <c r="P487" s="5">
        <f>D$55*(1-K$14)*(1-'Assumptions and Catalog'!$C$23)^R487</f>
        <v>0</v>
      </c>
      <c r="Q487" s="5">
        <f>IF(ISNUMBER(Inputs!$L$5),(IF(Inputs!$L$9="Actual flat rate",((D487+E487)*C487-G487)*Inputs!$L$10,IF(Inputs!$C$9="Residential",IF(((D487+E487)*C487-G487)&lt;='Assumptions and Catalog'!$C$50,((D487+E487)*C487-G487)*'Assumptions and Catalog'!$H$50+'Assumptions and Catalog'!$E$50+'Assumptions and Catalog'!$F$50,IF(((D487+E487)*C487-G487)&lt;='Assumptions and Catalog'!$C$51,((D487+E487)*C487-G487)*'Assumptions and Catalog'!$H$51+'Assumptions and Catalog'!$E$51+'Assumptions and Catalog'!$F$51,IF(((D487+E487)*C487-G487)&lt;='Assumptions and Catalog'!$C$52,((D487+E487)*C487-G487)*'Assumptions and Catalog'!$H$52+'Assumptions and Catalog'!$E$52+'Assumptions and Catalog'!$F$52,IF(((D487+E487)*C487-G487)&lt;='Assumptions and Catalog'!$C$53,((D487+E487)*C487-G487)*'Assumptions and Catalog'!$H$53+'Assumptions and Catalog'!$E$53+'Assumptions and Catalog'!$F$53,IF(((D487+E487)*C487-G487)&lt;='Assumptions and Catalog'!$C$54,((D487+E487)*C487-G487)*'Assumptions and Catalog'!$H$54+'Assumptions and Catalog'!$E$54+'Assumptions and Catalog'!$F$54,IF(((D487+E487)*C487-G487)&lt;='Assumptions and Catalog'!$C$55,((D487+E487)*C487-G487)*'Assumptions and Catalog'!$H$55+'Assumptions and Catalog'!$E$55+'Assumptions and Catalog'!$F$55,IF(((D487+E487)*C487-G487)&lt;='Assumptions and Catalog'!$C$56,((D487+E487)*C487-G487)*'Assumptions and Catalog'!$H$56+'Assumptions and Catalog'!$E$56+'Assumptions and Catalog'!$F$56,IF(((D487+E487)*C487-G487)&lt;='Assumptions and Catalog'!$C$57,((D487+E487)*C487-G487)*'Assumptions and Catalog'!$H$57+'Assumptions and Catalog'!$E$57+'Assumptions and Catalog'!$F$57,"Out of range")))))))),IF(((D487+E487)*C487-G487)&lt;='Assumptions and Catalog'!$C$60,((D487+E487)*C487-G487)*'Assumptions and Catalog'!$H$60+'Assumptions and Catalog'!$E$60+'Assumptions and Catalog'!$F$60,IF(((D487+E487)*C487-G487)&lt;='Assumptions and Catalog'!$C$61,((D487+E487)*C487-G487)*'Assumptions and Catalog'!$H$61+'Assumptions and Catalog'!$E$61+'Assumptions and Catalog'!$F$61,IF(((D487+E487)*C487-G487)&lt;='Assumptions and Catalog'!$C$62,((D487+E487)*C487-G487)*'Assumptions and Catalog'!$H$62+'Assumptions and Catalog'!$E$62+'Assumptions and Catalog'!$F$62,IF(((D487+E487)*C487-G487)&lt;='Assumptions and Catalog'!$C$63,((D487+E487)*C487-G487)*'Assumptions and Catalog'!$H$63+'Assumptions and Catalog'!$E$63+'Assumptions and Catalog'!$F$63,IF(((D487+E487)*C487-G487)&lt;='Assumptions and Catalog'!$C$64,((D487+E487)*C487-G487)*'Assumptions and Catalog'!$H$64+'Assumptions and Catalog'!$E$64+'Assumptions and Catalog'!$F$64,IF(((D487+E487)*C487-G487)&lt;='Assumptions and Catalog'!$C$65,((D487+E487)*C487-G487)*'Assumptions and Catalog'!$H$65+'Assumptions and Catalog'!$E$65+'Assumptions and Catalog'!$F$65,"Out of range")))))))))*(1+'Assumptions and Catalog'!$C$8)^(A487-1),0)</f>
        <v>8554.9666666666672</v>
      </c>
      <c r="R487" s="5">
        <f>IF(AND('Assumptions and Catalog'!$C$19&gt;0,A487&gt;='Assumptions and Catalog'!$C$19),A487-'Assumptions and Catalog'!$C$19,A487-1)</f>
        <v>6</v>
      </c>
      <c r="S487" s="5">
        <f>F487+L487-(D487+E487)*C487-J487-K487-IF(D$52&gt;0,'Assumptions and Catalog'!$C$26*C487,0)</f>
        <v>0</v>
      </c>
      <c r="T487" s="5"/>
      <c r="U487" s="5"/>
    </row>
    <row r="488" spans="1:21" ht="23.1" customHeight="1" outlineLevel="1" x14ac:dyDescent="0.2">
      <c r="A488" s="5">
        <v>7</v>
      </c>
      <c r="B488" s="5">
        <v>6</v>
      </c>
      <c r="C488" s="5">
        <f>DAY(DATE('Assumptions and Catalog'!$C$24+A488-1,B488+1,0))</f>
        <v>30</v>
      </c>
      <c r="D488" s="5">
        <f>IF(ISNUMBER(Inputs!$L$5),Inputs!$L$5*Inputs!$L$6,0)</f>
        <v>40.35</v>
      </c>
      <c r="E488" s="5">
        <f>IF(ISNUMBER(Inputs!$L$5),Inputs!$L$5-D488,0)</f>
        <v>40.35</v>
      </c>
      <c r="F488" s="5">
        <f>D$51*'Assumptions and Catalog'!$C$31*C488*(1-'Assumptions and Catalog'!$C$10)^(A488-1)</f>
        <v>0</v>
      </c>
      <c r="G488" s="5">
        <f t="shared" si="36"/>
        <v>0</v>
      </c>
      <c r="H488" s="5">
        <f>I488/('Assumptions and Catalog'!$C$11*'Assumptions and Catalog'!$C$12)</f>
        <v>0</v>
      </c>
      <c r="I488" s="5">
        <f>IF(K$15="Grid cycle",MIN(K$16,D488+E488,P488*'Assumptions and Catalog'!$C$12,D$57*(24-'Assumptions and Catalog'!$C$15),D$56*'Assumptions and Catalog'!$C$15*'Assumptions and Catalog'!$C$11*'Assumptions and Catalog'!$C$12)*C488,0)</f>
        <v>0</v>
      </c>
      <c r="J488" s="5">
        <f t="shared" si="37"/>
        <v>0</v>
      </c>
      <c r="K488" s="5">
        <f t="shared" si="38"/>
        <v>0</v>
      </c>
      <c r="L488" s="5">
        <f>(D488+E488)*C488-G488-I488+H488+IF(D$52&gt;0,'Assumptions and Catalog'!$C$26*C488,0)</f>
        <v>2421</v>
      </c>
      <c r="M488" s="5">
        <f>IF(ISNUMBER(Inputs!$L$5),(IF(Inputs!$L$9="Actual flat rate",((D488+E488)*C488)*Inputs!$L$10,IF(Inputs!$C$9="Residential",IF(((D488+E488)*C488)&lt;='Assumptions and Catalog'!$C$50,((D488+E488)*C488)*'Assumptions and Catalog'!$H$50+'Assumptions and Catalog'!$E$50+'Assumptions and Catalog'!$F$50,IF(((D488+E488)*C488)&lt;='Assumptions and Catalog'!$C$51,((D488+E488)*C488)*'Assumptions and Catalog'!$H$51+'Assumptions and Catalog'!$E$51+'Assumptions and Catalog'!$F$51,IF(((D488+E488)*C488)&lt;='Assumptions and Catalog'!$C$52,((D488+E488)*C488)*'Assumptions and Catalog'!$H$52+'Assumptions and Catalog'!$E$52+'Assumptions and Catalog'!$F$52,IF(((D488+E488)*C488)&lt;='Assumptions and Catalog'!$C$53,((D488+E488)*C488)*'Assumptions and Catalog'!$H$53+'Assumptions and Catalog'!$E$53+'Assumptions and Catalog'!$F$53,IF(((D488+E488)*C488)&lt;='Assumptions and Catalog'!$C$54,((D488+E488)*C488)*'Assumptions and Catalog'!$H$54+'Assumptions and Catalog'!$E$54+'Assumptions and Catalog'!$F$54,IF(((D488+E488)*C488)&lt;='Assumptions and Catalog'!$C$55,((D488+E488)*C488)*'Assumptions and Catalog'!$H$55+'Assumptions and Catalog'!$E$55+'Assumptions and Catalog'!$F$55,IF(((D488+E488)*C488)&lt;='Assumptions and Catalog'!$C$56,((D488+E488)*C488)*'Assumptions and Catalog'!$H$56+'Assumptions and Catalog'!$E$56+'Assumptions and Catalog'!$F$56,IF(((D488+E488)*C488)&lt;='Assumptions and Catalog'!$C$57,((D488+E488)*C488)*'Assumptions and Catalog'!$H$57+'Assumptions and Catalog'!$E$57+'Assumptions and Catalog'!$F$57,"Out of range")))))))),IF(((D488+E488)*C488)&lt;='Assumptions and Catalog'!$C$60,((D488+E488)*C488)*'Assumptions and Catalog'!$H$60+'Assumptions and Catalog'!$E$60+'Assumptions and Catalog'!$F$60,IF(((D488+E488)*C488)&lt;='Assumptions and Catalog'!$C$61,((D488+E488)*C488)*'Assumptions and Catalog'!$H$61+'Assumptions and Catalog'!$E$61+'Assumptions and Catalog'!$F$61,IF(((D488+E488)*C488)&lt;='Assumptions and Catalog'!$C$62,((D488+E488)*C488)*'Assumptions and Catalog'!$H$62+'Assumptions and Catalog'!$E$62+'Assumptions and Catalog'!$F$62,IF(((D488+E488)*C488)&lt;='Assumptions and Catalog'!$C$63,((D488+E488)*C488)*'Assumptions and Catalog'!$H$63+'Assumptions and Catalog'!$E$63+'Assumptions and Catalog'!$F$63,IF(((D488+E488)*C488)&lt;='Assumptions and Catalog'!$C$64,((D488+E488)*C488)*'Assumptions and Catalog'!$H$64+'Assumptions and Catalog'!$E$64+'Assumptions and Catalog'!$F$64,IF(((D488+E488)*C488)&lt;='Assumptions and Catalog'!$C$65,((D488+E488)*C488)*'Assumptions and Catalog'!$H$65+'Assumptions and Catalog'!$E$65+'Assumptions and Catalog'!$F$65,"Out of range")))))))))*(1+'Assumptions and Catalog'!$C$8)^(A488-1),0)</f>
        <v>8279</v>
      </c>
      <c r="N488" s="5">
        <f>IF(ISNUMBER(Inputs!$L$5),(IF(Inputs!$L$9="Actual flat rate",L488*Inputs!$L$10,IF(Inputs!$C$9="Residential",IF(L488&lt;='Assumptions and Catalog'!$C$50,L488*'Assumptions and Catalog'!$H$50+'Assumptions and Catalog'!$E$50+'Assumptions and Catalog'!$F$50,IF(L488&lt;='Assumptions and Catalog'!$C$51,L488*'Assumptions and Catalog'!$H$51+'Assumptions and Catalog'!$E$51+'Assumptions and Catalog'!$F$51,IF(L488&lt;='Assumptions and Catalog'!$C$52,L488*'Assumptions and Catalog'!$H$52+'Assumptions and Catalog'!$E$52+'Assumptions and Catalog'!$F$52,IF(L488&lt;='Assumptions and Catalog'!$C$53,L488*'Assumptions and Catalog'!$H$53+'Assumptions and Catalog'!$E$53+'Assumptions and Catalog'!$F$53,IF(L488&lt;='Assumptions and Catalog'!$C$54,L488*'Assumptions and Catalog'!$H$54+'Assumptions and Catalog'!$E$54+'Assumptions and Catalog'!$F$54,IF(L488&lt;='Assumptions and Catalog'!$C$55,L488*'Assumptions and Catalog'!$H$55+'Assumptions and Catalog'!$E$55+'Assumptions and Catalog'!$F$55,IF(L488&lt;='Assumptions and Catalog'!$C$56,L488*'Assumptions and Catalog'!$H$56+'Assumptions and Catalog'!$E$56+'Assumptions and Catalog'!$F$56,IF(L488&lt;='Assumptions and Catalog'!$C$57,L488*'Assumptions and Catalog'!$H$57+'Assumptions and Catalog'!$E$57+'Assumptions and Catalog'!$F$57,"Out of range")))))))),IF(L488&lt;='Assumptions and Catalog'!$C$60,L488*'Assumptions and Catalog'!$H$60+'Assumptions and Catalog'!$E$60+'Assumptions and Catalog'!$F$60,IF(L488&lt;='Assumptions and Catalog'!$C$61,L488*'Assumptions and Catalog'!$H$61+'Assumptions and Catalog'!$E$61+'Assumptions and Catalog'!$F$61,IF(L488&lt;='Assumptions and Catalog'!$C$62,L488*'Assumptions and Catalog'!$H$62+'Assumptions and Catalog'!$E$62+'Assumptions and Catalog'!$F$62,IF(L488&lt;='Assumptions and Catalog'!$C$63,L488*'Assumptions and Catalog'!$H$63+'Assumptions and Catalog'!$E$63+'Assumptions and Catalog'!$F$63,IF(L488&lt;='Assumptions and Catalog'!$C$64,L488*'Assumptions and Catalog'!$H$64+'Assumptions and Catalog'!$E$64+'Assumptions and Catalog'!$F$64,IF(L488&lt;='Assumptions and Catalog'!$C$65,L488*'Assumptions and Catalog'!$H$65+'Assumptions and Catalog'!$E$65+'Assumptions and Catalog'!$F$65,"Out of range")))))))))*(1+'Assumptions and Catalog'!$C$8)^(A488-1),0)</f>
        <v>8279</v>
      </c>
      <c r="O488" s="5">
        <f t="shared" si="39"/>
        <v>0</v>
      </c>
      <c r="P488" s="5">
        <f>D$55*(1-K$14)*(1-'Assumptions and Catalog'!$C$23)^R488</f>
        <v>0</v>
      </c>
      <c r="Q488" s="5">
        <f>IF(ISNUMBER(Inputs!$L$5),(IF(Inputs!$L$9="Actual flat rate",((D488+E488)*C488-G488)*Inputs!$L$10,IF(Inputs!$C$9="Residential",IF(((D488+E488)*C488-G488)&lt;='Assumptions and Catalog'!$C$50,((D488+E488)*C488-G488)*'Assumptions and Catalog'!$H$50+'Assumptions and Catalog'!$E$50+'Assumptions and Catalog'!$F$50,IF(((D488+E488)*C488-G488)&lt;='Assumptions and Catalog'!$C$51,((D488+E488)*C488-G488)*'Assumptions and Catalog'!$H$51+'Assumptions and Catalog'!$E$51+'Assumptions and Catalog'!$F$51,IF(((D488+E488)*C488-G488)&lt;='Assumptions and Catalog'!$C$52,((D488+E488)*C488-G488)*'Assumptions and Catalog'!$H$52+'Assumptions and Catalog'!$E$52+'Assumptions and Catalog'!$F$52,IF(((D488+E488)*C488-G488)&lt;='Assumptions and Catalog'!$C$53,((D488+E488)*C488-G488)*'Assumptions and Catalog'!$H$53+'Assumptions and Catalog'!$E$53+'Assumptions and Catalog'!$F$53,IF(((D488+E488)*C488-G488)&lt;='Assumptions and Catalog'!$C$54,((D488+E488)*C488-G488)*'Assumptions and Catalog'!$H$54+'Assumptions and Catalog'!$E$54+'Assumptions and Catalog'!$F$54,IF(((D488+E488)*C488-G488)&lt;='Assumptions and Catalog'!$C$55,((D488+E488)*C488-G488)*'Assumptions and Catalog'!$H$55+'Assumptions and Catalog'!$E$55+'Assumptions and Catalog'!$F$55,IF(((D488+E488)*C488-G488)&lt;='Assumptions and Catalog'!$C$56,((D488+E488)*C488-G488)*'Assumptions and Catalog'!$H$56+'Assumptions and Catalog'!$E$56+'Assumptions and Catalog'!$F$56,IF(((D488+E488)*C488-G488)&lt;='Assumptions and Catalog'!$C$57,((D488+E488)*C488-G488)*'Assumptions and Catalog'!$H$57+'Assumptions and Catalog'!$E$57+'Assumptions and Catalog'!$F$57,"Out of range")))))))),IF(((D488+E488)*C488-G488)&lt;='Assumptions and Catalog'!$C$60,((D488+E488)*C488-G488)*'Assumptions and Catalog'!$H$60+'Assumptions and Catalog'!$E$60+'Assumptions and Catalog'!$F$60,IF(((D488+E488)*C488-G488)&lt;='Assumptions and Catalog'!$C$61,((D488+E488)*C488-G488)*'Assumptions and Catalog'!$H$61+'Assumptions and Catalog'!$E$61+'Assumptions and Catalog'!$F$61,IF(((D488+E488)*C488-G488)&lt;='Assumptions and Catalog'!$C$62,((D488+E488)*C488-G488)*'Assumptions and Catalog'!$H$62+'Assumptions and Catalog'!$E$62+'Assumptions and Catalog'!$F$62,IF(((D488+E488)*C488-G488)&lt;='Assumptions and Catalog'!$C$63,((D488+E488)*C488-G488)*'Assumptions and Catalog'!$H$63+'Assumptions and Catalog'!$E$63+'Assumptions and Catalog'!$F$63,IF(((D488+E488)*C488-G488)&lt;='Assumptions and Catalog'!$C$64,((D488+E488)*C488-G488)*'Assumptions and Catalog'!$H$64+'Assumptions and Catalog'!$E$64+'Assumptions and Catalog'!$F$64,IF(((D488+E488)*C488-G488)&lt;='Assumptions and Catalog'!$C$65,((D488+E488)*C488-G488)*'Assumptions and Catalog'!$H$65+'Assumptions and Catalog'!$E$65+'Assumptions and Catalog'!$F$65,"Out of range")))))))))*(1+'Assumptions and Catalog'!$C$8)^(A488-1),0)</f>
        <v>8279</v>
      </c>
      <c r="R488" s="5">
        <f>IF(AND('Assumptions and Catalog'!$C$19&gt;0,A488&gt;='Assumptions and Catalog'!$C$19),A488-'Assumptions and Catalog'!$C$19,A488-1)</f>
        <v>6</v>
      </c>
      <c r="S488" s="5">
        <f>F488+L488-(D488+E488)*C488-J488-K488-IF(D$52&gt;0,'Assumptions and Catalog'!$C$26*C488,0)</f>
        <v>0</v>
      </c>
      <c r="T488" s="5"/>
      <c r="U488" s="5"/>
    </row>
    <row r="489" spans="1:21" ht="23.1" customHeight="1" outlineLevel="1" x14ac:dyDescent="0.2">
      <c r="A489" s="5">
        <v>7</v>
      </c>
      <c r="B489" s="5">
        <v>7</v>
      </c>
      <c r="C489" s="5">
        <f>DAY(DATE('Assumptions and Catalog'!$C$24+A489-1,B489+1,0))</f>
        <v>31</v>
      </c>
      <c r="D489" s="5">
        <f>IF(ISNUMBER(Inputs!$L$5),Inputs!$L$5*Inputs!$L$6,0)</f>
        <v>40.35</v>
      </c>
      <c r="E489" s="5">
        <f>IF(ISNUMBER(Inputs!$L$5),Inputs!$L$5-D489,0)</f>
        <v>40.35</v>
      </c>
      <c r="F489" s="5">
        <f>D$51*'Assumptions and Catalog'!$C$31*C489*(1-'Assumptions and Catalog'!$C$10)^(A489-1)</f>
        <v>0</v>
      </c>
      <c r="G489" s="5">
        <f t="shared" si="36"/>
        <v>0</v>
      </c>
      <c r="H489" s="5">
        <f>I489/('Assumptions and Catalog'!$C$11*'Assumptions and Catalog'!$C$12)</f>
        <v>0</v>
      </c>
      <c r="I489" s="5">
        <f>IF(K$15="Grid cycle",MIN(K$16,D489+E489,P489*'Assumptions and Catalog'!$C$12,D$57*(24-'Assumptions and Catalog'!$C$15),D$56*'Assumptions and Catalog'!$C$15*'Assumptions and Catalog'!$C$11*'Assumptions and Catalog'!$C$12)*C489,0)</f>
        <v>0</v>
      </c>
      <c r="J489" s="5">
        <f t="shared" si="37"/>
        <v>0</v>
      </c>
      <c r="K489" s="5">
        <f t="shared" si="38"/>
        <v>0</v>
      </c>
      <c r="L489" s="5">
        <f>(D489+E489)*C489-G489-I489+H489+IF(D$52&gt;0,'Assumptions and Catalog'!$C$26*C489,0)</f>
        <v>2501.7000000000003</v>
      </c>
      <c r="M489" s="5">
        <f>IF(ISNUMBER(Inputs!$L$5),(IF(Inputs!$L$9="Actual flat rate",((D489+E489)*C489)*Inputs!$L$10,IF(Inputs!$C$9="Residential",IF(((D489+E489)*C489)&lt;='Assumptions and Catalog'!$C$50,((D489+E489)*C489)*'Assumptions and Catalog'!$H$50+'Assumptions and Catalog'!$E$50+'Assumptions and Catalog'!$F$50,IF(((D489+E489)*C489)&lt;='Assumptions and Catalog'!$C$51,((D489+E489)*C489)*'Assumptions and Catalog'!$H$51+'Assumptions and Catalog'!$E$51+'Assumptions and Catalog'!$F$51,IF(((D489+E489)*C489)&lt;='Assumptions and Catalog'!$C$52,((D489+E489)*C489)*'Assumptions and Catalog'!$H$52+'Assumptions and Catalog'!$E$52+'Assumptions and Catalog'!$F$52,IF(((D489+E489)*C489)&lt;='Assumptions and Catalog'!$C$53,((D489+E489)*C489)*'Assumptions and Catalog'!$H$53+'Assumptions and Catalog'!$E$53+'Assumptions and Catalog'!$F$53,IF(((D489+E489)*C489)&lt;='Assumptions and Catalog'!$C$54,((D489+E489)*C489)*'Assumptions and Catalog'!$H$54+'Assumptions and Catalog'!$E$54+'Assumptions and Catalog'!$F$54,IF(((D489+E489)*C489)&lt;='Assumptions and Catalog'!$C$55,((D489+E489)*C489)*'Assumptions and Catalog'!$H$55+'Assumptions and Catalog'!$E$55+'Assumptions and Catalog'!$F$55,IF(((D489+E489)*C489)&lt;='Assumptions and Catalog'!$C$56,((D489+E489)*C489)*'Assumptions and Catalog'!$H$56+'Assumptions and Catalog'!$E$56+'Assumptions and Catalog'!$F$56,IF(((D489+E489)*C489)&lt;='Assumptions and Catalog'!$C$57,((D489+E489)*C489)*'Assumptions and Catalog'!$H$57+'Assumptions and Catalog'!$E$57+'Assumptions and Catalog'!$F$57,"Out of range")))))))),IF(((D489+E489)*C489)&lt;='Assumptions and Catalog'!$C$60,((D489+E489)*C489)*'Assumptions and Catalog'!$H$60+'Assumptions and Catalog'!$E$60+'Assumptions and Catalog'!$F$60,IF(((D489+E489)*C489)&lt;='Assumptions and Catalog'!$C$61,((D489+E489)*C489)*'Assumptions and Catalog'!$H$61+'Assumptions and Catalog'!$E$61+'Assumptions and Catalog'!$F$61,IF(((D489+E489)*C489)&lt;='Assumptions and Catalog'!$C$62,((D489+E489)*C489)*'Assumptions and Catalog'!$H$62+'Assumptions and Catalog'!$E$62+'Assumptions and Catalog'!$F$62,IF(((D489+E489)*C489)&lt;='Assumptions and Catalog'!$C$63,((D489+E489)*C489)*'Assumptions and Catalog'!$H$63+'Assumptions and Catalog'!$E$63+'Assumptions and Catalog'!$F$63,IF(((D489+E489)*C489)&lt;='Assumptions and Catalog'!$C$64,((D489+E489)*C489)*'Assumptions and Catalog'!$H$64+'Assumptions and Catalog'!$E$64+'Assumptions and Catalog'!$F$64,IF(((D489+E489)*C489)&lt;='Assumptions and Catalog'!$C$65,((D489+E489)*C489)*'Assumptions and Catalog'!$H$65+'Assumptions and Catalog'!$E$65+'Assumptions and Catalog'!$F$65,"Out of range")))))))))*(1+'Assumptions and Catalog'!$C$8)^(A489-1),0)</f>
        <v>8554.9666666666672</v>
      </c>
      <c r="N489" s="5">
        <f>IF(ISNUMBER(Inputs!$L$5),(IF(Inputs!$L$9="Actual flat rate",L489*Inputs!$L$10,IF(Inputs!$C$9="Residential",IF(L489&lt;='Assumptions and Catalog'!$C$50,L489*'Assumptions and Catalog'!$H$50+'Assumptions and Catalog'!$E$50+'Assumptions and Catalog'!$F$50,IF(L489&lt;='Assumptions and Catalog'!$C$51,L489*'Assumptions and Catalog'!$H$51+'Assumptions and Catalog'!$E$51+'Assumptions and Catalog'!$F$51,IF(L489&lt;='Assumptions and Catalog'!$C$52,L489*'Assumptions and Catalog'!$H$52+'Assumptions and Catalog'!$E$52+'Assumptions and Catalog'!$F$52,IF(L489&lt;='Assumptions and Catalog'!$C$53,L489*'Assumptions and Catalog'!$H$53+'Assumptions and Catalog'!$E$53+'Assumptions and Catalog'!$F$53,IF(L489&lt;='Assumptions and Catalog'!$C$54,L489*'Assumptions and Catalog'!$H$54+'Assumptions and Catalog'!$E$54+'Assumptions and Catalog'!$F$54,IF(L489&lt;='Assumptions and Catalog'!$C$55,L489*'Assumptions and Catalog'!$H$55+'Assumptions and Catalog'!$E$55+'Assumptions and Catalog'!$F$55,IF(L489&lt;='Assumptions and Catalog'!$C$56,L489*'Assumptions and Catalog'!$H$56+'Assumptions and Catalog'!$E$56+'Assumptions and Catalog'!$F$56,IF(L489&lt;='Assumptions and Catalog'!$C$57,L489*'Assumptions and Catalog'!$H$57+'Assumptions and Catalog'!$E$57+'Assumptions and Catalog'!$F$57,"Out of range")))))))),IF(L489&lt;='Assumptions and Catalog'!$C$60,L489*'Assumptions and Catalog'!$H$60+'Assumptions and Catalog'!$E$60+'Assumptions and Catalog'!$F$60,IF(L489&lt;='Assumptions and Catalog'!$C$61,L489*'Assumptions and Catalog'!$H$61+'Assumptions and Catalog'!$E$61+'Assumptions and Catalog'!$F$61,IF(L489&lt;='Assumptions and Catalog'!$C$62,L489*'Assumptions and Catalog'!$H$62+'Assumptions and Catalog'!$E$62+'Assumptions and Catalog'!$F$62,IF(L489&lt;='Assumptions and Catalog'!$C$63,L489*'Assumptions and Catalog'!$H$63+'Assumptions and Catalog'!$E$63+'Assumptions and Catalog'!$F$63,IF(L489&lt;='Assumptions and Catalog'!$C$64,L489*'Assumptions and Catalog'!$H$64+'Assumptions and Catalog'!$E$64+'Assumptions and Catalog'!$F$64,IF(L489&lt;='Assumptions and Catalog'!$C$65,L489*'Assumptions and Catalog'!$H$65+'Assumptions and Catalog'!$E$65+'Assumptions and Catalog'!$F$65,"Out of range")))))))))*(1+'Assumptions and Catalog'!$C$8)^(A489-1),0)</f>
        <v>8554.9666666666672</v>
      </c>
      <c r="O489" s="5">
        <f t="shared" si="39"/>
        <v>0</v>
      </c>
      <c r="P489" s="5">
        <f>D$55*(1-K$14)*(1-'Assumptions and Catalog'!$C$23)^R489</f>
        <v>0</v>
      </c>
      <c r="Q489" s="5">
        <f>IF(ISNUMBER(Inputs!$L$5),(IF(Inputs!$L$9="Actual flat rate",((D489+E489)*C489-G489)*Inputs!$L$10,IF(Inputs!$C$9="Residential",IF(((D489+E489)*C489-G489)&lt;='Assumptions and Catalog'!$C$50,((D489+E489)*C489-G489)*'Assumptions and Catalog'!$H$50+'Assumptions and Catalog'!$E$50+'Assumptions and Catalog'!$F$50,IF(((D489+E489)*C489-G489)&lt;='Assumptions and Catalog'!$C$51,((D489+E489)*C489-G489)*'Assumptions and Catalog'!$H$51+'Assumptions and Catalog'!$E$51+'Assumptions and Catalog'!$F$51,IF(((D489+E489)*C489-G489)&lt;='Assumptions and Catalog'!$C$52,((D489+E489)*C489-G489)*'Assumptions and Catalog'!$H$52+'Assumptions and Catalog'!$E$52+'Assumptions and Catalog'!$F$52,IF(((D489+E489)*C489-G489)&lt;='Assumptions and Catalog'!$C$53,((D489+E489)*C489-G489)*'Assumptions and Catalog'!$H$53+'Assumptions and Catalog'!$E$53+'Assumptions and Catalog'!$F$53,IF(((D489+E489)*C489-G489)&lt;='Assumptions and Catalog'!$C$54,((D489+E489)*C489-G489)*'Assumptions and Catalog'!$H$54+'Assumptions and Catalog'!$E$54+'Assumptions and Catalog'!$F$54,IF(((D489+E489)*C489-G489)&lt;='Assumptions and Catalog'!$C$55,((D489+E489)*C489-G489)*'Assumptions and Catalog'!$H$55+'Assumptions and Catalog'!$E$55+'Assumptions and Catalog'!$F$55,IF(((D489+E489)*C489-G489)&lt;='Assumptions and Catalog'!$C$56,((D489+E489)*C489-G489)*'Assumptions and Catalog'!$H$56+'Assumptions and Catalog'!$E$56+'Assumptions and Catalog'!$F$56,IF(((D489+E489)*C489-G489)&lt;='Assumptions and Catalog'!$C$57,((D489+E489)*C489-G489)*'Assumptions and Catalog'!$H$57+'Assumptions and Catalog'!$E$57+'Assumptions and Catalog'!$F$57,"Out of range")))))))),IF(((D489+E489)*C489-G489)&lt;='Assumptions and Catalog'!$C$60,((D489+E489)*C489-G489)*'Assumptions and Catalog'!$H$60+'Assumptions and Catalog'!$E$60+'Assumptions and Catalog'!$F$60,IF(((D489+E489)*C489-G489)&lt;='Assumptions and Catalog'!$C$61,((D489+E489)*C489-G489)*'Assumptions and Catalog'!$H$61+'Assumptions and Catalog'!$E$61+'Assumptions and Catalog'!$F$61,IF(((D489+E489)*C489-G489)&lt;='Assumptions and Catalog'!$C$62,((D489+E489)*C489-G489)*'Assumptions and Catalog'!$H$62+'Assumptions and Catalog'!$E$62+'Assumptions and Catalog'!$F$62,IF(((D489+E489)*C489-G489)&lt;='Assumptions and Catalog'!$C$63,((D489+E489)*C489-G489)*'Assumptions and Catalog'!$H$63+'Assumptions and Catalog'!$E$63+'Assumptions and Catalog'!$F$63,IF(((D489+E489)*C489-G489)&lt;='Assumptions and Catalog'!$C$64,((D489+E489)*C489-G489)*'Assumptions and Catalog'!$H$64+'Assumptions and Catalog'!$E$64+'Assumptions and Catalog'!$F$64,IF(((D489+E489)*C489-G489)&lt;='Assumptions and Catalog'!$C$65,((D489+E489)*C489-G489)*'Assumptions and Catalog'!$H$65+'Assumptions and Catalog'!$E$65+'Assumptions and Catalog'!$F$65,"Out of range")))))))))*(1+'Assumptions and Catalog'!$C$8)^(A489-1),0)</f>
        <v>8554.9666666666672</v>
      </c>
      <c r="R489" s="5">
        <f>IF(AND('Assumptions and Catalog'!$C$19&gt;0,A489&gt;='Assumptions and Catalog'!$C$19),A489-'Assumptions and Catalog'!$C$19,A489-1)</f>
        <v>6</v>
      </c>
      <c r="S489" s="5">
        <f>F489+L489-(D489+E489)*C489-J489-K489-IF(D$52&gt;0,'Assumptions and Catalog'!$C$26*C489,0)</f>
        <v>0</v>
      </c>
      <c r="T489" s="5"/>
      <c r="U489" s="5"/>
    </row>
    <row r="490" spans="1:21" ht="23.1" customHeight="1" outlineLevel="1" x14ac:dyDescent="0.2">
      <c r="A490" s="5">
        <v>7</v>
      </c>
      <c r="B490" s="5">
        <v>8</v>
      </c>
      <c r="C490" s="5">
        <f>DAY(DATE('Assumptions and Catalog'!$C$24+A490-1,B490+1,0))</f>
        <v>31</v>
      </c>
      <c r="D490" s="5">
        <f>IF(ISNUMBER(Inputs!$L$5),Inputs!$L$5*Inputs!$L$6,0)</f>
        <v>40.35</v>
      </c>
      <c r="E490" s="5">
        <f>IF(ISNUMBER(Inputs!$L$5),Inputs!$L$5-D490,0)</f>
        <v>40.35</v>
      </c>
      <c r="F490" s="5">
        <f>D$51*'Assumptions and Catalog'!$C$31*C490*(1-'Assumptions and Catalog'!$C$10)^(A490-1)</f>
        <v>0</v>
      </c>
      <c r="G490" s="5">
        <f t="shared" si="36"/>
        <v>0</v>
      </c>
      <c r="H490" s="5">
        <f>I490/('Assumptions and Catalog'!$C$11*'Assumptions and Catalog'!$C$12)</f>
        <v>0</v>
      </c>
      <c r="I490" s="5">
        <f>IF(K$15="Grid cycle",MIN(K$16,D490+E490,P490*'Assumptions and Catalog'!$C$12,D$57*(24-'Assumptions and Catalog'!$C$15),D$56*'Assumptions and Catalog'!$C$15*'Assumptions and Catalog'!$C$11*'Assumptions and Catalog'!$C$12)*C490,0)</f>
        <v>0</v>
      </c>
      <c r="J490" s="5">
        <f t="shared" si="37"/>
        <v>0</v>
      </c>
      <c r="K490" s="5">
        <f t="shared" si="38"/>
        <v>0</v>
      </c>
      <c r="L490" s="5">
        <f>(D490+E490)*C490-G490-I490+H490+IF(D$52&gt;0,'Assumptions and Catalog'!$C$26*C490,0)</f>
        <v>2501.7000000000003</v>
      </c>
      <c r="M490" s="5">
        <f>IF(ISNUMBER(Inputs!$L$5),(IF(Inputs!$L$9="Actual flat rate",((D490+E490)*C490)*Inputs!$L$10,IF(Inputs!$C$9="Residential",IF(((D490+E490)*C490)&lt;='Assumptions and Catalog'!$C$50,((D490+E490)*C490)*'Assumptions and Catalog'!$H$50+'Assumptions and Catalog'!$E$50+'Assumptions and Catalog'!$F$50,IF(((D490+E490)*C490)&lt;='Assumptions and Catalog'!$C$51,((D490+E490)*C490)*'Assumptions and Catalog'!$H$51+'Assumptions and Catalog'!$E$51+'Assumptions and Catalog'!$F$51,IF(((D490+E490)*C490)&lt;='Assumptions and Catalog'!$C$52,((D490+E490)*C490)*'Assumptions and Catalog'!$H$52+'Assumptions and Catalog'!$E$52+'Assumptions and Catalog'!$F$52,IF(((D490+E490)*C490)&lt;='Assumptions and Catalog'!$C$53,((D490+E490)*C490)*'Assumptions and Catalog'!$H$53+'Assumptions and Catalog'!$E$53+'Assumptions and Catalog'!$F$53,IF(((D490+E490)*C490)&lt;='Assumptions and Catalog'!$C$54,((D490+E490)*C490)*'Assumptions and Catalog'!$H$54+'Assumptions and Catalog'!$E$54+'Assumptions and Catalog'!$F$54,IF(((D490+E490)*C490)&lt;='Assumptions and Catalog'!$C$55,((D490+E490)*C490)*'Assumptions and Catalog'!$H$55+'Assumptions and Catalog'!$E$55+'Assumptions and Catalog'!$F$55,IF(((D490+E490)*C490)&lt;='Assumptions and Catalog'!$C$56,((D490+E490)*C490)*'Assumptions and Catalog'!$H$56+'Assumptions and Catalog'!$E$56+'Assumptions and Catalog'!$F$56,IF(((D490+E490)*C490)&lt;='Assumptions and Catalog'!$C$57,((D490+E490)*C490)*'Assumptions and Catalog'!$H$57+'Assumptions and Catalog'!$E$57+'Assumptions and Catalog'!$F$57,"Out of range")))))))),IF(((D490+E490)*C490)&lt;='Assumptions and Catalog'!$C$60,((D490+E490)*C490)*'Assumptions and Catalog'!$H$60+'Assumptions and Catalog'!$E$60+'Assumptions and Catalog'!$F$60,IF(((D490+E490)*C490)&lt;='Assumptions and Catalog'!$C$61,((D490+E490)*C490)*'Assumptions and Catalog'!$H$61+'Assumptions and Catalog'!$E$61+'Assumptions and Catalog'!$F$61,IF(((D490+E490)*C490)&lt;='Assumptions and Catalog'!$C$62,((D490+E490)*C490)*'Assumptions and Catalog'!$H$62+'Assumptions and Catalog'!$E$62+'Assumptions and Catalog'!$F$62,IF(((D490+E490)*C490)&lt;='Assumptions and Catalog'!$C$63,((D490+E490)*C490)*'Assumptions and Catalog'!$H$63+'Assumptions and Catalog'!$E$63+'Assumptions and Catalog'!$F$63,IF(((D490+E490)*C490)&lt;='Assumptions and Catalog'!$C$64,((D490+E490)*C490)*'Assumptions and Catalog'!$H$64+'Assumptions and Catalog'!$E$64+'Assumptions and Catalog'!$F$64,IF(((D490+E490)*C490)&lt;='Assumptions and Catalog'!$C$65,((D490+E490)*C490)*'Assumptions and Catalog'!$H$65+'Assumptions and Catalog'!$E$65+'Assumptions and Catalog'!$F$65,"Out of range")))))))))*(1+'Assumptions and Catalog'!$C$8)^(A490-1),0)</f>
        <v>8554.9666666666672</v>
      </c>
      <c r="N490" s="5">
        <f>IF(ISNUMBER(Inputs!$L$5),(IF(Inputs!$L$9="Actual flat rate",L490*Inputs!$L$10,IF(Inputs!$C$9="Residential",IF(L490&lt;='Assumptions and Catalog'!$C$50,L490*'Assumptions and Catalog'!$H$50+'Assumptions and Catalog'!$E$50+'Assumptions and Catalog'!$F$50,IF(L490&lt;='Assumptions and Catalog'!$C$51,L490*'Assumptions and Catalog'!$H$51+'Assumptions and Catalog'!$E$51+'Assumptions and Catalog'!$F$51,IF(L490&lt;='Assumptions and Catalog'!$C$52,L490*'Assumptions and Catalog'!$H$52+'Assumptions and Catalog'!$E$52+'Assumptions and Catalog'!$F$52,IF(L490&lt;='Assumptions and Catalog'!$C$53,L490*'Assumptions and Catalog'!$H$53+'Assumptions and Catalog'!$E$53+'Assumptions and Catalog'!$F$53,IF(L490&lt;='Assumptions and Catalog'!$C$54,L490*'Assumptions and Catalog'!$H$54+'Assumptions and Catalog'!$E$54+'Assumptions and Catalog'!$F$54,IF(L490&lt;='Assumptions and Catalog'!$C$55,L490*'Assumptions and Catalog'!$H$55+'Assumptions and Catalog'!$E$55+'Assumptions and Catalog'!$F$55,IF(L490&lt;='Assumptions and Catalog'!$C$56,L490*'Assumptions and Catalog'!$H$56+'Assumptions and Catalog'!$E$56+'Assumptions and Catalog'!$F$56,IF(L490&lt;='Assumptions and Catalog'!$C$57,L490*'Assumptions and Catalog'!$H$57+'Assumptions and Catalog'!$E$57+'Assumptions and Catalog'!$F$57,"Out of range")))))))),IF(L490&lt;='Assumptions and Catalog'!$C$60,L490*'Assumptions and Catalog'!$H$60+'Assumptions and Catalog'!$E$60+'Assumptions and Catalog'!$F$60,IF(L490&lt;='Assumptions and Catalog'!$C$61,L490*'Assumptions and Catalog'!$H$61+'Assumptions and Catalog'!$E$61+'Assumptions and Catalog'!$F$61,IF(L490&lt;='Assumptions and Catalog'!$C$62,L490*'Assumptions and Catalog'!$H$62+'Assumptions and Catalog'!$E$62+'Assumptions and Catalog'!$F$62,IF(L490&lt;='Assumptions and Catalog'!$C$63,L490*'Assumptions and Catalog'!$H$63+'Assumptions and Catalog'!$E$63+'Assumptions and Catalog'!$F$63,IF(L490&lt;='Assumptions and Catalog'!$C$64,L490*'Assumptions and Catalog'!$H$64+'Assumptions and Catalog'!$E$64+'Assumptions and Catalog'!$F$64,IF(L490&lt;='Assumptions and Catalog'!$C$65,L490*'Assumptions and Catalog'!$H$65+'Assumptions and Catalog'!$E$65+'Assumptions and Catalog'!$F$65,"Out of range")))))))))*(1+'Assumptions and Catalog'!$C$8)^(A490-1),0)</f>
        <v>8554.9666666666672</v>
      </c>
      <c r="O490" s="5">
        <f t="shared" si="39"/>
        <v>0</v>
      </c>
      <c r="P490" s="5">
        <f>D$55*(1-K$14)*(1-'Assumptions and Catalog'!$C$23)^R490</f>
        <v>0</v>
      </c>
      <c r="Q490" s="5">
        <f>IF(ISNUMBER(Inputs!$L$5),(IF(Inputs!$L$9="Actual flat rate",((D490+E490)*C490-G490)*Inputs!$L$10,IF(Inputs!$C$9="Residential",IF(((D490+E490)*C490-G490)&lt;='Assumptions and Catalog'!$C$50,((D490+E490)*C490-G490)*'Assumptions and Catalog'!$H$50+'Assumptions and Catalog'!$E$50+'Assumptions and Catalog'!$F$50,IF(((D490+E490)*C490-G490)&lt;='Assumptions and Catalog'!$C$51,((D490+E490)*C490-G490)*'Assumptions and Catalog'!$H$51+'Assumptions and Catalog'!$E$51+'Assumptions and Catalog'!$F$51,IF(((D490+E490)*C490-G490)&lt;='Assumptions and Catalog'!$C$52,((D490+E490)*C490-G490)*'Assumptions and Catalog'!$H$52+'Assumptions and Catalog'!$E$52+'Assumptions and Catalog'!$F$52,IF(((D490+E490)*C490-G490)&lt;='Assumptions and Catalog'!$C$53,((D490+E490)*C490-G490)*'Assumptions and Catalog'!$H$53+'Assumptions and Catalog'!$E$53+'Assumptions and Catalog'!$F$53,IF(((D490+E490)*C490-G490)&lt;='Assumptions and Catalog'!$C$54,((D490+E490)*C490-G490)*'Assumptions and Catalog'!$H$54+'Assumptions and Catalog'!$E$54+'Assumptions and Catalog'!$F$54,IF(((D490+E490)*C490-G490)&lt;='Assumptions and Catalog'!$C$55,((D490+E490)*C490-G490)*'Assumptions and Catalog'!$H$55+'Assumptions and Catalog'!$E$55+'Assumptions and Catalog'!$F$55,IF(((D490+E490)*C490-G490)&lt;='Assumptions and Catalog'!$C$56,((D490+E490)*C490-G490)*'Assumptions and Catalog'!$H$56+'Assumptions and Catalog'!$E$56+'Assumptions and Catalog'!$F$56,IF(((D490+E490)*C490-G490)&lt;='Assumptions and Catalog'!$C$57,((D490+E490)*C490-G490)*'Assumptions and Catalog'!$H$57+'Assumptions and Catalog'!$E$57+'Assumptions and Catalog'!$F$57,"Out of range")))))))),IF(((D490+E490)*C490-G490)&lt;='Assumptions and Catalog'!$C$60,((D490+E490)*C490-G490)*'Assumptions and Catalog'!$H$60+'Assumptions and Catalog'!$E$60+'Assumptions and Catalog'!$F$60,IF(((D490+E490)*C490-G490)&lt;='Assumptions and Catalog'!$C$61,((D490+E490)*C490-G490)*'Assumptions and Catalog'!$H$61+'Assumptions and Catalog'!$E$61+'Assumptions and Catalog'!$F$61,IF(((D490+E490)*C490-G490)&lt;='Assumptions and Catalog'!$C$62,((D490+E490)*C490-G490)*'Assumptions and Catalog'!$H$62+'Assumptions and Catalog'!$E$62+'Assumptions and Catalog'!$F$62,IF(((D490+E490)*C490-G490)&lt;='Assumptions and Catalog'!$C$63,((D490+E490)*C490-G490)*'Assumptions and Catalog'!$H$63+'Assumptions and Catalog'!$E$63+'Assumptions and Catalog'!$F$63,IF(((D490+E490)*C490-G490)&lt;='Assumptions and Catalog'!$C$64,((D490+E490)*C490-G490)*'Assumptions and Catalog'!$H$64+'Assumptions and Catalog'!$E$64+'Assumptions and Catalog'!$F$64,IF(((D490+E490)*C490-G490)&lt;='Assumptions and Catalog'!$C$65,((D490+E490)*C490-G490)*'Assumptions and Catalog'!$H$65+'Assumptions and Catalog'!$E$65+'Assumptions and Catalog'!$F$65,"Out of range")))))))))*(1+'Assumptions and Catalog'!$C$8)^(A490-1),0)</f>
        <v>8554.9666666666672</v>
      </c>
      <c r="R490" s="5">
        <f>IF(AND('Assumptions and Catalog'!$C$19&gt;0,A490&gt;='Assumptions and Catalog'!$C$19),A490-'Assumptions and Catalog'!$C$19,A490-1)</f>
        <v>6</v>
      </c>
      <c r="S490" s="5">
        <f>F490+L490-(D490+E490)*C490-J490-K490-IF(D$52&gt;0,'Assumptions and Catalog'!$C$26*C490,0)</f>
        <v>0</v>
      </c>
      <c r="T490" s="5"/>
      <c r="U490" s="5"/>
    </row>
    <row r="491" spans="1:21" ht="23.1" customHeight="1" outlineLevel="1" x14ac:dyDescent="0.2">
      <c r="A491" s="5">
        <v>7</v>
      </c>
      <c r="B491" s="5">
        <v>9</v>
      </c>
      <c r="C491" s="5">
        <f>DAY(DATE('Assumptions and Catalog'!$C$24+A491-1,B491+1,0))</f>
        <v>30</v>
      </c>
      <c r="D491" s="5">
        <f>IF(ISNUMBER(Inputs!$L$5),Inputs!$L$5*Inputs!$L$6,0)</f>
        <v>40.35</v>
      </c>
      <c r="E491" s="5">
        <f>IF(ISNUMBER(Inputs!$L$5),Inputs!$L$5-D491,0)</f>
        <v>40.35</v>
      </c>
      <c r="F491" s="5">
        <f>D$51*'Assumptions and Catalog'!$C$31*C491*(1-'Assumptions and Catalog'!$C$10)^(A491-1)</f>
        <v>0</v>
      </c>
      <c r="G491" s="5">
        <f t="shared" si="36"/>
        <v>0</v>
      </c>
      <c r="H491" s="5">
        <f>I491/('Assumptions and Catalog'!$C$11*'Assumptions and Catalog'!$C$12)</f>
        <v>0</v>
      </c>
      <c r="I491" s="5">
        <f>IF(K$15="Grid cycle",MIN(K$16,D491+E491,P491*'Assumptions and Catalog'!$C$12,D$57*(24-'Assumptions and Catalog'!$C$15),D$56*'Assumptions and Catalog'!$C$15*'Assumptions and Catalog'!$C$11*'Assumptions and Catalog'!$C$12)*C491,0)</f>
        <v>0</v>
      </c>
      <c r="J491" s="5">
        <f t="shared" si="37"/>
        <v>0</v>
      </c>
      <c r="K491" s="5">
        <f t="shared" si="38"/>
        <v>0</v>
      </c>
      <c r="L491" s="5">
        <f>(D491+E491)*C491-G491-I491+H491+IF(D$52&gt;0,'Assumptions and Catalog'!$C$26*C491,0)</f>
        <v>2421</v>
      </c>
      <c r="M491" s="5">
        <f>IF(ISNUMBER(Inputs!$L$5),(IF(Inputs!$L$9="Actual flat rate",((D491+E491)*C491)*Inputs!$L$10,IF(Inputs!$C$9="Residential",IF(((D491+E491)*C491)&lt;='Assumptions and Catalog'!$C$50,((D491+E491)*C491)*'Assumptions and Catalog'!$H$50+'Assumptions and Catalog'!$E$50+'Assumptions and Catalog'!$F$50,IF(((D491+E491)*C491)&lt;='Assumptions and Catalog'!$C$51,((D491+E491)*C491)*'Assumptions and Catalog'!$H$51+'Assumptions and Catalog'!$E$51+'Assumptions and Catalog'!$F$51,IF(((D491+E491)*C491)&lt;='Assumptions and Catalog'!$C$52,((D491+E491)*C491)*'Assumptions and Catalog'!$H$52+'Assumptions and Catalog'!$E$52+'Assumptions and Catalog'!$F$52,IF(((D491+E491)*C491)&lt;='Assumptions and Catalog'!$C$53,((D491+E491)*C491)*'Assumptions and Catalog'!$H$53+'Assumptions and Catalog'!$E$53+'Assumptions and Catalog'!$F$53,IF(((D491+E491)*C491)&lt;='Assumptions and Catalog'!$C$54,((D491+E491)*C491)*'Assumptions and Catalog'!$H$54+'Assumptions and Catalog'!$E$54+'Assumptions and Catalog'!$F$54,IF(((D491+E491)*C491)&lt;='Assumptions and Catalog'!$C$55,((D491+E491)*C491)*'Assumptions and Catalog'!$H$55+'Assumptions and Catalog'!$E$55+'Assumptions and Catalog'!$F$55,IF(((D491+E491)*C491)&lt;='Assumptions and Catalog'!$C$56,((D491+E491)*C491)*'Assumptions and Catalog'!$H$56+'Assumptions and Catalog'!$E$56+'Assumptions and Catalog'!$F$56,IF(((D491+E491)*C491)&lt;='Assumptions and Catalog'!$C$57,((D491+E491)*C491)*'Assumptions and Catalog'!$H$57+'Assumptions and Catalog'!$E$57+'Assumptions and Catalog'!$F$57,"Out of range")))))))),IF(((D491+E491)*C491)&lt;='Assumptions and Catalog'!$C$60,((D491+E491)*C491)*'Assumptions and Catalog'!$H$60+'Assumptions and Catalog'!$E$60+'Assumptions and Catalog'!$F$60,IF(((D491+E491)*C491)&lt;='Assumptions and Catalog'!$C$61,((D491+E491)*C491)*'Assumptions and Catalog'!$H$61+'Assumptions and Catalog'!$E$61+'Assumptions and Catalog'!$F$61,IF(((D491+E491)*C491)&lt;='Assumptions and Catalog'!$C$62,((D491+E491)*C491)*'Assumptions and Catalog'!$H$62+'Assumptions and Catalog'!$E$62+'Assumptions and Catalog'!$F$62,IF(((D491+E491)*C491)&lt;='Assumptions and Catalog'!$C$63,((D491+E491)*C491)*'Assumptions and Catalog'!$H$63+'Assumptions and Catalog'!$E$63+'Assumptions and Catalog'!$F$63,IF(((D491+E491)*C491)&lt;='Assumptions and Catalog'!$C$64,((D491+E491)*C491)*'Assumptions and Catalog'!$H$64+'Assumptions and Catalog'!$E$64+'Assumptions and Catalog'!$F$64,IF(((D491+E491)*C491)&lt;='Assumptions and Catalog'!$C$65,((D491+E491)*C491)*'Assumptions and Catalog'!$H$65+'Assumptions and Catalog'!$E$65+'Assumptions and Catalog'!$F$65,"Out of range")))))))))*(1+'Assumptions and Catalog'!$C$8)^(A491-1),0)</f>
        <v>8279</v>
      </c>
      <c r="N491" s="5">
        <f>IF(ISNUMBER(Inputs!$L$5),(IF(Inputs!$L$9="Actual flat rate",L491*Inputs!$L$10,IF(Inputs!$C$9="Residential",IF(L491&lt;='Assumptions and Catalog'!$C$50,L491*'Assumptions and Catalog'!$H$50+'Assumptions and Catalog'!$E$50+'Assumptions and Catalog'!$F$50,IF(L491&lt;='Assumptions and Catalog'!$C$51,L491*'Assumptions and Catalog'!$H$51+'Assumptions and Catalog'!$E$51+'Assumptions and Catalog'!$F$51,IF(L491&lt;='Assumptions and Catalog'!$C$52,L491*'Assumptions and Catalog'!$H$52+'Assumptions and Catalog'!$E$52+'Assumptions and Catalog'!$F$52,IF(L491&lt;='Assumptions and Catalog'!$C$53,L491*'Assumptions and Catalog'!$H$53+'Assumptions and Catalog'!$E$53+'Assumptions and Catalog'!$F$53,IF(L491&lt;='Assumptions and Catalog'!$C$54,L491*'Assumptions and Catalog'!$H$54+'Assumptions and Catalog'!$E$54+'Assumptions and Catalog'!$F$54,IF(L491&lt;='Assumptions and Catalog'!$C$55,L491*'Assumptions and Catalog'!$H$55+'Assumptions and Catalog'!$E$55+'Assumptions and Catalog'!$F$55,IF(L491&lt;='Assumptions and Catalog'!$C$56,L491*'Assumptions and Catalog'!$H$56+'Assumptions and Catalog'!$E$56+'Assumptions and Catalog'!$F$56,IF(L491&lt;='Assumptions and Catalog'!$C$57,L491*'Assumptions and Catalog'!$H$57+'Assumptions and Catalog'!$E$57+'Assumptions and Catalog'!$F$57,"Out of range")))))))),IF(L491&lt;='Assumptions and Catalog'!$C$60,L491*'Assumptions and Catalog'!$H$60+'Assumptions and Catalog'!$E$60+'Assumptions and Catalog'!$F$60,IF(L491&lt;='Assumptions and Catalog'!$C$61,L491*'Assumptions and Catalog'!$H$61+'Assumptions and Catalog'!$E$61+'Assumptions and Catalog'!$F$61,IF(L491&lt;='Assumptions and Catalog'!$C$62,L491*'Assumptions and Catalog'!$H$62+'Assumptions and Catalog'!$E$62+'Assumptions and Catalog'!$F$62,IF(L491&lt;='Assumptions and Catalog'!$C$63,L491*'Assumptions and Catalog'!$H$63+'Assumptions and Catalog'!$E$63+'Assumptions and Catalog'!$F$63,IF(L491&lt;='Assumptions and Catalog'!$C$64,L491*'Assumptions and Catalog'!$H$64+'Assumptions and Catalog'!$E$64+'Assumptions and Catalog'!$F$64,IF(L491&lt;='Assumptions and Catalog'!$C$65,L491*'Assumptions and Catalog'!$H$65+'Assumptions and Catalog'!$E$65+'Assumptions and Catalog'!$F$65,"Out of range")))))))))*(1+'Assumptions and Catalog'!$C$8)^(A491-1),0)</f>
        <v>8279</v>
      </c>
      <c r="O491" s="5">
        <f t="shared" si="39"/>
        <v>0</v>
      </c>
      <c r="P491" s="5">
        <f>D$55*(1-K$14)*(1-'Assumptions and Catalog'!$C$23)^R491</f>
        <v>0</v>
      </c>
      <c r="Q491" s="5">
        <f>IF(ISNUMBER(Inputs!$L$5),(IF(Inputs!$L$9="Actual flat rate",((D491+E491)*C491-G491)*Inputs!$L$10,IF(Inputs!$C$9="Residential",IF(((D491+E491)*C491-G491)&lt;='Assumptions and Catalog'!$C$50,((D491+E491)*C491-G491)*'Assumptions and Catalog'!$H$50+'Assumptions and Catalog'!$E$50+'Assumptions and Catalog'!$F$50,IF(((D491+E491)*C491-G491)&lt;='Assumptions and Catalog'!$C$51,((D491+E491)*C491-G491)*'Assumptions and Catalog'!$H$51+'Assumptions and Catalog'!$E$51+'Assumptions and Catalog'!$F$51,IF(((D491+E491)*C491-G491)&lt;='Assumptions and Catalog'!$C$52,((D491+E491)*C491-G491)*'Assumptions and Catalog'!$H$52+'Assumptions and Catalog'!$E$52+'Assumptions and Catalog'!$F$52,IF(((D491+E491)*C491-G491)&lt;='Assumptions and Catalog'!$C$53,((D491+E491)*C491-G491)*'Assumptions and Catalog'!$H$53+'Assumptions and Catalog'!$E$53+'Assumptions and Catalog'!$F$53,IF(((D491+E491)*C491-G491)&lt;='Assumptions and Catalog'!$C$54,((D491+E491)*C491-G491)*'Assumptions and Catalog'!$H$54+'Assumptions and Catalog'!$E$54+'Assumptions and Catalog'!$F$54,IF(((D491+E491)*C491-G491)&lt;='Assumptions and Catalog'!$C$55,((D491+E491)*C491-G491)*'Assumptions and Catalog'!$H$55+'Assumptions and Catalog'!$E$55+'Assumptions and Catalog'!$F$55,IF(((D491+E491)*C491-G491)&lt;='Assumptions and Catalog'!$C$56,((D491+E491)*C491-G491)*'Assumptions and Catalog'!$H$56+'Assumptions and Catalog'!$E$56+'Assumptions and Catalog'!$F$56,IF(((D491+E491)*C491-G491)&lt;='Assumptions and Catalog'!$C$57,((D491+E491)*C491-G491)*'Assumptions and Catalog'!$H$57+'Assumptions and Catalog'!$E$57+'Assumptions and Catalog'!$F$57,"Out of range")))))))),IF(((D491+E491)*C491-G491)&lt;='Assumptions and Catalog'!$C$60,((D491+E491)*C491-G491)*'Assumptions and Catalog'!$H$60+'Assumptions and Catalog'!$E$60+'Assumptions and Catalog'!$F$60,IF(((D491+E491)*C491-G491)&lt;='Assumptions and Catalog'!$C$61,((D491+E491)*C491-G491)*'Assumptions and Catalog'!$H$61+'Assumptions and Catalog'!$E$61+'Assumptions and Catalog'!$F$61,IF(((D491+E491)*C491-G491)&lt;='Assumptions and Catalog'!$C$62,((D491+E491)*C491-G491)*'Assumptions and Catalog'!$H$62+'Assumptions and Catalog'!$E$62+'Assumptions and Catalog'!$F$62,IF(((D491+E491)*C491-G491)&lt;='Assumptions and Catalog'!$C$63,((D491+E491)*C491-G491)*'Assumptions and Catalog'!$H$63+'Assumptions and Catalog'!$E$63+'Assumptions and Catalog'!$F$63,IF(((D491+E491)*C491-G491)&lt;='Assumptions and Catalog'!$C$64,((D491+E491)*C491-G491)*'Assumptions and Catalog'!$H$64+'Assumptions and Catalog'!$E$64+'Assumptions and Catalog'!$F$64,IF(((D491+E491)*C491-G491)&lt;='Assumptions and Catalog'!$C$65,((D491+E491)*C491-G491)*'Assumptions and Catalog'!$H$65+'Assumptions and Catalog'!$E$65+'Assumptions and Catalog'!$F$65,"Out of range")))))))))*(1+'Assumptions and Catalog'!$C$8)^(A491-1),0)</f>
        <v>8279</v>
      </c>
      <c r="R491" s="5">
        <f>IF(AND('Assumptions and Catalog'!$C$19&gt;0,A491&gt;='Assumptions and Catalog'!$C$19),A491-'Assumptions and Catalog'!$C$19,A491-1)</f>
        <v>6</v>
      </c>
      <c r="S491" s="5">
        <f>F491+L491-(D491+E491)*C491-J491-K491-IF(D$52&gt;0,'Assumptions and Catalog'!$C$26*C491,0)</f>
        <v>0</v>
      </c>
      <c r="T491" s="5"/>
      <c r="U491" s="5"/>
    </row>
    <row r="492" spans="1:21" ht="23.1" customHeight="1" outlineLevel="1" x14ac:dyDescent="0.2">
      <c r="A492" s="5">
        <v>7</v>
      </c>
      <c r="B492" s="5">
        <v>10</v>
      </c>
      <c r="C492" s="5">
        <f>DAY(DATE('Assumptions and Catalog'!$C$24+A492-1,B492+1,0))</f>
        <v>31</v>
      </c>
      <c r="D492" s="5">
        <f>IF(ISNUMBER(Inputs!$L$5),Inputs!$L$5*Inputs!$L$6,0)</f>
        <v>40.35</v>
      </c>
      <c r="E492" s="5">
        <f>IF(ISNUMBER(Inputs!$L$5),Inputs!$L$5-D492,0)</f>
        <v>40.35</v>
      </c>
      <c r="F492" s="5">
        <f>D$51*'Assumptions and Catalog'!$C$31*C492*(1-'Assumptions and Catalog'!$C$10)^(A492-1)</f>
        <v>0</v>
      </c>
      <c r="G492" s="5">
        <f t="shared" si="36"/>
        <v>0</v>
      </c>
      <c r="H492" s="5">
        <f>I492/('Assumptions and Catalog'!$C$11*'Assumptions and Catalog'!$C$12)</f>
        <v>0</v>
      </c>
      <c r="I492" s="5">
        <f>IF(K$15="Grid cycle",MIN(K$16,D492+E492,P492*'Assumptions and Catalog'!$C$12,D$57*(24-'Assumptions and Catalog'!$C$15),D$56*'Assumptions and Catalog'!$C$15*'Assumptions and Catalog'!$C$11*'Assumptions and Catalog'!$C$12)*C492,0)</f>
        <v>0</v>
      </c>
      <c r="J492" s="5">
        <f t="shared" si="37"/>
        <v>0</v>
      </c>
      <c r="K492" s="5">
        <f t="shared" si="38"/>
        <v>0</v>
      </c>
      <c r="L492" s="5">
        <f>(D492+E492)*C492-G492-I492+H492+IF(D$52&gt;0,'Assumptions and Catalog'!$C$26*C492,0)</f>
        <v>2501.7000000000003</v>
      </c>
      <c r="M492" s="5">
        <f>IF(ISNUMBER(Inputs!$L$5),(IF(Inputs!$L$9="Actual flat rate",((D492+E492)*C492)*Inputs!$L$10,IF(Inputs!$C$9="Residential",IF(((D492+E492)*C492)&lt;='Assumptions and Catalog'!$C$50,((D492+E492)*C492)*'Assumptions and Catalog'!$H$50+'Assumptions and Catalog'!$E$50+'Assumptions and Catalog'!$F$50,IF(((D492+E492)*C492)&lt;='Assumptions and Catalog'!$C$51,((D492+E492)*C492)*'Assumptions and Catalog'!$H$51+'Assumptions and Catalog'!$E$51+'Assumptions and Catalog'!$F$51,IF(((D492+E492)*C492)&lt;='Assumptions and Catalog'!$C$52,((D492+E492)*C492)*'Assumptions and Catalog'!$H$52+'Assumptions and Catalog'!$E$52+'Assumptions and Catalog'!$F$52,IF(((D492+E492)*C492)&lt;='Assumptions and Catalog'!$C$53,((D492+E492)*C492)*'Assumptions and Catalog'!$H$53+'Assumptions and Catalog'!$E$53+'Assumptions and Catalog'!$F$53,IF(((D492+E492)*C492)&lt;='Assumptions and Catalog'!$C$54,((D492+E492)*C492)*'Assumptions and Catalog'!$H$54+'Assumptions and Catalog'!$E$54+'Assumptions and Catalog'!$F$54,IF(((D492+E492)*C492)&lt;='Assumptions and Catalog'!$C$55,((D492+E492)*C492)*'Assumptions and Catalog'!$H$55+'Assumptions and Catalog'!$E$55+'Assumptions and Catalog'!$F$55,IF(((D492+E492)*C492)&lt;='Assumptions and Catalog'!$C$56,((D492+E492)*C492)*'Assumptions and Catalog'!$H$56+'Assumptions and Catalog'!$E$56+'Assumptions and Catalog'!$F$56,IF(((D492+E492)*C492)&lt;='Assumptions and Catalog'!$C$57,((D492+E492)*C492)*'Assumptions and Catalog'!$H$57+'Assumptions and Catalog'!$E$57+'Assumptions and Catalog'!$F$57,"Out of range")))))))),IF(((D492+E492)*C492)&lt;='Assumptions and Catalog'!$C$60,((D492+E492)*C492)*'Assumptions and Catalog'!$H$60+'Assumptions and Catalog'!$E$60+'Assumptions and Catalog'!$F$60,IF(((D492+E492)*C492)&lt;='Assumptions and Catalog'!$C$61,((D492+E492)*C492)*'Assumptions and Catalog'!$H$61+'Assumptions and Catalog'!$E$61+'Assumptions and Catalog'!$F$61,IF(((D492+E492)*C492)&lt;='Assumptions and Catalog'!$C$62,((D492+E492)*C492)*'Assumptions and Catalog'!$H$62+'Assumptions and Catalog'!$E$62+'Assumptions and Catalog'!$F$62,IF(((D492+E492)*C492)&lt;='Assumptions and Catalog'!$C$63,((D492+E492)*C492)*'Assumptions and Catalog'!$H$63+'Assumptions and Catalog'!$E$63+'Assumptions and Catalog'!$F$63,IF(((D492+E492)*C492)&lt;='Assumptions and Catalog'!$C$64,((D492+E492)*C492)*'Assumptions and Catalog'!$H$64+'Assumptions and Catalog'!$E$64+'Assumptions and Catalog'!$F$64,IF(((D492+E492)*C492)&lt;='Assumptions and Catalog'!$C$65,((D492+E492)*C492)*'Assumptions and Catalog'!$H$65+'Assumptions and Catalog'!$E$65+'Assumptions and Catalog'!$F$65,"Out of range")))))))))*(1+'Assumptions and Catalog'!$C$8)^(A492-1),0)</f>
        <v>8554.9666666666672</v>
      </c>
      <c r="N492" s="5">
        <f>IF(ISNUMBER(Inputs!$L$5),(IF(Inputs!$L$9="Actual flat rate",L492*Inputs!$L$10,IF(Inputs!$C$9="Residential",IF(L492&lt;='Assumptions and Catalog'!$C$50,L492*'Assumptions and Catalog'!$H$50+'Assumptions and Catalog'!$E$50+'Assumptions and Catalog'!$F$50,IF(L492&lt;='Assumptions and Catalog'!$C$51,L492*'Assumptions and Catalog'!$H$51+'Assumptions and Catalog'!$E$51+'Assumptions and Catalog'!$F$51,IF(L492&lt;='Assumptions and Catalog'!$C$52,L492*'Assumptions and Catalog'!$H$52+'Assumptions and Catalog'!$E$52+'Assumptions and Catalog'!$F$52,IF(L492&lt;='Assumptions and Catalog'!$C$53,L492*'Assumptions and Catalog'!$H$53+'Assumptions and Catalog'!$E$53+'Assumptions and Catalog'!$F$53,IF(L492&lt;='Assumptions and Catalog'!$C$54,L492*'Assumptions and Catalog'!$H$54+'Assumptions and Catalog'!$E$54+'Assumptions and Catalog'!$F$54,IF(L492&lt;='Assumptions and Catalog'!$C$55,L492*'Assumptions and Catalog'!$H$55+'Assumptions and Catalog'!$E$55+'Assumptions and Catalog'!$F$55,IF(L492&lt;='Assumptions and Catalog'!$C$56,L492*'Assumptions and Catalog'!$H$56+'Assumptions and Catalog'!$E$56+'Assumptions and Catalog'!$F$56,IF(L492&lt;='Assumptions and Catalog'!$C$57,L492*'Assumptions and Catalog'!$H$57+'Assumptions and Catalog'!$E$57+'Assumptions and Catalog'!$F$57,"Out of range")))))))),IF(L492&lt;='Assumptions and Catalog'!$C$60,L492*'Assumptions and Catalog'!$H$60+'Assumptions and Catalog'!$E$60+'Assumptions and Catalog'!$F$60,IF(L492&lt;='Assumptions and Catalog'!$C$61,L492*'Assumptions and Catalog'!$H$61+'Assumptions and Catalog'!$E$61+'Assumptions and Catalog'!$F$61,IF(L492&lt;='Assumptions and Catalog'!$C$62,L492*'Assumptions and Catalog'!$H$62+'Assumptions and Catalog'!$E$62+'Assumptions and Catalog'!$F$62,IF(L492&lt;='Assumptions and Catalog'!$C$63,L492*'Assumptions and Catalog'!$H$63+'Assumptions and Catalog'!$E$63+'Assumptions and Catalog'!$F$63,IF(L492&lt;='Assumptions and Catalog'!$C$64,L492*'Assumptions and Catalog'!$H$64+'Assumptions and Catalog'!$E$64+'Assumptions and Catalog'!$F$64,IF(L492&lt;='Assumptions and Catalog'!$C$65,L492*'Assumptions and Catalog'!$H$65+'Assumptions and Catalog'!$E$65+'Assumptions and Catalog'!$F$65,"Out of range")))))))))*(1+'Assumptions and Catalog'!$C$8)^(A492-1),0)</f>
        <v>8554.9666666666672</v>
      </c>
      <c r="O492" s="5">
        <f t="shared" si="39"/>
        <v>0</v>
      </c>
      <c r="P492" s="5">
        <f>D$55*(1-K$14)*(1-'Assumptions and Catalog'!$C$23)^R492</f>
        <v>0</v>
      </c>
      <c r="Q492" s="5">
        <f>IF(ISNUMBER(Inputs!$L$5),(IF(Inputs!$L$9="Actual flat rate",((D492+E492)*C492-G492)*Inputs!$L$10,IF(Inputs!$C$9="Residential",IF(((D492+E492)*C492-G492)&lt;='Assumptions and Catalog'!$C$50,((D492+E492)*C492-G492)*'Assumptions and Catalog'!$H$50+'Assumptions and Catalog'!$E$50+'Assumptions and Catalog'!$F$50,IF(((D492+E492)*C492-G492)&lt;='Assumptions and Catalog'!$C$51,((D492+E492)*C492-G492)*'Assumptions and Catalog'!$H$51+'Assumptions and Catalog'!$E$51+'Assumptions and Catalog'!$F$51,IF(((D492+E492)*C492-G492)&lt;='Assumptions and Catalog'!$C$52,((D492+E492)*C492-G492)*'Assumptions and Catalog'!$H$52+'Assumptions and Catalog'!$E$52+'Assumptions and Catalog'!$F$52,IF(((D492+E492)*C492-G492)&lt;='Assumptions and Catalog'!$C$53,((D492+E492)*C492-G492)*'Assumptions and Catalog'!$H$53+'Assumptions and Catalog'!$E$53+'Assumptions and Catalog'!$F$53,IF(((D492+E492)*C492-G492)&lt;='Assumptions and Catalog'!$C$54,((D492+E492)*C492-G492)*'Assumptions and Catalog'!$H$54+'Assumptions and Catalog'!$E$54+'Assumptions and Catalog'!$F$54,IF(((D492+E492)*C492-G492)&lt;='Assumptions and Catalog'!$C$55,((D492+E492)*C492-G492)*'Assumptions and Catalog'!$H$55+'Assumptions and Catalog'!$E$55+'Assumptions and Catalog'!$F$55,IF(((D492+E492)*C492-G492)&lt;='Assumptions and Catalog'!$C$56,((D492+E492)*C492-G492)*'Assumptions and Catalog'!$H$56+'Assumptions and Catalog'!$E$56+'Assumptions and Catalog'!$F$56,IF(((D492+E492)*C492-G492)&lt;='Assumptions and Catalog'!$C$57,((D492+E492)*C492-G492)*'Assumptions and Catalog'!$H$57+'Assumptions and Catalog'!$E$57+'Assumptions and Catalog'!$F$57,"Out of range")))))))),IF(((D492+E492)*C492-G492)&lt;='Assumptions and Catalog'!$C$60,((D492+E492)*C492-G492)*'Assumptions and Catalog'!$H$60+'Assumptions and Catalog'!$E$60+'Assumptions and Catalog'!$F$60,IF(((D492+E492)*C492-G492)&lt;='Assumptions and Catalog'!$C$61,((D492+E492)*C492-G492)*'Assumptions and Catalog'!$H$61+'Assumptions and Catalog'!$E$61+'Assumptions and Catalog'!$F$61,IF(((D492+E492)*C492-G492)&lt;='Assumptions and Catalog'!$C$62,((D492+E492)*C492-G492)*'Assumptions and Catalog'!$H$62+'Assumptions and Catalog'!$E$62+'Assumptions and Catalog'!$F$62,IF(((D492+E492)*C492-G492)&lt;='Assumptions and Catalog'!$C$63,((D492+E492)*C492-G492)*'Assumptions and Catalog'!$H$63+'Assumptions and Catalog'!$E$63+'Assumptions and Catalog'!$F$63,IF(((D492+E492)*C492-G492)&lt;='Assumptions and Catalog'!$C$64,((D492+E492)*C492-G492)*'Assumptions and Catalog'!$H$64+'Assumptions and Catalog'!$E$64+'Assumptions and Catalog'!$F$64,IF(((D492+E492)*C492-G492)&lt;='Assumptions and Catalog'!$C$65,((D492+E492)*C492-G492)*'Assumptions and Catalog'!$H$65+'Assumptions and Catalog'!$E$65+'Assumptions and Catalog'!$F$65,"Out of range")))))))))*(1+'Assumptions and Catalog'!$C$8)^(A492-1),0)</f>
        <v>8554.9666666666672</v>
      </c>
      <c r="R492" s="5">
        <f>IF(AND('Assumptions and Catalog'!$C$19&gt;0,A492&gt;='Assumptions and Catalog'!$C$19),A492-'Assumptions and Catalog'!$C$19,A492-1)</f>
        <v>6</v>
      </c>
      <c r="S492" s="5">
        <f>F492+L492-(D492+E492)*C492-J492-K492-IF(D$52&gt;0,'Assumptions and Catalog'!$C$26*C492,0)</f>
        <v>0</v>
      </c>
      <c r="T492" s="5"/>
      <c r="U492" s="5"/>
    </row>
    <row r="493" spans="1:21" ht="23.1" customHeight="1" outlineLevel="1" x14ac:dyDescent="0.2">
      <c r="A493" s="5">
        <v>7</v>
      </c>
      <c r="B493" s="5">
        <v>11</v>
      </c>
      <c r="C493" s="5">
        <f>DAY(DATE('Assumptions and Catalog'!$C$24+A493-1,B493+1,0))</f>
        <v>30</v>
      </c>
      <c r="D493" s="5">
        <f>IF(ISNUMBER(Inputs!$L$5),Inputs!$L$5*Inputs!$L$6,0)</f>
        <v>40.35</v>
      </c>
      <c r="E493" s="5">
        <f>IF(ISNUMBER(Inputs!$L$5),Inputs!$L$5-D493,0)</f>
        <v>40.35</v>
      </c>
      <c r="F493" s="5">
        <f>D$51*'Assumptions and Catalog'!$C$31*C493*(1-'Assumptions and Catalog'!$C$10)^(A493-1)</f>
        <v>0</v>
      </c>
      <c r="G493" s="5">
        <f t="shared" si="36"/>
        <v>0</v>
      </c>
      <c r="H493" s="5">
        <f>I493/('Assumptions and Catalog'!$C$11*'Assumptions and Catalog'!$C$12)</f>
        <v>0</v>
      </c>
      <c r="I493" s="5">
        <f>IF(K$15="Grid cycle",MIN(K$16,D493+E493,P493*'Assumptions and Catalog'!$C$12,D$57*(24-'Assumptions and Catalog'!$C$15),D$56*'Assumptions and Catalog'!$C$15*'Assumptions and Catalog'!$C$11*'Assumptions and Catalog'!$C$12)*C493,0)</f>
        <v>0</v>
      </c>
      <c r="J493" s="5">
        <f t="shared" si="37"/>
        <v>0</v>
      </c>
      <c r="K493" s="5">
        <f t="shared" si="38"/>
        <v>0</v>
      </c>
      <c r="L493" s="5">
        <f>(D493+E493)*C493-G493-I493+H493+IF(D$52&gt;0,'Assumptions and Catalog'!$C$26*C493,0)</f>
        <v>2421</v>
      </c>
      <c r="M493" s="5">
        <f>IF(ISNUMBER(Inputs!$L$5),(IF(Inputs!$L$9="Actual flat rate",((D493+E493)*C493)*Inputs!$L$10,IF(Inputs!$C$9="Residential",IF(((D493+E493)*C493)&lt;='Assumptions and Catalog'!$C$50,((D493+E493)*C493)*'Assumptions and Catalog'!$H$50+'Assumptions and Catalog'!$E$50+'Assumptions and Catalog'!$F$50,IF(((D493+E493)*C493)&lt;='Assumptions and Catalog'!$C$51,((D493+E493)*C493)*'Assumptions and Catalog'!$H$51+'Assumptions and Catalog'!$E$51+'Assumptions and Catalog'!$F$51,IF(((D493+E493)*C493)&lt;='Assumptions and Catalog'!$C$52,((D493+E493)*C493)*'Assumptions and Catalog'!$H$52+'Assumptions and Catalog'!$E$52+'Assumptions and Catalog'!$F$52,IF(((D493+E493)*C493)&lt;='Assumptions and Catalog'!$C$53,((D493+E493)*C493)*'Assumptions and Catalog'!$H$53+'Assumptions and Catalog'!$E$53+'Assumptions and Catalog'!$F$53,IF(((D493+E493)*C493)&lt;='Assumptions and Catalog'!$C$54,((D493+E493)*C493)*'Assumptions and Catalog'!$H$54+'Assumptions and Catalog'!$E$54+'Assumptions and Catalog'!$F$54,IF(((D493+E493)*C493)&lt;='Assumptions and Catalog'!$C$55,((D493+E493)*C493)*'Assumptions and Catalog'!$H$55+'Assumptions and Catalog'!$E$55+'Assumptions and Catalog'!$F$55,IF(((D493+E493)*C493)&lt;='Assumptions and Catalog'!$C$56,((D493+E493)*C493)*'Assumptions and Catalog'!$H$56+'Assumptions and Catalog'!$E$56+'Assumptions and Catalog'!$F$56,IF(((D493+E493)*C493)&lt;='Assumptions and Catalog'!$C$57,((D493+E493)*C493)*'Assumptions and Catalog'!$H$57+'Assumptions and Catalog'!$E$57+'Assumptions and Catalog'!$F$57,"Out of range")))))))),IF(((D493+E493)*C493)&lt;='Assumptions and Catalog'!$C$60,((D493+E493)*C493)*'Assumptions and Catalog'!$H$60+'Assumptions and Catalog'!$E$60+'Assumptions and Catalog'!$F$60,IF(((D493+E493)*C493)&lt;='Assumptions and Catalog'!$C$61,((D493+E493)*C493)*'Assumptions and Catalog'!$H$61+'Assumptions and Catalog'!$E$61+'Assumptions and Catalog'!$F$61,IF(((D493+E493)*C493)&lt;='Assumptions and Catalog'!$C$62,((D493+E493)*C493)*'Assumptions and Catalog'!$H$62+'Assumptions and Catalog'!$E$62+'Assumptions and Catalog'!$F$62,IF(((D493+E493)*C493)&lt;='Assumptions and Catalog'!$C$63,((D493+E493)*C493)*'Assumptions and Catalog'!$H$63+'Assumptions and Catalog'!$E$63+'Assumptions and Catalog'!$F$63,IF(((D493+E493)*C493)&lt;='Assumptions and Catalog'!$C$64,((D493+E493)*C493)*'Assumptions and Catalog'!$H$64+'Assumptions and Catalog'!$E$64+'Assumptions and Catalog'!$F$64,IF(((D493+E493)*C493)&lt;='Assumptions and Catalog'!$C$65,((D493+E493)*C493)*'Assumptions and Catalog'!$H$65+'Assumptions and Catalog'!$E$65+'Assumptions and Catalog'!$F$65,"Out of range")))))))))*(1+'Assumptions and Catalog'!$C$8)^(A493-1),0)</f>
        <v>8279</v>
      </c>
      <c r="N493" s="5">
        <f>IF(ISNUMBER(Inputs!$L$5),(IF(Inputs!$L$9="Actual flat rate",L493*Inputs!$L$10,IF(Inputs!$C$9="Residential",IF(L493&lt;='Assumptions and Catalog'!$C$50,L493*'Assumptions and Catalog'!$H$50+'Assumptions and Catalog'!$E$50+'Assumptions and Catalog'!$F$50,IF(L493&lt;='Assumptions and Catalog'!$C$51,L493*'Assumptions and Catalog'!$H$51+'Assumptions and Catalog'!$E$51+'Assumptions and Catalog'!$F$51,IF(L493&lt;='Assumptions and Catalog'!$C$52,L493*'Assumptions and Catalog'!$H$52+'Assumptions and Catalog'!$E$52+'Assumptions and Catalog'!$F$52,IF(L493&lt;='Assumptions and Catalog'!$C$53,L493*'Assumptions and Catalog'!$H$53+'Assumptions and Catalog'!$E$53+'Assumptions and Catalog'!$F$53,IF(L493&lt;='Assumptions and Catalog'!$C$54,L493*'Assumptions and Catalog'!$H$54+'Assumptions and Catalog'!$E$54+'Assumptions and Catalog'!$F$54,IF(L493&lt;='Assumptions and Catalog'!$C$55,L493*'Assumptions and Catalog'!$H$55+'Assumptions and Catalog'!$E$55+'Assumptions and Catalog'!$F$55,IF(L493&lt;='Assumptions and Catalog'!$C$56,L493*'Assumptions and Catalog'!$H$56+'Assumptions and Catalog'!$E$56+'Assumptions and Catalog'!$F$56,IF(L493&lt;='Assumptions and Catalog'!$C$57,L493*'Assumptions and Catalog'!$H$57+'Assumptions and Catalog'!$E$57+'Assumptions and Catalog'!$F$57,"Out of range")))))))),IF(L493&lt;='Assumptions and Catalog'!$C$60,L493*'Assumptions and Catalog'!$H$60+'Assumptions and Catalog'!$E$60+'Assumptions and Catalog'!$F$60,IF(L493&lt;='Assumptions and Catalog'!$C$61,L493*'Assumptions and Catalog'!$H$61+'Assumptions and Catalog'!$E$61+'Assumptions and Catalog'!$F$61,IF(L493&lt;='Assumptions and Catalog'!$C$62,L493*'Assumptions and Catalog'!$H$62+'Assumptions and Catalog'!$E$62+'Assumptions and Catalog'!$F$62,IF(L493&lt;='Assumptions and Catalog'!$C$63,L493*'Assumptions and Catalog'!$H$63+'Assumptions and Catalog'!$E$63+'Assumptions and Catalog'!$F$63,IF(L493&lt;='Assumptions and Catalog'!$C$64,L493*'Assumptions and Catalog'!$H$64+'Assumptions and Catalog'!$E$64+'Assumptions and Catalog'!$F$64,IF(L493&lt;='Assumptions and Catalog'!$C$65,L493*'Assumptions and Catalog'!$H$65+'Assumptions and Catalog'!$E$65+'Assumptions and Catalog'!$F$65,"Out of range")))))))))*(1+'Assumptions and Catalog'!$C$8)^(A493-1),0)</f>
        <v>8279</v>
      </c>
      <c r="O493" s="5">
        <f t="shared" si="39"/>
        <v>0</v>
      </c>
      <c r="P493" s="5">
        <f>D$55*(1-K$14)*(1-'Assumptions and Catalog'!$C$23)^R493</f>
        <v>0</v>
      </c>
      <c r="Q493" s="5">
        <f>IF(ISNUMBER(Inputs!$L$5),(IF(Inputs!$L$9="Actual flat rate",((D493+E493)*C493-G493)*Inputs!$L$10,IF(Inputs!$C$9="Residential",IF(((D493+E493)*C493-G493)&lt;='Assumptions and Catalog'!$C$50,((D493+E493)*C493-G493)*'Assumptions and Catalog'!$H$50+'Assumptions and Catalog'!$E$50+'Assumptions and Catalog'!$F$50,IF(((D493+E493)*C493-G493)&lt;='Assumptions and Catalog'!$C$51,((D493+E493)*C493-G493)*'Assumptions and Catalog'!$H$51+'Assumptions and Catalog'!$E$51+'Assumptions and Catalog'!$F$51,IF(((D493+E493)*C493-G493)&lt;='Assumptions and Catalog'!$C$52,((D493+E493)*C493-G493)*'Assumptions and Catalog'!$H$52+'Assumptions and Catalog'!$E$52+'Assumptions and Catalog'!$F$52,IF(((D493+E493)*C493-G493)&lt;='Assumptions and Catalog'!$C$53,((D493+E493)*C493-G493)*'Assumptions and Catalog'!$H$53+'Assumptions and Catalog'!$E$53+'Assumptions and Catalog'!$F$53,IF(((D493+E493)*C493-G493)&lt;='Assumptions and Catalog'!$C$54,((D493+E493)*C493-G493)*'Assumptions and Catalog'!$H$54+'Assumptions and Catalog'!$E$54+'Assumptions and Catalog'!$F$54,IF(((D493+E493)*C493-G493)&lt;='Assumptions and Catalog'!$C$55,((D493+E493)*C493-G493)*'Assumptions and Catalog'!$H$55+'Assumptions and Catalog'!$E$55+'Assumptions and Catalog'!$F$55,IF(((D493+E493)*C493-G493)&lt;='Assumptions and Catalog'!$C$56,((D493+E493)*C493-G493)*'Assumptions and Catalog'!$H$56+'Assumptions and Catalog'!$E$56+'Assumptions and Catalog'!$F$56,IF(((D493+E493)*C493-G493)&lt;='Assumptions and Catalog'!$C$57,((D493+E493)*C493-G493)*'Assumptions and Catalog'!$H$57+'Assumptions and Catalog'!$E$57+'Assumptions and Catalog'!$F$57,"Out of range")))))))),IF(((D493+E493)*C493-G493)&lt;='Assumptions and Catalog'!$C$60,((D493+E493)*C493-G493)*'Assumptions and Catalog'!$H$60+'Assumptions and Catalog'!$E$60+'Assumptions and Catalog'!$F$60,IF(((D493+E493)*C493-G493)&lt;='Assumptions and Catalog'!$C$61,((D493+E493)*C493-G493)*'Assumptions and Catalog'!$H$61+'Assumptions and Catalog'!$E$61+'Assumptions and Catalog'!$F$61,IF(((D493+E493)*C493-G493)&lt;='Assumptions and Catalog'!$C$62,((D493+E493)*C493-G493)*'Assumptions and Catalog'!$H$62+'Assumptions and Catalog'!$E$62+'Assumptions and Catalog'!$F$62,IF(((D493+E493)*C493-G493)&lt;='Assumptions and Catalog'!$C$63,((D493+E493)*C493-G493)*'Assumptions and Catalog'!$H$63+'Assumptions and Catalog'!$E$63+'Assumptions and Catalog'!$F$63,IF(((D493+E493)*C493-G493)&lt;='Assumptions and Catalog'!$C$64,((D493+E493)*C493-G493)*'Assumptions and Catalog'!$H$64+'Assumptions and Catalog'!$E$64+'Assumptions and Catalog'!$F$64,IF(((D493+E493)*C493-G493)&lt;='Assumptions and Catalog'!$C$65,((D493+E493)*C493-G493)*'Assumptions and Catalog'!$H$65+'Assumptions and Catalog'!$E$65+'Assumptions and Catalog'!$F$65,"Out of range")))))))))*(1+'Assumptions and Catalog'!$C$8)^(A493-1),0)</f>
        <v>8279</v>
      </c>
      <c r="R493" s="5">
        <f>IF(AND('Assumptions and Catalog'!$C$19&gt;0,A493&gt;='Assumptions and Catalog'!$C$19),A493-'Assumptions and Catalog'!$C$19,A493-1)</f>
        <v>6</v>
      </c>
      <c r="S493" s="5">
        <f>F493+L493-(D493+E493)*C493-J493-K493-IF(D$52&gt;0,'Assumptions and Catalog'!$C$26*C493,0)</f>
        <v>0</v>
      </c>
      <c r="T493" s="5"/>
      <c r="U493" s="5"/>
    </row>
    <row r="494" spans="1:21" ht="23.1" customHeight="1" outlineLevel="1" x14ac:dyDescent="0.2">
      <c r="A494" s="5">
        <v>7</v>
      </c>
      <c r="B494" s="5">
        <v>12</v>
      </c>
      <c r="C494" s="5">
        <f>DAY(DATE('Assumptions and Catalog'!$C$24+A494-1,B494+1,0))</f>
        <v>31</v>
      </c>
      <c r="D494" s="5">
        <f>IF(ISNUMBER(Inputs!$L$5),Inputs!$L$5*Inputs!$L$6,0)</f>
        <v>40.35</v>
      </c>
      <c r="E494" s="5">
        <f>IF(ISNUMBER(Inputs!$L$5),Inputs!$L$5-D494,0)</f>
        <v>40.35</v>
      </c>
      <c r="F494" s="5">
        <f>D$51*'Assumptions and Catalog'!$C$31*C494*(1-'Assumptions and Catalog'!$C$10)^(A494-1)</f>
        <v>0</v>
      </c>
      <c r="G494" s="5">
        <f t="shared" si="36"/>
        <v>0</v>
      </c>
      <c r="H494" s="5">
        <f>I494/('Assumptions and Catalog'!$C$11*'Assumptions and Catalog'!$C$12)</f>
        <v>0</v>
      </c>
      <c r="I494" s="5">
        <f>IF(K$15="Grid cycle",MIN(K$16,D494+E494,P494*'Assumptions and Catalog'!$C$12,D$57*(24-'Assumptions and Catalog'!$C$15),D$56*'Assumptions and Catalog'!$C$15*'Assumptions and Catalog'!$C$11*'Assumptions and Catalog'!$C$12)*C494,0)</f>
        <v>0</v>
      </c>
      <c r="J494" s="5">
        <f t="shared" si="37"/>
        <v>0</v>
      </c>
      <c r="K494" s="5">
        <f t="shared" si="38"/>
        <v>0</v>
      </c>
      <c r="L494" s="5">
        <f>(D494+E494)*C494-G494-I494+H494+IF(D$52&gt;0,'Assumptions and Catalog'!$C$26*C494,0)</f>
        <v>2501.7000000000003</v>
      </c>
      <c r="M494" s="5">
        <f>IF(ISNUMBER(Inputs!$L$5),(IF(Inputs!$L$9="Actual flat rate",((D494+E494)*C494)*Inputs!$L$10,IF(Inputs!$C$9="Residential",IF(((D494+E494)*C494)&lt;='Assumptions and Catalog'!$C$50,((D494+E494)*C494)*'Assumptions and Catalog'!$H$50+'Assumptions and Catalog'!$E$50+'Assumptions and Catalog'!$F$50,IF(((D494+E494)*C494)&lt;='Assumptions and Catalog'!$C$51,((D494+E494)*C494)*'Assumptions and Catalog'!$H$51+'Assumptions and Catalog'!$E$51+'Assumptions and Catalog'!$F$51,IF(((D494+E494)*C494)&lt;='Assumptions and Catalog'!$C$52,((D494+E494)*C494)*'Assumptions and Catalog'!$H$52+'Assumptions and Catalog'!$E$52+'Assumptions and Catalog'!$F$52,IF(((D494+E494)*C494)&lt;='Assumptions and Catalog'!$C$53,((D494+E494)*C494)*'Assumptions and Catalog'!$H$53+'Assumptions and Catalog'!$E$53+'Assumptions and Catalog'!$F$53,IF(((D494+E494)*C494)&lt;='Assumptions and Catalog'!$C$54,((D494+E494)*C494)*'Assumptions and Catalog'!$H$54+'Assumptions and Catalog'!$E$54+'Assumptions and Catalog'!$F$54,IF(((D494+E494)*C494)&lt;='Assumptions and Catalog'!$C$55,((D494+E494)*C494)*'Assumptions and Catalog'!$H$55+'Assumptions and Catalog'!$E$55+'Assumptions and Catalog'!$F$55,IF(((D494+E494)*C494)&lt;='Assumptions and Catalog'!$C$56,((D494+E494)*C494)*'Assumptions and Catalog'!$H$56+'Assumptions and Catalog'!$E$56+'Assumptions and Catalog'!$F$56,IF(((D494+E494)*C494)&lt;='Assumptions and Catalog'!$C$57,((D494+E494)*C494)*'Assumptions and Catalog'!$H$57+'Assumptions and Catalog'!$E$57+'Assumptions and Catalog'!$F$57,"Out of range")))))))),IF(((D494+E494)*C494)&lt;='Assumptions and Catalog'!$C$60,((D494+E494)*C494)*'Assumptions and Catalog'!$H$60+'Assumptions and Catalog'!$E$60+'Assumptions and Catalog'!$F$60,IF(((D494+E494)*C494)&lt;='Assumptions and Catalog'!$C$61,((D494+E494)*C494)*'Assumptions and Catalog'!$H$61+'Assumptions and Catalog'!$E$61+'Assumptions and Catalog'!$F$61,IF(((D494+E494)*C494)&lt;='Assumptions and Catalog'!$C$62,((D494+E494)*C494)*'Assumptions and Catalog'!$H$62+'Assumptions and Catalog'!$E$62+'Assumptions and Catalog'!$F$62,IF(((D494+E494)*C494)&lt;='Assumptions and Catalog'!$C$63,((D494+E494)*C494)*'Assumptions and Catalog'!$H$63+'Assumptions and Catalog'!$E$63+'Assumptions and Catalog'!$F$63,IF(((D494+E494)*C494)&lt;='Assumptions and Catalog'!$C$64,((D494+E494)*C494)*'Assumptions and Catalog'!$H$64+'Assumptions and Catalog'!$E$64+'Assumptions and Catalog'!$F$64,IF(((D494+E494)*C494)&lt;='Assumptions and Catalog'!$C$65,((D494+E494)*C494)*'Assumptions and Catalog'!$H$65+'Assumptions and Catalog'!$E$65+'Assumptions and Catalog'!$F$65,"Out of range")))))))))*(1+'Assumptions and Catalog'!$C$8)^(A494-1),0)</f>
        <v>8554.9666666666672</v>
      </c>
      <c r="N494" s="5">
        <f>IF(ISNUMBER(Inputs!$L$5),(IF(Inputs!$L$9="Actual flat rate",L494*Inputs!$L$10,IF(Inputs!$C$9="Residential",IF(L494&lt;='Assumptions and Catalog'!$C$50,L494*'Assumptions and Catalog'!$H$50+'Assumptions and Catalog'!$E$50+'Assumptions and Catalog'!$F$50,IF(L494&lt;='Assumptions and Catalog'!$C$51,L494*'Assumptions and Catalog'!$H$51+'Assumptions and Catalog'!$E$51+'Assumptions and Catalog'!$F$51,IF(L494&lt;='Assumptions and Catalog'!$C$52,L494*'Assumptions and Catalog'!$H$52+'Assumptions and Catalog'!$E$52+'Assumptions and Catalog'!$F$52,IF(L494&lt;='Assumptions and Catalog'!$C$53,L494*'Assumptions and Catalog'!$H$53+'Assumptions and Catalog'!$E$53+'Assumptions and Catalog'!$F$53,IF(L494&lt;='Assumptions and Catalog'!$C$54,L494*'Assumptions and Catalog'!$H$54+'Assumptions and Catalog'!$E$54+'Assumptions and Catalog'!$F$54,IF(L494&lt;='Assumptions and Catalog'!$C$55,L494*'Assumptions and Catalog'!$H$55+'Assumptions and Catalog'!$E$55+'Assumptions and Catalog'!$F$55,IF(L494&lt;='Assumptions and Catalog'!$C$56,L494*'Assumptions and Catalog'!$H$56+'Assumptions and Catalog'!$E$56+'Assumptions and Catalog'!$F$56,IF(L494&lt;='Assumptions and Catalog'!$C$57,L494*'Assumptions and Catalog'!$H$57+'Assumptions and Catalog'!$E$57+'Assumptions and Catalog'!$F$57,"Out of range")))))))),IF(L494&lt;='Assumptions and Catalog'!$C$60,L494*'Assumptions and Catalog'!$H$60+'Assumptions and Catalog'!$E$60+'Assumptions and Catalog'!$F$60,IF(L494&lt;='Assumptions and Catalog'!$C$61,L494*'Assumptions and Catalog'!$H$61+'Assumptions and Catalog'!$E$61+'Assumptions and Catalog'!$F$61,IF(L494&lt;='Assumptions and Catalog'!$C$62,L494*'Assumptions and Catalog'!$H$62+'Assumptions and Catalog'!$E$62+'Assumptions and Catalog'!$F$62,IF(L494&lt;='Assumptions and Catalog'!$C$63,L494*'Assumptions and Catalog'!$H$63+'Assumptions and Catalog'!$E$63+'Assumptions and Catalog'!$F$63,IF(L494&lt;='Assumptions and Catalog'!$C$64,L494*'Assumptions and Catalog'!$H$64+'Assumptions and Catalog'!$E$64+'Assumptions and Catalog'!$F$64,IF(L494&lt;='Assumptions and Catalog'!$C$65,L494*'Assumptions and Catalog'!$H$65+'Assumptions and Catalog'!$E$65+'Assumptions and Catalog'!$F$65,"Out of range")))))))))*(1+'Assumptions and Catalog'!$C$8)^(A494-1),0)</f>
        <v>8554.9666666666672</v>
      </c>
      <c r="O494" s="5">
        <f t="shared" si="39"/>
        <v>0</v>
      </c>
      <c r="P494" s="5">
        <f>D$55*(1-K$14)*(1-'Assumptions and Catalog'!$C$23)^R494</f>
        <v>0</v>
      </c>
      <c r="Q494" s="5">
        <f>IF(ISNUMBER(Inputs!$L$5),(IF(Inputs!$L$9="Actual flat rate",((D494+E494)*C494-G494)*Inputs!$L$10,IF(Inputs!$C$9="Residential",IF(((D494+E494)*C494-G494)&lt;='Assumptions and Catalog'!$C$50,((D494+E494)*C494-G494)*'Assumptions and Catalog'!$H$50+'Assumptions and Catalog'!$E$50+'Assumptions and Catalog'!$F$50,IF(((D494+E494)*C494-G494)&lt;='Assumptions and Catalog'!$C$51,((D494+E494)*C494-G494)*'Assumptions and Catalog'!$H$51+'Assumptions and Catalog'!$E$51+'Assumptions and Catalog'!$F$51,IF(((D494+E494)*C494-G494)&lt;='Assumptions and Catalog'!$C$52,((D494+E494)*C494-G494)*'Assumptions and Catalog'!$H$52+'Assumptions and Catalog'!$E$52+'Assumptions and Catalog'!$F$52,IF(((D494+E494)*C494-G494)&lt;='Assumptions and Catalog'!$C$53,((D494+E494)*C494-G494)*'Assumptions and Catalog'!$H$53+'Assumptions and Catalog'!$E$53+'Assumptions and Catalog'!$F$53,IF(((D494+E494)*C494-G494)&lt;='Assumptions and Catalog'!$C$54,((D494+E494)*C494-G494)*'Assumptions and Catalog'!$H$54+'Assumptions and Catalog'!$E$54+'Assumptions and Catalog'!$F$54,IF(((D494+E494)*C494-G494)&lt;='Assumptions and Catalog'!$C$55,((D494+E494)*C494-G494)*'Assumptions and Catalog'!$H$55+'Assumptions and Catalog'!$E$55+'Assumptions and Catalog'!$F$55,IF(((D494+E494)*C494-G494)&lt;='Assumptions and Catalog'!$C$56,((D494+E494)*C494-G494)*'Assumptions and Catalog'!$H$56+'Assumptions and Catalog'!$E$56+'Assumptions and Catalog'!$F$56,IF(((D494+E494)*C494-G494)&lt;='Assumptions and Catalog'!$C$57,((D494+E494)*C494-G494)*'Assumptions and Catalog'!$H$57+'Assumptions and Catalog'!$E$57+'Assumptions and Catalog'!$F$57,"Out of range")))))))),IF(((D494+E494)*C494-G494)&lt;='Assumptions and Catalog'!$C$60,((D494+E494)*C494-G494)*'Assumptions and Catalog'!$H$60+'Assumptions and Catalog'!$E$60+'Assumptions and Catalog'!$F$60,IF(((D494+E494)*C494-G494)&lt;='Assumptions and Catalog'!$C$61,((D494+E494)*C494-G494)*'Assumptions and Catalog'!$H$61+'Assumptions and Catalog'!$E$61+'Assumptions and Catalog'!$F$61,IF(((D494+E494)*C494-G494)&lt;='Assumptions and Catalog'!$C$62,((D494+E494)*C494-G494)*'Assumptions and Catalog'!$H$62+'Assumptions and Catalog'!$E$62+'Assumptions and Catalog'!$F$62,IF(((D494+E494)*C494-G494)&lt;='Assumptions and Catalog'!$C$63,((D494+E494)*C494-G494)*'Assumptions and Catalog'!$H$63+'Assumptions and Catalog'!$E$63+'Assumptions and Catalog'!$F$63,IF(((D494+E494)*C494-G494)&lt;='Assumptions and Catalog'!$C$64,((D494+E494)*C494-G494)*'Assumptions and Catalog'!$H$64+'Assumptions and Catalog'!$E$64+'Assumptions and Catalog'!$F$64,IF(((D494+E494)*C494-G494)&lt;='Assumptions and Catalog'!$C$65,((D494+E494)*C494-G494)*'Assumptions and Catalog'!$H$65+'Assumptions and Catalog'!$E$65+'Assumptions and Catalog'!$F$65,"Out of range")))))))))*(1+'Assumptions and Catalog'!$C$8)^(A494-1),0)</f>
        <v>8554.9666666666672</v>
      </c>
      <c r="R494" s="5">
        <f>IF(AND('Assumptions and Catalog'!$C$19&gt;0,A494&gt;='Assumptions and Catalog'!$C$19),A494-'Assumptions and Catalog'!$C$19,A494-1)</f>
        <v>6</v>
      </c>
      <c r="S494" s="5">
        <f>F494+L494-(D494+E494)*C494-J494-K494-IF(D$52&gt;0,'Assumptions and Catalog'!$C$26*C494,0)</f>
        <v>0</v>
      </c>
      <c r="T494" s="5"/>
      <c r="U494" s="5"/>
    </row>
    <row r="495" spans="1:21" ht="23.1" customHeight="1" outlineLevel="1" x14ac:dyDescent="0.2">
      <c r="A495" s="5">
        <v>8</v>
      </c>
      <c r="B495" s="5">
        <v>1</v>
      </c>
      <c r="C495" s="5">
        <f>DAY(DATE('Assumptions and Catalog'!$C$24+A495-1,B495+1,0))</f>
        <v>31</v>
      </c>
      <c r="D495" s="5">
        <f>IF(ISNUMBER(Inputs!$L$5),Inputs!$L$5*Inputs!$L$6,0)</f>
        <v>40.35</v>
      </c>
      <c r="E495" s="5">
        <f>IF(ISNUMBER(Inputs!$L$5),Inputs!$L$5-D495,0)</f>
        <v>40.35</v>
      </c>
      <c r="F495" s="5">
        <f>D$51*'Assumptions and Catalog'!$C$31*C495*(1-'Assumptions and Catalog'!$C$10)^(A495-1)</f>
        <v>0</v>
      </c>
      <c r="G495" s="5">
        <f t="shared" si="36"/>
        <v>0</v>
      </c>
      <c r="H495" s="5">
        <f>I495/('Assumptions and Catalog'!$C$11*'Assumptions and Catalog'!$C$12)</f>
        <v>0</v>
      </c>
      <c r="I495" s="5">
        <f>IF(K$15="Grid cycle",MIN(K$16,D495+E495,P495*'Assumptions and Catalog'!$C$12,D$57*(24-'Assumptions and Catalog'!$C$15),D$56*'Assumptions and Catalog'!$C$15*'Assumptions and Catalog'!$C$11*'Assumptions and Catalog'!$C$12)*C495,0)</f>
        <v>0</v>
      </c>
      <c r="J495" s="5">
        <f t="shared" si="37"/>
        <v>0</v>
      </c>
      <c r="K495" s="5">
        <f t="shared" si="38"/>
        <v>0</v>
      </c>
      <c r="L495" s="5">
        <f>(D495+E495)*C495-G495-I495+H495+IF(D$52&gt;0,'Assumptions and Catalog'!$C$26*C495,0)</f>
        <v>2501.7000000000003</v>
      </c>
      <c r="M495" s="5">
        <f>IF(ISNUMBER(Inputs!$L$5),(IF(Inputs!$L$9="Actual flat rate",((D495+E495)*C495)*Inputs!$L$10,IF(Inputs!$C$9="Residential",IF(((D495+E495)*C495)&lt;='Assumptions and Catalog'!$C$50,((D495+E495)*C495)*'Assumptions and Catalog'!$H$50+'Assumptions and Catalog'!$E$50+'Assumptions and Catalog'!$F$50,IF(((D495+E495)*C495)&lt;='Assumptions and Catalog'!$C$51,((D495+E495)*C495)*'Assumptions and Catalog'!$H$51+'Assumptions and Catalog'!$E$51+'Assumptions and Catalog'!$F$51,IF(((D495+E495)*C495)&lt;='Assumptions and Catalog'!$C$52,((D495+E495)*C495)*'Assumptions and Catalog'!$H$52+'Assumptions and Catalog'!$E$52+'Assumptions and Catalog'!$F$52,IF(((D495+E495)*C495)&lt;='Assumptions and Catalog'!$C$53,((D495+E495)*C495)*'Assumptions and Catalog'!$H$53+'Assumptions and Catalog'!$E$53+'Assumptions and Catalog'!$F$53,IF(((D495+E495)*C495)&lt;='Assumptions and Catalog'!$C$54,((D495+E495)*C495)*'Assumptions and Catalog'!$H$54+'Assumptions and Catalog'!$E$54+'Assumptions and Catalog'!$F$54,IF(((D495+E495)*C495)&lt;='Assumptions and Catalog'!$C$55,((D495+E495)*C495)*'Assumptions and Catalog'!$H$55+'Assumptions and Catalog'!$E$55+'Assumptions and Catalog'!$F$55,IF(((D495+E495)*C495)&lt;='Assumptions and Catalog'!$C$56,((D495+E495)*C495)*'Assumptions and Catalog'!$H$56+'Assumptions and Catalog'!$E$56+'Assumptions and Catalog'!$F$56,IF(((D495+E495)*C495)&lt;='Assumptions and Catalog'!$C$57,((D495+E495)*C495)*'Assumptions and Catalog'!$H$57+'Assumptions and Catalog'!$E$57+'Assumptions and Catalog'!$F$57,"Out of range")))))))),IF(((D495+E495)*C495)&lt;='Assumptions and Catalog'!$C$60,((D495+E495)*C495)*'Assumptions and Catalog'!$H$60+'Assumptions and Catalog'!$E$60+'Assumptions and Catalog'!$F$60,IF(((D495+E495)*C495)&lt;='Assumptions and Catalog'!$C$61,((D495+E495)*C495)*'Assumptions and Catalog'!$H$61+'Assumptions and Catalog'!$E$61+'Assumptions and Catalog'!$F$61,IF(((D495+E495)*C495)&lt;='Assumptions and Catalog'!$C$62,((D495+E495)*C495)*'Assumptions and Catalog'!$H$62+'Assumptions and Catalog'!$E$62+'Assumptions and Catalog'!$F$62,IF(((D495+E495)*C495)&lt;='Assumptions and Catalog'!$C$63,((D495+E495)*C495)*'Assumptions and Catalog'!$H$63+'Assumptions and Catalog'!$E$63+'Assumptions and Catalog'!$F$63,IF(((D495+E495)*C495)&lt;='Assumptions and Catalog'!$C$64,((D495+E495)*C495)*'Assumptions and Catalog'!$H$64+'Assumptions and Catalog'!$E$64+'Assumptions and Catalog'!$F$64,IF(((D495+E495)*C495)&lt;='Assumptions and Catalog'!$C$65,((D495+E495)*C495)*'Assumptions and Catalog'!$H$65+'Assumptions and Catalog'!$E$65+'Assumptions and Catalog'!$F$65,"Out of range")))))))))*(1+'Assumptions and Catalog'!$C$8)^(A495-1),0)</f>
        <v>8554.9666666666672</v>
      </c>
      <c r="N495" s="5">
        <f>IF(ISNUMBER(Inputs!$L$5),(IF(Inputs!$L$9="Actual flat rate",L495*Inputs!$L$10,IF(Inputs!$C$9="Residential",IF(L495&lt;='Assumptions and Catalog'!$C$50,L495*'Assumptions and Catalog'!$H$50+'Assumptions and Catalog'!$E$50+'Assumptions and Catalog'!$F$50,IF(L495&lt;='Assumptions and Catalog'!$C$51,L495*'Assumptions and Catalog'!$H$51+'Assumptions and Catalog'!$E$51+'Assumptions and Catalog'!$F$51,IF(L495&lt;='Assumptions and Catalog'!$C$52,L495*'Assumptions and Catalog'!$H$52+'Assumptions and Catalog'!$E$52+'Assumptions and Catalog'!$F$52,IF(L495&lt;='Assumptions and Catalog'!$C$53,L495*'Assumptions and Catalog'!$H$53+'Assumptions and Catalog'!$E$53+'Assumptions and Catalog'!$F$53,IF(L495&lt;='Assumptions and Catalog'!$C$54,L495*'Assumptions and Catalog'!$H$54+'Assumptions and Catalog'!$E$54+'Assumptions and Catalog'!$F$54,IF(L495&lt;='Assumptions and Catalog'!$C$55,L495*'Assumptions and Catalog'!$H$55+'Assumptions and Catalog'!$E$55+'Assumptions and Catalog'!$F$55,IF(L495&lt;='Assumptions and Catalog'!$C$56,L495*'Assumptions and Catalog'!$H$56+'Assumptions and Catalog'!$E$56+'Assumptions and Catalog'!$F$56,IF(L495&lt;='Assumptions and Catalog'!$C$57,L495*'Assumptions and Catalog'!$H$57+'Assumptions and Catalog'!$E$57+'Assumptions and Catalog'!$F$57,"Out of range")))))))),IF(L495&lt;='Assumptions and Catalog'!$C$60,L495*'Assumptions and Catalog'!$H$60+'Assumptions and Catalog'!$E$60+'Assumptions and Catalog'!$F$60,IF(L495&lt;='Assumptions and Catalog'!$C$61,L495*'Assumptions and Catalog'!$H$61+'Assumptions and Catalog'!$E$61+'Assumptions and Catalog'!$F$61,IF(L495&lt;='Assumptions and Catalog'!$C$62,L495*'Assumptions and Catalog'!$H$62+'Assumptions and Catalog'!$E$62+'Assumptions and Catalog'!$F$62,IF(L495&lt;='Assumptions and Catalog'!$C$63,L495*'Assumptions and Catalog'!$H$63+'Assumptions and Catalog'!$E$63+'Assumptions and Catalog'!$F$63,IF(L495&lt;='Assumptions and Catalog'!$C$64,L495*'Assumptions and Catalog'!$H$64+'Assumptions and Catalog'!$E$64+'Assumptions and Catalog'!$F$64,IF(L495&lt;='Assumptions and Catalog'!$C$65,L495*'Assumptions and Catalog'!$H$65+'Assumptions and Catalog'!$E$65+'Assumptions and Catalog'!$F$65,"Out of range")))))))))*(1+'Assumptions and Catalog'!$C$8)^(A495-1),0)</f>
        <v>8554.9666666666672</v>
      </c>
      <c r="O495" s="5">
        <f t="shared" si="39"/>
        <v>0</v>
      </c>
      <c r="P495" s="5">
        <f>D$55*(1-K$14)*(1-'Assumptions and Catalog'!$C$23)^R495</f>
        <v>0</v>
      </c>
      <c r="Q495" s="5">
        <f>IF(ISNUMBER(Inputs!$L$5),(IF(Inputs!$L$9="Actual flat rate",((D495+E495)*C495-G495)*Inputs!$L$10,IF(Inputs!$C$9="Residential",IF(((D495+E495)*C495-G495)&lt;='Assumptions and Catalog'!$C$50,((D495+E495)*C495-G495)*'Assumptions and Catalog'!$H$50+'Assumptions and Catalog'!$E$50+'Assumptions and Catalog'!$F$50,IF(((D495+E495)*C495-G495)&lt;='Assumptions and Catalog'!$C$51,((D495+E495)*C495-G495)*'Assumptions and Catalog'!$H$51+'Assumptions and Catalog'!$E$51+'Assumptions and Catalog'!$F$51,IF(((D495+E495)*C495-G495)&lt;='Assumptions and Catalog'!$C$52,((D495+E495)*C495-G495)*'Assumptions and Catalog'!$H$52+'Assumptions and Catalog'!$E$52+'Assumptions and Catalog'!$F$52,IF(((D495+E495)*C495-G495)&lt;='Assumptions and Catalog'!$C$53,((D495+E495)*C495-G495)*'Assumptions and Catalog'!$H$53+'Assumptions and Catalog'!$E$53+'Assumptions and Catalog'!$F$53,IF(((D495+E495)*C495-G495)&lt;='Assumptions and Catalog'!$C$54,((D495+E495)*C495-G495)*'Assumptions and Catalog'!$H$54+'Assumptions and Catalog'!$E$54+'Assumptions and Catalog'!$F$54,IF(((D495+E495)*C495-G495)&lt;='Assumptions and Catalog'!$C$55,((D495+E495)*C495-G495)*'Assumptions and Catalog'!$H$55+'Assumptions and Catalog'!$E$55+'Assumptions and Catalog'!$F$55,IF(((D495+E495)*C495-G495)&lt;='Assumptions and Catalog'!$C$56,((D495+E495)*C495-G495)*'Assumptions and Catalog'!$H$56+'Assumptions and Catalog'!$E$56+'Assumptions and Catalog'!$F$56,IF(((D495+E495)*C495-G495)&lt;='Assumptions and Catalog'!$C$57,((D495+E495)*C495-G495)*'Assumptions and Catalog'!$H$57+'Assumptions and Catalog'!$E$57+'Assumptions and Catalog'!$F$57,"Out of range")))))))),IF(((D495+E495)*C495-G495)&lt;='Assumptions and Catalog'!$C$60,((D495+E495)*C495-G495)*'Assumptions and Catalog'!$H$60+'Assumptions and Catalog'!$E$60+'Assumptions and Catalog'!$F$60,IF(((D495+E495)*C495-G495)&lt;='Assumptions and Catalog'!$C$61,((D495+E495)*C495-G495)*'Assumptions and Catalog'!$H$61+'Assumptions and Catalog'!$E$61+'Assumptions and Catalog'!$F$61,IF(((D495+E495)*C495-G495)&lt;='Assumptions and Catalog'!$C$62,((D495+E495)*C495-G495)*'Assumptions and Catalog'!$H$62+'Assumptions and Catalog'!$E$62+'Assumptions and Catalog'!$F$62,IF(((D495+E495)*C495-G495)&lt;='Assumptions and Catalog'!$C$63,((D495+E495)*C495-G495)*'Assumptions and Catalog'!$H$63+'Assumptions and Catalog'!$E$63+'Assumptions and Catalog'!$F$63,IF(((D495+E495)*C495-G495)&lt;='Assumptions and Catalog'!$C$64,((D495+E495)*C495-G495)*'Assumptions and Catalog'!$H$64+'Assumptions and Catalog'!$E$64+'Assumptions and Catalog'!$F$64,IF(((D495+E495)*C495-G495)&lt;='Assumptions and Catalog'!$C$65,((D495+E495)*C495-G495)*'Assumptions and Catalog'!$H$65+'Assumptions and Catalog'!$E$65+'Assumptions and Catalog'!$F$65,"Out of range")))))))))*(1+'Assumptions and Catalog'!$C$8)^(A495-1),0)</f>
        <v>8554.9666666666672</v>
      </c>
      <c r="R495" s="5">
        <f>IF(AND('Assumptions and Catalog'!$C$19&gt;0,A495&gt;='Assumptions and Catalog'!$C$19),A495-'Assumptions and Catalog'!$C$19,A495-1)</f>
        <v>7</v>
      </c>
      <c r="S495" s="5">
        <f>F495+L495-(D495+E495)*C495-J495-K495-IF(D$52&gt;0,'Assumptions and Catalog'!$C$26*C495,0)</f>
        <v>0</v>
      </c>
      <c r="T495" s="5"/>
      <c r="U495" s="5"/>
    </row>
    <row r="496" spans="1:21" ht="23.1" customHeight="1" outlineLevel="1" x14ac:dyDescent="0.2">
      <c r="A496" s="5">
        <v>8</v>
      </c>
      <c r="B496" s="5">
        <v>2</v>
      </c>
      <c r="C496" s="5">
        <f>DAY(DATE('Assumptions and Catalog'!$C$24+A496-1,B496+1,0))</f>
        <v>28</v>
      </c>
      <c r="D496" s="5">
        <f>IF(ISNUMBER(Inputs!$L$5),Inputs!$L$5*Inputs!$L$6,0)</f>
        <v>40.35</v>
      </c>
      <c r="E496" s="5">
        <f>IF(ISNUMBER(Inputs!$L$5),Inputs!$L$5-D496,0)</f>
        <v>40.35</v>
      </c>
      <c r="F496" s="5">
        <f>D$51*'Assumptions and Catalog'!$C$31*C496*(1-'Assumptions and Catalog'!$C$10)^(A496-1)</f>
        <v>0</v>
      </c>
      <c r="G496" s="5">
        <f t="shared" si="36"/>
        <v>0</v>
      </c>
      <c r="H496" s="5">
        <f>I496/('Assumptions and Catalog'!$C$11*'Assumptions and Catalog'!$C$12)</f>
        <v>0</v>
      </c>
      <c r="I496" s="5">
        <f>IF(K$15="Grid cycle",MIN(K$16,D496+E496,P496*'Assumptions and Catalog'!$C$12,D$57*(24-'Assumptions and Catalog'!$C$15),D$56*'Assumptions and Catalog'!$C$15*'Assumptions and Catalog'!$C$11*'Assumptions and Catalog'!$C$12)*C496,0)</f>
        <v>0</v>
      </c>
      <c r="J496" s="5">
        <f t="shared" si="37"/>
        <v>0</v>
      </c>
      <c r="K496" s="5">
        <f t="shared" si="38"/>
        <v>0</v>
      </c>
      <c r="L496" s="5">
        <f>(D496+E496)*C496-G496-I496+H496+IF(D$52&gt;0,'Assumptions and Catalog'!$C$26*C496,0)</f>
        <v>2259.6</v>
      </c>
      <c r="M496" s="5">
        <f>IF(ISNUMBER(Inputs!$L$5),(IF(Inputs!$L$9="Actual flat rate",((D496+E496)*C496)*Inputs!$L$10,IF(Inputs!$C$9="Residential",IF(((D496+E496)*C496)&lt;='Assumptions and Catalog'!$C$50,((D496+E496)*C496)*'Assumptions and Catalog'!$H$50+'Assumptions and Catalog'!$E$50+'Assumptions and Catalog'!$F$50,IF(((D496+E496)*C496)&lt;='Assumptions and Catalog'!$C$51,((D496+E496)*C496)*'Assumptions and Catalog'!$H$51+'Assumptions and Catalog'!$E$51+'Assumptions and Catalog'!$F$51,IF(((D496+E496)*C496)&lt;='Assumptions and Catalog'!$C$52,((D496+E496)*C496)*'Assumptions and Catalog'!$H$52+'Assumptions and Catalog'!$E$52+'Assumptions and Catalog'!$F$52,IF(((D496+E496)*C496)&lt;='Assumptions and Catalog'!$C$53,((D496+E496)*C496)*'Assumptions and Catalog'!$H$53+'Assumptions and Catalog'!$E$53+'Assumptions and Catalog'!$F$53,IF(((D496+E496)*C496)&lt;='Assumptions and Catalog'!$C$54,((D496+E496)*C496)*'Assumptions and Catalog'!$H$54+'Assumptions and Catalog'!$E$54+'Assumptions and Catalog'!$F$54,IF(((D496+E496)*C496)&lt;='Assumptions and Catalog'!$C$55,((D496+E496)*C496)*'Assumptions and Catalog'!$H$55+'Assumptions and Catalog'!$E$55+'Assumptions and Catalog'!$F$55,IF(((D496+E496)*C496)&lt;='Assumptions and Catalog'!$C$56,((D496+E496)*C496)*'Assumptions and Catalog'!$H$56+'Assumptions and Catalog'!$E$56+'Assumptions and Catalog'!$F$56,IF(((D496+E496)*C496)&lt;='Assumptions and Catalog'!$C$57,((D496+E496)*C496)*'Assumptions and Catalog'!$H$57+'Assumptions and Catalog'!$E$57+'Assumptions and Catalog'!$F$57,"Out of range")))))))),IF(((D496+E496)*C496)&lt;='Assumptions and Catalog'!$C$60,((D496+E496)*C496)*'Assumptions and Catalog'!$H$60+'Assumptions and Catalog'!$E$60+'Assumptions and Catalog'!$F$60,IF(((D496+E496)*C496)&lt;='Assumptions and Catalog'!$C$61,((D496+E496)*C496)*'Assumptions and Catalog'!$H$61+'Assumptions and Catalog'!$E$61+'Assumptions and Catalog'!$F$61,IF(((D496+E496)*C496)&lt;='Assumptions and Catalog'!$C$62,((D496+E496)*C496)*'Assumptions and Catalog'!$H$62+'Assumptions and Catalog'!$E$62+'Assumptions and Catalog'!$F$62,IF(((D496+E496)*C496)&lt;='Assumptions and Catalog'!$C$63,((D496+E496)*C496)*'Assumptions and Catalog'!$H$63+'Assumptions and Catalog'!$E$63+'Assumptions and Catalog'!$F$63,IF(((D496+E496)*C496)&lt;='Assumptions and Catalog'!$C$64,((D496+E496)*C496)*'Assumptions and Catalog'!$H$64+'Assumptions and Catalog'!$E$64+'Assumptions and Catalog'!$F$64,IF(((D496+E496)*C496)&lt;='Assumptions and Catalog'!$C$65,((D496+E496)*C496)*'Assumptions and Catalog'!$H$65+'Assumptions and Catalog'!$E$65+'Assumptions and Catalog'!$F$65,"Out of range")))))))))*(1+'Assumptions and Catalog'!$C$8)^(A496-1),0)</f>
        <v>7727.0666666666657</v>
      </c>
      <c r="N496" s="5">
        <f>IF(ISNUMBER(Inputs!$L$5),(IF(Inputs!$L$9="Actual flat rate",L496*Inputs!$L$10,IF(Inputs!$C$9="Residential",IF(L496&lt;='Assumptions and Catalog'!$C$50,L496*'Assumptions and Catalog'!$H$50+'Assumptions and Catalog'!$E$50+'Assumptions and Catalog'!$F$50,IF(L496&lt;='Assumptions and Catalog'!$C$51,L496*'Assumptions and Catalog'!$H$51+'Assumptions and Catalog'!$E$51+'Assumptions and Catalog'!$F$51,IF(L496&lt;='Assumptions and Catalog'!$C$52,L496*'Assumptions and Catalog'!$H$52+'Assumptions and Catalog'!$E$52+'Assumptions and Catalog'!$F$52,IF(L496&lt;='Assumptions and Catalog'!$C$53,L496*'Assumptions and Catalog'!$H$53+'Assumptions and Catalog'!$E$53+'Assumptions and Catalog'!$F$53,IF(L496&lt;='Assumptions and Catalog'!$C$54,L496*'Assumptions and Catalog'!$H$54+'Assumptions and Catalog'!$E$54+'Assumptions and Catalog'!$F$54,IF(L496&lt;='Assumptions and Catalog'!$C$55,L496*'Assumptions and Catalog'!$H$55+'Assumptions and Catalog'!$E$55+'Assumptions and Catalog'!$F$55,IF(L496&lt;='Assumptions and Catalog'!$C$56,L496*'Assumptions and Catalog'!$H$56+'Assumptions and Catalog'!$E$56+'Assumptions and Catalog'!$F$56,IF(L496&lt;='Assumptions and Catalog'!$C$57,L496*'Assumptions and Catalog'!$H$57+'Assumptions and Catalog'!$E$57+'Assumptions and Catalog'!$F$57,"Out of range")))))))),IF(L496&lt;='Assumptions and Catalog'!$C$60,L496*'Assumptions and Catalog'!$H$60+'Assumptions and Catalog'!$E$60+'Assumptions and Catalog'!$F$60,IF(L496&lt;='Assumptions and Catalog'!$C$61,L496*'Assumptions and Catalog'!$H$61+'Assumptions and Catalog'!$E$61+'Assumptions and Catalog'!$F$61,IF(L496&lt;='Assumptions and Catalog'!$C$62,L496*'Assumptions and Catalog'!$H$62+'Assumptions and Catalog'!$E$62+'Assumptions and Catalog'!$F$62,IF(L496&lt;='Assumptions and Catalog'!$C$63,L496*'Assumptions and Catalog'!$H$63+'Assumptions and Catalog'!$E$63+'Assumptions and Catalog'!$F$63,IF(L496&lt;='Assumptions and Catalog'!$C$64,L496*'Assumptions and Catalog'!$H$64+'Assumptions and Catalog'!$E$64+'Assumptions and Catalog'!$F$64,IF(L496&lt;='Assumptions and Catalog'!$C$65,L496*'Assumptions and Catalog'!$H$65+'Assumptions and Catalog'!$E$65+'Assumptions and Catalog'!$F$65,"Out of range")))))))))*(1+'Assumptions and Catalog'!$C$8)^(A496-1),0)</f>
        <v>7727.0666666666657</v>
      </c>
      <c r="O496" s="5">
        <f t="shared" si="39"/>
        <v>0</v>
      </c>
      <c r="P496" s="5">
        <f>D$55*(1-K$14)*(1-'Assumptions and Catalog'!$C$23)^R496</f>
        <v>0</v>
      </c>
      <c r="Q496" s="5">
        <f>IF(ISNUMBER(Inputs!$L$5),(IF(Inputs!$L$9="Actual flat rate",((D496+E496)*C496-G496)*Inputs!$L$10,IF(Inputs!$C$9="Residential",IF(((D496+E496)*C496-G496)&lt;='Assumptions and Catalog'!$C$50,((D496+E496)*C496-G496)*'Assumptions and Catalog'!$H$50+'Assumptions and Catalog'!$E$50+'Assumptions and Catalog'!$F$50,IF(((D496+E496)*C496-G496)&lt;='Assumptions and Catalog'!$C$51,((D496+E496)*C496-G496)*'Assumptions and Catalog'!$H$51+'Assumptions and Catalog'!$E$51+'Assumptions and Catalog'!$F$51,IF(((D496+E496)*C496-G496)&lt;='Assumptions and Catalog'!$C$52,((D496+E496)*C496-G496)*'Assumptions and Catalog'!$H$52+'Assumptions and Catalog'!$E$52+'Assumptions and Catalog'!$F$52,IF(((D496+E496)*C496-G496)&lt;='Assumptions and Catalog'!$C$53,((D496+E496)*C496-G496)*'Assumptions and Catalog'!$H$53+'Assumptions and Catalog'!$E$53+'Assumptions and Catalog'!$F$53,IF(((D496+E496)*C496-G496)&lt;='Assumptions and Catalog'!$C$54,((D496+E496)*C496-G496)*'Assumptions and Catalog'!$H$54+'Assumptions and Catalog'!$E$54+'Assumptions and Catalog'!$F$54,IF(((D496+E496)*C496-G496)&lt;='Assumptions and Catalog'!$C$55,((D496+E496)*C496-G496)*'Assumptions and Catalog'!$H$55+'Assumptions and Catalog'!$E$55+'Assumptions and Catalog'!$F$55,IF(((D496+E496)*C496-G496)&lt;='Assumptions and Catalog'!$C$56,((D496+E496)*C496-G496)*'Assumptions and Catalog'!$H$56+'Assumptions and Catalog'!$E$56+'Assumptions and Catalog'!$F$56,IF(((D496+E496)*C496-G496)&lt;='Assumptions and Catalog'!$C$57,((D496+E496)*C496-G496)*'Assumptions and Catalog'!$H$57+'Assumptions and Catalog'!$E$57+'Assumptions and Catalog'!$F$57,"Out of range")))))))),IF(((D496+E496)*C496-G496)&lt;='Assumptions and Catalog'!$C$60,((D496+E496)*C496-G496)*'Assumptions and Catalog'!$H$60+'Assumptions and Catalog'!$E$60+'Assumptions and Catalog'!$F$60,IF(((D496+E496)*C496-G496)&lt;='Assumptions and Catalog'!$C$61,((D496+E496)*C496-G496)*'Assumptions and Catalog'!$H$61+'Assumptions and Catalog'!$E$61+'Assumptions and Catalog'!$F$61,IF(((D496+E496)*C496-G496)&lt;='Assumptions and Catalog'!$C$62,((D496+E496)*C496-G496)*'Assumptions and Catalog'!$H$62+'Assumptions and Catalog'!$E$62+'Assumptions and Catalog'!$F$62,IF(((D496+E496)*C496-G496)&lt;='Assumptions and Catalog'!$C$63,((D496+E496)*C496-G496)*'Assumptions and Catalog'!$H$63+'Assumptions and Catalog'!$E$63+'Assumptions and Catalog'!$F$63,IF(((D496+E496)*C496-G496)&lt;='Assumptions and Catalog'!$C$64,((D496+E496)*C496-G496)*'Assumptions and Catalog'!$H$64+'Assumptions and Catalog'!$E$64+'Assumptions and Catalog'!$F$64,IF(((D496+E496)*C496-G496)&lt;='Assumptions and Catalog'!$C$65,((D496+E496)*C496-G496)*'Assumptions and Catalog'!$H$65+'Assumptions and Catalog'!$E$65+'Assumptions and Catalog'!$F$65,"Out of range")))))))))*(1+'Assumptions and Catalog'!$C$8)^(A496-1),0)</f>
        <v>7727.0666666666657</v>
      </c>
      <c r="R496" s="5">
        <f>IF(AND('Assumptions and Catalog'!$C$19&gt;0,A496&gt;='Assumptions and Catalog'!$C$19),A496-'Assumptions and Catalog'!$C$19,A496-1)</f>
        <v>7</v>
      </c>
      <c r="S496" s="5">
        <f>F496+L496-(D496+E496)*C496-J496-K496-IF(D$52&gt;0,'Assumptions and Catalog'!$C$26*C496,0)</f>
        <v>0</v>
      </c>
      <c r="T496" s="5"/>
      <c r="U496" s="5"/>
    </row>
    <row r="497" spans="1:21" ht="23.1" customHeight="1" outlineLevel="1" x14ac:dyDescent="0.2">
      <c r="A497" s="5">
        <v>8</v>
      </c>
      <c r="B497" s="5">
        <v>3</v>
      </c>
      <c r="C497" s="5">
        <f>DAY(DATE('Assumptions and Catalog'!$C$24+A497-1,B497+1,0))</f>
        <v>31</v>
      </c>
      <c r="D497" s="5">
        <f>IF(ISNUMBER(Inputs!$L$5),Inputs!$L$5*Inputs!$L$6,0)</f>
        <v>40.35</v>
      </c>
      <c r="E497" s="5">
        <f>IF(ISNUMBER(Inputs!$L$5),Inputs!$L$5-D497,0)</f>
        <v>40.35</v>
      </c>
      <c r="F497" s="5">
        <f>D$51*'Assumptions and Catalog'!$C$31*C497*(1-'Assumptions and Catalog'!$C$10)^(A497-1)</f>
        <v>0</v>
      </c>
      <c r="G497" s="5">
        <f t="shared" si="36"/>
        <v>0</v>
      </c>
      <c r="H497" s="5">
        <f>I497/('Assumptions and Catalog'!$C$11*'Assumptions and Catalog'!$C$12)</f>
        <v>0</v>
      </c>
      <c r="I497" s="5">
        <f>IF(K$15="Grid cycle",MIN(K$16,D497+E497,P497*'Assumptions and Catalog'!$C$12,D$57*(24-'Assumptions and Catalog'!$C$15),D$56*'Assumptions and Catalog'!$C$15*'Assumptions and Catalog'!$C$11*'Assumptions and Catalog'!$C$12)*C497,0)</f>
        <v>0</v>
      </c>
      <c r="J497" s="5">
        <f t="shared" si="37"/>
        <v>0</v>
      </c>
      <c r="K497" s="5">
        <f t="shared" si="38"/>
        <v>0</v>
      </c>
      <c r="L497" s="5">
        <f>(D497+E497)*C497-G497-I497+H497+IF(D$52&gt;0,'Assumptions and Catalog'!$C$26*C497,0)</f>
        <v>2501.7000000000003</v>
      </c>
      <c r="M497" s="5">
        <f>IF(ISNUMBER(Inputs!$L$5),(IF(Inputs!$L$9="Actual flat rate",((D497+E497)*C497)*Inputs!$L$10,IF(Inputs!$C$9="Residential",IF(((D497+E497)*C497)&lt;='Assumptions and Catalog'!$C$50,((D497+E497)*C497)*'Assumptions and Catalog'!$H$50+'Assumptions and Catalog'!$E$50+'Assumptions and Catalog'!$F$50,IF(((D497+E497)*C497)&lt;='Assumptions and Catalog'!$C$51,((D497+E497)*C497)*'Assumptions and Catalog'!$H$51+'Assumptions and Catalog'!$E$51+'Assumptions and Catalog'!$F$51,IF(((D497+E497)*C497)&lt;='Assumptions and Catalog'!$C$52,((D497+E497)*C497)*'Assumptions and Catalog'!$H$52+'Assumptions and Catalog'!$E$52+'Assumptions and Catalog'!$F$52,IF(((D497+E497)*C497)&lt;='Assumptions and Catalog'!$C$53,((D497+E497)*C497)*'Assumptions and Catalog'!$H$53+'Assumptions and Catalog'!$E$53+'Assumptions and Catalog'!$F$53,IF(((D497+E497)*C497)&lt;='Assumptions and Catalog'!$C$54,((D497+E497)*C497)*'Assumptions and Catalog'!$H$54+'Assumptions and Catalog'!$E$54+'Assumptions and Catalog'!$F$54,IF(((D497+E497)*C497)&lt;='Assumptions and Catalog'!$C$55,((D497+E497)*C497)*'Assumptions and Catalog'!$H$55+'Assumptions and Catalog'!$E$55+'Assumptions and Catalog'!$F$55,IF(((D497+E497)*C497)&lt;='Assumptions and Catalog'!$C$56,((D497+E497)*C497)*'Assumptions and Catalog'!$H$56+'Assumptions and Catalog'!$E$56+'Assumptions and Catalog'!$F$56,IF(((D497+E497)*C497)&lt;='Assumptions and Catalog'!$C$57,((D497+E497)*C497)*'Assumptions and Catalog'!$H$57+'Assumptions and Catalog'!$E$57+'Assumptions and Catalog'!$F$57,"Out of range")))))))),IF(((D497+E497)*C497)&lt;='Assumptions and Catalog'!$C$60,((D497+E497)*C497)*'Assumptions and Catalog'!$H$60+'Assumptions and Catalog'!$E$60+'Assumptions and Catalog'!$F$60,IF(((D497+E497)*C497)&lt;='Assumptions and Catalog'!$C$61,((D497+E497)*C497)*'Assumptions and Catalog'!$H$61+'Assumptions and Catalog'!$E$61+'Assumptions and Catalog'!$F$61,IF(((D497+E497)*C497)&lt;='Assumptions and Catalog'!$C$62,((D497+E497)*C497)*'Assumptions and Catalog'!$H$62+'Assumptions and Catalog'!$E$62+'Assumptions and Catalog'!$F$62,IF(((D497+E497)*C497)&lt;='Assumptions and Catalog'!$C$63,((D497+E497)*C497)*'Assumptions and Catalog'!$H$63+'Assumptions and Catalog'!$E$63+'Assumptions and Catalog'!$F$63,IF(((D497+E497)*C497)&lt;='Assumptions and Catalog'!$C$64,((D497+E497)*C497)*'Assumptions and Catalog'!$H$64+'Assumptions and Catalog'!$E$64+'Assumptions and Catalog'!$F$64,IF(((D497+E497)*C497)&lt;='Assumptions and Catalog'!$C$65,((D497+E497)*C497)*'Assumptions and Catalog'!$H$65+'Assumptions and Catalog'!$E$65+'Assumptions and Catalog'!$F$65,"Out of range")))))))))*(1+'Assumptions and Catalog'!$C$8)^(A497-1),0)</f>
        <v>8554.9666666666672</v>
      </c>
      <c r="N497" s="5">
        <f>IF(ISNUMBER(Inputs!$L$5),(IF(Inputs!$L$9="Actual flat rate",L497*Inputs!$L$10,IF(Inputs!$C$9="Residential",IF(L497&lt;='Assumptions and Catalog'!$C$50,L497*'Assumptions and Catalog'!$H$50+'Assumptions and Catalog'!$E$50+'Assumptions and Catalog'!$F$50,IF(L497&lt;='Assumptions and Catalog'!$C$51,L497*'Assumptions and Catalog'!$H$51+'Assumptions and Catalog'!$E$51+'Assumptions and Catalog'!$F$51,IF(L497&lt;='Assumptions and Catalog'!$C$52,L497*'Assumptions and Catalog'!$H$52+'Assumptions and Catalog'!$E$52+'Assumptions and Catalog'!$F$52,IF(L497&lt;='Assumptions and Catalog'!$C$53,L497*'Assumptions and Catalog'!$H$53+'Assumptions and Catalog'!$E$53+'Assumptions and Catalog'!$F$53,IF(L497&lt;='Assumptions and Catalog'!$C$54,L497*'Assumptions and Catalog'!$H$54+'Assumptions and Catalog'!$E$54+'Assumptions and Catalog'!$F$54,IF(L497&lt;='Assumptions and Catalog'!$C$55,L497*'Assumptions and Catalog'!$H$55+'Assumptions and Catalog'!$E$55+'Assumptions and Catalog'!$F$55,IF(L497&lt;='Assumptions and Catalog'!$C$56,L497*'Assumptions and Catalog'!$H$56+'Assumptions and Catalog'!$E$56+'Assumptions and Catalog'!$F$56,IF(L497&lt;='Assumptions and Catalog'!$C$57,L497*'Assumptions and Catalog'!$H$57+'Assumptions and Catalog'!$E$57+'Assumptions and Catalog'!$F$57,"Out of range")))))))),IF(L497&lt;='Assumptions and Catalog'!$C$60,L497*'Assumptions and Catalog'!$H$60+'Assumptions and Catalog'!$E$60+'Assumptions and Catalog'!$F$60,IF(L497&lt;='Assumptions and Catalog'!$C$61,L497*'Assumptions and Catalog'!$H$61+'Assumptions and Catalog'!$E$61+'Assumptions and Catalog'!$F$61,IF(L497&lt;='Assumptions and Catalog'!$C$62,L497*'Assumptions and Catalog'!$H$62+'Assumptions and Catalog'!$E$62+'Assumptions and Catalog'!$F$62,IF(L497&lt;='Assumptions and Catalog'!$C$63,L497*'Assumptions and Catalog'!$H$63+'Assumptions and Catalog'!$E$63+'Assumptions and Catalog'!$F$63,IF(L497&lt;='Assumptions and Catalog'!$C$64,L497*'Assumptions and Catalog'!$H$64+'Assumptions and Catalog'!$E$64+'Assumptions and Catalog'!$F$64,IF(L497&lt;='Assumptions and Catalog'!$C$65,L497*'Assumptions and Catalog'!$H$65+'Assumptions and Catalog'!$E$65+'Assumptions and Catalog'!$F$65,"Out of range")))))))))*(1+'Assumptions and Catalog'!$C$8)^(A497-1),0)</f>
        <v>8554.9666666666672</v>
      </c>
      <c r="O497" s="5">
        <f t="shared" si="39"/>
        <v>0</v>
      </c>
      <c r="P497" s="5">
        <f>D$55*(1-K$14)*(1-'Assumptions and Catalog'!$C$23)^R497</f>
        <v>0</v>
      </c>
      <c r="Q497" s="5">
        <f>IF(ISNUMBER(Inputs!$L$5),(IF(Inputs!$L$9="Actual flat rate",((D497+E497)*C497-G497)*Inputs!$L$10,IF(Inputs!$C$9="Residential",IF(((D497+E497)*C497-G497)&lt;='Assumptions and Catalog'!$C$50,((D497+E497)*C497-G497)*'Assumptions and Catalog'!$H$50+'Assumptions and Catalog'!$E$50+'Assumptions and Catalog'!$F$50,IF(((D497+E497)*C497-G497)&lt;='Assumptions and Catalog'!$C$51,((D497+E497)*C497-G497)*'Assumptions and Catalog'!$H$51+'Assumptions and Catalog'!$E$51+'Assumptions and Catalog'!$F$51,IF(((D497+E497)*C497-G497)&lt;='Assumptions and Catalog'!$C$52,((D497+E497)*C497-G497)*'Assumptions and Catalog'!$H$52+'Assumptions and Catalog'!$E$52+'Assumptions and Catalog'!$F$52,IF(((D497+E497)*C497-G497)&lt;='Assumptions and Catalog'!$C$53,((D497+E497)*C497-G497)*'Assumptions and Catalog'!$H$53+'Assumptions and Catalog'!$E$53+'Assumptions and Catalog'!$F$53,IF(((D497+E497)*C497-G497)&lt;='Assumptions and Catalog'!$C$54,((D497+E497)*C497-G497)*'Assumptions and Catalog'!$H$54+'Assumptions and Catalog'!$E$54+'Assumptions and Catalog'!$F$54,IF(((D497+E497)*C497-G497)&lt;='Assumptions and Catalog'!$C$55,((D497+E497)*C497-G497)*'Assumptions and Catalog'!$H$55+'Assumptions and Catalog'!$E$55+'Assumptions and Catalog'!$F$55,IF(((D497+E497)*C497-G497)&lt;='Assumptions and Catalog'!$C$56,((D497+E497)*C497-G497)*'Assumptions and Catalog'!$H$56+'Assumptions and Catalog'!$E$56+'Assumptions and Catalog'!$F$56,IF(((D497+E497)*C497-G497)&lt;='Assumptions and Catalog'!$C$57,((D497+E497)*C497-G497)*'Assumptions and Catalog'!$H$57+'Assumptions and Catalog'!$E$57+'Assumptions and Catalog'!$F$57,"Out of range")))))))),IF(((D497+E497)*C497-G497)&lt;='Assumptions and Catalog'!$C$60,((D497+E497)*C497-G497)*'Assumptions and Catalog'!$H$60+'Assumptions and Catalog'!$E$60+'Assumptions and Catalog'!$F$60,IF(((D497+E497)*C497-G497)&lt;='Assumptions and Catalog'!$C$61,((D497+E497)*C497-G497)*'Assumptions and Catalog'!$H$61+'Assumptions and Catalog'!$E$61+'Assumptions and Catalog'!$F$61,IF(((D497+E497)*C497-G497)&lt;='Assumptions and Catalog'!$C$62,((D497+E497)*C497-G497)*'Assumptions and Catalog'!$H$62+'Assumptions and Catalog'!$E$62+'Assumptions and Catalog'!$F$62,IF(((D497+E497)*C497-G497)&lt;='Assumptions and Catalog'!$C$63,((D497+E497)*C497-G497)*'Assumptions and Catalog'!$H$63+'Assumptions and Catalog'!$E$63+'Assumptions and Catalog'!$F$63,IF(((D497+E497)*C497-G497)&lt;='Assumptions and Catalog'!$C$64,((D497+E497)*C497-G497)*'Assumptions and Catalog'!$H$64+'Assumptions and Catalog'!$E$64+'Assumptions and Catalog'!$F$64,IF(((D497+E497)*C497-G497)&lt;='Assumptions and Catalog'!$C$65,((D497+E497)*C497-G497)*'Assumptions and Catalog'!$H$65+'Assumptions and Catalog'!$E$65+'Assumptions and Catalog'!$F$65,"Out of range")))))))))*(1+'Assumptions and Catalog'!$C$8)^(A497-1),0)</f>
        <v>8554.9666666666672</v>
      </c>
      <c r="R497" s="5">
        <f>IF(AND('Assumptions and Catalog'!$C$19&gt;0,A497&gt;='Assumptions and Catalog'!$C$19),A497-'Assumptions and Catalog'!$C$19,A497-1)</f>
        <v>7</v>
      </c>
      <c r="S497" s="5">
        <f>F497+L497-(D497+E497)*C497-J497-K497-IF(D$52&gt;0,'Assumptions and Catalog'!$C$26*C497,0)</f>
        <v>0</v>
      </c>
      <c r="T497" s="5"/>
      <c r="U497" s="5"/>
    </row>
    <row r="498" spans="1:21" ht="23.1" customHeight="1" outlineLevel="1" x14ac:dyDescent="0.2">
      <c r="A498" s="5">
        <v>8</v>
      </c>
      <c r="B498" s="5">
        <v>4</v>
      </c>
      <c r="C498" s="5">
        <f>DAY(DATE('Assumptions and Catalog'!$C$24+A498-1,B498+1,0))</f>
        <v>30</v>
      </c>
      <c r="D498" s="5">
        <f>IF(ISNUMBER(Inputs!$L$5),Inputs!$L$5*Inputs!$L$6,0)</f>
        <v>40.35</v>
      </c>
      <c r="E498" s="5">
        <f>IF(ISNUMBER(Inputs!$L$5),Inputs!$L$5-D498,0)</f>
        <v>40.35</v>
      </c>
      <c r="F498" s="5">
        <f>D$51*'Assumptions and Catalog'!$C$31*C498*(1-'Assumptions and Catalog'!$C$10)^(A498-1)</f>
        <v>0</v>
      </c>
      <c r="G498" s="5">
        <f t="shared" si="36"/>
        <v>0</v>
      </c>
      <c r="H498" s="5">
        <f>I498/('Assumptions and Catalog'!$C$11*'Assumptions and Catalog'!$C$12)</f>
        <v>0</v>
      </c>
      <c r="I498" s="5">
        <f>IF(K$15="Grid cycle",MIN(K$16,D498+E498,P498*'Assumptions and Catalog'!$C$12,D$57*(24-'Assumptions and Catalog'!$C$15),D$56*'Assumptions and Catalog'!$C$15*'Assumptions and Catalog'!$C$11*'Assumptions and Catalog'!$C$12)*C498,0)</f>
        <v>0</v>
      </c>
      <c r="J498" s="5">
        <f t="shared" si="37"/>
        <v>0</v>
      </c>
      <c r="K498" s="5">
        <f t="shared" si="38"/>
        <v>0</v>
      </c>
      <c r="L498" s="5">
        <f>(D498+E498)*C498-G498-I498+H498+IF(D$52&gt;0,'Assumptions and Catalog'!$C$26*C498,0)</f>
        <v>2421</v>
      </c>
      <c r="M498" s="5">
        <f>IF(ISNUMBER(Inputs!$L$5),(IF(Inputs!$L$9="Actual flat rate",((D498+E498)*C498)*Inputs!$L$10,IF(Inputs!$C$9="Residential",IF(((D498+E498)*C498)&lt;='Assumptions and Catalog'!$C$50,((D498+E498)*C498)*'Assumptions and Catalog'!$H$50+'Assumptions and Catalog'!$E$50+'Assumptions and Catalog'!$F$50,IF(((D498+E498)*C498)&lt;='Assumptions and Catalog'!$C$51,((D498+E498)*C498)*'Assumptions and Catalog'!$H$51+'Assumptions and Catalog'!$E$51+'Assumptions and Catalog'!$F$51,IF(((D498+E498)*C498)&lt;='Assumptions and Catalog'!$C$52,((D498+E498)*C498)*'Assumptions and Catalog'!$H$52+'Assumptions and Catalog'!$E$52+'Assumptions and Catalog'!$F$52,IF(((D498+E498)*C498)&lt;='Assumptions and Catalog'!$C$53,((D498+E498)*C498)*'Assumptions and Catalog'!$H$53+'Assumptions and Catalog'!$E$53+'Assumptions and Catalog'!$F$53,IF(((D498+E498)*C498)&lt;='Assumptions and Catalog'!$C$54,((D498+E498)*C498)*'Assumptions and Catalog'!$H$54+'Assumptions and Catalog'!$E$54+'Assumptions and Catalog'!$F$54,IF(((D498+E498)*C498)&lt;='Assumptions and Catalog'!$C$55,((D498+E498)*C498)*'Assumptions and Catalog'!$H$55+'Assumptions and Catalog'!$E$55+'Assumptions and Catalog'!$F$55,IF(((D498+E498)*C498)&lt;='Assumptions and Catalog'!$C$56,((D498+E498)*C498)*'Assumptions and Catalog'!$H$56+'Assumptions and Catalog'!$E$56+'Assumptions and Catalog'!$F$56,IF(((D498+E498)*C498)&lt;='Assumptions and Catalog'!$C$57,((D498+E498)*C498)*'Assumptions and Catalog'!$H$57+'Assumptions and Catalog'!$E$57+'Assumptions and Catalog'!$F$57,"Out of range")))))))),IF(((D498+E498)*C498)&lt;='Assumptions and Catalog'!$C$60,((D498+E498)*C498)*'Assumptions and Catalog'!$H$60+'Assumptions and Catalog'!$E$60+'Assumptions and Catalog'!$F$60,IF(((D498+E498)*C498)&lt;='Assumptions and Catalog'!$C$61,((D498+E498)*C498)*'Assumptions and Catalog'!$H$61+'Assumptions and Catalog'!$E$61+'Assumptions and Catalog'!$F$61,IF(((D498+E498)*C498)&lt;='Assumptions and Catalog'!$C$62,((D498+E498)*C498)*'Assumptions and Catalog'!$H$62+'Assumptions and Catalog'!$E$62+'Assumptions and Catalog'!$F$62,IF(((D498+E498)*C498)&lt;='Assumptions and Catalog'!$C$63,((D498+E498)*C498)*'Assumptions and Catalog'!$H$63+'Assumptions and Catalog'!$E$63+'Assumptions and Catalog'!$F$63,IF(((D498+E498)*C498)&lt;='Assumptions and Catalog'!$C$64,((D498+E498)*C498)*'Assumptions and Catalog'!$H$64+'Assumptions and Catalog'!$E$64+'Assumptions and Catalog'!$F$64,IF(((D498+E498)*C498)&lt;='Assumptions and Catalog'!$C$65,((D498+E498)*C498)*'Assumptions and Catalog'!$H$65+'Assumptions and Catalog'!$E$65+'Assumptions and Catalog'!$F$65,"Out of range")))))))))*(1+'Assumptions and Catalog'!$C$8)^(A498-1),0)</f>
        <v>8279</v>
      </c>
      <c r="N498" s="5">
        <f>IF(ISNUMBER(Inputs!$L$5),(IF(Inputs!$L$9="Actual flat rate",L498*Inputs!$L$10,IF(Inputs!$C$9="Residential",IF(L498&lt;='Assumptions and Catalog'!$C$50,L498*'Assumptions and Catalog'!$H$50+'Assumptions and Catalog'!$E$50+'Assumptions and Catalog'!$F$50,IF(L498&lt;='Assumptions and Catalog'!$C$51,L498*'Assumptions and Catalog'!$H$51+'Assumptions and Catalog'!$E$51+'Assumptions and Catalog'!$F$51,IF(L498&lt;='Assumptions and Catalog'!$C$52,L498*'Assumptions and Catalog'!$H$52+'Assumptions and Catalog'!$E$52+'Assumptions and Catalog'!$F$52,IF(L498&lt;='Assumptions and Catalog'!$C$53,L498*'Assumptions and Catalog'!$H$53+'Assumptions and Catalog'!$E$53+'Assumptions and Catalog'!$F$53,IF(L498&lt;='Assumptions and Catalog'!$C$54,L498*'Assumptions and Catalog'!$H$54+'Assumptions and Catalog'!$E$54+'Assumptions and Catalog'!$F$54,IF(L498&lt;='Assumptions and Catalog'!$C$55,L498*'Assumptions and Catalog'!$H$55+'Assumptions and Catalog'!$E$55+'Assumptions and Catalog'!$F$55,IF(L498&lt;='Assumptions and Catalog'!$C$56,L498*'Assumptions and Catalog'!$H$56+'Assumptions and Catalog'!$E$56+'Assumptions and Catalog'!$F$56,IF(L498&lt;='Assumptions and Catalog'!$C$57,L498*'Assumptions and Catalog'!$H$57+'Assumptions and Catalog'!$E$57+'Assumptions and Catalog'!$F$57,"Out of range")))))))),IF(L498&lt;='Assumptions and Catalog'!$C$60,L498*'Assumptions and Catalog'!$H$60+'Assumptions and Catalog'!$E$60+'Assumptions and Catalog'!$F$60,IF(L498&lt;='Assumptions and Catalog'!$C$61,L498*'Assumptions and Catalog'!$H$61+'Assumptions and Catalog'!$E$61+'Assumptions and Catalog'!$F$61,IF(L498&lt;='Assumptions and Catalog'!$C$62,L498*'Assumptions and Catalog'!$H$62+'Assumptions and Catalog'!$E$62+'Assumptions and Catalog'!$F$62,IF(L498&lt;='Assumptions and Catalog'!$C$63,L498*'Assumptions and Catalog'!$H$63+'Assumptions and Catalog'!$E$63+'Assumptions and Catalog'!$F$63,IF(L498&lt;='Assumptions and Catalog'!$C$64,L498*'Assumptions and Catalog'!$H$64+'Assumptions and Catalog'!$E$64+'Assumptions and Catalog'!$F$64,IF(L498&lt;='Assumptions and Catalog'!$C$65,L498*'Assumptions and Catalog'!$H$65+'Assumptions and Catalog'!$E$65+'Assumptions and Catalog'!$F$65,"Out of range")))))))))*(1+'Assumptions and Catalog'!$C$8)^(A498-1),0)</f>
        <v>8279</v>
      </c>
      <c r="O498" s="5">
        <f t="shared" si="39"/>
        <v>0</v>
      </c>
      <c r="P498" s="5">
        <f>D$55*(1-K$14)*(1-'Assumptions and Catalog'!$C$23)^R498</f>
        <v>0</v>
      </c>
      <c r="Q498" s="5">
        <f>IF(ISNUMBER(Inputs!$L$5),(IF(Inputs!$L$9="Actual flat rate",((D498+E498)*C498-G498)*Inputs!$L$10,IF(Inputs!$C$9="Residential",IF(((D498+E498)*C498-G498)&lt;='Assumptions and Catalog'!$C$50,((D498+E498)*C498-G498)*'Assumptions and Catalog'!$H$50+'Assumptions and Catalog'!$E$50+'Assumptions and Catalog'!$F$50,IF(((D498+E498)*C498-G498)&lt;='Assumptions and Catalog'!$C$51,((D498+E498)*C498-G498)*'Assumptions and Catalog'!$H$51+'Assumptions and Catalog'!$E$51+'Assumptions and Catalog'!$F$51,IF(((D498+E498)*C498-G498)&lt;='Assumptions and Catalog'!$C$52,((D498+E498)*C498-G498)*'Assumptions and Catalog'!$H$52+'Assumptions and Catalog'!$E$52+'Assumptions and Catalog'!$F$52,IF(((D498+E498)*C498-G498)&lt;='Assumptions and Catalog'!$C$53,((D498+E498)*C498-G498)*'Assumptions and Catalog'!$H$53+'Assumptions and Catalog'!$E$53+'Assumptions and Catalog'!$F$53,IF(((D498+E498)*C498-G498)&lt;='Assumptions and Catalog'!$C$54,((D498+E498)*C498-G498)*'Assumptions and Catalog'!$H$54+'Assumptions and Catalog'!$E$54+'Assumptions and Catalog'!$F$54,IF(((D498+E498)*C498-G498)&lt;='Assumptions and Catalog'!$C$55,((D498+E498)*C498-G498)*'Assumptions and Catalog'!$H$55+'Assumptions and Catalog'!$E$55+'Assumptions and Catalog'!$F$55,IF(((D498+E498)*C498-G498)&lt;='Assumptions and Catalog'!$C$56,((D498+E498)*C498-G498)*'Assumptions and Catalog'!$H$56+'Assumptions and Catalog'!$E$56+'Assumptions and Catalog'!$F$56,IF(((D498+E498)*C498-G498)&lt;='Assumptions and Catalog'!$C$57,((D498+E498)*C498-G498)*'Assumptions and Catalog'!$H$57+'Assumptions and Catalog'!$E$57+'Assumptions and Catalog'!$F$57,"Out of range")))))))),IF(((D498+E498)*C498-G498)&lt;='Assumptions and Catalog'!$C$60,((D498+E498)*C498-G498)*'Assumptions and Catalog'!$H$60+'Assumptions and Catalog'!$E$60+'Assumptions and Catalog'!$F$60,IF(((D498+E498)*C498-G498)&lt;='Assumptions and Catalog'!$C$61,((D498+E498)*C498-G498)*'Assumptions and Catalog'!$H$61+'Assumptions and Catalog'!$E$61+'Assumptions and Catalog'!$F$61,IF(((D498+E498)*C498-G498)&lt;='Assumptions and Catalog'!$C$62,((D498+E498)*C498-G498)*'Assumptions and Catalog'!$H$62+'Assumptions and Catalog'!$E$62+'Assumptions and Catalog'!$F$62,IF(((D498+E498)*C498-G498)&lt;='Assumptions and Catalog'!$C$63,((D498+E498)*C498-G498)*'Assumptions and Catalog'!$H$63+'Assumptions and Catalog'!$E$63+'Assumptions and Catalog'!$F$63,IF(((D498+E498)*C498-G498)&lt;='Assumptions and Catalog'!$C$64,((D498+E498)*C498-G498)*'Assumptions and Catalog'!$H$64+'Assumptions and Catalog'!$E$64+'Assumptions and Catalog'!$F$64,IF(((D498+E498)*C498-G498)&lt;='Assumptions and Catalog'!$C$65,((D498+E498)*C498-G498)*'Assumptions and Catalog'!$H$65+'Assumptions and Catalog'!$E$65+'Assumptions and Catalog'!$F$65,"Out of range")))))))))*(1+'Assumptions and Catalog'!$C$8)^(A498-1),0)</f>
        <v>8279</v>
      </c>
      <c r="R498" s="5">
        <f>IF(AND('Assumptions and Catalog'!$C$19&gt;0,A498&gt;='Assumptions and Catalog'!$C$19),A498-'Assumptions and Catalog'!$C$19,A498-1)</f>
        <v>7</v>
      </c>
      <c r="S498" s="5">
        <f>F498+L498-(D498+E498)*C498-J498-K498-IF(D$52&gt;0,'Assumptions and Catalog'!$C$26*C498,0)</f>
        <v>0</v>
      </c>
      <c r="T498" s="5"/>
      <c r="U498" s="5"/>
    </row>
    <row r="499" spans="1:21" ht="23.1" customHeight="1" outlineLevel="1" x14ac:dyDescent="0.2">
      <c r="A499" s="5">
        <v>8</v>
      </c>
      <c r="B499" s="5">
        <v>5</v>
      </c>
      <c r="C499" s="5">
        <f>DAY(DATE('Assumptions and Catalog'!$C$24+A499-1,B499+1,0))</f>
        <v>31</v>
      </c>
      <c r="D499" s="5">
        <f>IF(ISNUMBER(Inputs!$L$5),Inputs!$L$5*Inputs!$L$6,0)</f>
        <v>40.35</v>
      </c>
      <c r="E499" s="5">
        <f>IF(ISNUMBER(Inputs!$L$5),Inputs!$L$5-D499,0)</f>
        <v>40.35</v>
      </c>
      <c r="F499" s="5">
        <f>D$51*'Assumptions and Catalog'!$C$31*C499*(1-'Assumptions and Catalog'!$C$10)^(A499-1)</f>
        <v>0</v>
      </c>
      <c r="G499" s="5">
        <f t="shared" si="36"/>
        <v>0</v>
      </c>
      <c r="H499" s="5">
        <f>I499/('Assumptions and Catalog'!$C$11*'Assumptions and Catalog'!$C$12)</f>
        <v>0</v>
      </c>
      <c r="I499" s="5">
        <f>IF(K$15="Grid cycle",MIN(K$16,D499+E499,P499*'Assumptions and Catalog'!$C$12,D$57*(24-'Assumptions and Catalog'!$C$15),D$56*'Assumptions and Catalog'!$C$15*'Assumptions and Catalog'!$C$11*'Assumptions and Catalog'!$C$12)*C499,0)</f>
        <v>0</v>
      </c>
      <c r="J499" s="5">
        <f t="shared" si="37"/>
        <v>0</v>
      </c>
      <c r="K499" s="5">
        <f t="shared" si="38"/>
        <v>0</v>
      </c>
      <c r="L499" s="5">
        <f>(D499+E499)*C499-G499-I499+H499+IF(D$52&gt;0,'Assumptions and Catalog'!$C$26*C499,0)</f>
        <v>2501.7000000000003</v>
      </c>
      <c r="M499" s="5">
        <f>IF(ISNUMBER(Inputs!$L$5),(IF(Inputs!$L$9="Actual flat rate",((D499+E499)*C499)*Inputs!$L$10,IF(Inputs!$C$9="Residential",IF(((D499+E499)*C499)&lt;='Assumptions and Catalog'!$C$50,((D499+E499)*C499)*'Assumptions and Catalog'!$H$50+'Assumptions and Catalog'!$E$50+'Assumptions and Catalog'!$F$50,IF(((D499+E499)*C499)&lt;='Assumptions and Catalog'!$C$51,((D499+E499)*C499)*'Assumptions and Catalog'!$H$51+'Assumptions and Catalog'!$E$51+'Assumptions and Catalog'!$F$51,IF(((D499+E499)*C499)&lt;='Assumptions and Catalog'!$C$52,((D499+E499)*C499)*'Assumptions and Catalog'!$H$52+'Assumptions and Catalog'!$E$52+'Assumptions and Catalog'!$F$52,IF(((D499+E499)*C499)&lt;='Assumptions and Catalog'!$C$53,((D499+E499)*C499)*'Assumptions and Catalog'!$H$53+'Assumptions and Catalog'!$E$53+'Assumptions and Catalog'!$F$53,IF(((D499+E499)*C499)&lt;='Assumptions and Catalog'!$C$54,((D499+E499)*C499)*'Assumptions and Catalog'!$H$54+'Assumptions and Catalog'!$E$54+'Assumptions and Catalog'!$F$54,IF(((D499+E499)*C499)&lt;='Assumptions and Catalog'!$C$55,((D499+E499)*C499)*'Assumptions and Catalog'!$H$55+'Assumptions and Catalog'!$E$55+'Assumptions and Catalog'!$F$55,IF(((D499+E499)*C499)&lt;='Assumptions and Catalog'!$C$56,((D499+E499)*C499)*'Assumptions and Catalog'!$H$56+'Assumptions and Catalog'!$E$56+'Assumptions and Catalog'!$F$56,IF(((D499+E499)*C499)&lt;='Assumptions and Catalog'!$C$57,((D499+E499)*C499)*'Assumptions and Catalog'!$H$57+'Assumptions and Catalog'!$E$57+'Assumptions and Catalog'!$F$57,"Out of range")))))))),IF(((D499+E499)*C499)&lt;='Assumptions and Catalog'!$C$60,((D499+E499)*C499)*'Assumptions and Catalog'!$H$60+'Assumptions and Catalog'!$E$60+'Assumptions and Catalog'!$F$60,IF(((D499+E499)*C499)&lt;='Assumptions and Catalog'!$C$61,((D499+E499)*C499)*'Assumptions and Catalog'!$H$61+'Assumptions and Catalog'!$E$61+'Assumptions and Catalog'!$F$61,IF(((D499+E499)*C499)&lt;='Assumptions and Catalog'!$C$62,((D499+E499)*C499)*'Assumptions and Catalog'!$H$62+'Assumptions and Catalog'!$E$62+'Assumptions and Catalog'!$F$62,IF(((D499+E499)*C499)&lt;='Assumptions and Catalog'!$C$63,((D499+E499)*C499)*'Assumptions and Catalog'!$H$63+'Assumptions and Catalog'!$E$63+'Assumptions and Catalog'!$F$63,IF(((D499+E499)*C499)&lt;='Assumptions and Catalog'!$C$64,((D499+E499)*C499)*'Assumptions and Catalog'!$H$64+'Assumptions and Catalog'!$E$64+'Assumptions and Catalog'!$F$64,IF(((D499+E499)*C499)&lt;='Assumptions and Catalog'!$C$65,((D499+E499)*C499)*'Assumptions and Catalog'!$H$65+'Assumptions and Catalog'!$E$65+'Assumptions and Catalog'!$F$65,"Out of range")))))))))*(1+'Assumptions and Catalog'!$C$8)^(A499-1),0)</f>
        <v>8554.9666666666672</v>
      </c>
      <c r="N499" s="5">
        <f>IF(ISNUMBER(Inputs!$L$5),(IF(Inputs!$L$9="Actual flat rate",L499*Inputs!$L$10,IF(Inputs!$C$9="Residential",IF(L499&lt;='Assumptions and Catalog'!$C$50,L499*'Assumptions and Catalog'!$H$50+'Assumptions and Catalog'!$E$50+'Assumptions and Catalog'!$F$50,IF(L499&lt;='Assumptions and Catalog'!$C$51,L499*'Assumptions and Catalog'!$H$51+'Assumptions and Catalog'!$E$51+'Assumptions and Catalog'!$F$51,IF(L499&lt;='Assumptions and Catalog'!$C$52,L499*'Assumptions and Catalog'!$H$52+'Assumptions and Catalog'!$E$52+'Assumptions and Catalog'!$F$52,IF(L499&lt;='Assumptions and Catalog'!$C$53,L499*'Assumptions and Catalog'!$H$53+'Assumptions and Catalog'!$E$53+'Assumptions and Catalog'!$F$53,IF(L499&lt;='Assumptions and Catalog'!$C$54,L499*'Assumptions and Catalog'!$H$54+'Assumptions and Catalog'!$E$54+'Assumptions and Catalog'!$F$54,IF(L499&lt;='Assumptions and Catalog'!$C$55,L499*'Assumptions and Catalog'!$H$55+'Assumptions and Catalog'!$E$55+'Assumptions and Catalog'!$F$55,IF(L499&lt;='Assumptions and Catalog'!$C$56,L499*'Assumptions and Catalog'!$H$56+'Assumptions and Catalog'!$E$56+'Assumptions and Catalog'!$F$56,IF(L499&lt;='Assumptions and Catalog'!$C$57,L499*'Assumptions and Catalog'!$H$57+'Assumptions and Catalog'!$E$57+'Assumptions and Catalog'!$F$57,"Out of range")))))))),IF(L499&lt;='Assumptions and Catalog'!$C$60,L499*'Assumptions and Catalog'!$H$60+'Assumptions and Catalog'!$E$60+'Assumptions and Catalog'!$F$60,IF(L499&lt;='Assumptions and Catalog'!$C$61,L499*'Assumptions and Catalog'!$H$61+'Assumptions and Catalog'!$E$61+'Assumptions and Catalog'!$F$61,IF(L499&lt;='Assumptions and Catalog'!$C$62,L499*'Assumptions and Catalog'!$H$62+'Assumptions and Catalog'!$E$62+'Assumptions and Catalog'!$F$62,IF(L499&lt;='Assumptions and Catalog'!$C$63,L499*'Assumptions and Catalog'!$H$63+'Assumptions and Catalog'!$E$63+'Assumptions and Catalog'!$F$63,IF(L499&lt;='Assumptions and Catalog'!$C$64,L499*'Assumptions and Catalog'!$H$64+'Assumptions and Catalog'!$E$64+'Assumptions and Catalog'!$F$64,IF(L499&lt;='Assumptions and Catalog'!$C$65,L499*'Assumptions and Catalog'!$H$65+'Assumptions and Catalog'!$E$65+'Assumptions and Catalog'!$F$65,"Out of range")))))))))*(1+'Assumptions and Catalog'!$C$8)^(A499-1),0)</f>
        <v>8554.9666666666672</v>
      </c>
      <c r="O499" s="5">
        <f t="shared" si="39"/>
        <v>0</v>
      </c>
      <c r="P499" s="5">
        <f>D$55*(1-K$14)*(1-'Assumptions and Catalog'!$C$23)^R499</f>
        <v>0</v>
      </c>
      <c r="Q499" s="5">
        <f>IF(ISNUMBER(Inputs!$L$5),(IF(Inputs!$L$9="Actual flat rate",((D499+E499)*C499-G499)*Inputs!$L$10,IF(Inputs!$C$9="Residential",IF(((D499+E499)*C499-G499)&lt;='Assumptions and Catalog'!$C$50,((D499+E499)*C499-G499)*'Assumptions and Catalog'!$H$50+'Assumptions and Catalog'!$E$50+'Assumptions and Catalog'!$F$50,IF(((D499+E499)*C499-G499)&lt;='Assumptions and Catalog'!$C$51,((D499+E499)*C499-G499)*'Assumptions and Catalog'!$H$51+'Assumptions and Catalog'!$E$51+'Assumptions and Catalog'!$F$51,IF(((D499+E499)*C499-G499)&lt;='Assumptions and Catalog'!$C$52,((D499+E499)*C499-G499)*'Assumptions and Catalog'!$H$52+'Assumptions and Catalog'!$E$52+'Assumptions and Catalog'!$F$52,IF(((D499+E499)*C499-G499)&lt;='Assumptions and Catalog'!$C$53,((D499+E499)*C499-G499)*'Assumptions and Catalog'!$H$53+'Assumptions and Catalog'!$E$53+'Assumptions and Catalog'!$F$53,IF(((D499+E499)*C499-G499)&lt;='Assumptions and Catalog'!$C$54,((D499+E499)*C499-G499)*'Assumptions and Catalog'!$H$54+'Assumptions and Catalog'!$E$54+'Assumptions and Catalog'!$F$54,IF(((D499+E499)*C499-G499)&lt;='Assumptions and Catalog'!$C$55,((D499+E499)*C499-G499)*'Assumptions and Catalog'!$H$55+'Assumptions and Catalog'!$E$55+'Assumptions and Catalog'!$F$55,IF(((D499+E499)*C499-G499)&lt;='Assumptions and Catalog'!$C$56,((D499+E499)*C499-G499)*'Assumptions and Catalog'!$H$56+'Assumptions and Catalog'!$E$56+'Assumptions and Catalog'!$F$56,IF(((D499+E499)*C499-G499)&lt;='Assumptions and Catalog'!$C$57,((D499+E499)*C499-G499)*'Assumptions and Catalog'!$H$57+'Assumptions and Catalog'!$E$57+'Assumptions and Catalog'!$F$57,"Out of range")))))))),IF(((D499+E499)*C499-G499)&lt;='Assumptions and Catalog'!$C$60,((D499+E499)*C499-G499)*'Assumptions and Catalog'!$H$60+'Assumptions and Catalog'!$E$60+'Assumptions and Catalog'!$F$60,IF(((D499+E499)*C499-G499)&lt;='Assumptions and Catalog'!$C$61,((D499+E499)*C499-G499)*'Assumptions and Catalog'!$H$61+'Assumptions and Catalog'!$E$61+'Assumptions and Catalog'!$F$61,IF(((D499+E499)*C499-G499)&lt;='Assumptions and Catalog'!$C$62,((D499+E499)*C499-G499)*'Assumptions and Catalog'!$H$62+'Assumptions and Catalog'!$E$62+'Assumptions and Catalog'!$F$62,IF(((D499+E499)*C499-G499)&lt;='Assumptions and Catalog'!$C$63,((D499+E499)*C499-G499)*'Assumptions and Catalog'!$H$63+'Assumptions and Catalog'!$E$63+'Assumptions and Catalog'!$F$63,IF(((D499+E499)*C499-G499)&lt;='Assumptions and Catalog'!$C$64,((D499+E499)*C499-G499)*'Assumptions and Catalog'!$H$64+'Assumptions and Catalog'!$E$64+'Assumptions and Catalog'!$F$64,IF(((D499+E499)*C499-G499)&lt;='Assumptions and Catalog'!$C$65,((D499+E499)*C499-G499)*'Assumptions and Catalog'!$H$65+'Assumptions and Catalog'!$E$65+'Assumptions and Catalog'!$F$65,"Out of range")))))))))*(1+'Assumptions and Catalog'!$C$8)^(A499-1),0)</f>
        <v>8554.9666666666672</v>
      </c>
      <c r="R499" s="5">
        <f>IF(AND('Assumptions and Catalog'!$C$19&gt;0,A499&gt;='Assumptions and Catalog'!$C$19),A499-'Assumptions and Catalog'!$C$19,A499-1)</f>
        <v>7</v>
      </c>
      <c r="S499" s="5">
        <f>F499+L499-(D499+E499)*C499-J499-K499-IF(D$52&gt;0,'Assumptions and Catalog'!$C$26*C499,0)</f>
        <v>0</v>
      </c>
      <c r="T499" s="5"/>
      <c r="U499" s="5"/>
    </row>
    <row r="500" spans="1:21" ht="23.1" customHeight="1" outlineLevel="1" x14ac:dyDescent="0.2">
      <c r="A500" s="5">
        <v>8</v>
      </c>
      <c r="B500" s="5">
        <v>6</v>
      </c>
      <c r="C500" s="5">
        <f>DAY(DATE('Assumptions and Catalog'!$C$24+A500-1,B500+1,0))</f>
        <v>30</v>
      </c>
      <c r="D500" s="5">
        <f>IF(ISNUMBER(Inputs!$L$5),Inputs!$L$5*Inputs!$L$6,0)</f>
        <v>40.35</v>
      </c>
      <c r="E500" s="5">
        <f>IF(ISNUMBER(Inputs!$L$5),Inputs!$L$5-D500,0)</f>
        <v>40.35</v>
      </c>
      <c r="F500" s="5">
        <f>D$51*'Assumptions and Catalog'!$C$31*C500*(1-'Assumptions and Catalog'!$C$10)^(A500-1)</f>
        <v>0</v>
      </c>
      <c r="G500" s="5">
        <f t="shared" si="36"/>
        <v>0</v>
      </c>
      <c r="H500" s="5">
        <f>I500/('Assumptions and Catalog'!$C$11*'Assumptions and Catalog'!$C$12)</f>
        <v>0</v>
      </c>
      <c r="I500" s="5">
        <f>IF(K$15="Grid cycle",MIN(K$16,D500+E500,P500*'Assumptions and Catalog'!$C$12,D$57*(24-'Assumptions and Catalog'!$C$15),D$56*'Assumptions and Catalog'!$C$15*'Assumptions and Catalog'!$C$11*'Assumptions and Catalog'!$C$12)*C500,0)</f>
        <v>0</v>
      </c>
      <c r="J500" s="5">
        <f t="shared" si="37"/>
        <v>0</v>
      </c>
      <c r="K500" s="5">
        <f t="shared" si="38"/>
        <v>0</v>
      </c>
      <c r="L500" s="5">
        <f>(D500+E500)*C500-G500-I500+H500+IF(D$52&gt;0,'Assumptions and Catalog'!$C$26*C500,0)</f>
        <v>2421</v>
      </c>
      <c r="M500" s="5">
        <f>IF(ISNUMBER(Inputs!$L$5),(IF(Inputs!$L$9="Actual flat rate",((D500+E500)*C500)*Inputs!$L$10,IF(Inputs!$C$9="Residential",IF(((D500+E500)*C500)&lt;='Assumptions and Catalog'!$C$50,((D500+E500)*C500)*'Assumptions and Catalog'!$H$50+'Assumptions and Catalog'!$E$50+'Assumptions and Catalog'!$F$50,IF(((D500+E500)*C500)&lt;='Assumptions and Catalog'!$C$51,((D500+E500)*C500)*'Assumptions and Catalog'!$H$51+'Assumptions and Catalog'!$E$51+'Assumptions and Catalog'!$F$51,IF(((D500+E500)*C500)&lt;='Assumptions and Catalog'!$C$52,((D500+E500)*C500)*'Assumptions and Catalog'!$H$52+'Assumptions and Catalog'!$E$52+'Assumptions and Catalog'!$F$52,IF(((D500+E500)*C500)&lt;='Assumptions and Catalog'!$C$53,((D500+E500)*C500)*'Assumptions and Catalog'!$H$53+'Assumptions and Catalog'!$E$53+'Assumptions and Catalog'!$F$53,IF(((D500+E500)*C500)&lt;='Assumptions and Catalog'!$C$54,((D500+E500)*C500)*'Assumptions and Catalog'!$H$54+'Assumptions and Catalog'!$E$54+'Assumptions and Catalog'!$F$54,IF(((D500+E500)*C500)&lt;='Assumptions and Catalog'!$C$55,((D500+E500)*C500)*'Assumptions and Catalog'!$H$55+'Assumptions and Catalog'!$E$55+'Assumptions and Catalog'!$F$55,IF(((D500+E500)*C500)&lt;='Assumptions and Catalog'!$C$56,((D500+E500)*C500)*'Assumptions and Catalog'!$H$56+'Assumptions and Catalog'!$E$56+'Assumptions and Catalog'!$F$56,IF(((D500+E500)*C500)&lt;='Assumptions and Catalog'!$C$57,((D500+E500)*C500)*'Assumptions and Catalog'!$H$57+'Assumptions and Catalog'!$E$57+'Assumptions and Catalog'!$F$57,"Out of range")))))))),IF(((D500+E500)*C500)&lt;='Assumptions and Catalog'!$C$60,((D500+E500)*C500)*'Assumptions and Catalog'!$H$60+'Assumptions and Catalog'!$E$60+'Assumptions and Catalog'!$F$60,IF(((D500+E500)*C500)&lt;='Assumptions and Catalog'!$C$61,((D500+E500)*C500)*'Assumptions and Catalog'!$H$61+'Assumptions and Catalog'!$E$61+'Assumptions and Catalog'!$F$61,IF(((D500+E500)*C500)&lt;='Assumptions and Catalog'!$C$62,((D500+E500)*C500)*'Assumptions and Catalog'!$H$62+'Assumptions and Catalog'!$E$62+'Assumptions and Catalog'!$F$62,IF(((D500+E500)*C500)&lt;='Assumptions and Catalog'!$C$63,((D500+E500)*C500)*'Assumptions and Catalog'!$H$63+'Assumptions and Catalog'!$E$63+'Assumptions and Catalog'!$F$63,IF(((D500+E500)*C500)&lt;='Assumptions and Catalog'!$C$64,((D500+E500)*C500)*'Assumptions and Catalog'!$H$64+'Assumptions and Catalog'!$E$64+'Assumptions and Catalog'!$F$64,IF(((D500+E500)*C500)&lt;='Assumptions and Catalog'!$C$65,((D500+E500)*C500)*'Assumptions and Catalog'!$H$65+'Assumptions and Catalog'!$E$65+'Assumptions and Catalog'!$F$65,"Out of range")))))))))*(1+'Assumptions and Catalog'!$C$8)^(A500-1),0)</f>
        <v>8279</v>
      </c>
      <c r="N500" s="5">
        <f>IF(ISNUMBER(Inputs!$L$5),(IF(Inputs!$L$9="Actual flat rate",L500*Inputs!$L$10,IF(Inputs!$C$9="Residential",IF(L500&lt;='Assumptions and Catalog'!$C$50,L500*'Assumptions and Catalog'!$H$50+'Assumptions and Catalog'!$E$50+'Assumptions and Catalog'!$F$50,IF(L500&lt;='Assumptions and Catalog'!$C$51,L500*'Assumptions and Catalog'!$H$51+'Assumptions and Catalog'!$E$51+'Assumptions and Catalog'!$F$51,IF(L500&lt;='Assumptions and Catalog'!$C$52,L500*'Assumptions and Catalog'!$H$52+'Assumptions and Catalog'!$E$52+'Assumptions and Catalog'!$F$52,IF(L500&lt;='Assumptions and Catalog'!$C$53,L500*'Assumptions and Catalog'!$H$53+'Assumptions and Catalog'!$E$53+'Assumptions and Catalog'!$F$53,IF(L500&lt;='Assumptions and Catalog'!$C$54,L500*'Assumptions and Catalog'!$H$54+'Assumptions and Catalog'!$E$54+'Assumptions and Catalog'!$F$54,IF(L500&lt;='Assumptions and Catalog'!$C$55,L500*'Assumptions and Catalog'!$H$55+'Assumptions and Catalog'!$E$55+'Assumptions and Catalog'!$F$55,IF(L500&lt;='Assumptions and Catalog'!$C$56,L500*'Assumptions and Catalog'!$H$56+'Assumptions and Catalog'!$E$56+'Assumptions and Catalog'!$F$56,IF(L500&lt;='Assumptions and Catalog'!$C$57,L500*'Assumptions and Catalog'!$H$57+'Assumptions and Catalog'!$E$57+'Assumptions and Catalog'!$F$57,"Out of range")))))))),IF(L500&lt;='Assumptions and Catalog'!$C$60,L500*'Assumptions and Catalog'!$H$60+'Assumptions and Catalog'!$E$60+'Assumptions and Catalog'!$F$60,IF(L500&lt;='Assumptions and Catalog'!$C$61,L500*'Assumptions and Catalog'!$H$61+'Assumptions and Catalog'!$E$61+'Assumptions and Catalog'!$F$61,IF(L500&lt;='Assumptions and Catalog'!$C$62,L500*'Assumptions and Catalog'!$H$62+'Assumptions and Catalog'!$E$62+'Assumptions and Catalog'!$F$62,IF(L500&lt;='Assumptions and Catalog'!$C$63,L500*'Assumptions and Catalog'!$H$63+'Assumptions and Catalog'!$E$63+'Assumptions and Catalog'!$F$63,IF(L500&lt;='Assumptions and Catalog'!$C$64,L500*'Assumptions and Catalog'!$H$64+'Assumptions and Catalog'!$E$64+'Assumptions and Catalog'!$F$64,IF(L500&lt;='Assumptions and Catalog'!$C$65,L500*'Assumptions and Catalog'!$H$65+'Assumptions and Catalog'!$E$65+'Assumptions and Catalog'!$F$65,"Out of range")))))))))*(1+'Assumptions and Catalog'!$C$8)^(A500-1),0)</f>
        <v>8279</v>
      </c>
      <c r="O500" s="5">
        <f t="shared" si="39"/>
        <v>0</v>
      </c>
      <c r="P500" s="5">
        <f>D$55*(1-K$14)*(1-'Assumptions and Catalog'!$C$23)^R500</f>
        <v>0</v>
      </c>
      <c r="Q500" s="5">
        <f>IF(ISNUMBER(Inputs!$L$5),(IF(Inputs!$L$9="Actual flat rate",((D500+E500)*C500-G500)*Inputs!$L$10,IF(Inputs!$C$9="Residential",IF(((D500+E500)*C500-G500)&lt;='Assumptions and Catalog'!$C$50,((D500+E500)*C500-G500)*'Assumptions and Catalog'!$H$50+'Assumptions and Catalog'!$E$50+'Assumptions and Catalog'!$F$50,IF(((D500+E500)*C500-G500)&lt;='Assumptions and Catalog'!$C$51,((D500+E500)*C500-G500)*'Assumptions and Catalog'!$H$51+'Assumptions and Catalog'!$E$51+'Assumptions and Catalog'!$F$51,IF(((D500+E500)*C500-G500)&lt;='Assumptions and Catalog'!$C$52,((D500+E500)*C500-G500)*'Assumptions and Catalog'!$H$52+'Assumptions and Catalog'!$E$52+'Assumptions and Catalog'!$F$52,IF(((D500+E500)*C500-G500)&lt;='Assumptions and Catalog'!$C$53,((D500+E500)*C500-G500)*'Assumptions and Catalog'!$H$53+'Assumptions and Catalog'!$E$53+'Assumptions and Catalog'!$F$53,IF(((D500+E500)*C500-G500)&lt;='Assumptions and Catalog'!$C$54,((D500+E500)*C500-G500)*'Assumptions and Catalog'!$H$54+'Assumptions and Catalog'!$E$54+'Assumptions and Catalog'!$F$54,IF(((D500+E500)*C500-G500)&lt;='Assumptions and Catalog'!$C$55,((D500+E500)*C500-G500)*'Assumptions and Catalog'!$H$55+'Assumptions and Catalog'!$E$55+'Assumptions and Catalog'!$F$55,IF(((D500+E500)*C500-G500)&lt;='Assumptions and Catalog'!$C$56,((D500+E500)*C500-G500)*'Assumptions and Catalog'!$H$56+'Assumptions and Catalog'!$E$56+'Assumptions and Catalog'!$F$56,IF(((D500+E500)*C500-G500)&lt;='Assumptions and Catalog'!$C$57,((D500+E500)*C500-G500)*'Assumptions and Catalog'!$H$57+'Assumptions and Catalog'!$E$57+'Assumptions and Catalog'!$F$57,"Out of range")))))))),IF(((D500+E500)*C500-G500)&lt;='Assumptions and Catalog'!$C$60,((D500+E500)*C500-G500)*'Assumptions and Catalog'!$H$60+'Assumptions and Catalog'!$E$60+'Assumptions and Catalog'!$F$60,IF(((D500+E500)*C500-G500)&lt;='Assumptions and Catalog'!$C$61,((D500+E500)*C500-G500)*'Assumptions and Catalog'!$H$61+'Assumptions and Catalog'!$E$61+'Assumptions and Catalog'!$F$61,IF(((D500+E500)*C500-G500)&lt;='Assumptions and Catalog'!$C$62,((D500+E500)*C500-G500)*'Assumptions and Catalog'!$H$62+'Assumptions and Catalog'!$E$62+'Assumptions and Catalog'!$F$62,IF(((D500+E500)*C500-G500)&lt;='Assumptions and Catalog'!$C$63,((D500+E500)*C500-G500)*'Assumptions and Catalog'!$H$63+'Assumptions and Catalog'!$E$63+'Assumptions and Catalog'!$F$63,IF(((D500+E500)*C500-G500)&lt;='Assumptions and Catalog'!$C$64,((D500+E500)*C500-G500)*'Assumptions and Catalog'!$H$64+'Assumptions and Catalog'!$E$64+'Assumptions and Catalog'!$F$64,IF(((D500+E500)*C500-G500)&lt;='Assumptions and Catalog'!$C$65,((D500+E500)*C500-G500)*'Assumptions and Catalog'!$H$65+'Assumptions and Catalog'!$E$65+'Assumptions and Catalog'!$F$65,"Out of range")))))))))*(1+'Assumptions and Catalog'!$C$8)^(A500-1),0)</f>
        <v>8279</v>
      </c>
      <c r="R500" s="5">
        <f>IF(AND('Assumptions and Catalog'!$C$19&gt;0,A500&gt;='Assumptions and Catalog'!$C$19),A500-'Assumptions and Catalog'!$C$19,A500-1)</f>
        <v>7</v>
      </c>
      <c r="S500" s="5">
        <f>F500+L500-(D500+E500)*C500-J500-K500-IF(D$52&gt;0,'Assumptions and Catalog'!$C$26*C500,0)</f>
        <v>0</v>
      </c>
      <c r="T500" s="5"/>
      <c r="U500" s="5"/>
    </row>
    <row r="501" spans="1:21" ht="23.1" customHeight="1" outlineLevel="1" x14ac:dyDescent="0.2">
      <c r="A501" s="5">
        <v>8</v>
      </c>
      <c r="B501" s="5">
        <v>7</v>
      </c>
      <c r="C501" s="5">
        <f>DAY(DATE('Assumptions and Catalog'!$C$24+A501-1,B501+1,0))</f>
        <v>31</v>
      </c>
      <c r="D501" s="5">
        <f>IF(ISNUMBER(Inputs!$L$5),Inputs!$L$5*Inputs!$L$6,0)</f>
        <v>40.35</v>
      </c>
      <c r="E501" s="5">
        <f>IF(ISNUMBER(Inputs!$L$5),Inputs!$L$5-D501,0)</f>
        <v>40.35</v>
      </c>
      <c r="F501" s="5">
        <f>D$51*'Assumptions and Catalog'!$C$31*C501*(1-'Assumptions and Catalog'!$C$10)^(A501-1)</f>
        <v>0</v>
      </c>
      <c r="G501" s="5">
        <f t="shared" si="36"/>
        <v>0</v>
      </c>
      <c r="H501" s="5">
        <f>I501/('Assumptions and Catalog'!$C$11*'Assumptions and Catalog'!$C$12)</f>
        <v>0</v>
      </c>
      <c r="I501" s="5">
        <f>IF(K$15="Grid cycle",MIN(K$16,D501+E501,P501*'Assumptions and Catalog'!$C$12,D$57*(24-'Assumptions and Catalog'!$C$15),D$56*'Assumptions and Catalog'!$C$15*'Assumptions and Catalog'!$C$11*'Assumptions and Catalog'!$C$12)*C501,0)</f>
        <v>0</v>
      </c>
      <c r="J501" s="5">
        <f t="shared" si="37"/>
        <v>0</v>
      </c>
      <c r="K501" s="5">
        <f t="shared" si="38"/>
        <v>0</v>
      </c>
      <c r="L501" s="5">
        <f>(D501+E501)*C501-G501-I501+H501+IF(D$52&gt;0,'Assumptions and Catalog'!$C$26*C501,0)</f>
        <v>2501.7000000000003</v>
      </c>
      <c r="M501" s="5">
        <f>IF(ISNUMBER(Inputs!$L$5),(IF(Inputs!$L$9="Actual flat rate",((D501+E501)*C501)*Inputs!$L$10,IF(Inputs!$C$9="Residential",IF(((D501+E501)*C501)&lt;='Assumptions and Catalog'!$C$50,((D501+E501)*C501)*'Assumptions and Catalog'!$H$50+'Assumptions and Catalog'!$E$50+'Assumptions and Catalog'!$F$50,IF(((D501+E501)*C501)&lt;='Assumptions and Catalog'!$C$51,((D501+E501)*C501)*'Assumptions and Catalog'!$H$51+'Assumptions and Catalog'!$E$51+'Assumptions and Catalog'!$F$51,IF(((D501+E501)*C501)&lt;='Assumptions and Catalog'!$C$52,((D501+E501)*C501)*'Assumptions and Catalog'!$H$52+'Assumptions and Catalog'!$E$52+'Assumptions and Catalog'!$F$52,IF(((D501+E501)*C501)&lt;='Assumptions and Catalog'!$C$53,((D501+E501)*C501)*'Assumptions and Catalog'!$H$53+'Assumptions and Catalog'!$E$53+'Assumptions and Catalog'!$F$53,IF(((D501+E501)*C501)&lt;='Assumptions and Catalog'!$C$54,((D501+E501)*C501)*'Assumptions and Catalog'!$H$54+'Assumptions and Catalog'!$E$54+'Assumptions and Catalog'!$F$54,IF(((D501+E501)*C501)&lt;='Assumptions and Catalog'!$C$55,((D501+E501)*C501)*'Assumptions and Catalog'!$H$55+'Assumptions and Catalog'!$E$55+'Assumptions and Catalog'!$F$55,IF(((D501+E501)*C501)&lt;='Assumptions and Catalog'!$C$56,((D501+E501)*C501)*'Assumptions and Catalog'!$H$56+'Assumptions and Catalog'!$E$56+'Assumptions and Catalog'!$F$56,IF(((D501+E501)*C501)&lt;='Assumptions and Catalog'!$C$57,((D501+E501)*C501)*'Assumptions and Catalog'!$H$57+'Assumptions and Catalog'!$E$57+'Assumptions and Catalog'!$F$57,"Out of range")))))))),IF(((D501+E501)*C501)&lt;='Assumptions and Catalog'!$C$60,((D501+E501)*C501)*'Assumptions and Catalog'!$H$60+'Assumptions and Catalog'!$E$60+'Assumptions and Catalog'!$F$60,IF(((D501+E501)*C501)&lt;='Assumptions and Catalog'!$C$61,((D501+E501)*C501)*'Assumptions and Catalog'!$H$61+'Assumptions and Catalog'!$E$61+'Assumptions and Catalog'!$F$61,IF(((D501+E501)*C501)&lt;='Assumptions and Catalog'!$C$62,((D501+E501)*C501)*'Assumptions and Catalog'!$H$62+'Assumptions and Catalog'!$E$62+'Assumptions and Catalog'!$F$62,IF(((D501+E501)*C501)&lt;='Assumptions and Catalog'!$C$63,((D501+E501)*C501)*'Assumptions and Catalog'!$H$63+'Assumptions and Catalog'!$E$63+'Assumptions and Catalog'!$F$63,IF(((D501+E501)*C501)&lt;='Assumptions and Catalog'!$C$64,((D501+E501)*C501)*'Assumptions and Catalog'!$H$64+'Assumptions and Catalog'!$E$64+'Assumptions and Catalog'!$F$64,IF(((D501+E501)*C501)&lt;='Assumptions and Catalog'!$C$65,((D501+E501)*C501)*'Assumptions and Catalog'!$H$65+'Assumptions and Catalog'!$E$65+'Assumptions and Catalog'!$F$65,"Out of range")))))))))*(1+'Assumptions and Catalog'!$C$8)^(A501-1),0)</f>
        <v>8554.9666666666672</v>
      </c>
      <c r="N501" s="5">
        <f>IF(ISNUMBER(Inputs!$L$5),(IF(Inputs!$L$9="Actual flat rate",L501*Inputs!$L$10,IF(Inputs!$C$9="Residential",IF(L501&lt;='Assumptions and Catalog'!$C$50,L501*'Assumptions and Catalog'!$H$50+'Assumptions and Catalog'!$E$50+'Assumptions and Catalog'!$F$50,IF(L501&lt;='Assumptions and Catalog'!$C$51,L501*'Assumptions and Catalog'!$H$51+'Assumptions and Catalog'!$E$51+'Assumptions and Catalog'!$F$51,IF(L501&lt;='Assumptions and Catalog'!$C$52,L501*'Assumptions and Catalog'!$H$52+'Assumptions and Catalog'!$E$52+'Assumptions and Catalog'!$F$52,IF(L501&lt;='Assumptions and Catalog'!$C$53,L501*'Assumptions and Catalog'!$H$53+'Assumptions and Catalog'!$E$53+'Assumptions and Catalog'!$F$53,IF(L501&lt;='Assumptions and Catalog'!$C$54,L501*'Assumptions and Catalog'!$H$54+'Assumptions and Catalog'!$E$54+'Assumptions and Catalog'!$F$54,IF(L501&lt;='Assumptions and Catalog'!$C$55,L501*'Assumptions and Catalog'!$H$55+'Assumptions and Catalog'!$E$55+'Assumptions and Catalog'!$F$55,IF(L501&lt;='Assumptions and Catalog'!$C$56,L501*'Assumptions and Catalog'!$H$56+'Assumptions and Catalog'!$E$56+'Assumptions and Catalog'!$F$56,IF(L501&lt;='Assumptions and Catalog'!$C$57,L501*'Assumptions and Catalog'!$H$57+'Assumptions and Catalog'!$E$57+'Assumptions and Catalog'!$F$57,"Out of range")))))))),IF(L501&lt;='Assumptions and Catalog'!$C$60,L501*'Assumptions and Catalog'!$H$60+'Assumptions and Catalog'!$E$60+'Assumptions and Catalog'!$F$60,IF(L501&lt;='Assumptions and Catalog'!$C$61,L501*'Assumptions and Catalog'!$H$61+'Assumptions and Catalog'!$E$61+'Assumptions and Catalog'!$F$61,IF(L501&lt;='Assumptions and Catalog'!$C$62,L501*'Assumptions and Catalog'!$H$62+'Assumptions and Catalog'!$E$62+'Assumptions and Catalog'!$F$62,IF(L501&lt;='Assumptions and Catalog'!$C$63,L501*'Assumptions and Catalog'!$H$63+'Assumptions and Catalog'!$E$63+'Assumptions and Catalog'!$F$63,IF(L501&lt;='Assumptions and Catalog'!$C$64,L501*'Assumptions and Catalog'!$H$64+'Assumptions and Catalog'!$E$64+'Assumptions and Catalog'!$F$64,IF(L501&lt;='Assumptions and Catalog'!$C$65,L501*'Assumptions and Catalog'!$H$65+'Assumptions and Catalog'!$E$65+'Assumptions and Catalog'!$F$65,"Out of range")))))))))*(1+'Assumptions and Catalog'!$C$8)^(A501-1),0)</f>
        <v>8554.9666666666672</v>
      </c>
      <c r="O501" s="5">
        <f t="shared" si="39"/>
        <v>0</v>
      </c>
      <c r="P501" s="5">
        <f>D$55*(1-K$14)*(1-'Assumptions and Catalog'!$C$23)^R501</f>
        <v>0</v>
      </c>
      <c r="Q501" s="5">
        <f>IF(ISNUMBER(Inputs!$L$5),(IF(Inputs!$L$9="Actual flat rate",((D501+E501)*C501-G501)*Inputs!$L$10,IF(Inputs!$C$9="Residential",IF(((D501+E501)*C501-G501)&lt;='Assumptions and Catalog'!$C$50,((D501+E501)*C501-G501)*'Assumptions and Catalog'!$H$50+'Assumptions and Catalog'!$E$50+'Assumptions and Catalog'!$F$50,IF(((D501+E501)*C501-G501)&lt;='Assumptions and Catalog'!$C$51,((D501+E501)*C501-G501)*'Assumptions and Catalog'!$H$51+'Assumptions and Catalog'!$E$51+'Assumptions and Catalog'!$F$51,IF(((D501+E501)*C501-G501)&lt;='Assumptions and Catalog'!$C$52,((D501+E501)*C501-G501)*'Assumptions and Catalog'!$H$52+'Assumptions and Catalog'!$E$52+'Assumptions and Catalog'!$F$52,IF(((D501+E501)*C501-G501)&lt;='Assumptions and Catalog'!$C$53,((D501+E501)*C501-G501)*'Assumptions and Catalog'!$H$53+'Assumptions and Catalog'!$E$53+'Assumptions and Catalog'!$F$53,IF(((D501+E501)*C501-G501)&lt;='Assumptions and Catalog'!$C$54,((D501+E501)*C501-G501)*'Assumptions and Catalog'!$H$54+'Assumptions and Catalog'!$E$54+'Assumptions and Catalog'!$F$54,IF(((D501+E501)*C501-G501)&lt;='Assumptions and Catalog'!$C$55,((D501+E501)*C501-G501)*'Assumptions and Catalog'!$H$55+'Assumptions and Catalog'!$E$55+'Assumptions and Catalog'!$F$55,IF(((D501+E501)*C501-G501)&lt;='Assumptions and Catalog'!$C$56,((D501+E501)*C501-G501)*'Assumptions and Catalog'!$H$56+'Assumptions and Catalog'!$E$56+'Assumptions and Catalog'!$F$56,IF(((D501+E501)*C501-G501)&lt;='Assumptions and Catalog'!$C$57,((D501+E501)*C501-G501)*'Assumptions and Catalog'!$H$57+'Assumptions and Catalog'!$E$57+'Assumptions and Catalog'!$F$57,"Out of range")))))))),IF(((D501+E501)*C501-G501)&lt;='Assumptions and Catalog'!$C$60,((D501+E501)*C501-G501)*'Assumptions and Catalog'!$H$60+'Assumptions and Catalog'!$E$60+'Assumptions and Catalog'!$F$60,IF(((D501+E501)*C501-G501)&lt;='Assumptions and Catalog'!$C$61,((D501+E501)*C501-G501)*'Assumptions and Catalog'!$H$61+'Assumptions and Catalog'!$E$61+'Assumptions and Catalog'!$F$61,IF(((D501+E501)*C501-G501)&lt;='Assumptions and Catalog'!$C$62,((D501+E501)*C501-G501)*'Assumptions and Catalog'!$H$62+'Assumptions and Catalog'!$E$62+'Assumptions and Catalog'!$F$62,IF(((D501+E501)*C501-G501)&lt;='Assumptions and Catalog'!$C$63,((D501+E501)*C501-G501)*'Assumptions and Catalog'!$H$63+'Assumptions and Catalog'!$E$63+'Assumptions and Catalog'!$F$63,IF(((D501+E501)*C501-G501)&lt;='Assumptions and Catalog'!$C$64,((D501+E501)*C501-G501)*'Assumptions and Catalog'!$H$64+'Assumptions and Catalog'!$E$64+'Assumptions and Catalog'!$F$64,IF(((D501+E501)*C501-G501)&lt;='Assumptions and Catalog'!$C$65,((D501+E501)*C501-G501)*'Assumptions and Catalog'!$H$65+'Assumptions and Catalog'!$E$65+'Assumptions and Catalog'!$F$65,"Out of range")))))))))*(1+'Assumptions and Catalog'!$C$8)^(A501-1),0)</f>
        <v>8554.9666666666672</v>
      </c>
      <c r="R501" s="5">
        <f>IF(AND('Assumptions and Catalog'!$C$19&gt;0,A501&gt;='Assumptions and Catalog'!$C$19),A501-'Assumptions and Catalog'!$C$19,A501-1)</f>
        <v>7</v>
      </c>
      <c r="S501" s="5">
        <f>F501+L501-(D501+E501)*C501-J501-K501-IF(D$52&gt;0,'Assumptions and Catalog'!$C$26*C501,0)</f>
        <v>0</v>
      </c>
      <c r="T501" s="5"/>
      <c r="U501" s="5"/>
    </row>
    <row r="502" spans="1:21" ht="23.1" customHeight="1" outlineLevel="1" x14ac:dyDescent="0.2">
      <c r="A502" s="5">
        <v>8</v>
      </c>
      <c r="B502" s="5">
        <v>8</v>
      </c>
      <c r="C502" s="5">
        <f>DAY(DATE('Assumptions and Catalog'!$C$24+A502-1,B502+1,0))</f>
        <v>31</v>
      </c>
      <c r="D502" s="5">
        <f>IF(ISNUMBER(Inputs!$L$5),Inputs!$L$5*Inputs!$L$6,0)</f>
        <v>40.35</v>
      </c>
      <c r="E502" s="5">
        <f>IF(ISNUMBER(Inputs!$L$5),Inputs!$L$5-D502,0)</f>
        <v>40.35</v>
      </c>
      <c r="F502" s="5">
        <f>D$51*'Assumptions and Catalog'!$C$31*C502*(1-'Assumptions and Catalog'!$C$10)^(A502-1)</f>
        <v>0</v>
      </c>
      <c r="G502" s="5">
        <f t="shared" si="36"/>
        <v>0</v>
      </c>
      <c r="H502" s="5">
        <f>I502/('Assumptions and Catalog'!$C$11*'Assumptions and Catalog'!$C$12)</f>
        <v>0</v>
      </c>
      <c r="I502" s="5">
        <f>IF(K$15="Grid cycle",MIN(K$16,D502+E502,P502*'Assumptions and Catalog'!$C$12,D$57*(24-'Assumptions and Catalog'!$C$15),D$56*'Assumptions and Catalog'!$C$15*'Assumptions and Catalog'!$C$11*'Assumptions and Catalog'!$C$12)*C502,0)</f>
        <v>0</v>
      </c>
      <c r="J502" s="5">
        <f t="shared" si="37"/>
        <v>0</v>
      </c>
      <c r="K502" s="5">
        <f t="shared" si="38"/>
        <v>0</v>
      </c>
      <c r="L502" s="5">
        <f>(D502+E502)*C502-G502-I502+H502+IF(D$52&gt;0,'Assumptions and Catalog'!$C$26*C502,0)</f>
        <v>2501.7000000000003</v>
      </c>
      <c r="M502" s="5">
        <f>IF(ISNUMBER(Inputs!$L$5),(IF(Inputs!$L$9="Actual flat rate",((D502+E502)*C502)*Inputs!$L$10,IF(Inputs!$C$9="Residential",IF(((D502+E502)*C502)&lt;='Assumptions and Catalog'!$C$50,((D502+E502)*C502)*'Assumptions and Catalog'!$H$50+'Assumptions and Catalog'!$E$50+'Assumptions and Catalog'!$F$50,IF(((D502+E502)*C502)&lt;='Assumptions and Catalog'!$C$51,((D502+E502)*C502)*'Assumptions and Catalog'!$H$51+'Assumptions and Catalog'!$E$51+'Assumptions and Catalog'!$F$51,IF(((D502+E502)*C502)&lt;='Assumptions and Catalog'!$C$52,((D502+E502)*C502)*'Assumptions and Catalog'!$H$52+'Assumptions and Catalog'!$E$52+'Assumptions and Catalog'!$F$52,IF(((D502+E502)*C502)&lt;='Assumptions and Catalog'!$C$53,((D502+E502)*C502)*'Assumptions and Catalog'!$H$53+'Assumptions and Catalog'!$E$53+'Assumptions and Catalog'!$F$53,IF(((D502+E502)*C502)&lt;='Assumptions and Catalog'!$C$54,((D502+E502)*C502)*'Assumptions and Catalog'!$H$54+'Assumptions and Catalog'!$E$54+'Assumptions and Catalog'!$F$54,IF(((D502+E502)*C502)&lt;='Assumptions and Catalog'!$C$55,((D502+E502)*C502)*'Assumptions and Catalog'!$H$55+'Assumptions and Catalog'!$E$55+'Assumptions and Catalog'!$F$55,IF(((D502+E502)*C502)&lt;='Assumptions and Catalog'!$C$56,((D502+E502)*C502)*'Assumptions and Catalog'!$H$56+'Assumptions and Catalog'!$E$56+'Assumptions and Catalog'!$F$56,IF(((D502+E502)*C502)&lt;='Assumptions and Catalog'!$C$57,((D502+E502)*C502)*'Assumptions and Catalog'!$H$57+'Assumptions and Catalog'!$E$57+'Assumptions and Catalog'!$F$57,"Out of range")))))))),IF(((D502+E502)*C502)&lt;='Assumptions and Catalog'!$C$60,((D502+E502)*C502)*'Assumptions and Catalog'!$H$60+'Assumptions and Catalog'!$E$60+'Assumptions and Catalog'!$F$60,IF(((D502+E502)*C502)&lt;='Assumptions and Catalog'!$C$61,((D502+E502)*C502)*'Assumptions and Catalog'!$H$61+'Assumptions and Catalog'!$E$61+'Assumptions and Catalog'!$F$61,IF(((D502+E502)*C502)&lt;='Assumptions and Catalog'!$C$62,((D502+E502)*C502)*'Assumptions and Catalog'!$H$62+'Assumptions and Catalog'!$E$62+'Assumptions and Catalog'!$F$62,IF(((D502+E502)*C502)&lt;='Assumptions and Catalog'!$C$63,((D502+E502)*C502)*'Assumptions and Catalog'!$H$63+'Assumptions and Catalog'!$E$63+'Assumptions and Catalog'!$F$63,IF(((D502+E502)*C502)&lt;='Assumptions and Catalog'!$C$64,((D502+E502)*C502)*'Assumptions and Catalog'!$H$64+'Assumptions and Catalog'!$E$64+'Assumptions and Catalog'!$F$64,IF(((D502+E502)*C502)&lt;='Assumptions and Catalog'!$C$65,((D502+E502)*C502)*'Assumptions and Catalog'!$H$65+'Assumptions and Catalog'!$E$65+'Assumptions and Catalog'!$F$65,"Out of range")))))))))*(1+'Assumptions and Catalog'!$C$8)^(A502-1),0)</f>
        <v>8554.9666666666672</v>
      </c>
      <c r="N502" s="5">
        <f>IF(ISNUMBER(Inputs!$L$5),(IF(Inputs!$L$9="Actual flat rate",L502*Inputs!$L$10,IF(Inputs!$C$9="Residential",IF(L502&lt;='Assumptions and Catalog'!$C$50,L502*'Assumptions and Catalog'!$H$50+'Assumptions and Catalog'!$E$50+'Assumptions and Catalog'!$F$50,IF(L502&lt;='Assumptions and Catalog'!$C$51,L502*'Assumptions and Catalog'!$H$51+'Assumptions and Catalog'!$E$51+'Assumptions and Catalog'!$F$51,IF(L502&lt;='Assumptions and Catalog'!$C$52,L502*'Assumptions and Catalog'!$H$52+'Assumptions and Catalog'!$E$52+'Assumptions and Catalog'!$F$52,IF(L502&lt;='Assumptions and Catalog'!$C$53,L502*'Assumptions and Catalog'!$H$53+'Assumptions and Catalog'!$E$53+'Assumptions and Catalog'!$F$53,IF(L502&lt;='Assumptions and Catalog'!$C$54,L502*'Assumptions and Catalog'!$H$54+'Assumptions and Catalog'!$E$54+'Assumptions and Catalog'!$F$54,IF(L502&lt;='Assumptions and Catalog'!$C$55,L502*'Assumptions and Catalog'!$H$55+'Assumptions and Catalog'!$E$55+'Assumptions and Catalog'!$F$55,IF(L502&lt;='Assumptions and Catalog'!$C$56,L502*'Assumptions and Catalog'!$H$56+'Assumptions and Catalog'!$E$56+'Assumptions and Catalog'!$F$56,IF(L502&lt;='Assumptions and Catalog'!$C$57,L502*'Assumptions and Catalog'!$H$57+'Assumptions and Catalog'!$E$57+'Assumptions and Catalog'!$F$57,"Out of range")))))))),IF(L502&lt;='Assumptions and Catalog'!$C$60,L502*'Assumptions and Catalog'!$H$60+'Assumptions and Catalog'!$E$60+'Assumptions and Catalog'!$F$60,IF(L502&lt;='Assumptions and Catalog'!$C$61,L502*'Assumptions and Catalog'!$H$61+'Assumptions and Catalog'!$E$61+'Assumptions and Catalog'!$F$61,IF(L502&lt;='Assumptions and Catalog'!$C$62,L502*'Assumptions and Catalog'!$H$62+'Assumptions and Catalog'!$E$62+'Assumptions and Catalog'!$F$62,IF(L502&lt;='Assumptions and Catalog'!$C$63,L502*'Assumptions and Catalog'!$H$63+'Assumptions and Catalog'!$E$63+'Assumptions and Catalog'!$F$63,IF(L502&lt;='Assumptions and Catalog'!$C$64,L502*'Assumptions and Catalog'!$H$64+'Assumptions and Catalog'!$E$64+'Assumptions and Catalog'!$F$64,IF(L502&lt;='Assumptions and Catalog'!$C$65,L502*'Assumptions and Catalog'!$H$65+'Assumptions and Catalog'!$E$65+'Assumptions and Catalog'!$F$65,"Out of range")))))))))*(1+'Assumptions and Catalog'!$C$8)^(A502-1),0)</f>
        <v>8554.9666666666672</v>
      </c>
      <c r="O502" s="5">
        <f t="shared" si="39"/>
        <v>0</v>
      </c>
      <c r="P502" s="5">
        <f>D$55*(1-K$14)*(1-'Assumptions and Catalog'!$C$23)^R502</f>
        <v>0</v>
      </c>
      <c r="Q502" s="5">
        <f>IF(ISNUMBER(Inputs!$L$5),(IF(Inputs!$L$9="Actual flat rate",((D502+E502)*C502-G502)*Inputs!$L$10,IF(Inputs!$C$9="Residential",IF(((D502+E502)*C502-G502)&lt;='Assumptions and Catalog'!$C$50,((D502+E502)*C502-G502)*'Assumptions and Catalog'!$H$50+'Assumptions and Catalog'!$E$50+'Assumptions and Catalog'!$F$50,IF(((D502+E502)*C502-G502)&lt;='Assumptions and Catalog'!$C$51,((D502+E502)*C502-G502)*'Assumptions and Catalog'!$H$51+'Assumptions and Catalog'!$E$51+'Assumptions and Catalog'!$F$51,IF(((D502+E502)*C502-G502)&lt;='Assumptions and Catalog'!$C$52,((D502+E502)*C502-G502)*'Assumptions and Catalog'!$H$52+'Assumptions and Catalog'!$E$52+'Assumptions and Catalog'!$F$52,IF(((D502+E502)*C502-G502)&lt;='Assumptions and Catalog'!$C$53,((D502+E502)*C502-G502)*'Assumptions and Catalog'!$H$53+'Assumptions and Catalog'!$E$53+'Assumptions and Catalog'!$F$53,IF(((D502+E502)*C502-G502)&lt;='Assumptions and Catalog'!$C$54,((D502+E502)*C502-G502)*'Assumptions and Catalog'!$H$54+'Assumptions and Catalog'!$E$54+'Assumptions and Catalog'!$F$54,IF(((D502+E502)*C502-G502)&lt;='Assumptions and Catalog'!$C$55,((D502+E502)*C502-G502)*'Assumptions and Catalog'!$H$55+'Assumptions and Catalog'!$E$55+'Assumptions and Catalog'!$F$55,IF(((D502+E502)*C502-G502)&lt;='Assumptions and Catalog'!$C$56,((D502+E502)*C502-G502)*'Assumptions and Catalog'!$H$56+'Assumptions and Catalog'!$E$56+'Assumptions and Catalog'!$F$56,IF(((D502+E502)*C502-G502)&lt;='Assumptions and Catalog'!$C$57,((D502+E502)*C502-G502)*'Assumptions and Catalog'!$H$57+'Assumptions and Catalog'!$E$57+'Assumptions and Catalog'!$F$57,"Out of range")))))))),IF(((D502+E502)*C502-G502)&lt;='Assumptions and Catalog'!$C$60,((D502+E502)*C502-G502)*'Assumptions and Catalog'!$H$60+'Assumptions and Catalog'!$E$60+'Assumptions and Catalog'!$F$60,IF(((D502+E502)*C502-G502)&lt;='Assumptions and Catalog'!$C$61,((D502+E502)*C502-G502)*'Assumptions and Catalog'!$H$61+'Assumptions and Catalog'!$E$61+'Assumptions and Catalog'!$F$61,IF(((D502+E502)*C502-G502)&lt;='Assumptions and Catalog'!$C$62,((D502+E502)*C502-G502)*'Assumptions and Catalog'!$H$62+'Assumptions and Catalog'!$E$62+'Assumptions and Catalog'!$F$62,IF(((D502+E502)*C502-G502)&lt;='Assumptions and Catalog'!$C$63,((D502+E502)*C502-G502)*'Assumptions and Catalog'!$H$63+'Assumptions and Catalog'!$E$63+'Assumptions and Catalog'!$F$63,IF(((D502+E502)*C502-G502)&lt;='Assumptions and Catalog'!$C$64,((D502+E502)*C502-G502)*'Assumptions and Catalog'!$H$64+'Assumptions and Catalog'!$E$64+'Assumptions and Catalog'!$F$64,IF(((D502+E502)*C502-G502)&lt;='Assumptions and Catalog'!$C$65,((D502+E502)*C502-G502)*'Assumptions and Catalog'!$H$65+'Assumptions and Catalog'!$E$65+'Assumptions and Catalog'!$F$65,"Out of range")))))))))*(1+'Assumptions and Catalog'!$C$8)^(A502-1),0)</f>
        <v>8554.9666666666672</v>
      </c>
      <c r="R502" s="5">
        <f>IF(AND('Assumptions and Catalog'!$C$19&gt;0,A502&gt;='Assumptions and Catalog'!$C$19),A502-'Assumptions and Catalog'!$C$19,A502-1)</f>
        <v>7</v>
      </c>
      <c r="S502" s="5">
        <f>F502+L502-(D502+E502)*C502-J502-K502-IF(D$52&gt;0,'Assumptions and Catalog'!$C$26*C502,0)</f>
        <v>0</v>
      </c>
      <c r="T502" s="5"/>
      <c r="U502" s="5"/>
    </row>
    <row r="503" spans="1:21" ht="23.1" customHeight="1" outlineLevel="1" x14ac:dyDescent="0.2">
      <c r="A503" s="5">
        <v>8</v>
      </c>
      <c r="B503" s="5">
        <v>9</v>
      </c>
      <c r="C503" s="5">
        <f>DAY(DATE('Assumptions and Catalog'!$C$24+A503-1,B503+1,0))</f>
        <v>30</v>
      </c>
      <c r="D503" s="5">
        <f>IF(ISNUMBER(Inputs!$L$5),Inputs!$L$5*Inputs!$L$6,0)</f>
        <v>40.35</v>
      </c>
      <c r="E503" s="5">
        <f>IF(ISNUMBER(Inputs!$L$5),Inputs!$L$5-D503,0)</f>
        <v>40.35</v>
      </c>
      <c r="F503" s="5">
        <f>D$51*'Assumptions and Catalog'!$C$31*C503*(1-'Assumptions and Catalog'!$C$10)^(A503-1)</f>
        <v>0</v>
      </c>
      <c r="G503" s="5">
        <f t="shared" si="36"/>
        <v>0</v>
      </c>
      <c r="H503" s="5">
        <f>I503/('Assumptions and Catalog'!$C$11*'Assumptions and Catalog'!$C$12)</f>
        <v>0</v>
      </c>
      <c r="I503" s="5">
        <f>IF(K$15="Grid cycle",MIN(K$16,D503+E503,P503*'Assumptions and Catalog'!$C$12,D$57*(24-'Assumptions and Catalog'!$C$15),D$56*'Assumptions and Catalog'!$C$15*'Assumptions and Catalog'!$C$11*'Assumptions and Catalog'!$C$12)*C503,0)</f>
        <v>0</v>
      </c>
      <c r="J503" s="5">
        <f t="shared" si="37"/>
        <v>0</v>
      </c>
      <c r="K503" s="5">
        <f t="shared" si="38"/>
        <v>0</v>
      </c>
      <c r="L503" s="5">
        <f>(D503+E503)*C503-G503-I503+H503+IF(D$52&gt;0,'Assumptions and Catalog'!$C$26*C503,0)</f>
        <v>2421</v>
      </c>
      <c r="M503" s="5">
        <f>IF(ISNUMBER(Inputs!$L$5),(IF(Inputs!$L$9="Actual flat rate",((D503+E503)*C503)*Inputs!$L$10,IF(Inputs!$C$9="Residential",IF(((D503+E503)*C503)&lt;='Assumptions and Catalog'!$C$50,((D503+E503)*C503)*'Assumptions and Catalog'!$H$50+'Assumptions and Catalog'!$E$50+'Assumptions and Catalog'!$F$50,IF(((D503+E503)*C503)&lt;='Assumptions and Catalog'!$C$51,((D503+E503)*C503)*'Assumptions and Catalog'!$H$51+'Assumptions and Catalog'!$E$51+'Assumptions and Catalog'!$F$51,IF(((D503+E503)*C503)&lt;='Assumptions and Catalog'!$C$52,((D503+E503)*C503)*'Assumptions and Catalog'!$H$52+'Assumptions and Catalog'!$E$52+'Assumptions and Catalog'!$F$52,IF(((D503+E503)*C503)&lt;='Assumptions and Catalog'!$C$53,((D503+E503)*C503)*'Assumptions and Catalog'!$H$53+'Assumptions and Catalog'!$E$53+'Assumptions and Catalog'!$F$53,IF(((D503+E503)*C503)&lt;='Assumptions and Catalog'!$C$54,((D503+E503)*C503)*'Assumptions and Catalog'!$H$54+'Assumptions and Catalog'!$E$54+'Assumptions and Catalog'!$F$54,IF(((D503+E503)*C503)&lt;='Assumptions and Catalog'!$C$55,((D503+E503)*C503)*'Assumptions and Catalog'!$H$55+'Assumptions and Catalog'!$E$55+'Assumptions and Catalog'!$F$55,IF(((D503+E503)*C503)&lt;='Assumptions and Catalog'!$C$56,((D503+E503)*C503)*'Assumptions and Catalog'!$H$56+'Assumptions and Catalog'!$E$56+'Assumptions and Catalog'!$F$56,IF(((D503+E503)*C503)&lt;='Assumptions and Catalog'!$C$57,((D503+E503)*C503)*'Assumptions and Catalog'!$H$57+'Assumptions and Catalog'!$E$57+'Assumptions and Catalog'!$F$57,"Out of range")))))))),IF(((D503+E503)*C503)&lt;='Assumptions and Catalog'!$C$60,((D503+E503)*C503)*'Assumptions and Catalog'!$H$60+'Assumptions and Catalog'!$E$60+'Assumptions and Catalog'!$F$60,IF(((D503+E503)*C503)&lt;='Assumptions and Catalog'!$C$61,((D503+E503)*C503)*'Assumptions and Catalog'!$H$61+'Assumptions and Catalog'!$E$61+'Assumptions and Catalog'!$F$61,IF(((D503+E503)*C503)&lt;='Assumptions and Catalog'!$C$62,((D503+E503)*C503)*'Assumptions and Catalog'!$H$62+'Assumptions and Catalog'!$E$62+'Assumptions and Catalog'!$F$62,IF(((D503+E503)*C503)&lt;='Assumptions and Catalog'!$C$63,((D503+E503)*C503)*'Assumptions and Catalog'!$H$63+'Assumptions and Catalog'!$E$63+'Assumptions and Catalog'!$F$63,IF(((D503+E503)*C503)&lt;='Assumptions and Catalog'!$C$64,((D503+E503)*C503)*'Assumptions and Catalog'!$H$64+'Assumptions and Catalog'!$E$64+'Assumptions and Catalog'!$F$64,IF(((D503+E503)*C503)&lt;='Assumptions and Catalog'!$C$65,((D503+E503)*C503)*'Assumptions and Catalog'!$H$65+'Assumptions and Catalog'!$E$65+'Assumptions and Catalog'!$F$65,"Out of range")))))))))*(1+'Assumptions and Catalog'!$C$8)^(A503-1),0)</f>
        <v>8279</v>
      </c>
      <c r="N503" s="5">
        <f>IF(ISNUMBER(Inputs!$L$5),(IF(Inputs!$L$9="Actual flat rate",L503*Inputs!$L$10,IF(Inputs!$C$9="Residential",IF(L503&lt;='Assumptions and Catalog'!$C$50,L503*'Assumptions and Catalog'!$H$50+'Assumptions and Catalog'!$E$50+'Assumptions and Catalog'!$F$50,IF(L503&lt;='Assumptions and Catalog'!$C$51,L503*'Assumptions and Catalog'!$H$51+'Assumptions and Catalog'!$E$51+'Assumptions and Catalog'!$F$51,IF(L503&lt;='Assumptions and Catalog'!$C$52,L503*'Assumptions and Catalog'!$H$52+'Assumptions and Catalog'!$E$52+'Assumptions and Catalog'!$F$52,IF(L503&lt;='Assumptions and Catalog'!$C$53,L503*'Assumptions and Catalog'!$H$53+'Assumptions and Catalog'!$E$53+'Assumptions and Catalog'!$F$53,IF(L503&lt;='Assumptions and Catalog'!$C$54,L503*'Assumptions and Catalog'!$H$54+'Assumptions and Catalog'!$E$54+'Assumptions and Catalog'!$F$54,IF(L503&lt;='Assumptions and Catalog'!$C$55,L503*'Assumptions and Catalog'!$H$55+'Assumptions and Catalog'!$E$55+'Assumptions and Catalog'!$F$55,IF(L503&lt;='Assumptions and Catalog'!$C$56,L503*'Assumptions and Catalog'!$H$56+'Assumptions and Catalog'!$E$56+'Assumptions and Catalog'!$F$56,IF(L503&lt;='Assumptions and Catalog'!$C$57,L503*'Assumptions and Catalog'!$H$57+'Assumptions and Catalog'!$E$57+'Assumptions and Catalog'!$F$57,"Out of range")))))))),IF(L503&lt;='Assumptions and Catalog'!$C$60,L503*'Assumptions and Catalog'!$H$60+'Assumptions and Catalog'!$E$60+'Assumptions and Catalog'!$F$60,IF(L503&lt;='Assumptions and Catalog'!$C$61,L503*'Assumptions and Catalog'!$H$61+'Assumptions and Catalog'!$E$61+'Assumptions and Catalog'!$F$61,IF(L503&lt;='Assumptions and Catalog'!$C$62,L503*'Assumptions and Catalog'!$H$62+'Assumptions and Catalog'!$E$62+'Assumptions and Catalog'!$F$62,IF(L503&lt;='Assumptions and Catalog'!$C$63,L503*'Assumptions and Catalog'!$H$63+'Assumptions and Catalog'!$E$63+'Assumptions and Catalog'!$F$63,IF(L503&lt;='Assumptions and Catalog'!$C$64,L503*'Assumptions and Catalog'!$H$64+'Assumptions and Catalog'!$E$64+'Assumptions and Catalog'!$F$64,IF(L503&lt;='Assumptions and Catalog'!$C$65,L503*'Assumptions and Catalog'!$H$65+'Assumptions and Catalog'!$E$65+'Assumptions and Catalog'!$F$65,"Out of range")))))))))*(1+'Assumptions and Catalog'!$C$8)^(A503-1),0)</f>
        <v>8279</v>
      </c>
      <c r="O503" s="5">
        <f t="shared" si="39"/>
        <v>0</v>
      </c>
      <c r="P503" s="5">
        <f>D$55*(1-K$14)*(1-'Assumptions and Catalog'!$C$23)^R503</f>
        <v>0</v>
      </c>
      <c r="Q503" s="5">
        <f>IF(ISNUMBER(Inputs!$L$5),(IF(Inputs!$L$9="Actual flat rate",((D503+E503)*C503-G503)*Inputs!$L$10,IF(Inputs!$C$9="Residential",IF(((D503+E503)*C503-G503)&lt;='Assumptions and Catalog'!$C$50,((D503+E503)*C503-G503)*'Assumptions and Catalog'!$H$50+'Assumptions and Catalog'!$E$50+'Assumptions and Catalog'!$F$50,IF(((D503+E503)*C503-G503)&lt;='Assumptions and Catalog'!$C$51,((D503+E503)*C503-G503)*'Assumptions and Catalog'!$H$51+'Assumptions and Catalog'!$E$51+'Assumptions and Catalog'!$F$51,IF(((D503+E503)*C503-G503)&lt;='Assumptions and Catalog'!$C$52,((D503+E503)*C503-G503)*'Assumptions and Catalog'!$H$52+'Assumptions and Catalog'!$E$52+'Assumptions and Catalog'!$F$52,IF(((D503+E503)*C503-G503)&lt;='Assumptions and Catalog'!$C$53,((D503+E503)*C503-G503)*'Assumptions and Catalog'!$H$53+'Assumptions and Catalog'!$E$53+'Assumptions and Catalog'!$F$53,IF(((D503+E503)*C503-G503)&lt;='Assumptions and Catalog'!$C$54,((D503+E503)*C503-G503)*'Assumptions and Catalog'!$H$54+'Assumptions and Catalog'!$E$54+'Assumptions and Catalog'!$F$54,IF(((D503+E503)*C503-G503)&lt;='Assumptions and Catalog'!$C$55,((D503+E503)*C503-G503)*'Assumptions and Catalog'!$H$55+'Assumptions and Catalog'!$E$55+'Assumptions and Catalog'!$F$55,IF(((D503+E503)*C503-G503)&lt;='Assumptions and Catalog'!$C$56,((D503+E503)*C503-G503)*'Assumptions and Catalog'!$H$56+'Assumptions and Catalog'!$E$56+'Assumptions and Catalog'!$F$56,IF(((D503+E503)*C503-G503)&lt;='Assumptions and Catalog'!$C$57,((D503+E503)*C503-G503)*'Assumptions and Catalog'!$H$57+'Assumptions and Catalog'!$E$57+'Assumptions and Catalog'!$F$57,"Out of range")))))))),IF(((D503+E503)*C503-G503)&lt;='Assumptions and Catalog'!$C$60,((D503+E503)*C503-G503)*'Assumptions and Catalog'!$H$60+'Assumptions and Catalog'!$E$60+'Assumptions and Catalog'!$F$60,IF(((D503+E503)*C503-G503)&lt;='Assumptions and Catalog'!$C$61,((D503+E503)*C503-G503)*'Assumptions and Catalog'!$H$61+'Assumptions and Catalog'!$E$61+'Assumptions and Catalog'!$F$61,IF(((D503+E503)*C503-G503)&lt;='Assumptions and Catalog'!$C$62,((D503+E503)*C503-G503)*'Assumptions and Catalog'!$H$62+'Assumptions and Catalog'!$E$62+'Assumptions and Catalog'!$F$62,IF(((D503+E503)*C503-G503)&lt;='Assumptions and Catalog'!$C$63,((D503+E503)*C503-G503)*'Assumptions and Catalog'!$H$63+'Assumptions and Catalog'!$E$63+'Assumptions and Catalog'!$F$63,IF(((D503+E503)*C503-G503)&lt;='Assumptions and Catalog'!$C$64,((D503+E503)*C503-G503)*'Assumptions and Catalog'!$H$64+'Assumptions and Catalog'!$E$64+'Assumptions and Catalog'!$F$64,IF(((D503+E503)*C503-G503)&lt;='Assumptions and Catalog'!$C$65,((D503+E503)*C503-G503)*'Assumptions and Catalog'!$H$65+'Assumptions and Catalog'!$E$65+'Assumptions and Catalog'!$F$65,"Out of range")))))))))*(1+'Assumptions and Catalog'!$C$8)^(A503-1),0)</f>
        <v>8279</v>
      </c>
      <c r="R503" s="5">
        <f>IF(AND('Assumptions and Catalog'!$C$19&gt;0,A503&gt;='Assumptions and Catalog'!$C$19),A503-'Assumptions and Catalog'!$C$19,A503-1)</f>
        <v>7</v>
      </c>
      <c r="S503" s="5">
        <f>F503+L503-(D503+E503)*C503-J503-K503-IF(D$52&gt;0,'Assumptions and Catalog'!$C$26*C503,0)</f>
        <v>0</v>
      </c>
      <c r="T503" s="5"/>
      <c r="U503" s="5"/>
    </row>
    <row r="504" spans="1:21" ht="23.1" customHeight="1" outlineLevel="1" x14ac:dyDescent="0.2">
      <c r="A504" s="5">
        <v>8</v>
      </c>
      <c r="B504" s="5">
        <v>10</v>
      </c>
      <c r="C504" s="5">
        <f>DAY(DATE('Assumptions and Catalog'!$C$24+A504-1,B504+1,0))</f>
        <v>31</v>
      </c>
      <c r="D504" s="5">
        <f>IF(ISNUMBER(Inputs!$L$5),Inputs!$L$5*Inputs!$L$6,0)</f>
        <v>40.35</v>
      </c>
      <c r="E504" s="5">
        <f>IF(ISNUMBER(Inputs!$L$5),Inputs!$L$5-D504,0)</f>
        <v>40.35</v>
      </c>
      <c r="F504" s="5">
        <f>D$51*'Assumptions and Catalog'!$C$31*C504*(1-'Assumptions and Catalog'!$C$10)^(A504-1)</f>
        <v>0</v>
      </c>
      <c r="G504" s="5">
        <f t="shared" si="36"/>
        <v>0</v>
      </c>
      <c r="H504" s="5">
        <f>I504/('Assumptions and Catalog'!$C$11*'Assumptions and Catalog'!$C$12)</f>
        <v>0</v>
      </c>
      <c r="I504" s="5">
        <f>IF(K$15="Grid cycle",MIN(K$16,D504+E504,P504*'Assumptions and Catalog'!$C$12,D$57*(24-'Assumptions and Catalog'!$C$15),D$56*'Assumptions and Catalog'!$C$15*'Assumptions and Catalog'!$C$11*'Assumptions and Catalog'!$C$12)*C504,0)</f>
        <v>0</v>
      </c>
      <c r="J504" s="5">
        <f t="shared" si="37"/>
        <v>0</v>
      </c>
      <c r="K504" s="5">
        <f t="shared" si="38"/>
        <v>0</v>
      </c>
      <c r="L504" s="5">
        <f>(D504+E504)*C504-G504-I504+H504+IF(D$52&gt;0,'Assumptions and Catalog'!$C$26*C504,0)</f>
        <v>2501.7000000000003</v>
      </c>
      <c r="M504" s="5">
        <f>IF(ISNUMBER(Inputs!$L$5),(IF(Inputs!$L$9="Actual flat rate",((D504+E504)*C504)*Inputs!$L$10,IF(Inputs!$C$9="Residential",IF(((D504+E504)*C504)&lt;='Assumptions and Catalog'!$C$50,((D504+E504)*C504)*'Assumptions and Catalog'!$H$50+'Assumptions and Catalog'!$E$50+'Assumptions and Catalog'!$F$50,IF(((D504+E504)*C504)&lt;='Assumptions and Catalog'!$C$51,((D504+E504)*C504)*'Assumptions and Catalog'!$H$51+'Assumptions and Catalog'!$E$51+'Assumptions and Catalog'!$F$51,IF(((D504+E504)*C504)&lt;='Assumptions and Catalog'!$C$52,((D504+E504)*C504)*'Assumptions and Catalog'!$H$52+'Assumptions and Catalog'!$E$52+'Assumptions and Catalog'!$F$52,IF(((D504+E504)*C504)&lt;='Assumptions and Catalog'!$C$53,((D504+E504)*C504)*'Assumptions and Catalog'!$H$53+'Assumptions and Catalog'!$E$53+'Assumptions and Catalog'!$F$53,IF(((D504+E504)*C504)&lt;='Assumptions and Catalog'!$C$54,((D504+E504)*C504)*'Assumptions and Catalog'!$H$54+'Assumptions and Catalog'!$E$54+'Assumptions and Catalog'!$F$54,IF(((D504+E504)*C504)&lt;='Assumptions and Catalog'!$C$55,((D504+E504)*C504)*'Assumptions and Catalog'!$H$55+'Assumptions and Catalog'!$E$55+'Assumptions and Catalog'!$F$55,IF(((D504+E504)*C504)&lt;='Assumptions and Catalog'!$C$56,((D504+E504)*C504)*'Assumptions and Catalog'!$H$56+'Assumptions and Catalog'!$E$56+'Assumptions and Catalog'!$F$56,IF(((D504+E504)*C504)&lt;='Assumptions and Catalog'!$C$57,((D504+E504)*C504)*'Assumptions and Catalog'!$H$57+'Assumptions and Catalog'!$E$57+'Assumptions and Catalog'!$F$57,"Out of range")))))))),IF(((D504+E504)*C504)&lt;='Assumptions and Catalog'!$C$60,((D504+E504)*C504)*'Assumptions and Catalog'!$H$60+'Assumptions and Catalog'!$E$60+'Assumptions and Catalog'!$F$60,IF(((D504+E504)*C504)&lt;='Assumptions and Catalog'!$C$61,((D504+E504)*C504)*'Assumptions and Catalog'!$H$61+'Assumptions and Catalog'!$E$61+'Assumptions and Catalog'!$F$61,IF(((D504+E504)*C504)&lt;='Assumptions and Catalog'!$C$62,((D504+E504)*C504)*'Assumptions and Catalog'!$H$62+'Assumptions and Catalog'!$E$62+'Assumptions and Catalog'!$F$62,IF(((D504+E504)*C504)&lt;='Assumptions and Catalog'!$C$63,((D504+E504)*C504)*'Assumptions and Catalog'!$H$63+'Assumptions and Catalog'!$E$63+'Assumptions and Catalog'!$F$63,IF(((D504+E504)*C504)&lt;='Assumptions and Catalog'!$C$64,((D504+E504)*C504)*'Assumptions and Catalog'!$H$64+'Assumptions and Catalog'!$E$64+'Assumptions and Catalog'!$F$64,IF(((D504+E504)*C504)&lt;='Assumptions and Catalog'!$C$65,((D504+E504)*C504)*'Assumptions and Catalog'!$H$65+'Assumptions and Catalog'!$E$65+'Assumptions and Catalog'!$F$65,"Out of range")))))))))*(1+'Assumptions and Catalog'!$C$8)^(A504-1),0)</f>
        <v>8554.9666666666672</v>
      </c>
      <c r="N504" s="5">
        <f>IF(ISNUMBER(Inputs!$L$5),(IF(Inputs!$L$9="Actual flat rate",L504*Inputs!$L$10,IF(Inputs!$C$9="Residential",IF(L504&lt;='Assumptions and Catalog'!$C$50,L504*'Assumptions and Catalog'!$H$50+'Assumptions and Catalog'!$E$50+'Assumptions and Catalog'!$F$50,IF(L504&lt;='Assumptions and Catalog'!$C$51,L504*'Assumptions and Catalog'!$H$51+'Assumptions and Catalog'!$E$51+'Assumptions and Catalog'!$F$51,IF(L504&lt;='Assumptions and Catalog'!$C$52,L504*'Assumptions and Catalog'!$H$52+'Assumptions and Catalog'!$E$52+'Assumptions and Catalog'!$F$52,IF(L504&lt;='Assumptions and Catalog'!$C$53,L504*'Assumptions and Catalog'!$H$53+'Assumptions and Catalog'!$E$53+'Assumptions and Catalog'!$F$53,IF(L504&lt;='Assumptions and Catalog'!$C$54,L504*'Assumptions and Catalog'!$H$54+'Assumptions and Catalog'!$E$54+'Assumptions and Catalog'!$F$54,IF(L504&lt;='Assumptions and Catalog'!$C$55,L504*'Assumptions and Catalog'!$H$55+'Assumptions and Catalog'!$E$55+'Assumptions and Catalog'!$F$55,IF(L504&lt;='Assumptions and Catalog'!$C$56,L504*'Assumptions and Catalog'!$H$56+'Assumptions and Catalog'!$E$56+'Assumptions and Catalog'!$F$56,IF(L504&lt;='Assumptions and Catalog'!$C$57,L504*'Assumptions and Catalog'!$H$57+'Assumptions and Catalog'!$E$57+'Assumptions and Catalog'!$F$57,"Out of range")))))))),IF(L504&lt;='Assumptions and Catalog'!$C$60,L504*'Assumptions and Catalog'!$H$60+'Assumptions and Catalog'!$E$60+'Assumptions and Catalog'!$F$60,IF(L504&lt;='Assumptions and Catalog'!$C$61,L504*'Assumptions and Catalog'!$H$61+'Assumptions and Catalog'!$E$61+'Assumptions and Catalog'!$F$61,IF(L504&lt;='Assumptions and Catalog'!$C$62,L504*'Assumptions and Catalog'!$H$62+'Assumptions and Catalog'!$E$62+'Assumptions and Catalog'!$F$62,IF(L504&lt;='Assumptions and Catalog'!$C$63,L504*'Assumptions and Catalog'!$H$63+'Assumptions and Catalog'!$E$63+'Assumptions and Catalog'!$F$63,IF(L504&lt;='Assumptions and Catalog'!$C$64,L504*'Assumptions and Catalog'!$H$64+'Assumptions and Catalog'!$E$64+'Assumptions and Catalog'!$F$64,IF(L504&lt;='Assumptions and Catalog'!$C$65,L504*'Assumptions and Catalog'!$H$65+'Assumptions and Catalog'!$E$65+'Assumptions and Catalog'!$F$65,"Out of range")))))))))*(1+'Assumptions and Catalog'!$C$8)^(A504-1),0)</f>
        <v>8554.9666666666672</v>
      </c>
      <c r="O504" s="5">
        <f t="shared" si="39"/>
        <v>0</v>
      </c>
      <c r="P504" s="5">
        <f>D$55*(1-K$14)*(1-'Assumptions and Catalog'!$C$23)^R504</f>
        <v>0</v>
      </c>
      <c r="Q504" s="5">
        <f>IF(ISNUMBER(Inputs!$L$5),(IF(Inputs!$L$9="Actual flat rate",((D504+E504)*C504-G504)*Inputs!$L$10,IF(Inputs!$C$9="Residential",IF(((D504+E504)*C504-G504)&lt;='Assumptions and Catalog'!$C$50,((D504+E504)*C504-G504)*'Assumptions and Catalog'!$H$50+'Assumptions and Catalog'!$E$50+'Assumptions and Catalog'!$F$50,IF(((D504+E504)*C504-G504)&lt;='Assumptions and Catalog'!$C$51,((D504+E504)*C504-G504)*'Assumptions and Catalog'!$H$51+'Assumptions and Catalog'!$E$51+'Assumptions and Catalog'!$F$51,IF(((D504+E504)*C504-G504)&lt;='Assumptions and Catalog'!$C$52,((D504+E504)*C504-G504)*'Assumptions and Catalog'!$H$52+'Assumptions and Catalog'!$E$52+'Assumptions and Catalog'!$F$52,IF(((D504+E504)*C504-G504)&lt;='Assumptions and Catalog'!$C$53,((D504+E504)*C504-G504)*'Assumptions and Catalog'!$H$53+'Assumptions and Catalog'!$E$53+'Assumptions and Catalog'!$F$53,IF(((D504+E504)*C504-G504)&lt;='Assumptions and Catalog'!$C$54,((D504+E504)*C504-G504)*'Assumptions and Catalog'!$H$54+'Assumptions and Catalog'!$E$54+'Assumptions and Catalog'!$F$54,IF(((D504+E504)*C504-G504)&lt;='Assumptions and Catalog'!$C$55,((D504+E504)*C504-G504)*'Assumptions and Catalog'!$H$55+'Assumptions and Catalog'!$E$55+'Assumptions and Catalog'!$F$55,IF(((D504+E504)*C504-G504)&lt;='Assumptions and Catalog'!$C$56,((D504+E504)*C504-G504)*'Assumptions and Catalog'!$H$56+'Assumptions and Catalog'!$E$56+'Assumptions and Catalog'!$F$56,IF(((D504+E504)*C504-G504)&lt;='Assumptions and Catalog'!$C$57,((D504+E504)*C504-G504)*'Assumptions and Catalog'!$H$57+'Assumptions and Catalog'!$E$57+'Assumptions and Catalog'!$F$57,"Out of range")))))))),IF(((D504+E504)*C504-G504)&lt;='Assumptions and Catalog'!$C$60,((D504+E504)*C504-G504)*'Assumptions and Catalog'!$H$60+'Assumptions and Catalog'!$E$60+'Assumptions and Catalog'!$F$60,IF(((D504+E504)*C504-G504)&lt;='Assumptions and Catalog'!$C$61,((D504+E504)*C504-G504)*'Assumptions and Catalog'!$H$61+'Assumptions and Catalog'!$E$61+'Assumptions and Catalog'!$F$61,IF(((D504+E504)*C504-G504)&lt;='Assumptions and Catalog'!$C$62,((D504+E504)*C504-G504)*'Assumptions and Catalog'!$H$62+'Assumptions and Catalog'!$E$62+'Assumptions and Catalog'!$F$62,IF(((D504+E504)*C504-G504)&lt;='Assumptions and Catalog'!$C$63,((D504+E504)*C504-G504)*'Assumptions and Catalog'!$H$63+'Assumptions and Catalog'!$E$63+'Assumptions and Catalog'!$F$63,IF(((D504+E504)*C504-G504)&lt;='Assumptions and Catalog'!$C$64,((D504+E504)*C504-G504)*'Assumptions and Catalog'!$H$64+'Assumptions and Catalog'!$E$64+'Assumptions and Catalog'!$F$64,IF(((D504+E504)*C504-G504)&lt;='Assumptions and Catalog'!$C$65,((D504+E504)*C504-G504)*'Assumptions and Catalog'!$H$65+'Assumptions and Catalog'!$E$65+'Assumptions and Catalog'!$F$65,"Out of range")))))))))*(1+'Assumptions and Catalog'!$C$8)^(A504-1),0)</f>
        <v>8554.9666666666672</v>
      </c>
      <c r="R504" s="5">
        <f>IF(AND('Assumptions and Catalog'!$C$19&gt;0,A504&gt;='Assumptions and Catalog'!$C$19),A504-'Assumptions and Catalog'!$C$19,A504-1)</f>
        <v>7</v>
      </c>
      <c r="S504" s="5">
        <f>F504+L504-(D504+E504)*C504-J504-K504-IF(D$52&gt;0,'Assumptions and Catalog'!$C$26*C504,0)</f>
        <v>0</v>
      </c>
      <c r="T504" s="5"/>
      <c r="U504" s="5"/>
    </row>
    <row r="505" spans="1:21" ht="23.1" customHeight="1" outlineLevel="1" x14ac:dyDescent="0.2">
      <c r="A505" s="5">
        <v>8</v>
      </c>
      <c r="B505" s="5">
        <v>11</v>
      </c>
      <c r="C505" s="5">
        <f>DAY(DATE('Assumptions and Catalog'!$C$24+A505-1,B505+1,0))</f>
        <v>30</v>
      </c>
      <c r="D505" s="5">
        <f>IF(ISNUMBER(Inputs!$L$5),Inputs!$L$5*Inputs!$L$6,0)</f>
        <v>40.35</v>
      </c>
      <c r="E505" s="5">
        <f>IF(ISNUMBER(Inputs!$L$5),Inputs!$L$5-D505,0)</f>
        <v>40.35</v>
      </c>
      <c r="F505" s="5">
        <f>D$51*'Assumptions and Catalog'!$C$31*C505*(1-'Assumptions and Catalog'!$C$10)^(A505-1)</f>
        <v>0</v>
      </c>
      <c r="G505" s="5">
        <f t="shared" si="36"/>
        <v>0</v>
      </c>
      <c r="H505" s="5">
        <f>I505/('Assumptions and Catalog'!$C$11*'Assumptions and Catalog'!$C$12)</f>
        <v>0</v>
      </c>
      <c r="I505" s="5">
        <f>IF(K$15="Grid cycle",MIN(K$16,D505+E505,P505*'Assumptions and Catalog'!$C$12,D$57*(24-'Assumptions and Catalog'!$C$15),D$56*'Assumptions and Catalog'!$C$15*'Assumptions and Catalog'!$C$11*'Assumptions and Catalog'!$C$12)*C505,0)</f>
        <v>0</v>
      </c>
      <c r="J505" s="5">
        <f t="shared" si="37"/>
        <v>0</v>
      </c>
      <c r="K505" s="5">
        <f t="shared" si="38"/>
        <v>0</v>
      </c>
      <c r="L505" s="5">
        <f>(D505+E505)*C505-G505-I505+H505+IF(D$52&gt;0,'Assumptions and Catalog'!$C$26*C505,0)</f>
        <v>2421</v>
      </c>
      <c r="M505" s="5">
        <f>IF(ISNUMBER(Inputs!$L$5),(IF(Inputs!$L$9="Actual flat rate",((D505+E505)*C505)*Inputs!$L$10,IF(Inputs!$C$9="Residential",IF(((D505+E505)*C505)&lt;='Assumptions and Catalog'!$C$50,((D505+E505)*C505)*'Assumptions and Catalog'!$H$50+'Assumptions and Catalog'!$E$50+'Assumptions and Catalog'!$F$50,IF(((D505+E505)*C505)&lt;='Assumptions and Catalog'!$C$51,((D505+E505)*C505)*'Assumptions and Catalog'!$H$51+'Assumptions and Catalog'!$E$51+'Assumptions and Catalog'!$F$51,IF(((D505+E505)*C505)&lt;='Assumptions and Catalog'!$C$52,((D505+E505)*C505)*'Assumptions and Catalog'!$H$52+'Assumptions and Catalog'!$E$52+'Assumptions and Catalog'!$F$52,IF(((D505+E505)*C505)&lt;='Assumptions and Catalog'!$C$53,((D505+E505)*C505)*'Assumptions and Catalog'!$H$53+'Assumptions and Catalog'!$E$53+'Assumptions and Catalog'!$F$53,IF(((D505+E505)*C505)&lt;='Assumptions and Catalog'!$C$54,((D505+E505)*C505)*'Assumptions and Catalog'!$H$54+'Assumptions and Catalog'!$E$54+'Assumptions and Catalog'!$F$54,IF(((D505+E505)*C505)&lt;='Assumptions and Catalog'!$C$55,((D505+E505)*C505)*'Assumptions and Catalog'!$H$55+'Assumptions and Catalog'!$E$55+'Assumptions and Catalog'!$F$55,IF(((D505+E505)*C505)&lt;='Assumptions and Catalog'!$C$56,((D505+E505)*C505)*'Assumptions and Catalog'!$H$56+'Assumptions and Catalog'!$E$56+'Assumptions and Catalog'!$F$56,IF(((D505+E505)*C505)&lt;='Assumptions and Catalog'!$C$57,((D505+E505)*C505)*'Assumptions and Catalog'!$H$57+'Assumptions and Catalog'!$E$57+'Assumptions and Catalog'!$F$57,"Out of range")))))))),IF(((D505+E505)*C505)&lt;='Assumptions and Catalog'!$C$60,((D505+E505)*C505)*'Assumptions and Catalog'!$H$60+'Assumptions and Catalog'!$E$60+'Assumptions and Catalog'!$F$60,IF(((D505+E505)*C505)&lt;='Assumptions and Catalog'!$C$61,((D505+E505)*C505)*'Assumptions and Catalog'!$H$61+'Assumptions and Catalog'!$E$61+'Assumptions and Catalog'!$F$61,IF(((D505+E505)*C505)&lt;='Assumptions and Catalog'!$C$62,((D505+E505)*C505)*'Assumptions and Catalog'!$H$62+'Assumptions and Catalog'!$E$62+'Assumptions and Catalog'!$F$62,IF(((D505+E505)*C505)&lt;='Assumptions and Catalog'!$C$63,((D505+E505)*C505)*'Assumptions and Catalog'!$H$63+'Assumptions and Catalog'!$E$63+'Assumptions and Catalog'!$F$63,IF(((D505+E505)*C505)&lt;='Assumptions and Catalog'!$C$64,((D505+E505)*C505)*'Assumptions and Catalog'!$H$64+'Assumptions and Catalog'!$E$64+'Assumptions and Catalog'!$F$64,IF(((D505+E505)*C505)&lt;='Assumptions and Catalog'!$C$65,((D505+E505)*C505)*'Assumptions and Catalog'!$H$65+'Assumptions and Catalog'!$E$65+'Assumptions and Catalog'!$F$65,"Out of range")))))))))*(1+'Assumptions and Catalog'!$C$8)^(A505-1),0)</f>
        <v>8279</v>
      </c>
      <c r="N505" s="5">
        <f>IF(ISNUMBER(Inputs!$L$5),(IF(Inputs!$L$9="Actual flat rate",L505*Inputs!$L$10,IF(Inputs!$C$9="Residential",IF(L505&lt;='Assumptions and Catalog'!$C$50,L505*'Assumptions and Catalog'!$H$50+'Assumptions and Catalog'!$E$50+'Assumptions and Catalog'!$F$50,IF(L505&lt;='Assumptions and Catalog'!$C$51,L505*'Assumptions and Catalog'!$H$51+'Assumptions and Catalog'!$E$51+'Assumptions and Catalog'!$F$51,IF(L505&lt;='Assumptions and Catalog'!$C$52,L505*'Assumptions and Catalog'!$H$52+'Assumptions and Catalog'!$E$52+'Assumptions and Catalog'!$F$52,IF(L505&lt;='Assumptions and Catalog'!$C$53,L505*'Assumptions and Catalog'!$H$53+'Assumptions and Catalog'!$E$53+'Assumptions and Catalog'!$F$53,IF(L505&lt;='Assumptions and Catalog'!$C$54,L505*'Assumptions and Catalog'!$H$54+'Assumptions and Catalog'!$E$54+'Assumptions and Catalog'!$F$54,IF(L505&lt;='Assumptions and Catalog'!$C$55,L505*'Assumptions and Catalog'!$H$55+'Assumptions and Catalog'!$E$55+'Assumptions and Catalog'!$F$55,IF(L505&lt;='Assumptions and Catalog'!$C$56,L505*'Assumptions and Catalog'!$H$56+'Assumptions and Catalog'!$E$56+'Assumptions and Catalog'!$F$56,IF(L505&lt;='Assumptions and Catalog'!$C$57,L505*'Assumptions and Catalog'!$H$57+'Assumptions and Catalog'!$E$57+'Assumptions and Catalog'!$F$57,"Out of range")))))))),IF(L505&lt;='Assumptions and Catalog'!$C$60,L505*'Assumptions and Catalog'!$H$60+'Assumptions and Catalog'!$E$60+'Assumptions and Catalog'!$F$60,IF(L505&lt;='Assumptions and Catalog'!$C$61,L505*'Assumptions and Catalog'!$H$61+'Assumptions and Catalog'!$E$61+'Assumptions and Catalog'!$F$61,IF(L505&lt;='Assumptions and Catalog'!$C$62,L505*'Assumptions and Catalog'!$H$62+'Assumptions and Catalog'!$E$62+'Assumptions and Catalog'!$F$62,IF(L505&lt;='Assumptions and Catalog'!$C$63,L505*'Assumptions and Catalog'!$H$63+'Assumptions and Catalog'!$E$63+'Assumptions and Catalog'!$F$63,IF(L505&lt;='Assumptions and Catalog'!$C$64,L505*'Assumptions and Catalog'!$H$64+'Assumptions and Catalog'!$E$64+'Assumptions and Catalog'!$F$64,IF(L505&lt;='Assumptions and Catalog'!$C$65,L505*'Assumptions and Catalog'!$H$65+'Assumptions and Catalog'!$E$65+'Assumptions and Catalog'!$F$65,"Out of range")))))))))*(1+'Assumptions and Catalog'!$C$8)^(A505-1),0)</f>
        <v>8279</v>
      </c>
      <c r="O505" s="5">
        <f t="shared" si="39"/>
        <v>0</v>
      </c>
      <c r="P505" s="5">
        <f>D$55*(1-K$14)*(1-'Assumptions and Catalog'!$C$23)^R505</f>
        <v>0</v>
      </c>
      <c r="Q505" s="5">
        <f>IF(ISNUMBER(Inputs!$L$5),(IF(Inputs!$L$9="Actual flat rate",((D505+E505)*C505-G505)*Inputs!$L$10,IF(Inputs!$C$9="Residential",IF(((D505+E505)*C505-G505)&lt;='Assumptions and Catalog'!$C$50,((D505+E505)*C505-G505)*'Assumptions and Catalog'!$H$50+'Assumptions and Catalog'!$E$50+'Assumptions and Catalog'!$F$50,IF(((D505+E505)*C505-G505)&lt;='Assumptions and Catalog'!$C$51,((D505+E505)*C505-G505)*'Assumptions and Catalog'!$H$51+'Assumptions and Catalog'!$E$51+'Assumptions and Catalog'!$F$51,IF(((D505+E505)*C505-G505)&lt;='Assumptions and Catalog'!$C$52,((D505+E505)*C505-G505)*'Assumptions and Catalog'!$H$52+'Assumptions and Catalog'!$E$52+'Assumptions and Catalog'!$F$52,IF(((D505+E505)*C505-G505)&lt;='Assumptions and Catalog'!$C$53,((D505+E505)*C505-G505)*'Assumptions and Catalog'!$H$53+'Assumptions and Catalog'!$E$53+'Assumptions and Catalog'!$F$53,IF(((D505+E505)*C505-G505)&lt;='Assumptions and Catalog'!$C$54,((D505+E505)*C505-G505)*'Assumptions and Catalog'!$H$54+'Assumptions and Catalog'!$E$54+'Assumptions and Catalog'!$F$54,IF(((D505+E505)*C505-G505)&lt;='Assumptions and Catalog'!$C$55,((D505+E505)*C505-G505)*'Assumptions and Catalog'!$H$55+'Assumptions and Catalog'!$E$55+'Assumptions and Catalog'!$F$55,IF(((D505+E505)*C505-G505)&lt;='Assumptions and Catalog'!$C$56,((D505+E505)*C505-G505)*'Assumptions and Catalog'!$H$56+'Assumptions and Catalog'!$E$56+'Assumptions and Catalog'!$F$56,IF(((D505+E505)*C505-G505)&lt;='Assumptions and Catalog'!$C$57,((D505+E505)*C505-G505)*'Assumptions and Catalog'!$H$57+'Assumptions and Catalog'!$E$57+'Assumptions and Catalog'!$F$57,"Out of range")))))))),IF(((D505+E505)*C505-G505)&lt;='Assumptions and Catalog'!$C$60,((D505+E505)*C505-G505)*'Assumptions and Catalog'!$H$60+'Assumptions and Catalog'!$E$60+'Assumptions and Catalog'!$F$60,IF(((D505+E505)*C505-G505)&lt;='Assumptions and Catalog'!$C$61,((D505+E505)*C505-G505)*'Assumptions and Catalog'!$H$61+'Assumptions and Catalog'!$E$61+'Assumptions and Catalog'!$F$61,IF(((D505+E505)*C505-G505)&lt;='Assumptions and Catalog'!$C$62,((D505+E505)*C505-G505)*'Assumptions and Catalog'!$H$62+'Assumptions and Catalog'!$E$62+'Assumptions and Catalog'!$F$62,IF(((D505+E505)*C505-G505)&lt;='Assumptions and Catalog'!$C$63,((D505+E505)*C505-G505)*'Assumptions and Catalog'!$H$63+'Assumptions and Catalog'!$E$63+'Assumptions and Catalog'!$F$63,IF(((D505+E505)*C505-G505)&lt;='Assumptions and Catalog'!$C$64,((D505+E505)*C505-G505)*'Assumptions and Catalog'!$H$64+'Assumptions and Catalog'!$E$64+'Assumptions and Catalog'!$F$64,IF(((D505+E505)*C505-G505)&lt;='Assumptions and Catalog'!$C$65,((D505+E505)*C505-G505)*'Assumptions and Catalog'!$H$65+'Assumptions and Catalog'!$E$65+'Assumptions and Catalog'!$F$65,"Out of range")))))))))*(1+'Assumptions and Catalog'!$C$8)^(A505-1),0)</f>
        <v>8279</v>
      </c>
      <c r="R505" s="5">
        <f>IF(AND('Assumptions and Catalog'!$C$19&gt;0,A505&gt;='Assumptions and Catalog'!$C$19),A505-'Assumptions and Catalog'!$C$19,A505-1)</f>
        <v>7</v>
      </c>
      <c r="S505" s="5">
        <f>F505+L505-(D505+E505)*C505-J505-K505-IF(D$52&gt;0,'Assumptions and Catalog'!$C$26*C505,0)</f>
        <v>0</v>
      </c>
      <c r="T505" s="5"/>
      <c r="U505" s="5"/>
    </row>
    <row r="506" spans="1:21" ht="23.1" customHeight="1" outlineLevel="1" x14ac:dyDescent="0.2">
      <c r="A506" s="5">
        <v>8</v>
      </c>
      <c r="B506" s="5">
        <v>12</v>
      </c>
      <c r="C506" s="5">
        <f>DAY(DATE('Assumptions and Catalog'!$C$24+A506-1,B506+1,0))</f>
        <v>31</v>
      </c>
      <c r="D506" s="5">
        <f>IF(ISNUMBER(Inputs!$L$5),Inputs!$L$5*Inputs!$L$6,0)</f>
        <v>40.35</v>
      </c>
      <c r="E506" s="5">
        <f>IF(ISNUMBER(Inputs!$L$5),Inputs!$L$5-D506,0)</f>
        <v>40.35</v>
      </c>
      <c r="F506" s="5">
        <f>D$51*'Assumptions and Catalog'!$C$31*C506*(1-'Assumptions and Catalog'!$C$10)^(A506-1)</f>
        <v>0</v>
      </c>
      <c r="G506" s="5">
        <f t="shared" si="36"/>
        <v>0</v>
      </c>
      <c r="H506" s="5">
        <f>I506/('Assumptions and Catalog'!$C$11*'Assumptions and Catalog'!$C$12)</f>
        <v>0</v>
      </c>
      <c r="I506" s="5">
        <f>IF(K$15="Grid cycle",MIN(K$16,D506+E506,P506*'Assumptions and Catalog'!$C$12,D$57*(24-'Assumptions and Catalog'!$C$15),D$56*'Assumptions and Catalog'!$C$15*'Assumptions and Catalog'!$C$11*'Assumptions and Catalog'!$C$12)*C506,0)</f>
        <v>0</v>
      </c>
      <c r="J506" s="5">
        <f t="shared" si="37"/>
        <v>0</v>
      </c>
      <c r="K506" s="5">
        <f t="shared" si="38"/>
        <v>0</v>
      </c>
      <c r="L506" s="5">
        <f>(D506+E506)*C506-G506-I506+H506+IF(D$52&gt;0,'Assumptions and Catalog'!$C$26*C506,0)</f>
        <v>2501.7000000000003</v>
      </c>
      <c r="M506" s="5">
        <f>IF(ISNUMBER(Inputs!$L$5),(IF(Inputs!$L$9="Actual flat rate",((D506+E506)*C506)*Inputs!$L$10,IF(Inputs!$C$9="Residential",IF(((D506+E506)*C506)&lt;='Assumptions and Catalog'!$C$50,((D506+E506)*C506)*'Assumptions and Catalog'!$H$50+'Assumptions and Catalog'!$E$50+'Assumptions and Catalog'!$F$50,IF(((D506+E506)*C506)&lt;='Assumptions and Catalog'!$C$51,((D506+E506)*C506)*'Assumptions and Catalog'!$H$51+'Assumptions and Catalog'!$E$51+'Assumptions and Catalog'!$F$51,IF(((D506+E506)*C506)&lt;='Assumptions and Catalog'!$C$52,((D506+E506)*C506)*'Assumptions and Catalog'!$H$52+'Assumptions and Catalog'!$E$52+'Assumptions and Catalog'!$F$52,IF(((D506+E506)*C506)&lt;='Assumptions and Catalog'!$C$53,((D506+E506)*C506)*'Assumptions and Catalog'!$H$53+'Assumptions and Catalog'!$E$53+'Assumptions and Catalog'!$F$53,IF(((D506+E506)*C506)&lt;='Assumptions and Catalog'!$C$54,((D506+E506)*C506)*'Assumptions and Catalog'!$H$54+'Assumptions and Catalog'!$E$54+'Assumptions and Catalog'!$F$54,IF(((D506+E506)*C506)&lt;='Assumptions and Catalog'!$C$55,((D506+E506)*C506)*'Assumptions and Catalog'!$H$55+'Assumptions and Catalog'!$E$55+'Assumptions and Catalog'!$F$55,IF(((D506+E506)*C506)&lt;='Assumptions and Catalog'!$C$56,((D506+E506)*C506)*'Assumptions and Catalog'!$H$56+'Assumptions and Catalog'!$E$56+'Assumptions and Catalog'!$F$56,IF(((D506+E506)*C506)&lt;='Assumptions and Catalog'!$C$57,((D506+E506)*C506)*'Assumptions and Catalog'!$H$57+'Assumptions and Catalog'!$E$57+'Assumptions and Catalog'!$F$57,"Out of range")))))))),IF(((D506+E506)*C506)&lt;='Assumptions and Catalog'!$C$60,((D506+E506)*C506)*'Assumptions and Catalog'!$H$60+'Assumptions and Catalog'!$E$60+'Assumptions and Catalog'!$F$60,IF(((D506+E506)*C506)&lt;='Assumptions and Catalog'!$C$61,((D506+E506)*C506)*'Assumptions and Catalog'!$H$61+'Assumptions and Catalog'!$E$61+'Assumptions and Catalog'!$F$61,IF(((D506+E506)*C506)&lt;='Assumptions and Catalog'!$C$62,((D506+E506)*C506)*'Assumptions and Catalog'!$H$62+'Assumptions and Catalog'!$E$62+'Assumptions and Catalog'!$F$62,IF(((D506+E506)*C506)&lt;='Assumptions and Catalog'!$C$63,((D506+E506)*C506)*'Assumptions and Catalog'!$H$63+'Assumptions and Catalog'!$E$63+'Assumptions and Catalog'!$F$63,IF(((D506+E506)*C506)&lt;='Assumptions and Catalog'!$C$64,((D506+E506)*C506)*'Assumptions and Catalog'!$H$64+'Assumptions and Catalog'!$E$64+'Assumptions and Catalog'!$F$64,IF(((D506+E506)*C506)&lt;='Assumptions and Catalog'!$C$65,((D506+E506)*C506)*'Assumptions and Catalog'!$H$65+'Assumptions and Catalog'!$E$65+'Assumptions and Catalog'!$F$65,"Out of range")))))))))*(1+'Assumptions and Catalog'!$C$8)^(A506-1),0)</f>
        <v>8554.9666666666672</v>
      </c>
      <c r="N506" s="5">
        <f>IF(ISNUMBER(Inputs!$L$5),(IF(Inputs!$L$9="Actual flat rate",L506*Inputs!$L$10,IF(Inputs!$C$9="Residential",IF(L506&lt;='Assumptions and Catalog'!$C$50,L506*'Assumptions and Catalog'!$H$50+'Assumptions and Catalog'!$E$50+'Assumptions and Catalog'!$F$50,IF(L506&lt;='Assumptions and Catalog'!$C$51,L506*'Assumptions and Catalog'!$H$51+'Assumptions and Catalog'!$E$51+'Assumptions and Catalog'!$F$51,IF(L506&lt;='Assumptions and Catalog'!$C$52,L506*'Assumptions and Catalog'!$H$52+'Assumptions and Catalog'!$E$52+'Assumptions and Catalog'!$F$52,IF(L506&lt;='Assumptions and Catalog'!$C$53,L506*'Assumptions and Catalog'!$H$53+'Assumptions and Catalog'!$E$53+'Assumptions and Catalog'!$F$53,IF(L506&lt;='Assumptions and Catalog'!$C$54,L506*'Assumptions and Catalog'!$H$54+'Assumptions and Catalog'!$E$54+'Assumptions and Catalog'!$F$54,IF(L506&lt;='Assumptions and Catalog'!$C$55,L506*'Assumptions and Catalog'!$H$55+'Assumptions and Catalog'!$E$55+'Assumptions and Catalog'!$F$55,IF(L506&lt;='Assumptions and Catalog'!$C$56,L506*'Assumptions and Catalog'!$H$56+'Assumptions and Catalog'!$E$56+'Assumptions and Catalog'!$F$56,IF(L506&lt;='Assumptions and Catalog'!$C$57,L506*'Assumptions and Catalog'!$H$57+'Assumptions and Catalog'!$E$57+'Assumptions and Catalog'!$F$57,"Out of range")))))))),IF(L506&lt;='Assumptions and Catalog'!$C$60,L506*'Assumptions and Catalog'!$H$60+'Assumptions and Catalog'!$E$60+'Assumptions and Catalog'!$F$60,IF(L506&lt;='Assumptions and Catalog'!$C$61,L506*'Assumptions and Catalog'!$H$61+'Assumptions and Catalog'!$E$61+'Assumptions and Catalog'!$F$61,IF(L506&lt;='Assumptions and Catalog'!$C$62,L506*'Assumptions and Catalog'!$H$62+'Assumptions and Catalog'!$E$62+'Assumptions and Catalog'!$F$62,IF(L506&lt;='Assumptions and Catalog'!$C$63,L506*'Assumptions and Catalog'!$H$63+'Assumptions and Catalog'!$E$63+'Assumptions and Catalog'!$F$63,IF(L506&lt;='Assumptions and Catalog'!$C$64,L506*'Assumptions and Catalog'!$H$64+'Assumptions and Catalog'!$E$64+'Assumptions and Catalog'!$F$64,IF(L506&lt;='Assumptions and Catalog'!$C$65,L506*'Assumptions and Catalog'!$H$65+'Assumptions and Catalog'!$E$65+'Assumptions and Catalog'!$F$65,"Out of range")))))))))*(1+'Assumptions and Catalog'!$C$8)^(A506-1),0)</f>
        <v>8554.9666666666672</v>
      </c>
      <c r="O506" s="5">
        <f t="shared" si="39"/>
        <v>0</v>
      </c>
      <c r="P506" s="5">
        <f>D$55*(1-K$14)*(1-'Assumptions and Catalog'!$C$23)^R506</f>
        <v>0</v>
      </c>
      <c r="Q506" s="5">
        <f>IF(ISNUMBER(Inputs!$L$5),(IF(Inputs!$L$9="Actual flat rate",((D506+E506)*C506-G506)*Inputs!$L$10,IF(Inputs!$C$9="Residential",IF(((D506+E506)*C506-G506)&lt;='Assumptions and Catalog'!$C$50,((D506+E506)*C506-G506)*'Assumptions and Catalog'!$H$50+'Assumptions and Catalog'!$E$50+'Assumptions and Catalog'!$F$50,IF(((D506+E506)*C506-G506)&lt;='Assumptions and Catalog'!$C$51,((D506+E506)*C506-G506)*'Assumptions and Catalog'!$H$51+'Assumptions and Catalog'!$E$51+'Assumptions and Catalog'!$F$51,IF(((D506+E506)*C506-G506)&lt;='Assumptions and Catalog'!$C$52,((D506+E506)*C506-G506)*'Assumptions and Catalog'!$H$52+'Assumptions and Catalog'!$E$52+'Assumptions and Catalog'!$F$52,IF(((D506+E506)*C506-G506)&lt;='Assumptions and Catalog'!$C$53,((D506+E506)*C506-G506)*'Assumptions and Catalog'!$H$53+'Assumptions and Catalog'!$E$53+'Assumptions and Catalog'!$F$53,IF(((D506+E506)*C506-G506)&lt;='Assumptions and Catalog'!$C$54,((D506+E506)*C506-G506)*'Assumptions and Catalog'!$H$54+'Assumptions and Catalog'!$E$54+'Assumptions and Catalog'!$F$54,IF(((D506+E506)*C506-G506)&lt;='Assumptions and Catalog'!$C$55,((D506+E506)*C506-G506)*'Assumptions and Catalog'!$H$55+'Assumptions and Catalog'!$E$55+'Assumptions and Catalog'!$F$55,IF(((D506+E506)*C506-G506)&lt;='Assumptions and Catalog'!$C$56,((D506+E506)*C506-G506)*'Assumptions and Catalog'!$H$56+'Assumptions and Catalog'!$E$56+'Assumptions and Catalog'!$F$56,IF(((D506+E506)*C506-G506)&lt;='Assumptions and Catalog'!$C$57,((D506+E506)*C506-G506)*'Assumptions and Catalog'!$H$57+'Assumptions and Catalog'!$E$57+'Assumptions and Catalog'!$F$57,"Out of range")))))))),IF(((D506+E506)*C506-G506)&lt;='Assumptions and Catalog'!$C$60,((D506+E506)*C506-G506)*'Assumptions and Catalog'!$H$60+'Assumptions and Catalog'!$E$60+'Assumptions and Catalog'!$F$60,IF(((D506+E506)*C506-G506)&lt;='Assumptions and Catalog'!$C$61,((D506+E506)*C506-G506)*'Assumptions and Catalog'!$H$61+'Assumptions and Catalog'!$E$61+'Assumptions and Catalog'!$F$61,IF(((D506+E506)*C506-G506)&lt;='Assumptions and Catalog'!$C$62,((D506+E506)*C506-G506)*'Assumptions and Catalog'!$H$62+'Assumptions and Catalog'!$E$62+'Assumptions and Catalog'!$F$62,IF(((D506+E506)*C506-G506)&lt;='Assumptions and Catalog'!$C$63,((D506+E506)*C506-G506)*'Assumptions and Catalog'!$H$63+'Assumptions and Catalog'!$E$63+'Assumptions and Catalog'!$F$63,IF(((D506+E506)*C506-G506)&lt;='Assumptions and Catalog'!$C$64,((D506+E506)*C506-G506)*'Assumptions and Catalog'!$H$64+'Assumptions and Catalog'!$E$64+'Assumptions and Catalog'!$F$64,IF(((D506+E506)*C506-G506)&lt;='Assumptions and Catalog'!$C$65,((D506+E506)*C506-G506)*'Assumptions and Catalog'!$H$65+'Assumptions and Catalog'!$E$65+'Assumptions and Catalog'!$F$65,"Out of range")))))))))*(1+'Assumptions and Catalog'!$C$8)^(A506-1),0)</f>
        <v>8554.9666666666672</v>
      </c>
      <c r="R506" s="5">
        <f>IF(AND('Assumptions and Catalog'!$C$19&gt;0,A506&gt;='Assumptions and Catalog'!$C$19),A506-'Assumptions and Catalog'!$C$19,A506-1)</f>
        <v>7</v>
      </c>
      <c r="S506" s="5">
        <f>F506+L506-(D506+E506)*C506-J506-K506-IF(D$52&gt;0,'Assumptions and Catalog'!$C$26*C506,0)</f>
        <v>0</v>
      </c>
      <c r="T506" s="5"/>
      <c r="U506" s="5"/>
    </row>
    <row r="507" spans="1:21" ht="23.1" customHeight="1" outlineLevel="1" x14ac:dyDescent="0.2">
      <c r="A507" s="5">
        <v>9</v>
      </c>
      <c r="B507" s="5">
        <v>1</v>
      </c>
      <c r="C507" s="5">
        <f>DAY(DATE('Assumptions and Catalog'!$C$24+A507-1,B507+1,0))</f>
        <v>31</v>
      </c>
      <c r="D507" s="5">
        <f>IF(ISNUMBER(Inputs!$L$5),Inputs!$L$5*Inputs!$L$6,0)</f>
        <v>40.35</v>
      </c>
      <c r="E507" s="5">
        <f>IF(ISNUMBER(Inputs!$L$5),Inputs!$L$5-D507,0)</f>
        <v>40.35</v>
      </c>
      <c r="F507" s="5">
        <f>D$51*'Assumptions and Catalog'!$C$31*C507*(1-'Assumptions and Catalog'!$C$10)^(A507-1)</f>
        <v>0</v>
      </c>
      <c r="G507" s="5">
        <f t="shared" si="36"/>
        <v>0</v>
      </c>
      <c r="H507" s="5">
        <f>I507/('Assumptions and Catalog'!$C$11*'Assumptions and Catalog'!$C$12)</f>
        <v>0</v>
      </c>
      <c r="I507" s="5">
        <f>IF(K$15="Grid cycle",MIN(K$16,D507+E507,P507*'Assumptions and Catalog'!$C$12,D$57*(24-'Assumptions and Catalog'!$C$15),D$56*'Assumptions and Catalog'!$C$15*'Assumptions and Catalog'!$C$11*'Assumptions and Catalog'!$C$12)*C507,0)</f>
        <v>0</v>
      </c>
      <c r="J507" s="5">
        <f t="shared" si="37"/>
        <v>0</v>
      </c>
      <c r="K507" s="5">
        <f t="shared" si="38"/>
        <v>0</v>
      </c>
      <c r="L507" s="5">
        <f>(D507+E507)*C507-G507-I507+H507+IF(D$52&gt;0,'Assumptions and Catalog'!$C$26*C507,0)</f>
        <v>2501.7000000000003</v>
      </c>
      <c r="M507" s="5">
        <f>IF(ISNUMBER(Inputs!$L$5),(IF(Inputs!$L$9="Actual flat rate",((D507+E507)*C507)*Inputs!$L$10,IF(Inputs!$C$9="Residential",IF(((D507+E507)*C507)&lt;='Assumptions and Catalog'!$C$50,((D507+E507)*C507)*'Assumptions and Catalog'!$H$50+'Assumptions and Catalog'!$E$50+'Assumptions and Catalog'!$F$50,IF(((D507+E507)*C507)&lt;='Assumptions and Catalog'!$C$51,((D507+E507)*C507)*'Assumptions and Catalog'!$H$51+'Assumptions and Catalog'!$E$51+'Assumptions and Catalog'!$F$51,IF(((D507+E507)*C507)&lt;='Assumptions and Catalog'!$C$52,((D507+E507)*C507)*'Assumptions and Catalog'!$H$52+'Assumptions and Catalog'!$E$52+'Assumptions and Catalog'!$F$52,IF(((D507+E507)*C507)&lt;='Assumptions and Catalog'!$C$53,((D507+E507)*C507)*'Assumptions and Catalog'!$H$53+'Assumptions and Catalog'!$E$53+'Assumptions and Catalog'!$F$53,IF(((D507+E507)*C507)&lt;='Assumptions and Catalog'!$C$54,((D507+E507)*C507)*'Assumptions and Catalog'!$H$54+'Assumptions and Catalog'!$E$54+'Assumptions and Catalog'!$F$54,IF(((D507+E507)*C507)&lt;='Assumptions and Catalog'!$C$55,((D507+E507)*C507)*'Assumptions and Catalog'!$H$55+'Assumptions and Catalog'!$E$55+'Assumptions and Catalog'!$F$55,IF(((D507+E507)*C507)&lt;='Assumptions and Catalog'!$C$56,((D507+E507)*C507)*'Assumptions and Catalog'!$H$56+'Assumptions and Catalog'!$E$56+'Assumptions and Catalog'!$F$56,IF(((D507+E507)*C507)&lt;='Assumptions and Catalog'!$C$57,((D507+E507)*C507)*'Assumptions and Catalog'!$H$57+'Assumptions and Catalog'!$E$57+'Assumptions and Catalog'!$F$57,"Out of range")))))))),IF(((D507+E507)*C507)&lt;='Assumptions and Catalog'!$C$60,((D507+E507)*C507)*'Assumptions and Catalog'!$H$60+'Assumptions and Catalog'!$E$60+'Assumptions and Catalog'!$F$60,IF(((D507+E507)*C507)&lt;='Assumptions and Catalog'!$C$61,((D507+E507)*C507)*'Assumptions and Catalog'!$H$61+'Assumptions and Catalog'!$E$61+'Assumptions and Catalog'!$F$61,IF(((D507+E507)*C507)&lt;='Assumptions and Catalog'!$C$62,((D507+E507)*C507)*'Assumptions and Catalog'!$H$62+'Assumptions and Catalog'!$E$62+'Assumptions and Catalog'!$F$62,IF(((D507+E507)*C507)&lt;='Assumptions and Catalog'!$C$63,((D507+E507)*C507)*'Assumptions and Catalog'!$H$63+'Assumptions and Catalog'!$E$63+'Assumptions and Catalog'!$F$63,IF(((D507+E507)*C507)&lt;='Assumptions and Catalog'!$C$64,((D507+E507)*C507)*'Assumptions and Catalog'!$H$64+'Assumptions and Catalog'!$E$64+'Assumptions and Catalog'!$F$64,IF(((D507+E507)*C507)&lt;='Assumptions and Catalog'!$C$65,((D507+E507)*C507)*'Assumptions and Catalog'!$H$65+'Assumptions and Catalog'!$E$65+'Assumptions and Catalog'!$F$65,"Out of range")))))))))*(1+'Assumptions and Catalog'!$C$8)^(A507-1),0)</f>
        <v>8554.9666666666672</v>
      </c>
      <c r="N507" s="5">
        <f>IF(ISNUMBER(Inputs!$L$5),(IF(Inputs!$L$9="Actual flat rate",L507*Inputs!$L$10,IF(Inputs!$C$9="Residential",IF(L507&lt;='Assumptions and Catalog'!$C$50,L507*'Assumptions and Catalog'!$H$50+'Assumptions and Catalog'!$E$50+'Assumptions and Catalog'!$F$50,IF(L507&lt;='Assumptions and Catalog'!$C$51,L507*'Assumptions and Catalog'!$H$51+'Assumptions and Catalog'!$E$51+'Assumptions and Catalog'!$F$51,IF(L507&lt;='Assumptions and Catalog'!$C$52,L507*'Assumptions and Catalog'!$H$52+'Assumptions and Catalog'!$E$52+'Assumptions and Catalog'!$F$52,IF(L507&lt;='Assumptions and Catalog'!$C$53,L507*'Assumptions and Catalog'!$H$53+'Assumptions and Catalog'!$E$53+'Assumptions and Catalog'!$F$53,IF(L507&lt;='Assumptions and Catalog'!$C$54,L507*'Assumptions and Catalog'!$H$54+'Assumptions and Catalog'!$E$54+'Assumptions and Catalog'!$F$54,IF(L507&lt;='Assumptions and Catalog'!$C$55,L507*'Assumptions and Catalog'!$H$55+'Assumptions and Catalog'!$E$55+'Assumptions and Catalog'!$F$55,IF(L507&lt;='Assumptions and Catalog'!$C$56,L507*'Assumptions and Catalog'!$H$56+'Assumptions and Catalog'!$E$56+'Assumptions and Catalog'!$F$56,IF(L507&lt;='Assumptions and Catalog'!$C$57,L507*'Assumptions and Catalog'!$H$57+'Assumptions and Catalog'!$E$57+'Assumptions and Catalog'!$F$57,"Out of range")))))))),IF(L507&lt;='Assumptions and Catalog'!$C$60,L507*'Assumptions and Catalog'!$H$60+'Assumptions and Catalog'!$E$60+'Assumptions and Catalog'!$F$60,IF(L507&lt;='Assumptions and Catalog'!$C$61,L507*'Assumptions and Catalog'!$H$61+'Assumptions and Catalog'!$E$61+'Assumptions and Catalog'!$F$61,IF(L507&lt;='Assumptions and Catalog'!$C$62,L507*'Assumptions and Catalog'!$H$62+'Assumptions and Catalog'!$E$62+'Assumptions and Catalog'!$F$62,IF(L507&lt;='Assumptions and Catalog'!$C$63,L507*'Assumptions and Catalog'!$H$63+'Assumptions and Catalog'!$E$63+'Assumptions and Catalog'!$F$63,IF(L507&lt;='Assumptions and Catalog'!$C$64,L507*'Assumptions and Catalog'!$H$64+'Assumptions and Catalog'!$E$64+'Assumptions and Catalog'!$F$64,IF(L507&lt;='Assumptions and Catalog'!$C$65,L507*'Assumptions and Catalog'!$H$65+'Assumptions and Catalog'!$E$65+'Assumptions and Catalog'!$F$65,"Out of range")))))))))*(1+'Assumptions and Catalog'!$C$8)^(A507-1),0)</f>
        <v>8554.9666666666672</v>
      </c>
      <c r="O507" s="5">
        <f t="shared" si="39"/>
        <v>0</v>
      </c>
      <c r="P507" s="5">
        <f>D$55*(1-K$14)*(1-'Assumptions and Catalog'!$C$23)^R507</f>
        <v>0</v>
      </c>
      <c r="Q507" s="5">
        <f>IF(ISNUMBER(Inputs!$L$5),(IF(Inputs!$L$9="Actual flat rate",((D507+E507)*C507-G507)*Inputs!$L$10,IF(Inputs!$C$9="Residential",IF(((D507+E507)*C507-G507)&lt;='Assumptions and Catalog'!$C$50,((D507+E507)*C507-G507)*'Assumptions and Catalog'!$H$50+'Assumptions and Catalog'!$E$50+'Assumptions and Catalog'!$F$50,IF(((D507+E507)*C507-G507)&lt;='Assumptions and Catalog'!$C$51,((D507+E507)*C507-G507)*'Assumptions and Catalog'!$H$51+'Assumptions and Catalog'!$E$51+'Assumptions and Catalog'!$F$51,IF(((D507+E507)*C507-G507)&lt;='Assumptions and Catalog'!$C$52,((D507+E507)*C507-G507)*'Assumptions and Catalog'!$H$52+'Assumptions and Catalog'!$E$52+'Assumptions and Catalog'!$F$52,IF(((D507+E507)*C507-G507)&lt;='Assumptions and Catalog'!$C$53,((D507+E507)*C507-G507)*'Assumptions and Catalog'!$H$53+'Assumptions and Catalog'!$E$53+'Assumptions and Catalog'!$F$53,IF(((D507+E507)*C507-G507)&lt;='Assumptions and Catalog'!$C$54,((D507+E507)*C507-G507)*'Assumptions and Catalog'!$H$54+'Assumptions and Catalog'!$E$54+'Assumptions and Catalog'!$F$54,IF(((D507+E507)*C507-G507)&lt;='Assumptions and Catalog'!$C$55,((D507+E507)*C507-G507)*'Assumptions and Catalog'!$H$55+'Assumptions and Catalog'!$E$55+'Assumptions and Catalog'!$F$55,IF(((D507+E507)*C507-G507)&lt;='Assumptions and Catalog'!$C$56,((D507+E507)*C507-G507)*'Assumptions and Catalog'!$H$56+'Assumptions and Catalog'!$E$56+'Assumptions and Catalog'!$F$56,IF(((D507+E507)*C507-G507)&lt;='Assumptions and Catalog'!$C$57,((D507+E507)*C507-G507)*'Assumptions and Catalog'!$H$57+'Assumptions and Catalog'!$E$57+'Assumptions and Catalog'!$F$57,"Out of range")))))))),IF(((D507+E507)*C507-G507)&lt;='Assumptions and Catalog'!$C$60,((D507+E507)*C507-G507)*'Assumptions and Catalog'!$H$60+'Assumptions and Catalog'!$E$60+'Assumptions and Catalog'!$F$60,IF(((D507+E507)*C507-G507)&lt;='Assumptions and Catalog'!$C$61,((D507+E507)*C507-G507)*'Assumptions and Catalog'!$H$61+'Assumptions and Catalog'!$E$61+'Assumptions and Catalog'!$F$61,IF(((D507+E507)*C507-G507)&lt;='Assumptions and Catalog'!$C$62,((D507+E507)*C507-G507)*'Assumptions and Catalog'!$H$62+'Assumptions and Catalog'!$E$62+'Assumptions and Catalog'!$F$62,IF(((D507+E507)*C507-G507)&lt;='Assumptions and Catalog'!$C$63,((D507+E507)*C507-G507)*'Assumptions and Catalog'!$H$63+'Assumptions and Catalog'!$E$63+'Assumptions and Catalog'!$F$63,IF(((D507+E507)*C507-G507)&lt;='Assumptions and Catalog'!$C$64,((D507+E507)*C507-G507)*'Assumptions and Catalog'!$H$64+'Assumptions and Catalog'!$E$64+'Assumptions and Catalog'!$F$64,IF(((D507+E507)*C507-G507)&lt;='Assumptions and Catalog'!$C$65,((D507+E507)*C507-G507)*'Assumptions and Catalog'!$H$65+'Assumptions and Catalog'!$E$65+'Assumptions and Catalog'!$F$65,"Out of range")))))))))*(1+'Assumptions and Catalog'!$C$8)^(A507-1),0)</f>
        <v>8554.9666666666672</v>
      </c>
      <c r="R507" s="5">
        <f>IF(AND('Assumptions and Catalog'!$C$19&gt;0,A507&gt;='Assumptions and Catalog'!$C$19),A507-'Assumptions and Catalog'!$C$19,A507-1)</f>
        <v>8</v>
      </c>
      <c r="S507" s="5">
        <f>F507+L507-(D507+E507)*C507-J507-K507-IF(D$52&gt;0,'Assumptions and Catalog'!$C$26*C507,0)</f>
        <v>0</v>
      </c>
      <c r="T507" s="5"/>
      <c r="U507" s="5"/>
    </row>
    <row r="508" spans="1:21" ht="23.1" customHeight="1" outlineLevel="1" x14ac:dyDescent="0.2">
      <c r="A508" s="5">
        <v>9</v>
      </c>
      <c r="B508" s="5">
        <v>2</v>
      </c>
      <c r="C508" s="5">
        <f>DAY(DATE('Assumptions and Catalog'!$C$24+A508-1,B508+1,0))</f>
        <v>28</v>
      </c>
      <c r="D508" s="5">
        <f>IF(ISNUMBER(Inputs!$L$5),Inputs!$L$5*Inputs!$L$6,0)</f>
        <v>40.35</v>
      </c>
      <c r="E508" s="5">
        <f>IF(ISNUMBER(Inputs!$L$5),Inputs!$L$5-D508,0)</f>
        <v>40.35</v>
      </c>
      <c r="F508" s="5">
        <f>D$51*'Assumptions and Catalog'!$C$31*C508*(1-'Assumptions and Catalog'!$C$10)^(A508-1)</f>
        <v>0</v>
      </c>
      <c r="G508" s="5">
        <f t="shared" si="36"/>
        <v>0</v>
      </c>
      <c r="H508" s="5">
        <f>I508/('Assumptions and Catalog'!$C$11*'Assumptions and Catalog'!$C$12)</f>
        <v>0</v>
      </c>
      <c r="I508" s="5">
        <f>IF(K$15="Grid cycle",MIN(K$16,D508+E508,P508*'Assumptions and Catalog'!$C$12,D$57*(24-'Assumptions and Catalog'!$C$15),D$56*'Assumptions and Catalog'!$C$15*'Assumptions and Catalog'!$C$11*'Assumptions and Catalog'!$C$12)*C508,0)</f>
        <v>0</v>
      </c>
      <c r="J508" s="5">
        <f t="shared" si="37"/>
        <v>0</v>
      </c>
      <c r="K508" s="5">
        <f t="shared" si="38"/>
        <v>0</v>
      </c>
      <c r="L508" s="5">
        <f>(D508+E508)*C508-G508-I508+H508+IF(D$52&gt;0,'Assumptions and Catalog'!$C$26*C508,0)</f>
        <v>2259.6</v>
      </c>
      <c r="M508" s="5">
        <f>IF(ISNUMBER(Inputs!$L$5),(IF(Inputs!$L$9="Actual flat rate",((D508+E508)*C508)*Inputs!$L$10,IF(Inputs!$C$9="Residential",IF(((D508+E508)*C508)&lt;='Assumptions and Catalog'!$C$50,((D508+E508)*C508)*'Assumptions and Catalog'!$H$50+'Assumptions and Catalog'!$E$50+'Assumptions and Catalog'!$F$50,IF(((D508+E508)*C508)&lt;='Assumptions and Catalog'!$C$51,((D508+E508)*C508)*'Assumptions and Catalog'!$H$51+'Assumptions and Catalog'!$E$51+'Assumptions and Catalog'!$F$51,IF(((D508+E508)*C508)&lt;='Assumptions and Catalog'!$C$52,((D508+E508)*C508)*'Assumptions and Catalog'!$H$52+'Assumptions and Catalog'!$E$52+'Assumptions and Catalog'!$F$52,IF(((D508+E508)*C508)&lt;='Assumptions and Catalog'!$C$53,((D508+E508)*C508)*'Assumptions and Catalog'!$H$53+'Assumptions and Catalog'!$E$53+'Assumptions and Catalog'!$F$53,IF(((D508+E508)*C508)&lt;='Assumptions and Catalog'!$C$54,((D508+E508)*C508)*'Assumptions and Catalog'!$H$54+'Assumptions and Catalog'!$E$54+'Assumptions and Catalog'!$F$54,IF(((D508+E508)*C508)&lt;='Assumptions and Catalog'!$C$55,((D508+E508)*C508)*'Assumptions and Catalog'!$H$55+'Assumptions and Catalog'!$E$55+'Assumptions and Catalog'!$F$55,IF(((D508+E508)*C508)&lt;='Assumptions and Catalog'!$C$56,((D508+E508)*C508)*'Assumptions and Catalog'!$H$56+'Assumptions and Catalog'!$E$56+'Assumptions and Catalog'!$F$56,IF(((D508+E508)*C508)&lt;='Assumptions and Catalog'!$C$57,((D508+E508)*C508)*'Assumptions and Catalog'!$H$57+'Assumptions and Catalog'!$E$57+'Assumptions and Catalog'!$F$57,"Out of range")))))))),IF(((D508+E508)*C508)&lt;='Assumptions and Catalog'!$C$60,((D508+E508)*C508)*'Assumptions and Catalog'!$H$60+'Assumptions and Catalog'!$E$60+'Assumptions and Catalog'!$F$60,IF(((D508+E508)*C508)&lt;='Assumptions and Catalog'!$C$61,((D508+E508)*C508)*'Assumptions and Catalog'!$H$61+'Assumptions and Catalog'!$E$61+'Assumptions and Catalog'!$F$61,IF(((D508+E508)*C508)&lt;='Assumptions and Catalog'!$C$62,((D508+E508)*C508)*'Assumptions and Catalog'!$H$62+'Assumptions and Catalog'!$E$62+'Assumptions and Catalog'!$F$62,IF(((D508+E508)*C508)&lt;='Assumptions and Catalog'!$C$63,((D508+E508)*C508)*'Assumptions and Catalog'!$H$63+'Assumptions and Catalog'!$E$63+'Assumptions and Catalog'!$F$63,IF(((D508+E508)*C508)&lt;='Assumptions and Catalog'!$C$64,((D508+E508)*C508)*'Assumptions and Catalog'!$H$64+'Assumptions and Catalog'!$E$64+'Assumptions and Catalog'!$F$64,IF(((D508+E508)*C508)&lt;='Assumptions and Catalog'!$C$65,((D508+E508)*C508)*'Assumptions and Catalog'!$H$65+'Assumptions and Catalog'!$E$65+'Assumptions and Catalog'!$F$65,"Out of range")))))))))*(1+'Assumptions and Catalog'!$C$8)^(A508-1),0)</f>
        <v>7727.0666666666657</v>
      </c>
      <c r="N508" s="5">
        <f>IF(ISNUMBER(Inputs!$L$5),(IF(Inputs!$L$9="Actual flat rate",L508*Inputs!$L$10,IF(Inputs!$C$9="Residential",IF(L508&lt;='Assumptions and Catalog'!$C$50,L508*'Assumptions and Catalog'!$H$50+'Assumptions and Catalog'!$E$50+'Assumptions and Catalog'!$F$50,IF(L508&lt;='Assumptions and Catalog'!$C$51,L508*'Assumptions and Catalog'!$H$51+'Assumptions and Catalog'!$E$51+'Assumptions and Catalog'!$F$51,IF(L508&lt;='Assumptions and Catalog'!$C$52,L508*'Assumptions and Catalog'!$H$52+'Assumptions and Catalog'!$E$52+'Assumptions and Catalog'!$F$52,IF(L508&lt;='Assumptions and Catalog'!$C$53,L508*'Assumptions and Catalog'!$H$53+'Assumptions and Catalog'!$E$53+'Assumptions and Catalog'!$F$53,IF(L508&lt;='Assumptions and Catalog'!$C$54,L508*'Assumptions and Catalog'!$H$54+'Assumptions and Catalog'!$E$54+'Assumptions and Catalog'!$F$54,IF(L508&lt;='Assumptions and Catalog'!$C$55,L508*'Assumptions and Catalog'!$H$55+'Assumptions and Catalog'!$E$55+'Assumptions and Catalog'!$F$55,IF(L508&lt;='Assumptions and Catalog'!$C$56,L508*'Assumptions and Catalog'!$H$56+'Assumptions and Catalog'!$E$56+'Assumptions and Catalog'!$F$56,IF(L508&lt;='Assumptions and Catalog'!$C$57,L508*'Assumptions and Catalog'!$H$57+'Assumptions and Catalog'!$E$57+'Assumptions and Catalog'!$F$57,"Out of range")))))))),IF(L508&lt;='Assumptions and Catalog'!$C$60,L508*'Assumptions and Catalog'!$H$60+'Assumptions and Catalog'!$E$60+'Assumptions and Catalog'!$F$60,IF(L508&lt;='Assumptions and Catalog'!$C$61,L508*'Assumptions and Catalog'!$H$61+'Assumptions and Catalog'!$E$61+'Assumptions and Catalog'!$F$61,IF(L508&lt;='Assumptions and Catalog'!$C$62,L508*'Assumptions and Catalog'!$H$62+'Assumptions and Catalog'!$E$62+'Assumptions and Catalog'!$F$62,IF(L508&lt;='Assumptions and Catalog'!$C$63,L508*'Assumptions and Catalog'!$H$63+'Assumptions and Catalog'!$E$63+'Assumptions and Catalog'!$F$63,IF(L508&lt;='Assumptions and Catalog'!$C$64,L508*'Assumptions and Catalog'!$H$64+'Assumptions and Catalog'!$E$64+'Assumptions and Catalog'!$F$64,IF(L508&lt;='Assumptions and Catalog'!$C$65,L508*'Assumptions and Catalog'!$H$65+'Assumptions and Catalog'!$E$65+'Assumptions and Catalog'!$F$65,"Out of range")))))))))*(1+'Assumptions and Catalog'!$C$8)^(A508-1),0)</f>
        <v>7727.0666666666657</v>
      </c>
      <c r="O508" s="5">
        <f t="shared" si="39"/>
        <v>0</v>
      </c>
      <c r="P508" s="5">
        <f>D$55*(1-K$14)*(1-'Assumptions and Catalog'!$C$23)^R508</f>
        <v>0</v>
      </c>
      <c r="Q508" s="5">
        <f>IF(ISNUMBER(Inputs!$L$5),(IF(Inputs!$L$9="Actual flat rate",((D508+E508)*C508-G508)*Inputs!$L$10,IF(Inputs!$C$9="Residential",IF(((D508+E508)*C508-G508)&lt;='Assumptions and Catalog'!$C$50,((D508+E508)*C508-G508)*'Assumptions and Catalog'!$H$50+'Assumptions and Catalog'!$E$50+'Assumptions and Catalog'!$F$50,IF(((D508+E508)*C508-G508)&lt;='Assumptions and Catalog'!$C$51,((D508+E508)*C508-G508)*'Assumptions and Catalog'!$H$51+'Assumptions and Catalog'!$E$51+'Assumptions and Catalog'!$F$51,IF(((D508+E508)*C508-G508)&lt;='Assumptions and Catalog'!$C$52,((D508+E508)*C508-G508)*'Assumptions and Catalog'!$H$52+'Assumptions and Catalog'!$E$52+'Assumptions and Catalog'!$F$52,IF(((D508+E508)*C508-G508)&lt;='Assumptions and Catalog'!$C$53,((D508+E508)*C508-G508)*'Assumptions and Catalog'!$H$53+'Assumptions and Catalog'!$E$53+'Assumptions and Catalog'!$F$53,IF(((D508+E508)*C508-G508)&lt;='Assumptions and Catalog'!$C$54,((D508+E508)*C508-G508)*'Assumptions and Catalog'!$H$54+'Assumptions and Catalog'!$E$54+'Assumptions and Catalog'!$F$54,IF(((D508+E508)*C508-G508)&lt;='Assumptions and Catalog'!$C$55,((D508+E508)*C508-G508)*'Assumptions and Catalog'!$H$55+'Assumptions and Catalog'!$E$55+'Assumptions and Catalog'!$F$55,IF(((D508+E508)*C508-G508)&lt;='Assumptions and Catalog'!$C$56,((D508+E508)*C508-G508)*'Assumptions and Catalog'!$H$56+'Assumptions and Catalog'!$E$56+'Assumptions and Catalog'!$F$56,IF(((D508+E508)*C508-G508)&lt;='Assumptions and Catalog'!$C$57,((D508+E508)*C508-G508)*'Assumptions and Catalog'!$H$57+'Assumptions and Catalog'!$E$57+'Assumptions and Catalog'!$F$57,"Out of range")))))))),IF(((D508+E508)*C508-G508)&lt;='Assumptions and Catalog'!$C$60,((D508+E508)*C508-G508)*'Assumptions and Catalog'!$H$60+'Assumptions and Catalog'!$E$60+'Assumptions and Catalog'!$F$60,IF(((D508+E508)*C508-G508)&lt;='Assumptions and Catalog'!$C$61,((D508+E508)*C508-G508)*'Assumptions and Catalog'!$H$61+'Assumptions and Catalog'!$E$61+'Assumptions and Catalog'!$F$61,IF(((D508+E508)*C508-G508)&lt;='Assumptions and Catalog'!$C$62,((D508+E508)*C508-G508)*'Assumptions and Catalog'!$H$62+'Assumptions and Catalog'!$E$62+'Assumptions and Catalog'!$F$62,IF(((D508+E508)*C508-G508)&lt;='Assumptions and Catalog'!$C$63,((D508+E508)*C508-G508)*'Assumptions and Catalog'!$H$63+'Assumptions and Catalog'!$E$63+'Assumptions and Catalog'!$F$63,IF(((D508+E508)*C508-G508)&lt;='Assumptions and Catalog'!$C$64,((D508+E508)*C508-G508)*'Assumptions and Catalog'!$H$64+'Assumptions and Catalog'!$E$64+'Assumptions and Catalog'!$F$64,IF(((D508+E508)*C508-G508)&lt;='Assumptions and Catalog'!$C$65,((D508+E508)*C508-G508)*'Assumptions and Catalog'!$H$65+'Assumptions and Catalog'!$E$65+'Assumptions and Catalog'!$F$65,"Out of range")))))))))*(1+'Assumptions and Catalog'!$C$8)^(A508-1),0)</f>
        <v>7727.0666666666657</v>
      </c>
      <c r="R508" s="5">
        <f>IF(AND('Assumptions and Catalog'!$C$19&gt;0,A508&gt;='Assumptions and Catalog'!$C$19),A508-'Assumptions and Catalog'!$C$19,A508-1)</f>
        <v>8</v>
      </c>
      <c r="S508" s="5">
        <f>F508+L508-(D508+E508)*C508-J508-K508-IF(D$52&gt;0,'Assumptions and Catalog'!$C$26*C508,0)</f>
        <v>0</v>
      </c>
      <c r="T508" s="5"/>
      <c r="U508" s="5"/>
    </row>
    <row r="509" spans="1:21" ht="23.1" customHeight="1" outlineLevel="1" x14ac:dyDescent="0.2">
      <c r="A509" s="5">
        <v>9</v>
      </c>
      <c r="B509" s="5">
        <v>3</v>
      </c>
      <c r="C509" s="5">
        <f>DAY(DATE('Assumptions and Catalog'!$C$24+A509-1,B509+1,0))</f>
        <v>31</v>
      </c>
      <c r="D509" s="5">
        <f>IF(ISNUMBER(Inputs!$L$5),Inputs!$L$5*Inputs!$L$6,0)</f>
        <v>40.35</v>
      </c>
      <c r="E509" s="5">
        <f>IF(ISNUMBER(Inputs!$L$5),Inputs!$L$5-D509,0)</f>
        <v>40.35</v>
      </c>
      <c r="F509" s="5">
        <f>D$51*'Assumptions and Catalog'!$C$31*C509*(1-'Assumptions and Catalog'!$C$10)^(A509-1)</f>
        <v>0</v>
      </c>
      <c r="G509" s="5">
        <f t="shared" si="36"/>
        <v>0</v>
      </c>
      <c r="H509" s="5">
        <f>I509/('Assumptions and Catalog'!$C$11*'Assumptions and Catalog'!$C$12)</f>
        <v>0</v>
      </c>
      <c r="I509" s="5">
        <f>IF(K$15="Grid cycle",MIN(K$16,D509+E509,P509*'Assumptions and Catalog'!$C$12,D$57*(24-'Assumptions and Catalog'!$C$15),D$56*'Assumptions and Catalog'!$C$15*'Assumptions and Catalog'!$C$11*'Assumptions and Catalog'!$C$12)*C509,0)</f>
        <v>0</v>
      </c>
      <c r="J509" s="5">
        <f t="shared" si="37"/>
        <v>0</v>
      </c>
      <c r="K509" s="5">
        <f t="shared" si="38"/>
        <v>0</v>
      </c>
      <c r="L509" s="5">
        <f>(D509+E509)*C509-G509-I509+H509+IF(D$52&gt;0,'Assumptions and Catalog'!$C$26*C509,0)</f>
        <v>2501.7000000000003</v>
      </c>
      <c r="M509" s="5">
        <f>IF(ISNUMBER(Inputs!$L$5),(IF(Inputs!$L$9="Actual flat rate",((D509+E509)*C509)*Inputs!$L$10,IF(Inputs!$C$9="Residential",IF(((D509+E509)*C509)&lt;='Assumptions and Catalog'!$C$50,((D509+E509)*C509)*'Assumptions and Catalog'!$H$50+'Assumptions and Catalog'!$E$50+'Assumptions and Catalog'!$F$50,IF(((D509+E509)*C509)&lt;='Assumptions and Catalog'!$C$51,((D509+E509)*C509)*'Assumptions and Catalog'!$H$51+'Assumptions and Catalog'!$E$51+'Assumptions and Catalog'!$F$51,IF(((D509+E509)*C509)&lt;='Assumptions and Catalog'!$C$52,((D509+E509)*C509)*'Assumptions and Catalog'!$H$52+'Assumptions and Catalog'!$E$52+'Assumptions and Catalog'!$F$52,IF(((D509+E509)*C509)&lt;='Assumptions and Catalog'!$C$53,((D509+E509)*C509)*'Assumptions and Catalog'!$H$53+'Assumptions and Catalog'!$E$53+'Assumptions and Catalog'!$F$53,IF(((D509+E509)*C509)&lt;='Assumptions and Catalog'!$C$54,((D509+E509)*C509)*'Assumptions and Catalog'!$H$54+'Assumptions and Catalog'!$E$54+'Assumptions and Catalog'!$F$54,IF(((D509+E509)*C509)&lt;='Assumptions and Catalog'!$C$55,((D509+E509)*C509)*'Assumptions and Catalog'!$H$55+'Assumptions and Catalog'!$E$55+'Assumptions and Catalog'!$F$55,IF(((D509+E509)*C509)&lt;='Assumptions and Catalog'!$C$56,((D509+E509)*C509)*'Assumptions and Catalog'!$H$56+'Assumptions and Catalog'!$E$56+'Assumptions and Catalog'!$F$56,IF(((D509+E509)*C509)&lt;='Assumptions and Catalog'!$C$57,((D509+E509)*C509)*'Assumptions and Catalog'!$H$57+'Assumptions and Catalog'!$E$57+'Assumptions and Catalog'!$F$57,"Out of range")))))))),IF(((D509+E509)*C509)&lt;='Assumptions and Catalog'!$C$60,((D509+E509)*C509)*'Assumptions and Catalog'!$H$60+'Assumptions and Catalog'!$E$60+'Assumptions and Catalog'!$F$60,IF(((D509+E509)*C509)&lt;='Assumptions and Catalog'!$C$61,((D509+E509)*C509)*'Assumptions and Catalog'!$H$61+'Assumptions and Catalog'!$E$61+'Assumptions and Catalog'!$F$61,IF(((D509+E509)*C509)&lt;='Assumptions and Catalog'!$C$62,((D509+E509)*C509)*'Assumptions and Catalog'!$H$62+'Assumptions and Catalog'!$E$62+'Assumptions and Catalog'!$F$62,IF(((D509+E509)*C509)&lt;='Assumptions and Catalog'!$C$63,((D509+E509)*C509)*'Assumptions and Catalog'!$H$63+'Assumptions and Catalog'!$E$63+'Assumptions and Catalog'!$F$63,IF(((D509+E509)*C509)&lt;='Assumptions and Catalog'!$C$64,((D509+E509)*C509)*'Assumptions and Catalog'!$H$64+'Assumptions and Catalog'!$E$64+'Assumptions and Catalog'!$F$64,IF(((D509+E509)*C509)&lt;='Assumptions and Catalog'!$C$65,((D509+E509)*C509)*'Assumptions and Catalog'!$H$65+'Assumptions and Catalog'!$E$65+'Assumptions and Catalog'!$F$65,"Out of range")))))))))*(1+'Assumptions and Catalog'!$C$8)^(A509-1),0)</f>
        <v>8554.9666666666672</v>
      </c>
      <c r="N509" s="5">
        <f>IF(ISNUMBER(Inputs!$L$5),(IF(Inputs!$L$9="Actual flat rate",L509*Inputs!$L$10,IF(Inputs!$C$9="Residential",IF(L509&lt;='Assumptions and Catalog'!$C$50,L509*'Assumptions and Catalog'!$H$50+'Assumptions and Catalog'!$E$50+'Assumptions and Catalog'!$F$50,IF(L509&lt;='Assumptions and Catalog'!$C$51,L509*'Assumptions and Catalog'!$H$51+'Assumptions and Catalog'!$E$51+'Assumptions and Catalog'!$F$51,IF(L509&lt;='Assumptions and Catalog'!$C$52,L509*'Assumptions and Catalog'!$H$52+'Assumptions and Catalog'!$E$52+'Assumptions and Catalog'!$F$52,IF(L509&lt;='Assumptions and Catalog'!$C$53,L509*'Assumptions and Catalog'!$H$53+'Assumptions and Catalog'!$E$53+'Assumptions and Catalog'!$F$53,IF(L509&lt;='Assumptions and Catalog'!$C$54,L509*'Assumptions and Catalog'!$H$54+'Assumptions and Catalog'!$E$54+'Assumptions and Catalog'!$F$54,IF(L509&lt;='Assumptions and Catalog'!$C$55,L509*'Assumptions and Catalog'!$H$55+'Assumptions and Catalog'!$E$55+'Assumptions and Catalog'!$F$55,IF(L509&lt;='Assumptions and Catalog'!$C$56,L509*'Assumptions and Catalog'!$H$56+'Assumptions and Catalog'!$E$56+'Assumptions and Catalog'!$F$56,IF(L509&lt;='Assumptions and Catalog'!$C$57,L509*'Assumptions and Catalog'!$H$57+'Assumptions and Catalog'!$E$57+'Assumptions and Catalog'!$F$57,"Out of range")))))))),IF(L509&lt;='Assumptions and Catalog'!$C$60,L509*'Assumptions and Catalog'!$H$60+'Assumptions and Catalog'!$E$60+'Assumptions and Catalog'!$F$60,IF(L509&lt;='Assumptions and Catalog'!$C$61,L509*'Assumptions and Catalog'!$H$61+'Assumptions and Catalog'!$E$61+'Assumptions and Catalog'!$F$61,IF(L509&lt;='Assumptions and Catalog'!$C$62,L509*'Assumptions and Catalog'!$H$62+'Assumptions and Catalog'!$E$62+'Assumptions and Catalog'!$F$62,IF(L509&lt;='Assumptions and Catalog'!$C$63,L509*'Assumptions and Catalog'!$H$63+'Assumptions and Catalog'!$E$63+'Assumptions and Catalog'!$F$63,IF(L509&lt;='Assumptions and Catalog'!$C$64,L509*'Assumptions and Catalog'!$H$64+'Assumptions and Catalog'!$E$64+'Assumptions and Catalog'!$F$64,IF(L509&lt;='Assumptions and Catalog'!$C$65,L509*'Assumptions and Catalog'!$H$65+'Assumptions and Catalog'!$E$65+'Assumptions and Catalog'!$F$65,"Out of range")))))))))*(1+'Assumptions and Catalog'!$C$8)^(A509-1),0)</f>
        <v>8554.9666666666672</v>
      </c>
      <c r="O509" s="5">
        <f t="shared" si="39"/>
        <v>0</v>
      </c>
      <c r="P509" s="5">
        <f>D$55*(1-K$14)*(1-'Assumptions and Catalog'!$C$23)^R509</f>
        <v>0</v>
      </c>
      <c r="Q509" s="5">
        <f>IF(ISNUMBER(Inputs!$L$5),(IF(Inputs!$L$9="Actual flat rate",((D509+E509)*C509-G509)*Inputs!$L$10,IF(Inputs!$C$9="Residential",IF(((D509+E509)*C509-G509)&lt;='Assumptions and Catalog'!$C$50,((D509+E509)*C509-G509)*'Assumptions and Catalog'!$H$50+'Assumptions and Catalog'!$E$50+'Assumptions and Catalog'!$F$50,IF(((D509+E509)*C509-G509)&lt;='Assumptions and Catalog'!$C$51,((D509+E509)*C509-G509)*'Assumptions and Catalog'!$H$51+'Assumptions and Catalog'!$E$51+'Assumptions and Catalog'!$F$51,IF(((D509+E509)*C509-G509)&lt;='Assumptions and Catalog'!$C$52,((D509+E509)*C509-G509)*'Assumptions and Catalog'!$H$52+'Assumptions and Catalog'!$E$52+'Assumptions and Catalog'!$F$52,IF(((D509+E509)*C509-G509)&lt;='Assumptions and Catalog'!$C$53,((D509+E509)*C509-G509)*'Assumptions and Catalog'!$H$53+'Assumptions and Catalog'!$E$53+'Assumptions and Catalog'!$F$53,IF(((D509+E509)*C509-G509)&lt;='Assumptions and Catalog'!$C$54,((D509+E509)*C509-G509)*'Assumptions and Catalog'!$H$54+'Assumptions and Catalog'!$E$54+'Assumptions and Catalog'!$F$54,IF(((D509+E509)*C509-G509)&lt;='Assumptions and Catalog'!$C$55,((D509+E509)*C509-G509)*'Assumptions and Catalog'!$H$55+'Assumptions and Catalog'!$E$55+'Assumptions and Catalog'!$F$55,IF(((D509+E509)*C509-G509)&lt;='Assumptions and Catalog'!$C$56,((D509+E509)*C509-G509)*'Assumptions and Catalog'!$H$56+'Assumptions and Catalog'!$E$56+'Assumptions and Catalog'!$F$56,IF(((D509+E509)*C509-G509)&lt;='Assumptions and Catalog'!$C$57,((D509+E509)*C509-G509)*'Assumptions and Catalog'!$H$57+'Assumptions and Catalog'!$E$57+'Assumptions and Catalog'!$F$57,"Out of range")))))))),IF(((D509+E509)*C509-G509)&lt;='Assumptions and Catalog'!$C$60,((D509+E509)*C509-G509)*'Assumptions and Catalog'!$H$60+'Assumptions and Catalog'!$E$60+'Assumptions and Catalog'!$F$60,IF(((D509+E509)*C509-G509)&lt;='Assumptions and Catalog'!$C$61,((D509+E509)*C509-G509)*'Assumptions and Catalog'!$H$61+'Assumptions and Catalog'!$E$61+'Assumptions and Catalog'!$F$61,IF(((D509+E509)*C509-G509)&lt;='Assumptions and Catalog'!$C$62,((D509+E509)*C509-G509)*'Assumptions and Catalog'!$H$62+'Assumptions and Catalog'!$E$62+'Assumptions and Catalog'!$F$62,IF(((D509+E509)*C509-G509)&lt;='Assumptions and Catalog'!$C$63,((D509+E509)*C509-G509)*'Assumptions and Catalog'!$H$63+'Assumptions and Catalog'!$E$63+'Assumptions and Catalog'!$F$63,IF(((D509+E509)*C509-G509)&lt;='Assumptions and Catalog'!$C$64,((D509+E509)*C509-G509)*'Assumptions and Catalog'!$H$64+'Assumptions and Catalog'!$E$64+'Assumptions and Catalog'!$F$64,IF(((D509+E509)*C509-G509)&lt;='Assumptions and Catalog'!$C$65,((D509+E509)*C509-G509)*'Assumptions and Catalog'!$H$65+'Assumptions and Catalog'!$E$65+'Assumptions and Catalog'!$F$65,"Out of range")))))))))*(1+'Assumptions and Catalog'!$C$8)^(A509-1),0)</f>
        <v>8554.9666666666672</v>
      </c>
      <c r="R509" s="5">
        <f>IF(AND('Assumptions and Catalog'!$C$19&gt;0,A509&gt;='Assumptions and Catalog'!$C$19),A509-'Assumptions and Catalog'!$C$19,A509-1)</f>
        <v>8</v>
      </c>
      <c r="S509" s="5">
        <f>F509+L509-(D509+E509)*C509-J509-K509-IF(D$52&gt;0,'Assumptions and Catalog'!$C$26*C509,0)</f>
        <v>0</v>
      </c>
      <c r="T509" s="5"/>
      <c r="U509" s="5"/>
    </row>
    <row r="510" spans="1:21" ht="23.1" customHeight="1" outlineLevel="1" x14ac:dyDescent="0.2">
      <c r="A510" s="5">
        <v>9</v>
      </c>
      <c r="B510" s="5">
        <v>4</v>
      </c>
      <c r="C510" s="5">
        <f>DAY(DATE('Assumptions and Catalog'!$C$24+A510-1,B510+1,0))</f>
        <v>30</v>
      </c>
      <c r="D510" s="5">
        <f>IF(ISNUMBER(Inputs!$L$5),Inputs!$L$5*Inputs!$L$6,0)</f>
        <v>40.35</v>
      </c>
      <c r="E510" s="5">
        <f>IF(ISNUMBER(Inputs!$L$5),Inputs!$L$5-D510,0)</f>
        <v>40.35</v>
      </c>
      <c r="F510" s="5">
        <f>D$51*'Assumptions and Catalog'!$C$31*C510*(1-'Assumptions and Catalog'!$C$10)^(A510-1)</f>
        <v>0</v>
      </c>
      <c r="G510" s="5">
        <f t="shared" si="36"/>
        <v>0</v>
      </c>
      <c r="H510" s="5">
        <f>I510/('Assumptions and Catalog'!$C$11*'Assumptions and Catalog'!$C$12)</f>
        <v>0</v>
      </c>
      <c r="I510" s="5">
        <f>IF(K$15="Grid cycle",MIN(K$16,D510+E510,P510*'Assumptions and Catalog'!$C$12,D$57*(24-'Assumptions and Catalog'!$C$15),D$56*'Assumptions and Catalog'!$C$15*'Assumptions and Catalog'!$C$11*'Assumptions and Catalog'!$C$12)*C510,0)</f>
        <v>0</v>
      </c>
      <c r="J510" s="5">
        <f t="shared" si="37"/>
        <v>0</v>
      </c>
      <c r="K510" s="5">
        <f t="shared" si="38"/>
        <v>0</v>
      </c>
      <c r="L510" s="5">
        <f>(D510+E510)*C510-G510-I510+H510+IF(D$52&gt;0,'Assumptions and Catalog'!$C$26*C510,0)</f>
        <v>2421</v>
      </c>
      <c r="M510" s="5">
        <f>IF(ISNUMBER(Inputs!$L$5),(IF(Inputs!$L$9="Actual flat rate",((D510+E510)*C510)*Inputs!$L$10,IF(Inputs!$C$9="Residential",IF(((D510+E510)*C510)&lt;='Assumptions and Catalog'!$C$50,((D510+E510)*C510)*'Assumptions and Catalog'!$H$50+'Assumptions and Catalog'!$E$50+'Assumptions and Catalog'!$F$50,IF(((D510+E510)*C510)&lt;='Assumptions and Catalog'!$C$51,((D510+E510)*C510)*'Assumptions and Catalog'!$H$51+'Assumptions and Catalog'!$E$51+'Assumptions and Catalog'!$F$51,IF(((D510+E510)*C510)&lt;='Assumptions and Catalog'!$C$52,((D510+E510)*C510)*'Assumptions and Catalog'!$H$52+'Assumptions and Catalog'!$E$52+'Assumptions and Catalog'!$F$52,IF(((D510+E510)*C510)&lt;='Assumptions and Catalog'!$C$53,((D510+E510)*C510)*'Assumptions and Catalog'!$H$53+'Assumptions and Catalog'!$E$53+'Assumptions and Catalog'!$F$53,IF(((D510+E510)*C510)&lt;='Assumptions and Catalog'!$C$54,((D510+E510)*C510)*'Assumptions and Catalog'!$H$54+'Assumptions and Catalog'!$E$54+'Assumptions and Catalog'!$F$54,IF(((D510+E510)*C510)&lt;='Assumptions and Catalog'!$C$55,((D510+E510)*C510)*'Assumptions and Catalog'!$H$55+'Assumptions and Catalog'!$E$55+'Assumptions and Catalog'!$F$55,IF(((D510+E510)*C510)&lt;='Assumptions and Catalog'!$C$56,((D510+E510)*C510)*'Assumptions and Catalog'!$H$56+'Assumptions and Catalog'!$E$56+'Assumptions and Catalog'!$F$56,IF(((D510+E510)*C510)&lt;='Assumptions and Catalog'!$C$57,((D510+E510)*C510)*'Assumptions and Catalog'!$H$57+'Assumptions and Catalog'!$E$57+'Assumptions and Catalog'!$F$57,"Out of range")))))))),IF(((D510+E510)*C510)&lt;='Assumptions and Catalog'!$C$60,((D510+E510)*C510)*'Assumptions and Catalog'!$H$60+'Assumptions and Catalog'!$E$60+'Assumptions and Catalog'!$F$60,IF(((D510+E510)*C510)&lt;='Assumptions and Catalog'!$C$61,((D510+E510)*C510)*'Assumptions and Catalog'!$H$61+'Assumptions and Catalog'!$E$61+'Assumptions and Catalog'!$F$61,IF(((D510+E510)*C510)&lt;='Assumptions and Catalog'!$C$62,((D510+E510)*C510)*'Assumptions and Catalog'!$H$62+'Assumptions and Catalog'!$E$62+'Assumptions and Catalog'!$F$62,IF(((D510+E510)*C510)&lt;='Assumptions and Catalog'!$C$63,((D510+E510)*C510)*'Assumptions and Catalog'!$H$63+'Assumptions and Catalog'!$E$63+'Assumptions and Catalog'!$F$63,IF(((D510+E510)*C510)&lt;='Assumptions and Catalog'!$C$64,((D510+E510)*C510)*'Assumptions and Catalog'!$H$64+'Assumptions and Catalog'!$E$64+'Assumptions and Catalog'!$F$64,IF(((D510+E510)*C510)&lt;='Assumptions and Catalog'!$C$65,((D510+E510)*C510)*'Assumptions and Catalog'!$H$65+'Assumptions and Catalog'!$E$65+'Assumptions and Catalog'!$F$65,"Out of range")))))))))*(1+'Assumptions and Catalog'!$C$8)^(A510-1),0)</f>
        <v>8279</v>
      </c>
      <c r="N510" s="5">
        <f>IF(ISNUMBER(Inputs!$L$5),(IF(Inputs!$L$9="Actual flat rate",L510*Inputs!$L$10,IF(Inputs!$C$9="Residential",IF(L510&lt;='Assumptions and Catalog'!$C$50,L510*'Assumptions and Catalog'!$H$50+'Assumptions and Catalog'!$E$50+'Assumptions and Catalog'!$F$50,IF(L510&lt;='Assumptions and Catalog'!$C$51,L510*'Assumptions and Catalog'!$H$51+'Assumptions and Catalog'!$E$51+'Assumptions and Catalog'!$F$51,IF(L510&lt;='Assumptions and Catalog'!$C$52,L510*'Assumptions and Catalog'!$H$52+'Assumptions and Catalog'!$E$52+'Assumptions and Catalog'!$F$52,IF(L510&lt;='Assumptions and Catalog'!$C$53,L510*'Assumptions and Catalog'!$H$53+'Assumptions and Catalog'!$E$53+'Assumptions and Catalog'!$F$53,IF(L510&lt;='Assumptions and Catalog'!$C$54,L510*'Assumptions and Catalog'!$H$54+'Assumptions and Catalog'!$E$54+'Assumptions and Catalog'!$F$54,IF(L510&lt;='Assumptions and Catalog'!$C$55,L510*'Assumptions and Catalog'!$H$55+'Assumptions and Catalog'!$E$55+'Assumptions and Catalog'!$F$55,IF(L510&lt;='Assumptions and Catalog'!$C$56,L510*'Assumptions and Catalog'!$H$56+'Assumptions and Catalog'!$E$56+'Assumptions and Catalog'!$F$56,IF(L510&lt;='Assumptions and Catalog'!$C$57,L510*'Assumptions and Catalog'!$H$57+'Assumptions and Catalog'!$E$57+'Assumptions and Catalog'!$F$57,"Out of range")))))))),IF(L510&lt;='Assumptions and Catalog'!$C$60,L510*'Assumptions and Catalog'!$H$60+'Assumptions and Catalog'!$E$60+'Assumptions and Catalog'!$F$60,IF(L510&lt;='Assumptions and Catalog'!$C$61,L510*'Assumptions and Catalog'!$H$61+'Assumptions and Catalog'!$E$61+'Assumptions and Catalog'!$F$61,IF(L510&lt;='Assumptions and Catalog'!$C$62,L510*'Assumptions and Catalog'!$H$62+'Assumptions and Catalog'!$E$62+'Assumptions and Catalog'!$F$62,IF(L510&lt;='Assumptions and Catalog'!$C$63,L510*'Assumptions and Catalog'!$H$63+'Assumptions and Catalog'!$E$63+'Assumptions and Catalog'!$F$63,IF(L510&lt;='Assumptions and Catalog'!$C$64,L510*'Assumptions and Catalog'!$H$64+'Assumptions and Catalog'!$E$64+'Assumptions and Catalog'!$F$64,IF(L510&lt;='Assumptions and Catalog'!$C$65,L510*'Assumptions and Catalog'!$H$65+'Assumptions and Catalog'!$E$65+'Assumptions and Catalog'!$F$65,"Out of range")))))))))*(1+'Assumptions and Catalog'!$C$8)^(A510-1),0)</f>
        <v>8279</v>
      </c>
      <c r="O510" s="5">
        <f t="shared" si="39"/>
        <v>0</v>
      </c>
      <c r="P510" s="5">
        <f>D$55*(1-K$14)*(1-'Assumptions and Catalog'!$C$23)^R510</f>
        <v>0</v>
      </c>
      <c r="Q510" s="5">
        <f>IF(ISNUMBER(Inputs!$L$5),(IF(Inputs!$L$9="Actual flat rate",((D510+E510)*C510-G510)*Inputs!$L$10,IF(Inputs!$C$9="Residential",IF(((D510+E510)*C510-G510)&lt;='Assumptions and Catalog'!$C$50,((D510+E510)*C510-G510)*'Assumptions and Catalog'!$H$50+'Assumptions and Catalog'!$E$50+'Assumptions and Catalog'!$F$50,IF(((D510+E510)*C510-G510)&lt;='Assumptions and Catalog'!$C$51,((D510+E510)*C510-G510)*'Assumptions and Catalog'!$H$51+'Assumptions and Catalog'!$E$51+'Assumptions and Catalog'!$F$51,IF(((D510+E510)*C510-G510)&lt;='Assumptions and Catalog'!$C$52,((D510+E510)*C510-G510)*'Assumptions and Catalog'!$H$52+'Assumptions and Catalog'!$E$52+'Assumptions and Catalog'!$F$52,IF(((D510+E510)*C510-G510)&lt;='Assumptions and Catalog'!$C$53,((D510+E510)*C510-G510)*'Assumptions and Catalog'!$H$53+'Assumptions and Catalog'!$E$53+'Assumptions and Catalog'!$F$53,IF(((D510+E510)*C510-G510)&lt;='Assumptions and Catalog'!$C$54,((D510+E510)*C510-G510)*'Assumptions and Catalog'!$H$54+'Assumptions and Catalog'!$E$54+'Assumptions and Catalog'!$F$54,IF(((D510+E510)*C510-G510)&lt;='Assumptions and Catalog'!$C$55,((D510+E510)*C510-G510)*'Assumptions and Catalog'!$H$55+'Assumptions and Catalog'!$E$55+'Assumptions and Catalog'!$F$55,IF(((D510+E510)*C510-G510)&lt;='Assumptions and Catalog'!$C$56,((D510+E510)*C510-G510)*'Assumptions and Catalog'!$H$56+'Assumptions and Catalog'!$E$56+'Assumptions and Catalog'!$F$56,IF(((D510+E510)*C510-G510)&lt;='Assumptions and Catalog'!$C$57,((D510+E510)*C510-G510)*'Assumptions and Catalog'!$H$57+'Assumptions and Catalog'!$E$57+'Assumptions and Catalog'!$F$57,"Out of range")))))))),IF(((D510+E510)*C510-G510)&lt;='Assumptions and Catalog'!$C$60,((D510+E510)*C510-G510)*'Assumptions and Catalog'!$H$60+'Assumptions and Catalog'!$E$60+'Assumptions and Catalog'!$F$60,IF(((D510+E510)*C510-G510)&lt;='Assumptions and Catalog'!$C$61,((D510+E510)*C510-G510)*'Assumptions and Catalog'!$H$61+'Assumptions and Catalog'!$E$61+'Assumptions and Catalog'!$F$61,IF(((D510+E510)*C510-G510)&lt;='Assumptions and Catalog'!$C$62,((D510+E510)*C510-G510)*'Assumptions and Catalog'!$H$62+'Assumptions and Catalog'!$E$62+'Assumptions and Catalog'!$F$62,IF(((D510+E510)*C510-G510)&lt;='Assumptions and Catalog'!$C$63,((D510+E510)*C510-G510)*'Assumptions and Catalog'!$H$63+'Assumptions and Catalog'!$E$63+'Assumptions and Catalog'!$F$63,IF(((D510+E510)*C510-G510)&lt;='Assumptions and Catalog'!$C$64,((D510+E510)*C510-G510)*'Assumptions and Catalog'!$H$64+'Assumptions and Catalog'!$E$64+'Assumptions and Catalog'!$F$64,IF(((D510+E510)*C510-G510)&lt;='Assumptions and Catalog'!$C$65,((D510+E510)*C510-G510)*'Assumptions and Catalog'!$H$65+'Assumptions and Catalog'!$E$65+'Assumptions and Catalog'!$F$65,"Out of range")))))))))*(1+'Assumptions and Catalog'!$C$8)^(A510-1),0)</f>
        <v>8279</v>
      </c>
      <c r="R510" s="5">
        <f>IF(AND('Assumptions and Catalog'!$C$19&gt;0,A510&gt;='Assumptions and Catalog'!$C$19),A510-'Assumptions and Catalog'!$C$19,A510-1)</f>
        <v>8</v>
      </c>
      <c r="S510" s="5">
        <f>F510+L510-(D510+E510)*C510-J510-K510-IF(D$52&gt;0,'Assumptions and Catalog'!$C$26*C510,0)</f>
        <v>0</v>
      </c>
      <c r="T510" s="5"/>
      <c r="U510" s="5"/>
    </row>
    <row r="511" spans="1:21" ht="23.1" customHeight="1" outlineLevel="1" x14ac:dyDescent="0.2">
      <c r="A511" s="5">
        <v>9</v>
      </c>
      <c r="B511" s="5">
        <v>5</v>
      </c>
      <c r="C511" s="5">
        <f>DAY(DATE('Assumptions and Catalog'!$C$24+A511-1,B511+1,0))</f>
        <v>31</v>
      </c>
      <c r="D511" s="5">
        <f>IF(ISNUMBER(Inputs!$L$5),Inputs!$L$5*Inputs!$L$6,0)</f>
        <v>40.35</v>
      </c>
      <c r="E511" s="5">
        <f>IF(ISNUMBER(Inputs!$L$5),Inputs!$L$5-D511,0)</f>
        <v>40.35</v>
      </c>
      <c r="F511" s="5">
        <f>D$51*'Assumptions and Catalog'!$C$31*C511*(1-'Assumptions and Catalog'!$C$10)^(A511-1)</f>
        <v>0</v>
      </c>
      <c r="G511" s="5">
        <f t="shared" si="36"/>
        <v>0</v>
      </c>
      <c r="H511" s="5">
        <f>I511/('Assumptions and Catalog'!$C$11*'Assumptions and Catalog'!$C$12)</f>
        <v>0</v>
      </c>
      <c r="I511" s="5">
        <f>IF(K$15="Grid cycle",MIN(K$16,D511+E511,P511*'Assumptions and Catalog'!$C$12,D$57*(24-'Assumptions and Catalog'!$C$15),D$56*'Assumptions and Catalog'!$C$15*'Assumptions and Catalog'!$C$11*'Assumptions and Catalog'!$C$12)*C511,0)</f>
        <v>0</v>
      </c>
      <c r="J511" s="5">
        <f t="shared" si="37"/>
        <v>0</v>
      </c>
      <c r="K511" s="5">
        <f t="shared" si="38"/>
        <v>0</v>
      </c>
      <c r="L511" s="5">
        <f>(D511+E511)*C511-G511-I511+H511+IF(D$52&gt;0,'Assumptions and Catalog'!$C$26*C511,0)</f>
        <v>2501.7000000000003</v>
      </c>
      <c r="M511" s="5">
        <f>IF(ISNUMBER(Inputs!$L$5),(IF(Inputs!$L$9="Actual flat rate",((D511+E511)*C511)*Inputs!$L$10,IF(Inputs!$C$9="Residential",IF(((D511+E511)*C511)&lt;='Assumptions and Catalog'!$C$50,((D511+E511)*C511)*'Assumptions and Catalog'!$H$50+'Assumptions and Catalog'!$E$50+'Assumptions and Catalog'!$F$50,IF(((D511+E511)*C511)&lt;='Assumptions and Catalog'!$C$51,((D511+E511)*C511)*'Assumptions and Catalog'!$H$51+'Assumptions and Catalog'!$E$51+'Assumptions and Catalog'!$F$51,IF(((D511+E511)*C511)&lt;='Assumptions and Catalog'!$C$52,((D511+E511)*C511)*'Assumptions and Catalog'!$H$52+'Assumptions and Catalog'!$E$52+'Assumptions and Catalog'!$F$52,IF(((D511+E511)*C511)&lt;='Assumptions and Catalog'!$C$53,((D511+E511)*C511)*'Assumptions and Catalog'!$H$53+'Assumptions and Catalog'!$E$53+'Assumptions and Catalog'!$F$53,IF(((D511+E511)*C511)&lt;='Assumptions and Catalog'!$C$54,((D511+E511)*C511)*'Assumptions and Catalog'!$H$54+'Assumptions and Catalog'!$E$54+'Assumptions and Catalog'!$F$54,IF(((D511+E511)*C511)&lt;='Assumptions and Catalog'!$C$55,((D511+E511)*C511)*'Assumptions and Catalog'!$H$55+'Assumptions and Catalog'!$E$55+'Assumptions and Catalog'!$F$55,IF(((D511+E511)*C511)&lt;='Assumptions and Catalog'!$C$56,((D511+E511)*C511)*'Assumptions and Catalog'!$H$56+'Assumptions and Catalog'!$E$56+'Assumptions and Catalog'!$F$56,IF(((D511+E511)*C511)&lt;='Assumptions and Catalog'!$C$57,((D511+E511)*C511)*'Assumptions and Catalog'!$H$57+'Assumptions and Catalog'!$E$57+'Assumptions and Catalog'!$F$57,"Out of range")))))))),IF(((D511+E511)*C511)&lt;='Assumptions and Catalog'!$C$60,((D511+E511)*C511)*'Assumptions and Catalog'!$H$60+'Assumptions and Catalog'!$E$60+'Assumptions and Catalog'!$F$60,IF(((D511+E511)*C511)&lt;='Assumptions and Catalog'!$C$61,((D511+E511)*C511)*'Assumptions and Catalog'!$H$61+'Assumptions and Catalog'!$E$61+'Assumptions and Catalog'!$F$61,IF(((D511+E511)*C511)&lt;='Assumptions and Catalog'!$C$62,((D511+E511)*C511)*'Assumptions and Catalog'!$H$62+'Assumptions and Catalog'!$E$62+'Assumptions and Catalog'!$F$62,IF(((D511+E511)*C511)&lt;='Assumptions and Catalog'!$C$63,((D511+E511)*C511)*'Assumptions and Catalog'!$H$63+'Assumptions and Catalog'!$E$63+'Assumptions and Catalog'!$F$63,IF(((D511+E511)*C511)&lt;='Assumptions and Catalog'!$C$64,((D511+E511)*C511)*'Assumptions and Catalog'!$H$64+'Assumptions and Catalog'!$E$64+'Assumptions and Catalog'!$F$64,IF(((D511+E511)*C511)&lt;='Assumptions and Catalog'!$C$65,((D511+E511)*C511)*'Assumptions and Catalog'!$H$65+'Assumptions and Catalog'!$E$65+'Assumptions and Catalog'!$F$65,"Out of range")))))))))*(1+'Assumptions and Catalog'!$C$8)^(A511-1),0)</f>
        <v>8554.9666666666672</v>
      </c>
      <c r="N511" s="5">
        <f>IF(ISNUMBER(Inputs!$L$5),(IF(Inputs!$L$9="Actual flat rate",L511*Inputs!$L$10,IF(Inputs!$C$9="Residential",IF(L511&lt;='Assumptions and Catalog'!$C$50,L511*'Assumptions and Catalog'!$H$50+'Assumptions and Catalog'!$E$50+'Assumptions and Catalog'!$F$50,IF(L511&lt;='Assumptions and Catalog'!$C$51,L511*'Assumptions and Catalog'!$H$51+'Assumptions and Catalog'!$E$51+'Assumptions and Catalog'!$F$51,IF(L511&lt;='Assumptions and Catalog'!$C$52,L511*'Assumptions and Catalog'!$H$52+'Assumptions and Catalog'!$E$52+'Assumptions and Catalog'!$F$52,IF(L511&lt;='Assumptions and Catalog'!$C$53,L511*'Assumptions and Catalog'!$H$53+'Assumptions and Catalog'!$E$53+'Assumptions and Catalog'!$F$53,IF(L511&lt;='Assumptions and Catalog'!$C$54,L511*'Assumptions and Catalog'!$H$54+'Assumptions and Catalog'!$E$54+'Assumptions and Catalog'!$F$54,IF(L511&lt;='Assumptions and Catalog'!$C$55,L511*'Assumptions and Catalog'!$H$55+'Assumptions and Catalog'!$E$55+'Assumptions and Catalog'!$F$55,IF(L511&lt;='Assumptions and Catalog'!$C$56,L511*'Assumptions and Catalog'!$H$56+'Assumptions and Catalog'!$E$56+'Assumptions and Catalog'!$F$56,IF(L511&lt;='Assumptions and Catalog'!$C$57,L511*'Assumptions and Catalog'!$H$57+'Assumptions and Catalog'!$E$57+'Assumptions and Catalog'!$F$57,"Out of range")))))))),IF(L511&lt;='Assumptions and Catalog'!$C$60,L511*'Assumptions and Catalog'!$H$60+'Assumptions and Catalog'!$E$60+'Assumptions and Catalog'!$F$60,IF(L511&lt;='Assumptions and Catalog'!$C$61,L511*'Assumptions and Catalog'!$H$61+'Assumptions and Catalog'!$E$61+'Assumptions and Catalog'!$F$61,IF(L511&lt;='Assumptions and Catalog'!$C$62,L511*'Assumptions and Catalog'!$H$62+'Assumptions and Catalog'!$E$62+'Assumptions and Catalog'!$F$62,IF(L511&lt;='Assumptions and Catalog'!$C$63,L511*'Assumptions and Catalog'!$H$63+'Assumptions and Catalog'!$E$63+'Assumptions and Catalog'!$F$63,IF(L511&lt;='Assumptions and Catalog'!$C$64,L511*'Assumptions and Catalog'!$H$64+'Assumptions and Catalog'!$E$64+'Assumptions and Catalog'!$F$64,IF(L511&lt;='Assumptions and Catalog'!$C$65,L511*'Assumptions and Catalog'!$H$65+'Assumptions and Catalog'!$E$65+'Assumptions and Catalog'!$F$65,"Out of range")))))))))*(1+'Assumptions and Catalog'!$C$8)^(A511-1),0)</f>
        <v>8554.9666666666672</v>
      </c>
      <c r="O511" s="5">
        <f t="shared" si="39"/>
        <v>0</v>
      </c>
      <c r="P511" s="5">
        <f>D$55*(1-K$14)*(1-'Assumptions and Catalog'!$C$23)^R511</f>
        <v>0</v>
      </c>
      <c r="Q511" s="5">
        <f>IF(ISNUMBER(Inputs!$L$5),(IF(Inputs!$L$9="Actual flat rate",((D511+E511)*C511-G511)*Inputs!$L$10,IF(Inputs!$C$9="Residential",IF(((D511+E511)*C511-G511)&lt;='Assumptions and Catalog'!$C$50,((D511+E511)*C511-G511)*'Assumptions and Catalog'!$H$50+'Assumptions and Catalog'!$E$50+'Assumptions and Catalog'!$F$50,IF(((D511+E511)*C511-G511)&lt;='Assumptions and Catalog'!$C$51,((D511+E511)*C511-G511)*'Assumptions and Catalog'!$H$51+'Assumptions and Catalog'!$E$51+'Assumptions and Catalog'!$F$51,IF(((D511+E511)*C511-G511)&lt;='Assumptions and Catalog'!$C$52,((D511+E511)*C511-G511)*'Assumptions and Catalog'!$H$52+'Assumptions and Catalog'!$E$52+'Assumptions and Catalog'!$F$52,IF(((D511+E511)*C511-G511)&lt;='Assumptions and Catalog'!$C$53,((D511+E511)*C511-G511)*'Assumptions and Catalog'!$H$53+'Assumptions and Catalog'!$E$53+'Assumptions and Catalog'!$F$53,IF(((D511+E511)*C511-G511)&lt;='Assumptions and Catalog'!$C$54,((D511+E511)*C511-G511)*'Assumptions and Catalog'!$H$54+'Assumptions and Catalog'!$E$54+'Assumptions and Catalog'!$F$54,IF(((D511+E511)*C511-G511)&lt;='Assumptions and Catalog'!$C$55,((D511+E511)*C511-G511)*'Assumptions and Catalog'!$H$55+'Assumptions and Catalog'!$E$55+'Assumptions and Catalog'!$F$55,IF(((D511+E511)*C511-G511)&lt;='Assumptions and Catalog'!$C$56,((D511+E511)*C511-G511)*'Assumptions and Catalog'!$H$56+'Assumptions and Catalog'!$E$56+'Assumptions and Catalog'!$F$56,IF(((D511+E511)*C511-G511)&lt;='Assumptions and Catalog'!$C$57,((D511+E511)*C511-G511)*'Assumptions and Catalog'!$H$57+'Assumptions and Catalog'!$E$57+'Assumptions and Catalog'!$F$57,"Out of range")))))))),IF(((D511+E511)*C511-G511)&lt;='Assumptions and Catalog'!$C$60,((D511+E511)*C511-G511)*'Assumptions and Catalog'!$H$60+'Assumptions and Catalog'!$E$60+'Assumptions and Catalog'!$F$60,IF(((D511+E511)*C511-G511)&lt;='Assumptions and Catalog'!$C$61,((D511+E511)*C511-G511)*'Assumptions and Catalog'!$H$61+'Assumptions and Catalog'!$E$61+'Assumptions and Catalog'!$F$61,IF(((D511+E511)*C511-G511)&lt;='Assumptions and Catalog'!$C$62,((D511+E511)*C511-G511)*'Assumptions and Catalog'!$H$62+'Assumptions and Catalog'!$E$62+'Assumptions and Catalog'!$F$62,IF(((D511+E511)*C511-G511)&lt;='Assumptions and Catalog'!$C$63,((D511+E511)*C511-G511)*'Assumptions and Catalog'!$H$63+'Assumptions and Catalog'!$E$63+'Assumptions and Catalog'!$F$63,IF(((D511+E511)*C511-G511)&lt;='Assumptions and Catalog'!$C$64,((D511+E511)*C511-G511)*'Assumptions and Catalog'!$H$64+'Assumptions and Catalog'!$E$64+'Assumptions and Catalog'!$F$64,IF(((D511+E511)*C511-G511)&lt;='Assumptions and Catalog'!$C$65,((D511+E511)*C511-G511)*'Assumptions and Catalog'!$H$65+'Assumptions and Catalog'!$E$65+'Assumptions and Catalog'!$F$65,"Out of range")))))))))*(1+'Assumptions and Catalog'!$C$8)^(A511-1),0)</f>
        <v>8554.9666666666672</v>
      </c>
      <c r="R511" s="5">
        <f>IF(AND('Assumptions and Catalog'!$C$19&gt;0,A511&gt;='Assumptions and Catalog'!$C$19),A511-'Assumptions and Catalog'!$C$19,A511-1)</f>
        <v>8</v>
      </c>
      <c r="S511" s="5">
        <f>F511+L511-(D511+E511)*C511-J511-K511-IF(D$52&gt;0,'Assumptions and Catalog'!$C$26*C511,0)</f>
        <v>0</v>
      </c>
      <c r="T511" s="5"/>
      <c r="U511" s="5"/>
    </row>
    <row r="512" spans="1:21" ht="23.1" customHeight="1" outlineLevel="1" x14ac:dyDescent="0.2">
      <c r="A512" s="5">
        <v>9</v>
      </c>
      <c r="B512" s="5">
        <v>6</v>
      </c>
      <c r="C512" s="5">
        <f>DAY(DATE('Assumptions and Catalog'!$C$24+A512-1,B512+1,0))</f>
        <v>30</v>
      </c>
      <c r="D512" s="5">
        <f>IF(ISNUMBER(Inputs!$L$5),Inputs!$L$5*Inputs!$L$6,0)</f>
        <v>40.35</v>
      </c>
      <c r="E512" s="5">
        <f>IF(ISNUMBER(Inputs!$L$5),Inputs!$L$5-D512,0)</f>
        <v>40.35</v>
      </c>
      <c r="F512" s="5">
        <f>D$51*'Assumptions and Catalog'!$C$31*C512*(1-'Assumptions and Catalog'!$C$10)^(A512-1)</f>
        <v>0</v>
      </c>
      <c r="G512" s="5">
        <f t="shared" si="36"/>
        <v>0</v>
      </c>
      <c r="H512" s="5">
        <f>I512/('Assumptions and Catalog'!$C$11*'Assumptions and Catalog'!$C$12)</f>
        <v>0</v>
      </c>
      <c r="I512" s="5">
        <f>IF(K$15="Grid cycle",MIN(K$16,D512+E512,P512*'Assumptions and Catalog'!$C$12,D$57*(24-'Assumptions and Catalog'!$C$15),D$56*'Assumptions and Catalog'!$C$15*'Assumptions and Catalog'!$C$11*'Assumptions and Catalog'!$C$12)*C512,0)</f>
        <v>0</v>
      </c>
      <c r="J512" s="5">
        <f t="shared" si="37"/>
        <v>0</v>
      </c>
      <c r="K512" s="5">
        <f t="shared" si="38"/>
        <v>0</v>
      </c>
      <c r="L512" s="5">
        <f>(D512+E512)*C512-G512-I512+H512+IF(D$52&gt;0,'Assumptions and Catalog'!$C$26*C512,0)</f>
        <v>2421</v>
      </c>
      <c r="M512" s="5">
        <f>IF(ISNUMBER(Inputs!$L$5),(IF(Inputs!$L$9="Actual flat rate",((D512+E512)*C512)*Inputs!$L$10,IF(Inputs!$C$9="Residential",IF(((D512+E512)*C512)&lt;='Assumptions and Catalog'!$C$50,((D512+E512)*C512)*'Assumptions and Catalog'!$H$50+'Assumptions and Catalog'!$E$50+'Assumptions and Catalog'!$F$50,IF(((D512+E512)*C512)&lt;='Assumptions and Catalog'!$C$51,((D512+E512)*C512)*'Assumptions and Catalog'!$H$51+'Assumptions and Catalog'!$E$51+'Assumptions and Catalog'!$F$51,IF(((D512+E512)*C512)&lt;='Assumptions and Catalog'!$C$52,((D512+E512)*C512)*'Assumptions and Catalog'!$H$52+'Assumptions and Catalog'!$E$52+'Assumptions and Catalog'!$F$52,IF(((D512+E512)*C512)&lt;='Assumptions and Catalog'!$C$53,((D512+E512)*C512)*'Assumptions and Catalog'!$H$53+'Assumptions and Catalog'!$E$53+'Assumptions and Catalog'!$F$53,IF(((D512+E512)*C512)&lt;='Assumptions and Catalog'!$C$54,((D512+E512)*C512)*'Assumptions and Catalog'!$H$54+'Assumptions and Catalog'!$E$54+'Assumptions and Catalog'!$F$54,IF(((D512+E512)*C512)&lt;='Assumptions and Catalog'!$C$55,((D512+E512)*C512)*'Assumptions and Catalog'!$H$55+'Assumptions and Catalog'!$E$55+'Assumptions and Catalog'!$F$55,IF(((D512+E512)*C512)&lt;='Assumptions and Catalog'!$C$56,((D512+E512)*C512)*'Assumptions and Catalog'!$H$56+'Assumptions and Catalog'!$E$56+'Assumptions and Catalog'!$F$56,IF(((D512+E512)*C512)&lt;='Assumptions and Catalog'!$C$57,((D512+E512)*C512)*'Assumptions and Catalog'!$H$57+'Assumptions and Catalog'!$E$57+'Assumptions and Catalog'!$F$57,"Out of range")))))))),IF(((D512+E512)*C512)&lt;='Assumptions and Catalog'!$C$60,((D512+E512)*C512)*'Assumptions and Catalog'!$H$60+'Assumptions and Catalog'!$E$60+'Assumptions and Catalog'!$F$60,IF(((D512+E512)*C512)&lt;='Assumptions and Catalog'!$C$61,((D512+E512)*C512)*'Assumptions and Catalog'!$H$61+'Assumptions and Catalog'!$E$61+'Assumptions and Catalog'!$F$61,IF(((D512+E512)*C512)&lt;='Assumptions and Catalog'!$C$62,((D512+E512)*C512)*'Assumptions and Catalog'!$H$62+'Assumptions and Catalog'!$E$62+'Assumptions and Catalog'!$F$62,IF(((D512+E512)*C512)&lt;='Assumptions and Catalog'!$C$63,((D512+E512)*C512)*'Assumptions and Catalog'!$H$63+'Assumptions and Catalog'!$E$63+'Assumptions and Catalog'!$F$63,IF(((D512+E512)*C512)&lt;='Assumptions and Catalog'!$C$64,((D512+E512)*C512)*'Assumptions and Catalog'!$H$64+'Assumptions and Catalog'!$E$64+'Assumptions and Catalog'!$F$64,IF(((D512+E512)*C512)&lt;='Assumptions and Catalog'!$C$65,((D512+E512)*C512)*'Assumptions and Catalog'!$H$65+'Assumptions and Catalog'!$E$65+'Assumptions and Catalog'!$F$65,"Out of range")))))))))*(1+'Assumptions and Catalog'!$C$8)^(A512-1),0)</f>
        <v>8279</v>
      </c>
      <c r="N512" s="5">
        <f>IF(ISNUMBER(Inputs!$L$5),(IF(Inputs!$L$9="Actual flat rate",L512*Inputs!$L$10,IF(Inputs!$C$9="Residential",IF(L512&lt;='Assumptions and Catalog'!$C$50,L512*'Assumptions and Catalog'!$H$50+'Assumptions and Catalog'!$E$50+'Assumptions and Catalog'!$F$50,IF(L512&lt;='Assumptions and Catalog'!$C$51,L512*'Assumptions and Catalog'!$H$51+'Assumptions and Catalog'!$E$51+'Assumptions and Catalog'!$F$51,IF(L512&lt;='Assumptions and Catalog'!$C$52,L512*'Assumptions and Catalog'!$H$52+'Assumptions and Catalog'!$E$52+'Assumptions and Catalog'!$F$52,IF(L512&lt;='Assumptions and Catalog'!$C$53,L512*'Assumptions and Catalog'!$H$53+'Assumptions and Catalog'!$E$53+'Assumptions and Catalog'!$F$53,IF(L512&lt;='Assumptions and Catalog'!$C$54,L512*'Assumptions and Catalog'!$H$54+'Assumptions and Catalog'!$E$54+'Assumptions and Catalog'!$F$54,IF(L512&lt;='Assumptions and Catalog'!$C$55,L512*'Assumptions and Catalog'!$H$55+'Assumptions and Catalog'!$E$55+'Assumptions and Catalog'!$F$55,IF(L512&lt;='Assumptions and Catalog'!$C$56,L512*'Assumptions and Catalog'!$H$56+'Assumptions and Catalog'!$E$56+'Assumptions and Catalog'!$F$56,IF(L512&lt;='Assumptions and Catalog'!$C$57,L512*'Assumptions and Catalog'!$H$57+'Assumptions and Catalog'!$E$57+'Assumptions and Catalog'!$F$57,"Out of range")))))))),IF(L512&lt;='Assumptions and Catalog'!$C$60,L512*'Assumptions and Catalog'!$H$60+'Assumptions and Catalog'!$E$60+'Assumptions and Catalog'!$F$60,IF(L512&lt;='Assumptions and Catalog'!$C$61,L512*'Assumptions and Catalog'!$H$61+'Assumptions and Catalog'!$E$61+'Assumptions and Catalog'!$F$61,IF(L512&lt;='Assumptions and Catalog'!$C$62,L512*'Assumptions and Catalog'!$H$62+'Assumptions and Catalog'!$E$62+'Assumptions and Catalog'!$F$62,IF(L512&lt;='Assumptions and Catalog'!$C$63,L512*'Assumptions and Catalog'!$H$63+'Assumptions and Catalog'!$E$63+'Assumptions and Catalog'!$F$63,IF(L512&lt;='Assumptions and Catalog'!$C$64,L512*'Assumptions and Catalog'!$H$64+'Assumptions and Catalog'!$E$64+'Assumptions and Catalog'!$F$64,IF(L512&lt;='Assumptions and Catalog'!$C$65,L512*'Assumptions and Catalog'!$H$65+'Assumptions and Catalog'!$E$65+'Assumptions and Catalog'!$F$65,"Out of range")))))))))*(1+'Assumptions and Catalog'!$C$8)^(A512-1),0)</f>
        <v>8279</v>
      </c>
      <c r="O512" s="5">
        <f t="shared" si="39"/>
        <v>0</v>
      </c>
      <c r="P512" s="5">
        <f>D$55*(1-K$14)*(1-'Assumptions and Catalog'!$C$23)^R512</f>
        <v>0</v>
      </c>
      <c r="Q512" s="5">
        <f>IF(ISNUMBER(Inputs!$L$5),(IF(Inputs!$L$9="Actual flat rate",((D512+E512)*C512-G512)*Inputs!$L$10,IF(Inputs!$C$9="Residential",IF(((D512+E512)*C512-G512)&lt;='Assumptions and Catalog'!$C$50,((D512+E512)*C512-G512)*'Assumptions and Catalog'!$H$50+'Assumptions and Catalog'!$E$50+'Assumptions and Catalog'!$F$50,IF(((D512+E512)*C512-G512)&lt;='Assumptions and Catalog'!$C$51,((D512+E512)*C512-G512)*'Assumptions and Catalog'!$H$51+'Assumptions and Catalog'!$E$51+'Assumptions and Catalog'!$F$51,IF(((D512+E512)*C512-G512)&lt;='Assumptions and Catalog'!$C$52,((D512+E512)*C512-G512)*'Assumptions and Catalog'!$H$52+'Assumptions and Catalog'!$E$52+'Assumptions and Catalog'!$F$52,IF(((D512+E512)*C512-G512)&lt;='Assumptions and Catalog'!$C$53,((D512+E512)*C512-G512)*'Assumptions and Catalog'!$H$53+'Assumptions and Catalog'!$E$53+'Assumptions and Catalog'!$F$53,IF(((D512+E512)*C512-G512)&lt;='Assumptions and Catalog'!$C$54,((D512+E512)*C512-G512)*'Assumptions and Catalog'!$H$54+'Assumptions and Catalog'!$E$54+'Assumptions and Catalog'!$F$54,IF(((D512+E512)*C512-G512)&lt;='Assumptions and Catalog'!$C$55,((D512+E512)*C512-G512)*'Assumptions and Catalog'!$H$55+'Assumptions and Catalog'!$E$55+'Assumptions and Catalog'!$F$55,IF(((D512+E512)*C512-G512)&lt;='Assumptions and Catalog'!$C$56,((D512+E512)*C512-G512)*'Assumptions and Catalog'!$H$56+'Assumptions and Catalog'!$E$56+'Assumptions and Catalog'!$F$56,IF(((D512+E512)*C512-G512)&lt;='Assumptions and Catalog'!$C$57,((D512+E512)*C512-G512)*'Assumptions and Catalog'!$H$57+'Assumptions and Catalog'!$E$57+'Assumptions and Catalog'!$F$57,"Out of range")))))))),IF(((D512+E512)*C512-G512)&lt;='Assumptions and Catalog'!$C$60,((D512+E512)*C512-G512)*'Assumptions and Catalog'!$H$60+'Assumptions and Catalog'!$E$60+'Assumptions and Catalog'!$F$60,IF(((D512+E512)*C512-G512)&lt;='Assumptions and Catalog'!$C$61,((D512+E512)*C512-G512)*'Assumptions and Catalog'!$H$61+'Assumptions and Catalog'!$E$61+'Assumptions and Catalog'!$F$61,IF(((D512+E512)*C512-G512)&lt;='Assumptions and Catalog'!$C$62,((D512+E512)*C512-G512)*'Assumptions and Catalog'!$H$62+'Assumptions and Catalog'!$E$62+'Assumptions and Catalog'!$F$62,IF(((D512+E512)*C512-G512)&lt;='Assumptions and Catalog'!$C$63,((D512+E512)*C512-G512)*'Assumptions and Catalog'!$H$63+'Assumptions and Catalog'!$E$63+'Assumptions and Catalog'!$F$63,IF(((D512+E512)*C512-G512)&lt;='Assumptions and Catalog'!$C$64,((D512+E512)*C512-G512)*'Assumptions and Catalog'!$H$64+'Assumptions and Catalog'!$E$64+'Assumptions and Catalog'!$F$64,IF(((D512+E512)*C512-G512)&lt;='Assumptions and Catalog'!$C$65,((D512+E512)*C512-G512)*'Assumptions and Catalog'!$H$65+'Assumptions and Catalog'!$E$65+'Assumptions and Catalog'!$F$65,"Out of range")))))))))*(1+'Assumptions and Catalog'!$C$8)^(A512-1),0)</f>
        <v>8279</v>
      </c>
      <c r="R512" s="5">
        <f>IF(AND('Assumptions and Catalog'!$C$19&gt;0,A512&gt;='Assumptions and Catalog'!$C$19),A512-'Assumptions and Catalog'!$C$19,A512-1)</f>
        <v>8</v>
      </c>
      <c r="S512" s="5">
        <f>F512+L512-(D512+E512)*C512-J512-K512-IF(D$52&gt;0,'Assumptions and Catalog'!$C$26*C512,0)</f>
        <v>0</v>
      </c>
      <c r="T512" s="5"/>
      <c r="U512" s="5"/>
    </row>
    <row r="513" spans="1:21" ht="23.1" customHeight="1" outlineLevel="1" x14ac:dyDescent="0.2">
      <c r="A513" s="5">
        <v>9</v>
      </c>
      <c r="B513" s="5">
        <v>7</v>
      </c>
      <c r="C513" s="5">
        <f>DAY(DATE('Assumptions and Catalog'!$C$24+A513-1,B513+1,0))</f>
        <v>31</v>
      </c>
      <c r="D513" s="5">
        <f>IF(ISNUMBER(Inputs!$L$5),Inputs!$L$5*Inputs!$L$6,0)</f>
        <v>40.35</v>
      </c>
      <c r="E513" s="5">
        <f>IF(ISNUMBER(Inputs!$L$5),Inputs!$L$5-D513,0)</f>
        <v>40.35</v>
      </c>
      <c r="F513" s="5">
        <f>D$51*'Assumptions and Catalog'!$C$31*C513*(1-'Assumptions and Catalog'!$C$10)^(A513-1)</f>
        <v>0</v>
      </c>
      <c r="G513" s="5">
        <f t="shared" si="36"/>
        <v>0</v>
      </c>
      <c r="H513" s="5">
        <f>I513/('Assumptions and Catalog'!$C$11*'Assumptions and Catalog'!$C$12)</f>
        <v>0</v>
      </c>
      <c r="I513" s="5">
        <f>IF(K$15="Grid cycle",MIN(K$16,D513+E513,P513*'Assumptions and Catalog'!$C$12,D$57*(24-'Assumptions and Catalog'!$C$15),D$56*'Assumptions and Catalog'!$C$15*'Assumptions and Catalog'!$C$11*'Assumptions and Catalog'!$C$12)*C513,0)</f>
        <v>0</v>
      </c>
      <c r="J513" s="5">
        <f t="shared" si="37"/>
        <v>0</v>
      </c>
      <c r="K513" s="5">
        <f t="shared" si="38"/>
        <v>0</v>
      </c>
      <c r="L513" s="5">
        <f>(D513+E513)*C513-G513-I513+H513+IF(D$52&gt;0,'Assumptions and Catalog'!$C$26*C513,0)</f>
        <v>2501.7000000000003</v>
      </c>
      <c r="M513" s="5">
        <f>IF(ISNUMBER(Inputs!$L$5),(IF(Inputs!$L$9="Actual flat rate",((D513+E513)*C513)*Inputs!$L$10,IF(Inputs!$C$9="Residential",IF(((D513+E513)*C513)&lt;='Assumptions and Catalog'!$C$50,((D513+E513)*C513)*'Assumptions and Catalog'!$H$50+'Assumptions and Catalog'!$E$50+'Assumptions and Catalog'!$F$50,IF(((D513+E513)*C513)&lt;='Assumptions and Catalog'!$C$51,((D513+E513)*C513)*'Assumptions and Catalog'!$H$51+'Assumptions and Catalog'!$E$51+'Assumptions and Catalog'!$F$51,IF(((D513+E513)*C513)&lt;='Assumptions and Catalog'!$C$52,((D513+E513)*C513)*'Assumptions and Catalog'!$H$52+'Assumptions and Catalog'!$E$52+'Assumptions and Catalog'!$F$52,IF(((D513+E513)*C513)&lt;='Assumptions and Catalog'!$C$53,((D513+E513)*C513)*'Assumptions and Catalog'!$H$53+'Assumptions and Catalog'!$E$53+'Assumptions and Catalog'!$F$53,IF(((D513+E513)*C513)&lt;='Assumptions and Catalog'!$C$54,((D513+E513)*C513)*'Assumptions and Catalog'!$H$54+'Assumptions and Catalog'!$E$54+'Assumptions and Catalog'!$F$54,IF(((D513+E513)*C513)&lt;='Assumptions and Catalog'!$C$55,((D513+E513)*C513)*'Assumptions and Catalog'!$H$55+'Assumptions and Catalog'!$E$55+'Assumptions and Catalog'!$F$55,IF(((D513+E513)*C513)&lt;='Assumptions and Catalog'!$C$56,((D513+E513)*C513)*'Assumptions and Catalog'!$H$56+'Assumptions and Catalog'!$E$56+'Assumptions and Catalog'!$F$56,IF(((D513+E513)*C513)&lt;='Assumptions and Catalog'!$C$57,((D513+E513)*C513)*'Assumptions and Catalog'!$H$57+'Assumptions and Catalog'!$E$57+'Assumptions and Catalog'!$F$57,"Out of range")))))))),IF(((D513+E513)*C513)&lt;='Assumptions and Catalog'!$C$60,((D513+E513)*C513)*'Assumptions and Catalog'!$H$60+'Assumptions and Catalog'!$E$60+'Assumptions and Catalog'!$F$60,IF(((D513+E513)*C513)&lt;='Assumptions and Catalog'!$C$61,((D513+E513)*C513)*'Assumptions and Catalog'!$H$61+'Assumptions and Catalog'!$E$61+'Assumptions and Catalog'!$F$61,IF(((D513+E513)*C513)&lt;='Assumptions and Catalog'!$C$62,((D513+E513)*C513)*'Assumptions and Catalog'!$H$62+'Assumptions and Catalog'!$E$62+'Assumptions and Catalog'!$F$62,IF(((D513+E513)*C513)&lt;='Assumptions and Catalog'!$C$63,((D513+E513)*C513)*'Assumptions and Catalog'!$H$63+'Assumptions and Catalog'!$E$63+'Assumptions and Catalog'!$F$63,IF(((D513+E513)*C513)&lt;='Assumptions and Catalog'!$C$64,((D513+E513)*C513)*'Assumptions and Catalog'!$H$64+'Assumptions and Catalog'!$E$64+'Assumptions and Catalog'!$F$64,IF(((D513+E513)*C513)&lt;='Assumptions and Catalog'!$C$65,((D513+E513)*C513)*'Assumptions and Catalog'!$H$65+'Assumptions and Catalog'!$E$65+'Assumptions and Catalog'!$F$65,"Out of range")))))))))*(1+'Assumptions and Catalog'!$C$8)^(A513-1),0)</f>
        <v>8554.9666666666672</v>
      </c>
      <c r="N513" s="5">
        <f>IF(ISNUMBER(Inputs!$L$5),(IF(Inputs!$L$9="Actual flat rate",L513*Inputs!$L$10,IF(Inputs!$C$9="Residential",IF(L513&lt;='Assumptions and Catalog'!$C$50,L513*'Assumptions and Catalog'!$H$50+'Assumptions and Catalog'!$E$50+'Assumptions and Catalog'!$F$50,IF(L513&lt;='Assumptions and Catalog'!$C$51,L513*'Assumptions and Catalog'!$H$51+'Assumptions and Catalog'!$E$51+'Assumptions and Catalog'!$F$51,IF(L513&lt;='Assumptions and Catalog'!$C$52,L513*'Assumptions and Catalog'!$H$52+'Assumptions and Catalog'!$E$52+'Assumptions and Catalog'!$F$52,IF(L513&lt;='Assumptions and Catalog'!$C$53,L513*'Assumptions and Catalog'!$H$53+'Assumptions and Catalog'!$E$53+'Assumptions and Catalog'!$F$53,IF(L513&lt;='Assumptions and Catalog'!$C$54,L513*'Assumptions and Catalog'!$H$54+'Assumptions and Catalog'!$E$54+'Assumptions and Catalog'!$F$54,IF(L513&lt;='Assumptions and Catalog'!$C$55,L513*'Assumptions and Catalog'!$H$55+'Assumptions and Catalog'!$E$55+'Assumptions and Catalog'!$F$55,IF(L513&lt;='Assumptions and Catalog'!$C$56,L513*'Assumptions and Catalog'!$H$56+'Assumptions and Catalog'!$E$56+'Assumptions and Catalog'!$F$56,IF(L513&lt;='Assumptions and Catalog'!$C$57,L513*'Assumptions and Catalog'!$H$57+'Assumptions and Catalog'!$E$57+'Assumptions and Catalog'!$F$57,"Out of range")))))))),IF(L513&lt;='Assumptions and Catalog'!$C$60,L513*'Assumptions and Catalog'!$H$60+'Assumptions and Catalog'!$E$60+'Assumptions and Catalog'!$F$60,IF(L513&lt;='Assumptions and Catalog'!$C$61,L513*'Assumptions and Catalog'!$H$61+'Assumptions and Catalog'!$E$61+'Assumptions and Catalog'!$F$61,IF(L513&lt;='Assumptions and Catalog'!$C$62,L513*'Assumptions and Catalog'!$H$62+'Assumptions and Catalog'!$E$62+'Assumptions and Catalog'!$F$62,IF(L513&lt;='Assumptions and Catalog'!$C$63,L513*'Assumptions and Catalog'!$H$63+'Assumptions and Catalog'!$E$63+'Assumptions and Catalog'!$F$63,IF(L513&lt;='Assumptions and Catalog'!$C$64,L513*'Assumptions and Catalog'!$H$64+'Assumptions and Catalog'!$E$64+'Assumptions and Catalog'!$F$64,IF(L513&lt;='Assumptions and Catalog'!$C$65,L513*'Assumptions and Catalog'!$H$65+'Assumptions and Catalog'!$E$65+'Assumptions and Catalog'!$F$65,"Out of range")))))))))*(1+'Assumptions and Catalog'!$C$8)^(A513-1),0)</f>
        <v>8554.9666666666672</v>
      </c>
      <c r="O513" s="5">
        <f t="shared" si="39"/>
        <v>0</v>
      </c>
      <c r="P513" s="5">
        <f>D$55*(1-K$14)*(1-'Assumptions and Catalog'!$C$23)^R513</f>
        <v>0</v>
      </c>
      <c r="Q513" s="5">
        <f>IF(ISNUMBER(Inputs!$L$5),(IF(Inputs!$L$9="Actual flat rate",((D513+E513)*C513-G513)*Inputs!$L$10,IF(Inputs!$C$9="Residential",IF(((D513+E513)*C513-G513)&lt;='Assumptions and Catalog'!$C$50,((D513+E513)*C513-G513)*'Assumptions and Catalog'!$H$50+'Assumptions and Catalog'!$E$50+'Assumptions and Catalog'!$F$50,IF(((D513+E513)*C513-G513)&lt;='Assumptions and Catalog'!$C$51,((D513+E513)*C513-G513)*'Assumptions and Catalog'!$H$51+'Assumptions and Catalog'!$E$51+'Assumptions and Catalog'!$F$51,IF(((D513+E513)*C513-G513)&lt;='Assumptions and Catalog'!$C$52,((D513+E513)*C513-G513)*'Assumptions and Catalog'!$H$52+'Assumptions and Catalog'!$E$52+'Assumptions and Catalog'!$F$52,IF(((D513+E513)*C513-G513)&lt;='Assumptions and Catalog'!$C$53,((D513+E513)*C513-G513)*'Assumptions and Catalog'!$H$53+'Assumptions and Catalog'!$E$53+'Assumptions and Catalog'!$F$53,IF(((D513+E513)*C513-G513)&lt;='Assumptions and Catalog'!$C$54,((D513+E513)*C513-G513)*'Assumptions and Catalog'!$H$54+'Assumptions and Catalog'!$E$54+'Assumptions and Catalog'!$F$54,IF(((D513+E513)*C513-G513)&lt;='Assumptions and Catalog'!$C$55,((D513+E513)*C513-G513)*'Assumptions and Catalog'!$H$55+'Assumptions and Catalog'!$E$55+'Assumptions and Catalog'!$F$55,IF(((D513+E513)*C513-G513)&lt;='Assumptions and Catalog'!$C$56,((D513+E513)*C513-G513)*'Assumptions and Catalog'!$H$56+'Assumptions and Catalog'!$E$56+'Assumptions and Catalog'!$F$56,IF(((D513+E513)*C513-G513)&lt;='Assumptions and Catalog'!$C$57,((D513+E513)*C513-G513)*'Assumptions and Catalog'!$H$57+'Assumptions and Catalog'!$E$57+'Assumptions and Catalog'!$F$57,"Out of range")))))))),IF(((D513+E513)*C513-G513)&lt;='Assumptions and Catalog'!$C$60,((D513+E513)*C513-G513)*'Assumptions and Catalog'!$H$60+'Assumptions and Catalog'!$E$60+'Assumptions and Catalog'!$F$60,IF(((D513+E513)*C513-G513)&lt;='Assumptions and Catalog'!$C$61,((D513+E513)*C513-G513)*'Assumptions and Catalog'!$H$61+'Assumptions and Catalog'!$E$61+'Assumptions and Catalog'!$F$61,IF(((D513+E513)*C513-G513)&lt;='Assumptions and Catalog'!$C$62,((D513+E513)*C513-G513)*'Assumptions and Catalog'!$H$62+'Assumptions and Catalog'!$E$62+'Assumptions and Catalog'!$F$62,IF(((D513+E513)*C513-G513)&lt;='Assumptions and Catalog'!$C$63,((D513+E513)*C513-G513)*'Assumptions and Catalog'!$H$63+'Assumptions and Catalog'!$E$63+'Assumptions and Catalog'!$F$63,IF(((D513+E513)*C513-G513)&lt;='Assumptions and Catalog'!$C$64,((D513+E513)*C513-G513)*'Assumptions and Catalog'!$H$64+'Assumptions and Catalog'!$E$64+'Assumptions and Catalog'!$F$64,IF(((D513+E513)*C513-G513)&lt;='Assumptions and Catalog'!$C$65,((D513+E513)*C513-G513)*'Assumptions and Catalog'!$H$65+'Assumptions and Catalog'!$E$65+'Assumptions and Catalog'!$F$65,"Out of range")))))))))*(1+'Assumptions and Catalog'!$C$8)^(A513-1),0)</f>
        <v>8554.9666666666672</v>
      </c>
      <c r="R513" s="5">
        <f>IF(AND('Assumptions and Catalog'!$C$19&gt;0,A513&gt;='Assumptions and Catalog'!$C$19),A513-'Assumptions and Catalog'!$C$19,A513-1)</f>
        <v>8</v>
      </c>
      <c r="S513" s="5">
        <f>F513+L513-(D513+E513)*C513-J513-K513-IF(D$52&gt;0,'Assumptions and Catalog'!$C$26*C513,0)</f>
        <v>0</v>
      </c>
      <c r="T513" s="5"/>
      <c r="U513" s="5"/>
    </row>
    <row r="514" spans="1:21" ht="23.1" customHeight="1" outlineLevel="1" x14ac:dyDescent="0.2">
      <c r="A514" s="5">
        <v>9</v>
      </c>
      <c r="B514" s="5">
        <v>8</v>
      </c>
      <c r="C514" s="5">
        <f>DAY(DATE('Assumptions and Catalog'!$C$24+A514-1,B514+1,0))</f>
        <v>31</v>
      </c>
      <c r="D514" s="5">
        <f>IF(ISNUMBER(Inputs!$L$5),Inputs!$L$5*Inputs!$L$6,0)</f>
        <v>40.35</v>
      </c>
      <c r="E514" s="5">
        <f>IF(ISNUMBER(Inputs!$L$5),Inputs!$L$5-D514,0)</f>
        <v>40.35</v>
      </c>
      <c r="F514" s="5">
        <f>D$51*'Assumptions and Catalog'!$C$31*C514*(1-'Assumptions and Catalog'!$C$10)^(A514-1)</f>
        <v>0</v>
      </c>
      <c r="G514" s="5">
        <f t="shared" si="36"/>
        <v>0</v>
      </c>
      <c r="H514" s="5">
        <f>I514/('Assumptions and Catalog'!$C$11*'Assumptions and Catalog'!$C$12)</f>
        <v>0</v>
      </c>
      <c r="I514" s="5">
        <f>IF(K$15="Grid cycle",MIN(K$16,D514+E514,P514*'Assumptions and Catalog'!$C$12,D$57*(24-'Assumptions and Catalog'!$C$15),D$56*'Assumptions and Catalog'!$C$15*'Assumptions and Catalog'!$C$11*'Assumptions and Catalog'!$C$12)*C514,0)</f>
        <v>0</v>
      </c>
      <c r="J514" s="5">
        <f t="shared" si="37"/>
        <v>0</v>
      </c>
      <c r="K514" s="5">
        <f t="shared" si="38"/>
        <v>0</v>
      </c>
      <c r="L514" s="5">
        <f>(D514+E514)*C514-G514-I514+H514+IF(D$52&gt;0,'Assumptions and Catalog'!$C$26*C514,0)</f>
        <v>2501.7000000000003</v>
      </c>
      <c r="M514" s="5">
        <f>IF(ISNUMBER(Inputs!$L$5),(IF(Inputs!$L$9="Actual flat rate",((D514+E514)*C514)*Inputs!$L$10,IF(Inputs!$C$9="Residential",IF(((D514+E514)*C514)&lt;='Assumptions and Catalog'!$C$50,((D514+E514)*C514)*'Assumptions and Catalog'!$H$50+'Assumptions and Catalog'!$E$50+'Assumptions and Catalog'!$F$50,IF(((D514+E514)*C514)&lt;='Assumptions and Catalog'!$C$51,((D514+E514)*C514)*'Assumptions and Catalog'!$H$51+'Assumptions and Catalog'!$E$51+'Assumptions and Catalog'!$F$51,IF(((D514+E514)*C514)&lt;='Assumptions and Catalog'!$C$52,((D514+E514)*C514)*'Assumptions and Catalog'!$H$52+'Assumptions and Catalog'!$E$52+'Assumptions and Catalog'!$F$52,IF(((D514+E514)*C514)&lt;='Assumptions and Catalog'!$C$53,((D514+E514)*C514)*'Assumptions and Catalog'!$H$53+'Assumptions and Catalog'!$E$53+'Assumptions and Catalog'!$F$53,IF(((D514+E514)*C514)&lt;='Assumptions and Catalog'!$C$54,((D514+E514)*C514)*'Assumptions and Catalog'!$H$54+'Assumptions and Catalog'!$E$54+'Assumptions and Catalog'!$F$54,IF(((D514+E514)*C514)&lt;='Assumptions and Catalog'!$C$55,((D514+E514)*C514)*'Assumptions and Catalog'!$H$55+'Assumptions and Catalog'!$E$55+'Assumptions and Catalog'!$F$55,IF(((D514+E514)*C514)&lt;='Assumptions and Catalog'!$C$56,((D514+E514)*C514)*'Assumptions and Catalog'!$H$56+'Assumptions and Catalog'!$E$56+'Assumptions and Catalog'!$F$56,IF(((D514+E514)*C514)&lt;='Assumptions and Catalog'!$C$57,((D514+E514)*C514)*'Assumptions and Catalog'!$H$57+'Assumptions and Catalog'!$E$57+'Assumptions and Catalog'!$F$57,"Out of range")))))))),IF(((D514+E514)*C514)&lt;='Assumptions and Catalog'!$C$60,((D514+E514)*C514)*'Assumptions and Catalog'!$H$60+'Assumptions and Catalog'!$E$60+'Assumptions and Catalog'!$F$60,IF(((D514+E514)*C514)&lt;='Assumptions and Catalog'!$C$61,((D514+E514)*C514)*'Assumptions and Catalog'!$H$61+'Assumptions and Catalog'!$E$61+'Assumptions and Catalog'!$F$61,IF(((D514+E514)*C514)&lt;='Assumptions and Catalog'!$C$62,((D514+E514)*C514)*'Assumptions and Catalog'!$H$62+'Assumptions and Catalog'!$E$62+'Assumptions and Catalog'!$F$62,IF(((D514+E514)*C514)&lt;='Assumptions and Catalog'!$C$63,((D514+E514)*C514)*'Assumptions and Catalog'!$H$63+'Assumptions and Catalog'!$E$63+'Assumptions and Catalog'!$F$63,IF(((D514+E514)*C514)&lt;='Assumptions and Catalog'!$C$64,((D514+E514)*C514)*'Assumptions and Catalog'!$H$64+'Assumptions and Catalog'!$E$64+'Assumptions and Catalog'!$F$64,IF(((D514+E514)*C514)&lt;='Assumptions and Catalog'!$C$65,((D514+E514)*C514)*'Assumptions and Catalog'!$H$65+'Assumptions and Catalog'!$E$65+'Assumptions and Catalog'!$F$65,"Out of range")))))))))*(1+'Assumptions and Catalog'!$C$8)^(A514-1),0)</f>
        <v>8554.9666666666672</v>
      </c>
      <c r="N514" s="5">
        <f>IF(ISNUMBER(Inputs!$L$5),(IF(Inputs!$L$9="Actual flat rate",L514*Inputs!$L$10,IF(Inputs!$C$9="Residential",IF(L514&lt;='Assumptions and Catalog'!$C$50,L514*'Assumptions and Catalog'!$H$50+'Assumptions and Catalog'!$E$50+'Assumptions and Catalog'!$F$50,IF(L514&lt;='Assumptions and Catalog'!$C$51,L514*'Assumptions and Catalog'!$H$51+'Assumptions and Catalog'!$E$51+'Assumptions and Catalog'!$F$51,IF(L514&lt;='Assumptions and Catalog'!$C$52,L514*'Assumptions and Catalog'!$H$52+'Assumptions and Catalog'!$E$52+'Assumptions and Catalog'!$F$52,IF(L514&lt;='Assumptions and Catalog'!$C$53,L514*'Assumptions and Catalog'!$H$53+'Assumptions and Catalog'!$E$53+'Assumptions and Catalog'!$F$53,IF(L514&lt;='Assumptions and Catalog'!$C$54,L514*'Assumptions and Catalog'!$H$54+'Assumptions and Catalog'!$E$54+'Assumptions and Catalog'!$F$54,IF(L514&lt;='Assumptions and Catalog'!$C$55,L514*'Assumptions and Catalog'!$H$55+'Assumptions and Catalog'!$E$55+'Assumptions and Catalog'!$F$55,IF(L514&lt;='Assumptions and Catalog'!$C$56,L514*'Assumptions and Catalog'!$H$56+'Assumptions and Catalog'!$E$56+'Assumptions and Catalog'!$F$56,IF(L514&lt;='Assumptions and Catalog'!$C$57,L514*'Assumptions and Catalog'!$H$57+'Assumptions and Catalog'!$E$57+'Assumptions and Catalog'!$F$57,"Out of range")))))))),IF(L514&lt;='Assumptions and Catalog'!$C$60,L514*'Assumptions and Catalog'!$H$60+'Assumptions and Catalog'!$E$60+'Assumptions and Catalog'!$F$60,IF(L514&lt;='Assumptions and Catalog'!$C$61,L514*'Assumptions and Catalog'!$H$61+'Assumptions and Catalog'!$E$61+'Assumptions and Catalog'!$F$61,IF(L514&lt;='Assumptions and Catalog'!$C$62,L514*'Assumptions and Catalog'!$H$62+'Assumptions and Catalog'!$E$62+'Assumptions and Catalog'!$F$62,IF(L514&lt;='Assumptions and Catalog'!$C$63,L514*'Assumptions and Catalog'!$H$63+'Assumptions and Catalog'!$E$63+'Assumptions and Catalog'!$F$63,IF(L514&lt;='Assumptions and Catalog'!$C$64,L514*'Assumptions and Catalog'!$H$64+'Assumptions and Catalog'!$E$64+'Assumptions and Catalog'!$F$64,IF(L514&lt;='Assumptions and Catalog'!$C$65,L514*'Assumptions and Catalog'!$H$65+'Assumptions and Catalog'!$E$65+'Assumptions and Catalog'!$F$65,"Out of range")))))))))*(1+'Assumptions and Catalog'!$C$8)^(A514-1),0)</f>
        <v>8554.9666666666672</v>
      </c>
      <c r="O514" s="5">
        <f t="shared" si="39"/>
        <v>0</v>
      </c>
      <c r="P514" s="5">
        <f>D$55*(1-K$14)*(1-'Assumptions and Catalog'!$C$23)^R514</f>
        <v>0</v>
      </c>
      <c r="Q514" s="5">
        <f>IF(ISNUMBER(Inputs!$L$5),(IF(Inputs!$L$9="Actual flat rate",((D514+E514)*C514-G514)*Inputs!$L$10,IF(Inputs!$C$9="Residential",IF(((D514+E514)*C514-G514)&lt;='Assumptions and Catalog'!$C$50,((D514+E514)*C514-G514)*'Assumptions and Catalog'!$H$50+'Assumptions and Catalog'!$E$50+'Assumptions and Catalog'!$F$50,IF(((D514+E514)*C514-G514)&lt;='Assumptions and Catalog'!$C$51,((D514+E514)*C514-G514)*'Assumptions and Catalog'!$H$51+'Assumptions and Catalog'!$E$51+'Assumptions and Catalog'!$F$51,IF(((D514+E514)*C514-G514)&lt;='Assumptions and Catalog'!$C$52,((D514+E514)*C514-G514)*'Assumptions and Catalog'!$H$52+'Assumptions and Catalog'!$E$52+'Assumptions and Catalog'!$F$52,IF(((D514+E514)*C514-G514)&lt;='Assumptions and Catalog'!$C$53,((D514+E514)*C514-G514)*'Assumptions and Catalog'!$H$53+'Assumptions and Catalog'!$E$53+'Assumptions and Catalog'!$F$53,IF(((D514+E514)*C514-G514)&lt;='Assumptions and Catalog'!$C$54,((D514+E514)*C514-G514)*'Assumptions and Catalog'!$H$54+'Assumptions and Catalog'!$E$54+'Assumptions and Catalog'!$F$54,IF(((D514+E514)*C514-G514)&lt;='Assumptions and Catalog'!$C$55,((D514+E514)*C514-G514)*'Assumptions and Catalog'!$H$55+'Assumptions and Catalog'!$E$55+'Assumptions and Catalog'!$F$55,IF(((D514+E514)*C514-G514)&lt;='Assumptions and Catalog'!$C$56,((D514+E514)*C514-G514)*'Assumptions and Catalog'!$H$56+'Assumptions and Catalog'!$E$56+'Assumptions and Catalog'!$F$56,IF(((D514+E514)*C514-G514)&lt;='Assumptions and Catalog'!$C$57,((D514+E514)*C514-G514)*'Assumptions and Catalog'!$H$57+'Assumptions and Catalog'!$E$57+'Assumptions and Catalog'!$F$57,"Out of range")))))))),IF(((D514+E514)*C514-G514)&lt;='Assumptions and Catalog'!$C$60,((D514+E514)*C514-G514)*'Assumptions and Catalog'!$H$60+'Assumptions and Catalog'!$E$60+'Assumptions and Catalog'!$F$60,IF(((D514+E514)*C514-G514)&lt;='Assumptions and Catalog'!$C$61,((D514+E514)*C514-G514)*'Assumptions and Catalog'!$H$61+'Assumptions and Catalog'!$E$61+'Assumptions and Catalog'!$F$61,IF(((D514+E514)*C514-G514)&lt;='Assumptions and Catalog'!$C$62,((D514+E514)*C514-G514)*'Assumptions and Catalog'!$H$62+'Assumptions and Catalog'!$E$62+'Assumptions and Catalog'!$F$62,IF(((D514+E514)*C514-G514)&lt;='Assumptions and Catalog'!$C$63,((D514+E514)*C514-G514)*'Assumptions and Catalog'!$H$63+'Assumptions and Catalog'!$E$63+'Assumptions and Catalog'!$F$63,IF(((D514+E514)*C514-G514)&lt;='Assumptions and Catalog'!$C$64,((D514+E514)*C514-G514)*'Assumptions and Catalog'!$H$64+'Assumptions and Catalog'!$E$64+'Assumptions and Catalog'!$F$64,IF(((D514+E514)*C514-G514)&lt;='Assumptions and Catalog'!$C$65,((D514+E514)*C514-G514)*'Assumptions and Catalog'!$H$65+'Assumptions and Catalog'!$E$65+'Assumptions and Catalog'!$F$65,"Out of range")))))))))*(1+'Assumptions and Catalog'!$C$8)^(A514-1),0)</f>
        <v>8554.9666666666672</v>
      </c>
      <c r="R514" s="5">
        <f>IF(AND('Assumptions and Catalog'!$C$19&gt;0,A514&gt;='Assumptions and Catalog'!$C$19),A514-'Assumptions and Catalog'!$C$19,A514-1)</f>
        <v>8</v>
      </c>
      <c r="S514" s="5">
        <f>F514+L514-(D514+E514)*C514-J514-K514-IF(D$52&gt;0,'Assumptions and Catalog'!$C$26*C514,0)</f>
        <v>0</v>
      </c>
      <c r="T514" s="5"/>
      <c r="U514" s="5"/>
    </row>
    <row r="515" spans="1:21" ht="23.1" customHeight="1" outlineLevel="1" x14ac:dyDescent="0.2">
      <c r="A515" s="5">
        <v>9</v>
      </c>
      <c r="B515" s="5">
        <v>9</v>
      </c>
      <c r="C515" s="5">
        <f>DAY(DATE('Assumptions and Catalog'!$C$24+A515-1,B515+1,0))</f>
        <v>30</v>
      </c>
      <c r="D515" s="5">
        <f>IF(ISNUMBER(Inputs!$L$5),Inputs!$L$5*Inputs!$L$6,0)</f>
        <v>40.35</v>
      </c>
      <c r="E515" s="5">
        <f>IF(ISNUMBER(Inputs!$L$5),Inputs!$L$5-D515,0)</f>
        <v>40.35</v>
      </c>
      <c r="F515" s="5">
        <f>D$51*'Assumptions and Catalog'!$C$31*C515*(1-'Assumptions and Catalog'!$C$10)^(A515-1)</f>
        <v>0</v>
      </c>
      <c r="G515" s="5">
        <f t="shared" si="36"/>
        <v>0</v>
      </c>
      <c r="H515" s="5">
        <f>I515/('Assumptions and Catalog'!$C$11*'Assumptions and Catalog'!$C$12)</f>
        <v>0</v>
      </c>
      <c r="I515" s="5">
        <f>IF(K$15="Grid cycle",MIN(K$16,D515+E515,P515*'Assumptions and Catalog'!$C$12,D$57*(24-'Assumptions and Catalog'!$C$15),D$56*'Assumptions and Catalog'!$C$15*'Assumptions and Catalog'!$C$11*'Assumptions and Catalog'!$C$12)*C515,0)</f>
        <v>0</v>
      </c>
      <c r="J515" s="5">
        <f t="shared" si="37"/>
        <v>0</v>
      </c>
      <c r="K515" s="5">
        <f t="shared" si="38"/>
        <v>0</v>
      </c>
      <c r="L515" s="5">
        <f>(D515+E515)*C515-G515-I515+H515+IF(D$52&gt;0,'Assumptions and Catalog'!$C$26*C515,0)</f>
        <v>2421</v>
      </c>
      <c r="M515" s="5">
        <f>IF(ISNUMBER(Inputs!$L$5),(IF(Inputs!$L$9="Actual flat rate",((D515+E515)*C515)*Inputs!$L$10,IF(Inputs!$C$9="Residential",IF(((D515+E515)*C515)&lt;='Assumptions and Catalog'!$C$50,((D515+E515)*C515)*'Assumptions and Catalog'!$H$50+'Assumptions and Catalog'!$E$50+'Assumptions and Catalog'!$F$50,IF(((D515+E515)*C515)&lt;='Assumptions and Catalog'!$C$51,((D515+E515)*C515)*'Assumptions and Catalog'!$H$51+'Assumptions and Catalog'!$E$51+'Assumptions and Catalog'!$F$51,IF(((D515+E515)*C515)&lt;='Assumptions and Catalog'!$C$52,((D515+E515)*C515)*'Assumptions and Catalog'!$H$52+'Assumptions and Catalog'!$E$52+'Assumptions and Catalog'!$F$52,IF(((D515+E515)*C515)&lt;='Assumptions and Catalog'!$C$53,((D515+E515)*C515)*'Assumptions and Catalog'!$H$53+'Assumptions and Catalog'!$E$53+'Assumptions and Catalog'!$F$53,IF(((D515+E515)*C515)&lt;='Assumptions and Catalog'!$C$54,((D515+E515)*C515)*'Assumptions and Catalog'!$H$54+'Assumptions and Catalog'!$E$54+'Assumptions and Catalog'!$F$54,IF(((D515+E515)*C515)&lt;='Assumptions and Catalog'!$C$55,((D515+E515)*C515)*'Assumptions and Catalog'!$H$55+'Assumptions and Catalog'!$E$55+'Assumptions and Catalog'!$F$55,IF(((D515+E515)*C515)&lt;='Assumptions and Catalog'!$C$56,((D515+E515)*C515)*'Assumptions and Catalog'!$H$56+'Assumptions and Catalog'!$E$56+'Assumptions and Catalog'!$F$56,IF(((D515+E515)*C515)&lt;='Assumptions and Catalog'!$C$57,((D515+E515)*C515)*'Assumptions and Catalog'!$H$57+'Assumptions and Catalog'!$E$57+'Assumptions and Catalog'!$F$57,"Out of range")))))))),IF(((D515+E515)*C515)&lt;='Assumptions and Catalog'!$C$60,((D515+E515)*C515)*'Assumptions and Catalog'!$H$60+'Assumptions and Catalog'!$E$60+'Assumptions and Catalog'!$F$60,IF(((D515+E515)*C515)&lt;='Assumptions and Catalog'!$C$61,((D515+E515)*C515)*'Assumptions and Catalog'!$H$61+'Assumptions and Catalog'!$E$61+'Assumptions and Catalog'!$F$61,IF(((D515+E515)*C515)&lt;='Assumptions and Catalog'!$C$62,((D515+E515)*C515)*'Assumptions and Catalog'!$H$62+'Assumptions and Catalog'!$E$62+'Assumptions and Catalog'!$F$62,IF(((D515+E515)*C515)&lt;='Assumptions and Catalog'!$C$63,((D515+E515)*C515)*'Assumptions and Catalog'!$H$63+'Assumptions and Catalog'!$E$63+'Assumptions and Catalog'!$F$63,IF(((D515+E515)*C515)&lt;='Assumptions and Catalog'!$C$64,((D515+E515)*C515)*'Assumptions and Catalog'!$H$64+'Assumptions and Catalog'!$E$64+'Assumptions and Catalog'!$F$64,IF(((D515+E515)*C515)&lt;='Assumptions and Catalog'!$C$65,((D515+E515)*C515)*'Assumptions and Catalog'!$H$65+'Assumptions and Catalog'!$E$65+'Assumptions and Catalog'!$F$65,"Out of range")))))))))*(1+'Assumptions and Catalog'!$C$8)^(A515-1),0)</f>
        <v>8279</v>
      </c>
      <c r="N515" s="5">
        <f>IF(ISNUMBER(Inputs!$L$5),(IF(Inputs!$L$9="Actual flat rate",L515*Inputs!$L$10,IF(Inputs!$C$9="Residential",IF(L515&lt;='Assumptions and Catalog'!$C$50,L515*'Assumptions and Catalog'!$H$50+'Assumptions and Catalog'!$E$50+'Assumptions and Catalog'!$F$50,IF(L515&lt;='Assumptions and Catalog'!$C$51,L515*'Assumptions and Catalog'!$H$51+'Assumptions and Catalog'!$E$51+'Assumptions and Catalog'!$F$51,IF(L515&lt;='Assumptions and Catalog'!$C$52,L515*'Assumptions and Catalog'!$H$52+'Assumptions and Catalog'!$E$52+'Assumptions and Catalog'!$F$52,IF(L515&lt;='Assumptions and Catalog'!$C$53,L515*'Assumptions and Catalog'!$H$53+'Assumptions and Catalog'!$E$53+'Assumptions and Catalog'!$F$53,IF(L515&lt;='Assumptions and Catalog'!$C$54,L515*'Assumptions and Catalog'!$H$54+'Assumptions and Catalog'!$E$54+'Assumptions and Catalog'!$F$54,IF(L515&lt;='Assumptions and Catalog'!$C$55,L515*'Assumptions and Catalog'!$H$55+'Assumptions and Catalog'!$E$55+'Assumptions and Catalog'!$F$55,IF(L515&lt;='Assumptions and Catalog'!$C$56,L515*'Assumptions and Catalog'!$H$56+'Assumptions and Catalog'!$E$56+'Assumptions and Catalog'!$F$56,IF(L515&lt;='Assumptions and Catalog'!$C$57,L515*'Assumptions and Catalog'!$H$57+'Assumptions and Catalog'!$E$57+'Assumptions and Catalog'!$F$57,"Out of range")))))))),IF(L515&lt;='Assumptions and Catalog'!$C$60,L515*'Assumptions and Catalog'!$H$60+'Assumptions and Catalog'!$E$60+'Assumptions and Catalog'!$F$60,IF(L515&lt;='Assumptions and Catalog'!$C$61,L515*'Assumptions and Catalog'!$H$61+'Assumptions and Catalog'!$E$61+'Assumptions and Catalog'!$F$61,IF(L515&lt;='Assumptions and Catalog'!$C$62,L515*'Assumptions and Catalog'!$H$62+'Assumptions and Catalog'!$E$62+'Assumptions and Catalog'!$F$62,IF(L515&lt;='Assumptions and Catalog'!$C$63,L515*'Assumptions and Catalog'!$H$63+'Assumptions and Catalog'!$E$63+'Assumptions and Catalog'!$F$63,IF(L515&lt;='Assumptions and Catalog'!$C$64,L515*'Assumptions and Catalog'!$H$64+'Assumptions and Catalog'!$E$64+'Assumptions and Catalog'!$F$64,IF(L515&lt;='Assumptions and Catalog'!$C$65,L515*'Assumptions and Catalog'!$H$65+'Assumptions and Catalog'!$E$65+'Assumptions and Catalog'!$F$65,"Out of range")))))))))*(1+'Assumptions and Catalog'!$C$8)^(A515-1),0)</f>
        <v>8279</v>
      </c>
      <c r="O515" s="5">
        <f t="shared" si="39"/>
        <v>0</v>
      </c>
      <c r="P515" s="5">
        <f>D$55*(1-K$14)*(1-'Assumptions and Catalog'!$C$23)^R515</f>
        <v>0</v>
      </c>
      <c r="Q515" s="5">
        <f>IF(ISNUMBER(Inputs!$L$5),(IF(Inputs!$L$9="Actual flat rate",((D515+E515)*C515-G515)*Inputs!$L$10,IF(Inputs!$C$9="Residential",IF(((D515+E515)*C515-G515)&lt;='Assumptions and Catalog'!$C$50,((D515+E515)*C515-G515)*'Assumptions and Catalog'!$H$50+'Assumptions and Catalog'!$E$50+'Assumptions and Catalog'!$F$50,IF(((D515+E515)*C515-G515)&lt;='Assumptions and Catalog'!$C$51,((D515+E515)*C515-G515)*'Assumptions and Catalog'!$H$51+'Assumptions and Catalog'!$E$51+'Assumptions and Catalog'!$F$51,IF(((D515+E515)*C515-G515)&lt;='Assumptions and Catalog'!$C$52,((D515+E515)*C515-G515)*'Assumptions and Catalog'!$H$52+'Assumptions and Catalog'!$E$52+'Assumptions and Catalog'!$F$52,IF(((D515+E515)*C515-G515)&lt;='Assumptions and Catalog'!$C$53,((D515+E515)*C515-G515)*'Assumptions and Catalog'!$H$53+'Assumptions and Catalog'!$E$53+'Assumptions and Catalog'!$F$53,IF(((D515+E515)*C515-G515)&lt;='Assumptions and Catalog'!$C$54,((D515+E515)*C515-G515)*'Assumptions and Catalog'!$H$54+'Assumptions and Catalog'!$E$54+'Assumptions and Catalog'!$F$54,IF(((D515+E515)*C515-G515)&lt;='Assumptions and Catalog'!$C$55,((D515+E515)*C515-G515)*'Assumptions and Catalog'!$H$55+'Assumptions and Catalog'!$E$55+'Assumptions and Catalog'!$F$55,IF(((D515+E515)*C515-G515)&lt;='Assumptions and Catalog'!$C$56,((D515+E515)*C515-G515)*'Assumptions and Catalog'!$H$56+'Assumptions and Catalog'!$E$56+'Assumptions and Catalog'!$F$56,IF(((D515+E515)*C515-G515)&lt;='Assumptions and Catalog'!$C$57,((D515+E515)*C515-G515)*'Assumptions and Catalog'!$H$57+'Assumptions and Catalog'!$E$57+'Assumptions and Catalog'!$F$57,"Out of range")))))))),IF(((D515+E515)*C515-G515)&lt;='Assumptions and Catalog'!$C$60,((D515+E515)*C515-G515)*'Assumptions and Catalog'!$H$60+'Assumptions and Catalog'!$E$60+'Assumptions and Catalog'!$F$60,IF(((D515+E515)*C515-G515)&lt;='Assumptions and Catalog'!$C$61,((D515+E515)*C515-G515)*'Assumptions and Catalog'!$H$61+'Assumptions and Catalog'!$E$61+'Assumptions and Catalog'!$F$61,IF(((D515+E515)*C515-G515)&lt;='Assumptions and Catalog'!$C$62,((D515+E515)*C515-G515)*'Assumptions and Catalog'!$H$62+'Assumptions and Catalog'!$E$62+'Assumptions and Catalog'!$F$62,IF(((D515+E515)*C515-G515)&lt;='Assumptions and Catalog'!$C$63,((D515+E515)*C515-G515)*'Assumptions and Catalog'!$H$63+'Assumptions and Catalog'!$E$63+'Assumptions and Catalog'!$F$63,IF(((D515+E515)*C515-G515)&lt;='Assumptions and Catalog'!$C$64,((D515+E515)*C515-G515)*'Assumptions and Catalog'!$H$64+'Assumptions and Catalog'!$E$64+'Assumptions and Catalog'!$F$64,IF(((D515+E515)*C515-G515)&lt;='Assumptions and Catalog'!$C$65,((D515+E515)*C515-G515)*'Assumptions and Catalog'!$H$65+'Assumptions and Catalog'!$E$65+'Assumptions and Catalog'!$F$65,"Out of range")))))))))*(1+'Assumptions and Catalog'!$C$8)^(A515-1),0)</f>
        <v>8279</v>
      </c>
      <c r="R515" s="5">
        <f>IF(AND('Assumptions and Catalog'!$C$19&gt;0,A515&gt;='Assumptions and Catalog'!$C$19),A515-'Assumptions and Catalog'!$C$19,A515-1)</f>
        <v>8</v>
      </c>
      <c r="S515" s="5">
        <f>F515+L515-(D515+E515)*C515-J515-K515-IF(D$52&gt;0,'Assumptions and Catalog'!$C$26*C515,0)</f>
        <v>0</v>
      </c>
      <c r="T515" s="5"/>
      <c r="U515" s="5"/>
    </row>
    <row r="516" spans="1:21" ht="23.1" customHeight="1" outlineLevel="1" x14ac:dyDescent="0.2">
      <c r="A516" s="5">
        <v>9</v>
      </c>
      <c r="B516" s="5">
        <v>10</v>
      </c>
      <c r="C516" s="5">
        <f>DAY(DATE('Assumptions and Catalog'!$C$24+A516-1,B516+1,0))</f>
        <v>31</v>
      </c>
      <c r="D516" s="5">
        <f>IF(ISNUMBER(Inputs!$L$5),Inputs!$L$5*Inputs!$L$6,0)</f>
        <v>40.35</v>
      </c>
      <c r="E516" s="5">
        <f>IF(ISNUMBER(Inputs!$L$5),Inputs!$L$5-D516,0)</f>
        <v>40.35</v>
      </c>
      <c r="F516" s="5">
        <f>D$51*'Assumptions and Catalog'!$C$31*C516*(1-'Assumptions and Catalog'!$C$10)^(A516-1)</f>
        <v>0</v>
      </c>
      <c r="G516" s="5">
        <f t="shared" si="36"/>
        <v>0</v>
      </c>
      <c r="H516" s="5">
        <f>I516/('Assumptions and Catalog'!$C$11*'Assumptions and Catalog'!$C$12)</f>
        <v>0</v>
      </c>
      <c r="I516" s="5">
        <f>IF(K$15="Grid cycle",MIN(K$16,D516+E516,P516*'Assumptions and Catalog'!$C$12,D$57*(24-'Assumptions and Catalog'!$C$15),D$56*'Assumptions and Catalog'!$C$15*'Assumptions and Catalog'!$C$11*'Assumptions and Catalog'!$C$12)*C516,0)</f>
        <v>0</v>
      </c>
      <c r="J516" s="5">
        <f t="shared" si="37"/>
        <v>0</v>
      </c>
      <c r="K516" s="5">
        <f t="shared" si="38"/>
        <v>0</v>
      </c>
      <c r="L516" s="5">
        <f>(D516+E516)*C516-G516-I516+H516+IF(D$52&gt;0,'Assumptions and Catalog'!$C$26*C516,0)</f>
        <v>2501.7000000000003</v>
      </c>
      <c r="M516" s="5">
        <f>IF(ISNUMBER(Inputs!$L$5),(IF(Inputs!$L$9="Actual flat rate",((D516+E516)*C516)*Inputs!$L$10,IF(Inputs!$C$9="Residential",IF(((D516+E516)*C516)&lt;='Assumptions and Catalog'!$C$50,((D516+E516)*C516)*'Assumptions and Catalog'!$H$50+'Assumptions and Catalog'!$E$50+'Assumptions and Catalog'!$F$50,IF(((D516+E516)*C516)&lt;='Assumptions and Catalog'!$C$51,((D516+E516)*C516)*'Assumptions and Catalog'!$H$51+'Assumptions and Catalog'!$E$51+'Assumptions and Catalog'!$F$51,IF(((D516+E516)*C516)&lt;='Assumptions and Catalog'!$C$52,((D516+E516)*C516)*'Assumptions and Catalog'!$H$52+'Assumptions and Catalog'!$E$52+'Assumptions and Catalog'!$F$52,IF(((D516+E516)*C516)&lt;='Assumptions and Catalog'!$C$53,((D516+E516)*C516)*'Assumptions and Catalog'!$H$53+'Assumptions and Catalog'!$E$53+'Assumptions and Catalog'!$F$53,IF(((D516+E516)*C516)&lt;='Assumptions and Catalog'!$C$54,((D516+E516)*C516)*'Assumptions and Catalog'!$H$54+'Assumptions and Catalog'!$E$54+'Assumptions and Catalog'!$F$54,IF(((D516+E516)*C516)&lt;='Assumptions and Catalog'!$C$55,((D516+E516)*C516)*'Assumptions and Catalog'!$H$55+'Assumptions and Catalog'!$E$55+'Assumptions and Catalog'!$F$55,IF(((D516+E516)*C516)&lt;='Assumptions and Catalog'!$C$56,((D516+E516)*C516)*'Assumptions and Catalog'!$H$56+'Assumptions and Catalog'!$E$56+'Assumptions and Catalog'!$F$56,IF(((D516+E516)*C516)&lt;='Assumptions and Catalog'!$C$57,((D516+E516)*C516)*'Assumptions and Catalog'!$H$57+'Assumptions and Catalog'!$E$57+'Assumptions and Catalog'!$F$57,"Out of range")))))))),IF(((D516+E516)*C516)&lt;='Assumptions and Catalog'!$C$60,((D516+E516)*C516)*'Assumptions and Catalog'!$H$60+'Assumptions and Catalog'!$E$60+'Assumptions and Catalog'!$F$60,IF(((D516+E516)*C516)&lt;='Assumptions and Catalog'!$C$61,((D516+E516)*C516)*'Assumptions and Catalog'!$H$61+'Assumptions and Catalog'!$E$61+'Assumptions and Catalog'!$F$61,IF(((D516+E516)*C516)&lt;='Assumptions and Catalog'!$C$62,((D516+E516)*C516)*'Assumptions and Catalog'!$H$62+'Assumptions and Catalog'!$E$62+'Assumptions and Catalog'!$F$62,IF(((D516+E516)*C516)&lt;='Assumptions and Catalog'!$C$63,((D516+E516)*C516)*'Assumptions and Catalog'!$H$63+'Assumptions and Catalog'!$E$63+'Assumptions and Catalog'!$F$63,IF(((D516+E516)*C516)&lt;='Assumptions and Catalog'!$C$64,((D516+E516)*C516)*'Assumptions and Catalog'!$H$64+'Assumptions and Catalog'!$E$64+'Assumptions and Catalog'!$F$64,IF(((D516+E516)*C516)&lt;='Assumptions and Catalog'!$C$65,((D516+E516)*C516)*'Assumptions and Catalog'!$H$65+'Assumptions and Catalog'!$E$65+'Assumptions and Catalog'!$F$65,"Out of range")))))))))*(1+'Assumptions and Catalog'!$C$8)^(A516-1),0)</f>
        <v>8554.9666666666672</v>
      </c>
      <c r="N516" s="5">
        <f>IF(ISNUMBER(Inputs!$L$5),(IF(Inputs!$L$9="Actual flat rate",L516*Inputs!$L$10,IF(Inputs!$C$9="Residential",IF(L516&lt;='Assumptions and Catalog'!$C$50,L516*'Assumptions and Catalog'!$H$50+'Assumptions and Catalog'!$E$50+'Assumptions and Catalog'!$F$50,IF(L516&lt;='Assumptions and Catalog'!$C$51,L516*'Assumptions and Catalog'!$H$51+'Assumptions and Catalog'!$E$51+'Assumptions and Catalog'!$F$51,IF(L516&lt;='Assumptions and Catalog'!$C$52,L516*'Assumptions and Catalog'!$H$52+'Assumptions and Catalog'!$E$52+'Assumptions and Catalog'!$F$52,IF(L516&lt;='Assumptions and Catalog'!$C$53,L516*'Assumptions and Catalog'!$H$53+'Assumptions and Catalog'!$E$53+'Assumptions and Catalog'!$F$53,IF(L516&lt;='Assumptions and Catalog'!$C$54,L516*'Assumptions and Catalog'!$H$54+'Assumptions and Catalog'!$E$54+'Assumptions and Catalog'!$F$54,IF(L516&lt;='Assumptions and Catalog'!$C$55,L516*'Assumptions and Catalog'!$H$55+'Assumptions and Catalog'!$E$55+'Assumptions and Catalog'!$F$55,IF(L516&lt;='Assumptions and Catalog'!$C$56,L516*'Assumptions and Catalog'!$H$56+'Assumptions and Catalog'!$E$56+'Assumptions and Catalog'!$F$56,IF(L516&lt;='Assumptions and Catalog'!$C$57,L516*'Assumptions and Catalog'!$H$57+'Assumptions and Catalog'!$E$57+'Assumptions and Catalog'!$F$57,"Out of range")))))))),IF(L516&lt;='Assumptions and Catalog'!$C$60,L516*'Assumptions and Catalog'!$H$60+'Assumptions and Catalog'!$E$60+'Assumptions and Catalog'!$F$60,IF(L516&lt;='Assumptions and Catalog'!$C$61,L516*'Assumptions and Catalog'!$H$61+'Assumptions and Catalog'!$E$61+'Assumptions and Catalog'!$F$61,IF(L516&lt;='Assumptions and Catalog'!$C$62,L516*'Assumptions and Catalog'!$H$62+'Assumptions and Catalog'!$E$62+'Assumptions and Catalog'!$F$62,IF(L516&lt;='Assumptions and Catalog'!$C$63,L516*'Assumptions and Catalog'!$H$63+'Assumptions and Catalog'!$E$63+'Assumptions and Catalog'!$F$63,IF(L516&lt;='Assumptions and Catalog'!$C$64,L516*'Assumptions and Catalog'!$H$64+'Assumptions and Catalog'!$E$64+'Assumptions and Catalog'!$F$64,IF(L516&lt;='Assumptions and Catalog'!$C$65,L516*'Assumptions and Catalog'!$H$65+'Assumptions and Catalog'!$E$65+'Assumptions and Catalog'!$F$65,"Out of range")))))))))*(1+'Assumptions and Catalog'!$C$8)^(A516-1),0)</f>
        <v>8554.9666666666672</v>
      </c>
      <c r="O516" s="5">
        <f t="shared" si="39"/>
        <v>0</v>
      </c>
      <c r="P516" s="5">
        <f>D$55*(1-K$14)*(1-'Assumptions and Catalog'!$C$23)^R516</f>
        <v>0</v>
      </c>
      <c r="Q516" s="5">
        <f>IF(ISNUMBER(Inputs!$L$5),(IF(Inputs!$L$9="Actual flat rate",((D516+E516)*C516-G516)*Inputs!$L$10,IF(Inputs!$C$9="Residential",IF(((D516+E516)*C516-G516)&lt;='Assumptions and Catalog'!$C$50,((D516+E516)*C516-G516)*'Assumptions and Catalog'!$H$50+'Assumptions and Catalog'!$E$50+'Assumptions and Catalog'!$F$50,IF(((D516+E516)*C516-G516)&lt;='Assumptions and Catalog'!$C$51,((D516+E516)*C516-G516)*'Assumptions and Catalog'!$H$51+'Assumptions and Catalog'!$E$51+'Assumptions and Catalog'!$F$51,IF(((D516+E516)*C516-G516)&lt;='Assumptions and Catalog'!$C$52,((D516+E516)*C516-G516)*'Assumptions and Catalog'!$H$52+'Assumptions and Catalog'!$E$52+'Assumptions and Catalog'!$F$52,IF(((D516+E516)*C516-G516)&lt;='Assumptions and Catalog'!$C$53,((D516+E516)*C516-G516)*'Assumptions and Catalog'!$H$53+'Assumptions and Catalog'!$E$53+'Assumptions and Catalog'!$F$53,IF(((D516+E516)*C516-G516)&lt;='Assumptions and Catalog'!$C$54,((D516+E516)*C516-G516)*'Assumptions and Catalog'!$H$54+'Assumptions and Catalog'!$E$54+'Assumptions and Catalog'!$F$54,IF(((D516+E516)*C516-G516)&lt;='Assumptions and Catalog'!$C$55,((D516+E516)*C516-G516)*'Assumptions and Catalog'!$H$55+'Assumptions and Catalog'!$E$55+'Assumptions and Catalog'!$F$55,IF(((D516+E516)*C516-G516)&lt;='Assumptions and Catalog'!$C$56,((D516+E516)*C516-G516)*'Assumptions and Catalog'!$H$56+'Assumptions and Catalog'!$E$56+'Assumptions and Catalog'!$F$56,IF(((D516+E516)*C516-G516)&lt;='Assumptions and Catalog'!$C$57,((D516+E516)*C516-G516)*'Assumptions and Catalog'!$H$57+'Assumptions and Catalog'!$E$57+'Assumptions and Catalog'!$F$57,"Out of range")))))))),IF(((D516+E516)*C516-G516)&lt;='Assumptions and Catalog'!$C$60,((D516+E516)*C516-G516)*'Assumptions and Catalog'!$H$60+'Assumptions and Catalog'!$E$60+'Assumptions and Catalog'!$F$60,IF(((D516+E516)*C516-G516)&lt;='Assumptions and Catalog'!$C$61,((D516+E516)*C516-G516)*'Assumptions and Catalog'!$H$61+'Assumptions and Catalog'!$E$61+'Assumptions and Catalog'!$F$61,IF(((D516+E516)*C516-G516)&lt;='Assumptions and Catalog'!$C$62,((D516+E516)*C516-G516)*'Assumptions and Catalog'!$H$62+'Assumptions and Catalog'!$E$62+'Assumptions and Catalog'!$F$62,IF(((D516+E516)*C516-G516)&lt;='Assumptions and Catalog'!$C$63,((D516+E516)*C516-G516)*'Assumptions and Catalog'!$H$63+'Assumptions and Catalog'!$E$63+'Assumptions and Catalog'!$F$63,IF(((D516+E516)*C516-G516)&lt;='Assumptions and Catalog'!$C$64,((D516+E516)*C516-G516)*'Assumptions and Catalog'!$H$64+'Assumptions and Catalog'!$E$64+'Assumptions and Catalog'!$F$64,IF(((D516+E516)*C516-G516)&lt;='Assumptions and Catalog'!$C$65,((D516+E516)*C516-G516)*'Assumptions and Catalog'!$H$65+'Assumptions and Catalog'!$E$65+'Assumptions and Catalog'!$F$65,"Out of range")))))))))*(1+'Assumptions and Catalog'!$C$8)^(A516-1),0)</f>
        <v>8554.9666666666672</v>
      </c>
      <c r="R516" s="5">
        <f>IF(AND('Assumptions and Catalog'!$C$19&gt;0,A516&gt;='Assumptions and Catalog'!$C$19),A516-'Assumptions and Catalog'!$C$19,A516-1)</f>
        <v>8</v>
      </c>
      <c r="S516" s="5">
        <f>F516+L516-(D516+E516)*C516-J516-K516-IF(D$52&gt;0,'Assumptions and Catalog'!$C$26*C516,0)</f>
        <v>0</v>
      </c>
      <c r="T516" s="5"/>
      <c r="U516" s="5"/>
    </row>
    <row r="517" spans="1:21" ht="23.1" customHeight="1" outlineLevel="1" x14ac:dyDescent="0.2">
      <c r="A517" s="5">
        <v>9</v>
      </c>
      <c r="B517" s="5">
        <v>11</v>
      </c>
      <c r="C517" s="5">
        <f>DAY(DATE('Assumptions and Catalog'!$C$24+A517-1,B517+1,0))</f>
        <v>30</v>
      </c>
      <c r="D517" s="5">
        <f>IF(ISNUMBER(Inputs!$L$5),Inputs!$L$5*Inputs!$L$6,0)</f>
        <v>40.35</v>
      </c>
      <c r="E517" s="5">
        <f>IF(ISNUMBER(Inputs!$L$5),Inputs!$L$5-D517,0)</f>
        <v>40.35</v>
      </c>
      <c r="F517" s="5">
        <f>D$51*'Assumptions and Catalog'!$C$31*C517*(1-'Assumptions and Catalog'!$C$10)^(A517-1)</f>
        <v>0</v>
      </c>
      <c r="G517" s="5">
        <f t="shared" si="36"/>
        <v>0</v>
      </c>
      <c r="H517" s="5">
        <f>I517/('Assumptions and Catalog'!$C$11*'Assumptions and Catalog'!$C$12)</f>
        <v>0</v>
      </c>
      <c r="I517" s="5">
        <f>IF(K$15="Grid cycle",MIN(K$16,D517+E517,P517*'Assumptions and Catalog'!$C$12,D$57*(24-'Assumptions and Catalog'!$C$15),D$56*'Assumptions and Catalog'!$C$15*'Assumptions and Catalog'!$C$11*'Assumptions and Catalog'!$C$12)*C517,0)</f>
        <v>0</v>
      </c>
      <c r="J517" s="5">
        <f t="shared" si="37"/>
        <v>0</v>
      </c>
      <c r="K517" s="5">
        <f t="shared" si="38"/>
        <v>0</v>
      </c>
      <c r="L517" s="5">
        <f>(D517+E517)*C517-G517-I517+H517+IF(D$52&gt;0,'Assumptions and Catalog'!$C$26*C517,0)</f>
        <v>2421</v>
      </c>
      <c r="M517" s="5">
        <f>IF(ISNUMBER(Inputs!$L$5),(IF(Inputs!$L$9="Actual flat rate",((D517+E517)*C517)*Inputs!$L$10,IF(Inputs!$C$9="Residential",IF(((D517+E517)*C517)&lt;='Assumptions and Catalog'!$C$50,((D517+E517)*C517)*'Assumptions and Catalog'!$H$50+'Assumptions and Catalog'!$E$50+'Assumptions and Catalog'!$F$50,IF(((D517+E517)*C517)&lt;='Assumptions and Catalog'!$C$51,((D517+E517)*C517)*'Assumptions and Catalog'!$H$51+'Assumptions and Catalog'!$E$51+'Assumptions and Catalog'!$F$51,IF(((D517+E517)*C517)&lt;='Assumptions and Catalog'!$C$52,((D517+E517)*C517)*'Assumptions and Catalog'!$H$52+'Assumptions and Catalog'!$E$52+'Assumptions and Catalog'!$F$52,IF(((D517+E517)*C517)&lt;='Assumptions and Catalog'!$C$53,((D517+E517)*C517)*'Assumptions and Catalog'!$H$53+'Assumptions and Catalog'!$E$53+'Assumptions and Catalog'!$F$53,IF(((D517+E517)*C517)&lt;='Assumptions and Catalog'!$C$54,((D517+E517)*C517)*'Assumptions and Catalog'!$H$54+'Assumptions and Catalog'!$E$54+'Assumptions and Catalog'!$F$54,IF(((D517+E517)*C517)&lt;='Assumptions and Catalog'!$C$55,((D517+E517)*C517)*'Assumptions and Catalog'!$H$55+'Assumptions and Catalog'!$E$55+'Assumptions and Catalog'!$F$55,IF(((D517+E517)*C517)&lt;='Assumptions and Catalog'!$C$56,((D517+E517)*C517)*'Assumptions and Catalog'!$H$56+'Assumptions and Catalog'!$E$56+'Assumptions and Catalog'!$F$56,IF(((D517+E517)*C517)&lt;='Assumptions and Catalog'!$C$57,((D517+E517)*C517)*'Assumptions and Catalog'!$H$57+'Assumptions and Catalog'!$E$57+'Assumptions and Catalog'!$F$57,"Out of range")))))))),IF(((D517+E517)*C517)&lt;='Assumptions and Catalog'!$C$60,((D517+E517)*C517)*'Assumptions and Catalog'!$H$60+'Assumptions and Catalog'!$E$60+'Assumptions and Catalog'!$F$60,IF(((D517+E517)*C517)&lt;='Assumptions and Catalog'!$C$61,((D517+E517)*C517)*'Assumptions and Catalog'!$H$61+'Assumptions and Catalog'!$E$61+'Assumptions and Catalog'!$F$61,IF(((D517+E517)*C517)&lt;='Assumptions and Catalog'!$C$62,((D517+E517)*C517)*'Assumptions and Catalog'!$H$62+'Assumptions and Catalog'!$E$62+'Assumptions and Catalog'!$F$62,IF(((D517+E517)*C517)&lt;='Assumptions and Catalog'!$C$63,((D517+E517)*C517)*'Assumptions and Catalog'!$H$63+'Assumptions and Catalog'!$E$63+'Assumptions and Catalog'!$F$63,IF(((D517+E517)*C517)&lt;='Assumptions and Catalog'!$C$64,((D517+E517)*C517)*'Assumptions and Catalog'!$H$64+'Assumptions and Catalog'!$E$64+'Assumptions and Catalog'!$F$64,IF(((D517+E517)*C517)&lt;='Assumptions and Catalog'!$C$65,((D517+E517)*C517)*'Assumptions and Catalog'!$H$65+'Assumptions and Catalog'!$E$65+'Assumptions and Catalog'!$F$65,"Out of range")))))))))*(1+'Assumptions and Catalog'!$C$8)^(A517-1),0)</f>
        <v>8279</v>
      </c>
      <c r="N517" s="5">
        <f>IF(ISNUMBER(Inputs!$L$5),(IF(Inputs!$L$9="Actual flat rate",L517*Inputs!$L$10,IF(Inputs!$C$9="Residential",IF(L517&lt;='Assumptions and Catalog'!$C$50,L517*'Assumptions and Catalog'!$H$50+'Assumptions and Catalog'!$E$50+'Assumptions and Catalog'!$F$50,IF(L517&lt;='Assumptions and Catalog'!$C$51,L517*'Assumptions and Catalog'!$H$51+'Assumptions and Catalog'!$E$51+'Assumptions and Catalog'!$F$51,IF(L517&lt;='Assumptions and Catalog'!$C$52,L517*'Assumptions and Catalog'!$H$52+'Assumptions and Catalog'!$E$52+'Assumptions and Catalog'!$F$52,IF(L517&lt;='Assumptions and Catalog'!$C$53,L517*'Assumptions and Catalog'!$H$53+'Assumptions and Catalog'!$E$53+'Assumptions and Catalog'!$F$53,IF(L517&lt;='Assumptions and Catalog'!$C$54,L517*'Assumptions and Catalog'!$H$54+'Assumptions and Catalog'!$E$54+'Assumptions and Catalog'!$F$54,IF(L517&lt;='Assumptions and Catalog'!$C$55,L517*'Assumptions and Catalog'!$H$55+'Assumptions and Catalog'!$E$55+'Assumptions and Catalog'!$F$55,IF(L517&lt;='Assumptions and Catalog'!$C$56,L517*'Assumptions and Catalog'!$H$56+'Assumptions and Catalog'!$E$56+'Assumptions and Catalog'!$F$56,IF(L517&lt;='Assumptions and Catalog'!$C$57,L517*'Assumptions and Catalog'!$H$57+'Assumptions and Catalog'!$E$57+'Assumptions and Catalog'!$F$57,"Out of range")))))))),IF(L517&lt;='Assumptions and Catalog'!$C$60,L517*'Assumptions and Catalog'!$H$60+'Assumptions and Catalog'!$E$60+'Assumptions and Catalog'!$F$60,IF(L517&lt;='Assumptions and Catalog'!$C$61,L517*'Assumptions and Catalog'!$H$61+'Assumptions and Catalog'!$E$61+'Assumptions and Catalog'!$F$61,IF(L517&lt;='Assumptions and Catalog'!$C$62,L517*'Assumptions and Catalog'!$H$62+'Assumptions and Catalog'!$E$62+'Assumptions and Catalog'!$F$62,IF(L517&lt;='Assumptions and Catalog'!$C$63,L517*'Assumptions and Catalog'!$H$63+'Assumptions and Catalog'!$E$63+'Assumptions and Catalog'!$F$63,IF(L517&lt;='Assumptions and Catalog'!$C$64,L517*'Assumptions and Catalog'!$H$64+'Assumptions and Catalog'!$E$64+'Assumptions and Catalog'!$F$64,IF(L517&lt;='Assumptions and Catalog'!$C$65,L517*'Assumptions and Catalog'!$H$65+'Assumptions and Catalog'!$E$65+'Assumptions and Catalog'!$F$65,"Out of range")))))))))*(1+'Assumptions and Catalog'!$C$8)^(A517-1),0)</f>
        <v>8279</v>
      </c>
      <c r="O517" s="5">
        <f t="shared" si="39"/>
        <v>0</v>
      </c>
      <c r="P517" s="5">
        <f>D$55*(1-K$14)*(1-'Assumptions and Catalog'!$C$23)^R517</f>
        <v>0</v>
      </c>
      <c r="Q517" s="5">
        <f>IF(ISNUMBER(Inputs!$L$5),(IF(Inputs!$L$9="Actual flat rate",((D517+E517)*C517-G517)*Inputs!$L$10,IF(Inputs!$C$9="Residential",IF(((D517+E517)*C517-G517)&lt;='Assumptions and Catalog'!$C$50,((D517+E517)*C517-G517)*'Assumptions and Catalog'!$H$50+'Assumptions and Catalog'!$E$50+'Assumptions and Catalog'!$F$50,IF(((D517+E517)*C517-G517)&lt;='Assumptions and Catalog'!$C$51,((D517+E517)*C517-G517)*'Assumptions and Catalog'!$H$51+'Assumptions and Catalog'!$E$51+'Assumptions and Catalog'!$F$51,IF(((D517+E517)*C517-G517)&lt;='Assumptions and Catalog'!$C$52,((D517+E517)*C517-G517)*'Assumptions and Catalog'!$H$52+'Assumptions and Catalog'!$E$52+'Assumptions and Catalog'!$F$52,IF(((D517+E517)*C517-G517)&lt;='Assumptions and Catalog'!$C$53,((D517+E517)*C517-G517)*'Assumptions and Catalog'!$H$53+'Assumptions and Catalog'!$E$53+'Assumptions and Catalog'!$F$53,IF(((D517+E517)*C517-G517)&lt;='Assumptions and Catalog'!$C$54,((D517+E517)*C517-G517)*'Assumptions and Catalog'!$H$54+'Assumptions and Catalog'!$E$54+'Assumptions and Catalog'!$F$54,IF(((D517+E517)*C517-G517)&lt;='Assumptions and Catalog'!$C$55,((D517+E517)*C517-G517)*'Assumptions and Catalog'!$H$55+'Assumptions and Catalog'!$E$55+'Assumptions and Catalog'!$F$55,IF(((D517+E517)*C517-G517)&lt;='Assumptions and Catalog'!$C$56,((D517+E517)*C517-G517)*'Assumptions and Catalog'!$H$56+'Assumptions and Catalog'!$E$56+'Assumptions and Catalog'!$F$56,IF(((D517+E517)*C517-G517)&lt;='Assumptions and Catalog'!$C$57,((D517+E517)*C517-G517)*'Assumptions and Catalog'!$H$57+'Assumptions and Catalog'!$E$57+'Assumptions and Catalog'!$F$57,"Out of range")))))))),IF(((D517+E517)*C517-G517)&lt;='Assumptions and Catalog'!$C$60,((D517+E517)*C517-G517)*'Assumptions and Catalog'!$H$60+'Assumptions and Catalog'!$E$60+'Assumptions and Catalog'!$F$60,IF(((D517+E517)*C517-G517)&lt;='Assumptions and Catalog'!$C$61,((D517+E517)*C517-G517)*'Assumptions and Catalog'!$H$61+'Assumptions and Catalog'!$E$61+'Assumptions and Catalog'!$F$61,IF(((D517+E517)*C517-G517)&lt;='Assumptions and Catalog'!$C$62,((D517+E517)*C517-G517)*'Assumptions and Catalog'!$H$62+'Assumptions and Catalog'!$E$62+'Assumptions and Catalog'!$F$62,IF(((D517+E517)*C517-G517)&lt;='Assumptions and Catalog'!$C$63,((D517+E517)*C517-G517)*'Assumptions and Catalog'!$H$63+'Assumptions and Catalog'!$E$63+'Assumptions and Catalog'!$F$63,IF(((D517+E517)*C517-G517)&lt;='Assumptions and Catalog'!$C$64,((D517+E517)*C517-G517)*'Assumptions and Catalog'!$H$64+'Assumptions and Catalog'!$E$64+'Assumptions and Catalog'!$F$64,IF(((D517+E517)*C517-G517)&lt;='Assumptions and Catalog'!$C$65,((D517+E517)*C517-G517)*'Assumptions and Catalog'!$H$65+'Assumptions and Catalog'!$E$65+'Assumptions and Catalog'!$F$65,"Out of range")))))))))*(1+'Assumptions and Catalog'!$C$8)^(A517-1),0)</f>
        <v>8279</v>
      </c>
      <c r="R517" s="5">
        <f>IF(AND('Assumptions and Catalog'!$C$19&gt;0,A517&gt;='Assumptions and Catalog'!$C$19),A517-'Assumptions and Catalog'!$C$19,A517-1)</f>
        <v>8</v>
      </c>
      <c r="S517" s="5">
        <f>F517+L517-(D517+E517)*C517-J517-K517-IF(D$52&gt;0,'Assumptions and Catalog'!$C$26*C517,0)</f>
        <v>0</v>
      </c>
      <c r="T517" s="5"/>
      <c r="U517" s="5"/>
    </row>
    <row r="518" spans="1:21" ht="23.1" customHeight="1" outlineLevel="1" x14ac:dyDescent="0.2">
      <c r="A518" s="5">
        <v>9</v>
      </c>
      <c r="B518" s="5">
        <v>12</v>
      </c>
      <c r="C518" s="5">
        <f>DAY(DATE('Assumptions and Catalog'!$C$24+A518-1,B518+1,0))</f>
        <v>31</v>
      </c>
      <c r="D518" s="5">
        <f>IF(ISNUMBER(Inputs!$L$5),Inputs!$L$5*Inputs!$L$6,0)</f>
        <v>40.35</v>
      </c>
      <c r="E518" s="5">
        <f>IF(ISNUMBER(Inputs!$L$5),Inputs!$L$5-D518,0)</f>
        <v>40.35</v>
      </c>
      <c r="F518" s="5">
        <f>D$51*'Assumptions and Catalog'!$C$31*C518*(1-'Assumptions and Catalog'!$C$10)^(A518-1)</f>
        <v>0</v>
      </c>
      <c r="G518" s="5">
        <f t="shared" si="36"/>
        <v>0</v>
      </c>
      <c r="H518" s="5">
        <f>I518/('Assumptions and Catalog'!$C$11*'Assumptions and Catalog'!$C$12)</f>
        <v>0</v>
      </c>
      <c r="I518" s="5">
        <f>IF(K$15="Grid cycle",MIN(K$16,D518+E518,P518*'Assumptions and Catalog'!$C$12,D$57*(24-'Assumptions and Catalog'!$C$15),D$56*'Assumptions and Catalog'!$C$15*'Assumptions and Catalog'!$C$11*'Assumptions and Catalog'!$C$12)*C518,0)</f>
        <v>0</v>
      </c>
      <c r="J518" s="5">
        <f t="shared" si="37"/>
        <v>0</v>
      </c>
      <c r="K518" s="5">
        <f t="shared" si="38"/>
        <v>0</v>
      </c>
      <c r="L518" s="5">
        <f>(D518+E518)*C518-G518-I518+H518+IF(D$52&gt;0,'Assumptions and Catalog'!$C$26*C518,0)</f>
        <v>2501.7000000000003</v>
      </c>
      <c r="M518" s="5">
        <f>IF(ISNUMBER(Inputs!$L$5),(IF(Inputs!$L$9="Actual flat rate",((D518+E518)*C518)*Inputs!$L$10,IF(Inputs!$C$9="Residential",IF(((D518+E518)*C518)&lt;='Assumptions and Catalog'!$C$50,((D518+E518)*C518)*'Assumptions and Catalog'!$H$50+'Assumptions and Catalog'!$E$50+'Assumptions and Catalog'!$F$50,IF(((D518+E518)*C518)&lt;='Assumptions and Catalog'!$C$51,((D518+E518)*C518)*'Assumptions and Catalog'!$H$51+'Assumptions and Catalog'!$E$51+'Assumptions and Catalog'!$F$51,IF(((D518+E518)*C518)&lt;='Assumptions and Catalog'!$C$52,((D518+E518)*C518)*'Assumptions and Catalog'!$H$52+'Assumptions and Catalog'!$E$52+'Assumptions and Catalog'!$F$52,IF(((D518+E518)*C518)&lt;='Assumptions and Catalog'!$C$53,((D518+E518)*C518)*'Assumptions and Catalog'!$H$53+'Assumptions and Catalog'!$E$53+'Assumptions and Catalog'!$F$53,IF(((D518+E518)*C518)&lt;='Assumptions and Catalog'!$C$54,((D518+E518)*C518)*'Assumptions and Catalog'!$H$54+'Assumptions and Catalog'!$E$54+'Assumptions and Catalog'!$F$54,IF(((D518+E518)*C518)&lt;='Assumptions and Catalog'!$C$55,((D518+E518)*C518)*'Assumptions and Catalog'!$H$55+'Assumptions and Catalog'!$E$55+'Assumptions and Catalog'!$F$55,IF(((D518+E518)*C518)&lt;='Assumptions and Catalog'!$C$56,((D518+E518)*C518)*'Assumptions and Catalog'!$H$56+'Assumptions and Catalog'!$E$56+'Assumptions and Catalog'!$F$56,IF(((D518+E518)*C518)&lt;='Assumptions and Catalog'!$C$57,((D518+E518)*C518)*'Assumptions and Catalog'!$H$57+'Assumptions and Catalog'!$E$57+'Assumptions and Catalog'!$F$57,"Out of range")))))))),IF(((D518+E518)*C518)&lt;='Assumptions and Catalog'!$C$60,((D518+E518)*C518)*'Assumptions and Catalog'!$H$60+'Assumptions and Catalog'!$E$60+'Assumptions and Catalog'!$F$60,IF(((D518+E518)*C518)&lt;='Assumptions and Catalog'!$C$61,((D518+E518)*C518)*'Assumptions and Catalog'!$H$61+'Assumptions and Catalog'!$E$61+'Assumptions and Catalog'!$F$61,IF(((D518+E518)*C518)&lt;='Assumptions and Catalog'!$C$62,((D518+E518)*C518)*'Assumptions and Catalog'!$H$62+'Assumptions and Catalog'!$E$62+'Assumptions and Catalog'!$F$62,IF(((D518+E518)*C518)&lt;='Assumptions and Catalog'!$C$63,((D518+E518)*C518)*'Assumptions and Catalog'!$H$63+'Assumptions and Catalog'!$E$63+'Assumptions and Catalog'!$F$63,IF(((D518+E518)*C518)&lt;='Assumptions and Catalog'!$C$64,((D518+E518)*C518)*'Assumptions and Catalog'!$H$64+'Assumptions and Catalog'!$E$64+'Assumptions and Catalog'!$F$64,IF(((D518+E518)*C518)&lt;='Assumptions and Catalog'!$C$65,((D518+E518)*C518)*'Assumptions and Catalog'!$H$65+'Assumptions and Catalog'!$E$65+'Assumptions and Catalog'!$F$65,"Out of range")))))))))*(1+'Assumptions and Catalog'!$C$8)^(A518-1),0)</f>
        <v>8554.9666666666672</v>
      </c>
      <c r="N518" s="5">
        <f>IF(ISNUMBER(Inputs!$L$5),(IF(Inputs!$L$9="Actual flat rate",L518*Inputs!$L$10,IF(Inputs!$C$9="Residential",IF(L518&lt;='Assumptions and Catalog'!$C$50,L518*'Assumptions and Catalog'!$H$50+'Assumptions and Catalog'!$E$50+'Assumptions and Catalog'!$F$50,IF(L518&lt;='Assumptions and Catalog'!$C$51,L518*'Assumptions and Catalog'!$H$51+'Assumptions and Catalog'!$E$51+'Assumptions and Catalog'!$F$51,IF(L518&lt;='Assumptions and Catalog'!$C$52,L518*'Assumptions and Catalog'!$H$52+'Assumptions and Catalog'!$E$52+'Assumptions and Catalog'!$F$52,IF(L518&lt;='Assumptions and Catalog'!$C$53,L518*'Assumptions and Catalog'!$H$53+'Assumptions and Catalog'!$E$53+'Assumptions and Catalog'!$F$53,IF(L518&lt;='Assumptions and Catalog'!$C$54,L518*'Assumptions and Catalog'!$H$54+'Assumptions and Catalog'!$E$54+'Assumptions and Catalog'!$F$54,IF(L518&lt;='Assumptions and Catalog'!$C$55,L518*'Assumptions and Catalog'!$H$55+'Assumptions and Catalog'!$E$55+'Assumptions and Catalog'!$F$55,IF(L518&lt;='Assumptions and Catalog'!$C$56,L518*'Assumptions and Catalog'!$H$56+'Assumptions and Catalog'!$E$56+'Assumptions and Catalog'!$F$56,IF(L518&lt;='Assumptions and Catalog'!$C$57,L518*'Assumptions and Catalog'!$H$57+'Assumptions and Catalog'!$E$57+'Assumptions and Catalog'!$F$57,"Out of range")))))))),IF(L518&lt;='Assumptions and Catalog'!$C$60,L518*'Assumptions and Catalog'!$H$60+'Assumptions and Catalog'!$E$60+'Assumptions and Catalog'!$F$60,IF(L518&lt;='Assumptions and Catalog'!$C$61,L518*'Assumptions and Catalog'!$H$61+'Assumptions and Catalog'!$E$61+'Assumptions and Catalog'!$F$61,IF(L518&lt;='Assumptions and Catalog'!$C$62,L518*'Assumptions and Catalog'!$H$62+'Assumptions and Catalog'!$E$62+'Assumptions and Catalog'!$F$62,IF(L518&lt;='Assumptions and Catalog'!$C$63,L518*'Assumptions and Catalog'!$H$63+'Assumptions and Catalog'!$E$63+'Assumptions and Catalog'!$F$63,IF(L518&lt;='Assumptions and Catalog'!$C$64,L518*'Assumptions and Catalog'!$H$64+'Assumptions and Catalog'!$E$64+'Assumptions and Catalog'!$F$64,IF(L518&lt;='Assumptions and Catalog'!$C$65,L518*'Assumptions and Catalog'!$H$65+'Assumptions and Catalog'!$E$65+'Assumptions and Catalog'!$F$65,"Out of range")))))))))*(1+'Assumptions and Catalog'!$C$8)^(A518-1),0)</f>
        <v>8554.9666666666672</v>
      </c>
      <c r="O518" s="5">
        <f t="shared" si="39"/>
        <v>0</v>
      </c>
      <c r="P518" s="5">
        <f>D$55*(1-K$14)*(1-'Assumptions and Catalog'!$C$23)^R518</f>
        <v>0</v>
      </c>
      <c r="Q518" s="5">
        <f>IF(ISNUMBER(Inputs!$L$5),(IF(Inputs!$L$9="Actual flat rate",((D518+E518)*C518-G518)*Inputs!$L$10,IF(Inputs!$C$9="Residential",IF(((D518+E518)*C518-G518)&lt;='Assumptions and Catalog'!$C$50,((D518+E518)*C518-G518)*'Assumptions and Catalog'!$H$50+'Assumptions and Catalog'!$E$50+'Assumptions and Catalog'!$F$50,IF(((D518+E518)*C518-G518)&lt;='Assumptions and Catalog'!$C$51,((D518+E518)*C518-G518)*'Assumptions and Catalog'!$H$51+'Assumptions and Catalog'!$E$51+'Assumptions and Catalog'!$F$51,IF(((D518+E518)*C518-G518)&lt;='Assumptions and Catalog'!$C$52,((D518+E518)*C518-G518)*'Assumptions and Catalog'!$H$52+'Assumptions and Catalog'!$E$52+'Assumptions and Catalog'!$F$52,IF(((D518+E518)*C518-G518)&lt;='Assumptions and Catalog'!$C$53,((D518+E518)*C518-G518)*'Assumptions and Catalog'!$H$53+'Assumptions and Catalog'!$E$53+'Assumptions and Catalog'!$F$53,IF(((D518+E518)*C518-G518)&lt;='Assumptions and Catalog'!$C$54,((D518+E518)*C518-G518)*'Assumptions and Catalog'!$H$54+'Assumptions and Catalog'!$E$54+'Assumptions and Catalog'!$F$54,IF(((D518+E518)*C518-G518)&lt;='Assumptions and Catalog'!$C$55,((D518+E518)*C518-G518)*'Assumptions and Catalog'!$H$55+'Assumptions and Catalog'!$E$55+'Assumptions and Catalog'!$F$55,IF(((D518+E518)*C518-G518)&lt;='Assumptions and Catalog'!$C$56,((D518+E518)*C518-G518)*'Assumptions and Catalog'!$H$56+'Assumptions and Catalog'!$E$56+'Assumptions and Catalog'!$F$56,IF(((D518+E518)*C518-G518)&lt;='Assumptions and Catalog'!$C$57,((D518+E518)*C518-G518)*'Assumptions and Catalog'!$H$57+'Assumptions and Catalog'!$E$57+'Assumptions and Catalog'!$F$57,"Out of range")))))))),IF(((D518+E518)*C518-G518)&lt;='Assumptions and Catalog'!$C$60,((D518+E518)*C518-G518)*'Assumptions and Catalog'!$H$60+'Assumptions and Catalog'!$E$60+'Assumptions and Catalog'!$F$60,IF(((D518+E518)*C518-G518)&lt;='Assumptions and Catalog'!$C$61,((D518+E518)*C518-G518)*'Assumptions and Catalog'!$H$61+'Assumptions and Catalog'!$E$61+'Assumptions and Catalog'!$F$61,IF(((D518+E518)*C518-G518)&lt;='Assumptions and Catalog'!$C$62,((D518+E518)*C518-G518)*'Assumptions and Catalog'!$H$62+'Assumptions and Catalog'!$E$62+'Assumptions and Catalog'!$F$62,IF(((D518+E518)*C518-G518)&lt;='Assumptions and Catalog'!$C$63,((D518+E518)*C518-G518)*'Assumptions and Catalog'!$H$63+'Assumptions and Catalog'!$E$63+'Assumptions and Catalog'!$F$63,IF(((D518+E518)*C518-G518)&lt;='Assumptions and Catalog'!$C$64,((D518+E518)*C518-G518)*'Assumptions and Catalog'!$H$64+'Assumptions and Catalog'!$E$64+'Assumptions and Catalog'!$F$64,IF(((D518+E518)*C518-G518)&lt;='Assumptions and Catalog'!$C$65,((D518+E518)*C518-G518)*'Assumptions and Catalog'!$H$65+'Assumptions and Catalog'!$E$65+'Assumptions and Catalog'!$F$65,"Out of range")))))))))*(1+'Assumptions and Catalog'!$C$8)^(A518-1),0)</f>
        <v>8554.9666666666672</v>
      </c>
      <c r="R518" s="5">
        <f>IF(AND('Assumptions and Catalog'!$C$19&gt;0,A518&gt;='Assumptions and Catalog'!$C$19),A518-'Assumptions and Catalog'!$C$19,A518-1)</f>
        <v>8</v>
      </c>
      <c r="S518" s="5">
        <f>F518+L518-(D518+E518)*C518-J518-K518-IF(D$52&gt;0,'Assumptions and Catalog'!$C$26*C518,0)</f>
        <v>0</v>
      </c>
      <c r="T518" s="5"/>
      <c r="U518" s="5"/>
    </row>
    <row r="519" spans="1:21" ht="23.1" customHeight="1" outlineLevel="1" x14ac:dyDescent="0.2">
      <c r="A519" s="5">
        <v>10</v>
      </c>
      <c r="B519" s="5">
        <v>1</v>
      </c>
      <c r="C519" s="5">
        <f>DAY(DATE('Assumptions and Catalog'!$C$24+A519-1,B519+1,0))</f>
        <v>31</v>
      </c>
      <c r="D519" s="5">
        <f>IF(ISNUMBER(Inputs!$L$5),Inputs!$L$5*Inputs!$L$6,0)</f>
        <v>40.35</v>
      </c>
      <c r="E519" s="5">
        <f>IF(ISNUMBER(Inputs!$L$5),Inputs!$L$5-D519,0)</f>
        <v>40.35</v>
      </c>
      <c r="F519" s="5">
        <f>D$51*'Assumptions and Catalog'!$C$31*C519*(1-'Assumptions and Catalog'!$C$10)^(A519-1)</f>
        <v>0</v>
      </c>
      <c r="G519" s="5">
        <f t="shared" si="36"/>
        <v>0</v>
      </c>
      <c r="H519" s="5">
        <f>I519/('Assumptions and Catalog'!$C$11*'Assumptions and Catalog'!$C$12)</f>
        <v>0</v>
      </c>
      <c r="I519" s="5">
        <f>IF(K$15="Grid cycle",MIN(K$16,D519+E519,P519*'Assumptions and Catalog'!$C$12,D$57*(24-'Assumptions and Catalog'!$C$15),D$56*'Assumptions and Catalog'!$C$15*'Assumptions and Catalog'!$C$11*'Assumptions and Catalog'!$C$12)*C519,0)</f>
        <v>0</v>
      </c>
      <c r="J519" s="5">
        <f t="shared" si="37"/>
        <v>0</v>
      </c>
      <c r="K519" s="5">
        <f t="shared" si="38"/>
        <v>0</v>
      </c>
      <c r="L519" s="5">
        <f>(D519+E519)*C519-G519-I519+H519+IF(D$52&gt;0,'Assumptions and Catalog'!$C$26*C519,0)</f>
        <v>2501.7000000000003</v>
      </c>
      <c r="M519" s="5">
        <f>IF(ISNUMBER(Inputs!$L$5),(IF(Inputs!$L$9="Actual flat rate",((D519+E519)*C519)*Inputs!$L$10,IF(Inputs!$C$9="Residential",IF(((D519+E519)*C519)&lt;='Assumptions and Catalog'!$C$50,((D519+E519)*C519)*'Assumptions and Catalog'!$H$50+'Assumptions and Catalog'!$E$50+'Assumptions and Catalog'!$F$50,IF(((D519+E519)*C519)&lt;='Assumptions and Catalog'!$C$51,((D519+E519)*C519)*'Assumptions and Catalog'!$H$51+'Assumptions and Catalog'!$E$51+'Assumptions and Catalog'!$F$51,IF(((D519+E519)*C519)&lt;='Assumptions and Catalog'!$C$52,((D519+E519)*C519)*'Assumptions and Catalog'!$H$52+'Assumptions and Catalog'!$E$52+'Assumptions and Catalog'!$F$52,IF(((D519+E519)*C519)&lt;='Assumptions and Catalog'!$C$53,((D519+E519)*C519)*'Assumptions and Catalog'!$H$53+'Assumptions and Catalog'!$E$53+'Assumptions and Catalog'!$F$53,IF(((D519+E519)*C519)&lt;='Assumptions and Catalog'!$C$54,((D519+E519)*C519)*'Assumptions and Catalog'!$H$54+'Assumptions and Catalog'!$E$54+'Assumptions and Catalog'!$F$54,IF(((D519+E519)*C519)&lt;='Assumptions and Catalog'!$C$55,((D519+E519)*C519)*'Assumptions and Catalog'!$H$55+'Assumptions and Catalog'!$E$55+'Assumptions and Catalog'!$F$55,IF(((D519+E519)*C519)&lt;='Assumptions and Catalog'!$C$56,((D519+E519)*C519)*'Assumptions and Catalog'!$H$56+'Assumptions and Catalog'!$E$56+'Assumptions and Catalog'!$F$56,IF(((D519+E519)*C519)&lt;='Assumptions and Catalog'!$C$57,((D519+E519)*C519)*'Assumptions and Catalog'!$H$57+'Assumptions and Catalog'!$E$57+'Assumptions and Catalog'!$F$57,"Out of range")))))))),IF(((D519+E519)*C519)&lt;='Assumptions and Catalog'!$C$60,((D519+E519)*C519)*'Assumptions and Catalog'!$H$60+'Assumptions and Catalog'!$E$60+'Assumptions and Catalog'!$F$60,IF(((D519+E519)*C519)&lt;='Assumptions and Catalog'!$C$61,((D519+E519)*C519)*'Assumptions and Catalog'!$H$61+'Assumptions and Catalog'!$E$61+'Assumptions and Catalog'!$F$61,IF(((D519+E519)*C519)&lt;='Assumptions and Catalog'!$C$62,((D519+E519)*C519)*'Assumptions and Catalog'!$H$62+'Assumptions and Catalog'!$E$62+'Assumptions and Catalog'!$F$62,IF(((D519+E519)*C519)&lt;='Assumptions and Catalog'!$C$63,((D519+E519)*C519)*'Assumptions and Catalog'!$H$63+'Assumptions and Catalog'!$E$63+'Assumptions and Catalog'!$F$63,IF(((D519+E519)*C519)&lt;='Assumptions and Catalog'!$C$64,((D519+E519)*C519)*'Assumptions and Catalog'!$H$64+'Assumptions and Catalog'!$E$64+'Assumptions and Catalog'!$F$64,IF(((D519+E519)*C519)&lt;='Assumptions and Catalog'!$C$65,((D519+E519)*C519)*'Assumptions and Catalog'!$H$65+'Assumptions and Catalog'!$E$65+'Assumptions and Catalog'!$F$65,"Out of range")))))))))*(1+'Assumptions and Catalog'!$C$8)^(A519-1),0)</f>
        <v>8554.9666666666672</v>
      </c>
      <c r="N519" s="5">
        <f>IF(ISNUMBER(Inputs!$L$5),(IF(Inputs!$L$9="Actual flat rate",L519*Inputs!$L$10,IF(Inputs!$C$9="Residential",IF(L519&lt;='Assumptions and Catalog'!$C$50,L519*'Assumptions and Catalog'!$H$50+'Assumptions and Catalog'!$E$50+'Assumptions and Catalog'!$F$50,IF(L519&lt;='Assumptions and Catalog'!$C$51,L519*'Assumptions and Catalog'!$H$51+'Assumptions and Catalog'!$E$51+'Assumptions and Catalog'!$F$51,IF(L519&lt;='Assumptions and Catalog'!$C$52,L519*'Assumptions and Catalog'!$H$52+'Assumptions and Catalog'!$E$52+'Assumptions and Catalog'!$F$52,IF(L519&lt;='Assumptions and Catalog'!$C$53,L519*'Assumptions and Catalog'!$H$53+'Assumptions and Catalog'!$E$53+'Assumptions and Catalog'!$F$53,IF(L519&lt;='Assumptions and Catalog'!$C$54,L519*'Assumptions and Catalog'!$H$54+'Assumptions and Catalog'!$E$54+'Assumptions and Catalog'!$F$54,IF(L519&lt;='Assumptions and Catalog'!$C$55,L519*'Assumptions and Catalog'!$H$55+'Assumptions and Catalog'!$E$55+'Assumptions and Catalog'!$F$55,IF(L519&lt;='Assumptions and Catalog'!$C$56,L519*'Assumptions and Catalog'!$H$56+'Assumptions and Catalog'!$E$56+'Assumptions and Catalog'!$F$56,IF(L519&lt;='Assumptions and Catalog'!$C$57,L519*'Assumptions and Catalog'!$H$57+'Assumptions and Catalog'!$E$57+'Assumptions and Catalog'!$F$57,"Out of range")))))))),IF(L519&lt;='Assumptions and Catalog'!$C$60,L519*'Assumptions and Catalog'!$H$60+'Assumptions and Catalog'!$E$60+'Assumptions and Catalog'!$F$60,IF(L519&lt;='Assumptions and Catalog'!$C$61,L519*'Assumptions and Catalog'!$H$61+'Assumptions and Catalog'!$E$61+'Assumptions and Catalog'!$F$61,IF(L519&lt;='Assumptions and Catalog'!$C$62,L519*'Assumptions and Catalog'!$H$62+'Assumptions and Catalog'!$E$62+'Assumptions and Catalog'!$F$62,IF(L519&lt;='Assumptions and Catalog'!$C$63,L519*'Assumptions and Catalog'!$H$63+'Assumptions and Catalog'!$E$63+'Assumptions and Catalog'!$F$63,IF(L519&lt;='Assumptions and Catalog'!$C$64,L519*'Assumptions and Catalog'!$H$64+'Assumptions and Catalog'!$E$64+'Assumptions and Catalog'!$F$64,IF(L519&lt;='Assumptions and Catalog'!$C$65,L519*'Assumptions and Catalog'!$H$65+'Assumptions and Catalog'!$E$65+'Assumptions and Catalog'!$F$65,"Out of range")))))))))*(1+'Assumptions and Catalog'!$C$8)^(A519-1),0)</f>
        <v>8554.9666666666672</v>
      </c>
      <c r="O519" s="5">
        <f t="shared" si="39"/>
        <v>0</v>
      </c>
      <c r="P519" s="5">
        <f>D$55*(1-K$14)*(1-'Assumptions and Catalog'!$C$23)^R519</f>
        <v>0</v>
      </c>
      <c r="Q519" s="5">
        <f>IF(ISNUMBER(Inputs!$L$5),(IF(Inputs!$L$9="Actual flat rate",((D519+E519)*C519-G519)*Inputs!$L$10,IF(Inputs!$C$9="Residential",IF(((D519+E519)*C519-G519)&lt;='Assumptions and Catalog'!$C$50,((D519+E519)*C519-G519)*'Assumptions and Catalog'!$H$50+'Assumptions and Catalog'!$E$50+'Assumptions and Catalog'!$F$50,IF(((D519+E519)*C519-G519)&lt;='Assumptions and Catalog'!$C$51,((D519+E519)*C519-G519)*'Assumptions and Catalog'!$H$51+'Assumptions and Catalog'!$E$51+'Assumptions and Catalog'!$F$51,IF(((D519+E519)*C519-G519)&lt;='Assumptions and Catalog'!$C$52,((D519+E519)*C519-G519)*'Assumptions and Catalog'!$H$52+'Assumptions and Catalog'!$E$52+'Assumptions and Catalog'!$F$52,IF(((D519+E519)*C519-G519)&lt;='Assumptions and Catalog'!$C$53,((D519+E519)*C519-G519)*'Assumptions and Catalog'!$H$53+'Assumptions and Catalog'!$E$53+'Assumptions and Catalog'!$F$53,IF(((D519+E519)*C519-G519)&lt;='Assumptions and Catalog'!$C$54,((D519+E519)*C519-G519)*'Assumptions and Catalog'!$H$54+'Assumptions and Catalog'!$E$54+'Assumptions and Catalog'!$F$54,IF(((D519+E519)*C519-G519)&lt;='Assumptions and Catalog'!$C$55,((D519+E519)*C519-G519)*'Assumptions and Catalog'!$H$55+'Assumptions and Catalog'!$E$55+'Assumptions and Catalog'!$F$55,IF(((D519+E519)*C519-G519)&lt;='Assumptions and Catalog'!$C$56,((D519+E519)*C519-G519)*'Assumptions and Catalog'!$H$56+'Assumptions and Catalog'!$E$56+'Assumptions and Catalog'!$F$56,IF(((D519+E519)*C519-G519)&lt;='Assumptions and Catalog'!$C$57,((D519+E519)*C519-G519)*'Assumptions and Catalog'!$H$57+'Assumptions and Catalog'!$E$57+'Assumptions and Catalog'!$F$57,"Out of range")))))))),IF(((D519+E519)*C519-G519)&lt;='Assumptions and Catalog'!$C$60,((D519+E519)*C519-G519)*'Assumptions and Catalog'!$H$60+'Assumptions and Catalog'!$E$60+'Assumptions and Catalog'!$F$60,IF(((D519+E519)*C519-G519)&lt;='Assumptions and Catalog'!$C$61,((D519+E519)*C519-G519)*'Assumptions and Catalog'!$H$61+'Assumptions and Catalog'!$E$61+'Assumptions and Catalog'!$F$61,IF(((D519+E519)*C519-G519)&lt;='Assumptions and Catalog'!$C$62,((D519+E519)*C519-G519)*'Assumptions and Catalog'!$H$62+'Assumptions and Catalog'!$E$62+'Assumptions and Catalog'!$F$62,IF(((D519+E519)*C519-G519)&lt;='Assumptions and Catalog'!$C$63,((D519+E519)*C519-G519)*'Assumptions and Catalog'!$H$63+'Assumptions and Catalog'!$E$63+'Assumptions and Catalog'!$F$63,IF(((D519+E519)*C519-G519)&lt;='Assumptions and Catalog'!$C$64,((D519+E519)*C519-G519)*'Assumptions and Catalog'!$H$64+'Assumptions and Catalog'!$E$64+'Assumptions and Catalog'!$F$64,IF(((D519+E519)*C519-G519)&lt;='Assumptions and Catalog'!$C$65,((D519+E519)*C519-G519)*'Assumptions and Catalog'!$H$65+'Assumptions and Catalog'!$E$65+'Assumptions and Catalog'!$F$65,"Out of range")))))))))*(1+'Assumptions and Catalog'!$C$8)^(A519-1),0)</f>
        <v>8554.9666666666672</v>
      </c>
      <c r="R519" s="5">
        <f>IF(AND('Assumptions and Catalog'!$C$19&gt;0,A519&gt;='Assumptions and Catalog'!$C$19),A519-'Assumptions and Catalog'!$C$19,A519-1)</f>
        <v>9</v>
      </c>
      <c r="S519" s="5">
        <f>F519+L519-(D519+E519)*C519-J519-K519-IF(D$52&gt;0,'Assumptions and Catalog'!$C$26*C519,0)</f>
        <v>0</v>
      </c>
      <c r="T519" s="5"/>
      <c r="U519" s="5"/>
    </row>
    <row r="520" spans="1:21" ht="23.1" customHeight="1" outlineLevel="1" x14ac:dyDescent="0.2">
      <c r="A520" s="5">
        <v>10</v>
      </c>
      <c r="B520" s="5">
        <v>2</v>
      </c>
      <c r="C520" s="5">
        <f>DAY(DATE('Assumptions and Catalog'!$C$24+A520-1,B520+1,0))</f>
        <v>29</v>
      </c>
      <c r="D520" s="5">
        <f>IF(ISNUMBER(Inputs!$L$5),Inputs!$L$5*Inputs!$L$6,0)</f>
        <v>40.35</v>
      </c>
      <c r="E520" s="5">
        <f>IF(ISNUMBER(Inputs!$L$5),Inputs!$L$5-D520,0)</f>
        <v>40.35</v>
      </c>
      <c r="F520" s="5">
        <f>D$51*'Assumptions and Catalog'!$C$31*C520*(1-'Assumptions and Catalog'!$C$10)^(A520-1)</f>
        <v>0</v>
      </c>
      <c r="G520" s="5">
        <f t="shared" si="36"/>
        <v>0</v>
      </c>
      <c r="H520" s="5">
        <f>I520/('Assumptions and Catalog'!$C$11*'Assumptions and Catalog'!$C$12)</f>
        <v>0</v>
      </c>
      <c r="I520" s="5">
        <f>IF(K$15="Grid cycle",MIN(K$16,D520+E520,P520*'Assumptions and Catalog'!$C$12,D$57*(24-'Assumptions and Catalog'!$C$15),D$56*'Assumptions and Catalog'!$C$15*'Assumptions and Catalog'!$C$11*'Assumptions and Catalog'!$C$12)*C520,0)</f>
        <v>0</v>
      </c>
      <c r="J520" s="5">
        <f t="shared" si="37"/>
        <v>0</v>
      </c>
      <c r="K520" s="5">
        <f t="shared" si="38"/>
        <v>0</v>
      </c>
      <c r="L520" s="5">
        <f>(D520+E520)*C520-G520-I520+H520+IF(D$52&gt;0,'Assumptions and Catalog'!$C$26*C520,0)</f>
        <v>2340.3000000000002</v>
      </c>
      <c r="M520" s="5">
        <f>IF(ISNUMBER(Inputs!$L$5),(IF(Inputs!$L$9="Actual flat rate",((D520+E520)*C520)*Inputs!$L$10,IF(Inputs!$C$9="Residential",IF(((D520+E520)*C520)&lt;='Assumptions and Catalog'!$C$50,((D520+E520)*C520)*'Assumptions and Catalog'!$H$50+'Assumptions and Catalog'!$E$50+'Assumptions and Catalog'!$F$50,IF(((D520+E520)*C520)&lt;='Assumptions and Catalog'!$C$51,((D520+E520)*C520)*'Assumptions and Catalog'!$H$51+'Assumptions and Catalog'!$E$51+'Assumptions and Catalog'!$F$51,IF(((D520+E520)*C520)&lt;='Assumptions and Catalog'!$C$52,((D520+E520)*C520)*'Assumptions and Catalog'!$H$52+'Assumptions and Catalog'!$E$52+'Assumptions and Catalog'!$F$52,IF(((D520+E520)*C520)&lt;='Assumptions and Catalog'!$C$53,((D520+E520)*C520)*'Assumptions and Catalog'!$H$53+'Assumptions and Catalog'!$E$53+'Assumptions and Catalog'!$F$53,IF(((D520+E520)*C520)&lt;='Assumptions and Catalog'!$C$54,((D520+E520)*C520)*'Assumptions and Catalog'!$H$54+'Assumptions and Catalog'!$E$54+'Assumptions and Catalog'!$F$54,IF(((D520+E520)*C520)&lt;='Assumptions and Catalog'!$C$55,((D520+E520)*C520)*'Assumptions and Catalog'!$H$55+'Assumptions and Catalog'!$E$55+'Assumptions and Catalog'!$F$55,IF(((D520+E520)*C520)&lt;='Assumptions and Catalog'!$C$56,((D520+E520)*C520)*'Assumptions and Catalog'!$H$56+'Assumptions and Catalog'!$E$56+'Assumptions and Catalog'!$F$56,IF(((D520+E520)*C520)&lt;='Assumptions and Catalog'!$C$57,((D520+E520)*C520)*'Assumptions and Catalog'!$H$57+'Assumptions and Catalog'!$E$57+'Assumptions and Catalog'!$F$57,"Out of range")))))))),IF(((D520+E520)*C520)&lt;='Assumptions and Catalog'!$C$60,((D520+E520)*C520)*'Assumptions and Catalog'!$H$60+'Assumptions and Catalog'!$E$60+'Assumptions and Catalog'!$F$60,IF(((D520+E520)*C520)&lt;='Assumptions and Catalog'!$C$61,((D520+E520)*C520)*'Assumptions and Catalog'!$H$61+'Assumptions and Catalog'!$E$61+'Assumptions and Catalog'!$F$61,IF(((D520+E520)*C520)&lt;='Assumptions and Catalog'!$C$62,((D520+E520)*C520)*'Assumptions and Catalog'!$H$62+'Assumptions and Catalog'!$E$62+'Assumptions and Catalog'!$F$62,IF(((D520+E520)*C520)&lt;='Assumptions and Catalog'!$C$63,((D520+E520)*C520)*'Assumptions and Catalog'!$H$63+'Assumptions and Catalog'!$E$63+'Assumptions and Catalog'!$F$63,IF(((D520+E520)*C520)&lt;='Assumptions and Catalog'!$C$64,((D520+E520)*C520)*'Assumptions and Catalog'!$H$64+'Assumptions and Catalog'!$E$64+'Assumptions and Catalog'!$F$64,IF(((D520+E520)*C520)&lt;='Assumptions and Catalog'!$C$65,((D520+E520)*C520)*'Assumptions and Catalog'!$H$65+'Assumptions and Catalog'!$E$65+'Assumptions and Catalog'!$F$65,"Out of range")))))))))*(1+'Assumptions and Catalog'!$C$8)^(A520-1),0)</f>
        <v>8003.0333333333338</v>
      </c>
      <c r="N520" s="5">
        <f>IF(ISNUMBER(Inputs!$L$5),(IF(Inputs!$L$9="Actual flat rate",L520*Inputs!$L$10,IF(Inputs!$C$9="Residential",IF(L520&lt;='Assumptions and Catalog'!$C$50,L520*'Assumptions and Catalog'!$H$50+'Assumptions and Catalog'!$E$50+'Assumptions and Catalog'!$F$50,IF(L520&lt;='Assumptions and Catalog'!$C$51,L520*'Assumptions and Catalog'!$H$51+'Assumptions and Catalog'!$E$51+'Assumptions and Catalog'!$F$51,IF(L520&lt;='Assumptions and Catalog'!$C$52,L520*'Assumptions and Catalog'!$H$52+'Assumptions and Catalog'!$E$52+'Assumptions and Catalog'!$F$52,IF(L520&lt;='Assumptions and Catalog'!$C$53,L520*'Assumptions and Catalog'!$H$53+'Assumptions and Catalog'!$E$53+'Assumptions and Catalog'!$F$53,IF(L520&lt;='Assumptions and Catalog'!$C$54,L520*'Assumptions and Catalog'!$H$54+'Assumptions and Catalog'!$E$54+'Assumptions and Catalog'!$F$54,IF(L520&lt;='Assumptions and Catalog'!$C$55,L520*'Assumptions and Catalog'!$H$55+'Assumptions and Catalog'!$E$55+'Assumptions and Catalog'!$F$55,IF(L520&lt;='Assumptions and Catalog'!$C$56,L520*'Assumptions and Catalog'!$H$56+'Assumptions and Catalog'!$E$56+'Assumptions and Catalog'!$F$56,IF(L520&lt;='Assumptions and Catalog'!$C$57,L520*'Assumptions and Catalog'!$H$57+'Assumptions and Catalog'!$E$57+'Assumptions and Catalog'!$F$57,"Out of range")))))))),IF(L520&lt;='Assumptions and Catalog'!$C$60,L520*'Assumptions and Catalog'!$H$60+'Assumptions and Catalog'!$E$60+'Assumptions and Catalog'!$F$60,IF(L520&lt;='Assumptions and Catalog'!$C$61,L520*'Assumptions and Catalog'!$H$61+'Assumptions and Catalog'!$E$61+'Assumptions and Catalog'!$F$61,IF(L520&lt;='Assumptions and Catalog'!$C$62,L520*'Assumptions and Catalog'!$H$62+'Assumptions and Catalog'!$E$62+'Assumptions and Catalog'!$F$62,IF(L520&lt;='Assumptions and Catalog'!$C$63,L520*'Assumptions and Catalog'!$H$63+'Assumptions and Catalog'!$E$63+'Assumptions and Catalog'!$F$63,IF(L520&lt;='Assumptions and Catalog'!$C$64,L520*'Assumptions and Catalog'!$H$64+'Assumptions and Catalog'!$E$64+'Assumptions and Catalog'!$F$64,IF(L520&lt;='Assumptions and Catalog'!$C$65,L520*'Assumptions and Catalog'!$H$65+'Assumptions and Catalog'!$E$65+'Assumptions and Catalog'!$F$65,"Out of range")))))))))*(1+'Assumptions and Catalog'!$C$8)^(A520-1),0)</f>
        <v>8003.0333333333338</v>
      </c>
      <c r="O520" s="5">
        <f t="shared" si="39"/>
        <v>0</v>
      </c>
      <c r="P520" s="5">
        <f>D$55*(1-K$14)*(1-'Assumptions and Catalog'!$C$23)^R520</f>
        <v>0</v>
      </c>
      <c r="Q520" s="5">
        <f>IF(ISNUMBER(Inputs!$L$5),(IF(Inputs!$L$9="Actual flat rate",((D520+E520)*C520-G520)*Inputs!$L$10,IF(Inputs!$C$9="Residential",IF(((D520+E520)*C520-G520)&lt;='Assumptions and Catalog'!$C$50,((D520+E520)*C520-G520)*'Assumptions and Catalog'!$H$50+'Assumptions and Catalog'!$E$50+'Assumptions and Catalog'!$F$50,IF(((D520+E520)*C520-G520)&lt;='Assumptions and Catalog'!$C$51,((D520+E520)*C520-G520)*'Assumptions and Catalog'!$H$51+'Assumptions and Catalog'!$E$51+'Assumptions and Catalog'!$F$51,IF(((D520+E520)*C520-G520)&lt;='Assumptions and Catalog'!$C$52,((D520+E520)*C520-G520)*'Assumptions and Catalog'!$H$52+'Assumptions and Catalog'!$E$52+'Assumptions and Catalog'!$F$52,IF(((D520+E520)*C520-G520)&lt;='Assumptions and Catalog'!$C$53,((D520+E520)*C520-G520)*'Assumptions and Catalog'!$H$53+'Assumptions and Catalog'!$E$53+'Assumptions and Catalog'!$F$53,IF(((D520+E520)*C520-G520)&lt;='Assumptions and Catalog'!$C$54,((D520+E520)*C520-G520)*'Assumptions and Catalog'!$H$54+'Assumptions and Catalog'!$E$54+'Assumptions and Catalog'!$F$54,IF(((D520+E520)*C520-G520)&lt;='Assumptions and Catalog'!$C$55,((D520+E520)*C520-G520)*'Assumptions and Catalog'!$H$55+'Assumptions and Catalog'!$E$55+'Assumptions and Catalog'!$F$55,IF(((D520+E520)*C520-G520)&lt;='Assumptions and Catalog'!$C$56,((D520+E520)*C520-G520)*'Assumptions and Catalog'!$H$56+'Assumptions and Catalog'!$E$56+'Assumptions and Catalog'!$F$56,IF(((D520+E520)*C520-G520)&lt;='Assumptions and Catalog'!$C$57,((D520+E520)*C520-G520)*'Assumptions and Catalog'!$H$57+'Assumptions and Catalog'!$E$57+'Assumptions and Catalog'!$F$57,"Out of range")))))))),IF(((D520+E520)*C520-G520)&lt;='Assumptions and Catalog'!$C$60,((D520+E520)*C520-G520)*'Assumptions and Catalog'!$H$60+'Assumptions and Catalog'!$E$60+'Assumptions and Catalog'!$F$60,IF(((D520+E520)*C520-G520)&lt;='Assumptions and Catalog'!$C$61,((D520+E520)*C520-G520)*'Assumptions and Catalog'!$H$61+'Assumptions and Catalog'!$E$61+'Assumptions and Catalog'!$F$61,IF(((D520+E520)*C520-G520)&lt;='Assumptions and Catalog'!$C$62,((D520+E520)*C520-G520)*'Assumptions and Catalog'!$H$62+'Assumptions and Catalog'!$E$62+'Assumptions and Catalog'!$F$62,IF(((D520+E520)*C520-G520)&lt;='Assumptions and Catalog'!$C$63,((D520+E520)*C520-G520)*'Assumptions and Catalog'!$H$63+'Assumptions and Catalog'!$E$63+'Assumptions and Catalog'!$F$63,IF(((D520+E520)*C520-G520)&lt;='Assumptions and Catalog'!$C$64,((D520+E520)*C520-G520)*'Assumptions and Catalog'!$H$64+'Assumptions and Catalog'!$E$64+'Assumptions and Catalog'!$F$64,IF(((D520+E520)*C520-G520)&lt;='Assumptions and Catalog'!$C$65,((D520+E520)*C520-G520)*'Assumptions and Catalog'!$H$65+'Assumptions and Catalog'!$E$65+'Assumptions and Catalog'!$F$65,"Out of range")))))))))*(1+'Assumptions and Catalog'!$C$8)^(A520-1),0)</f>
        <v>8003.0333333333338</v>
      </c>
      <c r="R520" s="5">
        <f>IF(AND('Assumptions and Catalog'!$C$19&gt;0,A520&gt;='Assumptions and Catalog'!$C$19),A520-'Assumptions and Catalog'!$C$19,A520-1)</f>
        <v>9</v>
      </c>
      <c r="S520" s="5">
        <f>F520+L520-(D520+E520)*C520-J520-K520-IF(D$52&gt;0,'Assumptions and Catalog'!$C$26*C520,0)</f>
        <v>0</v>
      </c>
      <c r="T520" s="5"/>
      <c r="U520" s="5"/>
    </row>
    <row r="521" spans="1:21" ht="23.1" customHeight="1" outlineLevel="1" x14ac:dyDescent="0.2">
      <c r="A521" s="5">
        <v>10</v>
      </c>
      <c r="B521" s="5">
        <v>3</v>
      </c>
      <c r="C521" s="5">
        <f>DAY(DATE('Assumptions and Catalog'!$C$24+A521-1,B521+1,0))</f>
        <v>31</v>
      </c>
      <c r="D521" s="5">
        <f>IF(ISNUMBER(Inputs!$L$5),Inputs!$L$5*Inputs!$L$6,0)</f>
        <v>40.35</v>
      </c>
      <c r="E521" s="5">
        <f>IF(ISNUMBER(Inputs!$L$5),Inputs!$L$5-D521,0)</f>
        <v>40.35</v>
      </c>
      <c r="F521" s="5">
        <f>D$51*'Assumptions and Catalog'!$C$31*C521*(1-'Assumptions and Catalog'!$C$10)^(A521-1)</f>
        <v>0</v>
      </c>
      <c r="G521" s="5">
        <f t="shared" si="36"/>
        <v>0</v>
      </c>
      <c r="H521" s="5">
        <f>I521/('Assumptions and Catalog'!$C$11*'Assumptions and Catalog'!$C$12)</f>
        <v>0</v>
      </c>
      <c r="I521" s="5">
        <f>IF(K$15="Grid cycle",MIN(K$16,D521+E521,P521*'Assumptions and Catalog'!$C$12,D$57*(24-'Assumptions and Catalog'!$C$15),D$56*'Assumptions and Catalog'!$C$15*'Assumptions and Catalog'!$C$11*'Assumptions and Catalog'!$C$12)*C521,0)</f>
        <v>0</v>
      </c>
      <c r="J521" s="5">
        <f t="shared" si="37"/>
        <v>0</v>
      </c>
      <c r="K521" s="5">
        <f t="shared" si="38"/>
        <v>0</v>
      </c>
      <c r="L521" s="5">
        <f>(D521+E521)*C521-G521-I521+H521+IF(D$52&gt;0,'Assumptions and Catalog'!$C$26*C521,0)</f>
        <v>2501.7000000000003</v>
      </c>
      <c r="M521" s="5">
        <f>IF(ISNUMBER(Inputs!$L$5),(IF(Inputs!$L$9="Actual flat rate",((D521+E521)*C521)*Inputs!$L$10,IF(Inputs!$C$9="Residential",IF(((D521+E521)*C521)&lt;='Assumptions and Catalog'!$C$50,((D521+E521)*C521)*'Assumptions and Catalog'!$H$50+'Assumptions and Catalog'!$E$50+'Assumptions and Catalog'!$F$50,IF(((D521+E521)*C521)&lt;='Assumptions and Catalog'!$C$51,((D521+E521)*C521)*'Assumptions and Catalog'!$H$51+'Assumptions and Catalog'!$E$51+'Assumptions and Catalog'!$F$51,IF(((D521+E521)*C521)&lt;='Assumptions and Catalog'!$C$52,((D521+E521)*C521)*'Assumptions and Catalog'!$H$52+'Assumptions and Catalog'!$E$52+'Assumptions and Catalog'!$F$52,IF(((D521+E521)*C521)&lt;='Assumptions and Catalog'!$C$53,((D521+E521)*C521)*'Assumptions and Catalog'!$H$53+'Assumptions and Catalog'!$E$53+'Assumptions and Catalog'!$F$53,IF(((D521+E521)*C521)&lt;='Assumptions and Catalog'!$C$54,((D521+E521)*C521)*'Assumptions and Catalog'!$H$54+'Assumptions and Catalog'!$E$54+'Assumptions and Catalog'!$F$54,IF(((D521+E521)*C521)&lt;='Assumptions and Catalog'!$C$55,((D521+E521)*C521)*'Assumptions and Catalog'!$H$55+'Assumptions and Catalog'!$E$55+'Assumptions and Catalog'!$F$55,IF(((D521+E521)*C521)&lt;='Assumptions and Catalog'!$C$56,((D521+E521)*C521)*'Assumptions and Catalog'!$H$56+'Assumptions and Catalog'!$E$56+'Assumptions and Catalog'!$F$56,IF(((D521+E521)*C521)&lt;='Assumptions and Catalog'!$C$57,((D521+E521)*C521)*'Assumptions and Catalog'!$H$57+'Assumptions and Catalog'!$E$57+'Assumptions and Catalog'!$F$57,"Out of range")))))))),IF(((D521+E521)*C521)&lt;='Assumptions and Catalog'!$C$60,((D521+E521)*C521)*'Assumptions and Catalog'!$H$60+'Assumptions and Catalog'!$E$60+'Assumptions and Catalog'!$F$60,IF(((D521+E521)*C521)&lt;='Assumptions and Catalog'!$C$61,((D521+E521)*C521)*'Assumptions and Catalog'!$H$61+'Assumptions and Catalog'!$E$61+'Assumptions and Catalog'!$F$61,IF(((D521+E521)*C521)&lt;='Assumptions and Catalog'!$C$62,((D521+E521)*C521)*'Assumptions and Catalog'!$H$62+'Assumptions and Catalog'!$E$62+'Assumptions and Catalog'!$F$62,IF(((D521+E521)*C521)&lt;='Assumptions and Catalog'!$C$63,((D521+E521)*C521)*'Assumptions and Catalog'!$H$63+'Assumptions and Catalog'!$E$63+'Assumptions and Catalog'!$F$63,IF(((D521+E521)*C521)&lt;='Assumptions and Catalog'!$C$64,((D521+E521)*C521)*'Assumptions and Catalog'!$H$64+'Assumptions and Catalog'!$E$64+'Assumptions and Catalog'!$F$64,IF(((D521+E521)*C521)&lt;='Assumptions and Catalog'!$C$65,((D521+E521)*C521)*'Assumptions and Catalog'!$H$65+'Assumptions and Catalog'!$E$65+'Assumptions and Catalog'!$F$65,"Out of range")))))))))*(1+'Assumptions and Catalog'!$C$8)^(A521-1),0)</f>
        <v>8554.9666666666672</v>
      </c>
      <c r="N521" s="5">
        <f>IF(ISNUMBER(Inputs!$L$5),(IF(Inputs!$L$9="Actual flat rate",L521*Inputs!$L$10,IF(Inputs!$C$9="Residential",IF(L521&lt;='Assumptions and Catalog'!$C$50,L521*'Assumptions and Catalog'!$H$50+'Assumptions and Catalog'!$E$50+'Assumptions and Catalog'!$F$50,IF(L521&lt;='Assumptions and Catalog'!$C$51,L521*'Assumptions and Catalog'!$H$51+'Assumptions and Catalog'!$E$51+'Assumptions and Catalog'!$F$51,IF(L521&lt;='Assumptions and Catalog'!$C$52,L521*'Assumptions and Catalog'!$H$52+'Assumptions and Catalog'!$E$52+'Assumptions and Catalog'!$F$52,IF(L521&lt;='Assumptions and Catalog'!$C$53,L521*'Assumptions and Catalog'!$H$53+'Assumptions and Catalog'!$E$53+'Assumptions and Catalog'!$F$53,IF(L521&lt;='Assumptions and Catalog'!$C$54,L521*'Assumptions and Catalog'!$H$54+'Assumptions and Catalog'!$E$54+'Assumptions and Catalog'!$F$54,IF(L521&lt;='Assumptions and Catalog'!$C$55,L521*'Assumptions and Catalog'!$H$55+'Assumptions and Catalog'!$E$55+'Assumptions and Catalog'!$F$55,IF(L521&lt;='Assumptions and Catalog'!$C$56,L521*'Assumptions and Catalog'!$H$56+'Assumptions and Catalog'!$E$56+'Assumptions and Catalog'!$F$56,IF(L521&lt;='Assumptions and Catalog'!$C$57,L521*'Assumptions and Catalog'!$H$57+'Assumptions and Catalog'!$E$57+'Assumptions and Catalog'!$F$57,"Out of range")))))))),IF(L521&lt;='Assumptions and Catalog'!$C$60,L521*'Assumptions and Catalog'!$H$60+'Assumptions and Catalog'!$E$60+'Assumptions and Catalog'!$F$60,IF(L521&lt;='Assumptions and Catalog'!$C$61,L521*'Assumptions and Catalog'!$H$61+'Assumptions and Catalog'!$E$61+'Assumptions and Catalog'!$F$61,IF(L521&lt;='Assumptions and Catalog'!$C$62,L521*'Assumptions and Catalog'!$H$62+'Assumptions and Catalog'!$E$62+'Assumptions and Catalog'!$F$62,IF(L521&lt;='Assumptions and Catalog'!$C$63,L521*'Assumptions and Catalog'!$H$63+'Assumptions and Catalog'!$E$63+'Assumptions and Catalog'!$F$63,IF(L521&lt;='Assumptions and Catalog'!$C$64,L521*'Assumptions and Catalog'!$H$64+'Assumptions and Catalog'!$E$64+'Assumptions and Catalog'!$F$64,IF(L521&lt;='Assumptions and Catalog'!$C$65,L521*'Assumptions and Catalog'!$H$65+'Assumptions and Catalog'!$E$65+'Assumptions and Catalog'!$F$65,"Out of range")))))))))*(1+'Assumptions and Catalog'!$C$8)^(A521-1),0)</f>
        <v>8554.9666666666672</v>
      </c>
      <c r="O521" s="5">
        <f t="shared" si="39"/>
        <v>0</v>
      </c>
      <c r="P521" s="5">
        <f>D$55*(1-K$14)*(1-'Assumptions and Catalog'!$C$23)^R521</f>
        <v>0</v>
      </c>
      <c r="Q521" s="5">
        <f>IF(ISNUMBER(Inputs!$L$5),(IF(Inputs!$L$9="Actual flat rate",((D521+E521)*C521-G521)*Inputs!$L$10,IF(Inputs!$C$9="Residential",IF(((D521+E521)*C521-G521)&lt;='Assumptions and Catalog'!$C$50,((D521+E521)*C521-G521)*'Assumptions and Catalog'!$H$50+'Assumptions and Catalog'!$E$50+'Assumptions and Catalog'!$F$50,IF(((D521+E521)*C521-G521)&lt;='Assumptions and Catalog'!$C$51,((D521+E521)*C521-G521)*'Assumptions and Catalog'!$H$51+'Assumptions and Catalog'!$E$51+'Assumptions and Catalog'!$F$51,IF(((D521+E521)*C521-G521)&lt;='Assumptions and Catalog'!$C$52,((D521+E521)*C521-G521)*'Assumptions and Catalog'!$H$52+'Assumptions and Catalog'!$E$52+'Assumptions and Catalog'!$F$52,IF(((D521+E521)*C521-G521)&lt;='Assumptions and Catalog'!$C$53,((D521+E521)*C521-G521)*'Assumptions and Catalog'!$H$53+'Assumptions and Catalog'!$E$53+'Assumptions and Catalog'!$F$53,IF(((D521+E521)*C521-G521)&lt;='Assumptions and Catalog'!$C$54,((D521+E521)*C521-G521)*'Assumptions and Catalog'!$H$54+'Assumptions and Catalog'!$E$54+'Assumptions and Catalog'!$F$54,IF(((D521+E521)*C521-G521)&lt;='Assumptions and Catalog'!$C$55,((D521+E521)*C521-G521)*'Assumptions and Catalog'!$H$55+'Assumptions and Catalog'!$E$55+'Assumptions and Catalog'!$F$55,IF(((D521+E521)*C521-G521)&lt;='Assumptions and Catalog'!$C$56,((D521+E521)*C521-G521)*'Assumptions and Catalog'!$H$56+'Assumptions and Catalog'!$E$56+'Assumptions and Catalog'!$F$56,IF(((D521+E521)*C521-G521)&lt;='Assumptions and Catalog'!$C$57,((D521+E521)*C521-G521)*'Assumptions and Catalog'!$H$57+'Assumptions and Catalog'!$E$57+'Assumptions and Catalog'!$F$57,"Out of range")))))))),IF(((D521+E521)*C521-G521)&lt;='Assumptions and Catalog'!$C$60,((D521+E521)*C521-G521)*'Assumptions and Catalog'!$H$60+'Assumptions and Catalog'!$E$60+'Assumptions and Catalog'!$F$60,IF(((D521+E521)*C521-G521)&lt;='Assumptions and Catalog'!$C$61,((D521+E521)*C521-G521)*'Assumptions and Catalog'!$H$61+'Assumptions and Catalog'!$E$61+'Assumptions and Catalog'!$F$61,IF(((D521+E521)*C521-G521)&lt;='Assumptions and Catalog'!$C$62,((D521+E521)*C521-G521)*'Assumptions and Catalog'!$H$62+'Assumptions and Catalog'!$E$62+'Assumptions and Catalog'!$F$62,IF(((D521+E521)*C521-G521)&lt;='Assumptions and Catalog'!$C$63,((D521+E521)*C521-G521)*'Assumptions and Catalog'!$H$63+'Assumptions and Catalog'!$E$63+'Assumptions and Catalog'!$F$63,IF(((D521+E521)*C521-G521)&lt;='Assumptions and Catalog'!$C$64,((D521+E521)*C521-G521)*'Assumptions and Catalog'!$H$64+'Assumptions and Catalog'!$E$64+'Assumptions and Catalog'!$F$64,IF(((D521+E521)*C521-G521)&lt;='Assumptions and Catalog'!$C$65,((D521+E521)*C521-G521)*'Assumptions and Catalog'!$H$65+'Assumptions and Catalog'!$E$65+'Assumptions and Catalog'!$F$65,"Out of range")))))))))*(1+'Assumptions and Catalog'!$C$8)^(A521-1),0)</f>
        <v>8554.9666666666672</v>
      </c>
      <c r="R521" s="5">
        <f>IF(AND('Assumptions and Catalog'!$C$19&gt;0,A521&gt;='Assumptions and Catalog'!$C$19),A521-'Assumptions and Catalog'!$C$19,A521-1)</f>
        <v>9</v>
      </c>
      <c r="S521" s="5">
        <f>F521+L521-(D521+E521)*C521-J521-K521-IF(D$52&gt;0,'Assumptions and Catalog'!$C$26*C521,0)</f>
        <v>0</v>
      </c>
      <c r="T521" s="5"/>
      <c r="U521" s="5"/>
    </row>
    <row r="522" spans="1:21" ht="23.1" customHeight="1" outlineLevel="1" x14ac:dyDescent="0.2">
      <c r="A522" s="5">
        <v>10</v>
      </c>
      <c r="B522" s="5">
        <v>4</v>
      </c>
      <c r="C522" s="5">
        <f>DAY(DATE('Assumptions and Catalog'!$C$24+A522-1,B522+1,0))</f>
        <v>30</v>
      </c>
      <c r="D522" s="5">
        <f>IF(ISNUMBER(Inputs!$L$5),Inputs!$L$5*Inputs!$L$6,0)</f>
        <v>40.35</v>
      </c>
      <c r="E522" s="5">
        <f>IF(ISNUMBER(Inputs!$L$5),Inputs!$L$5-D522,0)</f>
        <v>40.35</v>
      </c>
      <c r="F522" s="5">
        <f>D$51*'Assumptions and Catalog'!$C$31*C522*(1-'Assumptions and Catalog'!$C$10)^(A522-1)</f>
        <v>0</v>
      </c>
      <c r="G522" s="5">
        <f t="shared" si="36"/>
        <v>0</v>
      </c>
      <c r="H522" s="5">
        <f>I522/('Assumptions and Catalog'!$C$11*'Assumptions and Catalog'!$C$12)</f>
        <v>0</v>
      </c>
      <c r="I522" s="5">
        <f>IF(K$15="Grid cycle",MIN(K$16,D522+E522,P522*'Assumptions and Catalog'!$C$12,D$57*(24-'Assumptions and Catalog'!$C$15),D$56*'Assumptions and Catalog'!$C$15*'Assumptions and Catalog'!$C$11*'Assumptions and Catalog'!$C$12)*C522,0)</f>
        <v>0</v>
      </c>
      <c r="J522" s="5">
        <f t="shared" si="37"/>
        <v>0</v>
      </c>
      <c r="K522" s="5">
        <f t="shared" si="38"/>
        <v>0</v>
      </c>
      <c r="L522" s="5">
        <f>(D522+E522)*C522-G522-I522+H522+IF(D$52&gt;0,'Assumptions and Catalog'!$C$26*C522,0)</f>
        <v>2421</v>
      </c>
      <c r="M522" s="5">
        <f>IF(ISNUMBER(Inputs!$L$5),(IF(Inputs!$L$9="Actual flat rate",((D522+E522)*C522)*Inputs!$L$10,IF(Inputs!$C$9="Residential",IF(((D522+E522)*C522)&lt;='Assumptions and Catalog'!$C$50,((D522+E522)*C522)*'Assumptions and Catalog'!$H$50+'Assumptions and Catalog'!$E$50+'Assumptions and Catalog'!$F$50,IF(((D522+E522)*C522)&lt;='Assumptions and Catalog'!$C$51,((D522+E522)*C522)*'Assumptions and Catalog'!$H$51+'Assumptions and Catalog'!$E$51+'Assumptions and Catalog'!$F$51,IF(((D522+E522)*C522)&lt;='Assumptions and Catalog'!$C$52,((D522+E522)*C522)*'Assumptions and Catalog'!$H$52+'Assumptions and Catalog'!$E$52+'Assumptions and Catalog'!$F$52,IF(((D522+E522)*C522)&lt;='Assumptions and Catalog'!$C$53,((D522+E522)*C522)*'Assumptions and Catalog'!$H$53+'Assumptions and Catalog'!$E$53+'Assumptions and Catalog'!$F$53,IF(((D522+E522)*C522)&lt;='Assumptions and Catalog'!$C$54,((D522+E522)*C522)*'Assumptions and Catalog'!$H$54+'Assumptions and Catalog'!$E$54+'Assumptions and Catalog'!$F$54,IF(((D522+E522)*C522)&lt;='Assumptions and Catalog'!$C$55,((D522+E522)*C522)*'Assumptions and Catalog'!$H$55+'Assumptions and Catalog'!$E$55+'Assumptions and Catalog'!$F$55,IF(((D522+E522)*C522)&lt;='Assumptions and Catalog'!$C$56,((D522+E522)*C522)*'Assumptions and Catalog'!$H$56+'Assumptions and Catalog'!$E$56+'Assumptions and Catalog'!$F$56,IF(((D522+E522)*C522)&lt;='Assumptions and Catalog'!$C$57,((D522+E522)*C522)*'Assumptions and Catalog'!$H$57+'Assumptions and Catalog'!$E$57+'Assumptions and Catalog'!$F$57,"Out of range")))))))),IF(((D522+E522)*C522)&lt;='Assumptions and Catalog'!$C$60,((D522+E522)*C522)*'Assumptions and Catalog'!$H$60+'Assumptions and Catalog'!$E$60+'Assumptions and Catalog'!$F$60,IF(((D522+E522)*C522)&lt;='Assumptions and Catalog'!$C$61,((D522+E522)*C522)*'Assumptions and Catalog'!$H$61+'Assumptions and Catalog'!$E$61+'Assumptions and Catalog'!$F$61,IF(((D522+E522)*C522)&lt;='Assumptions and Catalog'!$C$62,((D522+E522)*C522)*'Assumptions and Catalog'!$H$62+'Assumptions and Catalog'!$E$62+'Assumptions and Catalog'!$F$62,IF(((D522+E522)*C522)&lt;='Assumptions and Catalog'!$C$63,((D522+E522)*C522)*'Assumptions and Catalog'!$H$63+'Assumptions and Catalog'!$E$63+'Assumptions and Catalog'!$F$63,IF(((D522+E522)*C522)&lt;='Assumptions and Catalog'!$C$64,((D522+E522)*C522)*'Assumptions and Catalog'!$H$64+'Assumptions and Catalog'!$E$64+'Assumptions and Catalog'!$F$64,IF(((D522+E522)*C522)&lt;='Assumptions and Catalog'!$C$65,((D522+E522)*C522)*'Assumptions and Catalog'!$H$65+'Assumptions and Catalog'!$E$65+'Assumptions and Catalog'!$F$65,"Out of range")))))))))*(1+'Assumptions and Catalog'!$C$8)^(A522-1),0)</f>
        <v>8279</v>
      </c>
      <c r="N522" s="5">
        <f>IF(ISNUMBER(Inputs!$L$5),(IF(Inputs!$L$9="Actual flat rate",L522*Inputs!$L$10,IF(Inputs!$C$9="Residential",IF(L522&lt;='Assumptions and Catalog'!$C$50,L522*'Assumptions and Catalog'!$H$50+'Assumptions and Catalog'!$E$50+'Assumptions and Catalog'!$F$50,IF(L522&lt;='Assumptions and Catalog'!$C$51,L522*'Assumptions and Catalog'!$H$51+'Assumptions and Catalog'!$E$51+'Assumptions and Catalog'!$F$51,IF(L522&lt;='Assumptions and Catalog'!$C$52,L522*'Assumptions and Catalog'!$H$52+'Assumptions and Catalog'!$E$52+'Assumptions and Catalog'!$F$52,IF(L522&lt;='Assumptions and Catalog'!$C$53,L522*'Assumptions and Catalog'!$H$53+'Assumptions and Catalog'!$E$53+'Assumptions and Catalog'!$F$53,IF(L522&lt;='Assumptions and Catalog'!$C$54,L522*'Assumptions and Catalog'!$H$54+'Assumptions and Catalog'!$E$54+'Assumptions and Catalog'!$F$54,IF(L522&lt;='Assumptions and Catalog'!$C$55,L522*'Assumptions and Catalog'!$H$55+'Assumptions and Catalog'!$E$55+'Assumptions and Catalog'!$F$55,IF(L522&lt;='Assumptions and Catalog'!$C$56,L522*'Assumptions and Catalog'!$H$56+'Assumptions and Catalog'!$E$56+'Assumptions and Catalog'!$F$56,IF(L522&lt;='Assumptions and Catalog'!$C$57,L522*'Assumptions and Catalog'!$H$57+'Assumptions and Catalog'!$E$57+'Assumptions and Catalog'!$F$57,"Out of range")))))))),IF(L522&lt;='Assumptions and Catalog'!$C$60,L522*'Assumptions and Catalog'!$H$60+'Assumptions and Catalog'!$E$60+'Assumptions and Catalog'!$F$60,IF(L522&lt;='Assumptions and Catalog'!$C$61,L522*'Assumptions and Catalog'!$H$61+'Assumptions and Catalog'!$E$61+'Assumptions and Catalog'!$F$61,IF(L522&lt;='Assumptions and Catalog'!$C$62,L522*'Assumptions and Catalog'!$H$62+'Assumptions and Catalog'!$E$62+'Assumptions and Catalog'!$F$62,IF(L522&lt;='Assumptions and Catalog'!$C$63,L522*'Assumptions and Catalog'!$H$63+'Assumptions and Catalog'!$E$63+'Assumptions and Catalog'!$F$63,IF(L522&lt;='Assumptions and Catalog'!$C$64,L522*'Assumptions and Catalog'!$H$64+'Assumptions and Catalog'!$E$64+'Assumptions and Catalog'!$F$64,IF(L522&lt;='Assumptions and Catalog'!$C$65,L522*'Assumptions and Catalog'!$H$65+'Assumptions and Catalog'!$E$65+'Assumptions and Catalog'!$F$65,"Out of range")))))))))*(1+'Assumptions and Catalog'!$C$8)^(A522-1),0)</f>
        <v>8279</v>
      </c>
      <c r="O522" s="5">
        <f t="shared" si="39"/>
        <v>0</v>
      </c>
      <c r="P522" s="5">
        <f>D$55*(1-K$14)*(1-'Assumptions and Catalog'!$C$23)^R522</f>
        <v>0</v>
      </c>
      <c r="Q522" s="5">
        <f>IF(ISNUMBER(Inputs!$L$5),(IF(Inputs!$L$9="Actual flat rate",((D522+E522)*C522-G522)*Inputs!$L$10,IF(Inputs!$C$9="Residential",IF(((D522+E522)*C522-G522)&lt;='Assumptions and Catalog'!$C$50,((D522+E522)*C522-G522)*'Assumptions and Catalog'!$H$50+'Assumptions and Catalog'!$E$50+'Assumptions and Catalog'!$F$50,IF(((D522+E522)*C522-G522)&lt;='Assumptions and Catalog'!$C$51,((D522+E522)*C522-G522)*'Assumptions and Catalog'!$H$51+'Assumptions and Catalog'!$E$51+'Assumptions and Catalog'!$F$51,IF(((D522+E522)*C522-G522)&lt;='Assumptions and Catalog'!$C$52,((D522+E522)*C522-G522)*'Assumptions and Catalog'!$H$52+'Assumptions and Catalog'!$E$52+'Assumptions and Catalog'!$F$52,IF(((D522+E522)*C522-G522)&lt;='Assumptions and Catalog'!$C$53,((D522+E522)*C522-G522)*'Assumptions and Catalog'!$H$53+'Assumptions and Catalog'!$E$53+'Assumptions and Catalog'!$F$53,IF(((D522+E522)*C522-G522)&lt;='Assumptions and Catalog'!$C$54,((D522+E522)*C522-G522)*'Assumptions and Catalog'!$H$54+'Assumptions and Catalog'!$E$54+'Assumptions and Catalog'!$F$54,IF(((D522+E522)*C522-G522)&lt;='Assumptions and Catalog'!$C$55,((D522+E522)*C522-G522)*'Assumptions and Catalog'!$H$55+'Assumptions and Catalog'!$E$55+'Assumptions and Catalog'!$F$55,IF(((D522+E522)*C522-G522)&lt;='Assumptions and Catalog'!$C$56,((D522+E522)*C522-G522)*'Assumptions and Catalog'!$H$56+'Assumptions and Catalog'!$E$56+'Assumptions and Catalog'!$F$56,IF(((D522+E522)*C522-G522)&lt;='Assumptions and Catalog'!$C$57,((D522+E522)*C522-G522)*'Assumptions and Catalog'!$H$57+'Assumptions and Catalog'!$E$57+'Assumptions and Catalog'!$F$57,"Out of range")))))))),IF(((D522+E522)*C522-G522)&lt;='Assumptions and Catalog'!$C$60,((D522+E522)*C522-G522)*'Assumptions and Catalog'!$H$60+'Assumptions and Catalog'!$E$60+'Assumptions and Catalog'!$F$60,IF(((D522+E522)*C522-G522)&lt;='Assumptions and Catalog'!$C$61,((D522+E522)*C522-G522)*'Assumptions and Catalog'!$H$61+'Assumptions and Catalog'!$E$61+'Assumptions and Catalog'!$F$61,IF(((D522+E522)*C522-G522)&lt;='Assumptions and Catalog'!$C$62,((D522+E522)*C522-G522)*'Assumptions and Catalog'!$H$62+'Assumptions and Catalog'!$E$62+'Assumptions and Catalog'!$F$62,IF(((D522+E522)*C522-G522)&lt;='Assumptions and Catalog'!$C$63,((D522+E522)*C522-G522)*'Assumptions and Catalog'!$H$63+'Assumptions and Catalog'!$E$63+'Assumptions and Catalog'!$F$63,IF(((D522+E522)*C522-G522)&lt;='Assumptions and Catalog'!$C$64,((D522+E522)*C522-G522)*'Assumptions and Catalog'!$H$64+'Assumptions and Catalog'!$E$64+'Assumptions and Catalog'!$F$64,IF(((D522+E522)*C522-G522)&lt;='Assumptions and Catalog'!$C$65,((D522+E522)*C522-G522)*'Assumptions and Catalog'!$H$65+'Assumptions and Catalog'!$E$65+'Assumptions and Catalog'!$F$65,"Out of range")))))))))*(1+'Assumptions and Catalog'!$C$8)^(A522-1),0)</f>
        <v>8279</v>
      </c>
      <c r="R522" s="5">
        <f>IF(AND('Assumptions and Catalog'!$C$19&gt;0,A522&gt;='Assumptions and Catalog'!$C$19),A522-'Assumptions and Catalog'!$C$19,A522-1)</f>
        <v>9</v>
      </c>
      <c r="S522" s="5">
        <f>F522+L522-(D522+E522)*C522-J522-K522-IF(D$52&gt;0,'Assumptions and Catalog'!$C$26*C522,0)</f>
        <v>0</v>
      </c>
      <c r="T522" s="5"/>
      <c r="U522" s="5"/>
    </row>
    <row r="523" spans="1:21" ht="23.1" customHeight="1" outlineLevel="1" x14ac:dyDescent="0.2">
      <c r="A523" s="5">
        <v>10</v>
      </c>
      <c r="B523" s="5">
        <v>5</v>
      </c>
      <c r="C523" s="5">
        <f>DAY(DATE('Assumptions and Catalog'!$C$24+A523-1,B523+1,0))</f>
        <v>31</v>
      </c>
      <c r="D523" s="5">
        <f>IF(ISNUMBER(Inputs!$L$5),Inputs!$L$5*Inputs!$L$6,0)</f>
        <v>40.35</v>
      </c>
      <c r="E523" s="5">
        <f>IF(ISNUMBER(Inputs!$L$5),Inputs!$L$5-D523,0)</f>
        <v>40.35</v>
      </c>
      <c r="F523" s="5">
        <f>D$51*'Assumptions and Catalog'!$C$31*C523*(1-'Assumptions and Catalog'!$C$10)^(A523-1)</f>
        <v>0</v>
      </c>
      <c r="G523" s="5">
        <f t="shared" si="36"/>
        <v>0</v>
      </c>
      <c r="H523" s="5">
        <f>I523/('Assumptions and Catalog'!$C$11*'Assumptions and Catalog'!$C$12)</f>
        <v>0</v>
      </c>
      <c r="I523" s="5">
        <f>IF(K$15="Grid cycle",MIN(K$16,D523+E523,P523*'Assumptions and Catalog'!$C$12,D$57*(24-'Assumptions and Catalog'!$C$15),D$56*'Assumptions and Catalog'!$C$15*'Assumptions and Catalog'!$C$11*'Assumptions and Catalog'!$C$12)*C523,0)</f>
        <v>0</v>
      </c>
      <c r="J523" s="5">
        <f t="shared" si="37"/>
        <v>0</v>
      </c>
      <c r="K523" s="5">
        <f t="shared" si="38"/>
        <v>0</v>
      </c>
      <c r="L523" s="5">
        <f>(D523+E523)*C523-G523-I523+H523+IF(D$52&gt;0,'Assumptions and Catalog'!$C$26*C523,0)</f>
        <v>2501.7000000000003</v>
      </c>
      <c r="M523" s="5">
        <f>IF(ISNUMBER(Inputs!$L$5),(IF(Inputs!$L$9="Actual flat rate",((D523+E523)*C523)*Inputs!$L$10,IF(Inputs!$C$9="Residential",IF(((D523+E523)*C523)&lt;='Assumptions and Catalog'!$C$50,((D523+E523)*C523)*'Assumptions and Catalog'!$H$50+'Assumptions and Catalog'!$E$50+'Assumptions and Catalog'!$F$50,IF(((D523+E523)*C523)&lt;='Assumptions and Catalog'!$C$51,((D523+E523)*C523)*'Assumptions and Catalog'!$H$51+'Assumptions and Catalog'!$E$51+'Assumptions and Catalog'!$F$51,IF(((D523+E523)*C523)&lt;='Assumptions and Catalog'!$C$52,((D523+E523)*C523)*'Assumptions and Catalog'!$H$52+'Assumptions and Catalog'!$E$52+'Assumptions and Catalog'!$F$52,IF(((D523+E523)*C523)&lt;='Assumptions and Catalog'!$C$53,((D523+E523)*C523)*'Assumptions and Catalog'!$H$53+'Assumptions and Catalog'!$E$53+'Assumptions and Catalog'!$F$53,IF(((D523+E523)*C523)&lt;='Assumptions and Catalog'!$C$54,((D523+E523)*C523)*'Assumptions and Catalog'!$H$54+'Assumptions and Catalog'!$E$54+'Assumptions and Catalog'!$F$54,IF(((D523+E523)*C523)&lt;='Assumptions and Catalog'!$C$55,((D523+E523)*C523)*'Assumptions and Catalog'!$H$55+'Assumptions and Catalog'!$E$55+'Assumptions and Catalog'!$F$55,IF(((D523+E523)*C523)&lt;='Assumptions and Catalog'!$C$56,((D523+E523)*C523)*'Assumptions and Catalog'!$H$56+'Assumptions and Catalog'!$E$56+'Assumptions and Catalog'!$F$56,IF(((D523+E523)*C523)&lt;='Assumptions and Catalog'!$C$57,((D523+E523)*C523)*'Assumptions and Catalog'!$H$57+'Assumptions and Catalog'!$E$57+'Assumptions and Catalog'!$F$57,"Out of range")))))))),IF(((D523+E523)*C523)&lt;='Assumptions and Catalog'!$C$60,((D523+E523)*C523)*'Assumptions and Catalog'!$H$60+'Assumptions and Catalog'!$E$60+'Assumptions and Catalog'!$F$60,IF(((D523+E523)*C523)&lt;='Assumptions and Catalog'!$C$61,((D523+E523)*C523)*'Assumptions and Catalog'!$H$61+'Assumptions and Catalog'!$E$61+'Assumptions and Catalog'!$F$61,IF(((D523+E523)*C523)&lt;='Assumptions and Catalog'!$C$62,((D523+E523)*C523)*'Assumptions and Catalog'!$H$62+'Assumptions and Catalog'!$E$62+'Assumptions and Catalog'!$F$62,IF(((D523+E523)*C523)&lt;='Assumptions and Catalog'!$C$63,((D523+E523)*C523)*'Assumptions and Catalog'!$H$63+'Assumptions and Catalog'!$E$63+'Assumptions and Catalog'!$F$63,IF(((D523+E523)*C523)&lt;='Assumptions and Catalog'!$C$64,((D523+E523)*C523)*'Assumptions and Catalog'!$H$64+'Assumptions and Catalog'!$E$64+'Assumptions and Catalog'!$F$64,IF(((D523+E523)*C523)&lt;='Assumptions and Catalog'!$C$65,((D523+E523)*C523)*'Assumptions and Catalog'!$H$65+'Assumptions and Catalog'!$E$65+'Assumptions and Catalog'!$F$65,"Out of range")))))))))*(1+'Assumptions and Catalog'!$C$8)^(A523-1),0)</f>
        <v>8554.9666666666672</v>
      </c>
      <c r="N523" s="5">
        <f>IF(ISNUMBER(Inputs!$L$5),(IF(Inputs!$L$9="Actual flat rate",L523*Inputs!$L$10,IF(Inputs!$C$9="Residential",IF(L523&lt;='Assumptions and Catalog'!$C$50,L523*'Assumptions and Catalog'!$H$50+'Assumptions and Catalog'!$E$50+'Assumptions and Catalog'!$F$50,IF(L523&lt;='Assumptions and Catalog'!$C$51,L523*'Assumptions and Catalog'!$H$51+'Assumptions and Catalog'!$E$51+'Assumptions and Catalog'!$F$51,IF(L523&lt;='Assumptions and Catalog'!$C$52,L523*'Assumptions and Catalog'!$H$52+'Assumptions and Catalog'!$E$52+'Assumptions and Catalog'!$F$52,IF(L523&lt;='Assumptions and Catalog'!$C$53,L523*'Assumptions and Catalog'!$H$53+'Assumptions and Catalog'!$E$53+'Assumptions and Catalog'!$F$53,IF(L523&lt;='Assumptions and Catalog'!$C$54,L523*'Assumptions and Catalog'!$H$54+'Assumptions and Catalog'!$E$54+'Assumptions and Catalog'!$F$54,IF(L523&lt;='Assumptions and Catalog'!$C$55,L523*'Assumptions and Catalog'!$H$55+'Assumptions and Catalog'!$E$55+'Assumptions and Catalog'!$F$55,IF(L523&lt;='Assumptions and Catalog'!$C$56,L523*'Assumptions and Catalog'!$H$56+'Assumptions and Catalog'!$E$56+'Assumptions and Catalog'!$F$56,IF(L523&lt;='Assumptions and Catalog'!$C$57,L523*'Assumptions and Catalog'!$H$57+'Assumptions and Catalog'!$E$57+'Assumptions and Catalog'!$F$57,"Out of range")))))))),IF(L523&lt;='Assumptions and Catalog'!$C$60,L523*'Assumptions and Catalog'!$H$60+'Assumptions and Catalog'!$E$60+'Assumptions and Catalog'!$F$60,IF(L523&lt;='Assumptions and Catalog'!$C$61,L523*'Assumptions and Catalog'!$H$61+'Assumptions and Catalog'!$E$61+'Assumptions and Catalog'!$F$61,IF(L523&lt;='Assumptions and Catalog'!$C$62,L523*'Assumptions and Catalog'!$H$62+'Assumptions and Catalog'!$E$62+'Assumptions and Catalog'!$F$62,IF(L523&lt;='Assumptions and Catalog'!$C$63,L523*'Assumptions and Catalog'!$H$63+'Assumptions and Catalog'!$E$63+'Assumptions and Catalog'!$F$63,IF(L523&lt;='Assumptions and Catalog'!$C$64,L523*'Assumptions and Catalog'!$H$64+'Assumptions and Catalog'!$E$64+'Assumptions and Catalog'!$F$64,IF(L523&lt;='Assumptions and Catalog'!$C$65,L523*'Assumptions and Catalog'!$H$65+'Assumptions and Catalog'!$E$65+'Assumptions and Catalog'!$F$65,"Out of range")))))))))*(1+'Assumptions and Catalog'!$C$8)^(A523-1),0)</f>
        <v>8554.9666666666672</v>
      </c>
      <c r="O523" s="5">
        <f t="shared" si="39"/>
        <v>0</v>
      </c>
      <c r="P523" s="5">
        <f>D$55*(1-K$14)*(1-'Assumptions and Catalog'!$C$23)^R523</f>
        <v>0</v>
      </c>
      <c r="Q523" s="5">
        <f>IF(ISNUMBER(Inputs!$L$5),(IF(Inputs!$L$9="Actual flat rate",((D523+E523)*C523-G523)*Inputs!$L$10,IF(Inputs!$C$9="Residential",IF(((D523+E523)*C523-G523)&lt;='Assumptions and Catalog'!$C$50,((D523+E523)*C523-G523)*'Assumptions and Catalog'!$H$50+'Assumptions and Catalog'!$E$50+'Assumptions and Catalog'!$F$50,IF(((D523+E523)*C523-G523)&lt;='Assumptions and Catalog'!$C$51,((D523+E523)*C523-G523)*'Assumptions and Catalog'!$H$51+'Assumptions and Catalog'!$E$51+'Assumptions and Catalog'!$F$51,IF(((D523+E523)*C523-G523)&lt;='Assumptions and Catalog'!$C$52,((D523+E523)*C523-G523)*'Assumptions and Catalog'!$H$52+'Assumptions and Catalog'!$E$52+'Assumptions and Catalog'!$F$52,IF(((D523+E523)*C523-G523)&lt;='Assumptions and Catalog'!$C$53,((D523+E523)*C523-G523)*'Assumptions and Catalog'!$H$53+'Assumptions and Catalog'!$E$53+'Assumptions and Catalog'!$F$53,IF(((D523+E523)*C523-G523)&lt;='Assumptions and Catalog'!$C$54,((D523+E523)*C523-G523)*'Assumptions and Catalog'!$H$54+'Assumptions and Catalog'!$E$54+'Assumptions and Catalog'!$F$54,IF(((D523+E523)*C523-G523)&lt;='Assumptions and Catalog'!$C$55,((D523+E523)*C523-G523)*'Assumptions and Catalog'!$H$55+'Assumptions and Catalog'!$E$55+'Assumptions and Catalog'!$F$55,IF(((D523+E523)*C523-G523)&lt;='Assumptions and Catalog'!$C$56,((D523+E523)*C523-G523)*'Assumptions and Catalog'!$H$56+'Assumptions and Catalog'!$E$56+'Assumptions and Catalog'!$F$56,IF(((D523+E523)*C523-G523)&lt;='Assumptions and Catalog'!$C$57,((D523+E523)*C523-G523)*'Assumptions and Catalog'!$H$57+'Assumptions and Catalog'!$E$57+'Assumptions and Catalog'!$F$57,"Out of range")))))))),IF(((D523+E523)*C523-G523)&lt;='Assumptions and Catalog'!$C$60,((D523+E523)*C523-G523)*'Assumptions and Catalog'!$H$60+'Assumptions and Catalog'!$E$60+'Assumptions and Catalog'!$F$60,IF(((D523+E523)*C523-G523)&lt;='Assumptions and Catalog'!$C$61,((D523+E523)*C523-G523)*'Assumptions and Catalog'!$H$61+'Assumptions and Catalog'!$E$61+'Assumptions and Catalog'!$F$61,IF(((D523+E523)*C523-G523)&lt;='Assumptions and Catalog'!$C$62,((D523+E523)*C523-G523)*'Assumptions and Catalog'!$H$62+'Assumptions and Catalog'!$E$62+'Assumptions and Catalog'!$F$62,IF(((D523+E523)*C523-G523)&lt;='Assumptions and Catalog'!$C$63,((D523+E523)*C523-G523)*'Assumptions and Catalog'!$H$63+'Assumptions and Catalog'!$E$63+'Assumptions and Catalog'!$F$63,IF(((D523+E523)*C523-G523)&lt;='Assumptions and Catalog'!$C$64,((D523+E523)*C523-G523)*'Assumptions and Catalog'!$H$64+'Assumptions and Catalog'!$E$64+'Assumptions and Catalog'!$F$64,IF(((D523+E523)*C523-G523)&lt;='Assumptions and Catalog'!$C$65,((D523+E523)*C523-G523)*'Assumptions and Catalog'!$H$65+'Assumptions and Catalog'!$E$65+'Assumptions and Catalog'!$F$65,"Out of range")))))))))*(1+'Assumptions and Catalog'!$C$8)^(A523-1),0)</f>
        <v>8554.9666666666672</v>
      </c>
      <c r="R523" s="5">
        <f>IF(AND('Assumptions and Catalog'!$C$19&gt;0,A523&gt;='Assumptions and Catalog'!$C$19),A523-'Assumptions and Catalog'!$C$19,A523-1)</f>
        <v>9</v>
      </c>
      <c r="S523" s="5">
        <f>F523+L523-(D523+E523)*C523-J523-K523-IF(D$52&gt;0,'Assumptions and Catalog'!$C$26*C523,0)</f>
        <v>0</v>
      </c>
      <c r="T523" s="5"/>
      <c r="U523" s="5"/>
    </row>
    <row r="524" spans="1:21" ht="23.1" customHeight="1" outlineLevel="1" x14ac:dyDescent="0.2">
      <c r="A524" s="5">
        <v>10</v>
      </c>
      <c r="B524" s="5">
        <v>6</v>
      </c>
      <c r="C524" s="5">
        <f>DAY(DATE('Assumptions and Catalog'!$C$24+A524-1,B524+1,0))</f>
        <v>30</v>
      </c>
      <c r="D524" s="5">
        <f>IF(ISNUMBER(Inputs!$L$5),Inputs!$L$5*Inputs!$L$6,0)</f>
        <v>40.35</v>
      </c>
      <c r="E524" s="5">
        <f>IF(ISNUMBER(Inputs!$L$5),Inputs!$L$5-D524,0)</f>
        <v>40.35</v>
      </c>
      <c r="F524" s="5">
        <f>D$51*'Assumptions and Catalog'!$C$31*C524*(1-'Assumptions and Catalog'!$C$10)^(A524-1)</f>
        <v>0</v>
      </c>
      <c r="G524" s="5">
        <f t="shared" si="36"/>
        <v>0</v>
      </c>
      <c r="H524" s="5">
        <f>I524/('Assumptions and Catalog'!$C$11*'Assumptions and Catalog'!$C$12)</f>
        <v>0</v>
      </c>
      <c r="I524" s="5">
        <f>IF(K$15="Grid cycle",MIN(K$16,D524+E524,P524*'Assumptions and Catalog'!$C$12,D$57*(24-'Assumptions and Catalog'!$C$15),D$56*'Assumptions and Catalog'!$C$15*'Assumptions and Catalog'!$C$11*'Assumptions and Catalog'!$C$12)*C524,0)</f>
        <v>0</v>
      </c>
      <c r="J524" s="5">
        <f t="shared" si="37"/>
        <v>0</v>
      </c>
      <c r="K524" s="5">
        <f t="shared" si="38"/>
        <v>0</v>
      </c>
      <c r="L524" s="5">
        <f>(D524+E524)*C524-G524-I524+H524+IF(D$52&gt;0,'Assumptions and Catalog'!$C$26*C524,0)</f>
        <v>2421</v>
      </c>
      <c r="M524" s="5">
        <f>IF(ISNUMBER(Inputs!$L$5),(IF(Inputs!$L$9="Actual flat rate",((D524+E524)*C524)*Inputs!$L$10,IF(Inputs!$C$9="Residential",IF(((D524+E524)*C524)&lt;='Assumptions and Catalog'!$C$50,((D524+E524)*C524)*'Assumptions and Catalog'!$H$50+'Assumptions and Catalog'!$E$50+'Assumptions and Catalog'!$F$50,IF(((D524+E524)*C524)&lt;='Assumptions and Catalog'!$C$51,((D524+E524)*C524)*'Assumptions and Catalog'!$H$51+'Assumptions and Catalog'!$E$51+'Assumptions and Catalog'!$F$51,IF(((D524+E524)*C524)&lt;='Assumptions and Catalog'!$C$52,((D524+E524)*C524)*'Assumptions and Catalog'!$H$52+'Assumptions and Catalog'!$E$52+'Assumptions and Catalog'!$F$52,IF(((D524+E524)*C524)&lt;='Assumptions and Catalog'!$C$53,((D524+E524)*C524)*'Assumptions and Catalog'!$H$53+'Assumptions and Catalog'!$E$53+'Assumptions and Catalog'!$F$53,IF(((D524+E524)*C524)&lt;='Assumptions and Catalog'!$C$54,((D524+E524)*C524)*'Assumptions and Catalog'!$H$54+'Assumptions and Catalog'!$E$54+'Assumptions and Catalog'!$F$54,IF(((D524+E524)*C524)&lt;='Assumptions and Catalog'!$C$55,((D524+E524)*C524)*'Assumptions and Catalog'!$H$55+'Assumptions and Catalog'!$E$55+'Assumptions and Catalog'!$F$55,IF(((D524+E524)*C524)&lt;='Assumptions and Catalog'!$C$56,((D524+E524)*C524)*'Assumptions and Catalog'!$H$56+'Assumptions and Catalog'!$E$56+'Assumptions and Catalog'!$F$56,IF(((D524+E524)*C524)&lt;='Assumptions and Catalog'!$C$57,((D524+E524)*C524)*'Assumptions and Catalog'!$H$57+'Assumptions and Catalog'!$E$57+'Assumptions and Catalog'!$F$57,"Out of range")))))))),IF(((D524+E524)*C524)&lt;='Assumptions and Catalog'!$C$60,((D524+E524)*C524)*'Assumptions and Catalog'!$H$60+'Assumptions and Catalog'!$E$60+'Assumptions and Catalog'!$F$60,IF(((D524+E524)*C524)&lt;='Assumptions and Catalog'!$C$61,((D524+E524)*C524)*'Assumptions and Catalog'!$H$61+'Assumptions and Catalog'!$E$61+'Assumptions and Catalog'!$F$61,IF(((D524+E524)*C524)&lt;='Assumptions and Catalog'!$C$62,((D524+E524)*C524)*'Assumptions and Catalog'!$H$62+'Assumptions and Catalog'!$E$62+'Assumptions and Catalog'!$F$62,IF(((D524+E524)*C524)&lt;='Assumptions and Catalog'!$C$63,((D524+E524)*C524)*'Assumptions and Catalog'!$H$63+'Assumptions and Catalog'!$E$63+'Assumptions and Catalog'!$F$63,IF(((D524+E524)*C524)&lt;='Assumptions and Catalog'!$C$64,((D524+E524)*C524)*'Assumptions and Catalog'!$H$64+'Assumptions and Catalog'!$E$64+'Assumptions and Catalog'!$F$64,IF(((D524+E524)*C524)&lt;='Assumptions and Catalog'!$C$65,((D524+E524)*C524)*'Assumptions and Catalog'!$H$65+'Assumptions and Catalog'!$E$65+'Assumptions and Catalog'!$F$65,"Out of range")))))))))*(1+'Assumptions and Catalog'!$C$8)^(A524-1),0)</f>
        <v>8279</v>
      </c>
      <c r="N524" s="5">
        <f>IF(ISNUMBER(Inputs!$L$5),(IF(Inputs!$L$9="Actual flat rate",L524*Inputs!$L$10,IF(Inputs!$C$9="Residential",IF(L524&lt;='Assumptions and Catalog'!$C$50,L524*'Assumptions and Catalog'!$H$50+'Assumptions and Catalog'!$E$50+'Assumptions and Catalog'!$F$50,IF(L524&lt;='Assumptions and Catalog'!$C$51,L524*'Assumptions and Catalog'!$H$51+'Assumptions and Catalog'!$E$51+'Assumptions and Catalog'!$F$51,IF(L524&lt;='Assumptions and Catalog'!$C$52,L524*'Assumptions and Catalog'!$H$52+'Assumptions and Catalog'!$E$52+'Assumptions and Catalog'!$F$52,IF(L524&lt;='Assumptions and Catalog'!$C$53,L524*'Assumptions and Catalog'!$H$53+'Assumptions and Catalog'!$E$53+'Assumptions and Catalog'!$F$53,IF(L524&lt;='Assumptions and Catalog'!$C$54,L524*'Assumptions and Catalog'!$H$54+'Assumptions and Catalog'!$E$54+'Assumptions and Catalog'!$F$54,IF(L524&lt;='Assumptions and Catalog'!$C$55,L524*'Assumptions and Catalog'!$H$55+'Assumptions and Catalog'!$E$55+'Assumptions and Catalog'!$F$55,IF(L524&lt;='Assumptions and Catalog'!$C$56,L524*'Assumptions and Catalog'!$H$56+'Assumptions and Catalog'!$E$56+'Assumptions and Catalog'!$F$56,IF(L524&lt;='Assumptions and Catalog'!$C$57,L524*'Assumptions and Catalog'!$H$57+'Assumptions and Catalog'!$E$57+'Assumptions and Catalog'!$F$57,"Out of range")))))))),IF(L524&lt;='Assumptions and Catalog'!$C$60,L524*'Assumptions and Catalog'!$H$60+'Assumptions and Catalog'!$E$60+'Assumptions and Catalog'!$F$60,IF(L524&lt;='Assumptions and Catalog'!$C$61,L524*'Assumptions and Catalog'!$H$61+'Assumptions and Catalog'!$E$61+'Assumptions and Catalog'!$F$61,IF(L524&lt;='Assumptions and Catalog'!$C$62,L524*'Assumptions and Catalog'!$H$62+'Assumptions and Catalog'!$E$62+'Assumptions and Catalog'!$F$62,IF(L524&lt;='Assumptions and Catalog'!$C$63,L524*'Assumptions and Catalog'!$H$63+'Assumptions and Catalog'!$E$63+'Assumptions and Catalog'!$F$63,IF(L524&lt;='Assumptions and Catalog'!$C$64,L524*'Assumptions and Catalog'!$H$64+'Assumptions and Catalog'!$E$64+'Assumptions and Catalog'!$F$64,IF(L524&lt;='Assumptions and Catalog'!$C$65,L524*'Assumptions and Catalog'!$H$65+'Assumptions and Catalog'!$E$65+'Assumptions and Catalog'!$F$65,"Out of range")))))))))*(1+'Assumptions and Catalog'!$C$8)^(A524-1),0)</f>
        <v>8279</v>
      </c>
      <c r="O524" s="5">
        <f t="shared" si="39"/>
        <v>0</v>
      </c>
      <c r="P524" s="5">
        <f>D$55*(1-K$14)*(1-'Assumptions and Catalog'!$C$23)^R524</f>
        <v>0</v>
      </c>
      <c r="Q524" s="5">
        <f>IF(ISNUMBER(Inputs!$L$5),(IF(Inputs!$L$9="Actual flat rate",((D524+E524)*C524-G524)*Inputs!$L$10,IF(Inputs!$C$9="Residential",IF(((D524+E524)*C524-G524)&lt;='Assumptions and Catalog'!$C$50,((D524+E524)*C524-G524)*'Assumptions and Catalog'!$H$50+'Assumptions and Catalog'!$E$50+'Assumptions and Catalog'!$F$50,IF(((D524+E524)*C524-G524)&lt;='Assumptions and Catalog'!$C$51,((D524+E524)*C524-G524)*'Assumptions and Catalog'!$H$51+'Assumptions and Catalog'!$E$51+'Assumptions and Catalog'!$F$51,IF(((D524+E524)*C524-G524)&lt;='Assumptions and Catalog'!$C$52,((D524+E524)*C524-G524)*'Assumptions and Catalog'!$H$52+'Assumptions and Catalog'!$E$52+'Assumptions and Catalog'!$F$52,IF(((D524+E524)*C524-G524)&lt;='Assumptions and Catalog'!$C$53,((D524+E524)*C524-G524)*'Assumptions and Catalog'!$H$53+'Assumptions and Catalog'!$E$53+'Assumptions and Catalog'!$F$53,IF(((D524+E524)*C524-G524)&lt;='Assumptions and Catalog'!$C$54,((D524+E524)*C524-G524)*'Assumptions and Catalog'!$H$54+'Assumptions and Catalog'!$E$54+'Assumptions and Catalog'!$F$54,IF(((D524+E524)*C524-G524)&lt;='Assumptions and Catalog'!$C$55,((D524+E524)*C524-G524)*'Assumptions and Catalog'!$H$55+'Assumptions and Catalog'!$E$55+'Assumptions and Catalog'!$F$55,IF(((D524+E524)*C524-G524)&lt;='Assumptions and Catalog'!$C$56,((D524+E524)*C524-G524)*'Assumptions and Catalog'!$H$56+'Assumptions and Catalog'!$E$56+'Assumptions and Catalog'!$F$56,IF(((D524+E524)*C524-G524)&lt;='Assumptions and Catalog'!$C$57,((D524+E524)*C524-G524)*'Assumptions and Catalog'!$H$57+'Assumptions and Catalog'!$E$57+'Assumptions and Catalog'!$F$57,"Out of range")))))))),IF(((D524+E524)*C524-G524)&lt;='Assumptions and Catalog'!$C$60,((D524+E524)*C524-G524)*'Assumptions and Catalog'!$H$60+'Assumptions and Catalog'!$E$60+'Assumptions and Catalog'!$F$60,IF(((D524+E524)*C524-G524)&lt;='Assumptions and Catalog'!$C$61,((D524+E524)*C524-G524)*'Assumptions and Catalog'!$H$61+'Assumptions and Catalog'!$E$61+'Assumptions and Catalog'!$F$61,IF(((D524+E524)*C524-G524)&lt;='Assumptions and Catalog'!$C$62,((D524+E524)*C524-G524)*'Assumptions and Catalog'!$H$62+'Assumptions and Catalog'!$E$62+'Assumptions and Catalog'!$F$62,IF(((D524+E524)*C524-G524)&lt;='Assumptions and Catalog'!$C$63,((D524+E524)*C524-G524)*'Assumptions and Catalog'!$H$63+'Assumptions and Catalog'!$E$63+'Assumptions and Catalog'!$F$63,IF(((D524+E524)*C524-G524)&lt;='Assumptions and Catalog'!$C$64,((D524+E524)*C524-G524)*'Assumptions and Catalog'!$H$64+'Assumptions and Catalog'!$E$64+'Assumptions and Catalog'!$F$64,IF(((D524+E524)*C524-G524)&lt;='Assumptions and Catalog'!$C$65,((D524+E524)*C524-G524)*'Assumptions and Catalog'!$H$65+'Assumptions and Catalog'!$E$65+'Assumptions and Catalog'!$F$65,"Out of range")))))))))*(1+'Assumptions and Catalog'!$C$8)^(A524-1),0)</f>
        <v>8279</v>
      </c>
      <c r="R524" s="5">
        <f>IF(AND('Assumptions and Catalog'!$C$19&gt;0,A524&gt;='Assumptions and Catalog'!$C$19),A524-'Assumptions and Catalog'!$C$19,A524-1)</f>
        <v>9</v>
      </c>
      <c r="S524" s="5">
        <f>F524+L524-(D524+E524)*C524-J524-K524-IF(D$52&gt;0,'Assumptions and Catalog'!$C$26*C524,0)</f>
        <v>0</v>
      </c>
      <c r="T524" s="5"/>
      <c r="U524" s="5"/>
    </row>
    <row r="525" spans="1:21" ht="23.1" customHeight="1" outlineLevel="1" x14ac:dyDescent="0.2">
      <c r="A525" s="5">
        <v>10</v>
      </c>
      <c r="B525" s="5">
        <v>7</v>
      </c>
      <c r="C525" s="5">
        <f>DAY(DATE('Assumptions and Catalog'!$C$24+A525-1,B525+1,0))</f>
        <v>31</v>
      </c>
      <c r="D525" s="5">
        <f>IF(ISNUMBER(Inputs!$L$5),Inputs!$L$5*Inputs!$L$6,0)</f>
        <v>40.35</v>
      </c>
      <c r="E525" s="5">
        <f>IF(ISNUMBER(Inputs!$L$5),Inputs!$L$5-D525,0)</f>
        <v>40.35</v>
      </c>
      <c r="F525" s="5">
        <f>D$51*'Assumptions and Catalog'!$C$31*C525*(1-'Assumptions and Catalog'!$C$10)^(A525-1)</f>
        <v>0</v>
      </c>
      <c r="G525" s="5">
        <f t="shared" si="36"/>
        <v>0</v>
      </c>
      <c r="H525" s="5">
        <f>I525/('Assumptions and Catalog'!$C$11*'Assumptions and Catalog'!$C$12)</f>
        <v>0</v>
      </c>
      <c r="I525" s="5">
        <f>IF(K$15="Grid cycle",MIN(K$16,D525+E525,P525*'Assumptions and Catalog'!$C$12,D$57*(24-'Assumptions and Catalog'!$C$15),D$56*'Assumptions and Catalog'!$C$15*'Assumptions and Catalog'!$C$11*'Assumptions and Catalog'!$C$12)*C525,0)</f>
        <v>0</v>
      </c>
      <c r="J525" s="5">
        <f t="shared" si="37"/>
        <v>0</v>
      </c>
      <c r="K525" s="5">
        <f t="shared" si="38"/>
        <v>0</v>
      </c>
      <c r="L525" s="5">
        <f>(D525+E525)*C525-G525-I525+H525+IF(D$52&gt;0,'Assumptions and Catalog'!$C$26*C525,0)</f>
        <v>2501.7000000000003</v>
      </c>
      <c r="M525" s="5">
        <f>IF(ISNUMBER(Inputs!$L$5),(IF(Inputs!$L$9="Actual flat rate",((D525+E525)*C525)*Inputs!$L$10,IF(Inputs!$C$9="Residential",IF(((D525+E525)*C525)&lt;='Assumptions and Catalog'!$C$50,((D525+E525)*C525)*'Assumptions and Catalog'!$H$50+'Assumptions and Catalog'!$E$50+'Assumptions and Catalog'!$F$50,IF(((D525+E525)*C525)&lt;='Assumptions and Catalog'!$C$51,((D525+E525)*C525)*'Assumptions and Catalog'!$H$51+'Assumptions and Catalog'!$E$51+'Assumptions and Catalog'!$F$51,IF(((D525+E525)*C525)&lt;='Assumptions and Catalog'!$C$52,((D525+E525)*C525)*'Assumptions and Catalog'!$H$52+'Assumptions and Catalog'!$E$52+'Assumptions and Catalog'!$F$52,IF(((D525+E525)*C525)&lt;='Assumptions and Catalog'!$C$53,((D525+E525)*C525)*'Assumptions and Catalog'!$H$53+'Assumptions and Catalog'!$E$53+'Assumptions and Catalog'!$F$53,IF(((D525+E525)*C525)&lt;='Assumptions and Catalog'!$C$54,((D525+E525)*C525)*'Assumptions and Catalog'!$H$54+'Assumptions and Catalog'!$E$54+'Assumptions and Catalog'!$F$54,IF(((D525+E525)*C525)&lt;='Assumptions and Catalog'!$C$55,((D525+E525)*C525)*'Assumptions and Catalog'!$H$55+'Assumptions and Catalog'!$E$55+'Assumptions and Catalog'!$F$55,IF(((D525+E525)*C525)&lt;='Assumptions and Catalog'!$C$56,((D525+E525)*C525)*'Assumptions and Catalog'!$H$56+'Assumptions and Catalog'!$E$56+'Assumptions and Catalog'!$F$56,IF(((D525+E525)*C525)&lt;='Assumptions and Catalog'!$C$57,((D525+E525)*C525)*'Assumptions and Catalog'!$H$57+'Assumptions and Catalog'!$E$57+'Assumptions and Catalog'!$F$57,"Out of range")))))))),IF(((D525+E525)*C525)&lt;='Assumptions and Catalog'!$C$60,((D525+E525)*C525)*'Assumptions and Catalog'!$H$60+'Assumptions and Catalog'!$E$60+'Assumptions and Catalog'!$F$60,IF(((D525+E525)*C525)&lt;='Assumptions and Catalog'!$C$61,((D525+E525)*C525)*'Assumptions and Catalog'!$H$61+'Assumptions and Catalog'!$E$61+'Assumptions and Catalog'!$F$61,IF(((D525+E525)*C525)&lt;='Assumptions and Catalog'!$C$62,((D525+E525)*C525)*'Assumptions and Catalog'!$H$62+'Assumptions and Catalog'!$E$62+'Assumptions and Catalog'!$F$62,IF(((D525+E525)*C525)&lt;='Assumptions and Catalog'!$C$63,((D525+E525)*C525)*'Assumptions and Catalog'!$H$63+'Assumptions and Catalog'!$E$63+'Assumptions and Catalog'!$F$63,IF(((D525+E525)*C525)&lt;='Assumptions and Catalog'!$C$64,((D525+E525)*C525)*'Assumptions and Catalog'!$H$64+'Assumptions and Catalog'!$E$64+'Assumptions and Catalog'!$F$64,IF(((D525+E525)*C525)&lt;='Assumptions and Catalog'!$C$65,((D525+E525)*C525)*'Assumptions and Catalog'!$H$65+'Assumptions and Catalog'!$E$65+'Assumptions and Catalog'!$F$65,"Out of range")))))))))*(1+'Assumptions and Catalog'!$C$8)^(A525-1),0)</f>
        <v>8554.9666666666672</v>
      </c>
      <c r="N525" s="5">
        <f>IF(ISNUMBER(Inputs!$L$5),(IF(Inputs!$L$9="Actual flat rate",L525*Inputs!$L$10,IF(Inputs!$C$9="Residential",IF(L525&lt;='Assumptions and Catalog'!$C$50,L525*'Assumptions and Catalog'!$H$50+'Assumptions and Catalog'!$E$50+'Assumptions and Catalog'!$F$50,IF(L525&lt;='Assumptions and Catalog'!$C$51,L525*'Assumptions and Catalog'!$H$51+'Assumptions and Catalog'!$E$51+'Assumptions and Catalog'!$F$51,IF(L525&lt;='Assumptions and Catalog'!$C$52,L525*'Assumptions and Catalog'!$H$52+'Assumptions and Catalog'!$E$52+'Assumptions and Catalog'!$F$52,IF(L525&lt;='Assumptions and Catalog'!$C$53,L525*'Assumptions and Catalog'!$H$53+'Assumptions and Catalog'!$E$53+'Assumptions and Catalog'!$F$53,IF(L525&lt;='Assumptions and Catalog'!$C$54,L525*'Assumptions and Catalog'!$H$54+'Assumptions and Catalog'!$E$54+'Assumptions and Catalog'!$F$54,IF(L525&lt;='Assumptions and Catalog'!$C$55,L525*'Assumptions and Catalog'!$H$55+'Assumptions and Catalog'!$E$55+'Assumptions and Catalog'!$F$55,IF(L525&lt;='Assumptions and Catalog'!$C$56,L525*'Assumptions and Catalog'!$H$56+'Assumptions and Catalog'!$E$56+'Assumptions and Catalog'!$F$56,IF(L525&lt;='Assumptions and Catalog'!$C$57,L525*'Assumptions and Catalog'!$H$57+'Assumptions and Catalog'!$E$57+'Assumptions and Catalog'!$F$57,"Out of range")))))))),IF(L525&lt;='Assumptions and Catalog'!$C$60,L525*'Assumptions and Catalog'!$H$60+'Assumptions and Catalog'!$E$60+'Assumptions and Catalog'!$F$60,IF(L525&lt;='Assumptions and Catalog'!$C$61,L525*'Assumptions and Catalog'!$H$61+'Assumptions and Catalog'!$E$61+'Assumptions and Catalog'!$F$61,IF(L525&lt;='Assumptions and Catalog'!$C$62,L525*'Assumptions and Catalog'!$H$62+'Assumptions and Catalog'!$E$62+'Assumptions and Catalog'!$F$62,IF(L525&lt;='Assumptions and Catalog'!$C$63,L525*'Assumptions and Catalog'!$H$63+'Assumptions and Catalog'!$E$63+'Assumptions and Catalog'!$F$63,IF(L525&lt;='Assumptions and Catalog'!$C$64,L525*'Assumptions and Catalog'!$H$64+'Assumptions and Catalog'!$E$64+'Assumptions and Catalog'!$F$64,IF(L525&lt;='Assumptions and Catalog'!$C$65,L525*'Assumptions and Catalog'!$H$65+'Assumptions and Catalog'!$E$65+'Assumptions and Catalog'!$F$65,"Out of range")))))))))*(1+'Assumptions and Catalog'!$C$8)^(A525-1),0)</f>
        <v>8554.9666666666672</v>
      </c>
      <c r="O525" s="5">
        <f t="shared" si="39"/>
        <v>0</v>
      </c>
      <c r="P525" s="5">
        <f>D$55*(1-K$14)*(1-'Assumptions and Catalog'!$C$23)^R525</f>
        <v>0</v>
      </c>
      <c r="Q525" s="5">
        <f>IF(ISNUMBER(Inputs!$L$5),(IF(Inputs!$L$9="Actual flat rate",((D525+E525)*C525-G525)*Inputs!$L$10,IF(Inputs!$C$9="Residential",IF(((D525+E525)*C525-G525)&lt;='Assumptions and Catalog'!$C$50,((D525+E525)*C525-G525)*'Assumptions and Catalog'!$H$50+'Assumptions and Catalog'!$E$50+'Assumptions and Catalog'!$F$50,IF(((D525+E525)*C525-G525)&lt;='Assumptions and Catalog'!$C$51,((D525+E525)*C525-G525)*'Assumptions and Catalog'!$H$51+'Assumptions and Catalog'!$E$51+'Assumptions and Catalog'!$F$51,IF(((D525+E525)*C525-G525)&lt;='Assumptions and Catalog'!$C$52,((D525+E525)*C525-G525)*'Assumptions and Catalog'!$H$52+'Assumptions and Catalog'!$E$52+'Assumptions and Catalog'!$F$52,IF(((D525+E525)*C525-G525)&lt;='Assumptions and Catalog'!$C$53,((D525+E525)*C525-G525)*'Assumptions and Catalog'!$H$53+'Assumptions and Catalog'!$E$53+'Assumptions and Catalog'!$F$53,IF(((D525+E525)*C525-G525)&lt;='Assumptions and Catalog'!$C$54,((D525+E525)*C525-G525)*'Assumptions and Catalog'!$H$54+'Assumptions and Catalog'!$E$54+'Assumptions and Catalog'!$F$54,IF(((D525+E525)*C525-G525)&lt;='Assumptions and Catalog'!$C$55,((D525+E525)*C525-G525)*'Assumptions and Catalog'!$H$55+'Assumptions and Catalog'!$E$55+'Assumptions and Catalog'!$F$55,IF(((D525+E525)*C525-G525)&lt;='Assumptions and Catalog'!$C$56,((D525+E525)*C525-G525)*'Assumptions and Catalog'!$H$56+'Assumptions and Catalog'!$E$56+'Assumptions and Catalog'!$F$56,IF(((D525+E525)*C525-G525)&lt;='Assumptions and Catalog'!$C$57,((D525+E525)*C525-G525)*'Assumptions and Catalog'!$H$57+'Assumptions and Catalog'!$E$57+'Assumptions and Catalog'!$F$57,"Out of range")))))))),IF(((D525+E525)*C525-G525)&lt;='Assumptions and Catalog'!$C$60,((D525+E525)*C525-G525)*'Assumptions and Catalog'!$H$60+'Assumptions and Catalog'!$E$60+'Assumptions and Catalog'!$F$60,IF(((D525+E525)*C525-G525)&lt;='Assumptions and Catalog'!$C$61,((D525+E525)*C525-G525)*'Assumptions and Catalog'!$H$61+'Assumptions and Catalog'!$E$61+'Assumptions and Catalog'!$F$61,IF(((D525+E525)*C525-G525)&lt;='Assumptions and Catalog'!$C$62,((D525+E525)*C525-G525)*'Assumptions and Catalog'!$H$62+'Assumptions and Catalog'!$E$62+'Assumptions and Catalog'!$F$62,IF(((D525+E525)*C525-G525)&lt;='Assumptions and Catalog'!$C$63,((D525+E525)*C525-G525)*'Assumptions and Catalog'!$H$63+'Assumptions and Catalog'!$E$63+'Assumptions and Catalog'!$F$63,IF(((D525+E525)*C525-G525)&lt;='Assumptions and Catalog'!$C$64,((D525+E525)*C525-G525)*'Assumptions and Catalog'!$H$64+'Assumptions and Catalog'!$E$64+'Assumptions and Catalog'!$F$64,IF(((D525+E525)*C525-G525)&lt;='Assumptions and Catalog'!$C$65,((D525+E525)*C525-G525)*'Assumptions and Catalog'!$H$65+'Assumptions and Catalog'!$E$65+'Assumptions and Catalog'!$F$65,"Out of range")))))))))*(1+'Assumptions and Catalog'!$C$8)^(A525-1),0)</f>
        <v>8554.9666666666672</v>
      </c>
      <c r="R525" s="5">
        <f>IF(AND('Assumptions and Catalog'!$C$19&gt;0,A525&gt;='Assumptions and Catalog'!$C$19),A525-'Assumptions and Catalog'!$C$19,A525-1)</f>
        <v>9</v>
      </c>
      <c r="S525" s="5">
        <f>F525+L525-(D525+E525)*C525-J525-K525-IF(D$52&gt;0,'Assumptions and Catalog'!$C$26*C525,0)</f>
        <v>0</v>
      </c>
      <c r="T525" s="5"/>
      <c r="U525" s="5"/>
    </row>
    <row r="526" spans="1:21" ht="23.1" customHeight="1" outlineLevel="1" x14ac:dyDescent="0.2">
      <c r="A526" s="5">
        <v>10</v>
      </c>
      <c r="B526" s="5">
        <v>8</v>
      </c>
      <c r="C526" s="5">
        <f>DAY(DATE('Assumptions and Catalog'!$C$24+A526-1,B526+1,0))</f>
        <v>31</v>
      </c>
      <c r="D526" s="5">
        <f>IF(ISNUMBER(Inputs!$L$5),Inputs!$L$5*Inputs!$L$6,0)</f>
        <v>40.35</v>
      </c>
      <c r="E526" s="5">
        <f>IF(ISNUMBER(Inputs!$L$5),Inputs!$L$5-D526,0)</f>
        <v>40.35</v>
      </c>
      <c r="F526" s="5">
        <f>D$51*'Assumptions and Catalog'!$C$31*C526*(1-'Assumptions and Catalog'!$C$10)^(A526-1)</f>
        <v>0</v>
      </c>
      <c r="G526" s="5">
        <f t="shared" si="36"/>
        <v>0</v>
      </c>
      <c r="H526" s="5">
        <f>I526/('Assumptions and Catalog'!$C$11*'Assumptions and Catalog'!$C$12)</f>
        <v>0</v>
      </c>
      <c r="I526" s="5">
        <f>IF(K$15="Grid cycle",MIN(K$16,D526+E526,P526*'Assumptions and Catalog'!$C$12,D$57*(24-'Assumptions and Catalog'!$C$15),D$56*'Assumptions and Catalog'!$C$15*'Assumptions and Catalog'!$C$11*'Assumptions and Catalog'!$C$12)*C526,0)</f>
        <v>0</v>
      </c>
      <c r="J526" s="5">
        <f t="shared" si="37"/>
        <v>0</v>
      </c>
      <c r="K526" s="5">
        <f t="shared" si="38"/>
        <v>0</v>
      </c>
      <c r="L526" s="5">
        <f>(D526+E526)*C526-G526-I526+H526+IF(D$52&gt;0,'Assumptions and Catalog'!$C$26*C526,0)</f>
        <v>2501.7000000000003</v>
      </c>
      <c r="M526" s="5">
        <f>IF(ISNUMBER(Inputs!$L$5),(IF(Inputs!$L$9="Actual flat rate",((D526+E526)*C526)*Inputs!$L$10,IF(Inputs!$C$9="Residential",IF(((D526+E526)*C526)&lt;='Assumptions and Catalog'!$C$50,((D526+E526)*C526)*'Assumptions and Catalog'!$H$50+'Assumptions and Catalog'!$E$50+'Assumptions and Catalog'!$F$50,IF(((D526+E526)*C526)&lt;='Assumptions and Catalog'!$C$51,((D526+E526)*C526)*'Assumptions and Catalog'!$H$51+'Assumptions and Catalog'!$E$51+'Assumptions and Catalog'!$F$51,IF(((D526+E526)*C526)&lt;='Assumptions and Catalog'!$C$52,((D526+E526)*C526)*'Assumptions and Catalog'!$H$52+'Assumptions and Catalog'!$E$52+'Assumptions and Catalog'!$F$52,IF(((D526+E526)*C526)&lt;='Assumptions and Catalog'!$C$53,((D526+E526)*C526)*'Assumptions and Catalog'!$H$53+'Assumptions and Catalog'!$E$53+'Assumptions and Catalog'!$F$53,IF(((D526+E526)*C526)&lt;='Assumptions and Catalog'!$C$54,((D526+E526)*C526)*'Assumptions and Catalog'!$H$54+'Assumptions and Catalog'!$E$54+'Assumptions and Catalog'!$F$54,IF(((D526+E526)*C526)&lt;='Assumptions and Catalog'!$C$55,((D526+E526)*C526)*'Assumptions and Catalog'!$H$55+'Assumptions and Catalog'!$E$55+'Assumptions and Catalog'!$F$55,IF(((D526+E526)*C526)&lt;='Assumptions and Catalog'!$C$56,((D526+E526)*C526)*'Assumptions and Catalog'!$H$56+'Assumptions and Catalog'!$E$56+'Assumptions and Catalog'!$F$56,IF(((D526+E526)*C526)&lt;='Assumptions and Catalog'!$C$57,((D526+E526)*C526)*'Assumptions and Catalog'!$H$57+'Assumptions and Catalog'!$E$57+'Assumptions and Catalog'!$F$57,"Out of range")))))))),IF(((D526+E526)*C526)&lt;='Assumptions and Catalog'!$C$60,((D526+E526)*C526)*'Assumptions and Catalog'!$H$60+'Assumptions and Catalog'!$E$60+'Assumptions and Catalog'!$F$60,IF(((D526+E526)*C526)&lt;='Assumptions and Catalog'!$C$61,((D526+E526)*C526)*'Assumptions and Catalog'!$H$61+'Assumptions and Catalog'!$E$61+'Assumptions and Catalog'!$F$61,IF(((D526+E526)*C526)&lt;='Assumptions and Catalog'!$C$62,((D526+E526)*C526)*'Assumptions and Catalog'!$H$62+'Assumptions and Catalog'!$E$62+'Assumptions and Catalog'!$F$62,IF(((D526+E526)*C526)&lt;='Assumptions and Catalog'!$C$63,((D526+E526)*C526)*'Assumptions and Catalog'!$H$63+'Assumptions and Catalog'!$E$63+'Assumptions and Catalog'!$F$63,IF(((D526+E526)*C526)&lt;='Assumptions and Catalog'!$C$64,((D526+E526)*C526)*'Assumptions and Catalog'!$H$64+'Assumptions and Catalog'!$E$64+'Assumptions and Catalog'!$F$64,IF(((D526+E526)*C526)&lt;='Assumptions and Catalog'!$C$65,((D526+E526)*C526)*'Assumptions and Catalog'!$H$65+'Assumptions and Catalog'!$E$65+'Assumptions and Catalog'!$F$65,"Out of range")))))))))*(1+'Assumptions and Catalog'!$C$8)^(A526-1),0)</f>
        <v>8554.9666666666672</v>
      </c>
      <c r="N526" s="5">
        <f>IF(ISNUMBER(Inputs!$L$5),(IF(Inputs!$L$9="Actual flat rate",L526*Inputs!$L$10,IF(Inputs!$C$9="Residential",IF(L526&lt;='Assumptions and Catalog'!$C$50,L526*'Assumptions and Catalog'!$H$50+'Assumptions and Catalog'!$E$50+'Assumptions and Catalog'!$F$50,IF(L526&lt;='Assumptions and Catalog'!$C$51,L526*'Assumptions and Catalog'!$H$51+'Assumptions and Catalog'!$E$51+'Assumptions and Catalog'!$F$51,IF(L526&lt;='Assumptions and Catalog'!$C$52,L526*'Assumptions and Catalog'!$H$52+'Assumptions and Catalog'!$E$52+'Assumptions and Catalog'!$F$52,IF(L526&lt;='Assumptions and Catalog'!$C$53,L526*'Assumptions and Catalog'!$H$53+'Assumptions and Catalog'!$E$53+'Assumptions and Catalog'!$F$53,IF(L526&lt;='Assumptions and Catalog'!$C$54,L526*'Assumptions and Catalog'!$H$54+'Assumptions and Catalog'!$E$54+'Assumptions and Catalog'!$F$54,IF(L526&lt;='Assumptions and Catalog'!$C$55,L526*'Assumptions and Catalog'!$H$55+'Assumptions and Catalog'!$E$55+'Assumptions and Catalog'!$F$55,IF(L526&lt;='Assumptions and Catalog'!$C$56,L526*'Assumptions and Catalog'!$H$56+'Assumptions and Catalog'!$E$56+'Assumptions and Catalog'!$F$56,IF(L526&lt;='Assumptions and Catalog'!$C$57,L526*'Assumptions and Catalog'!$H$57+'Assumptions and Catalog'!$E$57+'Assumptions and Catalog'!$F$57,"Out of range")))))))),IF(L526&lt;='Assumptions and Catalog'!$C$60,L526*'Assumptions and Catalog'!$H$60+'Assumptions and Catalog'!$E$60+'Assumptions and Catalog'!$F$60,IF(L526&lt;='Assumptions and Catalog'!$C$61,L526*'Assumptions and Catalog'!$H$61+'Assumptions and Catalog'!$E$61+'Assumptions and Catalog'!$F$61,IF(L526&lt;='Assumptions and Catalog'!$C$62,L526*'Assumptions and Catalog'!$H$62+'Assumptions and Catalog'!$E$62+'Assumptions and Catalog'!$F$62,IF(L526&lt;='Assumptions and Catalog'!$C$63,L526*'Assumptions and Catalog'!$H$63+'Assumptions and Catalog'!$E$63+'Assumptions and Catalog'!$F$63,IF(L526&lt;='Assumptions and Catalog'!$C$64,L526*'Assumptions and Catalog'!$H$64+'Assumptions and Catalog'!$E$64+'Assumptions and Catalog'!$F$64,IF(L526&lt;='Assumptions and Catalog'!$C$65,L526*'Assumptions and Catalog'!$H$65+'Assumptions and Catalog'!$E$65+'Assumptions and Catalog'!$F$65,"Out of range")))))))))*(1+'Assumptions and Catalog'!$C$8)^(A526-1),0)</f>
        <v>8554.9666666666672</v>
      </c>
      <c r="O526" s="5">
        <f t="shared" si="39"/>
        <v>0</v>
      </c>
      <c r="P526" s="5">
        <f>D$55*(1-K$14)*(1-'Assumptions and Catalog'!$C$23)^R526</f>
        <v>0</v>
      </c>
      <c r="Q526" s="5">
        <f>IF(ISNUMBER(Inputs!$L$5),(IF(Inputs!$L$9="Actual flat rate",((D526+E526)*C526-G526)*Inputs!$L$10,IF(Inputs!$C$9="Residential",IF(((D526+E526)*C526-G526)&lt;='Assumptions and Catalog'!$C$50,((D526+E526)*C526-G526)*'Assumptions and Catalog'!$H$50+'Assumptions and Catalog'!$E$50+'Assumptions and Catalog'!$F$50,IF(((D526+E526)*C526-G526)&lt;='Assumptions and Catalog'!$C$51,((D526+E526)*C526-G526)*'Assumptions and Catalog'!$H$51+'Assumptions and Catalog'!$E$51+'Assumptions and Catalog'!$F$51,IF(((D526+E526)*C526-G526)&lt;='Assumptions and Catalog'!$C$52,((D526+E526)*C526-G526)*'Assumptions and Catalog'!$H$52+'Assumptions and Catalog'!$E$52+'Assumptions and Catalog'!$F$52,IF(((D526+E526)*C526-G526)&lt;='Assumptions and Catalog'!$C$53,((D526+E526)*C526-G526)*'Assumptions and Catalog'!$H$53+'Assumptions and Catalog'!$E$53+'Assumptions and Catalog'!$F$53,IF(((D526+E526)*C526-G526)&lt;='Assumptions and Catalog'!$C$54,((D526+E526)*C526-G526)*'Assumptions and Catalog'!$H$54+'Assumptions and Catalog'!$E$54+'Assumptions and Catalog'!$F$54,IF(((D526+E526)*C526-G526)&lt;='Assumptions and Catalog'!$C$55,((D526+E526)*C526-G526)*'Assumptions and Catalog'!$H$55+'Assumptions and Catalog'!$E$55+'Assumptions and Catalog'!$F$55,IF(((D526+E526)*C526-G526)&lt;='Assumptions and Catalog'!$C$56,((D526+E526)*C526-G526)*'Assumptions and Catalog'!$H$56+'Assumptions and Catalog'!$E$56+'Assumptions and Catalog'!$F$56,IF(((D526+E526)*C526-G526)&lt;='Assumptions and Catalog'!$C$57,((D526+E526)*C526-G526)*'Assumptions and Catalog'!$H$57+'Assumptions and Catalog'!$E$57+'Assumptions and Catalog'!$F$57,"Out of range")))))))),IF(((D526+E526)*C526-G526)&lt;='Assumptions and Catalog'!$C$60,((D526+E526)*C526-G526)*'Assumptions and Catalog'!$H$60+'Assumptions and Catalog'!$E$60+'Assumptions and Catalog'!$F$60,IF(((D526+E526)*C526-G526)&lt;='Assumptions and Catalog'!$C$61,((D526+E526)*C526-G526)*'Assumptions and Catalog'!$H$61+'Assumptions and Catalog'!$E$61+'Assumptions and Catalog'!$F$61,IF(((D526+E526)*C526-G526)&lt;='Assumptions and Catalog'!$C$62,((D526+E526)*C526-G526)*'Assumptions and Catalog'!$H$62+'Assumptions and Catalog'!$E$62+'Assumptions and Catalog'!$F$62,IF(((D526+E526)*C526-G526)&lt;='Assumptions and Catalog'!$C$63,((D526+E526)*C526-G526)*'Assumptions and Catalog'!$H$63+'Assumptions and Catalog'!$E$63+'Assumptions and Catalog'!$F$63,IF(((D526+E526)*C526-G526)&lt;='Assumptions and Catalog'!$C$64,((D526+E526)*C526-G526)*'Assumptions and Catalog'!$H$64+'Assumptions and Catalog'!$E$64+'Assumptions and Catalog'!$F$64,IF(((D526+E526)*C526-G526)&lt;='Assumptions and Catalog'!$C$65,((D526+E526)*C526-G526)*'Assumptions and Catalog'!$H$65+'Assumptions and Catalog'!$E$65+'Assumptions and Catalog'!$F$65,"Out of range")))))))))*(1+'Assumptions and Catalog'!$C$8)^(A526-1),0)</f>
        <v>8554.9666666666672</v>
      </c>
      <c r="R526" s="5">
        <f>IF(AND('Assumptions and Catalog'!$C$19&gt;0,A526&gt;='Assumptions and Catalog'!$C$19),A526-'Assumptions and Catalog'!$C$19,A526-1)</f>
        <v>9</v>
      </c>
      <c r="S526" s="5">
        <f>F526+L526-(D526+E526)*C526-J526-K526-IF(D$52&gt;0,'Assumptions and Catalog'!$C$26*C526,0)</f>
        <v>0</v>
      </c>
      <c r="T526" s="5"/>
      <c r="U526" s="5"/>
    </row>
    <row r="527" spans="1:21" ht="23.1" customHeight="1" outlineLevel="1" x14ac:dyDescent="0.2">
      <c r="A527" s="5">
        <v>10</v>
      </c>
      <c r="B527" s="5">
        <v>9</v>
      </c>
      <c r="C527" s="5">
        <f>DAY(DATE('Assumptions and Catalog'!$C$24+A527-1,B527+1,0))</f>
        <v>30</v>
      </c>
      <c r="D527" s="5">
        <f>IF(ISNUMBER(Inputs!$L$5),Inputs!$L$5*Inputs!$L$6,0)</f>
        <v>40.35</v>
      </c>
      <c r="E527" s="5">
        <f>IF(ISNUMBER(Inputs!$L$5),Inputs!$L$5-D527,0)</f>
        <v>40.35</v>
      </c>
      <c r="F527" s="5">
        <f>D$51*'Assumptions and Catalog'!$C$31*C527*(1-'Assumptions and Catalog'!$C$10)^(A527-1)</f>
        <v>0</v>
      </c>
      <c r="G527" s="5">
        <f t="shared" si="36"/>
        <v>0</v>
      </c>
      <c r="H527" s="5">
        <f>I527/('Assumptions and Catalog'!$C$11*'Assumptions and Catalog'!$C$12)</f>
        <v>0</v>
      </c>
      <c r="I527" s="5">
        <f>IF(K$15="Grid cycle",MIN(K$16,D527+E527,P527*'Assumptions and Catalog'!$C$12,D$57*(24-'Assumptions and Catalog'!$C$15),D$56*'Assumptions and Catalog'!$C$15*'Assumptions and Catalog'!$C$11*'Assumptions and Catalog'!$C$12)*C527,0)</f>
        <v>0</v>
      </c>
      <c r="J527" s="5">
        <f t="shared" si="37"/>
        <v>0</v>
      </c>
      <c r="K527" s="5">
        <f t="shared" si="38"/>
        <v>0</v>
      </c>
      <c r="L527" s="5">
        <f>(D527+E527)*C527-G527-I527+H527+IF(D$52&gt;0,'Assumptions and Catalog'!$C$26*C527,0)</f>
        <v>2421</v>
      </c>
      <c r="M527" s="5">
        <f>IF(ISNUMBER(Inputs!$L$5),(IF(Inputs!$L$9="Actual flat rate",((D527+E527)*C527)*Inputs!$L$10,IF(Inputs!$C$9="Residential",IF(((D527+E527)*C527)&lt;='Assumptions and Catalog'!$C$50,((D527+E527)*C527)*'Assumptions and Catalog'!$H$50+'Assumptions and Catalog'!$E$50+'Assumptions and Catalog'!$F$50,IF(((D527+E527)*C527)&lt;='Assumptions and Catalog'!$C$51,((D527+E527)*C527)*'Assumptions and Catalog'!$H$51+'Assumptions and Catalog'!$E$51+'Assumptions and Catalog'!$F$51,IF(((D527+E527)*C527)&lt;='Assumptions and Catalog'!$C$52,((D527+E527)*C527)*'Assumptions and Catalog'!$H$52+'Assumptions and Catalog'!$E$52+'Assumptions and Catalog'!$F$52,IF(((D527+E527)*C527)&lt;='Assumptions and Catalog'!$C$53,((D527+E527)*C527)*'Assumptions and Catalog'!$H$53+'Assumptions and Catalog'!$E$53+'Assumptions and Catalog'!$F$53,IF(((D527+E527)*C527)&lt;='Assumptions and Catalog'!$C$54,((D527+E527)*C527)*'Assumptions and Catalog'!$H$54+'Assumptions and Catalog'!$E$54+'Assumptions and Catalog'!$F$54,IF(((D527+E527)*C527)&lt;='Assumptions and Catalog'!$C$55,((D527+E527)*C527)*'Assumptions and Catalog'!$H$55+'Assumptions and Catalog'!$E$55+'Assumptions and Catalog'!$F$55,IF(((D527+E527)*C527)&lt;='Assumptions and Catalog'!$C$56,((D527+E527)*C527)*'Assumptions and Catalog'!$H$56+'Assumptions and Catalog'!$E$56+'Assumptions and Catalog'!$F$56,IF(((D527+E527)*C527)&lt;='Assumptions and Catalog'!$C$57,((D527+E527)*C527)*'Assumptions and Catalog'!$H$57+'Assumptions and Catalog'!$E$57+'Assumptions and Catalog'!$F$57,"Out of range")))))))),IF(((D527+E527)*C527)&lt;='Assumptions and Catalog'!$C$60,((D527+E527)*C527)*'Assumptions and Catalog'!$H$60+'Assumptions and Catalog'!$E$60+'Assumptions and Catalog'!$F$60,IF(((D527+E527)*C527)&lt;='Assumptions and Catalog'!$C$61,((D527+E527)*C527)*'Assumptions and Catalog'!$H$61+'Assumptions and Catalog'!$E$61+'Assumptions and Catalog'!$F$61,IF(((D527+E527)*C527)&lt;='Assumptions and Catalog'!$C$62,((D527+E527)*C527)*'Assumptions and Catalog'!$H$62+'Assumptions and Catalog'!$E$62+'Assumptions and Catalog'!$F$62,IF(((D527+E527)*C527)&lt;='Assumptions and Catalog'!$C$63,((D527+E527)*C527)*'Assumptions and Catalog'!$H$63+'Assumptions and Catalog'!$E$63+'Assumptions and Catalog'!$F$63,IF(((D527+E527)*C527)&lt;='Assumptions and Catalog'!$C$64,((D527+E527)*C527)*'Assumptions and Catalog'!$H$64+'Assumptions and Catalog'!$E$64+'Assumptions and Catalog'!$F$64,IF(((D527+E527)*C527)&lt;='Assumptions and Catalog'!$C$65,((D527+E527)*C527)*'Assumptions and Catalog'!$H$65+'Assumptions and Catalog'!$E$65+'Assumptions and Catalog'!$F$65,"Out of range")))))))))*(1+'Assumptions and Catalog'!$C$8)^(A527-1),0)</f>
        <v>8279</v>
      </c>
      <c r="N527" s="5">
        <f>IF(ISNUMBER(Inputs!$L$5),(IF(Inputs!$L$9="Actual flat rate",L527*Inputs!$L$10,IF(Inputs!$C$9="Residential",IF(L527&lt;='Assumptions and Catalog'!$C$50,L527*'Assumptions and Catalog'!$H$50+'Assumptions and Catalog'!$E$50+'Assumptions and Catalog'!$F$50,IF(L527&lt;='Assumptions and Catalog'!$C$51,L527*'Assumptions and Catalog'!$H$51+'Assumptions and Catalog'!$E$51+'Assumptions and Catalog'!$F$51,IF(L527&lt;='Assumptions and Catalog'!$C$52,L527*'Assumptions and Catalog'!$H$52+'Assumptions and Catalog'!$E$52+'Assumptions and Catalog'!$F$52,IF(L527&lt;='Assumptions and Catalog'!$C$53,L527*'Assumptions and Catalog'!$H$53+'Assumptions and Catalog'!$E$53+'Assumptions and Catalog'!$F$53,IF(L527&lt;='Assumptions and Catalog'!$C$54,L527*'Assumptions and Catalog'!$H$54+'Assumptions and Catalog'!$E$54+'Assumptions and Catalog'!$F$54,IF(L527&lt;='Assumptions and Catalog'!$C$55,L527*'Assumptions and Catalog'!$H$55+'Assumptions and Catalog'!$E$55+'Assumptions and Catalog'!$F$55,IF(L527&lt;='Assumptions and Catalog'!$C$56,L527*'Assumptions and Catalog'!$H$56+'Assumptions and Catalog'!$E$56+'Assumptions and Catalog'!$F$56,IF(L527&lt;='Assumptions and Catalog'!$C$57,L527*'Assumptions and Catalog'!$H$57+'Assumptions and Catalog'!$E$57+'Assumptions and Catalog'!$F$57,"Out of range")))))))),IF(L527&lt;='Assumptions and Catalog'!$C$60,L527*'Assumptions and Catalog'!$H$60+'Assumptions and Catalog'!$E$60+'Assumptions and Catalog'!$F$60,IF(L527&lt;='Assumptions and Catalog'!$C$61,L527*'Assumptions and Catalog'!$H$61+'Assumptions and Catalog'!$E$61+'Assumptions and Catalog'!$F$61,IF(L527&lt;='Assumptions and Catalog'!$C$62,L527*'Assumptions and Catalog'!$H$62+'Assumptions and Catalog'!$E$62+'Assumptions and Catalog'!$F$62,IF(L527&lt;='Assumptions and Catalog'!$C$63,L527*'Assumptions and Catalog'!$H$63+'Assumptions and Catalog'!$E$63+'Assumptions and Catalog'!$F$63,IF(L527&lt;='Assumptions and Catalog'!$C$64,L527*'Assumptions and Catalog'!$H$64+'Assumptions and Catalog'!$E$64+'Assumptions and Catalog'!$F$64,IF(L527&lt;='Assumptions and Catalog'!$C$65,L527*'Assumptions and Catalog'!$H$65+'Assumptions and Catalog'!$E$65+'Assumptions and Catalog'!$F$65,"Out of range")))))))))*(1+'Assumptions and Catalog'!$C$8)^(A527-1),0)</f>
        <v>8279</v>
      </c>
      <c r="O527" s="5">
        <f t="shared" si="39"/>
        <v>0</v>
      </c>
      <c r="P527" s="5">
        <f>D$55*(1-K$14)*(1-'Assumptions and Catalog'!$C$23)^R527</f>
        <v>0</v>
      </c>
      <c r="Q527" s="5">
        <f>IF(ISNUMBER(Inputs!$L$5),(IF(Inputs!$L$9="Actual flat rate",((D527+E527)*C527-G527)*Inputs!$L$10,IF(Inputs!$C$9="Residential",IF(((D527+E527)*C527-G527)&lt;='Assumptions and Catalog'!$C$50,((D527+E527)*C527-G527)*'Assumptions and Catalog'!$H$50+'Assumptions and Catalog'!$E$50+'Assumptions and Catalog'!$F$50,IF(((D527+E527)*C527-G527)&lt;='Assumptions and Catalog'!$C$51,((D527+E527)*C527-G527)*'Assumptions and Catalog'!$H$51+'Assumptions and Catalog'!$E$51+'Assumptions and Catalog'!$F$51,IF(((D527+E527)*C527-G527)&lt;='Assumptions and Catalog'!$C$52,((D527+E527)*C527-G527)*'Assumptions and Catalog'!$H$52+'Assumptions and Catalog'!$E$52+'Assumptions and Catalog'!$F$52,IF(((D527+E527)*C527-G527)&lt;='Assumptions and Catalog'!$C$53,((D527+E527)*C527-G527)*'Assumptions and Catalog'!$H$53+'Assumptions and Catalog'!$E$53+'Assumptions and Catalog'!$F$53,IF(((D527+E527)*C527-G527)&lt;='Assumptions and Catalog'!$C$54,((D527+E527)*C527-G527)*'Assumptions and Catalog'!$H$54+'Assumptions and Catalog'!$E$54+'Assumptions and Catalog'!$F$54,IF(((D527+E527)*C527-G527)&lt;='Assumptions and Catalog'!$C$55,((D527+E527)*C527-G527)*'Assumptions and Catalog'!$H$55+'Assumptions and Catalog'!$E$55+'Assumptions and Catalog'!$F$55,IF(((D527+E527)*C527-G527)&lt;='Assumptions and Catalog'!$C$56,((D527+E527)*C527-G527)*'Assumptions and Catalog'!$H$56+'Assumptions and Catalog'!$E$56+'Assumptions and Catalog'!$F$56,IF(((D527+E527)*C527-G527)&lt;='Assumptions and Catalog'!$C$57,((D527+E527)*C527-G527)*'Assumptions and Catalog'!$H$57+'Assumptions and Catalog'!$E$57+'Assumptions and Catalog'!$F$57,"Out of range")))))))),IF(((D527+E527)*C527-G527)&lt;='Assumptions and Catalog'!$C$60,((D527+E527)*C527-G527)*'Assumptions and Catalog'!$H$60+'Assumptions and Catalog'!$E$60+'Assumptions and Catalog'!$F$60,IF(((D527+E527)*C527-G527)&lt;='Assumptions and Catalog'!$C$61,((D527+E527)*C527-G527)*'Assumptions and Catalog'!$H$61+'Assumptions and Catalog'!$E$61+'Assumptions and Catalog'!$F$61,IF(((D527+E527)*C527-G527)&lt;='Assumptions and Catalog'!$C$62,((D527+E527)*C527-G527)*'Assumptions and Catalog'!$H$62+'Assumptions and Catalog'!$E$62+'Assumptions and Catalog'!$F$62,IF(((D527+E527)*C527-G527)&lt;='Assumptions and Catalog'!$C$63,((D527+E527)*C527-G527)*'Assumptions and Catalog'!$H$63+'Assumptions and Catalog'!$E$63+'Assumptions and Catalog'!$F$63,IF(((D527+E527)*C527-G527)&lt;='Assumptions and Catalog'!$C$64,((D527+E527)*C527-G527)*'Assumptions and Catalog'!$H$64+'Assumptions and Catalog'!$E$64+'Assumptions and Catalog'!$F$64,IF(((D527+E527)*C527-G527)&lt;='Assumptions and Catalog'!$C$65,((D527+E527)*C527-G527)*'Assumptions and Catalog'!$H$65+'Assumptions and Catalog'!$E$65+'Assumptions and Catalog'!$F$65,"Out of range")))))))))*(1+'Assumptions and Catalog'!$C$8)^(A527-1),0)</f>
        <v>8279</v>
      </c>
      <c r="R527" s="5">
        <f>IF(AND('Assumptions and Catalog'!$C$19&gt;0,A527&gt;='Assumptions and Catalog'!$C$19),A527-'Assumptions and Catalog'!$C$19,A527-1)</f>
        <v>9</v>
      </c>
      <c r="S527" s="5">
        <f>F527+L527-(D527+E527)*C527-J527-K527-IF(D$52&gt;0,'Assumptions and Catalog'!$C$26*C527,0)</f>
        <v>0</v>
      </c>
      <c r="T527" s="5"/>
      <c r="U527" s="5"/>
    </row>
    <row r="528" spans="1:21" ht="23.1" customHeight="1" outlineLevel="1" x14ac:dyDescent="0.2">
      <c r="A528" s="5">
        <v>10</v>
      </c>
      <c r="B528" s="5">
        <v>10</v>
      </c>
      <c r="C528" s="5">
        <f>DAY(DATE('Assumptions and Catalog'!$C$24+A528-1,B528+1,0))</f>
        <v>31</v>
      </c>
      <c r="D528" s="5">
        <f>IF(ISNUMBER(Inputs!$L$5),Inputs!$L$5*Inputs!$L$6,0)</f>
        <v>40.35</v>
      </c>
      <c r="E528" s="5">
        <f>IF(ISNUMBER(Inputs!$L$5),Inputs!$L$5-D528,0)</f>
        <v>40.35</v>
      </c>
      <c r="F528" s="5">
        <f>D$51*'Assumptions and Catalog'!$C$31*C528*(1-'Assumptions and Catalog'!$C$10)^(A528-1)</f>
        <v>0</v>
      </c>
      <c r="G528" s="5">
        <f t="shared" si="36"/>
        <v>0</v>
      </c>
      <c r="H528" s="5">
        <f>I528/('Assumptions and Catalog'!$C$11*'Assumptions and Catalog'!$C$12)</f>
        <v>0</v>
      </c>
      <c r="I528" s="5">
        <f>IF(K$15="Grid cycle",MIN(K$16,D528+E528,P528*'Assumptions and Catalog'!$C$12,D$57*(24-'Assumptions and Catalog'!$C$15),D$56*'Assumptions and Catalog'!$C$15*'Assumptions and Catalog'!$C$11*'Assumptions and Catalog'!$C$12)*C528,0)</f>
        <v>0</v>
      </c>
      <c r="J528" s="5">
        <f t="shared" si="37"/>
        <v>0</v>
      </c>
      <c r="K528" s="5">
        <f t="shared" si="38"/>
        <v>0</v>
      </c>
      <c r="L528" s="5">
        <f>(D528+E528)*C528-G528-I528+H528+IF(D$52&gt;0,'Assumptions and Catalog'!$C$26*C528,0)</f>
        <v>2501.7000000000003</v>
      </c>
      <c r="M528" s="5">
        <f>IF(ISNUMBER(Inputs!$L$5),(IF(Inputs!$L$9="Actual flat rate",((D528+E528)*C528)*Inputs!$L$10,IF(Inputs!$C$9="Residential",IF(((D528+E528)*C528)&lt;='Assumptions and Catalog'!$C$50,((D528+E528)*C528)*'Assumptions and Catalog'!$H$50+'Assumptions and Catalog'!$E$50+'Assumptions and Catalog'!$F$50,IF(((D528+E528)*C528)&lt;='Assumptions and Catalog'!$C$51,((D528+E528)*C528)*'Assumptions and Catalog'!$H$51+'Assumptions and Catalog'!$E$51+'Assumptions and Catalog'!$F$51,IF(((D528+E528)*C528)&lt;='Assumptions and Catalog'!$C$52,((D528+E528)*C528)*'Assumptions and Catalog'!$H$52+'Assumptions and Catalog'!$E$52+'Assumptions and Catalog'!$F$52,IF(((D528+E528)*C528)&lt;='Assumptions and Catalog'!$C$53,((D528+E528)*C528)*'Assumptions and Catalog'!$H$53+'Assumptions and Catalog'!$E$53+'Assumptions and Catalog'!$F$53,IF(((D528+E528)*C528)&lt;='Assumptions and Catalog'!$C$54,((D528+E528)*C528)*'Assumptions and Catalog'!$H$54+'Assumptions and Catalog'!$E$54+'Assumptions and Catalog'!$F$54,IF(((D528+E528)*C528)&lt;='Assumptions and Catalog'!$C$55,((D528+E528)*C528)*'Assumptions and Catalog'!$H$55+'Assumptions and Catalog'!$E$55+'Assumptions and Catalog'!$F$55,IF(((D528+E528)*C528)&lt;='Assumptions and Catalog'!$C$56,((D528+E528)*C528)*'Assumptions and Catalog'!$H$56+'Assumptions and Catalog'!$E$56+'Assumptions and Catalog'!$F$56,IF(((D528+E528)*C528)&lt;='Assumptions and Catalog'!$C$57,((D528+E528)*C528)*'Assumptions and Catalog'!$H$57+'Assumptions and Catalog'!$E$57+'Assumptions and Catalog'!$F$57,"Out of range")))))))),IF(((D528+E528)*C528)&lt;='Assumptions and Catalog'!$C$60,((D528+E528)*C528)*'Assumptions and Catalog'!$H$60+'Assumptions and Catalog'!$E$60+'Assumptions and Catalog'!$F$60,IF(((D528+E528)*C528)&lt;='Assumptions and Catalog'!$C$61,((D528+E528)*C528)*'Assumptions and Catalog'!$H$61+'Assumptions and Catalog'!$E$61+'Assumptions and Catalog'!$F$61,IF(((D528+E528)*C528)&lt;='Assumptions and Catalog'!$C$62,((D528+E528)*C528)*'Assumptions and Catalog'!$H$62+'Assumptions and Catalog'!$E$62+'Assumptions and Catalog'!$F$62,IF(((D528+E528)*C528)&lt;='Assumptions and Catalog'!$C$63,((D528+E528)*C528)*'Assumptions and Catalog'!$H$63+'Assumptions and Catalog'!$E$63+'Assumptions and Catalog'!$F$63,IF(((D528+E528)*C528)&lt;='Assumptions and Catalog'!$C$64,((D528+E528)*C528)*'Assumptions and Catalog'!$H$64+'Assumptions and Catalog'!$E$64+'Assumptions and Catalog'!$F$64,IF(((D528+E528)*C528)&lt;='Assumptions and Catalog'!$C$65,((D528+E528)*C528)*'Assumptions and Catalog'!$H$65+'Assumptions and Catalog'!$E$65+'Assumptions and Catalog'!$F$65,"Out of range")))))))))*(1+'Assumptions and Catalog'!$C$8)^(A528-1),0)</f>
        <v>8554.9666666666672</v>
      </c>
      <c r="N528" s="5">
        <f>IF(ISNUMBER(Inputs!$L$5),(IF(Inputs!$L$9="Actual flat rate",L528*Inputs!$L$10,IF(Inputs!$C$9="Residential",IF(L528&lt;='Assumptions and Catalog'!$C$50,L528*'Assumptions and Catalog'!$H$50+'Assumptions and Catalog'!$E$50+'Assumptions and Catalog'!$F$50,IF(L528&lt;='Assumptions and Catalog'!$C$51,L528*'Assumptions and Catalog'!$H$51+'Assumptions and Catalog'!$E$51+'Assumptions and Catalog'!$F$51,IF(L528&lt;='Assumptions and Catalog'!$C$52,L528*'Assumptions and Catalog'!$H$52+'Assumptions and Catalog'!$E$52+'Assumptions and Catalog'!$F$52,IF(L528&lt;='Assumptions and Catalog'!$C$53,L528*'Assumptions and Catalog'!$H$53+'Assumptions and Catalog'!$E$53+'Assumptions and Catalog'!$F$53,IF(L528&lt;='Assumptions and Catalog'!$C$54,L528*'Assumptions and Catalog'!$H$54+'Assumptions and Catalog'!$E$54+'Assumptions and Catalog'!$F$54,IF(L528&lt;='Assumptions and Catalog'!$C$55,L528*'Assumptions and Catalog'!$H$55+'Assumptions and Catalog'!$E$55+'Assumptions and Catalog'!$F$55,IF(L528&lt;='Assumptions and Catalog'!$C$56,L528*'Assumptions and Catalog'!$H$56+'Assumptions and Catalog'!$E$56+'Assumptions and Catalog'!$F$56,IF(L528&lt;='Assumptions and Catalog'!$C$57,L528*'Assumptions and Catalog'!$H$57+'Assumptions and Catalog'!$E$57+'Assumptions and Catalog'!$F$57,"Out of range")))))))),IF(L528&lt;='Assumptions and Catalog'!$C$60,L528*'Assumptions and Catalog'!$H$60+'Assumptions and Catalog'!$E$60+'Assumptions and Catalog'!$F$60,IF(L528&lt;='Assumptions and Catalog'!$C$61,L528*'Assumptions and Catalog'!$H$61+'Assumptions and Catalog'!$E$61+'Assumptions and Catalog'!$F$61,IF(L528&lt;='Assumptions and Catalog'!$C$62,L528*'Assumptions and Catalog'!$H$62+'Assumptions and Catalog'!$E$62+'Assumptions and Catalog'!$F$62,IF(L528&lt;='Assumptions and Catalog'!$C$63,L528*'Assumptions and Catalog'!$H$63+'Assumptions and Catalog'!$E$63+'Assumptions and Catalog'!$F$63,IF(L528&lt;='Assumptions and Catalog'!$C$64,L528*'Assumptions and Catalog'!$H$64+'Assumptions and Catalog'!$E$64+'Assumptions and Catalog'!$F$64,IF(L528&lt;='Assumptions and Catalog'!$C$65,L528*'Assumptions and Catalog'!$H$65+'Assumptions and Catalog'!$E$65+'Assumptions and Catalog'!$F$65,"Out of range")))))))))*(1+'Assumptions and Catalog'!$C$8)^(A528-1),0)</f>
        <v>8554.9666666666672</v>
      </c>
      <c r="O528" s="5">
        <f t="shared" si="39"/>
        <v>0</v>
      </c>
      <c r="P528" s="5">
        <f>D$55*(1-K$14)*(1-'Assumptions and Catalog'!$C$23)^R528</f>
        <v>0</v>
      </c>
      <c r="Q528" s="5">
        <f>IF(ISNUMBER(Inputs!$L$5),(IF(Inputs!$L$9="Actual flat rate",((D528+E528)*C528-G528)*Inputs!$L$10,IF(Inputs!$C$9="Residential",IF(((D528+E528)*C528-G528)&lt;='Assumptions and Catalog'!$C$50,((D528+E528)*C528-G528)*'Assumptions and Catalog'!$H$50+'Assumptions and Catalog'!$E$50+'Assumptions and Catalog'!$F$50,IF(((D528+E528)*C528-G528)&lt;='Assumptions and Catalog'!$C$51,((D528+E528)*C528-G528)*'Assumptions and Catalog'!$H$51+'Assumptions and Catalog'!$E$51+'Assumptions and Catalog'!$F$51,IF(((D528+E528)*C528-G528)&lt;='Assumptions and Catalog'!$C$52,((D528+E528)*C528-G528)*'Assumptions and Catalog'!$H$52+'Assumptions and Catalog'!$E$52+'Assumptions and Catalog'!$F$52,IF(((D528+E528)*C528-G528)&lt;='Assumptions and Catalog'!$C$53,((D528+E528)*C528-G528)*'Assumptions and Catalog'!$H$53+'Assumptions and Catalog'!$E$53+'Assumptions and Catalog'!$F$53,IF(((D528+E528)*C528-G528)&lt;='Assumptions and Catalog'!$C$54,((D528+E528)*C528-G528)*'Assumptions and Catalog'!$H$54+'Assumptions and Catalog'!$E$54+'Assumptions and Catalog'!$F$54,IF(((D528+E528)*C528-G528)&lt;='Assumptions and Catalog'!$C$55,((D528+E528)*C528-G528)*'Assumptions and Catalog'!$H$55+'Assumptions and Catalog'!$E$55+'Assumptions and Catalog'!$F$55,IF(((D528+E528)*C528-G528)&lt;='Assumptions and Catalog'!$C$56,((D528+E528)*C528-G528)*'Assumptions and Catalog'!$H$56+'Assumptions and Catalog'!$E$56+'Assumptions and Catalog'!$F$56,IF(((D528+E528)*C528-G528)&lt;='Assumptions and Catalog'!$C$57,((D528+E528)*C528-G528)*'Assumptions and Catalog'!$H$57+'Assumptions and Catalog'!$E$57+'Assumptions and Catalog'!$F$57,"Out of range")))))))),IF(((D528+E528)*C528-G528)&lt;='Assumptions and Catalog'!$C$60,((D528+E528)*C528-G528)*'Assumptions and Catalog'!$H$60+'Assumptions and Catalog'!$E$60+'Assumptions and Catalog'!$F$60,IF(((D528+E528)*C528-G528)&lt;='Assumptions and Catalog'!$C$61,((D528+E528)*C528-G528)*'Assumptions and Catalog'!$H$61+'Assumptions and Catalog'!$E$61+'Assumptions and Catalog'!$F$61,IF(((D528+E528)*C528-G528)&lt;='Assumptions and Catalog'!$C$62,((D528+E528)*C528-G528)*'Assumptions and Catalog'!$H$62+'Assumptions and Catalog'!$E$62+'Assumptions and Catalog'!$F$62,IF(((D528+E528)*C528-G528)&lt;='Assumptions and Catalog'!$C$63,((D528+E528)*C528-G528)*'Assumptions and Catalog'!$H$63+'Assumptions and Catalog'!$E$63+'Assumptions and Catalog'!$F$63,IF(((D528+E528)*C528-G528)&lt;='Assumptions and Catalog'!$C$64,((D528+E528)*C528-G528)*'Assumptions and Catalog'!$H$64+'Assumptions and Catalog'!$E$64+'Assumptions and Catalog'!$F$64,IF(((D528+E528)*C528-G528)&lt;='Assumptions and Catalog'!$C$65,((D528+E528)*C528-G528)*'Assumptions and Catalog'!$H$65+'Assumptions and Catalog'!$E$65+'Assumptions and Catalog'!$F$65,"Out of range")))))))))*(1+'Assumptions and Catalog'!$C$8)^(A528-1),0)</f>
        <v>8554.9666666666672</v>
      </c>
      <c r="R528" s="5">
        <f>IF(AND('Assumptions and Catalog'!$C$19&gt;0,A528&gt;='Assumptions and Catalog'!$C$19),A528-'Assumptions and Catalog'!$C$19,A528-1)</f>
        <v>9</v>
      </c>
      <c r="S528" s="5">
        <f>F528+L528-(D528+E528)*C528-J528-K528-IF(D$52&gt;0,'Assumptions and Catalog'!$C$26*C528,0)</f>
        <v>0</v>
      </c>
      <c r="T528" s="5"/>
      <c r="U528" s="5"/>
    </row>
    <row r="529" spans="1:21" ht="23.1" customHeight="1" outlineLevel="1" x14ac:dyDescent="0.2">
      <c r="A529" s="5">
        <v>10</v>
      </c>
      <c r="B529" s="5">
        <v>11</v>
      </c>
      <c r="C529" s="5">
        <f>DAY(DATE('Assumptions and Catalog'!$C$24+A529-1,B529+1,0))</f>
        <v>30</v>
      </c>
      <c r="D529" s="5">
        <f>IF(ISNUMBER(Inputs!$L$5),Inputs!$L$5*Inputs!$L$6,0)</f>
        <v>40.35</v>
      </c>
      <c r="E529" s="5">
        <f>IF(ISNUMBER(Inputs!$L$5),Inputs!$L$5-D529,0)</f>
        <v>40.35</v>
      </c>
      <c r="F529" s="5">
        <f>D$51*'Assumptions and Catalog'!$C$31*C529*(1-'Assumptions and Catalog'!$C$10)^(A529-1)</f>
        <v>0</v>
      </c>
      <c r="G529" s="5">
        <f t="shared" si="36"/>
        <v>0</v>
      </c>
      <c r="H529" s="5">
        <f>I529/('Assumptions and Catalog'!$C$11*'Assumptions and Catalog'!$C$12)</f>
        <v>0</v>
      </c>
      <c r="I529" s="5">
        <f>IF(K$15="Grid cycle",MIN(K$16,D529+E529,P529*'Assumptions and Catalog'!$C$12,D$57*(24-'Assumptions and Catalog'!$C$15),D$56*'Assumptions and Catalog'!$C$15*'Assumptions and Catalog'!$C$11*'Assumptions and Catalog'!$C$12)*C529,0)</f>
        <v>0</v>
      </c>
      <c r="J529" s="5">
        <f t="shared" si="37"/>
        <v>0</v>
      </c>
      <c r="K529" s="5">
        <f t="shared" si="38"/>
        <v>0</v>
      </c>
      <c r="L529" s="5">
        <f>(D529+E529)*C529-G529-I529+H529+IF(D$52&gt;0,'Assumptions and Catalog'!$C$26*C529,0)</f>
        <v>2421</v>
      </c>
      <c r="M529" s="5">
        <f>IF(ISNUMBER(Inputs!$L$5),(IF(Inputs!$L$9="Actual flat rate",((D529+E529)*C529)*Inputs!$L$10,IF(Inputs!$C$9="Residential",IF(((D529+E529)*C529)&lt;='Assumptions and Catalog'!$C$50,((D529+E529)*C529)*'Assumptions and Catalog'!$H$50+'Assumptions and Catalog'!$E$50+'Assumptions and Catalog'!$F$50,IF(((D529+E529)*C529)&lt;='Assumptions and Catalog'!$C$51,((D529+E529)*C529)*'Assumptions and Catalog'!$H$51+'Assumptions and Catalog'!$E$51+'Assumptions and Catalog'!$F$51,IF(((D529+E529)*C529)&lt;='Assumptions and Catalog'!$C$52,((D529+E529)*C529)*'Assumptions and Catalog'!$H$52+'Assumptions and Catalog'!$E$52+'Assumptions and Catalog'!$F$52,IF(((D529+E529)*C529)&lt;='Assumptions and Catalog'!$C$53,((D529+E529)*C529)*'Assumptions and Catalog'!$H$53+'Assumptions and Catalog'!$E$53+'Assumptions and Catalog'!$F$53,IF(((D529+E529)*C529)&lt;='Assumptions and Catalog'!$C$54,((D529+E529)*C529)*'Assumptions and Catalog'!$H$54+'Assumptions and Catalog'!$E$54+'Assumptions and Catalog'!$F$54,IF(((D529+E529)*C529)&lt;='Assumptions and Catalog'!$C$55,((D529+E529)*C529)*'Assumptions and Catalog'!$H$55+'Assumptions and Catalog'!$E$55+'Assumptions and Catalog'!$F$55,IF(((D529+E529)*C529)&lt;='Assumptions and Catalog'!$C$56,((D529+E529)*C529)*'Assumptions and Catalog'!$H$56+'Assumptions and Catalog'!$E$56+'Assumptions and Catalog'!$F$56,IF(((D529+E529)*C529)&lt;='Assumptions and Catalog'!$C$57,((D529+E529)*C529)*'Assumptions and Catalog'!$H$57+'Assumptions and Catalog'!$E$57+'Assumptions and Catalog'!$F$57,"Out of range")))))))),IF(((D529+E529)*C529)&lt;='Assumptions and Catalog'!$C$60,((D529+E529)*C529)*'Assumptions and Catalog'!$H$60+'Assumptions and Catalog'!$E$60+'Assumptions and Catalog'!$F$60,IF(((D529+E529)*C529)&lt;='Assumptions and Catalog'!$C$61,((D529+E529)*C529)*'Assumptions and Catalog'!$H$61+'Assumptions and Catalog'!$E$61+'Assumptions and Catalog'!$F$61,IF(((D529+E529)*C529)&lt;='Assumptions and Catalog'!$C$62,((D529+E529)*C529)*'Assumptions and Catalog'!$H$62+'Assumptions and Catalog'!$E$62+'Assumptions and Catalog'!$F$62,IF(((D529+E529)*C529)&lt;='Assumptions and Catalog'!$C$63,((D529+E529)*C529)*'Assumptions and Catalog'!$H$63+'Assumptions and Catalog'!$E$63+'Assumptions and Catalog'!$F$63,IF(((D529+E529)*C529)&lt;='Assumptions and Catalog'!$C$64,((D529+E529)*C529)*'Assumptions and Catalog'!$H$64+'Assumptions and Catalog'!$E$64+'Assumptions and Catalog'!$F$64,IF(((D529+E529)*C529)&lt;='Assumptions and Catalog'!$C$65,((D529+E529)*C529)*'Assumptions and Catalog'!$H$65+'Assumptions and Catalog'!$E$65+'Assumptions and Catalog'!$F$65,"Out of range")))))))))*(1+'Assumptions and Catalog'!$C$8)^(A529-1),0)</f>
        <v>8279</v>
      </c>
      <c r="N529" s="5">
        <f>IF(ISNUMBER(Inputs!$L$5),(IF(Inputs!$L$9="Actual flat rate",L529*Inputs!$L$10,IF(Inputs!$C$9="Residential",IF(L529&lt;='Assumptions and Catalog'!$C$50,L529*'Assumptions and Catalog'!$H$50+'Assumptions and Catalog'!$E$50+'Assumptions and Catalog'!$F$50,IF(L529&lt;='Assumptions and Catalog'!$C$51,L529*'Assumptions and Catalog'!$H$51+'Assumptions and Catalog'!$E$51+'Assumptions and Catalog'!$F$51,IF(L529&lt;='Assumptions and Catalog'!$C$52,L529*'Assumptions and Catalog'!$H$52+'Assumptions and Catalog'!$E$52+'Assumptions and Catalog'!$F$52,IF(L529&lt;='Assumptions and Catalog'!$C$53,L529*'Assumptions and Catalog'!$H$53+'Assumptions and Catalog'!$E$53+'Assumptions and Catalog'!$F$53,IF(L529&lt;='Assumptions and Catalog'!$C$54,L529*'Assumptions and Catalog'!$H$54+'Assumptions and Catalog'!$E$54+'Assumptions and Catalog'!$F$54,IF(L529&lt;='Assumptions and Catalog'!$C$55,L529*'Assumptions and Catalog'!$H$55+'Assumptions and Catalog'!$E$55+'Assumptions and Catalog'!$F$55,IF(L529&lt;='Assumptions and Catalog'!$C$56,L529*'Assumptions and Catalog'!$H$56+'Assumptions and Catalog'!$E$56+'Assumptions and Catalog'!$F$56,IF(L529&lt;='Assumptions and Catalog'!$C$57,L529*'Assumptions and Catalog'!$H$57+'Assumptions and Catalog'!$E$57+'Assumptions and Catalog'!$F$57,"Out of range")))))))),IF(L529&lt;='Assumptions and Catalog'!$C$60,L529*'Assumptions and Catalog'!$H$60+'Assumptions and Catalog'!$E$60+'Assumptions and Catalog'!$F$60,IF(L529&lt;='Assumptions and Catalog'!$C$61,L529*'Assumptions and Catalog'!$H$61+'Assumptions and Catalog'!$E$61+'Assumptions and Catalog'!$F$61,IF(L529&lt;='Assumptions and Catalog'!$C$62,L529*'Assumptions and Catalog'!$H$62+'Assumptions and Catalog'!$E$62+'Assumptions and Catalog'!$F$62,IF(L529&lt;='Assumptions and Catalog'!$C$63,L529*'Assumptions and Catalog'!$H$63+'Assumptions and Catalog'!$E$63+'Assumptions and Catalog'!$F$63,IF(L529&lt;='Assumptions and Catalog'!$C$64,L529*'Assumptions and Catalog'!$H$64+'Assumptions and Catalog'!$E$64+'Assumptions and Catalog'!$F$64,IF(L529&lt;='Assumptions and Catalog'!$C$65,L529*'Assumptions and Catalog'!$H$65+'Assumptions and Catalog'!$E$65+'Assumptions and Catalog'!$F$65,"Out of range")))))))))*(1+'Assumptions and Catalog'!$C$8)^(A529-1),0)</f>
        <v>8279</v>
      </c>
      <c r="O529" s="5">
        <f t="shared" si="39"/>
        <v>0</v>
      </c>
      <c r="P529" s="5">
        <f>D$55*(1-K$14)*(1-'Assumptions and Catalog'!$C$23)^R529</f>
        <v>0</v>
      </c>
      <c r="Q529" s="5">
        <f>IF(ISNUMBER(Inputs!$L$5),(IF(Inputs!$L$9="Actual flat rate",((D529+E529)*C529-G529)*Inputs!$L$10,IF(Inputs!$C$9="Residential",IF(((D529+E529)*C529-G529)&lt;='Assumptions and Catalog'!$C$50,((D529+E529)*C529-G529)*'Assumptions and Catalog'!$H$50+'Assumptions and Catalog'!$E$50+'Assumptions and Catalog'!$F$50,IF(((D529+E529)*C529-G529)&lt;='Assumptions and Catalog'!$C$51,((D529+E529)*C529-G529)*'Assumptions and Catalog'!$H$51+'Assumptions and Catalog'!$E$51+'Assumptions and Catalog'!$F$51,IF(((D529+E529)*C529-G529)&lt;='Assumptions and Catalog'!$C$52,((D529+E529)*C529-G529)*'Assumptions and Catalog'!$H$52+'Assumptions and Catalog'!$E$52+'Assumptions and Catalog'!$F$52,IF(((D529+E529)*C529-G529)&lt;='Assumptions and Catalog'!$C$53,((D529+E529)*C529-G529)*'Assumptions and Catalog'!$H$53+'Assumptions and Catalog'!$E$53+'Assumptions and Catalog'!$F$53,IF(((D529+E529)*C529-G529)&lt;='Assumptions and Catalog'!$C$54,((D529+E529)*C529-G529)*'Assumptions and Catalog'!$H$54+'Assumptions and Catalog'!$E$54+'Assumptions and Catalog'!$F$54,IF(((D529+E529)*C529-G529)&lt;='Assumptions and Catalog'!$C$55,((D529+E529)*C529-G529)*'Assumptions and Catalog'!$H$55+'Assumptions and Catalog'!$E$55+'Assumptions and Catalog'!$F$55,IF(((D529+E529)*C529-G529)&lt;='Assumptions and Catalog'!$C$56,((D529+E529)*C529-G529)*'Assumptions and Catalog'!$H$56+'Assumptions and Catalog'!$E$56+'Assumptions and Catalog'!$F$56,IF(((D529+E529)*C529-G529)&lt;='Assumptions and Catalog'!$C$57,((D529+E529)*C529-G529)*'Assumptions and Catalog'!$H$57+'Assumptions and Catalog'!$E$57+'Assumptions and Catalog'!$F$57,"Out of range")))))))),IF(((D529+E529)*C529-G529)&lt;='Assumptions and Catalog'!$C$60,((D529+E529)*C529-G529)*'Assumptions and Catalog'!$H$60+'Assumptions and Catalog'!$E$60+'Assumptions and Catalog'!$F$60,IF(((D529+E529)*C529-G529)&lt;='Assumptions and Catalog'!$C$61,((D529+E529)*C529-G529)*'Assumptions and Catalog'!$H$61+'Assumptions and Catalog'!$E$61+'Assumptions and Catalog'!$F$61,IF(((D529+E529)*C529-G529)&lt;='Assumptions and Catalog'!$C$62,((D529+E529)*C529-G529)*'Assumptions and Catalog'!$H$62+'Assumptions and Catalog'!$E$62+'Assumptions and Catalog'!$F$62,IF(((D529+E529)*C529-G529)&lt;='Assumptions and Catalog'!$C$63,((D529+E529)*C529-G529)*'Assumptions and Catalog'!$H$63+'Assumptions and Catalog'!$E$63+'Assumptions and Catalog'!$F$63,IF(((D529+E529)*C529-G529)&lt;='Assumptions and Catalog'!$C$64,((D529+E529)*C529-G529)*'Assumptions and Catalog'!$H$64+'Assumptions and Catalog'!$E$64+'Assumptions and Catalog'!$F$64,IF(((D529+E529)*C529-G529)&lt;='Assumptions and Catalog'!$C$65,((D529+E529)*C529-G529)*'Assumptions and Catalog'!$H$65+'Assumptions and Catalog'!$E$65+'Assumptions and Catalog'!$F$65,"Out of range")))))))))*(1+'Assumptions and Catalog'!$C$8)^(A529-1),0)</f>
        <v>8279</v>
      </c>
      <c r="R529" s="5">
        <f>IF(AND('Assumptions and Catalog'!$C$19&gt;0,A529&gt;='Assumptions and Catalog'!$C$19),A529-'Assumptions and Catalog'!$C$19,A529-1)</f>
        <v>9</v>
      </c>
      <c r="S529" s="5">
        <f>F529+L529-(D529+E529)*C529-J529-K529-IF(D$52&gt;0,'Assumptions and Catalog'!$C$26*C529,0)</f>
        <v>0</v>
      </c>
      <c r="T529" s="5"/>
      <c r="U529" s="5"/>
    </row>
    <row r="530" spans="1:21" ht="23.1" customHeight="1" outlineLevel="1" x14ac:dyDescent="0.2">
      <c r="A530" s="5">
        <v>10</v>
      </c>
      <c r="B530" s="5">
        <v>12</v>
      </c>
      <c r="C530" s="5">
        <f>DAY(DATE('Assumptions and Catalog'!$C$24+A530-1,B530+1,0))</f>
        <v>31</v>
      </c>
      <c r="D530" s="5">
        <f>IF(ISNUMBER(Inputs!$L$5),Inputs!$L$5*Inputs!$L$6,0)</f>
        <v>40.35</v>
      </c>
      <c r="E530" s="5">
        <f>IF(ISNUMBER(Inputs!$L$5),Inputs!$L$5-D530,0)</f>
        <v>40.35</v>
      </c>
      <c r="F530" s="5">
        <f>D$51*'Assumptions and Catalog'!$C$31*C530*(1-'Assumptions and Catalog'!$C$10)^(A530-1)</f>
        <v>0</v>
      </c>
      <c r="G530" s="5">
        <f t="shared" si="36"/>
        <v>0</v>
      </c>
      <c r="H530" s="5">
        <f>I530/('Assumptions and Catalog'!$C$11*'Assumptions and Catalog'!$C$12)</f>
        <v>0</v>
      </c>
      <c r="I530" s="5">
        <f>IF(K$15="Grid cycle",MIN(K$16,D530+E530,P530*'Assumptions and Catalog'!$C$12,D$57*(24-'Assumptions and Catalog'!$C$15),D$56*'Assumptions and Catalog'!$C$15*'Assumptions and Catalog'!$C$11*'Assumptions and Catalog'!$C$12)*C530,0)</f>
        <v>0</v>
      </c>
      <c r="J530" s="5">
        <f t="shared" si="37"/>
        <v>0</v>
      </c>
      <c r="K530" s="5">
        <f t="shared" si="38"/>
        <v>0</v>
      </c>
      <c r="L530" s="5">
        <f>(D530+E530)*C530-G530-I530+H530+IF(D$52&gt;0,'Assumptions and Catalog'!$C$26*C530,0)</f>
        <v>2501.7000000000003</v>
      </c>
      <c r="M530" s="5">
        <f>IF(ISNUMBER(Inputs!$L$5),(IF(Inputs!$L$9="Actual flat rate",((D530+E530)*C530)*Inputs!$L$10,IF(Inputs!$C$9="Residential",IF(((D530+E530)*C530)&lt;='Assumptions and Catalog'!$C$50,((D530+E530)*C530)*'Assumptions and Catalog'!$H$50+'Assumptions and Catalog'!$E$50+'Assumptions and Catalog'!$F$50,IF(((D530+E530)*C530)&lt;='Assumptions and Catalog'!$C$51,((D530+E530)*C530)*'Assumptions and Catalog'!$H$51+'Assumptions and Catalog'!$E$51+'Assumptions and Catalog'!$F$51,IF(((D530+E530)*C530)&lt;='Assumptions and Catalog'!$C$52,((D530+E530)*C530)*'Assumptions and Catalog'!$H$52+'Assumptions and Catalog'!$E$52+'Assumptions and Catalog'!$F$52,IF(((D530+E530)*C530)&lt;='Assumptions and Catalog'!$C$53,((D530+E530)*C530)*'Assumptions and Catalog'!$H$53+'Assumptions and Catalog'!$E$53+'Assumptions and Catalog'!$F$53,IF(((D530+E530)*C530)&lt;='Assumptions and Catalog'!$C$54,((D530+E530)*C530)*'Assumptions and Catalog'!$H$54+'Assumptions and Catalog'!$E$54+'Assumptions and Catalog'!$F$54,IF(((D530+E530)*C530)&lt;='Assumptions and Catalog'!$C$55,((D530+E530)*C530)*'Assumptions and Catalog'!$H$55+'Assumptions and Catalog'!$E$55+'Assumptions and Catalog'!$F$55,IF(((D530+E530)*C530)&lt;='Assumptions and Catalog'!$C$56,((D530+E530)*C530)*'Assumptions and Catalog'!$H$56+'Assumptions and Catalog'!$E$56+'Assumptions and Catalog'!$F$56,IF(((D530+E530)*C530)&lt;='Assumptions and Catalog'!$C$57,((D530+E530)*C530)*'Assumptions and Catalog'!$H$57+'Assumptions and Catalog'!$E$57+'Assumptions and Catalog'!$F$57,"Out of range")))))))),IF(((D530+E530)*C530)&lt;='Assumptions and Catalog'!$C$60,((D530+E530)*C530)*'Assumptions and Catalog'!$H$60+'Assumptions and Catalog'!$E$60+'Assumptions and Catalog'!$F$60,IF(((D530+E530)*C530)&lt;='Assumptions and Catalog'!$C$61,((D530+E530)*C530)*'Assumptions and Catalog'!$H$61+'Assumptions and Catalog'!$E$61+'Assumptions and Catalog'!$F$61,IF(((D530+E530)*C530)&lt;='Assumptions and Catalog'!$C$62,((D530+E530)*C530)*'Assumptions and Catalog'!$H$62+'Assumptions and Catalog'!$E$62+'Assumptions and Catalog'!$F$62,IF(((D530+E530)*C530)&lt;='Assumptions and Catalog'!$C$63,((D530+E530)*C530)*'Assumptions and Catalog'!$H$63+'Assumptions and Catalog'!$E$63+'Assumptions and Catalog'!$F$63,IF(((D530+E530)*C530)&lt;='Assumptions and Catalog'!$C$64,((D530+E530)*C530)*'Assumptions and Catalog'!$H$64+'Assumptions and Catalog'!$E$64+'Assumptions and Catalog'!$F$64,IF(((D530+E530)*C530)&lt;='Assumptions and Catalog'!$C$65,((D530+E530)*C530)*'Assumptions and Catalog'!$H$65+'Assumptions and Catalog'!$E$65+'Assumptions and Catalog'!$F$65,"Out of range")))))))))*(1+'Assumptions and Catalog'!$C$8)^(A530-1),0)</f>
        <v>8554.9666666666672</v>
      </c>
      <c r="N530" s="5">
        <f>IF(ISNUMBER(Inputs!$L$5),(IF(Inputs!$L$9="Actual flat rate",L530*Inputs!$L$10,IF(Inputs!$C$9="Residential",IF(L530&lt;='Assumptions and Catalog'!$C$50,L530*'Assumptions and Catalog'!$H$50+'Assumptions and Catalog'!$E$50+'Assumptions and Catalog'!$F$50,IF(L530&lt;='Assumptions and Catalog'!$C$51,L530*'Assumptions and Catalog'!$H$51+'Assumptions and Catalog'!$E$51+'Assumptions and Catalog'!$F$51,IF(L530&lt;='Assumptions and Catalog'!$C$52,L530*'Assumptions and Catalog'!$H$52+'Assumptions and Catalog'!$E$52+'Assumptions and Catalog'!$F$52,IF(L530&lt;='Assumptions and Catalog'!$C$53,L530*'Assumptions and Catalog'!$H$53+'Assumptions and Catalog'!$E$53+'Assumptions and Catalog'!$F$53,IF(L530&lt;='Assumptions and Catalog'!$C$54,L530*'Assumptions and Catalog'!$H$54+'Assumptions and Catalog'!$E$54+'Assumptions and Catalog'!$F$54,IF(L530&lt;='Assumptions and Catalog'!$C$55,L530*'Assumptions and Catalog'!$H$55+'Assumptions and Catalog'!$E$55+'Assumptions and Catalog'!$F$55,IF(L530&lt;='Assumptions and Catalog'!$C$56,L530*'Assumptions and Catalog'!$H$56+'Assumptions and Catalog'!$E$56+'Assumptions and Catalog'!$F$56,IF(L530&lt;='Assumptions and Catalog'!$C$57,L530*'Assumptions and Catalog'!$H$57+'Assumptions and Catalog'!$E$57+'Assumptions and Catalog'!$F$57,"Out of range")))))))),IF(L530&lt;='Assumptions and Catalog'!$C$60,L530*'Assumptions and Catalog'!$H$60+'Assumptions and Catalog'!$E$60+'Assumptions and Catalog'!$F$60,IF(L530&lt;='Assumptions and Catalog'!$C$61,L530*'Assumptions and Catalog'!$H$61+'Assumptions and Catalog'!$E$61+'Assumptions and Catalog'!$F$61,IF(L530&lt;='Assumptions and Catalog'!$C$62,L530*'Assumptions and Catalog'!$H$62+'Assumptions and Catalog'!$E$62+'Assumptions and Catalog'!$F$62,IF(L530&lt;='Assumptions and Catalog'!$C$63,L530*'Assumptions and Catalog'!$H$63+'Assumptions and Catalog'!$E$63+'Assumptions and Catalog'!$F$63,IF(L530&lt;='Assumptions and Catalog'!$C$64,L530*'Assumptions and Catalog'!$H$64+'Assumptions and Catalog'!$E$64+'Assumptions and Catalog'!$F$64,IF(L530&lt;='Assumptions and Catalog'!$C$65,L530*'Assumptions and Catalog'!$H$65+'Assumptions and Catalog'!$E$65+'Assumptions and Catalog'!$F$65,"Out of range")))))))))*(1+'Assumptions and Catalog'!$C$8)^(A530-1),0)</f>
        <v>8554.9666666666672</v>
      </c>
      <c r="O530" s="5">
        <f t="shared" si="39"/>
        <v>0</v>
      </c>
      <c r="P530" s="5">
        <f>D$55*(1-K$14)*(1-'Assumptions and Catalog'!$C$23)^R530</f>
        <v>0</v>
      </c>
      <c r="Q530" s="5">
        <f>IF(ISNUMBER(Inputs!$L$5),(IF(Inputs!$L$9="Actual flat rate",((D530+E530)*C530-G530)*Inputs!$L$10,IF(Inputs!$C$9="Residential",IF(((D530+E530)*C530-G530)&lt;='Assumptions and Catalog'!$C$50,((D530+E530)*C530-G530)*'Assumptions and Catalog'!$H$50+'Assumptions and Catalog'!$E$50+'Assumptions and Catalog'!$F$50,IF(((D530+E530)*C530-G530)&lt;='Assumptions and Catalog'!$C$51,((D530+E530)*C530-G530)*'Assumptions and Catalog'!$H$51+'Assumptions and Catalog'!$E$51+'Assumptions and Catalog'!$F$51,IF(((D530+E530)*C530-G530)&lt;='Assumptions and Catalog'!$C$52,((D530+E530)*C530-G530)*'Assumptions and Catalog'!$H$52+'Assumptions and Catalog'!$E$52+'Assumptions and Catalog'!$F$52,IF(((D530+E530)*C530-G530)&lt;='Assumptions and Catalog'!$C$53,((D530+E530)*C530-G530)*'Assumptions and Catalog'!$H$53+'Assumptions and Catalog'!$E$53+'Assumptions and Catalog'!$F$53,IF(((D530+E530)*C530-G530)&lt;='Assumptions and Catalog'!$C$54,((D530+E530)*C530-G530)*'Assumptions and Catalog'!$H$54+'Assumptions and Catalog'!$E$54+'Assumptions and Catalog'!$F$54,IF(((D530+E530)*C530-G530)&lt;='Assumptions and Catalog'!$C$55,((D530+E530)*C530-G530)*'Assumptions and Catalog'!$H$55+'Assumptions and Catalog'!$E$55+'Assumptions and Catalog'!$F$55,IF(((D530+E530)*C530-G530)&lt;='Assumptions and Catalog'!$C$56,((D530+E530)*C530-G530)*'Assumptions and Catalog'!$H$56+'Assumptions and Catalog'!$E$56+'Assumptions and Catalog'!$F$56,IF(((D530+E530)*C530-G530)&lt;='Assumptions and Catalog'!$C$57,((D530+E530)*C530-G530)*'Assumptions and Catalog'!$H$57+'Assumptions and Catalog'!$E$57+'Assumptions and Catalog'!$F$57,"Out of range")))))))),IF(((D530+E530)*C530-G530)&lt;='Assumptions and Catalog'!$C$60,((D530+E530)*C530-G530)*'Assumptions and Catalog'!$H$60+'Assumptions and Catalog'!$E$60+'Assumptions and Catalog'!$F$60,IF(((D530+E530)*C530-G530)&lt;='Assumptions and Catalog'!$C$61,((D530+E530)*C530-G530)*'Assumptions and Catalog'!$H$61+'Assumptions and Catalog'!$E$61+'Assumptions and Catalog'!$F$61,IF(((D530+E530)*C530-G530)&lt;='Assumptions and Catalog'!$C$62,((D530+E530)*C530-G530)*'Assumptions and Catalog'!$H$62+'Assumptions and Catalog'!$E$62+'Assumptions and Catalog'!$F$62,IF(((D530+E530)*C530-G530)&lt;='Assumptions and Catalog'!$C$63,((D530+E530)*C530-G530)*'Assumptions and Catalog'!$H$63+'Assumptions and Catalog'!$E$63+'Assumptions and Catalog'!$F$63,IF(((D530+E530)*C530-G530)&lt;='Assumptions and Catalog'!$C$64,((D530+E530)*C530-G530)*'Assumptions and Catalog'!$H$64+'Assumptions and Catalog'!$E$64+'Assumptions and Catalog'!$F$64,IF(((D530+E530)*C530-G530)&lt;='Assumptions and Catalog'!$C$65,((D530+E530)*C530-G530)*'Assumptions and Catalog'!$H$65+'Assumptions and Catalog'!$E$65+'Assumptions and Catalog'!$F$65,"Out of range")))))))))*(1+'Assumptions and Catalog'!$C$8)^(A530-1),0)</f>
        <v>8554.9666666666672</v>
      </c>
      <c r="R530" s="5">
        <f>IF(AND('Assumptions and Catalog'!$C$19&gt;0,A530&gt;='Assumptions and Catalog'!$C$19),A530-'Assumptions and Catalog'!$C$19,A530-1)</f>
        <v>9</v>
      </c>
      <c r="S530" s="5">
        <f>F530+L530-(D530+E530)*C530-J530-K530-IF(D$52&gt;0,'Assumptions and Catalog'!$C$26*C530,0)</f>
        <v>0</v>
      </c>
      <c r="T530" s="5"/>
      <c r="U530" s="5"/>
    </row>
    <row r="531" spans="1:21" ht="23.1" customHeight="1" outlineLevel="1" x14ac:dyDescent="0.2">
      <c r="A531" s="5">
        <v>11</v>
      </c>
      <c r="B531" s="5">
        <v>1</v>
      </c>
      <c r="C531" s="5">
        <f>DAY(DATE('Assumptions and Catalog'!$C$24+A531-1,B531+1,0))</f>
        <v>31</v>
      </c>
      <c r="D531" s="5">
        <f>IF(ISNUMBER(Inputs!$L$5),Inputs!$L$5*Inputs!$L$6,0)</f>
        <v>40.35</v>
      </c>
      <c r="E531" s="5">
        <f>IF(ISNUMBER(Inputs!$L$5),Inputs!$L$5-D531,0)</f>
        <v>40.35</v>
      </c>
      <c r="F531" s="5">
        <f>D$51*'Assumptions and Catalog'!$C$31*C531*(1-'Assumptions and Catalog'!$C$10)^(A531-1)</f>
        <v>0</v>
      </c>
      <c r="G531" s="5">
        <f t="shared" si="36"/>
        <v>0</v>
      </c>
      <c r="H531" s="5">
        <f>I531/('Assumptions and Catalog'!$C$11*'Assumptions and Catalog'!$C$12)</f>
        <v>0</v>
      </c>
      <c r="I531" s="5">
        <f>IF(K$15="Grid cycle",MIN(K$16,D531+E531,P531*'Assumptions and Catalog'!$C$12,D$57*(24-'Assumptions and Catalog'!$C$15),D$56*'Assumptions and Catalog'!$C$15*'Assumptions and Catalog'!$C$11*'Assumptions and Catalog'!$C$12)*C531,0)</f>
        <v>0</v>
      </c>
      <c r="J531" s="5">
        <f t="shared" si="37"/>
        <v>0</v>
      </c>
      <c r="K531" s="5">
        <f t="shared" si="38"/>
        <v>0</v>
      </c>
      <c r="L531" s="5">
        <f>(D531+E531)*C531-G531-I531+H531+IF(D$52&gt;0,'Assumptions and Catalog'!$C$26*C531,0)</f>
        <v>2501.7000000000003</v>
      </c>
      <c r="M531" s="5">
        <f>IF(ISNUMBER(Inputs!$L$5),(IF(Inputs!$L$9="Actual flat rate",((D531+E531)*C531)*Inputs!$L$10,IF(Inputs!$C$9="Residential",IF(((D531+E531)*C531)&lt;='Assumptions and Catalog'!$C$50,((D531+E531)*C531)*'Assumptions and Catalog'!$H$50+'Assumptions and Catalog'!$E$50+'Assumptions and Catalog'!$F$50,IF(((D531+E531)*C531)&lt;='Assumptions and Catalog'!$C$51,((D531+E531)*C531)*'Assumptions and Catalog'!$H$51+'Assumptions and Catalog'!$E$51+'Assumptions and Catalog'!$F$51,IF(((D531+E531)*C531)&lt;='Assumptions and Catalog'!$C$52,((D531+E531)*C531)*'Assumptions and Catalog'!$H$52+'Assumptions and Catalog'!$E$52+'Assumptions and Catalog'!$F$52,IF(((D531+E531)*C531)&lt;='Assumptions and Catalog'!$C$53,((D531+E531)*C531)*'Assumptions and Catalog'!$H$53+'Assumptions and Catalog'!$E$53+'Assumptions and Catalog'!$F$53,IF(((D531+E531)*C531)&lt;='Assumptions and Catalog'!$C$54,((D531+E531)*C531)*'Assumptions and Catalog'!$H$54+'Assumptions and Catalog'!$E$54+'Assumptions and Catalog'!$F$54,IF(((D531+E531)*C531)&lt;='Assumptions and Catalog'!$C$55,((D531+E531)*C531)*'Assumptions and Catalog'!$H$55+'Assumptions and Catalog'!$E$55+'Assumptions and Catalog'!$F$55,IF(((D531+E531)*C531)&lt;='Assumptions and Catalog'!$C$56,((D531+E531)*C531)*'Assumptions and Catalog'!$H$56+'Assumptions and Catalog'!$E$56+'Assumptions and Catalog'!$F$56,IF(((D531+E531)*C531)&lt;='Assumptions and Catalog'!$C$57,((D531+E531)*C531)*'Assumptions and Catalog'!$H$57+'Assumptions and Catalog'!$E$57+'Assumptions and Catalog'!$F$57,"Out of range")))))))),IF(((D531+E531)*C531)&lt;='Assumptions and Catalog'!$C$60,((D531+E531)*C531)*'Assumptions and Catalog'!$H$60+'Assumptions and Catalog'!$E$60+'Assumptions and Catalog'!$F$60,IF(((D531+E531)*C531)&lt;='Assumptions and Catalog'!$C$61,((D531+E531)*C531)*'Assumptions and Catalog'!$H$61+'Assumptions and Catalog'!$E$61+'Assumptions and Catalog'!$F$61,IF(((D531+E531)*C531)&lt;='Assumptions and Catalog'!$C$62,((D531+E531)*C531)*'Assumptions and Catalog'!$H$62+'Assumptions and Catalog'!$E$62+'Assumptions and Catalog'!$F$62,IF(((D531+E531)*C531)&lt;='Assumptions and Catalog'!$C$63,((D531+E531)*C531)*'Assumptions and Catalog'!$H$63+'Assumptions and Catalog'!$E$63+'Assumptions and Catalog'!$F$63,IF(((D531+E531)*C531)&lt;='Assumptions and Catalog'!$C$64,((D531+E531)*C531)*'Assumptions and Catalog'!$H$64+'Assumptions and Catalog'!$E$64+'Assumptions and Catalog'!$F$64,IF(((D531+E531)*C531)&lt;='Assumptions and Catalog'!$C$65,((D531+E531)*C531)*'Assumptions and Catalog'!$H$65+'Assumptions and Catalog'!$E$65+'Assumptions and Catalog'!$F$65,"Out of range")))))))))*(1+'Assumptions and Catalog'!$C$8)^(A531-1),0)</f>
        <v>8554.9666666666672</v>
      </c>
      <c r="N531" s="5">
        <f>IF(ISNUMBER(Inputs!$L$5),(IF(Inputs!$L$9="Actual flat rate",L531*Inputs!$L$10,IF(Inputs!$C$9="Residential",IF(L531&lt;='Assumptions and Catalog'!$C$50,L531*'Assumptions and Catalog'!$H$50+'Assumptions and Catalog'!$E$50+'Assumptions and Catalog'!$F$50,IF(L531&lt;='Assumptions and Catalog'!$C$51,L531*'Assumptions and Catalog'!$H$51+'Assumptions and Catalog'!$E$51+'Assumptions and Catalog'!$F$51,IF(L531&lt;='Assumptions and Catalog'!$C$52,L531*'Assumptions and Catalog'!$H$52+'Assumptions and Catalog'!$E$52+'Assumptions and Catalog'!$F$52,IF(L531&lt;='Assumptions and Catalog'!$C$53,L531*'Assumptions and Catalog'!$H$53+'Assumptions and Catalog'!$E$53+'Assumptions and Catalog'!$F$53,IF(L531&lt;='Assumptions and Catalog'!$C$54,L531*'Assumptions and Catalog'!$H$54+'Assumptions and Catalog'!$E$54+'Assumptions and Catalog'!$F$54,IF(L531&lt;='Assumptions and Catalog'!$C$55,L531*'Assumptions and Catalog'!$H$55+'Assumptions and Catalog'!$E$55+'Assumptions and Catalog'!$F$55,IF(L531&lt;='Assumptions and Catalog'!$C$56,L531*'Assumptions and Catalog'!$H$56+'Assumptions and Catalog'!$E$56+'Assumptions and Catalog'!$F$56,IF(L531&lt;='Assumptions and Catalog'!$C$57,L531*'Assumptions and Catalog'!$H$57+'Assumptions and Catalog'!$E$57+'Assumptions and Catalog'!$F$57,"Out of range")))))))),IF(L531&lt;='Assumptions and Catalog'!$C$60,L531*'Assumptions and Catalog'!$H$60+'Assumptions and Catalog'!$E$60+'Assumptions and Catalog'!$F$60,IF(L531&lt;='Assumptions and Catalog'!$C$61,L531*'Assumptions and Catalog'!$H$61+'Assumptions and Catalog'!$E$61+'Assumptions and Catalog'!$F$61,IF(L531&lt;='Assumptions and Catalog'!$C$62,L531*'Assumptions and Catalog'!$H$62+'Assumptions and Catalog'!$E$62+'Assumptions and Catalog'!$F$62,IF(L531&lt;='Assumptions and Catalog'!$C$63,L531*'Assumptions and Catalog'!$H$63+'Assumptions and Catalog'!$E$63+'Assumptions and Catalog'!$F$63,IF(L531&lt;='Assumptions and Catalog'!$C$64,L531*'Assumptions and Catalog'!$H$64+'Assumptions and Catalog'!$E$64+'Assumptions and Catalog'!$F$64,IF(L531&lt;='Assumptions and Catalog'!$C$65,L531*'Assumptions and Catalog'!$H$65+'Assumptions and Catalog'!$E$65+'Assumptions and Catalog'!$F$65,"Out of range")))))))))*(1+'Assumptions and Catalog'!$C$8)^(A531-1),0)</f>
        <v>8554.9666666666672</v>
      </c>
      <c r="O531" s="5">
        <f t="shared" si="39"/>
        <v>0</v>
      </c>
      <c r="P531" s="5">
        <f>D$55*(1-K$14)*(1-'Assumptions and Catalog'!$C$23)^R531</f>
        <v>0</v>
      </c>
      <c r="Q531" s="5">
        <f>IF(ISNUMBER(Inputs!$L$5),(IF(Inputs!$L$9="Actual flat rate",((D531+E531)*C531-G531)*Inputs!$L$10,IF(Inputs!$C$9="Residential",IF(((D531+E531)*C531-G531)&lt;='Assumptions and Catalog'!$C$50,((D531+E531)*C531-G531)*'Assumptions and Catalog'!$H$50+'Assumptions and Catalog'!$E$50+'Assumptions and Catalog'!$F$50,IF(((D531+E531)*C531-G531)&lt;='Assumptions and Catalog'!$C$51,((D531+E531)*C531-G531)*'Assumptions and Catalog'!$H$51+'Assumptions and Catalog'!$E$51+'Assumptions and Catalog'!$F$51,IF(((D531+E531)*C531-G531)&lt;='Assumptions and Catalog'!$C$52,((D531+E531)*C531-G531)*'Assumptions and Catalog'!$H$52+'Assumptions and Catalog'!$E$52+'Assumptions and Catalog'!$F$52,IF(((D531+E531)*C531-G531)&lt;='Assumptions and Catalog'!$C$53,((D531+E531)*C531-G531)*'Assumptions and Catalog'!$H$53+'Assumptions and Catalog'!$E$53+'Assumptions and Catalog'!$F$53,IF(((D531+E531)*C531-G531)&lt;='Assumptions and Catalog'!$C$54,((D531+E531)*C531-G531)*'Assumptions and Catalog'!$H$54+'Assumptions and Catalog'!$E$54+'Assumptions and Catalog'!$F$54,IF(((D531+E531)*C531-G531)&lt;='Assumptions and Catalog'!$C$55,((D531+E531)*C531-G531)*'Assumptions and Catalog'!$H$55+'Assumptions and Catalog'!$E$55+'Assumptions and Catalog'!$F$55,IF(((D531+E531)*C531-G531)&lt;='Assumptions and Catalog'!$C$56,((D531+E531)*C531-G531)*'Assumptions and Catalog'!$H$56+'Assumptions and Catalog'!$E$56+'Assumptions and Catalog'!$F$56,IF(((D531+E531)*C531-G531)&lt;='Assumptions and Catalog'!$C$57,((D531+E531)*C531-G531)*'Assumptions and Catalog'!$H$57+'Assumptions and Catalog'!$E$57+'Assumptions and Catalog'!$F$57,"Out of range")))))))),IF(((D531+E531)*C531-G531)&lt;='Assumptions and Catalog'!$C$60,((D531+E531)*C531-G531)*'Assumptions and Catalog'!$H$60+'Assumptions and Catalog'!$E$60+'Assumptions and Catalog'!$F$60,IF(((D531+E531)*C531-G531)&lt;='Assumptions and Catalog'!$C$61,((D531+E531)*C531-G531)*'Assumptions and Catalog'!$H$61+'Assumptions and Catalog'!$E$61+'Assumptions and Catalog'!$F$61,IF(((D531+E531)*C531-G531)&lt;='Assumptions and Catalog'!$C$62,((D531+E531)*C531-G531)*'Assumptions and Catalog'!$H$62+'Assumptions and Catalog'!$E$62+'Assumptions and Catalog'!$F$62,IF(((D531+E531)*C531-G531)&lt;='Assumptions and Catalog'!$C$63,((D531+E531)*C531-G531)*'Assumptions and Catalog'!$H$63+'Assumptions and Catalog'!$E$63+'Assumptions and Catalog'!$F$63,IF(((D531+E531)*C531-G531)&lt;='Assumptions and Catalog'!$C$64,((D531+E531)*C531-G531)*'Assumptions and Catalog'!$H$64+'Assumptions and Catalog'!$E$64+'Assumptions and Catalog'!$F$64,IF(((D531+E531)*C531-G531)&lt;='Assumptions and Catalog'!$C$65,((D531+E531)*C531-G531)*'Assumptions and Catalog'!$H$65+'Assumptions and Catalog'!$E$65+'Assumptions and Catalog'!$F$65,"Out of range")))))))))*(1+'Assumptions and Catalog'!$C$8)^(A531-1),0)</f>
        <v>8554.9666666666672</v>
      </c>
      <c r="R531" s="5">
        <f>IF(AND('Assumptions and Catalog'!$C$19&gt;0,A531&gt;='Assumptions and Catalog'!$C$19),A531-'Assumptions and Catalog'!$C$19,A531-1)</f>
        <v>0</v>
      </c>
      <c r="S531" s="5">
        <f>F531+L531-(D531+E531)*C531-J531-K531-IF(D$52&gt;0,'Assumptions and Catalog'!$C$26*C531,0)</f>
        <v>0</v>
      </c>
      <c r="T531" s="5"/>
      <c r="U531" s="5"/>
    </row>
    <row r="532" spans="1:21" ht="23.1" customHeight="1" outlineLevel="1" x14ac:dyDescent="0.2">
      <c r="A532" s="5">
        <v>11</v>
      </c>
      <c r="B532" s="5">
        <v>2</v>
      </c>
      <c r="C532" s="5">
        <f>DAY(DATE('Assumptions and Catalog'!$C$24+A532-1,B532+1,0))</f>
        <v>28</v>
      </c>
      <c r="D532" s="5">
        <f>IF(ISNUMBER(Inputs!$L$5),Inputs!$L$5*Inputs!$L$6,0)</f>
        <v>40.35</v>
      </c>
      <c r="E532" s="5">
        <f>IF(ISNUMBER(Inputs!$L$5),Inputs!$L$5-D532,0)</f>
        <v>40.35</v>
      </c>
      <c r="F532" s="5">
        <f>D$51*'Assumptions and Catalog'!$C$31*C532*(1-'Assumptions and Catalog'!$C$10)^(A532-1)</f>
        <v>0</v>
      </c>
      <c r="G532" s="5">
        <f t="shared" si="36"/>
        <v>0</v>
      </c>
      <c r="H532" s="5">
        <f>I532/('Assumptions and Catalog'!$C$11*'Assumptions and Catalog'!$C$12)</f>
        <v>0</v>
      </c>
      <c r="I532" s="5">
        <f>IF(K$15="Grid cycle",MIN(K$16,D532+E532,P532*'Assumptions and Catalog'!$C$12,D$57*(24-'Assumptions and Catalog'!$C$15),D$56*'Assumptions and Catalog'!$C$15*'Assumptions and Catalog'!$C$11*'Assumptions and Catalog'!$C$12)*C532,0)</f>
        <v>0</v>
      </c>
      <c r="J532" s="5">
        <f t="shared" si="37"/>
        <v>0</v>
      </c>
      <c r="K532" s="5">
        <f t="shared" si="38"/>
        <v>0</v>
      </c>
      <c r="L532" s="5">
        <f>(D532+E532)*C532-G532-I532+H532+IF(D$52&gt;0,'Assumptions and Catalog'!$C$26*C532,0)</f>
        <v>2259.6</v>
      </c>
      <c r="M532" s="5">
        <f>IF(ISNUMBER(Inputs!$L$5),(IF(Inputs!$L$9="Actual flat rate",((D532+E532)*C532)*Inputs!$L$10,IF(Inputs!$C$9="Residential",IF(((D532+E532)*C532)&lt;='Assumptions and Catalog'!$C$50,((D532+E532)*C532)*'Assumptions and Catalog'!$H$50+'Assumptions and Catalog'!$E$50+'Assumptions and Catalog'!$F$50,IF(((D532+E532)*C532)&lt;='Assumptions and Catalog'!$C$51,((D532+E532)*C532)*'Assumptions and Catalog'!$H$51+'Assumptions and Catalog'!$E$51+'Assumptions and Catalog'!$F$51,IF(((D532+E532)*C532)&lt;='Assumptions and Catalog'!$C$52,((D532+E532)*C532)*'Assumptions and Catalog'!$H$52+'Assumptions and Catalog'!$E$52+'Assumptions and Catalog'!$F$52,IF(((D532+E532)*C532)&lt;='Assumptions and Catalog'!$C$53,((D532+E532)*C532)*'Assumptions and Catalog'!$H$53+'Assumptions and Catalog'!$E$53+'Assumptions and Catalog'!$F$53,IF(((D532+E532)*C532)&lt;='Assumptions and Catalog'!$C$54,((D532+E532)*C532)*'Assumptions and Catalog'!$H$54+'Assumptions and Catalog'!$E$54+'Assumptions and Catalog'!$F$54,IF(((D532+E532)*C532)&lt;='Assumptions and Catalog'!$C$55,((D532+E532)*C532)*'Assumptions and Catalog'!$H$55+'Assumptions and Catalog'!$E$55+'Assumptions and Catalog'!$F$55,IF(((D532+E532)*C532)&lt;='Assumptions and Catalog'!$C$56,((D532+E532)*C532)*'Assumptions and Catalog'!$H$56+'Assumptions and Catalog'!$E$56+'Assumptions and Catalog'!$F$56,IF(((D532+E532)*C532)&lt;='Assumptions and Catalog'!$C$57,((D532+E532)*C532)*'Assumptions and Catalog'!$H$57+'Assumptions and Catalog'!$E$57+'Assumptions and Catalog'!$F$57,"Out of range")))))))),IF(((D532+E532)*C532)&lt;='Assumptions and Catalog'!$C$60,((D532+E532)*C532)*'Assumptions and Catalog'!$H$60+'Assumptions and Catalog'!$E$60+'Assumptions and Catalog'!$F$60,IF(((D532+E532)*C532)&lt;='Assumptions and Catalog'!$C$61,((D532+E532)*C532)*'Assumptions and Catalog'!$H$61+'Assumptions and Catalog'!$E$61+'Assumptions and Catalog'!$F$61,IF(((D532+E532)*C532)&lt;='Assumptions and Catalog'!$C$62,((D532+E532)*C532)*'Assumptions and Catalog'!$H$62+'Assumptions and Catalog'!$E$62+'Assumptions and Catalog'!$F$62,IF(((D532+E532)*C532)&lt;='Assumptions and Catalog'!$C$63,((D532+E532)*C532)*'Assumptions and Catalog'!$H$63+'Assumptions and Catalog'!$E$63+'Assumptions and Catalog'!$F$63,IF(((D532+E532)*C532)&lt;='Assumptions and Catalog'!$C$64,((D532+E532)*C532)*'Assumptions and Catalog'!$H$64+'Assumptions and Catalog'!$E$64+'Assumptions and Catalog'!$F$64,IF(((D532+E532)*C532)&lt;='Assumptions and Catalog'!$C$65,((D532+E532)*C532)*'Assumptions and Catalog'!$H$65+'Assumptions and Catalog'!$E$65+'Assumptions and Catalog'!$F$65,"Out of range")))))))))*(1+'Assumptions and Catalog'!$C$8)^(A532-1),0)</f>
        <v>7727.0666666666657</v>
      </c>
      <c r="N532" s="5">
        <f>IF(ISNUMBER(Inputs!$L$5),(IF(Inputs!$L$9="Actual flat rate",L532*Inputs!$L$10,IF(Inputs!$C$9="Residential",IF(L532&lt;='Assumptions and Catalog'!$C$50,L532*'Assumptions and Catalog'!$H$50+'Assumptions and Catalog'!$E$50+'Assumptions and Catalog'!$F$50,IF(L532&lt;='Assumptions and Catalog'!$C$51,L532*'Assumptions and Catalog'!$H$51+'Assumptions and Catalog'!$E$51+'Assumptions and Catalog'!$F$51,IF(L532&lt;='Assumptions and Catalog'!$C$52,L532*'Assumptions and Catalog'!$H$52+'Assumptions and Catalog'!$E$52+'Assumptions and Catalog'!$F$52,IF(L532&lt;='Assumptions and Catalog'!$C$53,L532*'Assumptions and Catalog'!$H$53+'Assumptions and Catalog'!$E$53+'Assumptions and Catalog'!$F$53,IF(L532&lt;='Assumptions and Catalog'!$C$54,L532*'Assumptions and Catalog'!$H$54+'Assumptions and Catalog'!$E$54+'Assumptions and Catalog'!$F$54,IF(L532&lt;='Assumptions and Catalog'!$C$55,L532*'Assumptions and Catalog'!$H$55+'Assumptions and Catalog'!$E$55+'Assumptions and Catalog'!$F$55,IF(L532&lt;='Assumptions and Catalog'!$C$56,L532*'Assumptions and Catalog'!$H$56+'Assumptions and Catalog'!$E$56+'Assumptions and Catalog'!$F$56,IF(L532&lt;='Assumptions and Catalog'!$C$57,L532*'Assumptions and Catalog'!$H$57+'Assumptions and Catalog'!$E$57+'Assumptions and Catalog'!$F$57,"Out of range")))))))),IF(L532&lt;='Assumptions and Catalog'!$C$60,L532*'Assumptions and Catalog'!$H$60+'Assumptions and Catalog'!$E$60+'Assumptions and Catalog'!$F$60,IF(L532&lt;='Assumptions and Catalog'!$C$61,L532*'Assumptions and Catalog'!$H$61+'Assumptions and Catalog'!$E$61+'Assumptions and Catalog'!$F$61,IF(L532&lt;='Assumptions and Catalog'!$C$62,L532*'Assumptions and Catalog'!$H$62+'Assumptions and Catalog'!$E$62+'Assumptions and Catalog'!$F$62,IF(L532&lt;='Assumptions and Catalog'!$C$63,L532*'Assumptions and Catalog'!$H$63+'Assumptions and Catalog'!$E$63+'Assumptions and Catalog'!$F$63,IF(L532&lt;='Assumptions and Catalog'!$C$64,L532*'Assumptions and Catalog'!$H$64+'Assumptions and Catalog'!$E$64+'Assumptions and Catalog'!$F$64,IF(L532&lt;='Assumptions and Catalog'!$C$65,L532*'Assumptions and Catalog'!$H$65+'Assumptions and Catalog'!$E$65+'Assumptions and Catalog'!$F$65,"Out of range")))))))))*(1+'Assumptions and Catalog'!$C$8)^(A532-1),0)</f>
        <v>7727.0666666666657</v>
      </c>
      <c r="O532" s="5">
        <f t="shared" si="39"/>
        <v>0</v>
      </c>
      <c r="P532" s="5">
        <f>D$55*(1-K$14)*(1-'Assumptions and Catalog'!$C$23)^R532</f>
        <v>0</v>
      </c>
      <c r="Q532" s="5">
        <f>IF(ISNUMBER(Inputs!$L$5),(IF(Inputs!$L$9="Actual flat rate",((D532+E532)*C532-G532)*Inputs!$L$10,IF(Inputs!$C$9="Residential",IF(((D532+E532)*C532-G532)&lt;='Assumptions and Catalog'!$C$50,((D532+E532)*C532-G532)*'Assumptions and Catalog'!$H$50+'Assumptions and Catalog'!$E$50+'Assumptions and Catalog'!$F$50,IF(((D532+E532)*C532-G532)&lt;='Assumptions and Catalog'!$C$51,((D532+E532)*C532-G532)*'Assumptions and Catalog'!$H$51+'Assumptions and Catalog'!$E$51+'Assumptions and Catalog'!$F$51,IF(((D532+E532)*C532-G532)&lt;='Assumptions and Catalog'!$C$52,((D532+E532)*C532-G532)*'Assumptions and Catalog'!$H$52+'Assumptions and Catalog'!$E$52+'Assumptions and Catalog'!$F$52,IF(((D532+E532)*C532-G532)&lt;='Assumptions and Catalog'!$C$53,((D532+E532)*C532-G532)*'Assumptions and Catalog'!$H$53+'Assumptions and Catalog'!$E$53+'Assumptions and Catalog'!$F$53,IF(((D532+E532)*C532-G532)&lt;='Assumptions and Catalog'!$C$54,((D532+E532)*C532-G532)*'Assumptions and Catalog'!$H$54+'Assumptions and Catalog'!$E$54+'Assumptions and Catalog'!$F$54,IF(((D532+E532)*C532-G532)&lt;='Assumptions and Catalog'!$C$55,((D532+E532)*C532-G532)*'Assumptions and Catalog'!$H$55+'Assumptions and Catalog'!$E$55+'Assumptions and Catalog'!$F$55,IF(((D532+E532)*C532-G532)&lt;='Assumptions and Catalog'!$C$56,((D532+E532)*C532-G532)*'Assumptions and Catalog'!$H$56+'Assumptions and Catalog'!$E$56+'Assumptions and Catalog'!$F$56,IF(((D532+E532)*C532-G532)&lt;='Assumptions and Catalog'!$C$57,((D532+E532)*C532-G532)*'Assumptions and Catalog'!$H$57+'Assumptions and Catalog'!$E$57+'Assumptions and Catalog'!$F$57,"Out of range")))))))),IF(((D532+E532)*C532-G532)&lt;='Assumptions and Catalog'!$C$60,((D532+E532)*C532-G532)*'Assumptions and Catalog'!$H$60+'Assumptions and Catalog'!$E$60+'Assumptions and Catalog'!$F$60,IF(((D532+E532)*C532-G532)&lt;='Assumptions and Catalog'!$C$61,((D532+E532)*C532-G532)*'Assumptions and Catalog'!$H$61+'Assumptions and Catalog'!$E$61+'Assumptions and Catalog'!$F$61,IF(((D532+E532)*C532-G532)&lt;='Assumptions and Catalog'!$C$62,((D532+E532)*C532-G532)*'Assumptions and Catalog'!$H$62+'Assumptions and Catalog'!$E$62+'Assumptions and Catalog'!$F$62,IF(((D532+E532)*C532-G532)&lt;='Assumptions and Catalog'!$C$63,((D532+E532)*C532-G532)*'Assumptions and Catalog'!$H$63+'Assumptions and Catalog'!$E$63+'Assumptions and Catalog'!$F$63,IF(((D532+E532)*C532-G532)&lt;='Assumptions and Catalog'!$C$64,((D532+E532)*C532-G532)*'Assumptions and Catalog'!$H$64+'Assumptions and Catalog'!$E$64+'Assumptions and Catalog'!$F$64,IF(((D532+E532)*C532-G532)&lt;='Assumptions and Catalog'!$C$65,((D532+E532)*C532-G532)*'Assumptions and Catalog'!$H$65+'Assumptions and Catalog'!$E$65+'Assumptions and Catalog'!$F$65,"Out of range")))))))))*(1+'Assumptions and Catalog'!$C$8)^(A532-1),0)</f>
        <v>7727.0666666666657</v>
      </c>
      <c r="R532" s="5">
        <f>IF(AND('Assumptions and Catalog'!$C$19&gt;0,A532&gt;='Assumptions and Catalog'!$C$19),A532-'Assumptions and Catalog'!$C$19,A532-1)</f>
        <v>0</v>
      </c>
      <c r="S532" s="5">
        <f>F532+L532-(D532+E532)*C532-J532-K532-IF(D$52&gt;0,'Assumptions and Catalog'!$C$26*C532,0)</f>
        <v>0</v>
      </c>
      <c r="T532" s="5"/>
      <c r="U532" s="5"/>
    </row>
    <row r="533" spans="1:21" ht="23.1" customHeight="1" outlineLevel="1" x14ac:dyDescent="0.2">
      <c r="A533" s="5">
        <v>11</v>
      </c>
      <c r="B533" s="5">
        <v>3</v>
      </c>
      <c r="C533" s="5">
        <f>DAY(DATE('Assumptions and Catalog'!$C$24+A533-1,B533+1,0))</f>
        <v>31</v>
      </c>
      <c r="D533" s="5">
        <f>IF(ISNUMBER(Inputs!$L$5),Inputs!$L$5*Inputs!$L$6,0)</f>
        <v>40.35</v>
      </c>
      <c r="E533" s="5">
        <f>IF(ISNUMBER(Inputs!$L$5),Inputs!$L$5-D533,0)</f>
        <v>40.35</v>
      </c>
      <c r="F533" s="5">
        <f>D$51*'Assumptions and Catalog'!$C$31*C533*(1-'Assumptions and Catalog'!$C$10)^(A533-1)</f>
        <v>0</v>
      </c>
      <c r="G533" s="5">
        <f t="shared" si="36"/>
        <v>0</v>
      </c>
      <c r="H533" s="5">
        <f>I533/('Assumptions and Catalog'!$C$11*'Assumptions and Catalog'!$C$12)</f>
        <v>0</v>
      </c>
      <c r="I533" s="5">
        <f>IF(K$15="Grid cycle",MIN(K$16,D533+E533,P533*'Assumptions and Catalog'!$C$12,D$57*(24-'Assumptions and Catalog'!$C$15),D$56*'Assumptions and Catalog'!$C$15*'Assumptions and Catalog'!$C$11*'Assumptions and Catalog'!$C$12)*C533,0)</f>
        <v>0</v>
      </c>
      <c r="J533" s="5">
        <f t="shared" si="37"/>
        <v>0</v>
      </c>
      <c r="K533" s="5">
        <f t="shared" si="38"/>
        <v>0</v>
      </c>
      <c r="L533" s="5">
        <f>(D533+E533)*C533-G533-I533+H533+IF(D$52&gt;0,'Assumptions and Catalog'!$C$26*C533,0)</f>
        <v>2501.7000000000003</v>
      </c>
      <c r="M533" s="5">
        <f>IF(ISNUMBER(Inputs!$L$5),(IF(Inputs!$L$9="Actual flat rate",((D533+E533)*C533)*Inputs!$L$10,IF(Inputs!$C$9="Residential",IF(((D533+E533)*C533)&lt;='Assumptions and Catalog'!$C$50,((D533+E533)*C533)*'Assumptions and Catalog'!$H$50+'Assumptions and Catalog'!$E$50+'Assumptions and Catalog'!$F$50,IF(((D533+E533)*C533)&lt;='Assumptions and Catalog'!$C$51,((D533+E533)*C533)*'Assumptions and Catalog'!$H$51+'Assumptions and Catalog'!$E$51+'Assumptions and Catalog'!$F$51,IF(((D533+E533)*C533)&lt;='Assumptions and Catalog'!$C$52,((D533+E533)*C533)*'Assumptions and Catalog'!$H$52+'Assumptions and Catalog'!$E$52+'Assumptions and Catalog'!$F$52,IF(((D533+E533)*C533)&lt;='Assumptions and Catalog'!$C$53,((D533+E533)*C533)*'Assumptions and Catalog'!$H$53+'Assumptions and Catalog'!$E$53+'Assumptions and Catalog'!$F$53,IF(((D533+E533)*C533)&lt;='Assumptions and Catalog'!$C$54,((D533+E533)*C533)*'Assumptions and Catalog'!$H$54+'Assumptions and Catalog'!$E$54+'Assumptions and Catalog'!$F$54,IF(((D533+E533)*C533)&lt;='Assumptions and Catalog'!$C$55,((D533+E533)*C533)*'Assumptions and Catalog'!$H$55+'Assumptions and Catalog'!$E$55+'Assumptions and Catalog'!$F$55,IF(((D533+E533)*C533)&lt;='Assumptions and Catalog'!$C$56,((D533+E533)*C533)*'Assumptions and Catalog'!$H$56+'Assumptions and Catalog'!$E$56+'Assumptions and Catalog'!$F$56,IF(((D533+E533)*C533)&lt;='Assumptions and Catalog'!$C$57,((D533+E533)*C533)*'Assumptions and Catalog'!$H$57+'Assumptions and Catalog'!$E$57+'Assumptions and Catalog'!$F$57,"Out of range")))))))),IF(((D533+E533)*C533)&lt;='Assumptions and Catalog'!$C$60,((D533+E533)*C533)*'Assumptions and Catalog'!$H$60+'Assumptions and Catalog'!$E$60+'Assumptions and Catalog'!$F$60,IF(((D533+E533)*C533)&lt;='Assumptions and Catalog'!$C$61,((D533+E533)*C533)*'Assumptions and Catalog'!$H$61+'Assumptions and Catalog'!$E$61+'Assumptions and Catalog'!$F$61,IF(((D533+E533)*C533)&lt;='Assumptions and Catalog'!$C$62,((D533+E533)*C533)*'Assumptions and Catalog'!$H$62+'Assumptions and Catalog'!$E$62+'Assumptions and Catalog'!$F$62,IF(((D533+E533)*C533)&lt;='Assumptions and Catalog'!$C$63,((D533+E533)*C533)*'Assumptions and Catalog'!$H$63+'Assumptions and Catalog'!$E$63+'Assumptions and Catalog'!$F$63,IF(((D533+E533)*C533)&lt;='Assumptions and Catalog'!$C$64,((D533+E533)*C533)*'Assumptions and Catalog'!$H$64+'Assumptions and Catalog'!$E$64+'Assumptions and Catalog'!$F$64,IF(((D533+E533)*C533)&lt;='Assumptions and Catalog'!$C$65,((D533+E533)*C533)*'Assumptions and Catalog'!$H$65+'Assumptions and Catalog'!$E$65+'Assumptions and Catalog'!$F$65,"Out of range")))))))))*(1+'Assumptions and Catalog'!$C$8)^(A533-1),0)</f>
        <v>8554.9666666666672</v>
      </c>
      <c r="N533" s="5">
        <f>IF(ISNUMBER(Inputs!$L$5),(IF(Inputs!$L$9="Actual flat rate",L533*Inputs!$L$10,IF(Inputs!$C$9="Residential",IF(L533&lt;='Assumptions and Catalog'!$C$50,L533*'Assumptions and Catalog'!$H$50+'Assumptions and Catalog'!$E$50+'Assumptions and Catalog'!$F$50,IF(L533&lt;='Assumptions and Catalog'!$C$51,L533*'Assumptions and Catalog'!$H$51+'Assumptions and Catalog'!$E$51+'Assumptions and Catalog'!$F$51,IF(L533&lt;='Assumptions and Catalog'!$C$52,L533*'Assumptions and Catalog'!$H$52+'Assumptions and Catalog'!$E$52+'Assumptions and Catalog'!$F$52,IF(L533&lt;='Assumptions and Catalog'!$C$53,L533*'Assumptions and Catalog'!$H$53+'Assumptions and Catalog'!$E$53+'Assumptions and Catalog'!$F$53,IF(L533&lt;='Assumptions and Catalog'!$C$54,L533*'Assumptions and Catalog'!$H$54+'Assumptions and Catalog'!$E$54+'Assumptions and Catalog'!$F$54,IF(L533&lt;='Assumptions and Catalog'!$C$55,L533*'Assumptions and Catalog'!$H$55+'Assumptions and Catalog'!$E$55+'Assumptions and Catalog'!$F$55,IF(L533&lt;='Assumptions and Catalog'!$C$56,L533*'Assumptions and Catalog'!$H$56+'Assumptions and Catalog'!$E$56+'Assumptions and Catalog'!$F$56,IF(L533&lt;='Assumptions and Catalog'!$C$57,L533*'Assumptions and Catalog'!$H$57+'Assumptions and Catalog'!$E$57+'Assumptions and Catalog'!$F$57,"Out of range")))))))),IF(L533&lt;='Assumptions and Catalog'!$C$60,L533*'Assumptions and Catalog'!$H$60+'Assumptions and Catalog'!$E$60+'Assumptions and Catalog'!$F$60,IF(L533&lt;='Assumptions and Catalog'!$C$61,L533*'Assumptions and Catalog'!$H$61+'Assumptions and Catalog'!$E$61+'Assumptions and Catalog'!$F$61,IF(L533&lt;='Assumptions and Catalog'!$C$62,L533*'Assumptions and Catalog'!$H$62+'Assumptions and Catalog'!$E$62+'Assumptions and Catalog'!$F$62,IF(L533&lt;='Assumptions and Catalog'!$C$63,L533*'Assumptions and Catalog'!$H$63+'Assumptions and Catalog'!$E$63+'Assumptions and Catalog'!$F$63,IF(L533&lt;='Assumptions and Catalog'!$C$64,L533*'Assumptions and Catalog'!$H$64+'Assumptions and Catalog'!$E$64+'Assumptions and Catalog'!$F$64,IF(L533&lt;='Assumptions and Catalog'!$C$65,L533*'Assumptions and Catalog'!$H$65+'Assumptions and Catalog'!$E$65+'Assumptions and Catalog'!$F$65,"Out of range")))))))))*(1+'Assumptions and Catalog'!$C$8)^(A533-1),0)</f>
        <v>8554.9666666666672</v>
      </c>
      <c r="O533" s="5">
        <f t="shared" si="39"/>
        <v>0</v>
      </c>
      <c r="P533" s="5">
        <f>D$55*(1-K$14)*(1-'Assumptions and Catalog'!$C$23)^R533</f>
        <v>0</v>
      </c>
      <c r="Q533" s="5">
        <f>IF(ISNUMBER(Inputs!$L$5),(IF(Inputs!$L$9="Actual flat rate",((D533+E533)*C533-G533)*Inputs!$L$10,IF(Inputs!$C$9="Residential",IF(((D533+E533)*C533-G533)&lt;='Assumptions and Catalog'!$C$50,((D533+E533)*C533-G533)*'Assumptions and Catalog'!$H$50+'Assumptions and Catalog'!$E$50+'Assumptions and Catalog'!$F$50,IF(((D533+E533)*C533-G533)&lt;='Assumptions and Catalog'!$C$51,((D533+E533)*C533-G533)*'Assumptions and Catalog'!$H$51+'Assumptions and Catalog'!$E$51+'Assumptions and Catalog'!$F$51,IF(((D533+E533)*C533-G533)&lt;='Assumptions and Catalog'!$C$52,((D533+E533)*C533-G533)*'Assumptions and Catalog'!$H$52+'Assumptions and Catalog'!$E$52+'Assumptions and Catalog'!$F$52,IF(((D533+E533)*C533-G533)&lt;='Assumptions and Catalog'!$C$53,((D533+E533)*C533-G533)*'Assumptions and Catalog'!$H$53+'Assumptions and Catalog'!$E$53+'Assumptions and Catalog'!$F$53,IF(((D533+E533)*C533-G533)&lt;='Assumptions and Catalog'!$C$54,((D533+E533)*C533-G533)*'Assumptions and Catalog'!$H$54+'Assumptions and Catalog'!$E$54+'Assumptions and Catalog'!$F$54,IF(((D533+E533)*C533-G533)&lt;='Assumptions and Catalog'!$C$55,((D533+E533)*C533-G533)*'Assumptions and Catalog'!$H$55+'Assumptions and Catalog'!$E$55+'Assumptions and Catalog'!$F$55,IF(((D533+E533)*C533-G533)&lt;='Assumptions and Catalog'!$C$56,((D533+E533)*C533-G533)*'Assumptions and Catalog'!$H$56+'Assumptions and Catalog'!$E$56+'Assumptions and Catalog'!$F$56,IF(((D533+E533)*C533-G533)&lt;='Assumptions and Catalog'!$C$57,((D533+E533)*C533-G533)*'Assumptions and Catalog'!$H$57+'Assumptions and Catalog'!$E$57+'Assumptions and Catalog'!$F$57,"Out of range")))))))),IF(((D533+E533)*C533-G533)&lt;='Assumptions and Catalog'!$C$60,((D533+E533)*C533-G533)*'Assumptions and Catalog'!$H$60+'Assumptions and Catalog'!$E$60+'Assumptions and Catalog'!$F$60,IF(((D533+E533)*C533-G533)&lt;='Assumptions and Catalog'!$C$61,((D533+E533)*C533-G533)*'Assumptions and Catalog'!$H$61+'Assumptions and Catalog'!$E$61+'Assumptions and Catalog'!$F$61,IF(((D533+E533)*C533-G533)&lt;='Assumptions and Catalog'!$C$62,((D533+E533)*C533-G533)*'Assumptions and Catalog'!$H$62+'Assumptions and Catalog'!$E$62+'Assumptions and Catalog'!$F$62,IF(((D533+E533)*C533-G533)&lt;='Assumptions and Catalog'!$C$63,((D533+E533)*C533-G533)*'Assumptions and Catalog'!$H$63+'Assumptions and Catalog'!$E$63+'Assumptions and Catalog'!$F$63,IF(((D533+E533)*C533-G533)&lt;='Assumptions and Catalog'!$C$64,((D533+E533)*C533-G533)*'Assumptions and Catalog'!$H$64+'Assumptions and Catalog'!$E$64+'Assumptions and Catalog'!$F$64,IF(((D533+E533)*C533-G533)&lt;='Assumptions and Catalog'!$C$65,((D533+E533)*C533-G533)*'Assumptions and Catalog'!$H$65+'Assumptions and Catalog'!$E$65+'Assumptions and Catalog'!$F$65,"Out of range")))))))))*(1+'Assumptions and Catalog'!$C$8)^(A533-1),0)</f>
        <v>8554.9666666666672</v>
      </c>
      <c r="R533" s="5">
        <f>IF(AND('Assumptions and Catalog'!$C$19&gt;0,A533&gt;='Assumptions and Catalog'!$C$19),A533-'Assumptions and Catalog'!$C$19,A533-1)</f>
        <v>0</v>
      </c>
      <c r="S533" s="5">
        <f>F533+L533-(D533+E533)*C533-J533-K533-IF(D$52&gt;0,'Assumptions and Catalog'!$C$26*C533,0)</f>
        <v>0</v>
      </c>
      <c r="T533" s="5"/>
      <c r="U533" s="5"/>
    </row>
    <row r="534" spans="1:21" ht="23.1" customHeight="1" outlineLevel="1" x14ac:dyDescent="0.2">
      <c r="A534" s="5">
        <v>11</v>
      </c>
      <c r="B534" s="5">
        <v>4</v>
      </c>
      <c r="C534" s="5">
        <f>DAY(DATE('Assumptions and Catalog'!$C$24+A534-1,B534+1,0))</f>
        <v>30</v>
      </c>
      <c r="D534" s="5">
        <f>IF(ISNUMBER(Inputs!$L$5),Inputs!$L$5*Inputs!$L$6,0)</f>
        <v>40.35</v>
      </c>
      <c r="E534" s="5">
        <f>IF(ISNUMBER(Inputs!$L$5),Inputs!$L$5-D534,0)</f>
        <v>40.35</v>
      </c>
      <c r="F534" s="5">
        <f>D$51*'Assumptions and Catalog'!$C$31*C534*(1-'Assumptions and Catalog'!$C$10)^(A534-1)</f>
        <v>0</v>
      </c>
      <c r="G534" s="5">
        <f t="shared" si="36"/>
        <v>0</v>
      </c>
      <c r="H534" s="5">
        <f>I534/('Assumptions and Catalog'!$C$11*'Assumptions and Catalog'!$C$12)</f>
        <v>0</v>
      </c>
      <c r="I534" s="5">
        <f>IF(K$15="Grid cycle",MIN(K$16,D534+E534,P534*'Assumptions and Catalog'!$C$12,D$57*(24-'Assumptions and Catalog'!$C$15),D$56*'Assumptions and Catalog'!$C$15*'Assumptions and Catalog'!$C$11*'Assumptions and Catalog'!$C$12)*C534,0)</f>
        <v>0</v>
      </c>
      <c r="J534" s="5">
        <f t="shared" si="37"/>
        <v>0</v>
      </c>
      <c r="K534" s="5">
        <f t="shared" si="38"/>
        <v>0</v>
      </c>
      <c r="L534" s="5">
        <f>(D534+E534)*C534-G534-I534+H534+IF(D$52&gt;0,'Assumptions and Catalog'!$C$26*C534,0)</f>
        <v>2421</v>
      </c>
      <c r="M534" s="5">
        <f>IF(ISNUMBER(Inputs!$L$5),(IF(Inputs!$L$9="Actual flat rate",((D534+E534)*C534)*Inputs!$L$10,IF(Inputs!$C$9="Residential",IF(((D534+E534)*C534)&lt;='Assumptions and Catalog'!$C$50,((D534+E534)*C534)*'Assumptions and Catalog'!$H$50+'Assumptions and Catalog'!$E$50+'Assumptions and Catalog'!$F$50,IF(((D534+E534)*C534)&lt;='Assumptions and Catalog'!$C$51,((D534+E534)*C534)*'Assumptions and Catalog'!$H$51+'Assumptions and Catalog'!$E$51+'Assumptions and Catalog'!$F$51,IF(((D534+E534)*C534)&lt;='Assumptions and Catalog'!$C$52,((D534+E534)*C534)*'Assumptions and Catalog'!$H$52+'Assumptions and Catalog'!$E$52+'Assumptions and Catalog'!$F$52,IF(((D534+E534)*C534)&lt;='Assumptions and Catalog'!$C$53,((D534+E534)*C534)*'Assumptions and Catalog'!$H$53+'Assumptions and Catalog'!$E$53+'Assumptions and Catalog'!$F$53,IF(((D534+E534)*C534)&lt;='Assumptions and Catalog'!$C$54,((D534+E534)*C534)*'Assumptions and Catalog'!$H$54+'Assumptions and Catalog'!$E$54+'Assumptions and Catalog'!$F$54,IF(((D534+E534)*C534)&lt;='Assumptions and Catalog'!$C$55,((D534+E534)*C534)*'Assumptions and Catalog'!$H$55+'Assumptions and Catalog'!$E$55+'Assumptions and Catalog'!$F$55,IF(((D534+E534)*C534)&lt;='Assumptions and Catalog'!$C$56,((D534+E534)*C534)*'Assumptions and Catalog'!$H$56+'Assumptions and Catalog'!$E$56+'Assumptions and Catalog'!$F$56,IF(((D534+E534)*C534)&lt;='Assumptions and Catalog'!$C$57,((D534+E534)*C534)*'Assumptions and Catalog'!$H$57+'Assumptions and Catalog'!$E$57+'Assumptions and Catalog'!$F$57,"Out of range")))))))),IF(((D534+E534)*C534)&lt;='Assumptions and Catalog'!$C$60,((D534+E534)*C534)*'Assumptions and Catalog'!$H$60+'Assumptions and Catalog'!$E$60+'Assumptions and Catalog'!$F$60,IF(((D534+E534)*C534)&lt;='Assumptions and Catalog'!$C$61,((D534+E534)*C534)*'Assumptions and Catalog'!$H$61+'Assumptions and Catalog'!$E$61+'Assumptions and Catalog'!$F$61,IF(((D534+E534)*C534)&lt;='Assumptions and Catalog'!$C$62,((D534+E534)*C534)*'Assumptions and Catalog'!$H$62+'Assumptions and Catalog'!$E$62+'Assumptions and Catalog'!$F$62,IF(((D534+E534)*C534)&lt;='Assumptions and Catalog'!$C$63,((D534+E534)*C534)*'Assumptions and Catalog'!$H$63+'Assumptions and Catalog'!$E$63+'Assumptions and Catalog'!$F$63,IF(((D534+E534)*C534)&lt;='Assumptions and Catalog'!$C$64,((D534+E534)*C534)*'Assumptions and Catalog'!$H$64+'Assumptions and Catalog'!$E$64+'Assumptions and Catalog'!$F$64,IF(((D534+E534)*C534)&lt;='Assumptions and Catalog'!$C$65,((D534+E534)*C534)*'Assumptions and Catalog'!$H$65+'Assumptions and Catalog'!$E$65+'Assumptions and Catalog'!$F$65,"Out of range")))))))))*(1+'Assumptions and Catalog'!$C$8)^(A534-1),0)</f>
        <v>8279</v>
      </c>
      <c r="N534" s="5">
        <f>IF(ISNUMBER(Inputs!$L$5),(IF(Inputs!$L$9="Actual flat rate",L534*Inputs!$L$10,IF(Inputs!$C$9="Residential",IF(L534&lt;='Assumptions and Catalog'!$C$50,L534*'Assumptions and Catalog'!$H$50+'Assumptions and Catalog'!$E$50+'Assumptions and Catalog'!$F$50,IF(L534&lt;='Assumptions and Catalog'!$C$51,L534*'Assumptions and Catalog'!$H$51+'Assumptions and Catalog'!$E$51+'Assumptions and Catalog'!$F$51,IF(L534&lt;='Assumptions and Catalog'!$C$52,L534*'Assumptions and Catalog'!$H$52+'Assumptions and Catalog'!$E$52+'Assumptions and Catalog'!$F$52,IF(L534&lt;='Assumptions and Catalog'!$C$53,L534*'Assumptions and Catalog'!$H$53+'Assumptions and Catalog'!$E$53+'Assumptions and Catalog'!$F$53,IF(L534&lt;='Assumptions and Catalog'!$C$54,L534*'Assumptions and Catalog'!$H$54+'Assumptions and Catalog'!$E$54+'Assumptions and Catalog'!$F$54,IF(L534&lt;='Assumptions and Catalog'!$C$55,L534*'Assumptions and Catalog'!$H$55+'Assumptions and Catalog'!$E$55+'Assumptions and Catalog'!$F$55,IF(L534&lt;='Assumptions and Catalog'!$C$56,L534*'Assumptions and Catalog'!$H$56+'Assumptions and Catalog'!$E$56+'Assumptions and Catalog'!$F$56,IF(L534&lt;='Assumptions and Catalog'!$C$57,L534*'Assumptions and Catalog'!$H$57+'Assumptions and Catalog'!$E$57+'Assumptions and Catalog'!$F$57,"Out of range")))))))),IF(L534&lt;='Assumptions and Catalog'!$C$60,L534*'Assumptions and Catalog'!$H$60+'Assumptions and Catalog'!$E$60+'Assumptions and Catalog'!$F$60,IF(L534&lt;='Assumptions and Catalog'!$C$61,L534*'Assumptions and Catalog'!$H$61+'Assumptions and Catalog'!$E$61+'Assumptions and Catalog'!$F$61,IF(L534&lt;='Assumptions and Catalog'!$C$62,L534*'Assumptions and Catalog'!$H$62+'Assumptions and Catalog'!$E$62+'Assumptions and Catalog'!$F$62,IF(L534&lt;='Assumptions and Catalog'!$C$63,L534*'Assumptions and Catalog'!$H$63+'Assumptions and Catalog'!$E$63+'Assumptions and Catalog'!$F$63,IF(L534&lt;='Assumptions and Catalog'!$C$64,L534*'Assumptions and Catalog'!$H$64+'Assumptions and Catalog'!$E$64+'Assumptions and Catalog'!$F$64,IF(L534&lt;='Assumptions and Catalog'!$C$65,L534*'Assumptions and Catalog'!$H$65+'Assumptions and Catalog'!$E$65+'Assumptions and Catalog'!$F$65,"Out of range")))))))))*(1+'Assumptions and Catalog'!$C$8)^(A534-1),0)</f>
        <v>8279</v>
      </c>
      <c r="O534" s="5">
        <f t="shared" si="39"/>
        <v>0</v>
      </c>
      <c r="P534" s="5">
        <f>D$55*(1-K$14)*(1-'Assumptions and Catalog'!$C$23)^R534</f>
        <v>0</v>
      </c>
      <c r="Q534" s="5">
        <f>IF(ISNUMBER(Inputs!$L$5),(IF(Inputs!$L$9="Actual flat rate",((D534+E534)*C534-G534)*Inputs!$L$10,IF(Inputs!$C$9="Residential",IF(((D534+E534)*C534-G534)&lt;='Assumptions and Catalog'!$C$50,((D534+E534)*C534-G534)*'Assumptions and Catalog'!$H$50+'Assumptions and Catalog'!$E$50+'Assumptions and Catalog'!$F$50,IF(((D534+E534)*C534-G534)&lt;='Assumptions and Catalog'!$C$51,((D534+E534)*C534-G534)*'Assumptions and Catalog'!$H$51+'Assumptions and Catalog'!$E$51+'Assumptions and Catalog'!$F$51,IF(((D534+E534)*C534-G534)&lt;='Assumptions and Catalog'!$C$52,((D534+E534)*C534-G534)*'Assumptions and Catalog'!$H$52+'Assumptions and Catalog'!$E$52+'Assumptions and Catalog'!$F$52,IF(((D534+E534)*C534-G534)&lt;='Assumptions and Catalog'!$C$53,((D534+E534)*C534-G534)*'Assumptions and Catalog'!$H$53+'Assumptions and Catalog'!$E$53+'Assumptions and Catalog'!$F$53,IF(((D534+E534)*C534-G534)&lt;='Assumptions and Catalog'!$C$54,((D534+E534)*C534-G534)*'Assumptions and Catalog'!$H$54+'Assumptions and Catalog'!$E$54+'Assumptions and Catalog'!$F$54,IF(((D534+E534)*C534-G534)&lt;='Assumptions and Catalog'!$C$55,((D534+E534)*C534-G534)*'Assumptions and Catalog'!$H$55+'Assumptions and Catalog'!$E$55+'Assumptions and Catalog'!$F$55,IF(((D534+E534)*C534-G534)&lt;='Assumptions and Catalog'!$C$56,((D534+E534)*C534-G534)*'Assumptions and Catalog'!$H$56+'Assumptions and Catalog'!$E$56+'Assumptions and Catalog'!$F$56,IF(((D534+E534)*C534-G534)&lt;='Assumptions and Catalog'!$C$57,((D534+E534)*C534-G534)*'Assumptions and Catalog'!$H$57+'Assumptions and Catalog'!$E$57+'Assumptions and Catalog'!$F$57,"Out of range")))))))),IF(((D534+E534)*C534-G534)&lt;='Assumptions and Catalog'!$C$60,((D534+E534)*C534-G534)*'Assumptions and Catalog'!$H$60+'Assumptions and Catalog'!$E$60+'Assumptions and Catalog'!$F$60,IF(((D534+E534)*C534-G534)&lt;='Assumptions and Catalog'!$C$61,((D534+E534)*C534-G534)*'Assumptions and Catalog'!$H$61+'Assumptions and Catalog'!$E$61+'Assumptions and Catalog'!$F$61,IF(((D534+E534)*C534-G534)&lt;='Assumptions and Catalog'!$C$62,((D534+E534)*C534-G534)*'Assumptions and Catalog'!$H$62+'Assumptions and Catalog'!$E$62+'Assumptions and Catalog'!$F$62,IF(((D534+E534)*C534-G534)&lt;='Assumptions and Catalog'!$C$63,((D534+E534)*C534-G534)*'Assumptions and Catalog'!$H$63+'Assumptions and Catalog'!$E$63+'Assumptions and Catalog'!$F$63,IF(((D534+E534)*C534-G534)&lt;='Assumptions and Catalog'!$C$64,((D534+E534)*C534-G534)*'Assumptions and Catalog'!$H$64+'Assumptions and Catalog'!$E$64+'Assumptions and Catalog'!$F$64,IF(((D534+E534)*C534-G534)&lt;='Assumptions and Catalog'!$C$65,((D534+E534)*C534-G534)*'Assumptions and Catalog'!$H$65+'Assumptions and Catalog'!$E$65+'Assumptions and Catalog'!$F$65,"Out of range")))))))))*(1+'Assumptions and Catalog'!$C$8)^(A534-1),0)</f>
        <v>8279</v>
      </c>
      <c r="R534" s="5">
        <f>IF(AND('Assumptions and Catalog'!$C$19&gt;0,A534&gt;='Assumptions and Catalog'!$C$19),A534-'Assumptions and Catalog'!$C$19,A534-1)</f>
        <v>0</v>
      </c>
      <c r="S534" s="5">
        <f>F534+L534-(D534+E534)*C534-J534-K534-IF(D$52&gt;0,'Assumptions and Catalog'!$C$26*C534,0)</f>
        <v>0</v>
      </c>
      <c r="T534" s="5"/>
      <c r="U534" s="5"/>
    </row>
    <row r="535" spans="1:21" ht="23.1" customHeight="1" outlineLevel="1" x14ac:dyDescent="0.2">
      <c r="A535" s="5">
        <v>11</v>
      </c>
      <c r="B535" s="5">
        <v>5</v>
      </c>
      <c r="C535" s="5">
        <f>DAY(DATE('Assumptions and Catalog'!$C$24+A535-1,B535+1,0))</f>
        <v>31</v>
      </c>
      <c r="D535" s="5">
        <f>IF(ISNUMBER(Inputs!$L$5),Inputs!$L$5*Inputs!$L$6,0)</f>
        <v>40.35</v>
      </c>
      <c r="E535" s="5">
        <f>IF(ISNUMBER(Inputs!$L$5),Inputs!$L$5-D535,0)</f>
        <v>40.35</v>
      </c>
      <c r="F535" s="5">
        <f>D$51*'Assumptions and Catalog'!$C$31*C535*(1-'Assumptions and Catalog'!$C$10)^(A535-1)</f>
        <v>0</v>
      </c>
      <c r="G535" s="5">
        <f t="shared" si="36"/>
        <v>0</v>
      </c>
      <c r="H535" s="5">
        <f>I535/('Assumptions and Catalog'!$C$11*'Assumptions and Catalog'!$C$12)</f>
        <v>0</v>
      </c>
      <c r="I535" s="5">
        <f>IF(K$15="Grid cycle",MIN(K$16,D535+E535,P535*'Assumptions and Catalog'!$C$12,D$57*(24-'Assumptions and Catalog'!$C$15),D$56*'Assumptions and Catalog'!$C$15*'Assumptions and Catalog'!$C$11*'Assumptions and Catalog'!$C$12)*C535,0)</f>
        <v>0</v>
      </c>
      <c r="J535" s="5">
        <f t="shared" si="37"/>
        <v>0</v>
      </c>
      <c r="K535" s="5">
        <f t="shared" si="38"/>
        <v>0</v>
      </c>
      <c r="L535" s="5">
        <f>(D535+E535)*C535-G535-I535+H535+IF(D$52&gt;0,'Assumptions and Catalog'!$C$26*C535,0)</f>
        <v>2501.7000000000003</v>
      </c>
      <c r="M535" s="5">
        <f>IF(ISNUMBER(Inputs!$L$5),(IF(Inputs!$L$9="Actual flat rate",((D535+E535)*C535)*Inputs!$L$10,IF(Inputs!$C$9="Residential",IF(((D535+E535)*C535)&lt;='Assumptions and Catalog'!$C$50,((D535+E535)*C535)*'Assumptions and Catalog'!$H$50+'Assumptions and Catalog'!$E$50+'Assumptions and Catalog'!$F$50,IF(((D535+E535)*C535)&lt;='Assumptions and Catalog'!$C$51,((D535+E535)*C535)*'Assumptions and Catalog'!$H$51+'Assumptions and Catalog'!$E$51+'Assumptions and Catalog'!$F$51,IF(((D535+E535)*C535)&lt;='Assumptions and Catalog'!$C$52,((D535+E535)*C535)*'Assumptions and Catalog'!$H$52+'Assumptions and Catalog'!$E$52+'Assumptions and Catalog'!$F$52,IF(((D535+E535)*C535)&lt;='Assumptions and Catalog'!$C$53,((D535+E535)*C535)*'Assumptions and Catalog'!$H$53+'Assumptions and Catalog'!$E$53+'Assumptions and Catalog'!$F$53,IF(((D535+E535)*C535)&lt;='Assumptions and Catalog'!$C$54,((D535+E535)*C535)*'Assumptions and Catalog'!$H$54+'Assumptions and Catalog'!$E$54+'Assumptions and Catalog'!$F$54,IF(((D535+E535)*C535)&lt;='Assumptions and Catalog'!$C$55,((D535+E535)*C535)*'Assumptions and Catalog'!$H$55+'Assumptions and Catalog'!$E$55+'Assumptions and Catalog'!$F$55,IF(((D535+E535)*C535)&lt;='Assumptions and Catalog'!$C$56,((D535+E535)*C535)*'Assumptions and Catalog'!$H$56+'Assumptions and Catalog'!$E$56+'Assumptions and Catalog'!$F$56,IF(((D535+E535)*C535)&lt;='Assumptions and Catalog'!$C$57,((D535+E535)*C535)*'Assumptions and Catalog'!$H$57+'Assumptions and Catalog'!$E$57+'Assumptions and Catalog'!$F$57,"Out of range")))))))),IF(((D535+E535)*C535)&lt;='Assumptions and Catalog'!$C$60,((D535+E535)*C535)*'Assumptions and Catalog'!$H$60+'Assumptions and Catalog'!$E$60+'Assumptions and Catalog'!$F$60,IF(((D535+E535)*C535)&lt;='Assumptions and Catalog'!$C$61,((D535+E535)*C535)*'Assumptions and Catalog'!$H$61+'Assumptions and Catalog'!$E$61+'Assumptions and Catalog'!$F$61,IF(((D535+E535)*C535)&lt;='Assumptions and Catalog'!$C$62,((D535+E535)*C535)*'Assumptions and Catalog'!$H$62+'Assumptions and Catalog'!$E$62+'Assumptions and Catalog'!$F$62,IF(((D535+E535)*C535)&lt;='Assumptions and Catalog'!$C$63,((D535+E535)*C535)*'Assumptions and Catalog'!$H$63+'Assumptions and Catalog'!$E$63+'Assumptions and Catalog'!$F$63,IF(((D535+E535)*C535)&lt;='Assumptions and Catalog'!$C$64,((D535+E535)*C535)*'Assumptions and Catalog'!$H$64+'Assumptions and Catalog'!$E$64+'Assumptions and Catalog'!$F$64,IF(((D535+E535)*C535)&lt;='Assumptions and Catalog'!$C$65,((D535+E535)*C535)*'Assumptions and Catalog'!$H$65+'Assumptions and Catalog'!$E$65+'Assumptions and Catalog'!$F$65,"Out of range")))))))))*(1+'Assumptions and Catalog'!$C$8)^(A535-1),0)</f>
        <v>8554.9666666666672</v>
      </c>
      <c r="N535" s="5">
        <f>IF(ISNUMBER(Inputs!$L$5),(IF(Inputs!$L$9="Actual flat rate",L535*Inputs!$L$10,IF(Inputs!$C$9="Residential",IF(L535&lt;='Assumptions and Catalog'!$C$50,L535*'Assumptions and Catalog'!$H$50+'Assumptions and Catalog'!$E$50+'Assumptions and Catalog'!$F$50,IF(L535&lt;='Assumptions and Catalog'!$C$51,L535*'Assumptions and Catalog'!$H$51+'Assumptions and Catalog'!$E$51+'Assumptions and Catalog'!$F$51,IF(L535&lt;='Assumptions and Catalog'!$C$52,L535*'Assumptions and Catalog'!$H$52+'Assumptions and Catalog'!$E$52+'Assumptions and Catalog'!$F$52,IF(L535&lt;='Assumptions and Catalog'!$C$53,L535*'Assumptions and Catalog'!$H$53+'Assumptions and Catalog'!$E$53+'Assumptions and Catalog'!$F$53,IF(L535&lt;='Assumptions and Catalog'!$C$54,L535*'Assumptions and Catalog'!$H$54+'Assumptions and Catalog'!$E$54+'Assumptions and Catalog'!$F$54,IF(L535&lt;='Assumptions and Catalog'!$C$55,L535*'Assumptions and Catalog'!$H$55+'Assumptions and Catalog'!$E$55+'Assumptions and Catalog'!$F$55,IF(L535&lt;='Assumptions and Catalog'!$C$56,L535*'Assumptions and Catalog'!$H$56+'Assumptions and Catalog'!$E$56+'Assumptions and Catalog'!$F$56,IF(L535&lt;='Assumptions and Catalog'!$C$57,L535*'Assumptions and Catalog'!$H$57+'Assumptions and Catalog'!$E$57+'Assumptions and Catalog'!$F$57,"Out of range")))))))),IF(L535&lt;='Assumptions and Catalog'!$C$60,L535*'Assumptions and Catalog'!$H$60+'Assumptions and Catalog'!$E$60+'Assumptions and Catalog'!$F$60,IF(L535&lt;='Assumptions and Catalog'!$C$61,L535*'Assumptions and Catalog'!$H$61+'Assumptions and Catalog'!$E$61+'Assumptions and Catalog'!$F$61,IF(L535&lt;='Assumptions and Catalog'!$C$62,L535*'Assumptions and Catalog'!$H$62+'Assumptions and Catalog'!$E$62+'Assumptions and Catalog'!$F$62,IF(L535&lt;='Assumptions and Catalog'!$C$63,L535*'Assumptions and Catalog'!$H$63+'Assumptions and Catalog'!$E$63+'Assumptions and Catalog'!$F$63,IF(L535&lt;='Assumptions and Catalog'!$C$64,L535*'Assumptions and Catalog'!$H$64+'Assumptions and Catalog'!$E$64+'Assumptions and Catalog'!$F$64,IF(L535&lt;='Assumptions and Catalog'!$C$65,L535*'Assumptions and Catalog'!$H$65+'Assumptions and Catalog'!$E$65+'Assumptions and Catalog'!$F$65,"Out of range")))))))))*(1+'Assumptions and Catalog'!$C$8)^(A535-1),0)</f>
        <v>8554.9666666666672</v>
      </c>
      <c r="O535" s="5">
        <f t="shared" si="39"/>
        <v>0</v>
      </c>
      <c r="P535" s="5">
        <f>D$55*(1-K$14)*(1-'Assumptions and Catalog'!$C$23)^R535</f>
        <v>0</v>
      </c>
      <c r="Q535" s="5">
        <f>IF(ISNUMBER(Inputs!$L$5),(IF(Inputs!$L$9="Actual flat rate",((D535+E535)*C535-G535)*Inputs!$L$10,IF(Inputs!$C$9="Residential",IF(((D535+E535)*C535-G535)&lt;='Assumptions and Catalog'!$C$50,((D535+E535)*C535-G535)*'Assumptions and Catalog'!$H$50+'Assumptions and Catalog'!$E$50+'Assumptions and Catalog'!$F$50,IF(((D535+E535)*C535-G535)&lt;='Assumptions and Catalog'!$C$51,((D535+E535)*C535-G535)*'Assumptions and Catalog'!$H$51+'Assumptions and Catalog'!$E$51+'Assumptions and Catalog'!$F$51,IF(((D535+E535)*C535-G535)&lt;='Assumptions and Catalog'!$C$52,((D535+E535)*C535-G535)*'Assumptions and Catalog'!$H$52+'Assumptions and Catalog'!$E$52+'Assumptions and Catalog'!$F$52,IF(((D535+E535)*C535-G535)&lt;='Assumptions and Catalog'!$C$53,((D535+E535)*C535-G535)*'Assumptions and Catalog'!$H$53+'Assumptions and Catalog'!$E$53+'Assumptions and Catalog'!$F$53,IF(((D535+E535)*C535-G535)&lt;='Assumptions and Catalog'!$C$54,((D535+E535)*C535-G535)*'Assumptions and Catalog'!$H$54+'Assumptions and Catalog'!$E$54+'Assumptions and Catalog'!$F$54,IF(((D535+E535)*C535-G535)&lt;='Assumptions and Catalog'!$C$55,((D535+E535)*C535-G535)*'Assumptions and Catalog'!$H$55+'Assumptions and Catalog'!$E$55+'Assumptions and Catalog'!$F$55,IF(((D535+E535)*C535-G535)&lt;='Assumptions and Catalog'!$C$56,((D535+E535)*C535-G535)*'Assumptions and Catalog'!$H$56+'Assumptions and Catalog'!$E$56+'Assumptions and Catalog'!$F$56,IF(((D535+E535)*C535-G535)&lt;='Assumptions and Catalog'!$C$57,((D535+E535)*C535-G535)*'Assumptions and Catalog'!$H$57+'Assumptions and Catalog'!$E$57+'Assumptions and Catalog'!$F$57,"Out of range")))))))),IF(((D535+E535)*C535-G535)&lt;='Assumptions and Catalog'!$C$60,((D535+E535)*C535-G535)*'Assumptions and Catalog'!$H$60+'Assumptions and Catalog'!$E$60+'Assumptions and Catalog'!$F$60,IF(((D535+E535)*C535-G535)&lt;='Assumptions and Catalog'!$C$61,((D535+E535)*C535-G535)*'Assumptions and Catalog'!$H$61+'Assumptions and Catalog'!$E$61+'Assumptions and Catalog'!$F$61,IF(((D535+E535)*C535-G535)&lt;='Assumptions and Catalog'!$C$62,((D535+E535)*C535-G535)*'Assumptions and Catalog'!$H$62+'Assumptions and Catalog'!$E$62+'Assumptions and Catalog'!$F$62,IF(((D535+E535)*C535-G535)&lt;='Assumptions and Catalog'!$C$63,((D535+E535)*C535-G535)*'Assumptions and Catalog'!$H$63+'Assumptions and Catalog'!$E$63+'Assumptions and Catalog'!$F$63,IF(((D535+E535)*C535-G535)&lt;='Assumptions and Catalog'!$C$64,((D535+E535)*C535-G535)*'Assumptions and Catalog'!$H$64+'Assumptions and Catalog'!$E$64+'Assumptions and Catalog'!$F$64,IF(((D535+E535)*C535-G535)&lt;='Assumptions and Catalog'!$C$65,((D535+E535)*C535-G535)*'Assumptions and Catalog'!$H$65+'Assumptions and Catalog'!$E$65+'Assumptions and Catalog'!$F$65,"Out of range")))))))))*(1+'Assumptions and Catalog'!$C$8)^(A535-1),0)</f>
        <v>8554.9666666666672</v>
      </c>
      <c r="R535" s="5">
        <f>IF(AND('Assumptions and Catalog'!$C$19&gt;0,A535&gt;='Assumptions and Catalog'!$C$19),A535-'Assumptions and Catalog'!$C$19,A535-1)</f>
        <v>0</v>
      </c>
      <c r="S535" s="5">
        <f>F535+L535-(D535+E535)*C535-J535-K535-IF(D$52&gt;0,'Assumptions and Catalog'!$C$26*C535,0)</f>
        <v>0</v>
      </c>
      <c r="T535" s="5"/>
      <c r="U535" s="5"/>
    </row>
    <row r="536" spans="1:21" ht="23.1" customHeight="1" outlineLevel="1" x14ac:dyDescent="0.2">
      <c r="A536" s="5">
        <v>11</v>
      </c>
      <c r="B536" s="5">
        <v>6</v>
      </c>
      <c r="C536" s="5">
        <f>DAY(DATE('Assumptions and Catalog'!$C$24+A536-1,B536+1,0))</f>
        <v>30</v>
      </c>
      <c r="D536" s="5">
        <f>IF(ISNUMBER(Inputs!$L$5),Inputs!$L$5*Inputs!$L$6,0)</f>
        <v>40.35</v>
      </c>
      <c r="E536" s="5">
        <f>IF(ISNUMBER(Inputs!$L$5),Inputs!$L$5-D536,0)</f>
        <v>40.35</v>
      </c>
      <c r="F536" s="5">
        <f>D$51*'Assumptions and Catalog'!$C$31*C536*(1-'Assumptions and Catalog'!$C$10)^(A536-1)</f>
        <v>0</v>
      </c>
      <c r="G536" s="5">
        <f t="shared" si="36"/>
        <v>0</v>
      </c>
      <c r="H536" s="5">
        <f>I536/('Assumptions and Catalog'!$C$11*'Assumptions and Catalog'!$C$12)</f>
        <v>0</v>
      </c>
      <c r="I536" s="5">
        <f>IF(K$15="Grid cycle",MIN(K$16,D536+E536,P536*'Assumptions and Catalog'!$C$12,D$57*(24-'Assumptions and Catalog'!$C$15),D$56*'Assumptions and Catalog'!$C$15*'Assumptions and Catalog'!$C$11*'Assumptions and Catalog'!$C$12)*C536,0)</f>
        <v>0</v>
      </c>
      <c r="J536" s="5">
        <f t="shared" si="37"/>
        <v>0</v>
      </c>
      <c r="K536" s="5">
        <f t="shared" si="38"/>
        <v>0</v>
      </c>
      <c r="L536" s="5">
        <f>(D536+E536)*C536-G536-I536+H536+IF(D$52&gt;0,'Assumptions and Catalog'!$C$26*C536,0)</f>
        <v>2421</v>
      </c>
      <c r="M536" s="5">
        <f>IF(ISNUMBER(Inputs!$L$5),(IF(Inputs!$L$9="Actual flat rate",((D536+E536)*C536)*Inputs!$L$10,IF(Inputs!$C$9="Residential",IF(((D536+E536)*C536)&lt;='Assumptions and Catalog'!$C$50,((D536+E536)*C536)*'Assumptions and Catalog'!$H$50+'Assumptions and Catalog'!$E$50+'Assumptions and Catalog'!$F$50,IF(((D536+E536)*C536)&lt;='Assumptions and Catalog'!$C$51,((D536+E536)*C536)*'Assumptions and Catalog'!$H$51+'Assumptions and Catalog'!$E$51+'Assumptions and Catalog'!$F$51,IF(((D536+E536)*C536)&lt;='Assumptions and Catalog'!$C$52,((D536+E536)*C536)*'Assumptions and Catalog'!$H$52+'Assumptions and Catalog'!$E$52+'Assumptions and Catalog'!$F$52,IF(((D536+E536)*C536)&lt;='Assumptions and Catalog'!$C$53,((D536+E536)*C536)*'Assumptions and Catalog'!$H$53+'Assumptions and Catalog'!$E$53+'Assumptions and Catalog'!$F$53,IF(((D536+E536)*C536)&lt;='Assumptions and Catalog'!$C$54,((D536+E536)*C536)*'Assumptions and Catalog'!$H$54+'Assumptions and Catalog'!$E$54+'Assumptions and Catalog'!$F$54,IF(((D536+E536)*C536)&lt;='Assumptions and Catalog'!$C$55,((D536+E536)*C536)*'Assumptions and Catalog'!$H$55+'Assumptions and Catalog'!$E$55+'Assumptions and Catalog'!$F$55,IF(((D536+E536)*C536)&lt;='Assumptions and Catalog'!$C$56,((D536+E536)*C536)*'Assumptions and Catalog'!$H$56+'Assumptions and Catalog'!$E$56+'Assumptions and Catalog'!$F$56,IF(((D536+E536)*C536)&lt;='Assumptions and Catalog'!$C$57,((D536+E536)*C536)*'Assumptions and Catalog'!$H$57+'Assumptions and Catalog'!$E$57+'Assumptions and Catalog'!$F$57,"Out of range")))))))),IF(((D536+E536)*C536)&lt;='Assumptions and Catalog'!$C$60,((D536+E536)*C536)*'Assumptions and Catalog'!$H$60+'Assumptions and Catalog'!$E$60+'Assumptions and Catalog'!$F$60,IF(((D536+E536)*C536)&lt;='Assumptions and Catalog'!$C$61,((D536+E536)*C536)*'Assumptions and Catalog'!$H$61+'Assumptions and Catalog'!$E$61+'Assumptions and Catalog'!$F$61,IF(((D536+E536)*C536)&lt;='Assumptions and Catalog'!$C$62,((D536+E536)*C536)*'Assumptions and Catalog'!$H$62+'Assumptions and Catalog'!$E$62+'Assumptions and Catalog'!$F$62,IF(((D536+E536)*C536)&lt;='Assumptions and Catalog'!$C$63,((D536+E536)*C536)*'Assumptions and Catalog'!$H$63+'Assumptions and Catalog'!$E$63+'Assumptions and Catalog'!$F$63,IF(((D536+E536)*C536)&lt;='Assumptions and Catalog'!$C$64,((D536+E536)*C536)*'Assumptions and Catalog'!$H$64+'Assumptions and Catalog'!$E$64+'Assumptions and Catalog'!$F$64,IF(((D536+E536)*C536)&lt;='Assumptions and Catalog'!$C$65,((D536+E536)*C536)*'Assumptions and Catalog'!$H$65+'Assumptions and Catalog'!$E$65+'Assumptions and Catalog'!$F$65,"Out of range")))))))))*(1+'Assumptions and Catalog'!$C$8)^(A536-1),0)</f>
        <v>8279</v>
      </c>
      <c r="N536" s="5">
        <f>IF(ISNUMBER(Inputs!$L$5),(IF(Inputs!$L$9="Actual flat rate",L536*Inputs!$L$10,IF(Inputs!$C$9="Residential",IF(L536&lt;='Assumptions and Catalog'!$C$50,L536*'Assumptions and Catalog'!$H$50+'Assumptions and Catalog'!$E$50+'Assumptions and Catalog'!$F$50,IF(L536&lt;='Assumptions and Catalog'!$C$51,L536*'Assumptions and Catalog'!$H$51+'Assumptions and Catalog'!$E$51+'Assumptions and Catalog'!$F$51,IF(L536&lt;='Assumptions and Catalog'!$C$52,L536*'Assumptions and Catalog'!$H$52+'Assumptions and Catalog'!$E$52+'Assumptions and Catalog'!$F$52,IF(L536&lt;='Assumptions and Catalog'!$C$53,L536*'Assumptions and Catalog'!$H$53+'Assumptions and Catalog'!$E$53+'Assumptions and Catalog'!$F$53,IF(L536&lt;='Assumptions and Catalog'!$C$54,L536*'Assumptions and Catalog'!$H$54+'Assumptions and Catalog'!$E$54+'Assumptions and Catalog'!$F$54,IF(L536&lt;='Assumptions and Catalog'!$C$55,L536*'Assumptions and Catalog'!$H$55+'Assumptions and Catalog'!$E$55+'Assumptions and Catalog'!$F$55,IF(L536&lt;='Assumptions and Catalog'!$C$56,L536*'Assumptions and Catalog'!$H$56+'Assumptions and Catalog'!$E$56+'Assumptions and Catalog'!$F$56,IF(L536&lt;='Assumptions and Catalog'!$C$57,L536*'Assumptions and Catalog'!$H$57+'Assumptions and Catalog'!$E$57+'Assumptions and Catalog'!$F$57,"Out of range")))))))),IF(L536&lt;='Assumptions and Catalog'!$C$60,L536*'Assumptions and Catalog'!$H$60+'Assumptions and Catalog'!$E$60+'Assumptions and Catalog'!$F$60,IF(L536&lt;='Assumptions and Catalog'!$C$61,L536*'Assumptions and Catalog'!$H$61+'Assumptions and Catalog'!$E$61+'Assumptions and Catalog'!$F$61,IF(L536&lt;='Assumptions and Catalog'!$C$62,L536*'Assumptions and Catalog'!$H$62+'Assumptions and Catalog'!$E$62+'Assumptions and Catalog'!$F$62,IF(L536&lt;='Assumptions and Catalog'!$C$63,L536*'Assumptions and Catalog'!$H$63+'Assumptions and Catalog'!$E$63+'Assumptions and Catalog'!$F$63,IF(L536&lt;='Assumptions and Catalog'!$C$64,L536*'Assumptions and Catalog'!$H$64+'Assumptions and Catalog'!$E$64+'Assumptions and Catalog'!$F$64,IF(L536&lt;='Assumptions and Catalog'!$C$65,L536*'Assumptions and Catalog'!$H$65+'Assumptions and Catalog'!$E$65+'Assumptions and Catalog'!$F$65,"Out of range")))))))))*(1+'Assumptions and Catalog'!$C$8)^(A536-1),0)</f>
        <v>8279</v>
      </c>
      <c r="O536" s="5">
        <f t="shared" si="39"/>
        <v>0</v>
      </c>
      <c r="P536" s="5">
        <f>D$55*(1-K$14)*(1-'Assumptions and Catalog'!$C$23)^R536</f>
        <v>0</v>
      </c>
      <c r="Q536" s="5">
        <f>IF(ISNUMBER(Inputs!$L$5),(IF(Inputs!$L$9="Actual flat rate",((D536+E536)*C536-G536)*Inputs!$L$10,IF(Inputs!$C$9="Residential",IF(((D536+E536)*C536-G536)&lt;='Assumptions and Catalog'!$C$50,((D536+E536)*C536-G536)*'Assumptions and Catalog'!$H$50+'Assumptions and Catalog'!$E$50+'Assumptions and Catalog'!$F$50,IF(((D536+E536)*C536-G536)&lt;='Assumptions and Catalog'!$C$51,((D536+E536)*C536-G536)*'Assumptions and Catalog'!$H$51+'Assumptions and Catalog'!$E$51+'Assumptions and Catalog'!$F$51,IF(((D536+E536)*C536-G536)&lt;='Assumptions and Catalog'!$C$52,((D536+E536)*C536-G536)*'Assumptions and Catalog'!$H$52+'Assumptions and Catalog'!$E$52+'Assumptions and Catalog'!$F$52,IF(((D536+E536)*C536-G536)&lt;='Assumptions and Catalog'!$C$53,((D536+E536)*C536-G536)*'Assumptions and Catalog'!$H$53+'Assumptions and Catalog'!$E$53+'Assumptions and Catalog'!$F$53,IF(((D536+E536)*C536-G536)&lt;='Assumptions and Catalog'!$C$54,((D536+E536)*C536-G536)*'Assumptions and Catalog'!$H$54+'Assumptions and Catalog'!$E$54+'Assumptions and Catalog'!$F$54,IF(((D536+E536)*C536-G536)&lt;='Assumptions and Catalog'!$C$55,((D536+E536)*C536-G536)*'Assumptions and Catalog'!$H$55+'Assumptions and Catalog'!$E$55+'Assumptions and Catalog'!$F$55,IF(((D536+E536)*C536-G536)&lt;='Assumptions and Catalog'!$C$56,((D536+E536)*C536-G536)*'Assumptions and Catalog'!$H$56+'Assumptions and Catalog'!$E$56+'Assumptions and Catalog'!$F$56,IF(((D536+E536)*C536-G536)&lt;='Assumptions and Catalog'!$C$57,((D536+E536)*C536-G536)*'Assumptions and Catalog'!$H$57+'Assumptions and Catalog'!$E$57+'Assumptions and Catalog'!$F$57,"Out of range")))))))),IF(((D536+E536)*C536-G536)&lt;='Assumptions and Catalog'!$C$60,((D536+E536)*C536-G536)*'Assumptions and Catalog'!$H$60+'Assumptions and Catalog'!$E$60+'Assumptions and Catalog'!$F$60,IF(((D536+E536)*C536-G536)&lt;='Assumptions and Catalog'!$C$61,((D536+E536)*C536-G536)*'Assumptions and Catalog'!$H$61+'Assumptions and Catalog'!$E$61+'Assumptions and Catalog'!$F$61,IF(((D536+E536)*C536-G536)&lt;='Assumptions and Catalog'!$C$62,((D536+E536)*C536-G536)*'Assumptions and Catalog'!$H$62+'Assumptions and Catalog'!$E$62+'Assumptions and Catalog'!$F$62,IF(((D536+E536)*C536-G536)&lt;='Assumptions and Catalog'!$C$63,((D536+E536)*C536-G536)*'Assumptions and Catalog'!$H$63+'Assumptions and Catalog'!$E$63+'Assumptions and Catalog'!$F$63,IF(((D536+E536)*C536-G536)&lt;='Assumptions and Catalog'!$C$64,((D536+E536)*C536-G536)*'Assumptions and Catalog'!$H$64+'Assumptions and Catalog'!$E$64+'Assumptions and Catalog'!$F$64,IF(((D536+E536)*C536-G536)&lt;='Assumptions and Catalog'!$C$65,((D536+E536)*C536-G536)*'Assumptions and Catalog'!$H$65+'Assumptions and Catalog'!$E$65+'Assumptions and Catalog'!$F$65,"Out of range")))))))))*(1+'Assumptions and Catalog'!$C$8)^(A536-1),0)</f>
        <v>8279</v>
      </c>
      <c r="R536" s="5">
        <f>IF(AND('Assumptions and Catalog'!$C$19&gt;0,A536&gt;='Assumptions and Catalog'!$C$19),A536-'Assumptions and Catalog'!$C$19,A536-1)</f>
        <v>0</v>
      </c>
      <c r="S536" s="5">
        <f>F536+L536-(D536+E536)*C536-J536-K536-IF(D$52&gt;0,'Assumptions and Catalog'!$C$26*C536,0)</f>
        <v>0</v>
      </c>
      <c r="T536" s="5"/>
      <c r="U536" s="5"/>
    </row>
    <row r="537" spans="1:21" ht="23.1" customHeight="1" outlineLevel="1" x14ac:dyDescent="0.2">
      <c r="A537" s="5">
        <v>11</v>
      </c>
      <c r="B537" s="5">
        <v>7</v>
      </c>
      <c r="C537" s="5">
        <f>DAY(DATE('Assumptions and Catalog'!$C$24+A537-1,B537+1,0))</f>
        <v>31</v>
      </c>
      <c r="D537" s="5">
        <f>IF(ISNUMBER(Inputs!$L$5),Inputs!$L$5*Inputs!$L$6,0)</f>
        <v>40.35</v>
      </c>
      <c r="E537" s="5">
        <f>IF(ISNUMBER(Inputs!$L$5),Inputs!$L$5-D537,0)</f>
        <v>40.35</v>
      </c>
      <c r="F537" s="5">
        <f>D$51*'Assumptions and Catalog'!$C$31*C537*(1-'Assumptions and Catalog'!$C$10)^(A537-1)</f>
        <v>0</v>
      </c>
      <c r="G537" s="5">
        <f t="shared" si="36"/>
        <v>0</v>
      </c>
      <c r="H537" s="5">
        <f>I537/('Assumptions and Catalog'!$C$11*'Assumptions and Catalog'!$C$12)</f>
        <v>0</v>
      </c>
      <c r="I537" s="5">
        <f>IF(K$15="Grid cycle",MIN(K$16,D537+E537,P537*'Assumptions and Catalog'!$C$12,D$57*(24-'Assumptions and Catalog'!$C$15),D$56*'Assumptions and Catalog'!$C$15*'Assumptions and Catalog'!$C$11*'Assumptions and Catalog'!$C$12)*C537,0)</f>
        <v>0</v>
      </c>
      <c r="J537" s="5">
        <f t="shared" si="37"/>
        <v>0</v>
      </c>
      <c r="K537" s="5">
        <f t="shared" si="38"/>
        <v>0</v>
      </c>
      <c r="L537" s="5">
        <f>(D537+E537)*C537-G537-I537+H537+IF(D$52&gt;0,'Assumptions and Catalog'!$C$26*C537,0)</f>
        <v>2501.7000000000003</v>
      </c>
      <c r="M537" s="5">
        <f>IF(ISNUMBER(Inputs!$L$5),(IF(Inputs!$L$9="Actual flat rate",((D537+E537)*C537)*Inputs!$L$10,IF(Inputs!$C$9="Residential",IF(((D537+E537)*C537)&lt;='Assumptions and Catalog'!$C$50,((D537+E537)*C537)*'Assumptions and Catalog'!$H$50+'Assumptions and Catalog'!$E$50+'Assumptions and Catalog'!$F$50,IF(((D537+E537)*C537)&lt;='Assumptions and Catalog'!$C$51,((D537+E537)*C537)*'Assumptions and Catalog'!$H$51+'Assumptions and Catalog'!$E$51+'Assumptions and Catalog'!$F$51,IF(((D537+E537)*C537)&lt;='Assumptions and Catalog'!$C$52,((D537+E537)*C537)*'Assumptions and Catalog'!$H$52+'Assumptions and Catalog'!$E$52+'Assumptions and Catalog'!$F$52,IF(((D537+E537)*C537)&lt;='Assumptions and Catalog'!$C$53,((D537+E537)*C537)*'Assumptions and Catalog'!$H$53+'Assumptions and Catalog'!$E$53+'Assumptions and Catalog'!$F$53,IF(((D537+E537)*C537)&lt;='Assumptions and Catalog'!$C$54,((D537+E537)*C537)*'Assumptions and Catalog'!$H$54+'Assumptions and Catalog'!$E$54+'Assumptions and Catalog'!$F$54,IF(((D537+E537)*C537)&lt;='Assumptions and Catalog'!$C$55,((D537+E537)*C537)*'Assumptions and Catalog'!$H$55+'Assumptions and Catalog'!$E$55+'Assumptions and Catalog'!$F$55,IF(((D537+E537)*C537)&lt;='Assumptions and Catalog'!$C$56,((D537+E537)*C537)*'Assumptions and Catalog'!$H$56+'Assumptions and Catalog'!$E$56+'Assumptions and Catalog'!$F$56,IF(((D537+E537)*C537)&lt;='Assumptions and Catalog'!$C$57,((D537+E537)*C537)*'Assumptions and Catalog'!$H$57+'Assumptions and Catalog'!$E$57+'Assumptions and Catalog'!$F$57,"Out of range")))))))),IF(((D537+E537)*C537)&lt;='Assumptions and Catalog'!$C$60,((D537+E537)*C537)*'Assumptions and Catalog'!$H$60+'Assumptions and Catalog'!$E$60+'Assumptions and Catalog'!$F$60,IF(((D537+E537)*C537)&lt;='Assumptions and Catalog'!$C$61,((D537+E537)*C537)*'Assumptions and Catalog'!$H$61+'Assumptions and Catalog'!$E$61+'Assumptions and Catalog'!$F$61,IF(((D537+E537)*C537)&lt;='Assumptions and Catalog'!$C$62,((D537+E537)*C537)*'Assumptions and Catalog'!$H$62+'Assumptions and Catalog'!$E$62+'Assumptions and Catalog'!$F$62,IF(((D537+E537)*C537)&lt;='Assumptions and Catalog'!$C$63,((D537+E537)*C537)*'Assumptions and Catalog'!$H$63+'Assumptions and Catalog'!$E$63+'Assumptions and Catalog'!$F$63,IF(((D537+E537)*C537)&lt;='Assumptions and Catalog'!$C$64,((D537+E537)*C537)*'Assumptions and Catalog'!$H$64+'Assumptions and Catalog'!$E$64+'Assumptions and Catalog'!$F$64,IF(((D537+E537)*C537)&lt;='Assumptions and Catalog'!$C$65,((D537+E537)*C537)*'Assumptions and Catalog'!$H$65+'Assumptions and Catalog'!$E$65+'Assumptions and Catalog'!$F$65,"Out of range")))))))))*(1+'Assumptions and Catalog'!$C$8)^(A537-1),0)</f>
        <v>8554.9666666666672</v>
      </c>
      <c r="N537" s="5">
        <f>IF(ISNUMBER(Inputs!$L$5),(IF(Inputs!$L$9="Actual flat rate",L537*Inputs!$L$10,IF(Inputs!$C$9="Residential",IF(L537&lt;='Assumptions and Catalog'!$C$50,L537*'Assumptions and Catalog'!$H$50+'Assumptions and Catalog'!$E$50+'Assumptions and Catalog'!$F$50,IF(L537&lt;='Assumptions and Catalog'!$C$51,L537*'Assumptions and Catalog'!$H$51+'Assumptions and Catalog'!$E$51+'Assumptions and Catalog'!$F$51,IF(L537&lt;='Assumptions and Catalog'!$C$52,L537*'Assumptions and Catalog'!$H$52+'Assumptions and Catalog'!$E$52+'Assumptions and Catalog'!$F$52,IF(L537&lt;='Assumptions and Catalog'!$C$53,L537*'Assumptions and Catalog'!$H$53+'Assumptions and Catalog'!$E$53+'Assumptions and Catalog'!$F$53,IF(L537&lt;='Assumptions and Catalog'!$C$54,L537*'Assumptions and Catalog'!$H$54+'Assumptions and Catalog'!$E$54+'Assumptions and Catalog'!$F$54,IF(L537&lt;='Assumptions and Catalog'!$C$55,L537*'Assumptions and Catalog'!$H$55+'Assumptions and Catalog'!$E$55+'Assumptions and Catalog'!$F$55,IF(L537&lt;='Assumptions and Catalog'!$C$56,L537*'Assumptions and Catalog'!$H$56+'Assumptions and Catalog'!$E$56+'Assumptions and Catalog'!$F$56,IF(L537&lt;='Assumptions and Catalog'!$C$57,L537*'Assumptions and Catalog'!$H$57+'Assumptions and Catalog'!$E$57+'Assumptions and Catalog'!$F$57,"Out of range")))))))),IF(L537&lt;='Assumptions and Catalog'!$C$60,L537*'Assumptions and Catalog'!$H$60+'Assumptions and Catalog'!$E$60+'Assumptions and Catalog'!$F$60,IF(L537&lt;='Assumptions and Catalog'!$C$61,L537*'Assumptions and Catalog'!$H$61+'Assumptions and Catalog'!$E$61+'Assumptions and Catalog'!$F$61,IF(L537&lt;='Assumptions and Catalog'!$C$62,L537*'Assumptions and Catalog'!$H$62+'Assumptions and Catalog'!$E$62+'Assumptions and Catalog'!$F$62,IF(L537&lt;='Assumptions and Catalog'!$C$63,L537*'Assumptions and Catalog'!$H$63+'Assumptions and Catalog'!$E$63+'Assumptions and Catalog'!$F$63,IF(L537&lt;='Assumptions and Catalog'!$C$64,L537*'Assumptions and Catalog'!$H$64+'Assumptions and Catalog'!$E$64+'Assumptions and Catalog'!$F$64,IF(L537&lt;='Assumptions and Catalog'!$C$65,L537*'Assumptions and Catalog'!$H$65+'Assumptions and Catalog'!$E$65+'Assumptions and Catalog'!$F$65,"Out of range")))))))))*(1+'Assumptions and Catalog'!$C$8)^(A537-1),0)</f>
        <v>8554.9666666666672</v>
      </c>
      <c r="O537" s="5">
        <f t="shared" si="39"/>
        <v>0</v>
      </c>
      <c r="P537" s="5">
        <f>D$55*(1-K$14)*(1-'Assumptions and Catalog'!$C$23)^R537</f>
        <v>0</v>
      </c>
      <c r="Q537" s="5">
        <f>IF(ISNUMBER(Inputs!$L$5),(IF(Inputs!$L$9="Actual flat rate",((D537+E537)*C537-G537)*Inputs!$L$10,IF(Inputs!$C$9="Residential",IF(((D537+E537)*C537-G537)&lt;='Assumptions and Catalog'!$C$50,((D537+E537)*C537-G537)*'Assumptions and Catalog'!$H$50+'Assumptions and Catalog'!$E$50+'Assumptions and Catalog'!$F$50,IF(((D537+E537)*C537-G537)&lt;='Assumptions and Catalog'!$C$51,((D537+E537)*C537-G537)*'Assumptions and Catalog'!$H$51+'Assumptions and Catalog'!$E$51+'Assumptions and Catalog'!$F$51,IF(((D537+E537)*C537-G537)&lt;='Assumptions and Catalog'!$C$52,((D537+E537)*C537-G537)*'Assumptions and Catalog'!$H$52+'Assumptions and Catalog'!$E$52+'Assumptions and Catalog'!$F$52,IF(((D537+E537)*C537-G537)&lt;='Assumptions and Catalog'!$C$53,((D537+E537)*C537-G537)*'Assumptions and Catalog'!$H$53+'Assumptions and Catalog'!$E$53+'Assumptions and Catalog'!$F$53,IF(((D537+E537)*C537-G537)&lt;='Assumptions and Catalog'!$C$54,((D537+E537)*C537-G537)*'Assumptions and Catalog'!$H$54+'Assumptions and Catalog'!$E$54+'Assumptions and Catalog'!$F$54,IF(((D537+E537)*C537-G537)&lt;='Assumptions and Catalog'!$C$55,((D537+E537)*C537-G537)*'Assumptions and Catalog'!$H$55+'Assumptions and Catalog'!$E$55+'Assumptions and Catalog'!$F$55,IF(((D537+E537)*C537-G537)&lt;='Assumptions and Catalog'!$C$56,((D537+E537)*C537-G537)*'Assumptions and Catalog'!$H$56+'Assumptions and Catalog'!$E$56+'Assumptions and Catalog'!$F$56,IF(((D537+E537)*C537-G537)&lt;='Assumptions and Catalog'!$C$57,((D537+E537)*C537-G537)*'Assumptions and Catalog'!$H$57+'Assumptions and Catalog'!$E$57+'Assumptions and Catalog'!$F$57,"Out of range")))))))),IF(((D537+E537)*C537-G537)&lt;='Assumptions and Catalog'!$C$60,((D537+E537)*C537-G537)*'Assumptions and Catalog'!$H$60+'Assumptions and Catalog'!$E$60+'Assumptions and Catalog'!$F$60,IF(((D537+E537)*C537-G537)&lt;='Assumptions and Catalog'!$C$61,((D537+E537)*C537-G537)*'Assumptions and Catalog'!$H$61+'Assumptions and Catalog'!$E$61+'Assumptions and Catalog'!$F$61,IF(((D537+E537)*C537-G537)&lt;='Assumptions and Catalog'!$C$62,((D537+E537)*C537-G537)*'Assumptions and Catalog'!$H$62+'Assumptions and Catalog'!$E$62+'Assumptions and Catalog'!$F$62,IF(((D537+E537)*C537-G537)&lt;='Assumptions and Catalog'!$C$63,((D537+E537)*C537-G537)*'Assumptions and Catalog'!$H$63+'Assumptions and Catalog'!$E$63+'Assumptions and Catalog'!$F$63,IF(((D537+E537)*C537-G537)&lt;='Assumptions and Catalog'!$C$64,((D537+E537)*C537-G537)*'Assumptions and Catalog'!$H$64+'Assumptions and Catalog'!$E$64+'Assumptions and Catalog'!$F$64,IF(((D537+E537)*C537-G537)&lt;='Assumptions and Catalog'!$C$65,((D537+E537)*C537-G537)*'Assumptions and Catalog'!$H$65+'Assumptions and Catalog'!$E$65+'Assumptions and Catalog'!$F$65,"Out of range")))))))))*(1+'Assumptions and Catalog'!$C$8)^(A537-1),0)</f>
        <v>8554.9666666666672</v>
      </c>
      <c r="R537" s="5">
        <f>IF(AND('Assumptions and Catalog'!$C$19&gt;0,A537&gt;='Assumptions and Catalog'!$C$19),A537-'Assumptions and Catalog'!$C$19,A537-1)</f>
        <v>0</v>
      </c>
      <c r="S537" s="5">
        <f>F537+L537-(D537+E537)*C537-J537-K537-IF(D$52&gt;0,'Assumptions and Catalog'!$C$26*C537,0)</f>
        <v>0</v>
      </c>
      <c r="T537" s="5"/>
      <c r="U537" s="5"/>
    </row>
    <row r="538" spans="1:21" ht="23.1" customHeight="1" outlineLevel="1" x14ac:dyDescent="0.2">
      <c r="A538" s="5">
        <v>11</v>
      </c>
      <c r="B538" s="5">
        <v>8</v>
      </c>
      <c r="C538" s="5">
        <f>DAY(DATE('Assumptions and Catalog'!$C$24+A538-1,B538+1,0))</f>
        <v>31</v>
      </c>
      <c r="D538" s="5">
        <f>IF(ISNUMBER(Inputs!$L$5),Inputs!$L$5*Inputs!$L$6,0)</f>
        <v>40.35</v>
      </c>
      <c r="E538" s="5">
        <f>IF(ISNUMBER(Inputs!$L$5),Inputs!$L$5-D538,0)</f>
        <v>40.35</v>
      </c>
      <c r="F538" s="5">
        <f>D$51*'Assumptions and Catalog'!$C$31*C538*(1-'Assumptions and Catalog'!$C$10)^(A538-1)</f>
        <v>0</v>
      </c>
      <c r="G538" s="5">
        <f t="shared" si="36"/>
        <v>0</v>
      </c>
      <c r="H538" s="5">
        <f>I538/('Assumptions and Catalog'!$C$11*'Assumptions and Catalog'!$C$12)</f>
        <v>0</v>
      </c>
      <c r="I538" s="5">
        <f>IF(K$15="Grid cycle",MIN(K$16,D538+E538,P538*'Assumptions and Catalog'!$C$12,D$57*(24-'Assumptions and Catalog'!$C$15),D$56*'Assumptions and Catalog'!$C$15*'Assumptions and Catalog'!$C$11*'Assumptions and Catalog'!$C$12)*C538,0)</f>
        <v>0</v>
      </c>
      <c r="J538" s="5">
        <f t="shared" si="37"/>
        <v>0</v>
      </c>
      <c r="K538" s="5">
        <f t="shared" si="38"/>
        <v>0</v>
      </c>
      <c r="L538" s="5">
        <f>(D538+E538)*C538-G538-I538+H538+IF(D$52&gt;0,'Assumptions and Catalog'!$C$26*C538,0)</f>
        <v>2501.7000000000003</v>
      </c>
      <c r="M538" s="5">
        <f>IF(ISNUMBER(Inputs!$L$5),(IF(Inputs!$L$9="Actual flat rate",((D538+E538)*C538)*Inputs!$L$10,IF(Inputs!$C$9="Residential",IF(((D538+E538)*C538)&lt;='Assumptions and Catalog'!$C$50,((D538+E538)*C538)*'Assumptions and Catalog'!$H$50+'Assumptions and Catalog'!$E$50+'Assumptions and Catalog'!$F$50,IF(((D538+E538)*C538)&lt;='Assumptions and Catalog'!$C$51,((D538+E538)*C538)*'Assumptions and Catalog'!$H$51+'Assumptions and Catalog'!$E$51+'Assumptions and Catalog'!$F$51,IF(((D538+E538)*C538)&lt;='Assumptions and Catalog'!$C$52,((D538+E538)*C538)*'Assumptions and Catalog'!$H$52+'Assumptions and Catalog'!$E$52+'Assumptions and Catalog'!$F$52,IF(((D538+E538)*C538)&lt;='Assumptions and Catalog'!$C$53,((D538+E538)*C538)*'Assumptions and Catalog'!$H$53+'Assumptions and Catalog'!$E$53+'Assumptions and Catalog'!$F$53,IF(((D538+E538)*C538)&lt;='Assumptions and Catalog'!$C$54,((D538+E538)*C538)*'Assumptions and Catalog'!$H$54+'Assumptions and Catalog'!$E$54+'Assumptions and Catalog'!$F$54,IF(((D538+E538)*C538)&lt;='Assumptions and Catalog'!$C$55,((D538+E538)*C538)*'Assumptions and Catalog'!$H$55+'Assumptions and Catalog'!$E$55+'Assumptions and Catalog'!$F$55,IF(((D538+E538)*C538)&lt;='Assumptions and Catalog'!$C$56,((D538+E538)*C538)*'Assumptions and Catalog'!$H$56+'Assumptions and Catalog'!$E$56+'Assumptions and Catalog'!$F$56,IF(((D538+E538)*C538)&lt;='Assumptions and Catalog'!$C$57,((D538+E538)*C538)*'Assumptions and Catalog'!$H$57+'Assumptions and Catalog'!$E$57+'Assumptions and Catalog'!$F$57,"Out of range")))))))),IF(((D538+E538)*C538)&lt;='Assumptions and Catalog'!$C$60,((D538+E538)*C538)*'Assumptions and Catalog'!$H$60+'Assumptions and Catalog'!$E$60+'Assumptions and Catalog'!$F$60,IF(((D538+E538)*C538)&lt;='Assumptions and Catalog'!$C$61,((D538+E538)*C538)*'Assumptions and Catalog'!$H$61+'Assumptions and Catalog'!$E$61+'Assumptions and Catalog'!$F$61,IF(((D538+E538)*C538)&lt;='Assumptions and Catalog'!$C$62,((D538+E538)*C538)*'Assumptions and Catalog'!$H$62+'Assumptions and Catalog'!$E$62+'Assumptions and Catalog'!$F$62,IF(((D538+E538)*C538)&lt;='Assumptions and Catalog'!$C$63,((D538+E538)*C538)*'Assumptions and Catalog'!$H$63+'Assumptions and Catalog'!$E$63+'Assumptions and Catalog'!$F$63,IF(((D538+E538)*C538)&lt;='Assumptions and Catalog'!$C$64,((D538+E538)*C538)*'Assumptions and Catalog'!$H$64+'Assumptions and Catalog'!$E$64+'Assumptions and Catalog'!$F$64,IF(((D538+E538)*C538)&lt;='Assumptions and Catalog'!$C$65,((D538+E538)*C538)*'Assumptions and Catalog'!$H$65+'Assumptions and Catalog'!$E$65+'Assumptions and Catalog'!$F$65,"Out of range")))))))))*(1+'Assumptions and Catalog'!$C$8)^(A538-1),0)</f>
        <v>8554.9666666666672</v>
      </c>
      <c r="N538" s="5">
        <f>IF(ISNUMBER(Inputs!$L$5),(IF(Inputs!$L$9="Actual flat rate",L538*Inputs!$L$10,IF(Inputs!$C$9="Residential",IF(L538&lt;='Assumptions and Catalog'!$C$50,L538*'Assumptions and Catalog'!$H$50+'Assumptions and Catalog'!$E$50+'Assumptions and Catalog'!$F$50,IF(L538&lt;='Assumptions and Catalog'!$C$51,L538*'Assumptions and Catalog'!$H$51+'Assumptions and Catalog'!$E$51+'Assumptions and Catalog'!$F$51,IF(L538&lt;='Assumptions and Catalog'!$C$52,L538*'Assumptions and Catalog'!$H$52+'Assumptions and Catalog'!$E$52+'Assumptions and Catalog'!$F$52,IF(L538&lt;='Assumptions and Catalog'!$C$53,L538*'Assumptions and Catalog'!$H$53+'Assumptions and Catalog'!$E$53+'Assumptions and Catalog'!$F$53,IF(L538&lt;='Assumptions and Catalog'!$C$54,L538*'Assumptions and Catalog'!$H$54+'Assumptions and Catalog'!$E$54+'Assumptions and Catalog'!$F$54,IF(L538&lt;='Assumptions and Catalog'!$C$55,L538*'Assumptions and Catalog'!$H$55+'Assumptions and Catalog'!$E$55+'Assumptions and Catalog'!$F$55,IF(L538&lt;='Assumptions and Catalog'!$C$56,L538*'Assumptions and Catalog'!$H$56+'Assumptions and Catalog'!$E$56+'Assumptions and Catalog'!$F$56,IF(L538&lt;='Assumptions and Catalog'!$C$57,L538*'Assumptions and Catalog'!$H$57+'Assumptions and Catalog'!$E$57+'Assumptions and Catalog'!$F$57,"Out of range")))))))),IF(L538&lt;='Assumptions and Catalog'!$C$60,L538*'Assumptions and Catalog'!$H$60+'Assumptions and Catalog'!$E$60+'Assumptions and Catalog'!$F$60,IF(L538&lt;='Assumptions and Catalog'!$C$61,L538*'Assumptions and Catalog'!$H$61+'Assumptions and Catalog'!$E$61+'Assumptions and Catalog'!$F$61,IF(L538&lt;='Assumptions and Catalog'!$C$62,L538*'Assumptions and Catalog'!$H$62+'Assumptions and Catalog'!$E$62+'Assumptions and Catalog'!$F$62,IF(L538&lt;='Assumptions and Catalog'!$C$63,L538*'Assumptions and Catalog'!$H$63+'Assumptions and Catalog'!$E$63+'Assumptions and Catalog'!$F$63,IF(L538&lt;='Assumptions and Catalog'!$C$64,L538*'Assumptions and Catalog'!$H$64+'Assumptions and Catalog'!$E$64+'Assumptions and Catalog'!$F$64,IF(L538&lt;='Assumptions and Catalog'!$C$65,L538*'Assumptions and Catalog'!$H$65+'Assumptions and Catalog'!$E$65+'Assumptions and Catalog'!$F$65,"Out of range")))))))))*(1+'Assumptions and Catalog'!$C$8)^(A538-1),0)</f>
        <v>8554.9666666666672</v>
      </c>
      <c r="O538" s="5">
        <f t="shared" si="39"/>
        <v>0</v>
      </c>
      <c r="P538" s="5">
        <f>D$55*(1-K$14)*(1-'Assumptions and Catalog'!$C$23)^R538</f>
        <v>0</v>
      </c>
      <c r="Q538" s="5">
        <f>IF(ISNUMBER(Inputs!$L$5),(IF(Inputs!$L$9="Actual flat rate",((D538+E538)*C538-G538)*Inputs!$L$10,IF(Inputs!$C$9="Residential",IF(((D538+E538)*C538-G538)&lt;='Assumptions and Catalog'!$C$50,((D538+E538)*C538-G538)*'Assumptions and Catalog'!$H$50+'Assumptions and Catalog'!$E$50+'Assumptions and Catalog'!$F$50,IF(((D538+E538)*C538-G538)&lt;='Assumptions and Catalog'!$C$51,((D538+E538)*C538-G538)*'Assumptions and Catalog'!$H$51+'Assumptions and Catalog'!$E$51+'Assumptions and Catalog'!$F$51,IF(((D538+E538)*C538-G538)&lt;='Assumptions and Catalog'!$C$52,((D538+E538)*C538-G538)*'Assumptions and Catalog'!$H$52+'Assumptions and Catalog'!$E$52+'Assumptions and Catalog'!$F$52,IF(((D538+E538)*C538-G538)&lt;='Assumptions and Catalog'!$C$53,((D538+E538)*C538-G538)*'Assumptions and Catalog'!$H$53+'Assumptions and Catalog'!$E$53+'Assumptions and Catalog'!$F$53,IF(((D538+E538)*C538-G538)&lt;='Assumptions and Catalog'!$C$54,((D538+E538)*C538-G538)*'Assumptions and Catalog'!$H$54+'Assumptions and Catalog'!$E$54+'Assumptions and Catalog'!$F$54,IF(((D538+E538)*C538-G538)&lt;='Assumptions and Catalog'!$C$55,((D538+E538)*C538-G538)*'Assumptions and Catalog'!$H$55+'Assumptions and Catalog'!$E$55+'Assumptions and Catalog'!$F$55,IF(((D538+E538)*C538-G538)&lt;='Assumptions and Catalog'!$C$56,((D538+E538)*C538-G538)*'Assumptions and Catalog'!$H$56+'Assumptions and Catalog'!$E$56+'Assumptions and Catalog'!$F$56,IF(((D538+E538)*C538-G538)&lt;='Assumptions and Catalog'!$C$57,((D538+E538)*C538-G538)*'Assumptions and Catalog'!$H$57+'Assumptions and Catalog'!$E$57+'Assumptions and Catalog'!$F$57,"Out of range")))))))),IF(((D538+E538)*C538-G538)&lt;='Assumptions and Catalog'!$C$60,((D538+E538)*C538-G538)*'Assumptions and Catalog'!$H$60+'Assumptions and Catalog'!$E$60+'Assumptions and Catalog'!$F$60,IF(((D538+E538)*C538-G538)&lt;='Assumptions and Catalog'!$C$61,((D538+E538)*C538-G538)*'Assumptions and Catalog'!$H$61+'Assumptions and Catalog'!$E$61+'Assumptions and Catalog'!$F$61,IF(((D538+E538)*C538-G538)&lt;='Assumptions and Catalog'!$C$62,((D538+E538)*C538-G538)*'Assumptions and Catalog'!$H$62+'Assumptions and Catalog'!$E$62+'Assumptions and Catalog'!$F$62,IF(((D538+E538)*C538-G538)&lt;='Assumptions and Catalog'!$C$63,((D538+E538)*C538-G538)*'Assumptions and Catalog'!$H$63+'Assumptions and Catalog'!$E$63+'Assumptions and Catalog'!$F$63,IF(((D538+E538)*C538-G538)&lt;='Assumptions and Catalog'!$C$64,((D538+E538)*C538-G538)*'Assumptions and Catalog'!$H$64+'Assumptions and Catalog'!$E$64+'Assumptions and Catalog'!$F$64,IF(((D538+E538)*C538-G538)&lt;='Assumptions and Catalog'!$C$65,((D538+E538)*C538-G538)*'Assumptions and Catalog'!$H$65+'Assumptions and Catalog'!$E$65+'Assumptions and Catalog'!$F$65,"Out of range")))))))))*(1+'Assumptions and Catalog'!$C$8)^(A538-1),0)</f>
        <v>8554.9666666666672</v>
      </c>
      <c r="R538" s="5">
        <f>IF(AND('Assumptions and Catalog'!$C$19&gt;0,A538&gt;='Assumptions and Catalog'!$C$19),A538-'Assumptions and Catalog'!$C$19,A538-1)</f>
        <v>0</v>
      </c>
      <c r="S538" s="5">
        <f>F538+L538-(D538+E538)*C538-J538-K538-IF(D$52&gt;0,'Assumptions and Catalog'!$C$26*C538,0)</f>
        <v>0</v>
      </c>
      <c r="T538" s="5"/>
      <c r="U538" s="5"/>
    </row>
    <row r="539" spans="1:21" ht="23.1" customHeight="1" outlineLevel="1" x14ac:dyDescent="0.2">
      <c r="A539" s="5">
        <v>11</v>
      </c>
      <c r="B539" s="5">
        <v>9</v>
      </c>
      <c r="C539" s="5">
        <f>DAY(DATE('Assumptions and Catalog'!$C$24+A539-1,B539+1,0))</f>
        <v>30</v>
      </c>
      <c r="D539" s="5">
        <f>IF(ISNUMBER(Inputs!$L$5),Inputs!$L$5*Inputs!$L$6,0)</f>
        <v>40.35</v>
      </c>
      <c r="E539" s="5">
        <f>IF(ISNUMBER(Inputs!$L$5),Inputs!$L$5-D539,0)</f>
        <v>40.35</v>
      </c>
      <c r="F539" s="5">
        <f>D$51*'Assumptions and Catalog'!$C$31*C539*(1-'Assumptions and Catalog'!$C$10)^(A539-1)</f>
        <v>0</v>
      </c>
      <c r="G539" s="5">
        <f t="shared" ref="G539:G602" si="40">MIN(F539,D539*C539)</f>
        <v>0</v>
      </c>
      <c r="H539" s="5">
        <f>I539/('Assumptions and Catalog'!$C$11*'Assumptions and Catalog'!$C$12)</f>
        <v>0</v>
      </c>
      <c r="I539" s="5">
        <f>IF(K$15="Grid cycle",MIN(K$16,D539+E539,P539*'Assumptions and Catalog'!$C$12,D$57*(24-'Assumptions and Catalog'!$C$15),D$56*'Assumptions and Catalog'!$C$15*'Assumptions and Catalog'!$C$11*'Assumptions and Catalog'!$C$12)*C539,0)</f>
        <v>0</v>
      </c>
      <c r="J539" s="5">
        <f t="shared" ref="J539:J602" si="41">MAX(F539-G539-0,0)</f>
        <v>0</v>
      </c>
      <c r="K539" s="5">
        <f t="shared" ref="K539:K602" si="42">H539-I539</f>
        <v>0</v>
      </c>
      <c r="L539" s="5">
        <f>(D539+E539)*C539-G539-I539+H539+IF(D$52&gt;0,'Assumptions and Catalog'!$C$26*C539,0)</f>
        <v>2421</v>
      </c>
      <c r="M539" s="5">
        <f>IF(ISNUMBER(Inputs!$L$5),(IF(Inputs!$L$9="Actual flat rate",((D539+E539)*C539)*Inputs!$L$10,IF(Inputs!$C$9="Residential",IF(((D539+E539)*C539)&lt;='Assumptions and Catalog'!$C$50,((D539+E539)*C539)*'Assumptions and Catalog'!$H$50+'Assumptions and Catalog'!$E$50+'Assumptions and Catalog'!$F$50,IF(((D539+E539)*C539)&lt;='Assumptions and Catalog'!$C$51,((D539+E539)*C539)*'Assumptions and Catalog'!$H$51+'Assumptions and Catalog'!$E$51+'Assumptions and Catalog'!$F$51,IF(((D539+E539)*C539)&lt;='Assumptions and Catalog'!$C$52,((D539+E539)*C539)*'Assumptions and Catalog'!$H$52+'Assumptions and Catalog'!$E$52+'Assumptions and Catalog'!$F$52,IF(((D539+E539)*C539)&lt;='Assumptions and Catalog'!$C$53,((D539+E539)*C539)*'Assumptions and Catalog'!$H$53+'Assumptions and Catalog'!$E$53+'Assumptions and Catalog'!$F$53,IF(((D539+E539)*C539)&lt;='Assumptions and Catalog'!$C$54,((D539+E539)*C539)*'Assumptions and Catalog'!$H$54+'Assumptions and Catalog'!$E$54+'Assumptions and Catalog'!$F$54,IF(((D539+E539)*C539)&lt;='Assumptions and Catalog'!$C$55,((D539+E539)*C539)*'Assumptions and Catalog'!$H$55+'Assumptions and Catalog'!$E$55+'Assumptions and Catalog'!$F$55,IF(((D539+E539)*C539)&lt;='Assumptions and Catalog'!$C$56,((D539+E539)*C539)*'Assumptions and Catalog'!$H$56+'Assumptions and Catalog'!$E$56+'Assumptions and Catalog'!$F$56,IF(((D539+E539)*C539)&lt;='Assumptions and Catalog'!$C$57,((D539+E539)*C539)*'Assumptions and Catalog'!$H$57+'Assumptions and Catalog'!$E$57+'Assumptions and Catalog'!$F$57,"Out of range")))))))),IF(((D539+E539)*C539)&lt;='Assumptions and Catalog'!$C$60,((D539+E539)*C539)*'Assumptions and Catalog'!$H$60+'Assumptions and Catalog'!$E$60+'Assumptions and Catalog'!$F$60,IF(((D539+E539)*C539)&lt;='Assumptions and Catalog'!$C$61,((D539+E539)*C539)*'Assumptions and Catalog'!$H$61+'Assumptions and Catalog'!$E$61+'Assumptions and Catalog'!$F$61,IF(((D539+E539)*C539)&lt;='Assumptions and Catalog'!$C$62,((D539+E539)*C539)*'Assumptions and Catalog'!$H$62+'Assumptions and Catalog'!$E$62+'Assumptions and Catalog'!$F$62,IF(((D539+E539)*C539)&lt;='Assumptions and Catalog'!$C$63,((D539+E539)*C539)*'Assumptions and Catalog'!$H$63+'Assumptions and Catalog'!$E$63+'Assumptions and Catalog'!$F$63,IF(((D539+E539)*C539)&lt;='Assumptions and Catalog'!$C$64,((D539+E539)*C539)*'Assumptions and Catalog'!$H$64+'Assumptions and Catalog'!$E$64+'Assumptions and Catalog'!$F$64,IF(((D539+E539)*C539)&lt;='Assumptions and Catalog'!$C$65,((D539+E539)*C539)*'Assumptions and Catalog'!$H$65+'Assumptions and Catalog'!$E$65+'Assumptions and Catalog'!$F$65,"Out of range")))))))))*(1+'Assumptions and Catalog'!$C$8)^(A539-1),0)</f>
        <v>8279</v>
      </c>
      <c r="N539" s="5">
        <f>IF(ISNUMBER(Inputs!$L$5),(IF(Inputs!$L$9="Actual flat rate",L539*Inputs!$L$10,IF(Inputs!$C$9="Residential",IF(L539&lt;='Assumptions and Catalog'!$C$50,L539*'Assumptions and Catalog'!$H$50+'Assumptions and Catalog'!$E$50+'Assumptions and Catalog'!$F$50,IF(L539&lt;='Assumptions and Catalog'!$C$51,L539*'Assumptions and Catalog'!$H$51+'Assumptions and Catalog'!$E$51+'Assumptions and Catalog'!$F$51,IF(L539&lt;='Assumptions and Catalog'!$C$52,L539*'Assumptions and Catalog'!$H$52+'Assumptions and Catalog'!$E$52+'Assumptions and Catalog'!$F$52,IF(L539&lt;='Assumptions and Catalog'!$C$53,L539*'Assumptions and Catalog'!$H$53+'Assumptions and Catalog'!$E$53+'Assumptions and Catalog'!$F$53,IF(L539&lt;='Assumptions and Catalog'!$C$54,L539*'Assumptions and Catalog'!$H$54+'Assumptions and Catalog'!$E$54+'Assumptions and Catalog'!$F$54,IF(L539&lt;='Assumptions and Catalog'!$C$55,L539*'Assumptions and Catalog'!$H$55+'Assumptions and Catalog'!$E$55+'Assumptions and Catalog'!$F$55,IF(L539&lt;='Assumptions and Catalog'!$C$56,L539*'Assumptions and Catalog'!$H$56+'Assumptions and Catalog'!$E$56+'Assumptions and Catalog'!$F$56,IF(L539&lt;='Assumptions and Catalog'!$C$57,L539*'Assumptions and Catalog'!$H$57+'Assumptions and Catalog'!$E$57+'Assumptions and Catalog'!$F$57,"Out of range")))))))),IF(L539&lt;='Assumptions and Catalog'!$C$60,L539*'Assumptions and Catalog'!$H$60+'Assumptions and Catalog'!$E$60+'Assumptions and Catalog'!$F$60,IF(L539&lt;='Assumptions and Catalog'!$C$61,L539*'Assumptions and Catalog'!$H$61+'Assumptions and Catalog'!$E$61+'Assumptions and Catalog'!$F$61,IF(L539&lt;='Assumptions and Catalog'!$C$62,L539*'Assumptions and Catalog'!$H$62+'Assumptions and Catalog'!$E$62+'Assumptions and Catalog'!$F$62,IF(L539&lt;='Assumptions and Catalog'!$C$63,L539*'Assumptions and Catalog'!$H$63+'Assumptions and Catalog'!$E$63+'Assumptions and Catalog'!$F$63,IF(L539&lt;='Assumptions and Catalog'!$C$64,L539*'Assumptions and Catalog'!$H$64+'Assumptions and Catalog'!$E$64+'Assumptions and Catalog'!$F$64,IF(L539&lt;='Assumptions and Catalog'!$C$65,L539*'Assumptions and Catalog'!$H$65+'Assumptions and Catalog'!$E$65+'Assumptions and Catalog'!$F$65,"Out of range")))))))))*(1+'Assumptions and Catalog'!$C$8)^(A539-1),0)</f>
        <v>8279</v>
      </c>
      <c r="O539" s="5">
        <f t="shared" ref="O539:O602" si="43">M539-N539</f>
        <v>0</v>
      </c>
      <c r="P539" s="5">
        <f>D$55*(1-K$14)*(1-'Assumptions and Catalog'!$C$23)^R539</f>
        <v>0</v>
      </c>
      <c r="Q539" s="5">
        <f>IF(ISNUMBER(Inputs!$L$5),(IF(Inputs!$L$9="Actual flat rate",((D539+E539)*C539-G539)*Inputs!$L$10,IF(Inputs!$C$9="Residential",IF(((D539+E539)*C539-G539)&lt;='Assumptions and Catalog'!$C$50,((D539+E539)*C539-G539)*'Assumptions and Catalog'!$H$50+'Assumptions and Catalog'!$E$50+'Assumptions and Catalog'!$F$50,IF(((D539+E539)*C539-G539)&lt;='Assumptions and Catalog'!$C$51,((D539+E539)*C539-G539)*'Assumptions and Catalog'!$H$51+'Assumptions and Catalog'!$E$51+'Assumptions and Catalog'!$F$51,IF(((D539+E539)*C539-G539)&lt;='Assumptions and Catalog'!$C$52,((D539+E539)*C539-G539)*'Assumptions and Catalog'!$H$52+'Assumptions and Catalog'!$E$52+'Assumptions and Catalog'!$F$52,IF(((D539+E539)*C539-G539)&lt;='Assumptions and Catalog'!$C$53,((D539+E539)*C539-G539)*'Assumptions and Catalog'!$H$53+'Assumptions and Catalog'!$E$53+'Assumptions and Catalog'!$F$53,IF(((D539+E539)*C539-G539)&lt;='Assumptions and Catalog'!$C$54,((D539+E539)*C539-G539)*'Assumptions and Catalog'!$H$54+'Assumptions and Catalog'!$E$54+'Assumptions and Catalog'!$F$54,IF(((D539+E539)*C539-G539)&lt;='Assumptions and Catalog'!$C$55,((D539+E539)*C539-G539)*'Assumptions and Catalog'!$H$55+'Assumptions and Catalog'!$E$55+'Assumptions and Catalog'!$F$55,IF(((D539+E539)*C539-G539)&lt;='Assumptions and Catalog'!$C$56,((D539+E539)*C539-G539)*'Assumptions and Catalog'!$H$56+'Assumptions and Catalog'!$E$56+'Assumptions and Catalog'!$F$56,IF(((D539+E539)*C539-G539)&lt;='Assumptions and Catalog'!$C$57,((D539+E539)*C539-G539)*'Assumptions and Catalog'!$H$57+'Assumptions and Catalog'!$E$57+'Assumptions and Catalog'!$F$57,"Out of range")))))))),IF(((D539+E539)*C539-G539)&lt;='Assumptions and Catalog'!$C$60,((D539+E539)*C539-G539)*'Assumptions and Catalog'!$H$60+'Assumptions and Catalog'!$E$60+'Assumptions and Catalog'!$F$60,IF(((D539+E539)*C539-G539)&lt;='Assumptions and Catalog'!$C$61,((D539+E539)*C539-G539)*'Assumptions and Catalog'!$H$61+'Assumptions and Catalog'!$E$61+'Assumptions and Catalog'!$F$61,IF(((D539+E539)*C539-G539)&lt;='Assumptions and Catalog'!$C$62,((D539+E539)*C539-G539)*'Assumptions and Catalog'!$H$62+'Assumptions and Catalog'!$E$62+'Assumptions and Catalog'!$F$62,IF(((D539+E539)*C539-G539)&lt;='Assumptions and Catalog'!$C$63,((D539+E539)*C539-G539)*'Assumptions and Catalog'!$H$63+'Assumptions and Catalog'!$E$63+'Assumptions and Catalog'!$F$63,IF(((D539+E539)*C539-G539)&lt;='Assumptions and Catalog'!$C$64,((D539+E539)*C539-G539)*'Assumptions and Catalog'!$H$64+'Assumptions and Catalog'!$E$64+'Assumptions and Catalog'!$F$64,IF(((D539+E539)*C539-G539)&lt;='Assumptions and Catalog'!$C$65,((D539+E539)*C539-G539)*'Assumptions and Catalog'!$H$65+'Assumptions and Catalog'!$E$65+'Assumptions and Catalog'!$F$65,"Out of range")))))))))*(1+'Assumptions and Catalog'!$C$8)^(A539-1),0)</f>
        <v>8279</v>
      </c>
      <c r="R539" s="5">
        <f>IF(AND('Assumptions and Catalog'!$C$19&gt;0,A539&gt;='Assumptions and Catalog'!$C$19),A539-'Assumptions and Catalog'!$C$19,A539-1)</f>
        <v>0</v>
      </c>
      <c r="S539" s="5">
        <f>F539+L539-(D539+E539)*C539-J539-K539-IF(D$52&gt;0,'Assumptions and Catalog'!$C$26*C539,0)</f>
        <v>0</v>
      </c>
      <c r="T539" s="5"/>
      <c r="U539" s="5"/>
    </row>
    <row r="540" spans="1:21" ht="23.1" customHeight="1" outlineLevel="1" x14ac:dyDescent="0.2">
      <c r="A540" s="5">
        <v>11</v>
      </c>
      <c r="B540" s="5">
        <v>10</v>
      </c>
      <c r="C540" s="5">
        <f>DAY(DATE('Assumptions and Catalog'!$C$24+A540-1,B540+1,0))</f>
        <v>31</v>
      </c>
      <c r="D540" s="5">
        <f>IF(ISNUMBER(Inputs!$L$5),Inputs!$L$5*Inputs!$L$6,0)</f>
        <v>40.35</v>
      </c>
      <c r="E540" s="5">
        <f>IF(ISNUMBER(Inputs!$L$5),Inputs!$L$5-D540,0)</f>
        <v>40.35</v>
      </c>
      <c r="F540" s="5">
        <f>D$51*'Assumptions and Catalog'!$C$31*C540*(1-'Assumptions and Catalog'!$C$10)^(A540-1)</f>
        <v>0</v>
      </c>
      <c r="G540" s="5">
        <f t="shared" si="40"/>
        <v>0</v>
      </c>
      <c r="H540" s="5">
        <f>I540/('Assumptions and Catalog'!$C$11*'Assumptions and Catalog'!$C$12)</f>
        <v>0</v>
      </c>
      <c r="I540" s="5">
        <f>IF(K$15="Grid cycle",MIN(K$16,D540+E540,P540*'Assumptions and Catalog'!$C$12,D$57*(24-'Assumptions and Catalog'!$C$15),D$56*'Assumptions and Catalog'!$C$15*'Assumptions and Catalog'!$C$11*'Assumptions and Catalog'!$C$12)*C540,0)</f>
        <v>0</v>
      </c>
      <c r="J540" s="5">
        <f t="shared" si="41"/>
        <v>0</v>
      </c>
      <c r="K540" s="5">
        <f t="shared" si="42"/>
        <v>0</v>
      </c>
      <c r="L540" s="5">
        <f>(D540+E540)*C540-G540-I540+H540+IF(D$52&gt;0,'Assumptions and Catalog'!$C$26*C540,0)</f>
        <v>2501.7000000000003</v>
      </c>
      <c r="M540" s="5">
        <f>IF(ISNUMBER(Inputs!$L$5),(IF(Inputs!$L$9="Actual flat rate",((D540+E540)*C540)*Inputs!$L$10,IF(Inputs!$C$9="Residential",IF(((D540+E540)*C540)&lt;='Assumptions and Catalog'!$C$50,((D540+E540)*C540)*'Assumptions and Catalog'!$H$50+'Assumptions and Catalog'!$E$50+'Assumptions and Catalog'!$F$50,IF(((D540+E540)*C540)&lt;='Assumptions and Catalog'!$C$51,((D540+E540)*C540)*'Assumptions and Catalog'!$H$51+'Assumptions and Catalog'!$E$51+'Assumptions and Catalog'!$F$51,IF(((D540+E540)*C540)&lt;='Assumptions and Catalog'!$C$52,((D540+E540)*C540)*'Assumptions and Catalog'!$H$52+'Assumptions and Catalog'!$E$52+'Assumptions and Catalog'!$F$52,IF(((D540+E540)*C540)&lt;='Assumptions and Catalog'!$C$53,((D540+E540)*C540)*'Assumptions and Catalog'!$H$53+'Assumptions and Catalog'!$E$53+'Assumptions and Catalog'!$F$53,IF(((D540+E540)*C540)&lt;='Assumptions and Catalog'!$C$54,((D540+E540)*C540)*'Assumptions and Catalog'!$H$54+'Assumptions and Catalog'!$E$54+'Assumptions and Catalog'!$F$54,IF(((D540+E540)*C540)&lt;='Assumptions and Catalog'!$C$55,((D540+E540)*C540)*'Assumptions and Catalog'!$H$55+'Assumptions and Catalog'!$E$55+'Assumptions and Catalog'!$F$55,IF(((D540+E540)*C540)&lt;='Assumptions and Catalog'!$C$56,((D540+E540)*C540)*'Assumptions and Catalog'!$H$56+'Assumptions and Catalog'!$E$56+'Assumptions and Catalog'!$F$56,IF(((D540+E540)*C540)&lt;='Assumptions and Catalog'!$C$57,((D540+E540)*C540)*'Assumptions and Catalog'!$H$57+'Assumptions and Catalog'!$E$57+'Assumptions and Catalog'!$F$57,"Out of range")))))))),IF(((D540+E540)*C540)&lt;='Assumptions and Catalog'!$C$60,((D540+E540)*C540)*'Assumptions and Catalog'!$H$60+'Assumptions and Catalog'!$E$60+'Assumptions and Catalog'!$F$60,IF(((D540+E540)*C540)&lt;='Assumptions and Catalog'!$C$61,((D540+E540)*C540)*'Assumptions and Catalog'!$H$61+'Assumptions and Catalog'!$E$61+'Assumptions and Catalog'!$F$61,IF(((D540+E540)*C540)&lt;='Assumptions and Catalog'!$C$62,((D540+E540)*C540)*'Assumptions and Catalog'!$H$62+'Assumptions and Catalog'!$E$62+'Assumptions and Catalog'!$F$62,IF(((D540+E540)*C540)&lt;='Assumptions and Catalog'!$C$63,((D540+E540)*C540)*'Assumptions and Catalog'!$H$63+'Assumptions and Catalog'!$E$63+'Assumptions and Catalog'!$F$63,IF(((D540+E540)*C540)&lt;='Assumptions and Catalog'!$C$64,((D540+E540)*C540)*'Assumptions and Catalog'!$H$64+'Assumptions and Catalog'!$E$64+'Assumptions and Catalog'!$F$64,IF(((D540+E540)*C540)&lt;='Assumptions and Catalog'!$C$65,((D540+E540)*C540)*'Assumptions and Catalog'!$H$65+'Assumptions and Catalog'!$E$65+'Assumptions and Catalog'!$F$65,"Out of range")))))))))*(1+'Assumptions and Catalog'!$C$8)^(A540-1),0)</f>
        <v>8554.9666666666672</v>
      </c>
      <c r="N540" s="5">
        <f>IF(ISNUMBER(Inputs!$L$5),(IF(Inputs!$L$9="Actual flat rate",L540*Inputs!$L$10,IF(Inputs!$C$9="Residential",IF(L540&lt;='Assumptions and Catalog'!$C$50,L540*'Assumptions and Catalog'!$H$50+'Assumptions and Catalog'!$E$50+'Assumptions and Catalog'!$F$50,IF(L540&lt;='Assumptions and Catalog'!$C$51,L540*'Assumptions and Catalog'!$H$51+'Assumptions and Catalog'!$E$51+'Assumptions and Catalog'!$F$51,IF(L540&lt;='Assumptions and Catalog'!$C$52,L540*'Assumptions and Catalog'!$H$52+'Assumptions and Catalog'!$E$52+'Assumptions and Catalog'!$F$52,IF(L540&lt;='Assumptions and Catalog'!$C$53,L540*'Assumptions and Catalog'!$H$53+'Assumptions and Catalog'!$E$53+'Assumptions and Catalog'!$F$53,IF(L540&lt;='Assumptions and Catalog'!$C$54,L540*'Assumptions and Catalog'!$H$54+'Assumptions and Catalog'!$E$54+'Assumptions and Catalog'!$F$54,IF(L540&lt;='Assumptions and Catalog'!$C$55,L540*'Assumptions and Catalog'!$H$55+'Assumptions and Catalog'!$E$55+'Assumptions and Catalog'!$F$55,IF(L540&lt;='Assumptions and Catalog'!$C$56,L540*'Assumptions and Catalog'!$H$56+'Assumptions and Catalog'!$E$56+'Assumptions and Catalog'!$F$56,IF(L540&lt;='Assumptions and Catalog'!$C$57,L540*'Assumptions and Catalog'!$H$57+'Assumptions and Catalog'!$E$57+'Assumptions and Catalog'!$F$57,"Out of range")))))))),IF(L540&lt;='Assumptions and Catalog'!$C$60,L540*'Assumptions and Catalog'!$H$60+'Assumptions and Catalog'!$E$60+'Assumptions and Catalog'!$F$60,IF(L540&lt;='Assumptions and Catalog'!$C$61,L540*'Assumptions and Catalog'!$H$61+'Assumptions and Catalog'!$E$61+'Assumptions and Catalog'!$F$61,IF(L540&lt;='Assumptions and Catalog'!$C$62,L540*'Assumptions and Catalog'!$H$62+'Assumptions and Catalog'!$E$62+'Assumptions and Catalog'!$F$62,IF(L540&lt;='Assumptions and Catalog'!$C$63,L540*'Assumptions and Catalog'!$H$63+'Assumptions and Catalog'!$E$63+'Assumptions and Catalog'!$F$63,IF(L540&lt;='Assumptions and Catalog'!$C$64,L540*'Assumptions and Catalog'!$H$64+'Assumptions and Catalog'!$E$64+'Assumptions and Catalog'!$F$64,IF(L540&lt;='Assumptions and Catalog'!$C$65,L540*'Assumptions and Catalog'!$H$65+'Assumptions and Catalog'!$E$65+'Assumptions and Catalog'!$F$65,"Out of range")))))))))*(1+'Assumptions and Catalog'!$C$8)^(A540-1),0)</f>
        <v>8554.9666666666672</v>
      </c>
      <c r="O540" s="5">
        <f t="shared" si="43"/>
        <v>0</v>
      </c>
      <c r="P540" s="5">
        <f>D$55*(1-K$14)*(1-'Assumptions and Catalog'!$C$23)^R540</f>
        <v>0</v>
      </c>
      <c r="Q540" s="5">
        <f>IF(ISNUMBER(Inputs!$L$5),(IF(Inputs!$L$9="Actual flat rate",((D540+E540)*C540-G540)*Inputs!$L$10,IF(Inputs!$C$9="Residential",IF(((D540+E540)*C540-G540)&lt;='Assumptions and Catalog'!$C$50,((D540+E540)*C540-G540)*'Assumptions and Catalog'!$H$50+'Assumptions and Catalog'!$E$50+'Assumptions and Catalog'!$F$50,IF(((D540+E540)*C540-G540)&lt;='Assumptions and Catalog'!$C$51,((D540+E540)*C540-G540)*'Assumptions and Catalog'!$H$51+'Assumptions and Catalog'!$E$51+'Assumptions and Catalog'!$F$51,IF(((D540+E540)*C540-G540)&lt;='Assumptions and Catalog'!$C$52,((D540+E540)*C540-G540)*'Assumptions and Catalog'!$H$52+'Assumptions and Catalog'!$E$52+'Assumptions and Catalog'!$F$52,IF(((D540+E540)*C540-G540)&lt;='Assumptions and Catalog'!$C$53,((D540+E540)*C540-G540)*'Assumptions and Catalog'!$H$53+'Assumptions and Catalog'!$E$53+'Assumptions and Catalog'!$F$53,IF(((D540+E540)*C540-G540)&lt;='Assumptions and Catalog'!$C$54,((D540+E540)*C540-G540)*'Assumptions and Catalog'!$H$54+'Assumptions and Catalog'!$E$54+'Assumptions and Catalog'!$F$54,IF(((D540+E540)*C540-G540)&lt;='Assumptions and Catalog'!$C$55,((D540+E540)*C540-G540)*'Assumptions and Catalog'!$H$55+'Assumptions and Catalog'!$E$55+'Assumptions and Catalog'!$F$55,IF(((D540+E540)*C540-G540)&lt;='Assumptions and Catalog'!$C$56,((D540+E540)*C540-G540)*'Assumptions and Catalog'!$H$56+'Assumptions and Catalog'!$E$56+'Assumptions and Catalog'!$F$56,IF(((D540+E540)*C540-G540)&lt;='Assumptions and Catalog'!$C$57,((D540+E540)*C540-G540)*'Assumptions and Catalog'!$H$57+'Assumptions and Catalog'!$E$57+'Assumptions and Catalog'!$F$57,"Out of range")))))))),IF(((D540+E540)*C540-G540)&lt;='Assumptions and Catalog'!$C$60,((D540+E540)*C540-G540)*'Assumptions and Catalog'!$H$60+'Assumptions and Catalog'!$E$60+'Assumptions and Catalog'!$F$60,IF(((D540+E540)*C540-G540)&lt;='Assumptions and Catalog'!$C$61,((D540+E540)*C540-G540)*'Assumptions and Catalog'!$H$61+'Assumptions and Catalog'!$E$61+'Assumptions and Catalog'!$F$61,IF(((D540+E540)*C540-G540)&lt;='Assumptions and Catalog'!$C$62,((D540+E540)*C540-G540)*'Assumptions and Catalog'!$H$62+'Assumptions and Catalog'!$E$62+'Assumptions and Catalog'!$F$62,IF(((D540+E540)*C540-G540)&lt;='Assumptions and Catalog'!$C$63,((D540+E540)*C540-G540)*'Assumptions and Catalog'!$H$63+'Assumptions and Catalog'!$E$63+'Assumptions and Catalog'!$F$63,IF(((D540+E540)*C540-G540)&lt;='Assumptions and Catalog'!$C$64,((D540+E540)*C540-G540)*'Assumptions and Catalog'!$H$64+'Assumptions and Catalog'!$E$64+'Assumptions and Catalog'!$F$64,IF(((D540+E540)*C540-G540)&lt;='Assumptions and Catalog'!$C$65,((D540+E540)*C540-G540)*'Assumptions and Catalog'!$H$65+'Assumptions and Catalog'!$E$65+'Assumptions and Catalog'!$F$65,"Out of range")))))))))*(1+'Assumptions and Catalog'!$C$8)^(A540-1),0)</f>
        <v>8554.9666666666672</v>
      </c>
      <c r="R540" s="5">
        <f>IF(AND('Assumptions and Catalog'!$C$19&gt;0,A540&gt;='Assumptions and Catalog'!$C$19),A540-'Assumptions and Catalog'!$C$19,A540-1)</f>
        <v>0</v>
      </c>
      <c r="S540" s="5">
        <f>F540+L540-(D540+E540)*C540-J540-K540-IF(D$52&gt;0,'Assumptions and Catalog'!$C$26*C540,0)</f>
        <v>0</v>
      </c>
      <c r="T540" s="5"/>
      <c r="U540" s="5"/>
    </row>
    <row r="541" spans="1:21" ht="23.1" customHeight="1" outlineLevel="1" x14ac:dyDescent="0.2">
      <c r="A541" s="5">
        <v>11</v>
      </c>
      <c r="B541" s="5">
        <v>11</v>
      </c>
      <c r="C541" s="5">
        <f>DAY(DATE('Assumptions and Catalog'!$C$24+A541-1,B541+1,0))</f>
        <v>30</v>
      </c>
      <c r="D541" s="5">
        <f>IF(ISNUMBER(Inputs!$L$5),Inputs!$L$5*Inputs!$L$6,0)</f>
        <v>40.35</v>
      </c>
      <c r="E541" s="5">
        <f>IF(ISNUMBER(Inputs!$L$5),Inputs!$L$5-D541,0)</f>
        <v>40.35</v>
      </c>
      <c r="F541" s="5">
        <f>D$51*'Assumptions and Catalog'!$C$31*C541*(1-'Assumptions and Catalog'!$C$10)^(A541-1)</f>
        <v>0</v>
      </c>
      <c r="G541" s="5">
        <f t="shared" si="40"/>
        <v>0</v>
      </c>
      <c r="H541" s="5">
        <f>I541/('Assumptions and Catalog'!$C$11*'Assumptions and Catalog'!$C$12)</f>
        <v>0</v>
      </c>
      <c r="I541" s="5">
        <f>IF(K$15="Grid cycle",MIN(K$16,D541+E541,P541*'Assumptions and Catalog'!$C$12,D$57*(24-'Assumptions and Catalog'!$C$15),D$56*'Assumptions and Catalog'!$C$15*'Assumptions and Catalog'!$C$11*'Assumptions and Catalog'!$C$12)*C541,0)</f>
        <v>0</v>
      </c>
      <c r="J541" s="5">
        <f t="shared" si="41"/>
        <v>0</v>
      </c>
      <c r="K541" s="5">
        <f t="shared" si="42"/>
        <v>0</v>
      </c>
      <c r="L541" s="5">
        <f>(D541+E541)*C541-G541-I541+H541+IF(D$52&gt;0,'Assumptions and Catalog'!$C$26*C541,0)</f>
        <v>2421</v>
      </c>
      <c r="M541" s="5">
        <f>IF(ISNUMBER(Inputs!$L$5),(IF(Inputs!$L$9="Actual flat rate",((D541+E541)*C541)*Inputs!$L$10,IF(Inputs!$C$9="Residential",IF(((D541+E541)*C541)&lt;='Assumptions and Catalog'!$C$50,((D541+E541)*C541)*'Assumptions and Catalog'!$H$50+'Assumptions and Catalog'!$E$50+'Assumptions and Catalog'!$F$50,IF(((D541+E541)*C541)&lt;='Assumptions and Catalog'!$C$51,((D541+E541)*C541)*'Assumptions and Catalog'!$H$51+'Assumptions and Catalog'!$E$51+'Assumptions and Catalog'!$F$51,IF(((D541+E541)*C541)&lt;='Assumptions and Catalog'!$C$52,((D541+E541)*C541)*'Assumptions and Catalog'!$H$52+'Assumptions and Catalog'!$E$52+'Assumptions and Catalog'!$F$52,IF(((D541+E541)*C541)&lt;='Assumptions and Catalog'!$C$53,((D541+E541)*C541)*'Assumptions and Catalog'!$H$53+'Assumptions and Catalog'!$E$53+'Assumptions and Catalog'!$F$53,IF(((D541+E541)*C541)&lt;='Assumptions and Catalog'!$C$54,((D541+E541)*C541)*'Assumptions and Catalog'!$H$54+'Assumptions and Catalog'!$E$54+'Assumptions and Catalog'!$F$54,IF(((D541+E541)*C541)&lt;='Assumptions and Catalog'!$C$55,((D541+E541)*C541)*'Assumptions and Catalog'!$H$55+'Assumptions and Catalog'!$E$55+'Assumptions and Catalog'!$F$55,IF(((D541+E541)*C541)&lt;='Assumptions and Catalog'!$C$56,((D541+E541)*C541)*'Assumptions and Catalog'!$H$56+'Assumptions and Catalog'!$E$56+'Assumptions and Catalog'!$F$56,IF(((D541+E541)*C541)&lt;='Assumptions and Catalog'!$C$57,((D541+E541)*C541)*'Assumptions and Catalog'!$H$57+'Assumptions and Catalog'!$E$57+'Assumptions and Catalog'!$F$57,"Out of range")))))))),IF(((D541+E541)*C541)&lt;='Assumptions and Catalog'!$C$60,((D541+E541)*C541)*'Assumptions and Catalog'!$H$60+'Assumptions and Catalog'!$E$60+'Assumptions and Catalog'!$F$60,IF(((D541+E541)*C541)&lt;='Assumptions and Catalog'!$C$61,((D541+E541)*C541)*'Assumptions and Catalog'!$H$61+'Assumptions and Catalog'!$E$61+'Assumptions and Catalog'!$F$61,IF(((D541+E541)*C541)&lt;='Assumptions and Catalog'!$C$62,((D541+E541)*C541)*'Assumptions and Catalog'!$H$62+'Assumptions and Catalog'!$E$62+'Assumptions and Catalog'!$F$62,IF(((D541+E541)*C541)&lt;='Assumptions and Catalog'!$C$63,((D541+E541)*C541)*'Assumptions and Catalog'!$H$63+'Assumptions and Catalog'!$E$63+'Assumptions and Catalog'!$F$63,IF(((D541+E541)*C541)&lt;='Assumptions and Catalog'!$C$64,((D541+E541)*C541)*'Assumptions and Catalog'!$H$64+'Assumptions and Catalog'!$E$64+'Assumptions and Catalog'!$F$64,IF(((D541+E541)*C541)&lt;='Assumptions and Catalog'!$C$65,((D541+E541)*C541)*'Assumptions and Catalog'!$H$65+'Assumptions and Catalog'!$E$65+'Assumptions and Catalog'!$F$65,"Out of range")))))))))*(1+'Assumptions and Catalog'!$C$8)^(A541-1),0)</f>
        <v>8279</v>
      </c>
      <c r="N541" s="5">
        <f>IF(ISNUMBER(Inputs!$L$5),(IF(Inputs!$L$9="Actual flat rate",L541*Inputs!$L$10,IF(Inputs!$C$9="Residential",IF(L541&lt;='Assumptions and Catalog'!$C$50,L541*'Assumptions and Catalog'!$H$50+'Assumptions and Catalog'!$E$50+'Assumptions and Catalog'!$F$50,IF(L541&lt;='Assumptions and Catalog'!$C$51,L541*'Assumptions and Catalog'!$H$51+'Assumptions and Catalog'!$E$51+'Assumptions and Catalog'!$F$51,IF(L541&lt;='Assumptions and Catalog'!$C$52,L541*'Assumptions and Catalog'!$H$52+'Assumptions and Catalog'!$E$52+'Assumptions and Catalog'!$F$52,IF(L541&lt;='Assumptions and Catalog'!$C$53,L541*'Assumptions and Catalog'!$H$53+'Assumptions and Catalog'!$E$53+'Assumptions and Catalog'!$F$53,IF(L541&lt;='Assumptions and Catalog'!$C$54,L541*'Assumptions and Catalog'!$H$54+'Assumptions and Catalog'!$E$54+'Assumptions and Catalog'!$F$54,IF(L541&lt;='Assumptions and Catalog'!$C$55,L541*'Assumptions and Catalog'!$H$55+'Assumptions and Catalog'!$E$55+'Assumptions and Catalog'!$F$55,IF(L541&lt;='Assumptions and Catalog'!$C$56,L541*'Assumptions and Catalog'!$H$56+'Assumptions and Catalog'!$E$56+'Assumptions and Catalog'!$F$56,IF(L541&lt;='Assumptions and Catalog'!$C$57,L541*'Assumptions and Catalog'!$H$57+'Assumptions and Catalog'!$E$57+'Assumptions and Catalog'!$F$57,"Out of range")))))))),IF(L541&lt;='Assumptions and Catalog'!$C$60,L541*'Assumptions and Catalog'!$H$60+'Assumptions and Catalog'!$E$60+'Assumptions and Catalog'!$F$60,IF(L541&lt;='Assumptions and Catalog'!$C$61,L541*'Assumptions and Catalog'!$H$61+'Assumptions and Catalog'!$E$61+'Assumptions and Catalog'!$F$61,IF(L541&lt;='Assumptions and Catalog'!$C$62,L541*'Assumptions and Catalog'!$H$62+'Assumptions and Catalog'!$E$62+'Assumptions and Catalog'!$F$62,IF(L541&lt;='Assumptions and Catalog'!$C$63,L541*'Assumptions and Catalog'!$H$63+'Assumptions and Catalog'!$E$63+'Assumptions and Catalog'!$F$63,IF(L541&lt;='Assumptions and Catalog'!$C$64,L541*'Assumptions and Catalog'!$H$64+'Assumptions and Catalog'!$E$64+'Assumptions and Catalog'!$F$64,IF(L541&lt;='Assumptions and Catalog'!$C$65,L541*'Assumptions and Catalog'!$H$65+'Assumptions and Catalog'!$E$65+'Assumptions and Catalog'!$F$65,"Out of range")))))))))*(1+'Assumptions and Catalog'!$C$8)^(A541-1),0)</f>
        <v>8279</v>
      </c>
      <c r="O541" s="5">
        <f t="shared" si="43"/>
        <v>0</v>
      </c>
      <c r="P541" s="5">
        <f>D$55*(1-K$14)*(1-'Assumptions and Catalog'!$C$23)^R541</f>
        <v>0</v>
      </c>
      <c r="Q541" s="5">
        <f>IF(ISNUMBER(Inputs!$L$5),(IF(Inputs!$L$9="Actual flat rate",((D541+E541)*C541-G541)*Inputs!$L$10,IF(Inputs!$C$9="Residential",IF(((D541+E541)*C541-G541)&lt;='Assumptions and Catalog'!$C$50,((D541+E541)*C541-G541)*'Assumptions and Catalog'!$H$50+'Assumptions and Catalog'!$E$50+'Assumptions and Catalog'!$F$50,IF(((D541+E541)*C541-G541)&lt;='Assumptions and Catalog'!$C$51,((D541+E541)*C541-G541)*'Assumptions and Catalog'!$H$51+'Assumptions and Catalog'!$E$51+'Assumptions and Catalog'!$F$51,IF(((D541+E541)*C541-G541)&lt;='Assumptions and Catalog'!$C$52,((D541+E541)*C541-G541)*'Assumptions and Catalog'!$H$52+'Assumptions and Catalog'!$E$52+'Assumptions and Catalog'!$F$52,IF(((D541+E541)*C541-G541)&lt;='Assumptions and Catalog'!$C$53,((D541+E541)*C541-G541)*'Assumptions and Catalog'!$H$53+'Assumptions and Catalog'!$E$53+'Assumptions and Catalog'!$F$53,IF(((D541+E541)*C541-G541)&lt;='Assumptions and Catalog'!$C$54,((D541+E541)*C541-G541)*'Assumptions and Catalog'!$H$54+'Assumptions and Catalog'!$E$54+'Assumptions and Catalog'!$F$54,IF(((D541+E541)*C541-G541)&lt;='Assumptions and Catalog'!$C$55,((D541+E541)*C541-G541)*'Assumptions and Catalog'!$H$55+'Assumptions and Catalog'!$E$55+'Assumptions and Catalog'!$F$55,IF(((D541+E541)*C541-G541)&lt;='Assumptions and Catalog'!$C$56,((D541+E541)*C541-G541)*'Assumptions and Catalog'!$H$56+'Assumptions and Catalog'!$E$56+'Assumptions and Catalog'!$F$56,IF(((D541+E541)*C541-G541)&lt;='Assumptions and Catalog'!$C$57,((D541+E541)*C541-G541)*'Assumptions and Catalog'!$H$57+'Assumptions and Catalog'!$E$57+'Assumptions and Catalog'!$F$57,"Out of range")))))))),IF(((D541+E541)*C541-G541)&lt;='Assumptions and Catalog'!$C$60,((D541+E541)*C541-G541)*'Assumptions and Catalog'!$H$60+'Assumptions and Catalog'!$E$60+'Assumptions and Catalog'!$F$60,IF(((D541+E541)*C541-G541)&lt;='Assumptions and Catalog'!$C$61,((D541+E541)*C541-G541)*'Assumptions and Catalog'!$H$61+'Assumptions and Catalog'!$E$61+'Assumptions and Catalog'!$F$61,IF(((D541+E541)*C541-G541)&lt;='Assumptions and Catalog'!$C$62,((D541+E541)*C541-G541)*'Assumptions and Catalog'!$H$62+'Assumptions and Catalog'!$E$62+'Assumptions and Catalog'!$F$62,IF(((D541+E541)*C541-G541)&lt;='Assumptions and Catalog'!$C$63,((D541+E541)*C541-G541)*'Assumptions and Catalog'!$H$63+'Assumptions and Catalog'!$E$63+'Assumptions and Catalog'!$F$63,IF(((D541+E541)*C541-G541)&lt;='Assumptions and Catalog'!$C$64,((D541+E541)*C541-G541)*'Assumptions and Catalog'!$H$64+'Assumptions and Catalog'!$E$64+'Assumptions and Catalog'!$F$64,IF(((D541+E541)*C541-G541)&lt;='Assumptions and Catalog'!$C$65,((D541+E541)*C541-G541)*'Assumptions and Catalog'!$H$65+'Assumptions and Catalog'!$E$65+'Assumptions and Catalog'!$F$65,"Out of range")))))))))*(1+'Assumptions and Catalog'!$C$8)^(A541-1),0)</f>
        <v>8279</v>
      </c>
      <c r="R541" s="5">
        <f>IF(AND('Assumptions and Catalog'!$C$19&gt;0,A541&gt;='Assumptions and Catalog'!$C$19),A541-'Assumptions and Catalog'!$C$19,A541-1)</f>
        <v>0</v>
      </c>
      <c r="S541" s="5">
        <f>F541+L541-(D541+E541)*C541-J541-K541-IF(D$52&gt;0,'Assumptions and Catalog'!$C$26*C541,0)</f>
        <v>0</v>
      </c>
      <c r="T541" s="5"/>
      <c r="U541" s="5"/>
    </row>
    <row r="542" spans="1:21" ht="23.1" customHeight="1" outlineLevel="1" x14ac:dyDescent="0.2">
      <c r="A542" s="5">
        <v>11</v>
      </c>
      <c r="B542" s="5">
        <v>12</v>
      </c>
      <c r="C542" s="5">
        <f>DAY(DATE('Assumptions and Catalog'!$C$24+A542-1,B542+1,0))</f>
        <v>31</v>
      </c>
      <c r="D542" s="5">
        <f>IF(ISNUMBER(Inputs!$L$5),Inputs!$L$5*Inputs!$L$6,0)</f>
        <v>40.35</v>
      </c>
      <c r="E542" s="5">
        <f>IF(ISNUMBER(Inputs!$L$5),Inputs!$L$5-D542,0)</f>
        <v>40.35</v>
      </c>
      <c r="F542" s="5">
        <f>D$51*'Assumptions and Catalog'!$C$31*C542*(1-'Assumptions and Catalog'!$C$10)^(A542-1)</f>
        <v>0</v>
      </c>
      <c r="G542" s="5">
        <f t="shared" si="40"/>
        <v>0</v>
      </c>
      <c r="H542" s="5">
        <f>I542/('Assumptions and Catalog'!$C$11*'Assumptions and Catalog'!$C$12)</f>
        <v>0</v>
      </c>
      <c r="I542" s="5">
        <f>IF(K$15="Grid cycle",MIN(K$16,D542+E542,P542*'Assumptions and Catalog'!$C$12,D$57*(24-'Assumptions and Catalog'!$C$15),D$56*'Assumptions and Catalog'!$C$15*'Assumptions and Catalog'!$C$11*'Assumptions and Catalog'!$C$12)*C542,0)</f>
        <v>0</v>
      </c>
      <c r="J542" s="5">
        <f t="shared" si="41"/>
        <v>0</v>
      </c>
      <c r="K542" s="5">
        <f t="shared" si="42"/>
        <v>0</v>
      </c>
      <c r="L542" s="5">
        <f>(D542+E542)*C542-G542-I542+H542+IF(D$52&gt;0,'Assumptions and Catalog'!$C$26*C542,0)</f>
        <v>2501.7000000000003</v>
      </c>
      <c r="M542" s="5">
        <f>IF(ISNUMBER(Inputs!$L$5),(IF(Inputs!$L$9="Actual flat rate",((D542+E542)*C542)*Inputs!$L$10,IF(Inputs!$C$9="Residential",IF(((D542+E542)*C542)&lt;='Assumptions and Catalog'!$C$50,((D542+E542)*C542)*'Assumptions and Catalog'!$H$50+'Assumptions and Catalog'!$E$50+'Assumptions and Catalog'!$F$50,IF(((D542+E542)*C542)&lt;='Assumptions and Catalog'!$C$51,((D542+E542)*C542)*'Assumptions and Catalog'!$H$51+'Assumptions and Catalog'!$E$51+'Assumptions and Catalog'!$F$51,IF(((D542+E542)*C542)&lt;='Assumptions and Catalog'!$C$52,((D542+E542)*C542)*'Assumptions and Catalog'!$H$52+'Assumptions and Catalog'!$E$52+'Assumptions and Catalog'!$F$52,IF(((D542+E542)*C542)&lt;='Assumptions and Catalog'!$C$53,((D542+E542)*C542)*'Assumptions and Catalog'!$H$53+'Assumptions and Catalog'!$E$53+'Assumptions and Catalog'!$F$53,IF(((D542+E542)*C542)&lt;='Assumptions and Catalog'!$C$54,((D542+E542)*C542)*'Assumptions and Catalog'!$H$54+'Assumptions and Catalog'!$E$54+'Assumptions and Catalog'!$F$54,IF(((D542+E542)*C542)&lt;='Assumptions and Catalog'!$C$55,((D542+E542)*C542)*'Assumptions and Catalog'!$H$55+'Assumptions and Catalog'!$E$55+'Assumptions and Catalog'!$F$55,IF(((D542+E542)*C542)&lt;='Assumptions and Catalog'!$C$56,((D542+E542)*C542)*'Assumptions and Catalog'!$H$56+'Assumptions and Catalog'!$E$56+'Assumptions and Catalog'!$F$56,IF(((D542+E542)*C542)&lt;='Assumptions and Catalog'!$C$57,((D542+E542)*C542)*'Assumptions and Catalog'!$H$57+'Assumptions and Catalog'!$E$57+'Assumptions and Catalog'!$F$57,"Out of range")))))))),IF(((D542+E542)*C542)&lt;='Assumptions and Catalog'!$C$60,((D542+E542)*C542)*'Assumptions and Catalog'!$H$60+'Assumptions and Catalog'!$E$60+'Assumptions and Catalog'!$F$60,IF(((D542+E542)*C542)&lt;='Assumptions and Catalog'!$C$61,((D542+E542)*C542)*'Assumptions and Catalog'!$H$61+'Assumptions and Catalog'!$E$61+'Assumptions and Catalog'!$F$61,IF(((D542+E542)*C542)&lt;='Assumptions and Catalog'!$C$62,((D542+E542)*C542)*'Assumptions and Catalog'!$H$62+'Assumptions and Catalog'!$E$62+'Assumptions and Catalog'!$F$62,IF(((D542+E542)*C542)&lt;='Assumptions and Catalog'!$C$63,((D542+E542)*C542)*'Assumptions and Catalog'!$H$63+'Assumptions and Catalog'!$E$63+'Assumptions and Catalog'!$F$63,IF(((D542+E542)*C542)&lt;='Assumptions and Catalog'!$C$64,((D542+E542)*C542)*'Assumptions and Catalog'!$H$64+'Assumptions and Catalog'!$E$64+'Assumptions and Catalog'!$F$64,IF(((D542+E542)*C542)&lt;='Assumptions and Catalog'!$C$65,((D542+E542)*C542)*'Assumptions and Catalog'!$H$65+'Assumptions and Catalog'!$E$65+'Assumptions and Catalog'!$F$65,"Out of range")))))))))*(1+'Assumptions and Catalog'!$C$8)^(A542-1),0)</f>
        <v>8554.9666666666672</v>
      </c>
      <c r="N542" s="5">
        <f>IF(ISNUMBER(Inputs!$L$5),(IF(Inputs!$L$9="Actual flat rate",L542*Inputs!$L$10,IF(Inputs!$C$9="Residential",IF(L542&lt;='Assumptions and Catalog'!$C$50,L542*'Assumptions and Catalog'!$H$50+'Assumptions and Catalog'!$E$50+'Assumptions and Catalog'!$F$50,IF(L542&lt;='Assumptions and Catalog'!$C$51,L542*'Assumptions and Catalog'!$H$51+'Assumptions and Catalog'!$E$51+'Assumptions and Catalog'!$F$51,IF(L542&lt;='Assumptions and Catalog'!$C$52,L542*'Assumptions and Catalog'!$H$52+'Assumptions and Catalog'!$E$52+'Assumptions and Catalog'!$F$52,IF(L542&lt;='Assumptions and Catalog'!$C$53,L542*'Assumptions and Catalog'!$H$53+'Assumptions and Catalog'!$E$53+'Assumptions and Catalog'!$F$53,IF(L542&lt;='Assumptions and Catalog'!$C$54,L542*'Assumptions and Catalog'!$H$54+'Assumptions and Catalog'!$E$54+'Assumptions and Catalog'!$F$54,IF(L542&lt;='Assumptions and Catalog'!$C$55,L542*'Assumptions and Catalog'!$H$55+'Assumptions and Catalog'!$E$55+'Assumptions and Catalog'!$F$55,IF(L542&lt;='Assumptions and Catalog'!$C$56,L542*'Assumptions and Catalog'!$H$56+'Assumptions and Catalog'!$E$56+'Assumptions and Catalog'!$F$56,IF(L542&lt;='Assumptions and Catalog'!$C$57,L542*'Assumptions and Catalog'!$H$57+'Assumptions and Catalog'!$E$57+'Assumptions and Catalog'!$F$57,"Out of range")))))))),IF(L542&lt;='Assumptions and Catalog'!$C$60,L542*'Assumptions and Catalog'!$H$60+'Assumptions and Catalog'!$E$60+'Assumptions and Catalog'!$F$60,IF(L542&lt;='Assumptions and Catalog'!$C$61,L542*'Assumptions and Catalog'!$H$61+'Assumptions and Catalog'!$E$61+'Assumptions and Catalog'!$F$61,IF(L542&lt;='Assumptions and Catalog'!$C$62,L542*'Assumptions and Catalog'!$H$62+'Assumptions and Catalog'!$E$62+'Assumptions and Catalog'!$F$62,IF(L542&lt;='Assumptions and Catalog'!$C$63,L542*'Assumptions and Catalog'!$H$63+'Assumptions and Catalog'!$E$63+'Assumptions and Catalog'!$F$63,IF(L542&lt;='Assumptions and Catalog'!$C$64,L542*'Assumptions and Catalog'!$H$64+'Assumptions and Catalog'!$E$64+'Assumptions and Catalog'!$F$64,IF(L542&lt;='Assumptions and Catalog'!$C$65,L542*'Assumptions and Catalog'!$H$65+'Assumptions and Catalog'!$E$65+'Assumptions and Catalog'!$F$65,"Out of range")))))))))*(1+'Assumptions and Catalog'!$C$8)^(A542-1),0)</f>
        <v>8554.9666666666672</v>
      </c>
      <c r="O542" s="5">
        <f t="shared" si="43"/>
        <v>0</v>
      </c>
      <c r="P542" s="5">
        <f>D$55*(1-K$14)*(1-'Assumptions and Catalog'!$C$23)^R542</f>
        <v>0</v>
      </c>
      <c r="Q542" s="5">
        <f>IF(ISNUMBER(Inputs!$L$5),(IF(Inputs!$L$9="Actual flat rate",((D542+E542)*C542-G542)*Inputs!$L$10,IF(Inputs!$C$9="Residential",IF(((D542+E542)*C542-G542)&lt;='Assumptions and Catalog'!$C$50,((D542+E542)*C542-G542)*'Assumptions and Catalog'!$H$50+'Assumptions and Catalog'!$E$50+'Assumptions and Catalog'!$F$50,IF(((D542+E542)*C542-G542)&lt;='Assumptions and Catalog'!$C$51,((D542+E542)*C542-G542)*'Assumptions and Catalog'!$H$51+'Assumptions and Catalog'!$E$51+'Assumptions and Catalog'!$F$51,IF(((D542+E542)*C542-G542)&lt;='Assumptions and Catalog'!$C$52,((D542+E542)*C542-G542)*'Assumptions and Catalog'!$H$52+'Assumptions and Catalog'!$E$52+'Assumptions and Catalog'!$F$52,IF(((D542+E542)*C542-G542)&lt;='Assumptions and Catalog'!$C$53,((D542+E542)*C542-G542)*'Assumptions and Catalog'!$H$53+'Assumptions and Catalog'!$E$53+'Assumptions and Catalog'!$F$53,IF(((D542+E542)*C542-G542)&lt;='Assumptions and Catalog'!$C$54,((D542+E542)*C542-G542)*'Assumptions and Catalog'!$H$54+'Assumptions and Catalog'!$E$54+'Assumptions and Catalog'!$F$54,IF(((D542+E542)*C542-G542)&lt;='Assumptions and Catalog'!$C$55,((D542+E542)*C542-G542)*'Assumptions and Catalog'!$H$55+'Assumptions and Catalog'!$E$55+'Assumptions and Catalog'!$F$55,IF(((D542+E542)*C542-G542)&lt;='Assumptions and Catalog'!$C$56,((D542+E542)*C542-G542)*'Assumptions and Catalog'!$H$56+'Assumptions and Catalog'!$E$56+'Assumptions and Catalog'!$F$56,IF(((D542+E542)*C542-G542)&lt;='Assumptions and Catalog'!$C$57,((D542+E542)*C542-G542)*'Assumptions and Catalog'!$H$57+'Assumptions and Catalog'!$E$57+'Assumptions and Catalog'!$F$57,"Out of range")))))))),IF(((D542+E542)*C542-G542)&lt;='Assumptions and Catalog'!$C$60,((D542+E542)*C542-G542)*'Assumptions and Catalog'!$H$60+'Assumptions and Catalog'!$E$60+'Assumptions and Catalog'!$F$60,IF(((D542+E542)*C542-G542)&lt;='Assumptions and Catalog'!$C$61,((D542+E542)*C542-G542)*'Assumptions and Catalog'!$H$61+'Assumptions and Catalog'!$E$61+'Assumptions and Catalog'!$F$61,IF(((D542+E542)*C542-G542)&lt;='Assumptions and Catalog'!$C$62,((D542+E542)*C542-G542)*'Assumptions and Catalog'!$H$62+'Assumptions and Catalog'!$E$62+'Assumptions and Catalog'!$F$62,IF(((D542+E542)*C542-G542)&lt;='Assumptions and Catalog'!$C$63,((D542+E542)*C542-G542)*'Assumptions and Catalog'!$H$63+'Assumptions and Catalog'!$E$63+'Assumptions and Catalog'!$F$63,IF(((D542+E542)*C542-G542)&lt;='Assumptions and Catalog'!$C$64,((D542+E542)*C542-G542)*'Assumptions and Catalog'!$H$64+'Assumptions and Catalog'!$E$64+'Assumptions and Catalog'!$F$64,IF(((D542+E542)*C542-G542)&lt;='Assumptions and Catalog'!$C$65,((D542+E542)*C542-G542)*'Assumptions and Catalog'!$H$65+'Assumptions and Catalog'!$E$65+'Assumptions and Catalog'!$F$65,"Out of range")))))))))*(1+'Assumptions and Catalog'!$C$8)^(A542-1),0)</f>
        <v>8554.9666666666672</v>
      </c>
      <c r="R542" s="5">
        <f>IF(AND('Assumptions and Catalog'!$C$19&gt;0,A542&gt;='Assumptions and Catalog'!$C$19),A542-'Assumptions and Catalog'!$C$19,A542-1)</f>
        <v>0</v>
      </c>
      <c r="S542" s="5">
        <f>F542+L542-(D542+E542)*C542-J542-K542-IF(D$52&gt;0,'Assumptions and Catalog'!$C$26*C542,0)</f>
        <v>0</v>
      </c>
      <c r="T542" s="5"/>
      <c r="U542" s="5"/>
    </row>
    <row r="543" spans="1:21" ht="23.1" customHeight="1" outlineLevel="1" x14ac:dyDescent="0.2">
      <c r="A543" s="5">
        <v>12</v>
      </c>
      <c r="B543" s="5">
        <v>1</v>
      </c>
      <c r="C543" s="5">
        <f>DAY(DATE('Assumptions and Catalog'!$C$24+A543-1,B543+1,0))</f>
        <v>31</v>
      </c>
      <c r="D543" s="5">
        <f>IF(ISNUMBER(Inputs!$L$5),Inputs!$L$5*Inputs!$L$6,0)</f>
        <v>40.35</v>
      </c>
      <c r="E543" s="5">
        <f>IF(ISNUMBER(Inputs!$L$5),Inputs!$L$5-D543,0)</f>
        <v>40.35</v>
      </c>
      <c r="F543" s="5">
        <f>D$51*'Assumptions and Catalog'!$C$31*C543*(1-'Assumptions and Catalog'!$C$10)^(A543-1)</f>
        <v>0</v>
      </c>
      <c r="G543" s="5">
        <f t="shared" si="40"/>
        <v>0</v>
      </c>
      <c r="H543" s="5">
        <f>I543/('Assumptions and Catalog'!$C$11*'Assumptions and Catalog'!$C$12)</f>
        <v>0</v>
      </c>
      <c r="I543" s="5">
        <f>IF(K$15="Grid cycle",MIN(K$16,D543+E543,P543*'Assumptions and Catalog'!$C$12,D$57*(24-'Assumptions and Catalog'!$C$15),D$56*'Assumptions and Catalog'!$C$15*'Assumptions and Catalog'!$C$11*'Assumptions and Catalog'!$C$12)*C543,0)</f>
        <v>0</v>
      </c>
      <c r="J543" s="5">
        <f t="shared" si="41"/>
        <v>0</v>
      </c>
      <c r="K543" s="5">
        <f t="shared" si="42"/>
        <v>0</v>
      </c>
      <c r="L543" s="5">
        <f>(D543+E543)*C543-G543-I543+H543+IF(D$52&gt;0,'Assumptions and Catalog'!$C$26*C543,0)</f>
        <v>2501.7000000000003</v>
      </c>
      <c r="M543" s="5">
        <f>IF(ISNUMBER(Inputs!$L$5),(IF(Inputs!$L$9="Actual flat rate",((D543+E543)*C543)*Inputs!$L$10,IF(Inputs!$C$9="Residential",IF(((D543+E543)*C543)&lt;='Assumptions and Catalog'!$C$50,((D543+E543)*C543)*'Assumptions and Catalog'!$H$50+'Assumptions and Catalog'!$E$50+'Assumptions and Catalog'!$F$50,IF(((D543+E543)*C543)&lt;='Assumptions and Catalog'!$C$51,((D543+E543)*C543)*'Assumptions and Catalog'!$H$51+'Assumptions and Catalog'!$E$51+'Assumptions and Catalog'!$F$51,IF(((D543+E543)*C543)&lt;='Assumptions and Catalog'!$C$52,((D543+E543)*C543)*'Assumptions and Catalog'!$H$52+'Assumptions and Catalog'!$E$52+'Assumptions and Catalog'!$F$52,IF(((D543+E543)*C543)&lt;='Assumptions and Catalog'!$C$53,((D543+E543)*C543)*'Assumptions and Catalog'!$H$53+'Assumptions and Catalog'!$E$53+'Assumptions and Catalog'!$F$53,IF(((D543+E543)*C543)&lt;='Assumptions and Catalog'!$C$54,((D543+E543)*C543)*'Assumptions and Catalog'!$H$54+'Assumptions and Catalog'!$E$54+'Assumptions and Catalog'!$F$54,IF(((D543+E543)*C543)&lt;='Assumptions and Catalog'!$C$55,((D543+E543)*C543)*'Assumptions and Catalog'!$H$55+'Assumptions and Catalog'!$E$55+'Assumptions and Catalog'!$F$55,IF(((D543+E543)*C543)&lt;='Assumptions and Catalog'!$C$56,((D543+E543)*C543)*'Assumptions and Catalog'!$H$56+'Assumptions and Catalog'!$E$56+'Assumptions and Catalog'!$F$56,IF(((D543+E543)*C543)&lt;='Assumptions and Catalog'!$C$57,((D543+E543)*C543)*'Assumptions and Catalog'!$H$57+'Assumptions and Catalog'!$E$57+'Assumptions and Catalog'!$F$57,"Out of range")))))))),IF(((D543+E543)*C543)&lt;='Assumptions and Catalog'!$C$60,((D543+E543)*C543)*'Assumptions and Catalog'!$H$60+'Assumptions and Catalog'!$E$60+'Assumptions and Catalog'!$F$60,IF(((D543+E543)*C543)&lt;='Assumptions and Catalog'!$C$61,((D543+E543)*C543)*'Assumptions and Catalog'!$H$61+'Assumptions and Catalog'!$E$61+'Assumptions and Catalog'!$F$61,IF(((D543+E543)*C543)&lt;='Assumptions and Catalog'!$C$62,((D543+E543)*C543)*'Assumptions and Catalog'!$H$62+'Assumptions and Catalog'!$E$62+'Assumptions and Catalog'!$F$62,IF(((D543+E543)*C543)&lt;='Assumptions and Catalog'!$C$63,((D543+E543)*C543)*'Assumptions and Catalog'!$H$63+'Assumptions and Catalog'!$E$63+'Assumptions and Catalog'!$F$63,IF(((D543+E543)*C543)&lt;='Assumptions and Catalog'!$C$64,((D543+E543)*C543)*'Assumptions and Catalog'!$H$64+'Assumptions and Catalog'!$E$64+'Assumptions and Catalog'!$F$64,IF(((D543+E543)*C543)&lt;='Assumptions and Catalog'!$C$65,((D543+E543)*C543)*'Assumptions and Catalog'!$H$65+'Assumptions and Catalog'!$E$65+'Assumptions and Catalog'!$F$65,"Out of range")))))))))*(1+'Assumptions and Catalog'!$C$8)^(A543-1),0)</f>
        <v>8554.9666666666672</v>
      </c>
      <c r="N543" s="5">
        <f>IF(ISNUMBER(Inputs!$L$5),(IF(Inputs!$L$9="Actual flat rate",L543*Inputs!$L$10,IF(Inputs!$C$9="Residential",IF(L543&lt;='Assumptions and Catalog'!$C$50,L543*'Assumptions and Catalog'!$H$50+'Assumptions and Catalog'!$E$50+'Assumptions and Catalog'!$F$50,IF(L543&lt;='Assumptions and Catalog'!$C$51,L543*'Assumptions and Catalog'!$H$51+'Assumptions and Catalog'!$E$51+'Assumptions and Catalog'!$F$51,IF(L543&lt;='Assumptions and Catalog'!$C$52,L543*'Assumptions and Catalog'!$H$52+'Assumptions and Catalog'!$E$52+'Assumptions and Catalog'!$F$52,IF(L543&lt;='Assumptions and Catalog'!$C$53,L543*'Assumptions and Catalog'!$H$53+'Assumptions and Catalog'!$E$53+'Assumptions and Catalog'!$F$53,IF(L543&lt;='Assumptions and Catalog'!$C$54,L543*'Assumptions and Catalog'!$H$54+'Assumptions and Catalog'!$E$54+'Assumptions and Catalog'!$F$54,IF(L543&lt;='Assumptions and Catalog'!$C$55,L543*'Assumptions and Catalog'!$H$55+'Assumptions and Catalog'!$E$55+'Assumptions and Catalog'!$F$55,IF(L543&lt;='Assumptions and Catalog'!$C$56,L543*'Assumptions and Catalog'!$H$56+'Assumptions and Catalog'!$E$56+'Assumptions and Catalog'!$F$56,IF(L543&lt;='Assumptions and Catalog'!$C$57,L543*'Assumptions and Catalog'!$H$57+'Assumptions and Catalog'!$E$57+'Assumptions and Catalog'!$F$57,"Out of range")))))))),IF(L543&lt;='Assumptions and Catalog'!$C$60,L543*'Assumptions and Catalog'!$H$60+'Assumptions and Catalog'!$E$60+'Assumptions and Catalog'!$F$60,IF(L543&lt;='Assumptions and Catalog'!$C$61,L543*'Assumptions and Catalog'!$H$61+'Assumptions and Catalog'!$E$61+'Assumptions and Catalog'!$F$61,IF(L543&lt;='Assumptions and Catalog'!$C$62,L543*'Assumptions and Catalog'!$H$62+'Assumptions and Catalog'!$E$62+'Assumptions and Catalog'!$F$62,IF(L543&lt;='Assumptions and Catalog'!$C$63,L543*'Assumptions and Catalog'!$H$63+'Assumptions and Catalog'!$E$63+'Assumptions and Catalog'!$F$63,IF(L543&lt;='Assumptions and Catalog'!$C$64,L543*'Assumptions and Catalog'!$H$64+'Assumptions and Catalog'!$E$64+'Assumptions and Catalog'!$F$64,IF(L543&lt;='Assumptions and Catalog'!$C$65,L543*'Assumptions and Catalog'!$H$65+'Assumptions and Catalog'!$E$65+'Assumptions and Catalog'!$F$65,"Out of range")))))))))*(1+'Assumptions and Catalog'!$C$8)^(A543-1),0)</f>
        <v>8554.9666666666672</v>
      </c>
      <c r="O543" s="5">
        <f t="shared" si="43"/>
        <v>0</v>
      </c>
      <c r="P543" s="5">
        <f>D$55*(1-K$14)*(1-'Assumptions and Catalog'!$C$23)^R543</f>
        <v>0</v>
      </c>
      <c r="Q543" s="5">
        <f>IF(ISNUMBER(Inputs!$L$5),(IF(Inputs!$L$9="Actual flat rate",((D543+E543)*C543-G543)*Inputs!$L$10,IF(Inputs!$C$9="Residential",IF(((D543+E543)*C543-G543)&lt;='Assumptions and Catalog'!$C$50,((D543+E543)*C543-G543)*'Assumptions and Catalog'!$H$50+'Assumptions and Catalog'!$E$50+'Assumptions and Catalog'!$F$50,IF(((D543+E543)*C543-G543)&lt;='Assumptions and Catalog'!$C$51,((D543+E543)*C543-G543)*'Assumptions and Catalog'!$H$51+'Assumptions and Catalog'!$E$51+'Assumptions and Catalog'!$F$51,IF(((D543+E543)*C543-G543)&lt;='Assumptions and Catalog'!$C$52,((D543+E543)*C543-G543)*'Assumptions and Catalog'!$H$52+'Assumptions and Catalog'!$E$52+'Assumptions and Catalog'!$F$52,IF(((D543+E543)*C543-G543)&lt;='Assumptions and Catalog'!$C$53,((D543+E543)*C543-G543)*'Assumptions and Catalog'!$H$53+'Assumptions and Catalog'!$E$53+'Assumptions and Catalog'!$F$53,IF(((D543+E543)*C543-G543)&lt;='Assumptions and Catalog'!$C$54,((D543+E543)*C543-G543)*'Assumptions and Catalog'!$H$54+'Assumptions and Catalog'!$E$54+'Assumptions and Catalog'!$F$54,IF(((D543+E543)*C543-G543)&lt;='Assumptions and Catalog'!$C$55,((D543+E543)*C543-G543)*'Assumptions and Catalog'!$H$55+'Assumptions and Catalog'!$E$55+'Assumptions and Catalog'!$F$55,IF(((D543+E543)*C543-G543)&lt;='Assumptions and Catalog'!$C$56,((D543+E543)*C543-G543)*'Assumptions and Catalog'!$H$56+'Assumptions and Catalog'!$E$56+'Assumptions and Catalog'!$F$56,IF(((D543+E543)*C543-G543)&lt;='Assumptions and Catalog'!$C$57,((D543+E543)*C543-G543)*'Assumptions and Catalog'!$H$57+'Assumptions and Catalog'!$E$57+'Assumptions and Catalog'!$F$57,"Out of range")))))))),IF(((D543+E543)*C543-G543)&lt;='Assumptions and Catalog'!$C$60,((D543+E543)*C543-G543)*'Assumptions and Catalog'!$H$60+'Assumptions and Catalog'!$E$60+'Assumptions and Catalog'!$F$60,IF(((D543+E543)*C543-G543)&lt;='Assumptions and Catalog'!$C$61,((D543+E543)*C543-G543)*'Assumptions and Catalog'!$H$61+'Assumptions and Catalog'!$E$61+'Assumptions and Catalog'!$F$61,IF(((D543+E543)*C543-G543)&lt;='Assumptions and Catalog'!$C$62,((D543+E543)*C543-G543)*'Assumptions and Catalog'!$H$62+'Assumptions and Catalog'!$E$62+'Assumptions and Catalog'!$F$62,IF(((D543+E543)*C543-G543)&lt;='Assumptions and Catalog'!$C$63,((D543+E543)*C543-G543)*'Assumptions and Catalog'!$H$63+'Assumptions and Catalog'!$E$63+'Assumptions and Catalog'!$F$63,IF(((D543+E543)*C543-G543)&lt;='Assumptions and Catalog'!$C$64,((D543+E543)*C543-G543)*'Assumptions and Catalog'!$H$64+'Assumptions and Catalog'!$E$64+'Assumptions and Catalog'!$F$64,IF(((D543+E543)*C543-G543)&lt;='Assumptions and Catalog'!$C$65,((D543+E543)*C543-G543)*'Assumptions and Catalog'!$H$65+'Assumptions and Catalog'!$E$65+'Assumptions and Catalog'!$F$65,"Out of range")))))))))*(1+'Assumptions and Catalog'!$C$8)^(A543-1),0)</f>
        <v>8554.9666666666672</v>
      </c>
      <c r="R543" s="5">
        <f>IF(AND('Assumptions and Catalog'!$C$19&gt;0,A543&gt;='Assumptions and Catalog'!$C$19),A543-'Assumptions and Catalog'!$C$19,A543-1)</f>
        <v>1</v>
      </c>
      <c r="S543" s="5">
        <f>F543+L543-(D543+E543)*C543-J543-K543-IF(D$52&gt;0,'Assumptions and Catalog'!$C$26*C543,0)</f>
        <v>0</v>
      </c>
      <c r="T543" s="5"/>
      <c r="U543" s="5"/>
    </row>
    <row r="544" spans="1:21" ht="23.1" customHeight="1" outlineLevel="1" x14ac:dyDescent="0.2">
      <c r="A544" s="5">
        <v>12</v>
      </c>
      <c r="B544" s="5">
        <v>2</v>
      </c>
      <c r="C544" s="5">
        <f>DAY(DATE('Assumptions and Catalog'!$C$24+A544-1,B544+1,0))</f>
        <v>28</v>
      </c>
      <c r="D544" s="5">
        <f>IF(ISNUMBER(Inputs!$L$5),Inputs!$L$5*Inputs!$L$6,0)</f>
        <v>40.35</v>
      </c>
      <c r="E544" s="5">
        <f>IF(ISNUMBER(Inputs!$L$5),Inputs!$L$5-D544,0)</f>
        <v>40.35</v>
      </c>
      <c r="F544" s="5">
        <f>D$51*'Assumptions and Catalog'!$C$31*C544*(1-'Assumptions and Catalog'!$C$10)^(A544-1)</f>
        <v>0</v>
      </c>
      <c r="G544" s="5">
        <f t="shared" si="40"/>
        <v>0</v>
      </c>
      <c r="H544" s="5">
        <f>I544/('Assumptions and Catalog'!$C$11*'Assumptions and Catalog'!$C$12)</f>
        <v>0</v>
      </c>
      <c r="I544" s="5">
        <f>IF(K$15="Grid cycle",MIN(K$16,D544+E544,P544*'Assumptions and Catalog'!$C$12,D$57*(24-'Assumptions and Catalog'!$C$15),D$56*'Assumptions and Catalog'!$C$15*'Assumptions and Catalog'!$C$11*'Assumptions and Catalog'!$C$12)*C544,0)</f>
        <v>0</v>
      </c>
      <c r="J544" s="5">
        <f t="shared" si="41"/>
        <v>0</v>
      </c>
      <c r="K544" s="5">
        <f t="shared" si="42"/>
        <v>0</v>
      </c>
      <c r="L544" s="5">
        <f>(D544+E544)*C544-G544-I544+H544+IF(D$52&gt;0,'Assumptions and Catalog'!$C$26*C544,0)</f>
        <v>2259.6</v>
      </c>
      <c r="M544" s="5">
        <f>IF(ISNUMBER(Inputs!$L$5),(IF(Inputs!$L$9="Actual flat rate",((D544+E544)*C544)*Inputs!$L$10,IF(Inputs!$C$9="Residential",IF(((D544+E544)*C544)&lt;='Assumptions and Catalog'!$C$50,((D544+E544)*C544)*'Assumptions and Catalog'!$H$50+'Assumptions and Catalog'!$E$50+'Assumptions and Catalog'!$F$50,IF(((D544+E544)*C544)&lt;='Assumptions and Catalog'!$C$51,((D544+E544)*C544)*'Assumptions and Catalog'!$H$51+'Assumptions and Catalog'!$E$51+'Assumptions and Catalog'!$F$51,IF(((D544+E544)*C544)&lt;='Assumptions and Catalog'!$C$52,((D544+E544)*C544)*'Assumptions and Catalog'!$H$52+'Assumptions and Catalog'!$E$52+'Assumptions and Catalog'!$F$52,IF(((D544+E544)*C544)&lt;='Assumptions and Catalog'!$C$53,((D544+E544)*C544)*'Assumptions and Catalog'!$H$53+'Assumptions and Catalog'!$E$53+'Assumptions and Catalog'!$F$53,IF(((D544+E544)*C544)&lt;='Assumptions and Catalog'!$C$54,((D544+E544)*C544)*'Assumptions and Catalog'!$H$54+'Assumptions and Catalog'!$E$54+'Assumptions and Catalog'!$F$54,IF(((D544+E544)*C544)&lt;='Assumptions and Catalog'!$C$55,((D544+E544)*C544)*'Assumptions and Catalog'!$H$55+'Assumptions and Catalog'!$E$55+'Assumptions and Catalog'!$F$55,IF(((D544+E544)*C544)&lt;='Assumptions and Catalog'!$C$56,((D544+E544)*C544)*'Assumptions and Catalog'!$H$56+'Assumptions and Catalog'!$E$56+'Assumptions and Catalog'!$F$56,IF(((D544+E544)*C544)&lt;='Assumptions and Catalog'!$C$57,((D544+E544)*C544)*'Assumptions and Catalog'!$H$57+'Assumptions and Catalog'!$E$57+'Assumptions and Catalog'!$F$57,"Out of range")))))))),IF(((D544+E544)*C544)&lt;='Assumptions and Catalog'!$C$60,((D544+E544)*C544)*'Assumptions and Catalog'!$H$60+'Assumptions and Catalog'!$E$60+'Assumptions and Catalog'!$F$60,IF(((D544+E544)*C544)&lt;='Assumptions and Catalog'!$C$61,((D544+E544)*C544)*'Assumptions and Catalog'!$H$61+'Assumptions and Catalog'!$E$61+'Assumptions and Catalog'!$F$61,IF(((D544+E544)*C544)&lt;='Assumptions and Catalog'!$C$62,((D544+E544)*C544)*'Assumptions and Catalog'!$H$62+'Assumptions and Catalog'!$E$62+'Assumptions and Catalog'!$F$62,IF(((D544+E544)*C544)&lt;='Assumptions and Catalog'!$C$63,((D544+E544)*C544)*'Assumptions and Catalog'!$H$63+'Assumptions and Catalog'!$E$63+'Assumptions and Catalog'!$F$63,IF(((D544+E544)*C544)&lt;='Assumptions and Catalog'!$C$64,((D544+E544)*C544)*'Assumptions and Catalog'!$H$64+'Assumptions and Catalog'!$E$64+'Assumptions and Catalog'!$F$64,IF(((D544+E544)*C544)&lt;='Assumptions and Catalog'!$C$65,((D544+E544)*C544)*'Assumptions and Catalog'!$H$65+'Assumptions and Catalog'!$E$65+'Assumptions and Catalog'!$F$65,"Out of range")))))))))*(1+'Assumptions and Catalog'!$C$8)^(A544-1),0)</f>
        <v>7727.0666666666657</v>
      </c>
      <c r="N544" s="5">
        <f>IF(ISNUMBER(Inputs!$L$5),(IF(Inputs!$L$9="Actual flat rate",L544*Inputs!$L$10,IF(Inputs!$C$9="Residential",IF(L544&lt;='Assumptions and Catalog'!$C$50,L544*'Assumptions and Catalog'!$H$50+'Assumptions and Catalog'!$E$50+'Assumptions and Catalog'!$F$50,IF(L544&lt;='Assumptions and Catalog'!$C$51,L544*'Assumptions and Catalog'!$H$51+'Assumptions and Catalog'!$E$51+'Assumptions and Catalog'!$F$51,IF(L544&lt;='Assumptions and Catalog'!$C$52,L544*'Assumptions and Catalog'!$H$52+'Assumptions and Catalog'!$E$52+'Assumptions and Catalog'!$F$52,IF(L544&lt;='Assumptions and Catalog'!$C$53,L544*'Assumptions and Catalog'!$H$53+'Assumptions and Catalog'!$E$53+'Assumptions and Catalog'!$F$53,IF(L544&lt;='Assumptions and Catalog'!$C$54,L544*'Assumptions and Catalog'!$H$54+'Assumptions and Catalog'!$E$54+'Assumptions and Catalog'!$F$54,IF(L544&lt;='Assumptions and Catalog'!$C$55,L544*'Assumptions and Catalog'!$H$55+'Assumptions and Catalog'!$E$55+'Assumptions and Catalog'!$F$55,IF(L544&lt;='Assumptions and Catalog'!$C$56,L544*'Assumptions and Catalog'!$H$56+'Assumptions and Catalog'!$E$56+'Assumptions and Catalog'!$F$56,IF(L544&lt;='Assumptions and Catalog'!$C$57,L544*'Assumptions and Catalog'!$H$57+'Assumptions and Catalog'!$E$57+'Assumptions and Catalog'!$F$57,"Out of range")))))))),IF(L544&lt;='Assumptions and Catalog'!$C$60,L544*'Assumptions and Catalog'!$H$60+'Assumptions and Catalog'!$E$60+'Assumptions and Catalog'!$F$60,IF(L544&lt;='Assumptions and Catalog'!$C$61,L544*'Assumptions and Catalog'!$H$61+'Assumptions and Catalog'!$E$61+'Assumptions and Catalog'!$F$61,IF(L544&lt;='Assumptions and Catalog'!$C$62,L544*'Assumptions and Catalog'!$H$62+'Assumptions and Catalog'!$E$62+'Assumptions and Catalog'!$F$62,IF(L544&lt;='Assumptions and Catalog'!$C$63,L544*'Assumptions and Catalog'!$H$63+'Assumptions and Catalog'!$E$63+'Assumptions and Catalog'!$F$63,IF(L544&lt;='Assumptions and Catalog'!$C$64,L544*'Assumptions and Catalog'!$H$64+'Assumptions and Catalog'!$E$64+'Assumptions and Catalog'!$F$64,IF(L544&lt;='Assumptions and Catalog'!$C$65,L544*'Assumptions and Catalog'!$H$65+'Assumptions and Catalog'!$E$65+'Assumptions and Catalog'!$F$65,"Out of range")))))))))*(1+'Assumptions and Catalog'!$C$8)^(A544-1),0)</f>
        <v>7727.0666666666657</v>
      </c>
      <c r="O544" s="5">
        <f t="shared" si="43"/>
        <v>0</v>
      </c>
      <c r="P544" s="5">
        <f>D$55*(1-K$14)*(1-'Assumptions and Catalog'!$C$23)^R544</f>
        <v>0</v>
      </c>
      <c r="Q544" s="5">
        <f>IF(ISNUMBER(Inputs!$L$5),(IF(Inputs!$L$9="Actual flat rate",((D544+E544)*C544-G544)*Inputs!$L$10,IF(Inputs!$C$9="Residential",IF(((D544+E544)*C544-G544)&lt;='Assumptions and Catalog'!$C$50,((D544+E544)*C544-G544)*'Assumptions and Catalog'!$H$50+'Assumptions and Catalog'!$E$50+'Assumptions and Catalog'!$F$50,IF(((D544+E544)*C544-G544)&lt;='Assumptions and Catalog'!$C$51,((D544+E544)*C544-G544)*'Assumptions and Catalog'!$H$51+'Assumptions and Catalog'!$E$51+'Assumptions and Catalog'!$F$51,IF(((D544+E544)*C544-G544)&lt;='Assumptions and Catalog'!$C$52,((D544+E544)*C544-G544)*'Assumptions and Catalog'!$H$52+'Assumptions and Catalog'!$E$52+'Assumptions and Catalog'!$F$52,IF(((D544+E544)*C544-G544)&lt;='Assumptions and Catalog'!$C$53,((D544+E544)*C544-G544)*'Assumptions and Catalog'!$H$53+'Assumptions and Catalog'!$E$53+'Assumptions and Catalog'!$F$53,IF(((D544+E544)*C544-G544)&lt;='Assumptions and Catalog'!$C$54,((D544+E544)*C544-G544)*'Assumptions and Catalog'!$H$54+'Assumptions and Catalog'!$E$54+'Assumptions and Catalog'!$F$54,IF(((D544+E544)*C544-G544)&lt;='Assumptions and Catalog'!$C$55,((D544+E544)*C544-G544)*'Assumptions and Catalog'!$H$55+'Assumptions and Catalog'!$E$55+'Assumptions and Catalog'!$F$55,IF(((D544+E544)*C544-G544)&lt;='Assumptions and Catalog'!$C$56,((D544+E544)*C544-G544)*'Assumptions and Catalog'!$H$56+'Assumptions and Catalog'!$E$56+'Assumptions and Catalog'!$F$56,IF(((D544+E544)*C544-G544)&lt;='Assumptions and Catalog'!$C$57,((D544+E544)*C544-G544)*'Assumptions and Catalog'!$H$57+'Assumptions and Catalog'!$E$57+'Assumptions and Catalog'!$F$57,"Out of range")))))))),IF(((D544+E544)*C544-G544)&lt;='Assumptions and Catalog'!$C$60,((D544+E544)*C544-G544)*'Assumptions and Catalog'!$H$60+'Assumptions and Catalog'!$E$60+'Assumptions and Catalog'!$F$60,IF(((D544+E544)*C544-G544)&lt;='Assumptions and Catalog'!$C$61,((D544+E544)*C544-G544)*'Assumptions and Catalog'!$H$61+'Assumptions and Catalog'!$E$61+'Assumptions and Catalog'!$F$61,IF(((D544+E544)*C544-G544)&lt;='Assumptions and Catalog'!$C$62,((D544+E544)*C544-G544)*'Assumptions and Catalog'!$H$62+'Assumptions and Catalog'!$E$62+'Assumptions and Catalog'!$F$62,IF(((D544+E544)*C544-G544)&lt;='Assumptions and Catalog'!$C$63,((D544+E544)*C544-G544)*'Assumptions and Catalog'!$H$63+'Assumptions and Catalog'!$E$63+'Assumptions and Catalog'!$F$63,IF(((D544+E544)*C544-G544)&lt;='Assumptions and Catalog'!$C$64,((D544+E544)*C544-G544)*'Assumptions and Catalog'!$H$64+'Assumptions and Catalog'!$E$64+'Assumptions and Catalog'!$F$64,IF(((D544+E544)*C544-G544)&lt;='Assumptions and Catalog'!$C$65,((D544+E544)*C544-G544)*'Assumptions and Catalog'!$H$65+'Assumptions and Catalog'!$E$65+'Assumptions and Catalog'!$F$65,"Out of range")))))))))*(1+'Assumptions and Catalog'!$C$8)^(A544-1),0)</f>
        <v>7727.0666666666657</v>
      </c>
      <c r="R544" s="5">
        <f>IF(AND('Assumptions and Catalog'!$C$19&gt;0,A544&gt;='Assumptions and Catalog'!$C$19),A544-'Assumptions and Catalog'!$C$19,A544-1)</f>
        <v>1</v>
      </c>
      <c r="S544" s="5">
        <f>F544+L544-(D544+E544)*C544-J544-K544-IF(D$52&gt;0,'Assumptions and Catalog'!$C$26*C544,0)</f>
        <v>0</v>
      </c>
      <c r="T544" s="5"/>
      <c r="U544" s="5"/>
    </row>
    <row r="545" spans="1:21" ht="23.1" customHeight="1" outlineLevel="1" x14ac:dyDescent="0.2">
      <c r="A545" s="5">
        <v>12</v>
      </c>
      <c r="B545" s="5">
        <v>3</v>
      </c>
      <c r="C545" s="5">
        <f>DAY(DATE('Assumptions and Catalog'!$C$24+A545-1,B545+1,0))</f>
        <v>31</v>
      </c>
      <c r="D545" s="5">
        <f>IF(ISNUMBER(Inputs!$L$5),Inputs!$L$5*Inputs!$L$6,0)</f>
        <v>40.35</v>
      </c>
      <c r="E545" s="5">
        <f>IF(ISNUMBER(Inputs!$L$5),Inputs!$L$5-D545,0)</f>
        <v>40.35</v>
      </c>
      <c r="F545" s="5">
        <f>D$51*'Assumptions and Catalog'!$C$31*C545*(1-'Assumptions and Catalog'!$C$10)^(A545-1)</f>
        <v>0</v>
      </c>
      <c r="G545" s="5">
        <f t="shared" si="40"/>
        <v>0</v>
      </c>
      <c r="H545" s="5">
        <f>I545/('Assumptions and Catalog'!$C$11*'Assumptions and Catalog'!$C$12)</f>
        <v>0</v>
      </c>
      <c r="I545" s="5">
        <f>IF(K$15="Grid cycle",MIN(K$16,D545+E545,P545*'Assumptions and Catalog'!$C$12,D$57*(24-'Assumptions and Catalog'!$C$15),D$56*'Assumptions and Catalog'!$C$15*'Assumptions and Catalog'!$C$11*'Assumptions and Catalog'!$C$12)*C545,0)</f>
        <v>0</v>
      </c>
      <c r="J545" s="5">
        <f t="shared" si="41"/>
        <v>0</v>
      </c>
      <c r="K545" s="5">
        <f t="shared" si="42"/>
        <v>0</v>
      </c>
      <c r="L545" s="5">
        <f>(D545+E545)*C545-G545-I545+H545+IF(D$52&gt;0,'Assumptions and Catalog'!$C$26*C545,0)</f>
        <v>2501.7000000000003</v>
      </c>
      <c r="M545" s="5">
        <f>IF(ISNUMBER(Inputs!$L$5),(IF(Inputs!$L$9="Actual flat rate",((D545+E545)*C545)*Inputs!$L$10,IF(Inputs!$C$9="Residential",IF(((D545+E545)*C545)&lt;='Assumptions and Catalog'!$C$50,((D545+E545)*C545)*'Assumptions and Catalog'!$H$50+'Assumptions and Catalog'!$E$50+'Assumptions and Catalog'!$F$50,IF(((D545+E545)*C545)&lt;='Assumptions and Catalog'!$C$51,((D545+E545)*C545)*'Assumptions and Catalog'!$H$51+'Assumptions and Catalog'!$E$51+'Assumptions and Catalog'!$F$51,IF(((D545+E545)*C545)&lt;='Assumptions and Catalog'!$C$52,((D545+E545)*C545)*'Assumptions and Catalog'!$H$52+'Assumptions and Catalog'!$E$52+'Assumptions and Catalog'!$F$52,IF(((D545+E545)*C545)&lt;='Assumptions and Catalog'!$C$53,((D545+E545)*C545)*'Assumptions and Catalog'!$H$53+'Assumptions and Catalog'!$E$53+'Assumptions and Catalog'!$F$53,IF(((D545+E545)*C545)&lt;='Assumptions and Catalog'!$C$54,((D545+E545)*C545)*'Assumptions and Catalog'!$H$54+'Assumptions and Catalog'!$E$54+'Assumptions and Catalog'!$F$54,IF(((D545+E545)*C545)&lt;='Assumptions and Catalog'!$C$55,((D545+E545)*C545)*'Assumptions and Catalog'!$H$55+'Assumptions and Catalog'!$E$55+'Assumptions and Catalog'!$F$55,IF(((D545+E545)*C545)&lt;='Assumptions and Catalog'!$C$56,((D545+E545)*C545)*'Assumptions and Catalog'!$H$56+'Assumptions and Catalog'!$E$56+'Assumptions and Catalog'!$F$56,IF(((D545+E545)*C545)&lt;='Assumptions and Catalog'!$C$57,((D545+E545)*C545)*'Assumptions and Catalog'!$H$57+'Assumptions and Catalog'!$E$57+'Assumptions and Catalog'!$F$57,"Out of range")))))))),IF(((D545+E545)*C545)&lt;='Assumptions and Catalog'!$C$60,((D545+E545)*C545)*'Assumptions and Catalog'!$H$60+'Assumptions and Catalog'!$E$60+'Assumptions and Catalog'!$F$60,IF(((D545+E545)*C545)&lt;='Assumptions and Catalog'!$C$61,((D545+E545)*C545)*'Assumptions and Catalog'!$H$61+'Assumptions and Catalog'!$E$61+'Assumptions and Catalog'!$F$61,IF(((D545+E545)*C545)&lt;='Assumptions and Catalog'!$C$62,((D545+E545)*C545)*'Assumptions and Catalog'!$H$62+'Assumptions and Catalog'!$E$62+'Assumptions and Catalog'!$F$62,IF(((D545+E545)*C545)&lt;='Assumptions and Catalog'!$C$63,((D545+E545)*C545)*'Assumptions and Catalog'!$H$63+'Assumptions and Catalog'!$E$63+'Assumptions and Catalog'!$F$63,IF(((D545+E545)*C545)&lt;='Assumptions and Catalog'!$C$64,((D545+E545)*C545)*'Assumptions and Catalog'!$H$64+'Assumptions and Catalog'!$E$64+'Assumptions and Catalog'!$F$64,IF(((D545+E545)*C545)&lt;='Assumptions and Catalog'!$C$65,((D545+E545)*C545)*'Assumptions and Catalog'!$H$65+'Assumptions and Catalog'!$E$65+'Assumptions and Catalog'!$F$65,"Out of range")))))))))*(1+'Assumptions and Catalog'!$C$8)^(A545-1),0)</f>
        <v>8554.9666666666672</v>
      </c>
      <c r="N545" s="5">
        <f>IF(ISNUMBER(Inputs!$L$5),(IF(Inputs!$L$9="Actual flat rate",L545*Inputs!$L$10,IF(Inputs!$C$9="Residential",IF(L545&lt;='Assumptions and Catalog'!$C$50,L545*'Assumptions and Catalog'!$H$50+'Assumptions and Catalog'!$E$50+'Assumptions and Catalog'!$F$50,IF(L545&lt;='Assumptions and Catalog'!$C$51,L545*'Assumptions and Catalog'!$H$51+'Assumptions and Catalog'!$E$51+'Assumptions and Catalog'!$F$51,IF(L545&lt;='Assumptions and Catalog'!$C$52,L545*'Assumptions and Catalog'!$H$52+'Assumptions and Catalog'!$E$52+'Assumptions and Catalog'!$F$52,IF(L545&lt;='Assumptions and Catalog'!$C$53,L545*'Assumptions and Catalog'!$H$53+'Assumptions and Catalog'!$E$53+'Assumptions and Catalog'!$F$53,IF(L545&lt;='Assumptions and Catalog'!$C$54,L545*'Assumptions and Catalog'!$H$54+'Assumptions and Catalog'!$E$54+'Assumptions and Catalog'!$F$54,IF(L545&lt;='Assumptions and Catalog'!$C$55,L545*'Assumptions and Catalog'!$H$55+'Assumptions and Catalog'!$E$55+'Assumptions and Catalog'!$F$55,IF(L545&lt;='Assumptions and Catalog'!$C$56,L545*'Assumptions and Catalog'!$H$56+'Assumptions and Catalog'!$E$56+'Assumptions and Catalog'!$F$56,IF(L545&lt;='Assumptions and Catalog'!$C$57,L545*'Assumptions and Catalog'!$H$57+'Assumptions and Catalog'!$E$57+'Assumptions and Catalog'!$F$57,"Out of range")))))))),IF(L545&lt;='Assumptions and Catalog'!$C$60,L545*'Assumptions and Catalog'!$H$60+'Assumptions and Catalog'!$E$60+'Assumptions and Catalog'!$F$60,IF(L545&lt;='Assumptions and Catalog'!$C$61,L545*'Assumptions and Catalog'!$H$61+'Assumptions and Catalog'!$E$61+'Assumptions and Catalog'!$F$61,IF(L545&lt;='Assumptions and Catalog'!$C$62,L545*'Assumptions and Catalog'!$H$62+'Assumptions and Catalog'!$E$62+'Assumptions and Catalog'!$F$62,IF(L545&lt;='Assumptions and Catalog'!$C$63,L545*'Assumptions and Catalog'!$H$63+'Assumptions and Catalog'!$E$63+'Assumptions and Catalog'!$F$63,IF(L545&lt;='Assumptions and Catalog'!$C$64,L545*'Assumptions and Catalog'!$H$64+'Assumptions and Catalog'!$E$64+'Assumptions and Catalog'!$F$64,IF(L545&lt;='Assumptions and Catalog'!$C$65,L545*'Assumptions and Catalog'!$H$65+'Assumptions and Catalog'!$E$65+'Assumptions and Catalog'!$F$65,"Out of range")))))))))*(1+'Assumptions and Catalog'!$C$8)^(A545-1),0)</f>
        <v>8554.9666666666672</v>
      </c>
      <c r="O545" s="5">
        <f t="shared" si="43"/>
        <v>0</v>
      </c>
      <c r="P545" s="5">
        <f>D$55*(1-K$14)*(1-'Assumptions and Catalog'!$C$23)^R545</f>
        <v>0</v>
      </c>
      <c r="Q545" s="5">
        <f>IF(ISNUMBER(Inputs!$L$5),(IF(Inputs!$L$9="Actual flat rate",((D545+E545)*C545-G545)*Inputs!$L$10,IF(Inputs!$C$9="Residential",IF(((D545+E545)*C545-G545)&lt;='Assumptions and Catalog'!$C$50,((D545+E545)*C545-G545)*'Assumptions and Catalog'!$H$50+'Assumptions and Catalog'!$E$50+'Assumptions and Catalog'!$F$50,IF(((D545+E545)*C545-G545)&lt;='Assumptions and Catalog'!$C$51,((D545+E545)*C545-G545)*'Assumptions and Catalog'!$H$51+'Assumptions and Catalog'!$E$51+'Assumptions and Catalog'!$F$51,IF(((D545+E545)*C545-G545)&lt;='Assumptions and Catalog'!$C$52,((D545+E545)*C545-G545)*'Assumptions and Catalog'!$H$52+'Assumptions and Catalog'!$E$52+'Assumptions and Catalog'!$F$52,IF(((D545+E545)*C545-G545)&lt;='Assumptions and Catalog'!$C$53,((D545+E545)*C545-G545)*'Assumptions and Catalog'!$H$53+'Assumptions and Catalog'!$E$53+'Assumptions and Catalog'!$F$53,IF(((D545+E545)*C545-G545)&lt;='Assumptions and Catalog'!$C$54,((D545+E545)*C545-G545)*'Assumptions and Catalog'!$H$54+'Assumptions and Catalog'!$E$54+'Assumptions and Catalog'!$F$54,IF(((D545+E545)*C545-G545)&lt;='Assumptions and Catalog'!$C$55,((D545+E545)*C545-G545)*'Assumptions and Catalog'!$H$55+'Assumptions and Catalog'!$E$55+'Assumptions and Catalog'!$F$55,IF(((D545+E545)*C545-G545)&lt;='Assumptions and Catalog'!$C$56,((D545+E545)*C545-G545)*'Assumptions and Catalog'!$H$56+'Assumptions and Catalog'!$E$56+'Assumptions and Catalog'!$F$56,IF(((D545+E545)*C545-G545)&lt;='Assumptions and Catalog'!$C$57,((D545+E545)*C545-G545)*'Assumptions and Catalog'!$H$57+'Assumptions and Catalog'!$E$57+'Assumptions and Catalog'!$F$57,"Out of range")))))))),IF(((D545+E545)*C545-G545)&lt;='Assumptions and Catalog'!$C$60,((D545+E545)*C545-G545)*'Assumptions and Catalog'!$H$60+'Assumptions and Catalog'!$E$60+'Assumptions and Catalog'!$F$60,IF(((D545+E545)*C545-G545)&lt;='Assumptions and Catalog'!$C$61,((D545+E545)*C545-G545)*'Assumptions and Catalog'!$H$61+'Assumptions and Catalog'!$E$61+'Assumptions and Catalog'!$F$61,IF(((D545+E545)*C545-G545)&lt;='Assumptions and Catalog'!$C$62,((D545+E545)*C545-G545)*'Assumptions and Catalog'!$H$62+'Assumptions and Catalog'!$E$62+'Assumptions and Catalog'!$F$62,IF(((D545+E545)*C545-G545)&lt;='Assumptions and Catalog'!$C$63,((D545+E545)*C545-G545)*'Assumptions and Catalog'!$H$63+'Assumptions and Catalog'!$E$63+'Assumptions and Catalog'!$F$63,IF(((D545+E545)*C545-G545)&lt;='Assumptions and Catalog'!$C$64,((D545+E545)*C545-G545)*'Assumptions and Catalog'!$H$64+'Assumptions and Catalog'!$E$64+'Assumptions and Catalog'!$F$64,IF(((D545+E545)*C545-G545)&lt;='Assumptions and Catalog'!$C$65,((D545+E545)*C545-G545)*'Assumptions and Catalog'!$H$65+'Assumptions and Catalog'!$E$65+'Assumptions and Catalog'!$F$65,"Out of range")))))))))*(1+'Assumptions and Catalog'!$C$8)^(A545-1),0)</f>
        <v>8554.9666666666672</v>
      </c>
      <c r="R545" s="5">
        <f>IF(AND('Assumptions and Catalog'!$C$19&gt;0,A545&gt;='Assumptions and Catalog'!$C$19),A545-'Assumptions and Catalog'!$C$19,A545-1)</f>
        <v>1</v>
      </c>
      <c r="S545" s="5">
        <f>F545+L545-(D545+E545)*C545-J545-K545-IF(D$52&gt;0,'Assumptions and Catalog'!$C$26*C545,0)</f>
        <v>0</v>
      </c>
      <c r="T545" s="5"/>
      <c r="U545" s="5"/>
    </row>
    <row r="546" spans="1:21" ht="23.1" customHeight="1" outlineLevel="1" x14ac:dyDescent="0.2">
      <c r="A546" s="5">
        <v>12</v>
      </c>
      <c r="B546" s="5">
        <v>4</v>
      </c>
      <c r="C546" s="5">
        <f>DAY(DATE('Assumptions and Catalog'!$C$24+A546-1,B546+1,0))</f>
        <v>30</v>
      </c>
      <c r="D546" s="5">
        <f>IF(ISNUMBER(Inputs!$L$5),Inputs!$L$5*Inputs!$L$6,0)</f>
        <v>40.35</v>
      </c>
      <c r="E546" s="5">
        <f>IF(ISNUMBER(Inputs!$L$5),Inputs!$L$5-D546,0)</f>
        <v>40.35</v>
      </c>
      <c r="F546" s="5">
        <f>D$51*'Assumptions and Catalog'!$C$31*C546*(1-'Assumptions and Catalog'!$C$10)^(A546-1)</f>
        <v>0</v>
      </c>
      <c r="G546" s="5">
        <f t="shared" si="40"/>
        <v>0</v>
      </c>
      <c r="H546" s="5">
        <f>I546/('Assumptions and Catalog'!$C$11*'Assumptions and Catalog'!$C$12)</f>
        <v>0</v>
      </c>
      <c r="I546" s="5">
        <f>IF(K$15="Grid cycle",MIN(K$16,D546+E546,P546*'Assumptions and Catalog'!$C$12,D$57*(24-'Assumptions and Catalog'!$C$15),D$56*'Assumptions and Catalog'!$C$15*'Assumptions and Catalog'!$C$11*'Assumptions and Catalog'!$C$12)*C546,0)</f>
        <v>0</v>
      </c>
      <c r="J546" s="5">
        <f t="shared" si="41"/>
        <v>0</v>
      </c>
      <c r="K546" s="5">
        <f t="shared" si="42"/>
        <v>0</v>
      </c>
      <c r="L546" s="5">
        <f>(D546+E546)*C546-G546-I546+H546+IF(D$52&gt;0,'Assumptions and Catalog'!$C$26*C546,0)</f>
        <v>2421</v>
      </c>
      <c r="M546" s="5">
        <f>IF(ISNUMBER(Inputs!$L$5),(IF(Inputs!$L$9="Actual flat rate",((D546+E546)*C546)*Inputs!$L$10,IF(Inputs!$C$9="Residential",IF(((D546+E546)*C546)&lt;='Assumptions and Catalog'!$C$50,((D546+E546)*C546)*'Assumptions and Catalog'!$H$50+'Assumptions and Catalog'!$E$50+'Assumptions and Catalog'!$F$50,IF(((D546+E546)*C546)&lt;='Assumptions and Catalog'!$C$51,((D546+E546)*C546)*'Assumptions and Catalog'!$H$51+'Assumptions and Catalog'!$E$51+'Assumptions and Catalog'!$F$51,IF(((D546+E546)*C546)&lt;='Assumptions and Catalog'!$C$52,((D546+E546)*C546)*'Assumptions and Catalog'!$H$52+'Assumptions and Catalog'!$E$52+'Assumptions and Catalog'!$F$52,IF(((D546+E546)*C546)&lt;='Assumptions and Catalog'!$C$53,((D546+E546)*C546)*'Assumptions and Catalog'!$H$53+'Assumptions and Catalog'!$E$53+'Assumptions and Catalog'!$F$53,IF(((D546+E546)*C546)&lt;='Assumptions and Catalog'!$C$54,((D546+E546)*C546)*'Assumptions and Catalog'!$H$54+'Assumptions and Catalog'!$E$54+'Assumptions and Catalog'!$F$54,IF(((D546+E546)*C546)&lt;='Assumptions and Catalog'!$C$55,((D546+E546)*C546)*'Assumptions and Catalog'!$H$55+'Assumptions and Catalog'!$E$55+'Assumptions and Catalog'!$F$55,IF(((D546+E546)*C546)&lt;='Assumptions and Catalog'!$C$56,((D546+E546)*C546)*'Assumptions and Catalog'!$H$56+'Assumptions and Catalog'!$E$56+'Assumptions and Catalog'!$F$56,IF(((D546+E546)*C546)&lt;='Assumptions and Catalog'!$C$57,((D546+E546)*C546)*'Assumptions and Catalog'!$H$57+'Assumptions and Catalog'!$E$57+'Assumptions and Catalog'!$F$57,"Out of range")))))))),IF(((D546+E546)*C546)&lt;='Assumptions and Catalog'!$C$60,((D546+E546)*C546)*'Assumptions and Catalog'!$H$60+'Assumptions and Catalog'!$E$60+'Assumptions and Catalog'!$F$60,IF(((D546+E546)*C546)&lt;='Assumptions and Catalog'!$C$61,((D546+E546)*C546)*'Assumptions and Catalog'!$H$61+'Assumptions and Catalog'!$E$61+'Assumptions and Catalog'!$F$61,IF(((D546+E546)*C546)&lt;='Assumptions and Catalog'!$C$62,((D546+E546)*C546)*'Assumptions and Catalog'!$H$62+'Assumptions and Catalog'!$E$62+'Assumptions and Catalog'!$F$62,IF(((D546+E546)*C546)&lt;='Assumptions and Catalog'!$C$63,((D546+E546)*C546)*'Assumptions and Catalog'!$H$63+'Assumptions and Catalog'!$E$63+'Assumptions and Catalog'!$F$63,IF(((D546+E546)*C546)&lt;='Assumptions and Catalog'!$C$64,((D546+E546)*C546)*'Assumptions and Catalog'!$H$64+'Assumptions and Catalog'!$E$64+'Assumptions and Catalog'!$F$64,IF(((D546+E546)*C546)&lt;='Assumptions and Catalog'!$C$65,((D546+E546)*C546)*'Assumptions and Catalog'!$H$65+'Assumptions and Catalog'!$E$65+'Assumptions and Catalog'!$F$65,"Out of range")))))))))*(1+'Assumptions and Catalog'!$C$8)^(A546-1),0)</f>
        <v>8279</v>
      </c>
      <c r="N546" s="5">
        <f>IF(ISNUMBER(Inputs!$L$5),(IF(Inputs!$L$9="Actual flat rate",L546*Inputs!$L$10,IF(Inputs!$C$9="Residential",IF(L546&lt;='Assumptions and Catalog'!$C$50,L546*'Assumptions and Catalog'!$H$50+'Assumptions and Catalog'!$E$50+'Assumptions and Catalog'!$F$50,IF(L546&lt;='Assumptions and Catalog'!$C$51,L546*'Assumptions and Catalog'!$H$51+'Assumptions and Catalog'!$E$51+'Assumptions and Catalog'!$F$51,IF(L546&lt;='Assumptions and Catalog'!$C$52,L546*'Assumptions and Catalog'!$H$52+'Assumptions and Catalog'!$E$52+'Assumptions and Catalog'!$F$52,IF(L546&lt;='Assumptions and Catalog'!$C$53,L546*'Assumptions and Catalog'!$H$53+'Assumptions and Catalog'!$E$53+'Assumptions and Catalog'!$F$53,IF(L546&lt;='Assumptions and Catalog'!$C$54,L546*'Assumptions and Catalog'!$H$54+'Assumptions and Catalog'!$E$54+'Assumptions and Catalog'!$F$54,IF(L546&lt;='Assumptions and Catalog'!$C$55,L546*'Assumptions and Catalog'!$H$55+'Assumptions and Catalog'!$E$55+'Assumptions and Catalog'!$F$55,IF(L546&lt;='Assumptions and Catalog'!$C$56,L546*'Assumptions and Catalog'!$H$56+'Assumptions and Catalog'!$E$56+'Assumptions and Catalog'!$F$56,IF(L546&lt;='Assumptions and Catalog'!$C$57,L546*'Assumptions and Catalog'!$H$57+'Assumptions and Catalog'!$E$57+'Assumptions and Catalog'!$F$57,"Out of range")))))))),IF(L546&lt;='Assumptions and Catalog'!$C$60,L546*'Assumptions and Catalog'!$H$60+'Assumptions and Catalog'!$E$60+'Assumptions and Catalog'!$F$60,IF(L546&lt;='Assumptions and Catalog'!$C$61,L546*'Assumptions and Catalog'!$H$61+'Assumptions and Catalog'!$E$61+'Assumptions and Catalog'!$F$61,IF(L546&lt;='Assumptions and Catalog'!$C$62,L546*'Assumptions and Catalog'!$H$62+'Assumptions and Catalog'!$E$62+'Assumptions and Catalog'!$F$62,IF(L546&lt;='Assumptions and Catalog'!$C$63,L546*'Assumptions and Catalog'!$H$63+'Assumptions and Catalog'!$E$63+'Assumptions and Catalog'!$F$63,IF(L546&lt;='Assumptions and Catalog'!$C$64,L546*'Assumptions and Catalog'!$H$64+'Assumptions and Catalog'!$E$64+'Assumptions and Catalog'!$F$64,IF(L546&lt;='Assumptions and Catalog'!$C$65,L546*'Assumptions and Catalog'!$H$65+'Assumptions and Catalog'!$E$65+'Assumptions and Catalog'!$F$65,"Out of range")))))))))*(1+'Assumptions and Catalog'!$C$8)^(A546-1),0)</f>
        <v>8279</v>
      </c>
      <c r="O546" s="5">
        <f t="shared" si="43"/>
        <v>0</v>
      </c>
      <c r="P546" s="5">
        <f>D$55*(1-K$14)*(1-'Assumptions and Catalog'!$C$23)^R546</f>
        <v>0</v>
      </c>
      <c r="Q546" s="5">
        <f>IF(ISNUMBER(Inputs!$L$5),(IF(Inputs!$L$9="Actual flat rate",((D546+E546)*C546-G546)*Inputs!$L$10,IF(Inputs!$C$9="Residential",IF(((D546+E546)*C546-G546)&lt;='Assumptions and Catalog'!$C$50,((D546+E546)*C546-G546)*'Assumptions and Catalog'!$H$50+'Assumptions and Catalog'!$E$50+'Assumptions and Catalog'!$F$50,IF(((D546+E546)*C546-G546)&lt;='Assumptions and Catalog'!$C$51,((D546+E546)*C546-G546)*'Assumptions and Catalog'!$H$51+'Assumptions and Catalog'!$E$51+'Assumptions and Catalog'!$F$51,IF(((D546+E546)*C546-G546)&lt;='Assumptions and Catalog'!$C$52,((D546+E546)*C546-G546)*'Assumptions and Catalog'!$H$52+'Assumptions and Catalog'!$E$52+'Assumptions and Catalog'!$F$52,IF(((D546+E546)*C546-G546)&lt;='Assumptions and Catalog'!$C$53,((D546+E546)*C546-G546)*'Assumptions and Catalog'!$H$53+'Assumptions and Catalog'!$E$53+'Assumptions and Catalog'!$F$53,IF(((D546+E546)*C546-G546)&lt;='Assumptions and Catalog'!$C$54,((D546+E546)*C546-G546)*'Assumptions and Catalog'!$H$54+'Assumptions and Catalog'!$E$54+'Assumptions and Catalog'!$F$54,IF(((D546+E546)*C546-G546)&lt;='Assumptions and Catalog'!$C$55,((D546+E546)*C546-G546)*'Assumptions and Catalog'!$H$55+'Assumptions and Catalog'!$E$55+'Assumptions and Catalog'!$F$55,IF(((D546+E546)*C546-G546)&lt;='Assumptions and Catalog'!$C$56,((D546+E546)*C546-G546)*'Assumptions and Catalog'!$H$56+'Assumptions and Catalog'!$E$56+'Assumptions and Catalog'!$F$56,IF(((D546+E546)*C546-G546)&lt;='Assumptions and Catalog'!$C$57,((D546+E546)*C546-G546)*'Assumptions and Catalog'!$H$57+'Assumptions and Catalog'!$E$57+'Assumptions and Catalog'!$F$57,"Out of range")))))))),IF(((D546+E546)*C546-G546)&lt;='Assumptions and Catalog'!$C$60,((D546+E546)*C546-G546)*'Assumptions and Catalog'!$H$60+'Assumptions and Catalog'!$E$60+'Assumptions and Catalog'!$F$60,IF(((D546+E546)*C546-G546)&lt;='Assumptions and Catalog'!$C$61,((D546+E546)*C546-G546)*'Assumptions and Catalog'!$H$61+'Assumptions and Catalog'!$E$61+'Assumptions and Catalog'!$F$61,IF(((D546+E546)*C546-G546)&lt;='Assumptions and Catalog'!$C$62,((D546+E546)*C546-G546)*'Assumptions and Catalog'!$H$62+'Assumptions and Catalog'!$E$62+'Assumptions and Catalog'!$F$62,IF(((D546+E546)*C546-G546)&lt;='Assumptions and Catalog'!$C$63,((D546+E546)*C546-G546)*'Assumptions and Catalog'!$H$63+'Assumptions and Catalog'!$E$63+'Assumptions and Catalog'!$F$63,IF(((D546+E546)*C546-G546)&lt;='Assumptions and Catalog'!$C$64,((D546+E546)*C546-G546)*'Assumptions and Catalog'!$H$64+'Assumptions and Catalog'!$E$64+'Assumptions and Catalog'!$F$64,IF(((D546+E546)*C546-G546)&lt;='Assumptions and Catalog'!$C$65,((D546+E546)*C546-G546)*'Assumptions and Catalog'!$H$65+'Assumptions and Catalog'!$E$65+'Assumptions and Catalog'!$F$65,"Out of range")))))))))*(1+'Assumptions and Catalog'!$C$8)^(A546-1),0)</f>
        <v>8279</v>
      </c>
      <c r="R546" s="5">
        <f>IF(AND('Assumptions and Catalog'!$C$19&gt;0,A546&gt;='Assumptions and Catalog'!$C$19),A546-'Assumptions and Catalog'!$C$19,A546-1)</f>
        <v>1</v>
      </c>
      <c r="S546" s="5">
        <f>F546+L546-(D546+E546)*C546-J546-K546-IF(D$52&gt;0,'Assumptions and Catalog'!$C$26*C546,0)</f>
        <v>0</v>
      </c>
      <c r="T546" s="5"/>
      <c r="U546" s="5"/>
    </row>
    <row r="547" spans="1:21" ht="23.1" customHeight="1" outlineLevel="1" x14ac:dyDescent="0.2">
      <c r="A547" s="5">
        <v>12</v>
      </c>
      <c r="B547" s="5">
        <v>5</v>
      </c>
      <c r="C547" s="5">
        <f>DAY(DATE('Assumptions and Catalog'!$C$24+A547-1,B547+1,0))</f>
        <v>31</v>
      </c>
      <c r="D547" s="5">
        <f>IF(ISNUMBER(Inputs!$L$5),Inputs!$L$5*Inputs!$L$6,0)</f>
        <v>40.35</v>
      </c>
      <c r="E547" s="5">
        <f>IF(ISNUMBER(Inputs!$L$5),Inputs!$L$5-D547,0)</f>
        <v>40.35</v>
      </c>
      <c r="F547" s="5">
        <f>D$51*'Assumptions and Catalog'!$C$31*C547*(1-'Assumptions and Catalog'!$C$10)^(A547-1)</f>
        <v>0</v>
      </c>
      <c r="G547" s="5">
        <f t="shared" si="40"/>
        <v>0</v>
      </c>
      <c r="H547" s="5">
        <f>I547/('Assumptions and Catalog'!$C$11*'Assumptions and Catalog'!$C$12)</f>
        <v>0</v>
      </c>
      <c r="I547" s="5">
        <f>IF(K$15="Grid cycle",MIN(K$16,D547+E547,P547*'Assumptions and Catalog'!$C$12,D$57*(24-'Assumptions and Catalog'!$C$15),D$56*'Assumptions and Catalog'!$C$15*'Assumptions and Catalog'!$C$11*'Assumptions and Catalog'!$C$12)*C547,0)</f>
        <v>0</v>
      </c>
      <c r="J547" s="5">
        <f t="shared" si="41"/>
        <v>0</v>
      </c>
      <c r="K547" s="5">
        <f t="shared" si="42"/>
        <v>0</v>
      </c>
      <c r="L547" s="5">
        <f>(D547+E547)*C547-G547-I547+H547+IF(D$52&gt;0,'Assumptions and Catalog'!$C$26*C547,0)</f>
        <v>2501.7000000000003</v>
      </c>
      <c r="M547" s="5">
        <f>IF(ISNUMBER(Inputs!$L$5),(IF(Inputs!$L$9="Actual flat rate",((D547+E547)*C547)*Inputs!$L$10,IF(Inputs!$C$9="Residential",IF(((D547+E547)*C547)&lt;='Assumptions and Catalog'!$C$50,((D547+E547)*C547)*'Assumptions and Catalog'!$H$50+'Assumptions and Catalog'!$E$50+'Assumptions and Catalog'!$F$50,IF(((D547+E547)*C547)&lt;='Assumptions and Catalog'!$C$51,((D547+E547)*C547)*'Assumptions and Catalog'!$H$51+'Assumptions and Catalog'!$E$51+'Assumptions and Catalog'!$F$51,IF(((D547+E547)*C547)&lt;='Assumptions and Catalog'!$C$52,((D547+E547)*C547)*'Assumptions and Catalog'!$H$52+'Assumptions and Catalog'!$E$52+'Assumptions and Catalog'!$F$52,IF(((D547+E547)*C547)&lt;='Assumptions and Catalog'!$C$53,((D547+E547)*C547)*'Assumptions and Catalog'!$H$53+'Assumptions and Catalog'!$E$53+'Assumptions and Catalog'!$F$53,IF(((D547+E547)*C547)&lt;='Assumptions and Catalog'!$C$54,((D547+E547)*C547)*'Assumptions and Catalog'!$H$54+'Assumptions and Catalog'!$E$54+'Assumptions and Catalog'!$F$54,IF(((D547+E547)*C547)&lt;='Assumptions and Catalog'!$C$55,((D547+E547)*C547)*'Assumptions and Catalog'!$H$55+'Assumptions and Catalog'!$E$55+'Assumptions and Catalog'!$F$55,IF(((D547+E547)*C547)&lt;='Assumptions and Catalog'!$C$56,((D547+E547)*C547)*'Assumptions and Catalog'!$H$56+'Assumptions and Catalog'!$E$56+'Assumptions and Catalog'!$F$56,IF(((D547+E547)*C547)&lt;='Assumptions and Catalog'!$C$57,((D547+E547)*C547)*'Assumptions and Catalog'!$H$57+'Assumptions and Catalog'!$E$57+'Assumptions and Catalog'!$F$57,"Out of range")))))))),IF(((D547+E547)*C547)&lt;='Assumptions and Catalog'!$C$60,((D547+E547)*C547)*'Assumptions and Catalog'!$H$60+'Assumptions and Catalog'!$E$60+'Assumptions and Catalog'!$F$60,IF(((D547+E547)*C547)&lt;='Assumptions and Catalog'!$C$61,((D547+E547)*C547)*'Assumptions and Catalog'!$H$61+'Assumptions and Catalog'!$E$61+'Assumptions and Catalog'!$F$61,IF(((D547+E547)*C547)&lt;='Assumptions and Catalog'!$C$62,((D547+E547)*C547)*'Assumptions and Catalog'!$H$62+'Assumptions and Catalog'!$E$62+'Assumptions and Catalog'!$F$62,IF(((D547+E547)*C547)&lt;='Assumptions and Catalog'!$C$63,((D547+E547)*C547)*'Assumptions and Catalog'!$H$63+'Assumptions and Catalog'!$E$63+'Assumptions and Catalog'!$F$63,IF(((D547+E547)*C547)&lt;='Assumptions and Catalog'!$C$64,((D547+E547)*C547)*'Assumptions and Catalog'!$H$64+'Assumptions and Catalog'!$E$64+'Assumptions and Catalog'!$F$64,IF(((D547+E547)*C547)&lt;='Assumptions and Catalog'!$C$65,((D547+E547)*C547)*'Assumptions and Catalog'!$H$65+'Assumptions and Catalog'!$E$65+'Assumptions and Catalog'!$F$65,"Out of range")))))))))*(1+'Assumptions and Catalog'!$C$8)^(A547-1),0)</f>
        <v>8554.9666666666672</v>
      </c>
      <c r="N547" s="5">
        <f>IF(ISNUMBER(Inputs!$L$5),(IF(Inputs!$L$9="Actual flat rate",L547*Inputs!$L$10,IF(Inputs!$C$9="Residential",IF(L547&lt;='Assumptions and Catalog'!$C$50,L547*'Assumptions and Catalog'!$H$50+'Assumptions and Catalog'!$E$50+'Assumptions and Catalog'!$F$50,IF(L547&lt;='Assumptions and Catalog'!$C$51,L547*'Assumptions and Catalog'!$H$51+'Assumptions and Catalog'!$E$51+'Assumptions and Catalog'!$F$51,IF(L547&lt;='Assumptions and Catalog'!$C$52,L547*'Assumptions and Catalog'!$H$52+'Assumptions and Catalog'!$E$52+'Assumptions and Catalog'!$F$52,IF(L547&lt;='Assumptions and Catalog'!$C$53,L547*'Assumptions and Catalog'!$H$53+'Assumptions and Catalog'!$E$53+'Assumptions and Catalog'!$F$53,IF(L547&lt;='Assumptions and Catalog'!$C$54,L547*'Assumptions and Catalog'!$H$54+'Assumptions and Catalog'!$E$54+'Assumptions and Catalog'!$F$54,IF(L547&lt;='Assumptions and Catalog'!$C$55,L547*'Assumptions and Catalog'!$H$55+'Assumptions and Catalog'!$E$55+'Assumptions and Catalog'!$F$55,IF(L547&lt;='Assumptions and Catalog'!$C$56,L547*'Assumptions and Catalog'!$H$56+'Assumptions and Catalog'!$E$56+'Assumptions and Catalog'!$F$56,IF(L547&lt;='Assumptions and Catalog'!$C$57,L547*'Assumptions and Catalog'!$H$57+'Assumptions and Catalog'!$E$57+'Assumptions and Catalog'!$F$57,"Out of range")))))))),IF(L547&lt;='Assumptions and Catalog'!$C$60,L547*'Assumptions and Catalog'!$H$60+'Assumptions and Catalog'!$E$60+'Assumptions and Catalog'!$F$60,IF(L547&lt;='Assumptions and Catalog'!$C$61,L547*'Assumptions and Catalog'!$H$61+'Assumptions and Catalog'!$E$61+'Assumptions and Catalog'!$F$61,IF(L547&lt;='Assumptions and Catalog'!$C$62,L547*'Assumptions and Catalog'!$H$62+'Assumptions and Catalog'!$E$62+'Assumptions and Catalog'!$F$62,IF(L547&lt;='Assumptions and Catalog'!$C$63,L547*'Assumptions and Catalog'!$H$63+'Assumptions and Catalog'!$E$63+'Assumptions and Catalog'!$F$63,IF(L547&lt;='Assumptions and Catalog'!$C$64,L547*'Assumptions and Catalog'!$H$64+'Assumptions and Catalog'!$E$64+'Assumptions and Catalog'!$F$64,IF(L547&lt;='Assumptions and Catalog'!$C$65,L547*'Assumptions and Catalog'!$H$65+'Assumptions and Catalog'!$E$65+'Assumptions and Catalog'!$F$65,"Out of range")))))))))*(1+'Assumptions and Catalog'!$C$8)^(A547-1),0)</f>
        <v>8554.9666666666672</v>
      </c>
      <c r="O547" s="5">
        <f t="shared" si="43"/>
        <v>0</v>
      </c>
      <c r="P547" s="5">
        <f>D$55*(1-K$14)*(1-'Assumptions and Catalog'!$C$23)^R547</f>
        <v>0</v>
      </c>
      <c r="Q547" s="5">
        <f>IF(ISNUMBER(Inputs!$L$5),(IF(Inputs!$L$9="Actual flat rate",((D547+E547)*C547-G547)*Inputs!$L$10,IF(Inputs!$C$9="Residential",IF(((D547+E547)*C547-G547)&lt;='Assumptions and Catalog'!$C$50,((D547+E547)*C547-G547)*'Assumptions and Catalog'!$H$50+'Assumptions and Catalog'!$E$50+'Assumptions and Catalog'!$F$50,IF(((D547+E547)*C547-G547)&lt;='Assumptions and Catalog'!$C$51,((D547+E547)*C547-G547)*'Assumptions and Catalog'!$H$51+'Assumptions and Catalog'!$E$51+'Assumptions and Catalog'!$F$51,IF(((D547+E547)*C547-G547)&lt;='Assumptions and Catalog'!$C$52,((D547+E547)*C547-G547)*'Assumptions and Catalog'!$H$52+'Assumptions and Catalog'!$E$52+'Assumptions and Catalog'!$F$52,IF(((D547+E547)*C547-G547)&lt;='Assumptions and Catalog'!$C$53,((D547+E547)*C547-G547)*'Assumptions and Catalog'!$H$53+'Assumptions and Catalog'!$E$53+'Assumptions and Catalog'!$F$53,IF(((D547+E547)*C547-G547)&lt;='Assumptions and Catalog'!$C$54,((D547+E547)*C547-G547)*'Assumptions and Catalog'!$H$54+'Assumptions and Catalog'!$E$54+'Assumptions and Catalog'!$F$54,IF(((D547+E547)*C547-G547)&lt;='Assumptions and Catalog'!$C$55,((D547+E547)*C547-G547)*'Assumptions and Catalog'!$H$55+'Assumptions and Catalog'!$E$55+'Assumptions and Catalog'!$F$55,IF(((D547+E547)*C547-G547)&lt;='Assumptions and Catalog'!$C$56,((D547+E547)*C547-G547)*'Assumptions and Catalog'!$H$56+'Assumptions and Catalog'!$E$56+'Assumptions and Catalog'!$F$56,IF(((D547+E547)*C547-G547)&lt;='Assumptions and Catalog'!$C$57,((D547+E547)*C547-G547)*'Assumptions and Catalog'!$H$57+'Assumptions and Catalog'!$E$57+'Assumptions and Catalog'!$F$57,"Out of range")))))))),IF(((D547+E547)*C547-G547)&lt;='Assumptions and Catalog'!$C$60,((D547+E547)*C547-G547)*'Assumptions and Catalog'!$H$60+'Assumptions and Catalog'!$E$60+'Assumptions and Catalog'!$F$60,IF(((D547+E547)*C547-G547)&lt;='Assumptions and Catalog'!$C$61,((D547+E547)*C547-G547)*'Assumptions and Catalog'!$H$61+'Assumptions and Catalog'!$E$61+'Assumptions and Catalog'!$F$61,IF(((D547+E547)*C547-G547)&lt;='Assumptions and Catalog'!$C$62,((D547+E547)*C547-G547)*'Assumptions and Catalog'!$H$62+'Assumptions and Catalog'!$E$62+'Assumptions and Catalog'!$F$62,IF(((D547+E547)*C547-G547)&lt;='Assumptions and Catalog'!$C$63,((D547+E547)*C547-G547)*'Assumptions and Catalog'!$H$63+'Assumptions and Catalog'!$E$63+'Assumptions and Catalog'!$F$63,IF(((D547+E547)*C547-G547)&lt;='Assumptions and Catalog'!$C$64,((D547+E547)*C547-G547)*'Assumptions and Catalog'!$H$64+'Assumptions and Catalog'!$E$64+'Assumptions and Catalog'!$F$64,IF(((D547+E547)*C547-G547)&lt;='Assumptions and Catalog'!$C$65,((D547+E547)*C547-G547)*'Assumptions and Catalog'!$H$65+'Assumptions and Catalog'!$E$65+'Assumptions and Catalog'!$F$65,"Out of range")))))))))*(1+'Assumptions and Catalog'!$C$8)^(A547-1),0)</f>
        <v>8554.9666666666672</v>
      </c>
      <c r="R547" s="5">
        <f>IF(AND('Assumptions and Catalog'!$C$19&gt;0,A547&gt;='Assumptions and Catalog'!$C$19),A547-'Assumptions and Catalog'!$C$19,A547-1)</f>
        <v>1</v>
      </c>
      <c r="S547" s="5">
        <f>F547+L547-(D547+E547)*C547-J547-K547-IF(D$52&gt;0,'Assumptions and Catalog'!$C$26*C547,0)</f>
        <v>0</v>
      </c>
      <c r="T547" s="5"/>
      <c r="U547" s="5"/>
    </row>
    <row r="548" spans="1:21" ht="23.1" customHeight="1" outlineLevel="1" x14ac:dyDescent="0.2">
      <c r="A548" s="5">
        <v>12</v>
      </c>
      <c r="B548" s="5">
        <v>6</v>
      </c>
      <c r="C548" s="5">
        <f>DAY(DATE('Assumptions and Catalog'!$C$24+A548-1,B548+1,0))</f>
        <v>30</v>
      </c>
      <c r="D548" s="5">
        <f>IF(ISNUMBER(Inputs!$L$5),Inputs!$L$5*Inputs!$L$6,0)</f>
        <v>40.35</v>
      </c>
      <c r="E548" s="5">
        <f>IF(ISNUMBER(Inputs!$L$5),Inputs!$L$5-D548,0)</f>
        <v>40.35</v>
      </c>
      <c r="F548" s="5">
        <f>D$51*'Assumptions and Catalog'!$C$31*C548*(1-'Assumptions and Catalog'!$C$10)^(A548-1)</f>
        <v>0</v>
      </c>
      <c r="G548" s="5">
        <f t="shared" si="40"/>
        <v>0</v>
      </c>
      <c r="H548" s="5">
        <f>I548/('Assumptions and Catalog'!$C$11*'Assumptions and Catalog'!$C$12)</f>
        <v>0</v>
      </c>
      <c r="I548" s="5">
        <f>IF(K$15="Grid cycle",MIN(K$16,D548+E548,P548*'Assumptions and Catalog'!$C$12,D$57*(24-'Assumptions and Catalog'!$C$15),D$56*'Assumptions and Catalog'!$C$15*'Assumptions and Catalog'!$C$11*'Assumptions and Catalog'!$C$12)*C548,0)</f>
        <v>0</v>
      </c>
      <c r="J548" s="5">
        <f t="shared" si="41"/>
        <v>0</v>
      </c>
      <c r="K548" s="5">
        <f t="shared" si="42"/>
        <v>0</v>
      </c>
      <c r="L548" s="5">
        <f>(D548+E548)*C548-G548-I548+H548+IF(D$52&gt;0,'Assumptions and Catalog'!$C$26*C548,0)</f>
        <v>2421</v>
      </c>
      <c r="M548" s="5">
        <f>IF(ISNUMBER(Inputs!$L$5),(IF(Inputs!$L$9="Actual flat rate",((D548+E548)*C548)*Inputs!$L$10,IF(Inputs!$C$9="Residential",IF(((D548+E548)*C548)&lt;='Assumptions and Catalog'!$C$50,((D548+E548)*C548)*'Assumptions and Catalog'!$H$50+'Assumptions and Catalog'!$E$50+'Assumptions and Catalog'!$F$50,IF(((D548+E548)*C548)&lt;='Assumptions and Catalog'!$C$51,((D548+E548)*C548)*'Assumptions and Catalog'!$H$51+'Assumptions and Catalog'!$E$51+'Assumptions and Catalog'!$F$51,IF(((D548+E548)*C548)&lt;='Assumptions and Catalog'!$C$52,((D548+E548)*C548)*'Assumptions and Catalog'!$H$52+'Assumptions and Catalog'!$E$52+'Assumptions and Catalog'!$F$52,IF(((D548+E548)*C548)&lt;='Assumptions and Catalog'!$C$53,((D548+E548)*C548)*'Assumptions and Catalog'!$H$53+'Assumptions and Catalog'!$E$53+'Assumptions and Catalog'!$F$53,IF(((D548+E548)*C548)&lt;='Assumptions and Catalog'!$C$54,((D548+E548)*C548)*'Assumptions and Catalog'!$H$54+'Assumptions and Catalog'!$E$54+'Assumptions and Catalog'!$F$54,IF(((D548+E548)*C548)&lt;='Assumptions and Catalog'!$C$55,((D548+E548)*C548)*'Assumptions and Catalog'!$H$55+'Assumptions and Catalog'!$E$55+'Assumptions and Catalog'!$F$55,IF(((D548+E548)*C548)&lt;='Assumptions and Catalog'!$C$56,((D548+E548)*C548)*'Assumptions and Catalog'!$H$56+'Assumptions and Catalog'!$E$56+'Assumptions and Catalog'!$F$56,IF(((D548+E548)*C548)&lt;='Assumptions and Catalog'!$C$57,((D548+E548)*C548)*'Assumptions and Catalog'!$H$57+'Assumptions and Catalog'!$E$57+'Assumptions and Catalog'!$F$57,"Out of range")))))))),IF(((D548+E548)*C548)&lt;='Assumptions and Catalog'!$C$60,((D548+E548)*C548)*'Assumptions and Catalog'!$H$60+'Assumptions and Catalog'!$E$60+'Assumptions and Catalog'!$F$60,IF(((D548+E548)*C548)&lt;='Assumptions and Catalog'!$C$61,((D548+E548)*C548)*'Assumptions and Catalog'!$H$61+'Assumptions and Catalog'!$E$61+'Assumptions and Catalog'!$F$61,IF(((D548+E548)*C548)&lt;='Assumptions and Catalog'!$C$62,((D548+E548)*C548)*'Assumptions and Catalog'!$H$62+'Assumptions and Catalog'!$E$62+'Assumptions and Catalog'!$F$62,IF(((D548+E548)*C548)&lt;='Assumptions and Catalog'!$C$63,((D548+E548)*C548)*'Assumptions and Catalog'!$H$63+'Assumptions and Catalog'!$E$63+'Assumptions and Catalog'!$F$63,IF(((D548+E548)*C548)&lt;='Assumptions and Catalog'!$C$64,((D548+E548)*C548)*'Assumptions and Catalog'!$H$64+'Assumptions and Catalog'!$E$64+'Assumptions and Catalog'!$F$64,IF(((D548+E548)*C548)&lt;='Assumptions and Catalog'!$C$65,((D548+E548)*C548)*'Assumptions and Catalog'!$H$65+'Assumptions and Catalog'!$E$65+'Assumptions and Catalog'!$F$65,"Out of range")))))))))*(1+'Assumptions and Catalog'!$C$8)^(A548-1),0)</f>
        <v>8279</v>
      </c>
      <c r="N548" s="5">
        <f>IF(ISNUMBER(Inputs!$L$5),(IF(Inputs!$L$9="Actual flat rate",L548*Inputs!$L$10,IF(Inputs!$C$9="Residential",IF(L548&lt;='Assumptions and Catalog'!$C$50,L548*'Assumptions and Catalog'!$H$50+'Assumptions and Catalog'!$E$50+'Assumptions and Catalog'!$F$50,IF(L548&lt;='Assumptions and Catalog'!$C$51,L548*'Assumptions and Catalog'!$H$51+'Assumptions and Catalog'!$E$51+'Assumptions and Catalog'!$F$51,IF(L548&lt;='Assumptions and Catalog'!$C$52,L548*'Assumptions and Catalog'!$H$52+'Assumptions and Catalog'!$E$52+'Assumptions and Catalog'!$F$52,IF(L548&lt;='Assumptions and Catalog'!$C$53,L548*'Assumptions and Catalog'!$H$53+'Assumptions and Catalog'!$E$53+'Assumptions and Catalog'!$F$53,IF(L548&lt;='Assumptions and Catalog'!$C$54,L548*'Assumptions and Catalog'!$H$54+'Assumptions and Catalog'!$E$54+'Assumptions and Catalog'!$F$54,IF(L548&lt;='Assumptions and Catalog'!$C$55,L548*'Assumptions and Catalog'!$H$55+'Assumptions and Catalog'!$E$55+'Assumptions and Catalog'!$F$55,IF(L548&lt;='Assumptions and Catalog'!$C$56,L548*'Assumptions and Catalog'!$H$56+'Assumptions and Catalog'!$E$56+'Assumptions and Catalog'!$F$56,IF(L548&lt;='Assumptions and Catalog'!$C$57,L548*'Assumptions and Catalog'!$H$57+'Assumptions and Catalog'!$E$57+'Assumptions and Catalog'!$F$57,"Out of range")))))))),IF(L548&lt;='Assumptions and Catalog'!$C$60,L548*'Assumptions and Catalog'!$H$60+'Assumptions and Catalog'!$E$60+'Assumptions and Catalog'!$F$60,IF(L548&lt;='Assumptions and Catalog'!$C$61,L548*'Assumptions and Catalog'!$H$61+'Assumptions and Catalog'!$E$61+'Assumptions and Catalog'!$F$61,IF(L548&lt;='Assumptions and Catalog'!$C$62,L548*'Assumptions and Catalog'!$H$62+'Assumptions and Catalog'!$E$62+'Assumptions and Catalog'!$F$62,IF(L548&lt;='Assumptions and Catalog'!$C$63,L548*'Assumptions and Catalog'!$H$63+'Assumptions and Catalog'!$E$63+'Assumptions and Catalog'!$F$63,IF(L548&lt;='Assumptions and Catalog'!$C$64,L548*'Assumptions and Catalog'!$H$64+'Assumptions and Catalog'!$E$64+'Assumptions and Catalog'!$F$64,IF(L548&lt;='Assumptions and Catalog'!$C$65,L548*'Assumptions and Catalog'!$H$65+'Assumptions and Catalog'!$E$65+'Assumptions and Catalog'!$F$65,"Out of range")))))))))*(1+'Assumptions and Catalog'!$C$8)^(A548-1),0)</f>
        <v>8279</v>
      </c>
      <c r="O548" s="5">
        <f t="shared" si="43"/>
        <v>0</v>
      </c>
      <c r="P548" s="5">
        <f>D$55*(1-K$14)*(1-'Assumptions and Catalog'!$C$23)^R548</f>
        <v>0</v>
      </c>
      <c r="Q548" s="5">
        <f>IF(ISNUMBER(Inputs!$L$5),(IF(Inputs!$L$9="Actual flat rate",((D548+E548)*C548-G548)*Inputs!$L$10,IF(Inputs!$C$9="Residential",IF(((D548+E548)*C548-G548)&lt;='Assumptions and Catalog'!$C$50,((D548+E548)*C548-G548)*'Assumptions and Catalog'!$H$50+'Assumptions and Catalog'!$E$50+'Assumptions and Catalog'!$F$50,IF(((D548+E548)*C548-G548)&lt;='Assumptions and Catalog'!$C$51,((D548+E548)*C548-G548)*'Assumptions and Catalog'!$H$51+'Assumptions and Catalog'!$E$51+'Assumptions and Catalog'!$F$51,IF(((D548+E548)*C548-G548)&lt;='Assumptions and Catalog'!$C$52,((D548+E548)*C548-G548)*'Assumptions and Catalog'!$H$52+'Assumptions and Catalog'!$E$52+'Assumptions and Catalog'!$F$52,IF(((D548+E548)*C548-G548)&lt;='Assumptions and Catalog'!$C$53,((D548+E548)*C548-G548)*'Assumptions and Catalog'!$H$53+'Assumptions and Catalog'!$E$53+'Assumptions and Catalog'!$F$53,IF(((D548+E548)*C548-G548)&lt;='Assumptions and Catalog'!$C$54,((D548+E548)*C548-G548)*'Assumptions and Catalog'!$H$54+'Assumptions and Catalog'!$E$54+'Assumptions and Catalog'!$F$54,IF(((D548+E548)*C548-G548)&lt;='Assumptions and Catalog'!$C$55,((D548+E548)*C548-G548)*'Assumptions and Catalog'!$H$55+'Assumptions and Catalog'!$E$55+'Assumptions and Catalog'!$F$55,IF(((D548+E548)*C548-G548)&lt;='Assumptions and Catalog'!$C$56,((D548+E548)*C548-G548)*'Assumptions and Catalog'!$H$56+'Assumptions and Catalog'!$E$56+'Assumptions and Catalog'!$F$56,IF(((D548+E548)*C548-G548)&lt;='Assumptions and Catalog'!$C$57,((D548+E548)*C548-G548)*'Assumptions and Catalog'!$H$57+'Assumptions and Catalog'!$E$57+'Assumptions and Catalog'!$F$57,"Out of range")))))))),IF(((D548+E548)*C548-G548)&lt;='Assumptions and Catalog'!$C$60,((D548+E548)*C548-G548)*'Assumptions and Catalog'!$H$60+'Assumptions and Catalog'!$E$60+'Assumptions and Catalog'!$F$60,IF(((D548+E548)*C548-G548)&lt;='Assumptions and Catalog'!$C$61,((D548+E548)*C548-G548)*'Assumptions and Catalog'!$H$61+'Assumptions and Catalog'!$E$61+'Assumptions and Catalog'!$F$61,IF(((D548+E548)*C548-G548)&lt;='Assumptions and Catalog'!$C$62,((D548+E548)*C548-G548)*'Assumptions and Catalog'!$H$62+'Assumptions and Catalog'!$E$62+'Assumptions and Catalog'!$F$62,IF(((D548+E548)*C548-G548)&lt;='Assumptions and Catalog'!$C$63,((D548+E548)*C548-G548)*'Assumptions and Catalog'!$H$63+'Assumptions and Catalog'!$E$63+'Assumptions and Catalog'!$F$63,IF(((D548+E548)*C548-G548)&lt;='Assumptions and Catalog'!$C$64,((D548+E548)*C548-G548)*'Assumptions and Catalog'!$H$64+'Assumptions and Catalog'!$E$64+'Assumptions and Catalog'!$F$64,IF(((D548+E548)*C548-G548)&lt;='Assumptions and Catalog'!$C$65,((D548+E548)*C548-G548)*'Assumptions and Catalog'!$H$65+'Assumptions and Catalog'!$E$65+'Assumptions and Catalog'!$F$65,"Out of range")))))))))*(1+'Assumptions and Catalog'!$C$8)^(A548-1),0)</f>
        <v>8279</v>
      </c>
      <c r="R548" s="5">
        <f>IF(AND('Assumptions and Catalog'!$C$19&gt;0,A548&gt;='Assumptions and Catalog'!$C$19),A548-'Assumptions and Catalog'!$C$19,A548-1)</f>
        <v>1</v>
      </c>
      <c r="S548" s="5">
        <f>F548+L548-(D548+E548)*C548-J548-K548-IF(D$52&gt;0,'Assumptions and Catalog'!$C$26*C548,0)</f>
        <v>0</v>
      </c>
      <c r="T548" s="5"/>
      <c r="U548" s="5"/>
    </row>
    <row r="549" spans="1:21" ht="23.1" customHeight="1" outlineLevel="1" x14ac:dyDescent="0.2">
      <c r="A549" s="5">
        <v>12</v>
      </c>
      <c r="B549" s="5">
        <v>7</v>
      </c>
      <c r="C549" s="5">
        <f>DAY(DATE('Assumptions and Catalog'!$C$24+A549-1,B549+1,0))</f>
        <v>31</v>
      </c>
      <c r="D549" s="5">
        <f>IF(ISNUMBER(Inputs!$L$5),Inputs!$L$5*Inputs!$L$6,0)</f>
        <v>40.35</v>
      </c>
      <c r="E549" s="5">
        <f>IF(ISNUMBER(Inputs!$L$5),Inputs!$L$5-D549,0)</f>
        <v>40.35</v>
      </c>
      <c r="F549" s="5">
        <f>D$51*'Assumptions and Catalog'!$C$31*C549*(1-'Assumptions and Catalog'!$C$10)^(A549-1)</f>
        <v>0</v>
      </c>
      <c r="G549" s="5">
        <f t="shared" si="40"/>
        <v>0</v>
      </c>
      <c r="H549" s="5">
        <f>I549/('Assumptions and Catalog'!$C$11*'Assumptions and Catalog'!$C$12)</f>
        <v>0</v>
      </c>
      <c r="I549" s="5">
        <f>IF(K$15="Grid cycle",MIN(K$16,D549+E549,P549*'Assumptions and Catalog'!$C$12,D$57*(24-'Assumptions and Catalog'!$C$15),D$56*'Assumptions and Catalog'!$C$15*'Assumptions and Catalog'!$C$11*'Assumptions and Catalog'!$C$12)*C549,0)</f>
        <v>0</v>
      </c>
      <c r="J549" s="5">
        <f t="shared" si="41"/>
        <v>0</v>
      </c>
      <c r="K549" s="5">
        <f t="shared" si="42"/>
        <v>0</v>
      </c>
      <c r="L549" s="5">
        <f>(D549+E549)*C549-G549-I549+H549+IF(D$52&gt;0,'Assumptions and Catalog'!$C$26*C549,0)</f>
        <v>2501.7000000000003</v>
      </c>
      <c r="M549" s="5">
        <f>IF(ISNUMBER(Inputs!$L$5),(IF(Inputs!$L$9="Actual flat rate",((D549+E549)*C549)*Inputs!$L$10,IF(Inputs!$C$9="Residential",IF(((D549+E549)*C549)&lt;='Assumptions and Catalog'!$C$50,((D549+E549)*C549)*'Assumptions and Catalog'!$H$50+'Assumptions and Catalog'!$E$50+'Assumptions and Catalog'!$F$50,IF(((D549+E549)*C549)&lt;='Assumptions and Catalog'!$C$51,((D549+E549)*C549)*'Assumptions and Catalog'!$H$51+'Assumptions and Catalog'!$E$51+'Assumptions and Catalog'!$F$51,IF(((D549+E549)*C549)&lt;='Assumptions and Catalog'!$C$52,((D549+E549)*C549)*'Assumptions and Catalog'!$H$52+'Assumptions and Catalog'!$E$52+'Assumptions and Catalog'!$F$52,IF(((D549+E549)*C549)&lt;='Assumptions and Catalog'!$C$53,((D549+E549)*C549)*'Assumptions and Catalog'!$H$53+'Assumptions and Catalog'!$E$53+'Assumptions and Catalog'!$F$53,IF(((D549+E549)*C549)&lt;='Assumptions and Catalog'!$C$54,((D549+E549)*C549)*'Assumptions and Catalog'!$H$54+'Assumptions and Catalog'!$E$54+'Assumptions and Catalog'!$F$54,IF(((D549+E549)*C549)&lt;='Assumptions and Catalog'!$C$55,((D549+E549)*C549)*'Assumptions and Catalog'!$H$55+'Assumptions and Catalog'!$E$55+'Assumptions and Catalog'!$F$55,IF(((D549+E549)*C549)&lt;='Assumptions and Catalog'!$C$56,((D549+E549)*C549)*'Assumptions and Catalog'!$H$56+'Assumptions and Catalog'!$E$56+'Assumptions and Catalog'!$F$56,IF(((D549+E549)*C549)&lt;='Assumptions and Catalog'!$C$57,((D549+E549)*C549)*'Assumptions and Catalog'!$H$57+'Assumptions and Catalog'!$E$57+'Assumptions and Catalog'!$F$57,"Out of range")))))))),IF(((D549+E549)*C549)&lt;='Assumptions and Catalog'!$C$60,((D549+E549)*C549)*'Assumptions and Catalog'!$H$60+'Assumptions and Catalog'!$E$60+'Assumptions and Catalog'!$F$60,IF(((D549+E549)*C549)&lt;='Assumptions and Catalog'!$C$61,((D549+E549)*C549)*'Assumptions and Catalog'!$H$61+'Assumptions and Catalog'!$E$61+'Assumptions and Catalog'!$F$61,IF(((D549+E549)*C549)&lt;='Assumptions and Catalog'!$C$62,((D549+E549)*C549)*'Assumptions and Catalog'!$H$62+'Assumptions and Catalog'!$E$62+'Assumptions and Catalog'!$F$62,IF(((D549+E549)*C549)&lt;='Assumptions and Catalog'!$C$63,((D549+E549)*C549)*'Assumptions and Catalog'!$H$63+'Assumptions and Catalog'!$E$63+'Assumptions and Catalog'!$F$63,IF(((D549+E549)*C549)&lt;='Assumptions and Catalog'!$C$64,((D549+E549)*C549)*'Assumptions and Catalog'!$H$64+'Assumptions and Catalog'!$E$64+'Assumptions and Catalog'!$F$64,IF(((D549+E549)*C549)&lt;='Assumptions and Catalog'!$C$65,((D549+E549)*C549)*'Assumptions and Catalog'!$H$65+'Assumptions and Catalog'!$E$65+'Assumptions and Catalog'!$F$65,"Out of range")))))))))*(1+'Assumptions and Catalog'!$C$8)^(A549-1),0)</f>
        <v>8554.9666666666672</v>
      </c>
      <c r="N549" s="5">
        <f>IF(ISNUMBER(Inputs!$L$5),(IF(Inputs!$L$9="Actual flat rate",L549*Inputs!$L$10,IF(Inputs!$C$9="Residential",IF(L549&lt;='Assumptions and Catalog'!$C$50,L549*'Assumptions and Catalog'!$H$50+'Assumptions and Catalog'!$E$50+'Assumptions and Catalog'!$F$50,IF(L549&lt;='Assumptions and Catalog'!$C$51,L549*'Assumptions and Catalog'!$H$51+'Assumptions and Catalog'!$E$51+'Assumptions and Catalog'!$F$51,IF(L549&lt;='Assumptions and Catalog'!$C$52,L549*'Assumptions and Catalog'!$H$52+'Assumptions and Catalog'!$E$52+'Assumptions and Catalog'!$F$52,IF(L549&lt;='Assumptions and Catalog'!$C$53,L549*'Assumptions and Catalog'!$H$53+'Assumptions and Catalog'!$E$53+'Assumptions and Catalog'!$F$53,IF(L549&lt;='Assumptions and Catalog'!$C$54,L549*'Assumptions and Catalog'!$H$54+'Assumptions and Catalog'!$E$54+'Assumptions and Catalog'!$F$54,IF(L549&lt;='Assumptions and Catalog'!$C$55,L549*'Assumptions and Catalog'!$H$55+'Assumptions and Catalog'!$E$55+'Assumptions and Catalog'!$F$55,IF(L549&lt;='Assumptions and Catalog'!$C$56,L549*'Assumptions and Catalog'!$H$56+'Assumptions and Catalog'!$E$56+'Assumptions and Catalog'!$F$56,IF(L549&lt;='Assumptions and Catalog'!$C$57,L549*'Assumptions and Catalog'!$H$57+'Assumptions and Catalog'!$E$57+'Assumptions and Catalog'!$F$57,"Out of range")))))))),IF(L549&lt;='Assumptions and Catalog'!$C$60,L549*'Assumptions and Catalog'!$H$60+'Assumptions and Catalog'!$E$60+'Assumptions and Catalog'!$F$60,IF(L549&lt;='Assumptions and Catalog'!$C$61,L549*'Assumptions and Catalog'!$H$61+'Assumptions and Catalog'!$E$61+'Assumptions and Catalog'!$F$61,IF(L549&lt;='Assumptions and Catalog'!$C$62,L549*'Assumptions and Catalog'!$H$62+'Assumptions and Catalog'!$E$62+'Assumptions and Catalog'!$F$62,IF(L549&lt;='Assumptions and Catalog'!$C$63,L549*'Assumptions and Catalog'!$H$63+'Assumptions and Catalog'!$E$63+'Assumptions and Catalog'!$F$63,IF(L549&lt;='Assumptions and Catalog'!$C$64,L549*'Assumptions and Catalog'!$H$64+'Assumptions and Catalog'!$E$64+'Assumptions and Catalog'!$F$64,IF(L549&lt;='Assumptions and Catalog'!$C$65,L549*'Assumptions and Catalog'!$H$65+'Assumptions and Catalog'!$E$65+'Assumptions and Catalog'!$F$65,"Out of range")))))))))*(1+'Assumptions and Catalog'!$C$8)^(A549-1),0)</f>
        <v>8554.9666666666672</v>
      </c>
      <c r="O549" s="5">
        <f t="shared" si="43"/>
        <v>0</v>
      </c>
      <c r="P549" s="5">
        <f>D$55*(1-K$14)*(1-'Assumptions and Catalog'!$C$23)^R549</f>
        <v>0</v>
      </c>
      <c r="Q549" s="5">
        <f>IF(ISNUMBER(Inputs!$L$5),(IF(Inputs!$L$9="Actual flat rate",((D549+E549)*C549-G549)*Inputs!$L$10,IF(Inputs!$C$9="Residential",IF(((D549+E549)*C549-G549)&lt;='Assumptions and Catalog'!$C$50,((D549+E549)*C549-G549)*'Assumptions and Catalog'!$H$50+'Assumptions and Catalog'!$E$50+'Assumptions and Catalog'!$F$50,IF(((D549+E549)*C549-G549)&lt;='Assumptions and Catalog'!$C$51,((D549+E549)*C549-G549)*'Assumptions and Catalog'!$H$51+'Assumptions and Catalog'!$E$51+'Assumptions and Catalog'!$F$51,IF(((D549+E549)*C549-G549)&lt;='Assumptions and Catalog'!$C$52,((D549+E549)*C549-G549)*'Assumptions and Catalog'!$H$52+'Assumptions and Catalog'!$E$52+'Assumptions and Catalog'!$F$52,IF(((D549+E549)*C549-G549)&lt;='Assumptions and Catalog'!$C$53,((D549+E549)*C549-G549)*'Assumptions and Catalog'!$H$53+'Assumptions and Catalog'!$E$53+'Assumptions and Catalog'!$F$53,IF(((D549+E549)*C549-G549)&lt;='Assumptions and Catalog'!$C$54,((D549+E549)*C549-G549)*'Assumptions and Catalog'!$H$54+'Assumptions and Catalog'!$E$54+'Assumptions and Catalog'!$F$54,IF(((D549+E549)*C549-G549)&lt;='Assumptions and Catalog'!$C$55,((D549+E549)*C549-G549)*'Assumptions and Catalog'!$H$55+'Assumptions and Catalog'!$E$55+'Assumptions and Catalog'!$F$55,IF(((D549+E549)*C549-G549)&lt;='Assumptions and Catalog'!$C$56,((D549+E549)*C549-G549)*'Assumptions and Catalog'!$H$56+'Assumptions and Catalog'!$E$56+'Assumptions and Catalog'!$F$56,IF(((D549+E549)*C549-G549)&lt;='Assumptions and Catalog'!$C$57,((D549+E549)*C549-G549)*'Assumptions and Catalog'!$H$57+'Assumptions and Catalog'!$E$57+'Assumptions and Catalog'!$F$57,"Out of range")))))))),IF(((D549+E549)*C549-G549)&lt;='Assumptions and Catalog'!$C$60,((D549+E549)*C549-G549)*'Assumptions and Catalog'!$H$60+'Assumptions and Catalog'!$E$60+'Assumptions and Catalog'!$F$60,IF(((D549+E549)*C549-G549)&lt;='Assumptions and Catalog'!$C$61,((D549+E549)*C549-G549)*'Assumptions and Catalog'!$H$61+'Assumptions and Catalog'!$E$61+'Assumptions and Catalog'!$F$61,IF(((D549+E549)*C549-G549)&lt;='Assumptions and Catalog'!$C$62,((D549+E549)*C549-G549)*'Assumptions and Catalog'!$H$62+'Assumptions and Catalog'!$E$62+'Assumptions and Catalog'!$F$62,IF(((D549+E549)*C549-G549)&lt;='Assumptions and Catalog'!$C$63,((D549+E549)*C549-G549)*'Assumptions and Catalog'!$H$63+'Assumptions and Catalog'!$E$63+'Assumptions and Catalog'!$F$63,IF(((D549+E549)*C549-G549)&lt;='Assumptions and Catalog'!$C$64,((D549+E549)*C549-G549)*'Assumptions and Catalog'!$H$64+'Assumptions and Catalog'!$E$64+'Assumptions and Catalog'!$F$64,IF(((D549+E549)*C549-G549)&lt;='Assumptions and Catalog'!$C$65,((D549+E549)*C549-G549)*'Assumptions and Catalog'!$H$65+'Assumptions and Catalog'!$E$65+'Assumptions and Catalog'!$F$65,"Out of range")))))))))*(1+'Assumptions and Catalog'!$C$8)^(A549-1),0)</f>
        <v>8554.9666666666672</v>
      </c>
      <c r="R549" s="5">
        <f>IF(AND('Assumptions and Catalog'!$C$19&gt;0,A549&gt;='Assumptions and Catalog'!$C$19),A549-'Assumptions and Catalog'!$C$19,A549-1)</f>
        <v>1</v>
      </c>
      <c r="S549" s="5">
        <f>F549+L549-(D549+E549)*C549-J549-K549-IF(D$52&gt;0,'Assumptions and Catalog'!$C$26*C549,0)</f>
        <v>0</v>
      </c>
      <c r="T549" s="5"/>
      <c r="U549" s="5"/>
    </row>
    <row r="550" spans="1:21" ht="23.1" customHeight="1" outlineLevel="1" x14ac:dyDescent="0.2">
      <c r="A550" s="5">
        <v>12</v>
      </c>
      <c r="B550" s="5">
        <v>8</v>
      </c>
      <c r="C550" s="5">
        <f>DAY(DATE('Assumptions and Catalog'!$C$24+A550-1,B550+1,0))</f>
        <v>31</v>
      </c>
      <c r="D550" s="5">
        <f>IF(ISNUMBER(Inputs!$L$5),Inputs!$L$5*Inputs!$L$6,0)</f>
        <v>40.35</v>
      </c>
      <c r="E550" s="5">
        <f>IF(ISNUMBER(Inputs!$L$5),Inputs!$L$5-D550,0)</f>
        <v>40.35</v>
      </c>
      <c r="F550" s="5">
        <f>D$51*'Assumptions and Catalog'!$C$31*C550*(1-'Assumptions and Catalog'!$C$10)^(A550-1)</f>
        <v>0</v>
      </c>
      <c r="G550" s="5">
        <f t="shared" si="40"/>
        <v>0</v>
      </c>
      <c r="H550" s="5">
        <f>I550/('Assumptions and Catalog'!$C$11*'Assumptions and Catalog'!$C$12)</f>
        <v>0</v>
      </c>
      <c r="I550" s="5">
        <f>IF(K$15="Grid cycle",MIN(K$16,D550+E550,P550*'Assumptions and Catalog'!$C$12,D$57*(24-'Assumptions and Catalog'!$C$15),D$56*'Assumptions and Catalog'!$C$15*'Assumptions and Catalog'!$C$11*'Assumptions and Catalog'!$C$12)*C550,0)</f>
        <v>0</v>
      </c>
      <c r="J550" s="5">
        <f t="shared" si="41"/>
        <v>0</v>
      </c>
      <c r="K550" s="5">
        <f t="shared" si="42"/>
        <v>0</v>
      </c>
      <c r="L550" s="5">
        <f>(D550+E550)*C550-G550-I550+H550+IF(D$52&gt;0,'Assumptions and Catalog'!$C$26*C550,0)</f>
        <v>2501.7000000000003</v>
      </c>
      <c r="M550" s="5">
        <f>IF(ISNUMBER(Inputs!$L$5),(IF(Inputs!$L$9="Actual flat rate",((D550+E550)*C550)*Inputs!$L$10,IF(Inputs!$C$9="Residential",IF(((D550+E550)*C550)&lt;='Assumptions and Catalog'!$C$50,((D550+E550)*C550)*'Assumptions and Catalog'!$H$50+'Assumptions and Catalog'!$E$50+'Assumptions and Catalog'!$F$50,IF(((D550+E550)*C550)&lt;='Assumptions and Catalog'!$C$51,((D550+E550)*C550)*'Assumptions and Catalog'!$H$51+'Assumptions and Catalog'!$E$51+'Assumptions and Catalog'!$F$51,IF(((D550+E550)*C550)&lt;='Assumptions and Catalog'!$C$52,((D550+E550)*C550)*'Assumptions and Catalog'!$H$52+'Assumptions and Catalog'!$E$52+'Assumptions and Catalog'!$F$52,IF(((D550+E550)*C550)&lt;='Assumptions and Catalog'!$C$53,((D550+E550)*C550)*'Assumptions and Catalog'!$H$53+'Assumptions and Catalog'!$E$53+'Assumptions and Catalog'!$F$53,IF(((D550+E550)*C550)&lt;='Assumptions and Catalog'!$C$54,((D550+E550)*C550)*'Assumptions and Catalog'!$H$54+'Assumptions and Catalog'!$E$54+'Assumptions and Catalog'!$F$54,IF(((D550+E550)*C550)&lt;='Assumptions and Catalog'!$C$55,((D550+E550)*C550)*'Assumptions and Catalog'!$H$55+'Assumptions and Catalog'!$E$55+'Assumptions and Catalog'!$F$55,IF(((D550+E550)*C550)&lt;='Assumptions and Catalog'!$C$56,((D550+E550)*C550)*'Assumptions and Catalog'!$H$56+'Assumptions and Catalog'!$E$56+'Assumptions and Catalog'!$F$56,IF(((D550+E550)*C550)&lt;='Assumptions and Catalog'!$C$57,((D550+E550)*C550)*'Assumptions and Catalog'!$H$57+'Assumptions and Catalog'!$E$57+'Assumptions and Catalog'!$F$57,"Out of range")))))))),IF(((D550+E550)*C550)&lt;='Assumptions and Catalog'!$C$60,((D550+E550)*C550)*'Assumptions and Catalog'!$H$60+'Assumptions and Catalog'!$E$60+'Assumptions and Catalog'!$F$60,IF(((D550+E550)*C550)&lt;='Assumptions and Catalog'!$C$61,((D550+E550)*C550)*'Assumptions and Catalog'!$H$61+'Assumptions and Catalog'!$E$61+'Assumptions and Catalog'!$F$61,IF(((D550+E550)*C550)&lt;='Assumptions and Catalog'!$C$62,((D550+E550)*C550)*'Assumptions and Catalog'!$H$62+'Assumptions and Catalog'!$E$62+'Assumptions and Catalog'!$F$62,IF(((D550+E550)*C550)&lt;='Assumptions and Catalog'!$C$63,((D550+E550)*C550)*'Assumptions and Catalog'!$H$63+'Assumptions and Catalog'!$E$63+'Assumptions and Catalog'!$F$63,IF(((D550+E550)*C550)&lt;='Assumptions and Catalog'!$C$64,((D550+E550)*C550)*'Assumptions and Catalog'!$H$64+'Assumptions and Catalog'!$E$64+'Assumptions and Catalog'!$F$64,IF(((D550+E550)*C550)&lt;='Assumptions and Catalog'!$C$65,((D550+E550)*C550)*'Assumptions and Catalog'!$H$65+'Assumptions and Catalog'!$E$65+'Assumptions and Catalog'!$F$65,"Out of range")))))))))*(1+'Assumptions and Catalog'!$C$8)^(A550-1),0)</f>
        <v>8554.9666666666672</v>
      </c>
      <c r="N550" s="5">
        <f>IF(ISNUMBER(Inputs!$L$5),(IF(Inputs!$L$9="Actual flat rate",L550*Inputs!$L$10,IF(Inputs!$C$9="Residential",IF(L550&lt;='Assumptions and Catalog'!$C$50,L550*'Assumptions and Catalog'!$H$50+'Assumptions and Catalog'!$E$50+'Assumptions and Catalog'!$F$50,IF(L550&lt;='Assumptions and Catalog'!$C$51,L550*'Assumptions and Catalog'!$H$51+'Assumptions and Catalog'!$E$51+'Assumptions and Catalog'!$F$51,IF(L550&lt;='Assumptions and Catalog'!$C$52,L550*'Assumptions and Catalog'!$H$52+'Assumptions and Catalog'!$E$52+'Assumptions and Catalog'!$F$52,IF(L550&lt;='Assumptions and Catalog'!$C$53,L550*'Assumptions and Catalog'!$H$53+'Assumptions and Catalog'!$E$53+'Assumptions and Catalog'!$F$53,IF(L550&lt;='Assumptions and Catalog'!$C$54,L550*'Assumptions and Catalog'!$H$54+'Assumptions and Catalog'!$E$54+'Assumptions and Catalog'!$F$54,IF(L550&lt;='Assumptions and Catalog'!$C$55,L550*'Assumptions and Catalog'!$H$55+'Assumptions and Catalog'!$E$55+'Assumptions and Catalog'!$F$55,IF(L550&lt;='Assumptions and Catalog'!$C$56,L550*'Assumptions and Catalog'!$H$56+'Assumptions and Catalog'!$E$56+'Assumptions and Catalog'!$F$56,IF(L550&lt;='Assumptions and Catalog'!$C$57,L550*'Assumptions and Catalog'!$H$57+'Assumptions and Catalog'!$E$57+'Assumptions and Catalog'!$F$57,"Out of range")))))))),IF(L550&lt;='Assumptions and Catalog'!$C$60,L550*'Assumptions and Catalog'!$H$60+'Assumptions and Catalog'!$E$60+'Assumptions and Catalog'!$F$60,IF(L550&lt;='Assumptions and Catalog'!$C$61,L550*'Assumptions and Catalog'!$H$61+'Assumptions and Catalog'!$E$61+'Assumptions and Catalog'!$F$61,IF(L550&lt;='Assumptions and Catalog'!$C$62,L550*'Assumptions and Catalog'!$H$62+'Assumptions and Catalog'!$E$62+'Assumptions and Catalog'!$F$62,IF(L550&lt;='Assumptions and Catalog'!$C$63,L550*'Assumptions and Catalog'!$H$63+'Assumptions and Catalog'!$E$63+'Assumptions and Catalog'!$F$63,IF(L550&lt;='Assumptions and Catalog'!$C$64,L550*'Assumptions and Catalog'!$H$64+'Assumptions and Catalog'!$E$64+'Assumptions and Catalog'!$F$64,IF(L550&lt;='Assumptions and Catalog'!$C$65,L550*'Assumptions and Catalog'!$H$65+'Assumptions and Catalog'!$E$65+'Assumptions and Catalog'!$F$65,"Out of range")))))))))*(1+'Assumptions and Catalog'!$C$8)^(A550-1),0)</f>
        <v>8554.9666666666672</v>
      </c>
      <c r="O550" s="5">
        <f t="shared" si="43"/>
        <v>0</v>
      </c>
      <c r="P550" s="5">
        <f>D$55*(1-K$14)*(1-'Assumptions and Catalog'!$C$23)^R550</f>
        <v>0</v>
      </c>
      <c r="Q550" s="5">
        <f>IF(ISNUMBER(Inputs!$L$5),(IF(Inputs!$L$9="Actual flat rate",((D550+E550)*C550-G550)*Inputs!$L$10,IF(Inputs!$C$9="Residential",IF(((D550+E550)*C550-G550)&lt;='Assumptions and Catalog'!$C$50,((D550+E550)*C550-G550)*'Assumptions and Catalog'!$H$50+'Assumptions and Catalog'!$E$50+'Assumptions and Catalog'!$F$50,IF(((D550+E550)*C550-G550)&lt;='Assumptions and Catalog'!$C$51,((D550+E550)*C550-G550)*'Assumptions and Catalog'!$H$51+'Assumptions and Catalog'!$E$51+'Assumptions and Catalog'!$F$51,IF(((D550+E550)*C550-G550)&lt;='Assumptions and Catalog'!$C$52,((D550+E550)*C550-G550)*'Assumptions and Catalog'!$H$52+'Assumptions and Catalog'!$E$52+'Assumptions and Catalog'!$F$52,IF(((D550+E550)*C550-G550)&lt;='Assumptions and Catalog'!$C$53,((D550+E550)*C550-G550)*'Assumptions and Catalog'!$H$53+'Assumptions and Catalog'!$E$53+'Assumptions and Catalog'!$F$53,IF(((D550+E550)*C550-G550)&lt;='Assumptions and Catalog'!$C$54,((D550+E550)*C550-G550)*'Assumptions and Catalog'!$H$54+'Assumptions and Catalog'!$E$54+'Assumptions and Catalog'!$F$54,IF(((D550+E550)*C550-G550)&lt;='Assumptions and Catalog'!$C$55,((D550+E550)*C550-G550)*'Assumptions and Catalog'!$H$55+'Assumptions and Catalog'!$E$55+'Assumptions and Catalog'!$F$55,IF(((D550+E550)*C550-G550)&lt;='Assumptions and Catalog'!$C$56,((D550+E550)*C550-G550)*'Assumptions and Catalog'!$H$56+'Assumptions and Catalog'!$E$56+'Assumptions and Catalog'!$F$56,IF(((D550+E550)*C550-G550)&lt;='Assumptions and Catalog'!$C$57,((D550+E550)*C550-G550)*'Assumptions and Catalog'!$H$57+'Assumptions and Catalog'!$E$57+'Assumptions and Catalog'!$F$57,"Out of range")))))))),IF(((D550+E550)*C550-G550)&lt;='Assumptions and Catalog'!$C$60,((D550+E550)*C550-G550)*'Assumptions and Catalog'!$H$60+'Assumptions and Catalog'!$E$60+'Assumptions and Catalog'!$F$60,IF(((D550+E550)*C550-G550)&lt;='Assumptions and Catalog'!$C$61,((D550+E550)*C550-G550)*'Assumptions and Catalog'!$H$61+'Assumptions and Catalog'!$E$61+'Assumptions and Catalog'!$F$61,IF(((D550+E550)*C550-G550)&lt;='Assumptions and Catalog'!$C$62,((D550+E550)*C550-G550)*'Assumptions and Catalog'!$H$62+'Assumptions and Catalog'!$E$62+'Assumptions and Catalog'!$F$62,IF(((D550+E550)*C550-G550)&lt;='Assumptions and Catalog'!$C$63,((D550+E550)*C550-G550)*'Assumptions and Catalog'!$H$63+'Assumptions and Catalog'!$E$63+'Assumptions and Catalog'!$F$63,IF(((D550+E550)*C550-G550)&lt;='Assumptions and Catalog'!$C$64,((D550+E550)*C550-G550)*'Assumptions and Catalog'!$H$64+'Assumptions and Catalog'!$E$64+'Assumptions and Catalog'!$F$64,IF(((D550+E550)*C550-G550)&lt;='Assumptions and Catalog'!$C$65,((D550+E550)*C550-G550)*'Assumptions and Catalog'!$H$65+'Assumptions and Catalog'!$E$65+'Assumptions and Catalog'!$F$65,"Out of range")))))))))*(1+'Assumptions and Catalog'!$C$8)^(A550-1),0)</f>
        <v>8554.9666666666672</v>
      </c>
      <c r="R550" s="5">
        <f>IF(AND('Assumptions and Catalog'!$C$19&gt;0,A550&gt;='Assumptions and Catalog'!$C$19),A550-'Assumptions and Catalog'!$C$19,A550-1)</f>
        <v>1</v>
      </c>
      <c r="S550" s="5">
        <f>F550+L550-(D550+E550)*C550-J550-K550-IF(D$52&gt;0,'Assumptions and Catalog'!$C$26*C550,0)</f>
        <v>0</v>
      </c>
      <c r="T550" s="5"/>
      <c r="U550" s="5"/>
    </row>
    <row r="551" spans="1:21" ht="23.1" customHeight="1" outlineLevel="1" x14ac:dyDescent="0.2">
      <c r="A551" s="5">
        <v>12</v>
      </c>
      <c r="B551" s="5">
        <v>9</v>
      </c>
      <c r="C551" s="5">
        <f>DAY(DATE('Assumptions and Catalog'!$C$24+A551-1,B551+1,0))</f>
        <v>30</v>
      </c>
      <c r="D551" s="5">
        <f>IF(ISNUMBER(Inputs!$L$5),Inputs!$L$5*Inputs!$L$6,0)</f>
        <v>40.35</v>
      </c>
      <c r="E551" s="5">
        <f>IF(ISNUMBER(Inputs!$L$5),Inputs!$L$5-D551,0)</f>
        <v>40.35</v>
      </c>
      <c r="F551" s="5">
        <f>D$51*'Assumptions and Catalog'!$C$31*C551*(1-'Assumptions and Catalog'!$C$10)^(A551-1)</f>
        <v>0</v>
      </c>
      <c r="G551" s="5">
        <f t="shared" si="40"/>
        <v>0</v>
      </c>
      <c r="H551" s="5">
        <f>I551/('Assumptions and Catalog'!$C$11*'Assumptions and Catalog'!$C$12)</f>
        <v>0</v>
      </c>
      <c r="I551" s="5">
        <f>IF(K$15="Grid cycle",MIN(K$16,D551+E551,P551*'Assumptions and Catalog'!$C$12,D$57*(24-'Assumptions and Catalog'!$C$15),D$56*'Assumptions and Catalog'!$C$15*'Assumptions and Catalog'!$C$11*'Assumptions and Catalog'!$C$12)*C551,0)</f>
        <v>0</v>
      </c>
      <c r="J551" s="5">
        <f t="shared" si="41"/>
        <v>0</v>
      </c>
      <c r="K551" s="5">
        <f t="shared" si="42"/>
        <v>0</v>
      </c>
      <c r="L551" s="5">
        <f>(D551+E551)*C551-G551-I551+H551+IF(D$52&gt;0,'Assumptions and Catalog'!$C$26*C551,0)</f>
        <v>2421</v>
      </c>
      <c r="M551" s="5">
        <f>IF(ISNUMBER(Inputs!$L$5),(IF(Inputs!$L$9="Actual flat rate",((D551+E551)*C551)*Inputs!$L$10,IF(Inputs!$C$9="Residential",IF(((D551+E551)*C551)&lt;='Assumptions and Catalog'!$C$50,((D551+E551)*C551)*'Assumptions and Catalog'!$H$50+'Assumptions and Catalog'!$E$50+'Assumptions and Catalog'!$F$50,IF(((D551+E551)*C551)&lt;='Assumptions and Catalog'!$C$51,((D551+E551)*C551)*'Assumptions and Catalog'!$H$51+'Assumptions and Catalog'!$E$51+'Assumptions and Catalog'!$F$51,IF(((D551+E551)*C551)&lt;='Assumptions and Catalog'!$C$52,((D551+E551)*C551)*'Assumptions and Catalog'!$H$52+'Assumptions and Catalog'!$E$52+'Assumptions and Catalog'!$F$52,IF(((D551+E551)*C551)&lt;='Assumptions and Catalog'!$C$53,((D551+E551)*C551)*'Assumptions and Catalog'!$H$53+'Assumptions and Catalog'!$E$53+'Assumptions and Catalog'!$F$53,IF(((D551+E551)*C551)&lt;='Assumptions and Catalog'!$C$54,((D551+E551)*C551)*'Assumptions and Catalog'!$H$54+'Assumptions and Catalog'!$E$54+'Assumptions and Catalog'!$F$54,IF(((D551+E551)*C551)&lt;='Assumptions and Catalog'!$C$55,((D551+E551)*C551)*'Assumptions and Catalog'!$H$55+'Assumptions and Catalog'!$E$55+'Assumptions and Catalog'!$F$55,IF(((D551+E551)*C551)&lt;='Assumptions and Catalog'!$C$56,((D551+E551)*C551)*'Assumptions and Catalog'!$H$56+'Assumptions and Catalog'!$E$56+'Assumptions and Catalog'!$F$56,IF(((D551+E551)*C551)&lt;='Assumptions and Catalog'!$C$57,((D551+E551)*C551)*'Assumptions and Catalog'!$H$57+'Assumptions and Catalog'!$E$57+'Assumptions and Catalog'!$F$57,"Out of range")))))))),IF(((D551+E551)*C551)&lt;='Assumptions and Catalog'!$C$60,((D551+E551)*C551)*'Assumptions and Catalog'!$H$60+'Assumptions and Catalog'!$E$60+'Assumptions and Catalog'!$F$60,IF(((D551+E551)*C551)&lt;='Assumptions and Catalog'!$C$61,((D551+E551)*C551)*'Assumptions and Catalog'!$H$61+'Assumptions and Catalog'!$E$61+'Assumptions and Catalog'!$F$61,IF(((D551+E551)*C551)&lt;='Assumptions and Catalog'!$C$62,((D551+E551)*C551)*'Assumptions and Catalog'!$H$62+'Assumptions and Catalog'!$E$62+'Assumptions and Catalog'!$F$62,IF(((D551+E551)*C551)&lt;='Assumptions and Catalog'!$C$63,((D551+E551)*C551)*'Assumptions and Catalog'!$H$63+'Assumptions and Catalog'!$E$63+'Assumptions and Catalog'!$F$63,IF(((D551+E551)*C551)&lt;='Assumptions and Catalog'!$C$64,((D551+E551)*C551)*'Assumptions and Catalog'!$H$64+'Assumptions and Catalog'!$E$64+'Assumptions and Catalog'!$F$64,IF(((D551+E551)*C551)&lt;='Assumptions and Catalog'!$C$65,((D551+E551)*C551)*'Assumptions and Catalog'!$H$65+'Assumptions and Catalog'!$E$65+'Assumptions and Catalog'!$F$65,"Out of range")))))))))*(1+'Assumptions and Catalog'!$C$8)^(A551-1),0)</f>
        <v>8279</v>
      </c>
      <c r="N551" s="5">
        <f>IF(ISNUMBER(Inputs!$L$5),(IF(Inputs!$L$9="Actual flat rate",L551*Inputs!$L$10,IF(Inputs!$C$9="Residential",IF(L551&lt;='Assumptions and Catalog'!$C$50,L551*'Assumptions and Catalog'!$H$50+'Assumptions and Catalog'!$E$50+'Assumptions and Catalog'!$F$50,IF(L551&lt;='Assumptions and Catalog'!$C$51,L551*'Assumptions and Catalog'!$H$51+'Assumptions and Catalog'!$E$51+'Assumptions and Catalog'!$F$51,IF(L551&lt;='Assumptions and Catalog'!$C$52,L551*'Assumptions and Catalog'!$H$52+'Assumptions and Catalog'!$E$52+'Assumptions and Catalog'!$F$52,IF(L551&lt;='Assumptions and Catalog'!$C$53,L551*'Assumptions and Catalog'!$H$53+'Assumptions and Catalog'!$E$53+'Assumptions and Catalog'!$F$53,IF(L551&lt;='Assumptions and Catalog'!$C$54,L551*'Assumptions and Catalog'!$H$54+'Assumptions and Catalog'!$E$54+'Assumptions and Catalog'!$F$54,IF(L551&lt;='Assumptions and Catalog'!$C$55,L551*'Assumptions and Catalog'!$H$55+'Assumptions and Catalog'!$E$55+'Assumptions and Catalog'!$F$55,IF(L551&lt;='Assumptions and Catalog'!$C$56,L551*'Assumptions and Catalog'!$H$56+'Assumptions and Catalog'!$E$56+'Assumptions and Catalog'!$F$56,IF(L551&lt;='Assumptions and Catalog'!$C$57,L551*'Assumptions and Catalog'!$H$57+'Assumptions and Catalog'!$E$57+'Assumptions and Catalog'!$F$57,"Out of range")))))))),IF(L551&lt;='Assumptions and Catalog'!$C$60,L551*'Assumptions and Catalog'!$H$60+'Assumptions and Catalog'!$E$60+'Assumptions and Catalog'!$F$60,IF(L551&lt;='Assumptions and Catalog'!$C$61,L551*'Assumptions and Catalog'!$H$61+'Assumptions and Catalog'!$E$61+'Assumptions and Catalog'!$F$61,IF(L551&lt;='Assumptions and Catalog'!$C$62,L551*'Assumptions and Catalog'!$H$62+'Assumptions and Catalog'!$E$62+'Assumptions and Catalog'!$F$62,IF(L551&lt;='Assumptions and Catalog'!$C$63,L551*'Assumptions and Catalog'!$H$63+'Assumptions and Catalog'!$E$63+'Assumptions and Catalog'!$F$63,IF(L551&lt;='Assumptions and Catalog'!$C$64,L551*'Assumptions and Catalog'!$H$64+'Assumptions and Catalog'!$E$64+'Assumptions and Catalog'!$F$64,IF(L551&lt;='Assumptions and Catalog'!$C$65,L551*'Assumptions and Catalog'!$H$65+'Assumptions and Catalog'!$E$65+'Assumptions and Catalog'!$F$65,"Out of range")))))))))*(1+'Assumptions and Catalog'!$C$8)^(A551-1),0)</f>
        <v>8279</v>
      </c>
      <c r="O551" s="5">
        <f t="shared" si="43"/>
        <v>0</v>
      </c>
      <c r="P551" s="5">
        <f>D$55*(1-K$14)*(1-'Assumptions and Catalog'!$C$23)^R551</f>
        <v>0</v>
      </c>
      <c r="Q551" s="5">
        <f>IF(ISNUMBER(Inputs!$L$5),(IF(Inputs!$L$9="Actual flat rate",((D551+E551)*C551-G551)*Inputs!$L$10,IF(Inputs!$C$9="Residential",IF(((D551+E551)*C551-G551)&lt;='Assumptions and Catalog'!$C$50,((D551+E551)*C551-G551)*'Assumptions and Catalog'!$H$50+'Assumptions and Catalog'!$E$50+'Assumptions and Catalog'!$F$50,IF(((D551+E551)*C551-G551)&lt;='Assumptions and Catalog'!$C$51,((D551+E551)*C551-G551)*'Assumptions and Catalog'!$H$51+'Assumptions and Catalog'!$E$51+'Assumptions and Catalog'!$F$51,IF(((D551+E551)*C551-G551)&lt;='Assumptions and Catalog'!$C$52,((D551+E551)*C551-G551)*'Assumptions and Catalog'!$H$52+'Assumptions and Catalog'!$E$52+'Assumptions and Catalog'!$F$52,IF(((D551+E551)*C551-G551)&lt;='Assumptions and Catalog'!$C$53,((D551+E551)*C551-G551)*'Assumptions and Catalog'!$H$53+'Assumptions and Catalog'!$E$53+'Assumptions and Catalog'!$F$53,IF(((D551+E551)*C551-G551)&lt;='Assumptions and Catalog'!$C$54,((D551+E551)*C551-G551)*'Assumptions and Catalog'!$H$54+'Assumptions and Catalog'!$E$54+'Assumptions and Catalog'!$F$54,IF(((D551+E551)*C551-G551)&lt;='Assumptions and Catalog'!$C$55,((D551+E551)*C551-G551)*'Assumptions and Catalog'!$H$55+'Assumptions and Catalog'!$E$55+'Assumptions and Catalog'!$F$55,IF(((D551+E551)*C551-G551)&lt;='Assumptions and Catalog'!$C$56,((D551+E551)*C551-G551)*'Assumptions and Catalog'!$H$56+'Assumptions and Catalog'!$E$56+'Assumptions and Catalog'!$F$56,IF(((D551+E551)*C551-G551)&lt;='Assumptions and Catalog'!$C$57,((D551+E551)*C551-G551)*'Assumptions and Catalog'!$H$57+'Assumptions and Catalog'!$E$57+'Assumptions and Catalog'!$F$57,"Out of range")))))))),IF(((D551+E551)*C551-G551)&lt;='Assumptions and Catalog'!$C$60,((D551+E551)*C551-G551)*'Assumptions and Catalog'!$H$60+'Assumptions and Catalog'!$E$60+'Assumptions and Catalog'!$F$60,IF(((D551+E551)*C551-G551)&lt;='Assumptions and Catalog'!$C$61,((D551+E551)*C551-G551)*'Assumptions and Catalog'!$H$61+'Assumptions and Catalog'!$E$61+'Assumptions and Catalog'!$F$61,IF(((D551+E551)*C551-G551)&lt;='Assumptions and Catalog'!$C$62,((D551+E551)*C551-G551)*'Assumptions and Catalog'!$H$62+'Assumptions and Catalog'!$E$62+'Assumptions and Catalog'!$F$62,IF(((D551+E551)*C551-G551)&lt;='Assumptions and Catalog'!$C$63,((D551+E551)*C551-G551)*'Assumptions and Catalog'!$H$63+'Assumptions and Catalog'!$E$63+'Assumptions and Catalog'!$F$63,IF(((D551+E551)*C551-G551)&lt;='Assumptions and Catalog'!$C$64,((D551+E551)*C551-G551)*'Assumptions and Catalog'!$H$64+'Assumptions and Catalog'!$E$64+'Assumptions and Catalog'!$F$64,IF(((D551+E551)*C551-G551)&lt;='Assumptions and Catalog'!$C$65,((D551+E551)*C551-G551)*'Assumptions and Catalog'!$H$65+'Assumptions and Catalog'!$E$65+'Assumptions and Catalog'!$F$65,"Out of range")))))))))*(1+'Assumptions and Catalog'!$C$8)^(A551-1),0)</f>
        <v>8279</v>
      </c>
      <c r="R551" s="5">
        <f>IF(AND('Assumptions and Catalog'!$C$19&gt;0,A551&gt;='Assumptions and Catalog'!$C$19),A551-'Assumptions and Catalog'!$C$19,A551-1)</f>
        <v>1</v>
      </c>
      <c r="S551" s="5">
        <f>F551+L551-(D551+E551)*C551-J551-K551-IF(D$52&gt;0,'Assumptions and Catalog'!$C$26*C551,0)</f>
        <v>0</v>
      </c>
      <c r="T551" s="5"/>
      <c r="U551" s="5"/>
    </row>
    <row r="552" spans="1:21" ht="23.1" customHeight="1" outlineLevel="1" x14ac:dyDescent="0.2">
      <c r="A552" s="5">
        <v>12</v>
      </c>
      <c r="B552" s="5">
        <v>10</v>
      </c>
      <c r="C552" s="5">
        <f>DAY(DATE('Assumptions and Catalog'!$C$24+A552-1,B552+1,0))</f>
        <v>31</v>
      </c>
      <c r="D552" s="5">
        <f>IF(ISNUMBER(Inputs!$L$5),Inputs!$L$5*Inputs!$L$6,0)</f>
        <v>40.35</v>
      </c>
      <c r="E552" s="5">
        <f>IF(ISNUMBER(Inputs!$L$5),Inputs!$L$5-D552,0)</f>
        <v>40.35</v>
      </c>
      <c r="F552" s="5">
        <f>D$51*'Assumptions and Catalog'!$C$31*C552*(1-'Assumptions and Catalog'!$C$10)^(A552-1)</f>
        <v>0</v>
      </c>
      <c r="G552" s="5">
        <f t="shared" si="40"/>
        <v>0</v>
      </c>
      <c r="H552" s="5">
        <f>I552/('Assumptions and Catalog'!$C$11*'Assumptions and Catalog'!$C$12)</f>
        <v>0</v>
      </c>
      <c r="I552" s="5">
        <f>IF(K$15="Grid cycle",MIN(K$16,D552+E552,P552*'Assumptions and Catalog'!$C$12,D$57*(24-'Assumptions and Catalog'!$C$15),D$56*'Assumptions and Catalog'!$C$15*'Assumptions and Catalog'!$C$11*'Assumptions and Catalog'!$C$12)*C552,0)</f>
        <v>0</v>
      </c>
      <c r="J552" s="5">
        <f t="shared" si="41"/>
        <v>0</v>
      </c>
      <c r="K552" s="5">
        <f t="shared" si="42"/>
        <v>0</v>
      </c>
      <c r="L552" s="5">
        <f>(D552+E552)*C552-G552-I552+H552+IF(D$52&gt;0,'Assumptions and Catalog'!$C$26*C552,0)</f>
        <v>2501.7000000000003</v>
      </c>
      <c r="M552" s="5">
        <f>IF(ISNUMBER(Inputs!$L$5),(IF(Inputs!$L$9="Actual flat rate",((D552+E552)*C552)*Inputs!$L$10,IF(Inputs!$C$9="Residential",IF(((D552+E552)*C552)&lt;='Assumptions and Catalog'!$C$50,((D552+E552)*C552)*'Assumptions and Catalog'!$H$50+'Assumptions and Catalog'!$E$50+'Assumptions and Catalog'!$F$50,IF(((D552+E552)*C552)&lt;='Assumptions and Catalog'!$C$51,((D552+E552)*C552)*'Assumptions and Catalog'!$H$51+'Assumptions and Catalog'!$E$51+'Assumptions and Catalog'!$F$51,IF(((D552+E552)*C552)&lt;='Assumptions and Catalog'!$C$52,((D552+E552)*C552)*'Assumptions and Catalog'!$H$52+'Assumptions and Catalog'!$E$52+'Assumptions and Catalog'!$F$52,IF(((D552+E552)*C552)&lt;='Assumptions and Catalog'!$C$53,((D552+E552)*C552)*'Assumptions and Catalog'!$H$53+'Assumptions and Catalog'!$E$53+'Assumptions and Catalog'!$F$53,IF(((D552+E552)*C552)&lt;='Assumptions and Catalog'!$C$54,((D552+E552)*C552)*'Assumptions and Catalog'!$H$54+'Assumptions and Catalog'!$E$54+'Assumptions and Catalog'!$F$54,IF(((D552+E552)*C552)&lt;='Assumptions and Catalog'!$C$55,((D552+E552)*C552)*'Assumptions and Catalog'!$H$55+'Assumptions and Catalog'!$E$55+'Assumptions and Catalog'!$F$55,IF(((D552+E552)*C552)&lt;='Assumptions and Catalog'!$C$56,((D552+E552)*C552)*'Assumptions and Catalog'!$H$56+'Assumptions and Catalog'!$E$56+'Assumptions and Catalog'!$F$56,IF(((D552+E552)*C552)&lt;='Assumptions and Catalog'!$C$57,((D552+E552)*C552)*'Assumptions and Catalog'!$H$57+'Assumptions and Catalog'!$E$57+'Assumptions and Catalog'!$F$57,"Out of range")))))))),IF(((D552+E552)*C552)&lt;='Assumptions and Catalog'!$C$60,((D552+E552)*C552)*'Assumptions and Catalog'!$H$60+'Assumptions and Catalog'!$E$60+'Assumptions and Catalog'!$F$60,IF(((D552+E552)*C552)&lt;='Assumptions and Catalog'!$C$61,((D552+E552)*C552)*'Assumptions and Catalog'!$H$61+'Assumptions and Catalog'!$E$61+'Assumptions and Catalog'!$F$61,IF(((D552+E552)*C552)&lt;='Assumptions and Catalog'!$C$62,((D552+E552)*C552)*'Assumptions and Catalog'!$H$62+'Assumptions and Catalog'!$E$62+'Assumptions and Catalog'!$F$62,IF(((D552+E552)*C552)&lt;='Assumptions and Catalog'!$C$63,((D552+E552)*C552)*'Assumptions and Catalog'!$H$63+'Assumptions and Catalog'!$E$63+'Assumptions and Catalog'!$F$63,IF(((D552+E552)*C552)&lt;='Assumptions and Catalog'!$C$64,((D552+E552)*C552)*'Assumptions and Catalog'!$H$64+'Assumptions and Catalog'!$E$64+'Assumptions and Catalog'!$F$64,IF(((D552+E552)*C552)&lt;='Assumptions and Catalog'!$C$65,((D552+E552)*C552)*'Assumptions and Catalog'!$H$65+'Assumptions and Catalog'!$E$65+'Assumptions and Catalog'!$F$65,"Out of range")))))))))*(1+'Assumptions and Catalog'!$C$8)^(A552-1),0)</f>
        <v>8554.9666666666672</v>
      </c>
      <c r="N552" s="5">
        <f>IF(ISNUMBER(Inputs!$L$5),(IF(Inputs!$L$9="Actual flat rate",L552*Inputs!$L$10,IF(Inputs!$C$9="Residential",IF(L552&lt;='Assumptions and Catalog'!$C$50,L552*'Assumptions and Catalog'!$H$50+'Assumptions and Catalog'!$E$50+'Assumptions and Catalog'!$F$50,IF(L552&lt;='Assumptions and Catalog'!$C$51,L552*'Assumptions and Catalog'!$H$51+'Assumptions and Catalog'!$E$51+'Assumptions and Catalog'!$F$51,IF(L552&lt;='Assumptions and Catalog'!$C$52,L552*'Assumptions and Catalog'!$H$52+'Assumptions and Catalog'!$E$52+'Assumptions and Catalog'!$F$52,IF(L552&lt;='Assumptions and Catalog'!$C$53,L552*'Assumptions and Catalog'!$H$53+'Assumptions and Catalog'!$E$53+'Assumptions and Catalog'!$F$53,IF(L552&lt;='Assumptions and Catalog'!$C$54,L552*'Assumptions and Catalog'!$H$54+'Assumptions and Catalog'!$E$54+'Assumptions and Catalog'!$F$54,IF(L552&lt;='Assumptions and Catalog'!$C$55,L552*'Assumptions and Catalog'!$H$55+'Assumptions and Catalog'!$E$55+'Assumptions and Catalog'!$F$55,IF(L552&lt;='Assumptions and Catalog'!$C$56,L552*'Assumptions and Catalog'!$H$56+'Assumptions and Catalog'!$E$56+'Assumptions and Catalog'!$F$56,IF(L552&lt;='Assumptions and Catalog'!$C$57,L552*'Assumptions and Catalog'!$H$57+'Assumptions and Catalog'!$E$57+'Assumptions and Catalog'!$F$57,"Out of range")))))))),IF(L552&lt;='Assumptions and Catalog'!$C$60,L552*'Assumptions and Catalog'!$H$60+'Assumptions and Catalog'!$E$60+'Assumptions and Catalog'!$F$60,IF(L552&lt;='Assumptions and Catalog'!$C$61,L552*'Assumptions and Catalog'!$H$61+'Assumptions and Catalog'!$E$61+'Assumptions and Catalog'!$F$61,IF(L552&lt;='Assumptions and Catalog'!$C$62,L552*'Assumptions and Catalog'!$H$62+'Assumptions and Catalog'!$E$62+'Assumptions and Catalog'!$F$62,IF(L552&lt;='Assumptions and Catalog'!$C$63,L552*'Assumptions and Catalog'!$H$63+'Assumptions and Catalog'!$E$63+'Assumptions and Catalog'!$F$63,IF(L552&lt;='Assumptions and Catalog'!$C$64,L552*'Assumptions and Catalog'!$H$64+'Assumptions and Catalog'!$E$64+'Assumptions and Catalog'!$F$64,IF(L552&lt;='Assumptions and Catalog'!$C$65,L552*'Assumptions and Catalog'!$H$65+'Assumptions and Catalog'!$E$65+'Assumptions and Catalog'!$F$65,"Out of range")))))))))*(1+'Assumptions and Catalog'!$C$8)^(A552-1),0)</f>
        <v>8554.9666666666672</v>
      </c>
      <c r="O552" s="5">
        <f t="shared" si="43"/>
        <v>0</v>
      </c>
      <c r="P552" s="5">
        <f>D$55*(1-K$14)*(1-'Assumptions and Catalog'!$C$23)^R552</f>
        <v>0</v>
      </c>
      <c r="Q552" s="5">
        <f>IF(ISNUMBER(Inputs!$L$5),(IF(Inputs!$L$9="Actual flat rate",((D552+E552)*C552-G552)*Inputs!$L$10,IF(Inputs!$C$9="Residential",IF(((D552+E552)*C552-G552)&lt;='Assumptions and Catalog'!$C$50,((D552+E552)*C552-G552)*'Assumptions and Catalog'!$H$50+'Assumptions and Catalog'!$E$50+'Assumptions and Catalog'!$F$50,IF(((D552+E552)*C552-G552)&lt;='Assumptions and Catalog'!$C$51,((D552+E552)*C552-G552)*'Assumptions and Catalog'!$H$51+'Assumptions and Catalog'!$E$51+'Assumptions and Catalog'!$F$51,IF(((D552+E552)*C552-G552)&lt;='Assumptions and Catalog'!$C$52,((D552+E552)*C552-G552)*'Assumptions and Catalog'!$H$52+'Assumptions and Catalog'!$E$52+'Assumptions and Catalog'!$F$52,IF(((D552+E552)*C552-G552)&lt;='Assumptions and Catalog'!$C$53,((D552+E552)*C552-G552)*'Assumptions and Catalog'!$H$53+'Assumptions and Catalog'!$E$53+'Assumptions and Catalog'!$F$53,IF(((D552+E552)*C552-G552)&lt;='Assumptions and Catalog'!$C$54,((D552+E552)*C552-G552)*'Assumptions and Catalog'!$H$54+'Assumptions and Catalog'!$E$54+'Assumptions and Catalog'!$F$54,IF(((D552+E552)*C552-G552)&lt;='Assumptions and Catalog'!$C$55,((D552+E552)*C552-G552)*'Assumptions and Catalog'!$H$55+'Assumptions and Catalog'!$E$55+'Assumptions and Catalog'!$F$55,IF(((D552+E552)*C552-G552)&lt;='Assumptions and Catalog'!$C$56,((D552+E552)*C552-G552)*'Assumptions and Catalog'!$H$56+'Assumptions and Catalog'!$E$56+'Assumptions and Catalog'!$F$56,IF(((D552+E552)*C552-G552)&lt;='Assumptions and Catalog'!$C$57,((D552+E552)*C552-G552)*'Assumptions and Catalog'!$H$57+'Assumptions and Catalog'!$E$57+'Assumptions and Catalog'!$F$57,"Out of range")))))))),IF(((D552+E552)*C552-G552)&lt;='Assumptions and Catalog'!$C$60,((D552+E552)*C552-G552)*'Assumptions and Catalog'!$H$60+'Assumptions and Catalog'!$E$60+'Assumptions and Catalog'!$F$60,IF(((D552+E552)*C552-G552)&lt;='Assumptions and Catalog'!$C$61,((D552+E552)*C552-G552)*'Assumptions and Catalog'!$H$61+'Assumptions and Catalog'!$E$61+'Assumptions and Catalog'!$F$61,IF(((D552+E552)*C552-G552)&lt;='Assumptions and Catalog'!$C$62,((D552+E552)*C552-G552)*'Assumptions and Catalog'!$H$62+'Assumptions and Catalog'!$E$62+'Assumptions and Catalog'!$F$62,IF(((D552+E552)*C552-G552)&lt;='Assumptions and Catalog'!$C$63,((D552+E552)*C552-G552)*'Assumptions and Catalog'!$H$63+'Assumptions and Catalog'!$E$63+'Assumptions and Catalog'!$F$63,IF(((D552+E552)*C552-G552)&lt;='Assumptions and Catalog'!$C$64,((D552+E552)*C552-G552)*'Assumptions and Catalog'!$H$64+'Assumptions and Catalog'!$E$64+'Assumptions and Catalog'!$F$64,IF(((D552+E552)*C552-G552)&lt;='Assumptions and Catalog'!$C$65,((D552+E552)*C552-G552)*'Assumptions and Catalog'!$H$65+'Assumptions and Catalog'!$E$65+'Assumptions and Catalog'!$F$65,"Out of range")))))))))*(1+'Assumptions and Catalog'!$C$8)^(A552-1),0)</f>
        <v>8554.9666666666672</v>
      </c>
      <c r="R552" s="5">
        <f>IF(AND('Assumptions and Catalog'!$C$19&gt;0,A552&gt;='Assumptions and Catalog'!$C$19),A552-'Assumptions and Catalog'!$C$19,A552-1)</f>
        <v>1</v>
      </c>
      <c r="S552" s="5">
        <f>F552+L552-(D552+E552)*C552-J552-K552-IF(D$52&gt;0,'Assumptions and Catalog'!$C$26*C552,0)</f>
        <v>0</v>
      </c>
      <c r="T552" s="5"/>
      <c r="U552" s="5"/>
    </row>
    <row r="553" spans="1:21" ht="23.1" customHeight="1" outlineLevel="1" x14ac:dyDescent="0.2">
      <c r="A553" s="5">
        <v>12</v>
      </c>
      <c r="B553" s="5">
        <v>11</v>
      </c>
      <c r="C553" s="5">
        <f>DAY(DATE('Assumptions and Catalog'!$C$24+A553-1,B553+1,0))</f>
        <v>30</v>
      </c>
      <c r="D553" s="5">
        <f>IF(ISNUMBER(Inputs!$L$5),Inputs!$L$5*Inputs!$L$6,0)</f>
        <v>40.35</v>
      </c>
      <c r="E553" s="5">
        <f>IF(ISNUMBER(Inputs!$L$5),Inputs!$L$5-D553,0)</f>
        <v>40.35</v>
      </c>
      <c r="F553" s="5">
        <f>D$51*'Assumptions and Catalog'!$C$31*C553*(1-'Assumptions and Catalog'!$C$10)^(A553-1)</f>
        <v>0</v>
      </c>
      <c r="G553" s="5">
        <f t="shared" si="40"/>
        <v>0</v>
      </c>
      <c r="H553" s="5">
        <f>I553/('Assumptions and Catalog'!$C$11*'Assumptions and Catalog'!$C$12)</f>
        <v>0</v>
      </c>
      <c r="I553" s="5">
        <f>IF(K$15="Grid cycle",MIN(K$16,D553+E553,P553*'Assumptions and Catalog'!$C$12,D$57*(24-'Assumptions and Catalog'!$C$15),D$56*'Assumptions and Catalog'!$C$15*'Assumptions and Catalog'!$C$11*'Assumptions and Catalog'!$C$12)*C553,0)</f>
        <v>0</v>
      </c>
      <c r="J553" s="5">
        <f t="shared" si="41"/>
        <v>0</v>
      </c>
      <c r="K553" s="5">
        <f t="shared" si="42"/>
        <v>0</v>
      </c>
      <c r="L553" s="5">
        <f>(D553+E553)*C553-G553-I553+H553+IF(D$52&gt;0,'Assumptions and Catalog'!$C$26*C553,0)</f>
        <v>2421</v>
      </c>
      <c r="M553" s="5">
        <f>IF(ISNUMBER(Inputs!$L$5),(IF(Inputs!$L$9="Actual flat rate",((D553+E553)*C553)*Inputs!$L$10,IF(Inputs!$C$9="Residential",IF(((D553+E553)*C553)&lt;='Assumptions and Catalog'!$C$50,((D553+E553)*C553)*'Assumptions and Catalog'!$H$50+'Assumptions and Catalog'!$E$50+'Assumptions and Catalog'!$F$50,IF(((D553+E553)*C553)&lt;='Assumptions and Catalog'!$C$51,((D553+E553)*C553)*'Assumptions and Catalog'!$H$51+'Assumptions and Catalog'!$E$51+'Assumptions and Catalog'!$F$51,IF(((D553+E553)*C553)&lt;='Assumptions and Catalog'!$C$52,((D553+E553)*C553)*'Assumptions and Catalog'!$H$52+'Assumptions and Catalog'!$E$52+'Assumptions and Catalog'!$F$52,IF(((D553+E553)*C553)&lt;='Assumptions and Catalog'!$C$53,((D553+E553)*C553)*'Assumptions and Catalog'!$H$53+'Assumptions and Catalog'!$E$53+'Assumptions and Catalog'!$F$53,IF(((D553+E553)*C553)&lt;='Assumptions and Catalog'!$C$54,((D553+E553)*C553)*'Assumptions and Catalog'!$H$54+'Assumptions and Catalog'!$E$54+'Assumptions and Catalog'!$F$54,IF(((D553+E553)*C553)&lt;='Assumptions and Catalog'!$C$55,((D553+E553)*C553)*'Assumptions and Catalog'!$H$55+'Assumptions and Catalog'!$E$55+'Assumptions and Catalog'!$F$55,IF(((D553+E553)*C553)&lt;='Assumptions and Catalog'!$C$56,((D553+E553)*C553)*'Assumptions and Catalog'!$H$56+'Assumptions and Catalog'!$E$56+'Assumptions and Catalog'!$F$56,IF(((D553+E553)*C553)&lt;='Assumptions and Catalog'!$C$57,((D553+E553)*C553)*'Assumptions and Catalog'!$H$57+'Assumptions and Catalog'!$E$57+'Assumptions and Catalog'!$F$57,"Out of range")))))))),IF(((D553+E553)*C553)&lt;='Assumptions and Catalog'!$C$60,((D553+E553)*C553)*'Assumptions and Catalog'!$H$60+'Assumptions and Catalog'!$E$60+'Assumptions and Catalog'!$F$60,IF(((D553+E553)*C553)&lt;='Assumptions and Catalog'!$C$61,((D553+E553)*C553)*'Assumptions and Catalog'!$H$61+'Assumptions and Catalog'!$E$61+'Assumptions and Catalog'!$F$61,IF(((D553+E553)*C553)&lt;='Assumptions and Catalog'!$C$62,((D553+E553)*C553)*'Assumptions and Catalog'!$H$62+'Assumptions and Catalog'!$E$62+'Assumptions and Catalog'!$F$62,IF(((D553+E553)*C553)&lt;='Assumptions and Catalog'!$C$63,((D553+E553)*C553)*'Assumptions and Catalog'!$H$63+'Assumptions and Catalog'!$E$63+'Assumptions and Catalog'!$F$63,IF(((D553+E553)*C553)&lt;='Assumptions and Catalog'!$C$64,((D553+E553)*C553)*'Assumptions and Catalog'!$H$64+'Assumptions and Catalog'!$E$64+'Assumptions and Catalog'!$F$64,IF(((D553+E553)*C553)&lt;='Assumptions and Catalog'!$C$65,((D553+E553)*C553)*'Assumptions and Catalog'!$H$65+'Assumptions and Catalog'!$E$65+'Assumptions and Catalog'!$F$65,"Out of range")))))))))*(1+'Assumptions and Catalog'!$C$8)^(A553-1),0)</f>
        <v>8279</v>
      </c>
      <c r="N553" s="5">
        <f>IF(ISNUMBER(Inputs!$L$5),(IF(Inputs!$L$9="Actual flat rate",L553*Inputs!$L$10,IF(Inputs!$C$9="Residential",IF(L553&lt;='Assumptions and Catalog'!$C$50,L553*'Assumptions and Catalog'!$H$50+'Assumptions and Catalog'!$E$50+'Assumptions and Catalog'!$F$50,IF(L553&lt;='Assumptions and Catalog'!$C$51,L553*'Assumptions and Catalog'!$H$51+'Assumptions and Catalog'!$E$51+'Assumptions and Catalog'!$F$51,IF(L553&lt;='Assumptions and Catalog'!$C$52,L553*'Assumptions and Catalog'!$H$52+'Assumptions and Catalog'!$E$52+'Assumptions and Catalog'!$F$52,IF(L553&lt;='Assumptions and Catalog'!$C$53,L553*'Assumptions and Catalog'!$H$53+'Assumptions and Catalog'!$E$53+'Assumptions and Catalog'!$F$53,IF(L553&lt;='Assumptions and Catalog'!$C$54,L553*'Assumptions and Catalog'!$H$54+'Assumptions and Catalog'!$E$54+'Assumptions and Catalog'!$F$54,IF(L553&lt;='Assumptions and Catalog'!$C$55,L553*'Assumptions and Catalog'!$H$55+'Assumptions and Catalog'!$E$55+'Assumptions and Catalog'!$F$55,IF(L553&lt;='Assumptions and Catalog'!$C$56,L553*'Assumptions and Catalog'!$H$56+'Assumptions and Catalog'!$E$56+'Assumptions and Catalog'!$F$56,IF(L553&lt;='Assumptions and Catalog'!$C$57,L553*'Assumptions and Catalog'!$H$57+'Assumptions and Catalog'!$E$57+'Assumptions and Catalog'!$F$57,"Out of range")))))))),IF(L553&lt;='Assumptions and Catalog'!$C$60,L553*'Assumptions and Catalog'!$H$60+'Assumptions and Catalog'!$E$60+'Assumptions and Catalog'!$F$60,IF(L553&lt;='Assumptions and Catalog'!$C$61,L553*'Assumptions and Catalog'!$H$61+'Assumptions and Catalog'!$E$61+'Assumptions and Catalog'!$F$61,IF(L553&lt;='Assumptions and Catalog'!$C$62,L553*'Assumptions and Catalog'!$H$62+'Assumptions and Catalog'!$E$62+'Assumptions and Catalog'!$F$62,IF(L553&lt;='Assumptions and Catalog'!$C$63,L553*'Assumptions and Catalog'!$H$63+'Assumptions and Catalog'!$E$63+'Assumptions and Catalog'!$F$63,IF(L553&lt;='Assumptions and Catalog'!$C$64,L553*'Assumptions and Catalog'!$H$64+'Assumptions and Catalog'!$E$64+'Assumptions and Catalog'!$F$64,IF(L553&lt;='Assumptions and Catalog'!$C$65,L553*'Assumptions and Catalog'!$H$65+'Assumptions and Catalog'!$E$65+'Assumptions and Catalog'!$F$65,"Out of range")))))))))*(1+'Assumptions and Catalog'!$C$8)^(A553-1),0)</f>
        <v>8279</v>
      </c>
      <c r="O553" s="5">
        <f t="shared" si="43"/>
        <v>0</v>
      </c>
      <c r="P553" s="5">
        <f>D$55*(1-K$14)*(1-'Assumptions and Catalog'!$C$23)^R553</f>
        <v>0</v>
      </c>
      <c r="Q553" s="5">
        <f>IF(ISNUMBER(Inputs!$L$5),(IF(Inputs!$L$9="Actual flat rate",((D553+E553)*C553-G553)*Inputs!$L$10,IF(Inputs!$C$9="Residential",IF(((D553+E553)*C553-G553)&lt;='Assumptions and Catalog'!$C$50,((D553+E553)*C553-G553)*'Assumptions and Catalog'!$H$50+'Assumptions and Catalog'!$E$50+'Assumptions and Catalog'!$F$50,IF(((D553+E553)*C553-G553)&lt;='Assumptions and Catalog'!$C$51,((D553+E553)*C553-G553)*'Assumptions and Catalog'!$H$51+'Assumptions and Catalog'!$E$51+'Assumptions and Catalog'!$F$51,IF(((D553+E553)*C553-G553)&lt;='Assumptions and Catalog'!$C$52,((D553+E553)*C553-G553)*'Assumptions and Catalog'!$H$52+'Assumptions and Catalog'!$E$52+'Assumptions and Catalog'!$F$52,IF(((D553+E553)*C553-G553)&lt;='Assumptions and Catalog'!$C$53,((D553+E553)*C553-G553)*'Assumptions and Catalog'!$H$53+'Assumptions and Catalog'!$E$53+'Assumptions and Catalog'!$F$53,IF(((D553+E553)*C553-G553)&lt;='Assumptions and Catalog'!$C$54,((D553+E553)*C553-G553)*'Assumptions and Catalog'!$H$54+'Assumptions and Catalog'!$E$54+'Assumptions and Catalog'!$F$54,IF(((D553+E553)*C553-G553)&lt;='Assumptions and Catalog'!$C$55,((D553+E553)*C553-G553)*'Assumptions and Catalog'!$H$55+'Assumptions and Catalog'!$E$55+'Assumptions and Catalog'!$F$55,IF(((D553+E553)*C553-G553)&lt;='Assumptions and Catalog'!$C$56,((D553+E553)*C553-G553)*'Assumptions and Catalog'!$H$56+'Assumptions and Catalog'!$E$56+'Assumptions and Catalog'!$F$56,IF(((D553+E553)*C553-G553)&lt;='Assumptions and Catalog'!$C$57,((D553+E553)*C553-G553)*'Assumptions and Catalog'!$H$57+'Assumptions and Catalog'!$E$57+'Assumptions and Catalog'!$F$57,"Out of range")))))))),IF(((D553+E553)*C553-G553)&lt;='Assumptions and Catalog'!$C$60,((D553+E553)*C553-G553)*'Assumptions and Catalog'!$H$60+'Assumptions and Catalog'!$E$60+'Assumptions and Catalog'!$F$60,IF(((D553+E553)*C553-G553)&lt;='Assumptions and Catalog'!$C$61,((D553+E553)*C553-G553)*'Assumptions and Catalog'!$H$61+'Assumptions and Catalog'!$E$61+'Assumptions and Catalog'!$F$61,IF(((D553+E553)*C553-G553)&lt;='Assumptions and Catalog'!$C$62,((D553+E553)*C553-G553)*'Assumptions and Catalog'!$H$62+'Assumptions and Catalog'!$E$62+'Assumptions and Catalog'!$F$62,IF(((D553+E553)*C553-G553)&lt;='Assumptions and Catalog'!$C$63,((D553+E553)*C553-G553)*'Assumptions and Catalog'!$H$63+'Assumptions and Catalog'!$E$63+'Assumptions and Catalog'!$F$63,IF(((D553+E553)*C553-G553)&lt;='Assumptions and Catalog'!$C$64,((D553+E553)*C553-G553)*'Assumptions and Catalog'!$H$64+'Assumptions and Catalog'!$E$64+'Assumptions and Catalog'!$F$64,IF(((D553+E553)*C553-G553)&lt;='Assumptions and Catalog'!$C$65,((D553+E553)*C553-G553)*'Assumptions and Catalog'!$H$65+'Assumptions and Catalog'!$E$65+'Assumptions and Catalog'!$F$65,"Out of range")))))))))*(1+'Assumptions and Catalog'!$C$8)^(A553-1),0)</f>
        <v>8279</v>
      </c>
      <c r="R553" s="5">
        <f>IF(AND('Assumptions and Catalog'!$C$19&gt;0,A553&gt;='Assumptions and Catalog'!$C$19),A553-'Assumptions and Catalog'!$C$19,A553-1)</f>
        <v>1</v>
      </c>
      <c r="S553" s="5">
        <f>F553+L553-(D553+E553)*C553-J553-K553-IF(D$52&gt;0,'Assumptions and Catalog'!$C$26*C553,0)</f>
        <v>0</v>
      </c>
      <c r="T553" s="5"/>
      <c r="U553" s="5"/>
    </row>
    <row r="554" spans="1:21" ht="23.1" customHeight="1" outlineLevel="1" x14ac:dyDescent="0.2">
      <c r="A554" s="5">
        <v>12</v>
      </c>
      <c r="B554" s="5">
        <v>12</v>
      </c>
      <c r="C554" s="5">
        <f>DAY(DATE('Assumptions and Catalog'!$C$24+A554-1,B554+1,0))</f>
        <v>31</v>
      </c>
      <c r="D554" s="5">
        <f>IF(ISNUMBER(Inputs!$L$5),Inputs!$L$5*Inputs!$L$6,0)</f>
        <v>40.35</v>
      </c>
      <c r="E554" s="5">
        <f>IF(ISNUMBER(Inputs!$L$5),Inputs!$L$5-D554,0)</f>
        <v>40.35</v>
      </c>
      <c r="F554" s="5">
        <f>D$51*'Assumptions and Catalog'!$C$31*C554*(1-'Assumptions and Catalog'!$C$10)^(A554-1)</f>
        <v>0</v>
      </c>
      <c r="G554" s="5">
        <f t="shared" si="40"/>
        <v>0</v>
      </c>
      <c r="H554" s="5">
        <f>I554/('Assumptions and Catalog'!$C$11*'Assumptions and Catalog'!$C$12)</f>
        <v>0</v>
      </c>
      <c r="I554" s="5">
        <f>IF(K$15="Grid cycle",MIN(K$16,D554+E554,P554*'Assumptions and Catalog'!$C$12,D$57*(24-'Assumptions and Catalog'!$C$15),D$56*'Assumptions and Catalog'!$C$15*'Assumptions and Catalog'!$C$11*'Assumptions and Catalog'!$C$12)*C554,0)</f>
        <v>0</v>
      </c>
      <c r="J554" s="5">
        <f t="shared" si="41"/>
        <v>0</v>
      </c>
      <c r="K554" s="5">
        <f t="shared" si="42"/>
        <v>0</v>
      </c>
      <c r="L554" s="5">
        <f>(D554+E554)*C554-G554-I554+H554+IF(D$52&gt;0,'Assumptions and Catalog'!$C$26*C554,0)</f>
        <v>2501.7000000000003</v>
      </c>
      <c r="M554" s="5">
        <f>IF(ISNUMBER(Inputs!$L$5),(IF(Inputs!$L$9="Actual flat rate",((D554+E554)*C554)*Inputs!$L$10,IF(Inputs!$C$9="Residential",IF(((D554+E554)*C554)&lt;='Assumptions and Catalog'!$C$50,((D554+E554)*C554)*'Assumptions and Catalog'!$H$50+'Assumptions and Catalog'!$E$50+'Assumptions and Catalog'!$F$50,IF(((D554+E554)*C554)&lt;='Assumptions and Catalog'!$C$51,((D554+E554)*C554)*'Assumptions and Catalog'!$H$51+'Assumptions and Catalog'!$E$51+'Assumptions and Catalog'!$F$51,IF(((D554+E554)*C554)&lt;='Assumptions and Catalog'!$C$52,((D554+E554)*C554)*'Assumptions and Catalog'!$H$52+'Assumptions and Catalog'!$E$52+'Assumptions and Catalog'!$F$52,IF(((D554+E554)*C554)&lt;='Assumptions and Catalog'!$C$53,((D554+E554)*C554)*'Assumptions and Catalog'!$H$53+'Assumptions and Catalog'!$E$53+'Assumptions and Catalog'!$F$53,IF(((D554+E554)*C554)&lt;='Assumptions and Catalog'!$C$54,((D554+E554)*C554)*'Assumptions and Catalog'!$H$54+'Assumptions and Catalog'!$E$54+'Assumptions and Catalog'!$F$54,IF(((D554+E554)*C554)&lt;='Assumptions and Catalog'!$C$55,((D554+E554)*C554)*'Assumptions and Catalog'!$H$55+'Assumptions and Catalog'!$E$55+'Assumptions and Catalog'!$F$55,IF(((D554+E554)*C554)&lt;='Assumptions and Catalog'!$C$56,((D554+E554)*C554)*'Assumptions and Catalog'!$H$56+'Assumptions and Catalog'!$E$56+'Assumptions and Catalog'!$F$56,IF(((D554+E554)*C554)&lt;='Assumptions and Catalog'!$C$57,((D554+E554)*C554)*'Assumptions and Catalog'!$H$57+'Assumptions and Catalog'!$E$57+'Assumptions and Catalog'!$F$57,"Out of range")))))))),IF(((D554+E554)*C554)&lt;='Assumptions and Catalog'!$C$60,((D554+E554)*C554)*'Assumptions and Catalog'!$H$60+'Assumptions and Catalog'!$E$60+'Assumptions and Catalog'!$F$60,IF(((D554+E554)*C554)&lt;='Assumptions and Catalog'!$C$61,((D554+E554)*C554)*'Assumptions and Catalog'!$H$61+'Assumptions and Catalog'!$E$61+'Assumptions and Catalog'!$F$61,IF(((D554+E554)*C554)&lt;='Assumptions and Catalog'!$C$62,((D554+E554)*C554)*'Assumptions and Catalog'!$H$62+'Assumptions and Catalog'!$E$62+'Assumptions and Catalog'!$F$62,IF(((D554+E554)*C554)&lt;='Assumptions and Catalog'!$C$63,((D554+E554)*C554)*'Assumptions and Catalog'!$H$63+'Assumptions and Catalog'!$E$63+'Assumptions and Catalog'!$F$63,IF(((D554+E554)*C554)&lt;='Assumptions and Catalog'!$C$64,((D554+E554)*C554)*'Assumptions and Catalog'!$H$64+'Assumptions and Catalog'!$E$64+'Assumptions and Catalog'!$F$64,IF(((D554+E554)*C554)&lt;='Assumptions and Catalog'!$C$65,((D554+E554)*C554)*'Assumptions and Catalog'!$H$65+'Assumptions and Catalog'!$E$65+'Assumptions and Catalog'!$F$65,"Out of range")))))))))*(1+'Assumptions and Catalog'!$C$8)^(A554-1),0)</f>
        <v>8554.9666666666672</v>
      </c>
      <c r="N554" s="5">
        <f>IF(ISNUMBER(Inputs!$L$5),(IF(Inputs!$L$9="Actual flat rate",L554*Inputs!$L$10,IF(Inputs!$C$9="Residential",IF(L554&lt;='Assumptions and Catalog'!$C$50,L554*'Assumptions and Catalog'!$H$50+'Assumptions and Catalog'!$E$50+'Assumptions and Catalog'!$F$50,IF(L554&lt;='Assumptions and Catalog'!$C$51,L554*'Assumptions and Catalog'!$H$51+'Assumptions and Catalog'!$E$51+'Assumptions and Catalog'!$F$51,IF(L554&lt;='Assumptions and Catalog'!$C$52,L554*'Assumptions and Catalog'!$H$52+'Assumptions and Catalog'!$E$52+'Assumptions and Catalog'!$F$52,IF(L554&lt;='Assumptions and Catalog'!$C$53,L554*'Assumptions and Catalog'!$H$53+'Assumptions and Catalog'!$E$53+'Assumptions and Catalog'!$F$53,IF(L554&lt;='Assumptions and Catalog'!$C$54,L554*'Assumptions and Catalog'!$H$54+'Assumptions and Catalog'!$E$54+'Assumptions and Catalog'!$F$54,IF(L554&lt;='Assumptions and Catalog'!$C$55,L554*'Assumptions and Catalog'!$H$55+'Assumptions and Catalog'!$E$55+'Assumptions and Catalog'!$F$55,IF(L554&lt;='Assumptions and Catalog'!$C$56,L554*'Assumptions and Catalog'!$H$56+'Assumptions and Catalog'!$E$56+'Assumptions and Catalog'!$F$56,IF(L554&lt;='Assumptions and Catalog'!$C$57,L554*'Assumptions and Catalog'!$H$57+'Assumptions and Catalog'!$E$57+'Assumptions and Catalog'!$F$57,"Out of range")))))))),IF(L554&lt;='Assumptions and Catalog'!$C$60,L554*'Assumptions and Catalog'!$H$60+'Assumptions and Catalog'!$E$60+'Assumptions and Catalog'!$F$60,IF(L554&lt;='Assumptions and Catalog'!$C$61,L554*'Assumptions and Catalog'!$H$61+'Assumptions and Catalog'!$E$61+'Assumptions and Catalog'!$F$61,IF(L554&lt;='Assumptions and Catalog'!$C$62,L554*'Assumptions and Catalog'!$H$62+'Assumptions and Catalog'!$E$62+'Assumptions and Catalog'!$F$62,IF(L554&lt;='Assumptions and Catalog'!$C$63,L554*'Assumptions and Catalog'!$H$63+'Assumptions and Catalog'!$E$63+'Assumptions and Catalog'!$F$63,IF(L554&lt;='Assumptions and Catalog'!$C$64,L554*'Assumptions and Catalog'!$H$64+'Assumptions and Catalog'!$E$64+'Assumptions and Catalog'!$F$64,IF(L554&lt;='Assumptions and Catalog'!$C$65,L554*'Assumptions and Catalog'!$H$65+'Assumptions and Catalog'!$E$65+'Assumptions and Catalog'!$F$65,"Out of range")))))))))*(1+'Assumptions and Catalog'!$C$8)^(A554-1),0)</f>
        <v>8554.9666666666672</v>
      </c>
      <c r="O554" s="5">
        <f t="shared" si="43"/>
        <v>0</v>
      </c>
      <c r="P554" s="5">
        <f>D$55*(1-K$14)*(1-'Assumptions and Catalog'!$C$23)^R554</f>
        <v>0</v>
      </c>
      <c r="Q554" s="5">
        <f>IF(ISNUMBER(Inputs!$L$5),(IF(Inputs!$L$9="Actual flat rate",((D554+E554)*C554-G554)*Inputs!$L$10,IF(Inputs!$C$9="Residential",IF(((D554+E554)*C554-G554)&lt;='Assumptions and Catalog'!$C$50,((D554+E554)*C554-G554)*'Assumptions and Catalog'!$H$50+'Assumptions and Catalog'!$E$50+'Assumptions and Catalog'!$F$50,IF(((D554+E554)*C554-G554)&lt;='Assumptions and Catalog'!$C$51,((D554+E554)*C554-G554)*'Assumptions and Catalog'!$H$51+'Assumptions and Catalog'!$E$51+'Assumptions and Catalog'!$F$51,IF(((D554+E554)*C554-G554)&lt;='Assumptions and Catalog'!$C$52,((D554+E554)*C554-G554)*'Assumptions and Catalog'!$H$52+'Assumptions and Catalog'!$E$52+'Assumptions and Catalog'!$F$52,IF(((D554+E554)*C554-G554)&lt;='Assumptions and Catalog'!$C$53,((D554+E554)*C554-G554)*'Assumptions and Catalog'!$H$53+'Assumptions and Catalog'!$E$53+'Assumptions and Catalog'!$F$53,IF(((D554+E554)*C554-G554)&lt;='Assumptions and Catalog'!$C$54,((D554+E554)*C554-G554)*'Assumptions and Catalog'!$H$54+'Assumptions and Catalog'!$E$54+'Assumptions and Catalog'!$F$54,IF(((D554+E554)*C554-G554)&lt;='Assumptions and Catalog'!$C$55,((D554+E554)*C554-G554)*'Assumptions and Catalog'!$H$55+'Assumptions and Catalog'!$E$55+'Assumptions and Catalog'!$F$55,IF(((D554+E554)*C554-G554)&lt;='Assumptions and Catalog'!$C$56,((D554+E554)*C554-G554)*'Assumptions and Catalog'!$H$56+'Assumptions and Catalog'!$E$56+'Assumptions and Catalog'!$F$56,IF(((D554+E554)*C554-G554)&lt;='Assumptions and Catalog'!$C$57,((D554+E554)*C554-G554)*'Assumptions and Catalog'!$H$57+'Assumptions and Catalog'!$E$57+'Assumptions and Catalog'!$F$57,"Out of range")))))))),IF(((D554+E554)*C554-G554)&lt;='Assumptions and Catalog'!$C$60,((D554+E554)*C554-G554)*'Assumptions and Catalog'!$H$60+'Assumptions and Catalog'!$E$60+'Assumptions and Catalog'!$F$60,IF(((D554+E554)*C554-G554)&lt;='Assumptions and Catalog'!$C$61,((D554+E554)*C554-G554)*'Assumptions and Catalog'!$H$61+'Assumptions and Catalog'!$E$61+'Assumptions and Catalog'!$F$61,IF(((D554+E554)*C554-G554)&lt;='Assumptions and Catalog'!$C$62,((D554+E554)*C554-G554)*'Assumptions and Catalog'!$H$62+'Assumptions and Catalog'!$E$62+'Assumptions and Catalog'!$F$62,IF(((D554+E554)*C554-G554)&lt;='Assumptions and Catalog'!$C$63,((D554+E554)*C554-G554)*'Assumptions and Catalog'!$H$63+'Assumptions and Catalog'!$E$63+'Assumptions and Catalog'!$F$63,IF(((D554+E554)*C554-G554)&lt;='Assumptions and Catalog'!$C$64,((D554+E554)*C554-G554)*'Assumptions and Catalog'!$H$64+'Assumptions and Catalog'!$E$64+'Assumptions and Catalog'!$F$64,IF(((D554+E554)*C554-G554)&lt;='Assumptions and Catalog'!$C$65,((D554+E554)*C554-G554)*'Assumptions and Catalog'!$H$65+'Assumptions and Catalog'!$E$65+'Assumptions and Catalog'!$F$65,"Out of range")))))))))*(1+'Assumptions and Catalog'!$C$8)^(A554-1),0)</f>
        <v>8554.9666666666672</v>
      </c>
      <c r="R554" s="5">
        <f>IF(AND('Assumptions and Catalog'!$C$19&gt;0,A554&gt;='Assumptions and Catalog'!$C$19),A554-'Assumptions and Catalog'!$C$19,A554-1)</f>
        <v>1</v>
      </c>
      <c r="S554" s="5">
        <f>F554+L554-(D554+E554)*C554-J554-K554-IF(D$52&gt;0,'Assumptions and Catalog'!$C$26*C554,0)</f>
        <v>0</v>
      </c>
      <c r="T554" s="5"/>
      <c r="U554" s="5"/>
    </row>
    <row r="555" spans="1:21" ht="23.1" customHeight="1" outlineLevel="1" x14ac:dyDescent="0.2">
      <c r="A555" s="5">
        <v>13</v>
      </c>
      <c r="B555" s="5">
        <v>1</v>
      </c>
      <c r="C555" s="5">
        <f>DAY(DATE('Assumptions and Catalog'!$C$24+A555-1,B555+1,0))</f>
        <v>31</v>
      </c>
      <c r="D555" s="5">
        <f>IF(ISNUMBER(Inputs!$L$5),Inputs!$L$5*Inputs!$L$6,0)</f>
        <v>40.35</v>
      </c>
      <c r="E555" s="5">
        <f>IF(ISNUMBER(Inputs!$L$5),Inputs!$L$5-D555,0)</f>
        <v>40.35</v>
      </c>
      <c r="F555" s="5">
        <f>D$51*'Assumptions and Catalog'!$C$31*C555*(1-'Assumptions and Catalog'!$C$10)^(A555-1)</f>
        <v>0</v>
      </c>
      <c r="G555" s="5">
        <f t="shared" si="40"/>
        <v>0</v>
      </c>
      <c r="H555" s="5">
        <f>I555/('Assumptions and Catalog'!$C$11*'Assumptions and Catalog'!$C$12)</f>
        <v>0</v>
      </c>
      <c r="I555" s="5">
        <f>IF(K$15="Grid cycle",MIN(K$16,D555+E555,P555*'Assumptions and Catalog'!$C$12,D$57*(24-'Assumptions and Catalog'!$C$15),D$56*'Assumptions and Catalog'!$C$15*'Assumptions and Catalog'!$C$11*'Assumptions and Catalog'!$C$12)*C555,0)</f>
        <v>0</v>
      </c>
      <c r="J555" s="5">
        <f t="shared" si="41"/>
        <v>0</v>
      </c>
      <c r="K555" s="5">
        <f t="shared" si="42"/>
        <v>0</v>
      </c>
      <c r="L555" s="5">
        <f>(D555+E555)*C555-G555-I555+H555+IF(D$52&gt;0,'Assumptions and Catalog'!$C$26*C555,0)</f>
        <v>2501.7000000000003</v>
      </c>
      <c r="M555" s="5">
        <f>IF(ISNUMBER(Inputs!$L$5),(IF(Inputs!$L$9="Actual flat rate",((D555+E555)*C555)*Inputs!$L$10,IF(Inputs!$C$9="Residential",IF(((D555+E555)*C555)&lt;='Assumptions and Catalog'!$C$50,((D555+E555)*C555)*'Assumptions and Catalog'!$H$50+'Assumptions and Catalog'!$E$50+'Assumptions and Catalog'!$F$50,IF(((D555+E555)*C555)&lt;='Assumptions and Catalog'!$C$51,((D555+E555)*C555)*'Assumptions and Catalog'!$H$51+'Assumptions and Catalog'!$E$51+'Assumptions and Catalog'!$F$51,IF(((D555+E555)*C555)&lt;='Assumptions and Catalog'!$C$52,((D555+E555)*C555)*'Assumptions and Catalog'!$H$52+'Assumptions and Catalog'!$E$52+'Assumptions and Catalog'!$F$52,IF(((D555+E555)*C555)&lt;='Assumptions and Catalog'!$C$53,((D555+E555)*C555)*'Assumptions and Catalog'!$H$53+'Assumptions and Catalog'!$E$53+'Assumptions and Catalog'!$F$53,IF(((D555+E555)*C555)&lt;='Assumptions and Catalog'!$C$54,((D555+E555)*C555)*'Assumptions and Catalog'!$H$54+'Assumptions and Catalog'!$E$54+'Assumptions and Catalog'!$F$54,IF(((D555+E555)*C555)&lt;='Assumptions and Catalog'!$C$55,((D555+E555)*C555)*'Assumptions and Catalog'!$H$55+'Assumptions and Catalog'!$E$55+'Assumptions and Catalog'!$F$55,IF(((D555+E555)*C555)&lt;='Assumptions and Catalog'!$C$56,((D555+E555)*C555)*'Assumptions and Catalog'!$H$56+'Assumptions and Catalog'!$E$56+'Assumptions and Catalog'!$F$56,IF(((D555+E555)*C555)&lt;='Assumptions and Catalog'!$C$57,((D555+E555)*C555)*'Assumptions and Catalog'!$H$57+'Assumptions and Catalog'!$E$57+'Assumptions and Catalog'!$F$57,"Out of range")))))))),IF(((D555+E555)*C555)&lt;='Assumptions and Catalog'!$C$60,((D555+E555)*C555)*'Assumptions and Catalog'!$H$60+'Assumptions and Catalog'!$E$60+'Assumptions and Catalog'!$F$60,IF(((D555+E555)*C555)&lt;='Assumptions and Catalog'!$C$61,((D555+E555)*C555)*'Assumptions and Catalog'!$H$61+'Assumptions and Catalog'!$E$61+'Assumptions and Catalog'!$F$61,IF(((D555+E555)*C555)&lt;='Assumptions and Catalog'!$C$62,((D555+E555)*C555)*'Assumptions and Catalog'!$H$62+'Assumptions and Catalog'!$E$62+'Assumptions and Catalog'!$F$62,IF(((D555+E555)*C555)&lt;='Assumptions and Catalog'!$C$63,((D555+E555)*C555)*'Assumptions and Catalog'!$H$63+'Assumptions and Catalog'!$E$63+'Assumptions and Catalog'!$F$63,IF(((D555+E555)*C555)&lt;='Assumptions and Catalog'!$C$64,((D555+E555)*C555)*'Assumptions and Catalog'!$H$64+'Assumptions and Catalog'!$E$64+'Assumptions and Catalog'!$F$64,IF(((D555+E555)*C555)&lt;='Assumptions and Catalog'!$C$65,((D555+E555)*C555)*'Assumptions and Catalog'!$H$65+'Assumptions and Catalog'!$E$65+'Assumptions and Catalog'!$F$65,"Out of range")))))))))*(1+'Assumptions and Catalog'!$C$8)^(A555-1),0)</f>
        <v>8554.9666666666672</v>
      </c>
      <c r="N555" s="5">
        <f>IF(ISNUMBER(Inputs!$L$5),(IF(Inputs!$L$9="Actual flat rate",L555*Inputs!$L$10,IF(Inputs!$C$9="Residential",IF(L555&lt;='Assumptions and Catalog'!$C$50,L555*'Assumptions and Catalog'!$H$50+'Assumptions and Catalog'!$E$50+'Assumptions and Catalog'!$F$50,IF(L555&lt;='Assumptions and Catalog'!$C$51,L555*'Assumptions and Catalog'!$H$51+'Assumptions and Catalog'!$E$51+'Assumptions and Catalog'!$F$51,IF(L555&lt;='Assumptions and Catalog'!$C$52,L555*'Assumptions and Catalog'!$H$52+'Assumptions and Catalog'!$E$52+'Assumptions and Catalog'!$F$52,IF(L555&lt;='Assumptions and Catalog'!$C$53,L555*'Assumptions and Catalog'!$H$53+'Assumptions and Catalog'!$E$53+'Assumptions and Catalog'!$F$53,IF(L555&lt;='Assumptions and Catalog'!$C$54,L555*'Assumptions and Catalog'!$H$54+'Assumptions and Catalog'!$E$54+'Assumptions and Catalog'!$F$54,IF(L555&lt;='Assumptions and Catalog'!$C$55,L555*'Assumptions and Catalog'!$H$55+'Assumptions and Catalog'!$E$55+'Assumptions and Catalog'!$F$55,IF(L555&lt;='Assumptions and Catalog'!$C$56,L555*'Assumptions and Catalog'!$H$56+'Assumptions and Catalog'!$E$56+'Assumptions and Catalog'!$F$56,IF(L555&lt;='Assumptions and Catalog'!$C$57,L555*'Assumptions and Catalog'!$H$57+'Assumptions and Catalog'!$E$57+'Assumptions and Catalog'!$F$57,"Out of range")))))))),IF(L555&lt;='Assumptions and Catalog'!$C$60,L555*'Assumptions and Catalog'!$H$60+'Assumptions and Catalog'!$E$60+'Assumptions and Catalog'!$F$60,IF(L555&lt;='Assumptions and Catalog'!$C$61,L555*'Assumptions and Catalog'!$H$61+'Assumptions and Catalog'!$E$61+'Assumptions and Catalog'!$F$61,IF(L555&lt;='Assumptions and Catalog'!$C$62,L555*'Assumptions and Catalog'!$H$62+'Assumptions and Catalog'!$E$62+'Assumptions and Catalog'!$F$62,IF(L555&lt;='Assumptions and Catalog'!$C$63,L555*'Assumptions and Catalog'!$H$63+'Assumptions and Catalog'!$E$63+'Assumptions and Catalog'!$F$63,IF(L555&lt;='Assumptions and Catalog'!$C$64,L555*'Assumptions and Catalog'!$H$64+'Assumptions and Catalog'!$E$64+'Assumptions and Catalog'!$F$64,IF(L555&lt;='Assumptions and Catalog'!$C$65,L555*'Assumptions and Catalog'!$H$65+'Assumptions and Catalog'!$E$65+'Assumptions and Catalog'!$F$65,"Out of range")))))))))*(1+'Assumptions and Catalog'!$C$8)^(A555-1),0)</f>
        <v>8554.9666666666672</v>
      </c>
      <c r="O555" s="5">
        <f t="shared" si="43"/>
        <v>0</v>
      </c>
      <c r="P555" s="5">
        <f>D$55*(1-K$14)*(1-'Assumptions and Catalog'!$C$23)^R555</f>
        <v>0</v>
      </c>
      <c r="Q555" s="5">
        <f>IF(ISNUMBER(Inputs!$L$5),(IF(Inputs!$L$9="Actual flat rate",((D555+E555)*C555-G555)*Inputs!$L$10,IF(Inputs!$C$9="Residential",IF(((D555+E555)*C555-G555)&lt;='Assumptions and Catalog'!$C$50,((D555+E555)*C555-G555)*'Assumptions and Catalog'!$H$50+'Assumptions and Catalog'!$E$50+'Assumptions and Catalog'!$F$50,IF(((D555+E555)*C555-G555)&lt;='Assumptions and Catalog'!$C$51,((D555+E555)*C555-G555)*'Assumptions and Catalog'!$H$51+'Assumptions and Catalog'!$E$51+'Assumptions and Catalog'!$F$51,IF(((D555+E555)*C555-G555)&lt;='Assumptions and Catalog'!$C$52,((D555+E555)*C555-G555)*'Assumptions and Catalog'!$H$52+'Assumptions and Catalog'!$E$52+'Assumptions and Catalog'!$F$52,IF(((D555+E555)*C555-G555)&lt;='Assumptions and Catalog'!$C$53,((D555+E555)*C555-G555)*'Assumptions and Catalog'!$H$53+'Assumptions and Catalog'!$E$53+'Assumptions and Catalog'!$F$53,IF(((D555+E555)*C555-G555)&lt;='Assumptions and Catalog'!$C$54,((D555+E555)*C555-G555)*'Assumptions and Catalog'!$H$54+'Assumptions and Catalog'!$E$54+'Assumptions and Catalog'!$F$54,IF(((D555+E555)*C555-G555)&lt;='Assumptions and Catalog'!$C$55,((D555+E555)*C555-G555)*'Assumptions and Catalog'!$H$55+'Assumptions and Catalog'!$E$55+'Assumptions and Catalog'!$F$55,IF(((D555+E555)*C555-G555)&lt;='Assumptions and Catalog'!$C$56,((D555+E555)*C555-G555)*'Assumptions and Catalog'!$H$56+'Assumptions and Catalog'!$E$56+'Assumptions and Catalog'!$F$56,IF(((D555+E555)*C555-G555)&lt;='Assumptions and Catalog'!$C$57,((D555+E555)*C555-G555)*'Assumptions and Catalog'!$H$57+'Assumptions and Catalog'!$E$57+'Assumptions and Catalog'!$F$57,"Out of range")))))))),IF(((D555+E555)*C555-G555)&lt;='Assumptions and Catalog'!$C$60,((D555+E555)*C555-G555)*'Assumptions and Catalog'!$H$60+'Assumptions and Catalog'!$E$60+'Assumptions and Catalog'!$F$60,IF(((D555+E555)*C555-G555)&lt;='Assumptions and Catalog'!$C$61,((D555+E555)*C555-G555)*'Assumptions and Catalog'!$H$61+'Assumptions and Catalog'!$E$61+'Assumptions and Catalog'!$F$61,IF(((D555+E555)*C555-G555)&lt;='Assumptions and Catalog'!$C$62,((D555+E555)*C555-G555)*'Assumptions and Catalog'!$H$62+'Assumptions and Catalog'!$E$62+'Assumptions and Catalog'!$F$62,IF(((D555+E555)*C555-G555)&lt;='Assumptions and Catalog'!$C$63,((D555+E555)*C555-G555)*'Assumptions and Catalog'!$H$63+'Assumptions and Catalog'!$E$63+'Assumptions and Catalog'!$F$63,IF(((D555+E555)*C555-G555)&lt;='Assumptions and Catalog'!$C$64,((D555+E555)*C555-G555)*'Assumptions and Catalog'!$H$64+'Assumptions and Catalog'!$E$64+'Assumptions and Catalog'!$F$64,IF(((D555+E555)*C555-G555)&lt;='Assumptions and Catalog'!$C$65,((D555+E555)*C555-G555)*'Assumptions and Catalog'!$H$65+'Assumptions and Catalog'!$E$65+'Assumptions and Catalog'!$F$65,"Out of range")))))))))*(1+'Assumptions and Catalog'!$C$8)^(A555-1),0)</f>
        <v>8554.9666666666672</v>
      </c>
      <c r="R555" s="5">
        <f>IF(AND('Assumptions and Catalog'!$C$19&gt;0,A555&gt;='Assumptions and Catalog'!$C$19),A555-'Assumptions and Catalog'!$C$19,A555-1)</f>
        <v>2</v>
      </c>
      <c r="S555" s="5">
        <f>F555+L555-(D555+E555)*C555-J555-K555-IF(D$52&gt;0,'Assumptions and Catalog'!$C$26*C555,0)</f>
        <v>0</v>
      </c>
      <c r="T555" s="5"/>
      <c r="U555" s="5"/>
    </row>
    <row r="556" spans="1:21" ht="23.1" customHeight="1" outlineLevel="1" x14ac:dyDescent="0.2">
      <c r="A556" s="5">
        <v>13</v>
      </c>
      <c r="B556" s="5">
        <v>2</v>
      </c>
      <c r="C556" s="5">
        <f>DAY(DATE('Assumptions and Catalog'!$C$24+A556-1,B556+1,0))</f>
        <v>28</v>
      </c>
      <c r="D556" s="5">
        <f>IF(ISNUMBER(Inputs!$L$5),Inputs!$L$5*Inputs!$L$6,0)</f>
        <v>40.35</v>
      </c>
      <c r="E556" s="5">
        <f>IF(ISNUMBER(Inputs!$L$5),Inputs!$L$5-D556,0)</f>
        <v>40.35</v>
      </c>
      <c r="F556" s="5">
        <f>D$51*'Assumptions and Catalog'!$C$31*C556*(1-'Assumptions and Catalog'!$C$10)^(A556-1)</f>
        <v>0</v>
      </c>
      <c r="G556" s="5">
        <f t="shared" si="40"/>
        <v>0</v>
      </c>
      <c r="H556" s="5">
        <f>I556/('Assumptions and Catalog'!$C$11*'Assumptions and Catalog'!$C$12)</f>
        <v>0</v>
      </c>
      <c r="I556" s="5">
        <f>IF(K$15="Grid cycle",MIN(K$16,D556+E556,P556*'Assumptions and Catalog'!$C$12,D$57*(24-'Assumptions and Catalog'!$C$15),D$56*'Assumptions and Catalog'!$C$15*'Assumptions and Catalog'!$C$11*'Assumptions and Catalog'!$C$12)*C556,0)</f>
        <v>0</v>
      </c>
      <c r="J556" s="5">
        <f t="shared" si="41"/>
        <v>0</v>
      </c>
      <c r="K556" s="5">
        <f t="shared" si="42"/>
        <v>0</v>
      </c>
      <c r="L556" s="5">
        <f>(D556+E556)*C556-G556-I556+H556+IF(D$52&gt;0,'Assumptions and Catalog'!$C$26*C556,0)</f>
        <v>2259.6</v>
      </c>
      <c r="M556" s="5">
        <f>IF(ISNUMBER(Inputs!$L$5),(IF(Inputs!$L$9="Actual flat rate",((D556+E556)*C556)*Inputs!$L$10,IF(Inputs!$C$9="Residential",IF(((D556+E556)*C556)&lt;='Assumptions and Catalog'!$C$50,((D556+E556)*C556)*'Assumptions and Catalog'!$H$50+'Assumptions and Catalog'!$E$50+'Assumptions and Catalog'!$F$50,IF(((D556+E556)*C556)&lt;='Assumptions and Catalog'!$C$51,((D556+E556)*C556)*'Assumptions and Catalog'!$H$51+'Assumptions and Catalog'!$E$51+'Assumptions and Catalog'!$F$51,IF(((D556+E556)*C556)&lt;='Assumptions and Catalog'!$C$52,((D556+E556)*C556)*'Assumptions and Catalog'!$H$52+'Assumptions and Catalog'!$E$52+'Assumptions and Catalog'!$F$52,IF(((D556+E556)*C556)&lt;='Assumptions and Catalog'!$C$53,((D556+E556)*C556)*'Assumptions and Catalog'!$H$53+'Assumptions and Catalog'!$E$53+'Assumptions and Catalog'!$F$53,IF(((D556+E556)*C556)&lt;='Assumptions and Catalog'!$C$54,((D556+E556)*C556)*'Assumptions and Catalog'!$H$54+'Assumptions and Catalog'!$E$54+'Assumptions and Catalog'!$F$54,IF(((D556+E556)*C556)&lt;='Assumptions and Catalog'!$C$55,((D556+E556)*C556)*'Assumptions and Catalog'!$H$55+'Assumptions and Catalog'!$E$55+'Assumptions and Catalog'!$F$55,IF(((D556+E556)*C556)&lt;='Assumptions and Catalog'!$C$56,((D556+E556)*C556)*'Assumptions and Catalog'!$H$56+'Assumptions and Catalog'!$E$56+'Assumptions and Catalog'!$F$56,IF(((D556+E556)*C556)&lt;='Assumptions and Catalog'!$C$57,((D556+E556)*C556)*'Assumptions and Catalog'!$H$57+'Assumptions and Catalog'!$E$57+'Assumptions and Catalog'!$F$57,"Out of range")))))))),IF(((D556+E556)*C556)&lt;='Assumptions and Catalog'!$C$60,((D556+E556)*C556)*'Assumptions and Catalog'!$H$60+'Assumptions and Catalog'!$E$60+'Assumptions and Catalog'!$F$60,IF(((D556+E556)*C556)&lt;='Assumptions and Catalog'!$C$61,((D556+E556)*C556)*'Assumptions and Catalog'!$H$61+'Assumptions and Catalog'!$E$61+'Assumptions and Catalog'!$F$61,IF(((D556+E556)*C556)&lt;='Assumptions and Catalog'!$C$62,((D556+E556)*C556)*'Assumptions and Catalog'!$H$62+'Assumptions and Catalog'!$E$62+'Assumptions and Catalog'!$F$62,IF(((D556+E556)*C556)&lt;='Assumptions and Catalog'!$C$63,((D556+E556)*C556)*'Assumptions and Catalog'!$H$63+'Assumptions and Catalog'!$E$63+'Assumptions and Catalog'!$F$63,IF(((D556+E556)*C556)&lt;='Assumptions and Catalog'!$C$64,((D556+E556)*C556)*'Assumptions and Catalog'!$H$64+'Assumptions and Catalog'!$E$64+'Assumptions and Catalog'!$F$64,IF(((D556+E556)*C556)&lt;='Assumptions and Catalog'!$C$65,((D556+E556)*C556)*'Assumptions and Catalog'!$H$65+'Assumptions and Catalog'!$E$65+'Assumptions and Catalog'!$F$65,"Out of range")))))))))*(1+'Assumptions and Catalog'!$C$8)^(A556-1),0)</f>
        <v>7727.0666666666657</v>
      </c>
      <c r="N556" s="5">
        <f>IF(ISNUMBER(Inputs!$L$5),(IF(Inputs!$L$9="Actual flat rate",L556*Inputs!$L$10,IF(Inputs!$C$9="Residential",IF(L556&lt;='Assumptions and Catalog'!$C$50,L556*'Assumptions and Catalog'!$H$50+'Assumptions and Catalog'!$E$50+'Assumptions and Catalog'!$F$50,IF(L556&lt;='Assumptions and Catalog'!$C$51,L556*'Assumptions and Catalog'!$H$51+'Assumptions and Catalog'!$E$51+'Assumptions and Catalog'!$F$51,IF(L556&lt;='Assumptions and Catalog'!$C$52,L556*'Assumptions and Catalog'!$H$52+'Assumptions and Catalog'!$E$52+'Assumptions and Catalog'!$F$52,IF(L556&lt;='Assumptions and Catalog'!$C$53,L556*'Assumptions and Catalog'!$H$53+'Assumptions and Catalog'!$E$53+'Assumptions and Catalog'!$F$53,IF(L556&lt;='Assumptions and Catalog'!$C$54,L556*'Assumptions and Catalog'!$H$54+'Assumptions and Catalog'!$E$54+'Assumptions and Catalog'!$F$54,IF(L556&lt;='Assumptions and Catalog'!$C$55,L556*'Assumptions and Catalog'!$H$55+'Assumptions and Catalog'!$E$55+'Assumptions and Catalog'!$F$55,IF(L556&lt;='Assumptions and Catalog'!$C$56,L556*'Assumptions and Catalog'!$H$56+'Assumptions and Catalog'!$E$56+'Assumptions and Catalog'!$F$56,IF(L556&lt;='Assumptions and Catalog'!$C$57,L556*'Assumptions and Catalog'!$H$57+'Assumptions and Catalog'!$E$57+'Assumptions and Catalog'!$F$57,"Out of range")))))))),IF(L556&lt;='Assumptions and Catalog'!$C$60,L556*'Assumptions and Catalog'!$H$60+'Assumptions and Catalog'!$E$60+'Assumptions and Catalog'!$F$60,IF(L556&lt;='Assumptions and Catalog'!$C$61,L556*'Assumptions and Catalog'!$H$61+'Assumptions and Catalog'!$E$61+'Assumptions and Catalog'!$F$61,IF(L556&lt;='Assumptions and Catalog'!$C$62,L556*'Assumptions and Catalog'!$H$62+'Assumptions and Catalog'!$E$62+'Assumptions and Catalog'!$F$62,IF(L556&lt;='Assumptions and Catalog'!$C$63,L556*'Assumptions and Catalog'!$H$63+'Assumptions and Catalog'!$E$63+'Assumptions and Catalog'!$F$63,IF(L556&lt;='Assumptions and Catalog'!$C$64,L556*'Assumptions and Catalog'!$H$64+'Assumptions and Catalog'!$E$64+'Assumptions and Catalog'!$F$64,IF(L556&lt;='Assumptions and Catalog'!$C$65,L556*'Assumptions and Catalog'!$H$65+'Assumptions and Catalog'!$E$65+'Assumptions and Catalog'!$F$65,"Out of range")))))))))*(1+'Assumptions and Catalog'!$C$8)^(A556-1),0)</f>
        <v>7727.0666666666657</v>
      </c>
      <c r="O556" s="5">
        <f t="shared" si="43"/>
        <v>0</v>
      </c>
      <c r="P556" s="5">
        <f>D$55*(1-K$14)*(1-'Assumptions and Catalog'!$C$23)^R556</f>
        <v>0</v>
      </c>
      <c r="Q556" s="5">
        <f>IF(ISNUMBER(Inputs!$L$5),(IF(Inputs!$L$9="Actual flat rate",((D556+E556)*C556-G556)*Inputs!$L$10,IF(Inputs!$C$9="Residential",IF(((D556+E556)*C556-G556)&lt;='Assumptions and Catalog'!$C$50,((D556+E556)*C556-G556)*'Assumptions and Catalog'!$H$50+'Assumptions and Catalog'!$E$50+'Assumptions and Catalog'!$F$50,IF(((D556+E556)*C556-G556)&lt;='Assumptions and Catalog'!$C$51,((D556+E556)*C556-G556)*'Assumptions and Catalog'!$H$51+'Assumptions and Catalog'!$E$51+'Assumptions and Catalog'!$F$51,IF(((D556+E556)*C556-G556)&lt;='Assumptions and Catalog'!$C$52,((D556+E556)*C556-G556)*'Assumptions and Catalog'!$H$52+'Assumptions and Catalog'!$E$52+'Assumptions and Catalog'!$F$52,IF(((D556+E556)*C556-G556)&lt;='Assumptions and Catalog'!$C$53,((D556+E556)*C556-G556)*'Assumptions and Catalog'!$H$53+'Assumptions and Catalog'!$E$53+'Assumptions and Catalog'!$F$53,IF(((D556+E556)*C556-G556)&lt;='Assumptions and Catalog'!$C$54,((D556+E556)*C556-G556)*'Assumptions and Catalog'!$H$54+'Assumptions and Catalog'!$E$54+'Assumptions and Catalog'!$F$54,IF(((D556+E556)*C556-G556)&lt;='Assumptions and Catalog'!$C$55,((D556+E556)*C556-G556)*'Assumptions and Catalog'!$H$55+'Assumptions and Catalog'!$E$55+'Assumptions and Catalog'!$F$55,IF(((D556+E556)*C556-G556)&lt;='Assumptions and Catalog'!$C$56,((D556+E556)*C556-G556)*'Assumptions and Catalog'!$H$56+'Assumptions and Catalog'!$E$56+'Assumptions and Catalog'!$F$56,IF(((D556+E556)*C556-G556)&lt;='Assumptions and Catalog'!$C$57,((D556+E556)*C556-G556)*'Assumptions and Catalog'!$H$57+'Assumptions and Catalog'!$E$57+'Assumptions and Catalog'!$F$57,"Out of range")))))))),IF(((D556+E556)*C556-G556)&lt;='Assumptions and Catalog'!$C$60,((D556+E556)*C556-G556)*'Assumptions and Catalog'!$H$60+'Assumptions and Catalog'!$E$60+'Assumptions and Catalog'!$F$60,IF(((D556+E556)*C556-G556)&lt;='Assumptions and Catalog'!$C$61,((D556+E556)*C556-G556)*'Assumptions and Catalog'!$H$61+'Assumptions and Catalog'!$E$61+'Assumptions and Catalog'!$F$61,IF(((D556+E556)*C556-G556)&lt;='Assumptions and Catalog'!$C$62,((D556+E556)*C556-G556)*'Assumptions and Catalog'!$H$62+'Assumptions and Catalog'!$E$62+'Assumptions and Catalog'!$F$62,IF(((D556+E556)*C556-G556)&lt;='Assumptions and Catalog'!$C$63,((D556+E556)*C556-G556)*'Assumptions and Catalog'!$H$63+'Assumptions and Catalog'!$E$63+'Assumptions and Catalog'!$F$63,IF(((D556+E556)*C556-G556)&lt;='Assumptions and Catalog'!$C$64,((D556+E556)*C556-G556)*'Assumptions and Catalog'!$H$64+'Assumptions and Catalog'!$E$64+'Assumptions and Catalog'!$F$64,IF(((D556+E556)*C556-G556)&lt;='Assumptions and Catalog'!$C$65,((D556+E556)*C556-G556)*'Assumptions and Catalog'!$H$65+'Assumptions and Catalog'!$E$65+'Assumptions and Catalog'!$F$65,"Out of range")))))))))*(1+'Assumptions and Catalog'!$C$8)^(A556-1),0)</f>
        <v>7727.0666666666657</v>
      </c>
      <c r="R556" s="5">
        <f>IF(AND('Assumptions and Catalog'!$C$19&gt;0,A556&gt;='Assumptions and Catalog'!$C$19),A556-'Assumptions and Catalog'!$C$19,A556-1)</f>
        <v>2</v>
      </c>
      <c r="S556" s="5">
        <f>F556+L556-(D556+E556)*C556-J556-K556-IF(D$52&gt;0,'Assumptions and Catalog'!$C$26*C556,0)</f>
        <v>0</v>
      </c>
      <c r="T556" s="5"/>
      <c r="U556" s="5"/>
    </row>
    <row r="557" spans="1:21" ht="23.1" customHeight="1" outlineLevel="1" x14ac:dyDescent="0.2">
      <c r="A557" s="5">
        <v>13</v>
      </c>
      <c r="B557" s="5">
        <v>3</v>
      </c>
      <c r="C557" s="5">
        <f>DAY(DATE('Assumptions and Catalog'!$C$24+A557-1,B557+1,0))</f>
        <v>31</v>
      </c>
      <c r="D557" s="5">
        <f>IF(ISNUMBER(Inputs!$L$5),Inputs!$L$5*Inputs!$L$6,0)</f>
        <v>40.35</v>
      </c>
      <c r="E557" s="5">
        <f>IF(ISNUMBER(Inputs!$L$5),Inputs!$L$5-D557,0)</f>
        <v>40.35</v>
      </c>
      <c r="F557" s="5">
        <f>D$51*'Assumptions and Catalog'!$C$31*C557*(1-'Assumptions and Catalog'!$C$10)^(A557-1)</f>
        <v>0</v>
      </c>
      <c r="G557" s="5">
        <f t="shared" si="40"/>
        <v>0</v>
      </c>
      <c r="H557" s="5">
        <f>I557/('Assumptions and Catalog'!$C$11*'Assumptions and Catalog'!$C$12)</f>
        <v>0</v>
      </c>
      <c r="I557" s="5">
        <f>IF(K$15="Grid cycle",MIN(K$16,D557+E557,P557*'Assumptions and Catalog'!$C$12,D$57*(24-'Assumptions and Catalog'!$C$15),D$56*'Assumptions and Catalog'!$C$15*'Assumptions and Catalog'!$C$11*'Assumptions and Catalog'!$C$12)*C557,0)</f>
        <v>0</v>
      </c>
      <c r="J557" s="5">
        <f t="shared" si="41"/>
        <v>0</v>
      </c>
      <c r="K557" s="5">
        <f t="shared" si="42"/>
        <v>0</v>
      </c>
      <c r="L557" s="5">
        <f>(D557+E557)*C557-G557-I557+H557+IF(D$52&gt;0,'Assumptions and Catalog'!$C$26*C557,0)</f>
        <v>2501.7000000000003</v>
      </c>
      <c r="M557" s="5">
        <f>IF(ISNUMBER(Inputs!$L$5),(IF(Inputs!$L$9="Actual flat rate",((D557+E557)*C557)*Inputs!$L$10,IF(Inputs!$C$9="Residential",IF(((D557+E557)*C557)&lt;='Assumptions and Catalog'!$C$50,((D557+E557)*C557)*'Assumptions and Catalog'!$H$50+'Assumptions and Catalog'!$E$50+'Assumptions and Catalog'!$F$50,IF(((D557+E557)*C557)&lt;='Assumptions and Catalog'!$C$51,((D557+E557)*C557)*'Assumptions and Catalog'!$H$51+'Assumptions and Catalog'!$E$51+'Assumptions and Catalog'!$F$51,IF(((D557+E557)*C557)&lt;='Assumptions and Catalog'!$C$52,((D557+E557)*C557)*'Assumptions and Catalog'!$H$52+'Assumptions and Catalog'!$E$52+'Assumptions and Catalog'!$F$52,IF(((D557+E557)*C557)&lt;='Assumptions and Catalog'!$C$53,((D557+E557)*C557)*'Assumptions and Catalog'!$H$53+'Assumptions and Catalog'!$E$53+'Assumptions and Catalog'!$F$53,IF(((D557+E557)*C557)&lt;='Assumptions and Catalog'!$C$54,((D557+E557)*C557)*'Assumptions and Catalog'!$H$54+'Assumptions and Catalog'!$E$54+'Assumptions and Catalog'!$F$54,IF(((D557+E557)*C557)&lt;='Assumptions and Catalog'!$C$55,((D557+E557)*C557)*'Assumptions and Catalog'!$H$55+'Assumptions and Catalog'!$E$55+'Assumptions and Catalog'!$F$55,IF(((D557+E557)*C557)&lt;='Assumptions and Catalog'!$C$56,((D557+E557)*C557)*'Assumptions and Catalog'!$H$56+'Assumptions and Catalog'!$E$56+'Assumptions and Catalog'!$F$56,IF(((D557+E557)*C557)&lt;='Assumptions and Catalog'!$C$57,((D557+E557)*C557)*'Assumptions and Catalog'!$H$57+'Assumptions and Catalog'!$E$57+'Assumptions and Catalog'!$F$57,"Out of range")))))))),IF(((D557+E557)*C557)&lt;='Assumptions and Catalog'!$C$60,((D557+E557)*C557)*'Assumptions and Catalog'!$H$60+'Assumptions and Catalog'!$E$60+'Assumptions and Catalog'!$F$60,IF(((D557+E557)*C557)&lt;='Assumptions and Catalog'!$C$61,((D557+E557)*C557)*'Assumptions and Catalog'!$H$61+'Assumptions and Catalog'!$E$61+'Assumptions and Catalog'!$F$61,IF(((D557+E557)*C557)&lt;='Assumptions and Catalog'!$C$62,((D557+E557)*C557)*'Assumptions and Catalog'!$H$62+'Assumptions and Catalog'!$E$62+'Assumptions and Catalog'!$F$62,IF(((D557+E557)*C557)&lt;='Assumptions and Catalog'!$C$63,((D557+E557)*C557)*'Assumptions and Catalog'!$H$63+'Assumptions and Catalog'!$E$63+'Assumptions and Catalog'!$F$63,IF(((D557+E557)*C557)&lt;='Assumptions and Catalog'!$C$64,((D557+E557)*C557)*'Assumptions and Catalog'!$H$64+'Assumptions and Catalog'!$E$64+'Assumptions and Catalog'!$F$64,IF(((D557+E557)*C557)&lt;='Assumptions and Catalog'!$C$65,((D557+E557)*C557)*'Assumptions and Catalog'!$H$65+'Assumptions and Catalog'!$E$65+'Assumptions and Catalog'!$F$65,"Out of range")))))))))*(1+'Assumptions and Catalog'!$C$8)^(A557-1),0)</f>
        <v>8554.9666666666672</v>
      </c>
      <c r="N557" s="5">
        <f>IF(ISNUMBER(Inputs!$L$5),(IF(Inputs!$L$9="Actual flat rate",L557*Inputs!$L$10,IF(Inputs!$C$9="Residential",IF(L557&lt;='Assumptions and Catalog'!$C$50,L557*'Assumptions and Catalog'!$H$50+'Assumptions and Catalog'!$E$50+'Assumptions and Catalog'!$F$50,IF(L557&lt;='Assumptions and Catalog'!$C$51,L557*'Assumptions and Catalog'!$H$51+'Assumptions and Catalog'!$E$51+'Assumptions and Catalog'!$F$51,IF(L557&lt;='Assumptions and Catalog'!$C$52,L557*'Assumptions and Catalog'!$H$52+'Assumptions and Catalog'!$E$52+'Assumptions and Catalog'!$F$52,IF(L557&lt;='Assumptions and Catalog'!$C$53,L557*'Assumptions and Catalog'!$H$53+'Assumptions and Catalog'!$E$53+'Assumptions and Catalog'!$F$53,IF(L557&lt;='Assumptions and Catalog'!$C$54,L557*'Assumptions and Catalog'!$H$54+'Assumptions and Catalog'!$E$54+'Assumptions and Catalog'!$F$54,IF(L557&lt;='Assumptions and Catalog'!$C$55,L557*'Assumptions and Catalog'!$H$55+'Assumptions and Catalog'!$E$55+'Assumptions and Catalog'!$F$55,IF(L557&lt;='Assumptions and Catalog'!$C$56,L557*'Assumptions and Catalog'!$H$56+'Assumptions and Catalog'!$E$56+'Assumptions and Catalog'!$F$56,IF(L557&lt;='Assumptions and Catalog'!$C$57,L557*'Assumptions and Catalog'!$H$57+'Assumptions and Catalog'!$E$57+'Assumptions and Catalog'!$F$57,"Out of range")))))))),IF(L557&lt;='Assumptions and Catalog'!$C$60,L557*'Assumptions and Catalog'!$H$60+'Assumptions and Catalog'!$E$60+'Assumptions and Catalog'!$F$60,IF(L557&lt;='Assumptions and Catalog'!$C$61,L557*'Assumptions and Catalog'!$H$61+'Assumptions and Catalog'!$E$61+'Assumptions and Catalog'!$F$61,IF(L557&lt;='Assumptions and Catalog'!$C$62,L557*'Assumptions and Catalog'!$H$62+'Assumptions and Catalog'!$E$62+'Assumptions and Catalog'!$F$62,IF(L557&lt;='Assumptions and Catalog'!$C$63,L557*'Assumptions and Catalog'!$H$63+'Assumptions and Catalog'!$E$63+'Assumptions and Catalog'!$F$63,IF(L557&lt;='Assumptions and Catalog'!$C$64,L557*'Assumptions and Catalog'!$H$64+'Assumptions and Catalog'!$E$64+'Assumptions and Catalog'!$F$64,IF(L557&lt;='Assumptions and Catalog'!$C$65,L557*'Assumptions and Catalog'!$H$65+'Assumptions and Catalog'!$E$65+'Assumptions and Catalog'!$F$65,"Out of range")))))))))*(1+'Assumptions and Catalog'!$C$8)^(A557-1),0)</f>
        <v>8554.9666666666672</v>
      </c>
      <c r="O557" s="5">
        <f t="shared" si="43"/>
        <v>0</v>
      </c>
      <c r="P557" s="5">
        <f>D$55*(1-K$14)*(1-'Assumptions and Catalog'!$C$23)^R557</f>
        <v>0</v>
      </c>
      <c r="Q557" s="5">
        <f>IF(ISNUMBER(Inputs!$L$5),(IF(Inputs!$L$9="Actual flat rate",((D557+E557)*C557-G557)*Inputs!$L$10,IF(Inputs!$C$9="Residential",IF(((D557+E557)*C557-G557)&lt;='Assumptions and Catalog'!$C$50,((D557+E557)*C557-G557)*'Assumptions and Catalog'!$H$50+'Assumptions and Catalog'!$E$50+'Assumptions and Catalog'!$F$50,IF(((D557+E557)*C557-G557)&lt;='Assumptions and Catalog'!$C$51,((D557+E557)*C557-G557)*'Assumptions and Catalog'!$H$51+'Assumptions and Catalog'!$E$51+'Assumptions and Catalog'!$F$51,IF(((D557+E557)*C557-G557)&lt;='Assumptions and Catalog'!$C$52,((D557+E557)*C557-G557)*'Assumptions and Catalog'!$H$52+'Assumptions and Catalog'!$E$52+'Assumptions and Catalog'!$F$52,IF(((D557+E557)*C557-G557)&lt;='Assumptions and Catalog'!$C$53,((D557+E557)*C557-G557)*'Assumptions and Catalog'!$H$53+'Assumptions and Catalog'!$E$53+'Assumptions and Catalog'!$F$53,IF(((D557+E557)*C557-G557)&lt;='Assumptions and Catalog'!$C$54,((D557+E557)*C557-G557)*'Assumptions and Catalog'!$H$54+'Assumptions and Catalog'!$E$54+'Assumptions and Catalog'!$F$54,IF(((D557+E557)*C557-G557)&lt;='Assumptions and Catalog'!$C$55,((D557+E557)*C557-G557)*'Assumptions and Catalog'!$H$55+'Assumptions and Catalog'!$E$55+'Assumptions and Catalog'!$F$55,IF(((D557+E557)*C557-G557)&lt;='Assumptions and Catalog'!$C$56,((D557+E557)*C557-G557)*'Assumptions and Catalog'!$H$56+'Assumptions and Catalog'!$E$56+'Assumptions and Catalog'!$F$56,IF(((D557+E557)*C557-G557)&lt;='Assumptions and Catalog'!$C$57,((D557+E557)*C557-G557)*'Assumptions and Catalog'!$H$57+'Assumptions and Catalog'!$E$57+'Assumptions and Catalog'!$F$57,"Out of range")))))))),IF(((D557+E557)*C557-G557)&lt;='Assumptions and Catalog'!$C$60,((D557+E557)*C557-G557)*'Assumptions and Catalog'!$H$60+'Assumptions and Catalog'!$E$60+'Assumptions and Catalog'!$F$60,IF(((D557+E557)*C557-G557)&lt;='Assumptions and Catalog'!$C$61,((D557+E557)*C557-G557)*'Assumptions and Catalog'!$H$61+'Assumptions and Catalog'!$E$61+'Assumptions and Catalog'!$F$61,IF(((D557+E557)*C557-G557)&lt;='Assumptions and Catalog'!$C$62,((D557+E557)*C557-G557)*'Assumptions and Catalog'!$H$62+'Assumptions and Catalog'!$E$62+'Assumptions and Catalog'!$F$62,IF(((D557+E557)*C557-G557)&lt;='Assumptions and Catalog'!$C$63,((D557+E557)*C557-G557)*'Assumptions and Catalog'!$H$63+'Assumptions and Catalog'!$E$63+'Assumptions and Catalog'!$F$63,IF(((D557+E557)*C557-G557)&lt;='Assumptions and Catalog'!$C$64,((D557+E557)*C557-G557)*'Assumptions and Catalog'!$H$64+'Assumptions and Catalog'!$E$64+'Assumptions and Catalog'!$F$64,IF(((D557+E557)*C557-G557)&lt;='Assumptions and Catalog'!$C$65,((D557+E557)*C557-G557)*'Assumptions and Catalog'!$H$65+'Assumptions and Catalog'!$E$65+'Assumptions and Catalog'!$F$65,"Out of range")))))))))*(1+'Assumptions and Catalog'!$C$8)^(A557-1),0)</f>
        <v>8554.9666666666672</v>
      </c>
      <c r="R557" s="5">
        <f>IF(AND('Assumptions and Catalog'!$C$19&gt;0,A557&gt;='Assumptions and Catalog'!$C$19),A557-'Assumptions and Catalog'!$C$19,A557-1)</f>
        <v>2</v>
      </c>
      <c r="S557" s="5">
        <f>F557+L557-(D557+E557)*C557-J557-K557-IF(D$52&gt;0,'Assumptions and Catalog'!$C$26*C557,0)</f>
        <v>0</v>
      </c>
      <c r="T557" s="5"/>
      <c r="U557" s="5"/>
    </row>
    <row r="558" spans="1:21" ht="23.1" customHeight="1" outlineLevel="1" x14ac:dyDescent="0.2">
      <c r="A558" s="5">
        <v>13</v>
      </c>
      <c r="B558" s="5">
        <v>4</v>
      </c>
      <c r="C558" s="5">
        <f>DAY(DATE('Assumptions and Catalog'!$C$24+A558-1,B558+1,0))</f>
        <v>30</v>
      </c>
      <c r="D558" s="5">
        <f>IF(ISNUMBER(Inputs!$L$5),Inputs!$L$5*Inputs!$L$6,0)</f>
        <v>40.35</v>
      </c>
      <c r="E558" s="5">
        <f>IF(ISNUMBER(Inputs!$L$5),Inputs!$L$5-D558,0)</f>
        <v>40.35</v>
      </c>
      <c r="F558" s="5">
        <f>D$51*'Assumptions and Catalog'!$C$31*C558*(1-'Assumptions and Catalog'!$C$10)^(A558-1)</f>
        <v>0</v>
      </c>
      <c r="G558" s="5">
        <f t="shared" si="40"/>
        <v>0</v>
      </c>
      <c r="H558" s="5">
        <f>I558/('Assumptions and Catalog'!$C$11*'Assumptions and Catalog'!$C$12)</f>
        <v>0</v>
      </c>
      <c r="I558" s="5">
        <f>IF(K$15="Grid cycle",MIN(K$16,D558+E558,P558*'Assumptions and Catalog'!$C$12,D$57*(24-'Assumptions and Catalog'!$C$15),D$56*'Assumptions and Catalog'!$C$15*'Assumptions and Catalog'!$C$11*'Assumptions and Catalog'!$C$12)*C558,0)</f>
        <v>0</v>
      </c>
      <c r="J558" s="5">
        <f t="shared" si="41"/>
        <v>0</v>
      </c>
      <c r="K558" s="5">
        <f t="shared" si="42"/>
        <v>0</v>
      </c>
      <c r="L558" s="5">
        <f>(D558+E558)*C558-G558-I558+H558+IF(D$52&gt;0,'Assumptions and Catalog'!$C$26*C558,0)</f>
        <v>2421</v>
      </c>
      <c r="M558" s="5">
        <f>IF(ISNUMBER(Inputs!$L$5),(IF(Inputs!$L$9="Actual flat rate",((D558+E558)*C558)*Inputs!$L$10,IF(Inputs!$C$9="Residential",IF(((D558+E558)*C558)&lt;='Assumptions and Catalog'!$C$50,((D558+E558)*C558)*'Assumptions and Catalog'!$H$50+'Assumptions and Catalog'!$E$50+'Assumptions and Catalog'!$F$50,IF(((D558+E558)*C558)&lt;='Assumptions and Catalog'!$C$51,((D558+E558)*C558)*'Assumptions and Catalog'!$H$51+'Assumptions and Catalog'!$E$51+'Assumptions and Catalog'!$F$51,IF(((D558+E558)*C558)&lt;='Assumptions and Catalog'!$C$52,((D558+E558)*C558)*'Assumptions and Catalog'!$H$52+'Assumptions and Catalog'!$E$52+'Assumptions and Catalog'!$F$52,IF(((D558+E558)*C558)&lt;='Assumptions and Catalog'!$C$53,((D558+E558)*C558)*'Assumptions and Catalog'!$H$53+'Assumptions and Catalog'!$E$53+'Assumptions and Catalog'!$F$53,IF(((D558+E558)*C558)&lt;='Assumptions and Catalog'!$C$54,((D558+E558)*C558)*'Assumptions and Catalog'!$H$54+'Assumptions and Catalog'!$E$54+'Assumptions and Catalog'!$F$54,IF(((D558+E558)*C558)&lt;='Assumptions and Catalog'!$C$55,((D558+E558)*C558)*'Assumptions and Catalog'!$H$55+'Assumptions and Catalog'!$E$55+'Assumptions and Catalog'!$F$55,IF(((D558+E558)*C558)&lt;='Assumptions and Catalog'!$C$56,((D558+E558)*C558)*'Assumptions and Catalog'!$H$56+'Assumptions and Catalog'!$E$56+'Assumptions and Catalog'!$F$56,IF(((D558+E558)*C558)&lt;='Assumptions and Catalog'!$C$57,((D558+E558)*C558)*'Assumptions and Catalog'!$H$57+'Assumptions and Catalog'!$E$57+'Assumptions and Catalog'!$F$57,"Out of range")))))))),IF(((D558+E558)*C558)&lt;='Assumptions and Catalog'!$C$60,((D558+E558)*C558)*'Assumptions and Catalog'!$H$60+'Assumptions and Catalog'!$E$60+'Assumptions and Catalog'!$F$60,IF(((D558+E558)*C558)&lt;='Assumptions and Catalog'!$C$61,((D558+E558)*C558)*'Assumptions and Catalog'!$H$61+'Assumptions and Catalog'!$E$61+'Assumptions and Catalog'!$F$61,IF(((D558+E558)*C558)&lt;='Assumptions and Catalog'!$C$62,((D558+E558)*C558)*'Assumptions and Catalog'!$H$62+'Assumptions and Catalog'!$E$62+'Assumptions and Catalog'!$F$62,IF(((D558+E558)*C558)&lt;='Assumptions and Catalog'!$C$63,((D558+E558)*C558)*'Assumptions and Catalog'!$H$63+'Assumptions and Catalog'!$E$63+'Assumptions and Catalog'!$F$63,IF(((D558+E558)*C558)&lt;='Assumptions and Catalog'!$C$64,((D558+E558)*C558)*'Assumptions and Catalog'!$H$64+'Assumptions and Catalog'!$E$64+'Assumptions and Catalog'!$F$64,IF(((D558+E558)*C558)&lt;='Assumptions and Catalog'!$C$65,((D558+E558)*C558)*'Assumptions and Catalog'!$H$65+'Assumptions and Catalog'!$E$65+'Assumptions and Catalog'!$F$65,"Out of range")))))))))*(1+'Assumptions and Catalog'!$C$8)^(A558-1),0)</f>
        <v>8279</v>
      </c>
      <c r="N558" s="5">
        <f>IF(ISNUMBER(Inputs!$L$5),(IF(Inputs!$L$9="Actual flat rate",L558*Inputs!$L$10,IF(Inputs!$C$9="Residential",IF(L558&lt;='Assumptions and Catalog'!$C$50,L558*'Assumptions and Catalog'!$H$50+'Assumptions and Catalog'!$E$50+'Assumptions and Catalog'!$F$50,IF(L558&lt;='Assumptions and Catalog'!$C$51,L558*'Assumptions and Catalog'!$H$51+'Assumptions and Catalog'!$E$51+'Assumptions and Catalog'!$F$51,IF(L558&lt;='Assumptions and Catalog'!$C$52,L558*'Assumptions and Catalog'!$H$52+'Assumptions and Catalog'!$E$52+'Assumptions and Catalog'!$F$52,IF(L558&lt;='Assumptions and Catalog'!$C$53,L558*'Assumptions and Catalog'!$H$53+'Assumptions and Catalog'!$E$53+'Assumptions and Catalog'!$F$53,IF(L558&lt;='Assumptions and Catalog'!$C$54,L558*'Assumptions and Catalog'!$H$54+'Assumptions and Catalog'!$E$54+'Assumptions and Catalog'!$F$54,IF(L558&lt;='Assumptions and Catalog'!$C$55,L558*'Assumptions and Catalog'!$H$55+'Assumptions and Catalog'!$E$55+'Assumptions and Catalog'!$F$55,IF(L558&lt;='Assumptions and Catalog'!$C$56,L558*'Assumptions and Catalog'!$H$56+'Assumptions and Catalog'!$E$56+'Assumptions and Catalog'!$F$56,IF(L558&lt;='Assumptions and Catalog'!$C$57,L558*'Assumptions and Catalog'!$H$57+'Assumptions and Catalog'!$E$57+'Assumptions and Catalog'!$F$57,"Out of range")))))))),IF(L558&lt;='Assumptions and Catalog'!$C$60,L558*'Assumptions and Catalog'!$H$60+'Assumptions and Catalog'!$E$60+'Assumptions and Catalog'!$F$60,IF(L558&lt;='Assumptions and Catalog'!$C$61,L558*'Assumptions and Catalog'!$H$61+'Assumptions and Catalog'!$E$61+'Assumptions and Catalog'!$F$61,IF(L558&lt;='Assumptions and Catalog'!$C$62,L558*'Assumptions and Catalog'!$H$62+'Assumptions and Catalog'!$E$62+'Assumptions and Catalog'!$F$62,IF(L558&lt;='Assumptions and Catalog'!$C$63,L558*'Assumptions and Catalog'!$H$63+'Assumptions and Catalog'!$E$63+'Assumptions and Catalog'!$F$63,IF(L558&lt;='Assumptions and Catalog'!$C$64,L558*'Assumptions and Catalog'!$H$64+'Assumptions and Catalog'!$E$64+'Assumptions and Catalog'!$F$64,IF(L558&lt;='Assumptions and Catalog'!$C$65,L558*'Assumptions and Catalog'!$H$65+'Assumptions and Catalog'!$E$65+'Assumptions and Catalog'!$F$65,"Out of range")))))))))*(1+'Assumptions and Catalog'!$C$8)^(A558-1),0)</f>
        <v>8279</v>
      </c>
      <c r="O558" s="5">
        <f t="shared" si="43"/>
        <v>0</v>
      </c>
      <c r="P558" s="5">
        <f>D$55*(1-K$14)*(1-'Assumptions and Catalog'!$C$23)^R558</f>
        <v>0</v>
      </c>
      <c r="Q558" s="5">
        <f>IF(ISNUMBER(Inputs!$L$5),(IF(Inputs!$L$9="Actual flat rate",((D558+E558)*C558-G558)*Inputs!$L$10,IF(Inputs!$C$9="Residential",IF(((D558+E558)*C558-G558)&lt;='Assumptions and Catalog'!$C$50,((D558+E558)*C558-G558)*'Assumptions and Catalog'!$H$50+'Assumptions and Catalog'!$E$50+'Assumptions and Catalog'!$F$50,IF(((D558+E558)*C558-G558)&lt;='Assumptions and Catalog'!$C$51,((D558+E558)*C558-G558)*'Assumptions and Catalog'!$H$51+'Assumptions and Catalog'!$E$51+'Assumptions and Catalog'!$F$51,IF(((D558+E558)*C558-G558)&lt;='Assumptions and Catalog'!$C$52,((D558+E558)*C558-G558)*'Assumptions and Catalog'!$H$52+'Assumptions and Catalog'!$E$52+'Assumptions and Catalog'!$F$52,IF(((D558+E558)*C558-G558)&lt;='Assumptions and Catalog'!$C$53,((D558+E558)*C558-G558)*'Assumptions and Catalog'!$H$53+'Assumptions and Catalog'!$E$53+'Assumptions and Catalog'!$F$53,IF(((D558+E558)*C558-G558)&lt;='Assumptions and Catalog'!$C$54,((D558+E558)*C558-G558)*'Assumptions and Catalog'!$H$54+'Assumptions and Catalog'!$E$54+'Assumptions and Catalog'!$F$54,IF(((D558+E558)*C558-G558)&lt;='Assumptions and Catalog'!$C$55,((D558+E558)*C558-G558)*'Assumptions and Catalog'!$H$55+'Assumptions and Catalog'!$E$55+'Assumptions and Catalog'!$F$55,IF(((D558+E558)*C558-G558)&lt;='Assumptions and Catalog'!$C$56,((D558+E558)*C558-G558)*'Assumptions and Catalog'!$H$56+'Assumptions and Catalog'!$E$56+'Assumptions and Catalog'!$F$56,IF(((D558+E558)*C558-G558)&lt;='Assumptions and Catalog'!$C$57,((D558+E558)*C558-G558)*'Assumptions and Catalog'!$H$57+'Assumptions and Catalog'!$E$57+'Assumptions and Catalog'!$F$57,"Out of range")))))))),IF(((D558+E558)*C558-G558)&lt;='Assumptions and Catalog'!$C$60,((D558+E558)*C558-G558)*'Assumptions and Catalog'!$H$60+'Assumptions and Catalog'!$E$60+'Assumptions and Catalog'!$F$60,IF(((D558+E558)*C558-G558)&lt;='Assumptions and Catalog'!$C$61,((D558+E558)*C558-G558)*'Assumptions and Catalog'!$H$61+'Assumptions and Catalog'!$E$61+'Assumptions and Catalog'!$F$61,IF(((D558+E558)*C558-G558)&lt;='Assumptions and Catalog'!$C$62,((D558+E558)*C558-G558)*'Assumptions and Catalog'!$H$62+'Assumptions and Catalog'!$E$62+'Assumptions and Catalog'!$F$62,IF(((D558+E558)*C558-G558)&lt;='Assumptions and Catalog'!$C$63,((D558+E558)*C558-G558)*'Assumptions and Catalog'!$H$63+'Assumptions and Catalog'!$E$63+'Assumptions and Catalog'!$F$63,IF(((D558+E558)*C558-G558)&lt;='Assumptions and Catalog'!$C$64,((D558+E558)*C558-G558)*'Assumptions and Catalog'!$H$64+'Assumptions and Catalog'!$E$64+'Assumptions and Catalog'!$F$64,IF(((D558+E558)*C558-G558)&lt;='Assumptions and Catalog'!$C$65,((D558+E558)*C558-G558)*'Assumptions and Catalog'!$H$65+'Assumptions and Catalog'!$E$65+'Assumptions and Catalog'!$F$65,"Out of range")))))))))*(1+'Assumptions and Catalog'!$C$8)^(A558-1),0)</f>
        <v>8279</v>
      </c>
      <c r="R558" s="5">
        <f>IF(AND('Assumptions and Catalog'!$C$19&gt;0,A558&gt;='Assumptions and Catalog'!$C$19),A558-'Assumptions and Catalog'!$C$19,A558-1)</f>
        <v>2</v>
      </c>
      <c r="S558" s="5">
        <f>F558+L558-(D558+E558)*C558-J558-K558-IF(D$52&gt;0,'Assumptions and Catalog'!$C$26*C558,0)</f>
        <v>0</v>
      </c>
      <c r="T558" s="5"/>
      <c r="U558" s="5"/>
    </row>
    <row r="559" spans="1:21" ht="23.1" customHeight="1" outlineLevel="1" x14ac:dyDescent="0.2">
      <c r="A559" s="5">
        <v>13</v>
      </c>
      <c r="B559" s="5">
        <v>5</v>
      </c>
      <c r="C559" s="5">
        <f>DAY(DATE('Assumptions and Catalog'!$C$24+A559-1,B559+1,0))</f>
        <v>31</v>
      </c>
      <c r="D559" s="5">
        <f>IF(ISNUMBER(Inputs!$L$5),Inputs!$L$5*Inputs!$L$6,0)</f>
        <v>40.35</v>
      </c>
      <c r="E559" s="5">
        <f>IF(ISNUMBER(Inputs!$L$5),Inputs!$L$5-D559,0)</f>
        <v>40.35</v>
      </c>
      <c r="F559" s="5">
        <f>D$51*'Assumptions and Catalog'!$C$31*C559*(1-'Assumptions and Catalog'!$C$10)^(A559-1)</f>
        <v>0</v>
      </c>
      <c r="G559" s="5">
        <f t="shared" si="40"/>
        <v>0</v>
      </c>
      <c r="H559" s="5">
        <f>I559/('Assumptions and Catalog'!$C$11*'Assumptions and Catalog'!$C$12)</f>
        <v>0</v>
      </c>
      <c r="I559" s="5">
        <f>IF(K$15="Grid cycle",MIN(K$16,D559+E559,P559*'Assumptions and Catalog'!$C$12,D$57*(24-'Assumptions and Catalog'!$C$15),D$56*'Assumptions and Catalog'!$C$15*'Assumptions and Catalog'!$C$11*'Assumptions and Catalog'!$C$12)*C559,0)</f>
        <v>0</v>
      </c>
      <c r="J559" s="5">
        <f t="shared" si="41"/>
        <v>0</v>
      </c>
      <c r="K559" s="5">
        <f t="shared" si="42"/>
        <v>0</v>
      </c>
      <c r="L559" s="5">
        <f>(D559+E559)*C559-G559-I559+H559+IF(D$52&gt;0,'Assumptions and Catalog'!$C$26*C559,0)</f>
        <v>2501.7000000000003</v>
      </c>
      <c r="M559" s="5">
        <f>IF(ISNUMBER(Inputs!$L$5),(IF(Inputs!$L$9="Actual flat rate",((D559+E559)*C559)*Inputs!$L$10,IF(Inputs!$C$9="Residential",IF(((D559+E559)*C559)&lt;='Assumptions and Catalog'!$C$50,((D559+E559)*C559)*'Assumptions and Catalog'!$H$50+'Assumptions and Catalog'!$E$50+'Assumptions and Catalog'!$F$50,IF(((D559+E559)*C559)&lt;='Assumptions and Catalog'!$C$51,((D559+E559)*C559)*'Assumptions and Catalog'!$H$51+'Assumptions and Catalog'!$E$51+'Assumptions and Catalog'!$F$51,IF(((D559+E559)*C559)&lt;='Assumptions and Catalog'!$C$52,((D559+E559)*C559)*'Assumptions and Catalog'!$H$52+'Assumptions and Catalog'!$E$52+'Assumptions and Catalog'!$F$52,IF(((D559+E559)*C559)&lt;='Assumptions and Catalog'!$C$53,((D559+E559)*C559)*'Assumptions and Catalog'!$H$53+'Assumptions and Catalog'!$E$53+'Assumptions and Catalog'!$F$53,IF(((D559+E559)*C559)&lt;='Assumptions and Catalog'!$C$54,((D559+E559)*C559)*'Assumptions and Catalog'!$H$54+'Assumptions and Catalog'!$E$54+'Assumptions and Catalog'!$F$54,IF(((D559+E559)*C559)&lt;='Assumptions and Catalog'!$C$55,((D559+E559)*C559)*'Assumptions and Catalog'!$H$55+'Assumptions and Catalog'!$E$55+'Assumptions and Catalog'!$F$55,IF(((D559+E559)*C559)&lt;='Assumptions and Catalog'!$C$56,((D559+E559)*C559)*'Assumptions and Catalog'!$H$56+'Assumptions and Catalog'!$E$56+'Assumptions and Catalog'!$F$56,IF(((D559+E559)*C559)&lt;='Assumptions and Catalog'!$C$57,((D559+E559)*C559)*'Assumptions and Catalog'!$H$57+'Assumptions and Catalog'!$E$57+'Assumptions and Catalog'!$F$57,"Out of range")))))))),IF(((D559+E559)*C559)&lt;='Assumptions and Catalog'!$C$60,((D559+E559)*C559)*'Assumptions and Catalog'!$H$60+'Assumptions and Catalog'!$E$60+'Assumptions and Catalog'!$F$60,IF(((D559+E559)*C559)&lt;='Assumptions and Catalog'!$C$61,((D559+E559)*C559)*'Assumptions and Catalog'!$H$61+'Assumptions and Catalog'!$E$61+'Assumptions and Catalog'!$F$61,IF(((D559+E559)*C559)&lt;='Assumptions and Catalog'!$C$62,((D559+E559)*C559)*'Assumptions and Catalog'!$H$62+'Assumptions and Catalog'!$E$62+'Assumptions and Catalog'!$F$62,IF(((D559+E559)*C559)&lt;='Assumptions and Catalog'!$C$63,((D559+E559)*C559)*'Assumptions and Catalog'!$H$63+'Assumptions and Catalog'!$E$63+'Assumptions and Catalog'!$F$63,IF(((D559+E559)*C559)&lt;='Assumptions and Catalog'!$C$64,((D559+E559)*C559)*'Assumptions and Catalog'!$H$64+'Assumptions and Catalog'!$E$64+'Assumptions and Catalog'!$F$64,IF(((D559+E559)*C559)&lt;='Assumptions and Catalog'!$C$65,((D559+E559)*C559)*'Assumptions and Catalog'!$H$65+'Assumptions and Catalog'!$E$65+'Assumptions and Catalog'!$F$65,"Out of range")))))))))*(1+'Assumptions and Catalog'!$C$8)^(A559-1),0)</f>
        <v>8554.9666666666672</v>
      </c>
      <c r="N559" s="5">
        <f>IF(ISNUMBER(Inputs!$L$5),(IF(Inputs!$L$9="Actual flat rate",L559*Inputs!$L$10,IF(Inputs!$C$9="Residential",IF(L559&lt;='Assumptions and Catalog'!$C$50,L559*'Assumptions and Catalog'!$H$50+'Assumptions and Catalog'!$E$50+'Assumptions and Catalog'!$F$50,IF(L559&lt;='Assumptions and Catalog'!$C$51,L559*'Assumptions and Catalog'!$H$51+'Assumptions and Catalog'!$E$51+'Assumptions and Catalog'!$F$51,IF(L559&lt;='Assumptions and Catalog'!$C$52,L559*'Assumptions and Catalog'!$H$52+'Assumptions and Catalog'!$E$52+'Assumptions and Catalog'!$F$52,IF(L559&lt;='Assumptions and Catalog'!$C$53,L559*'Assumptions and Catalog'!$H$53+'Assumptions and Catalog'!$E$53+'Assumptions and Catalog'!$F$53,IF(L559&lt;='Assumptions and Catalog'!$C$54,L559*'Assumptions and Catalog'!$H$54+'Assumptions and Catalog'!$E$54+'Assumptions and Catalog'!$F$54,IF(L559&lt;='Assumptions and Catalog'!$C$55,L559*'Assumptions and Catalog'!$H$55+'Assumptions and Catalog'!$E$55+'Assumptions and Catalog'!$F$55,IF(L559&lt;='Assumptions and Catalog'!$C$56,L559*'Assumptions and Catalog'!$H$56+'Assumptions and Catalog'!$E$56+'Assumptions and Catalog'!$F$56,IF(L559&lt;='Assumptions and Catalog'!$C$57,L559*'Assumptions and Catalog'!$H$57+'Assumptions and Catalog'!$E$57+'Assumptions and Catalog'!$F$57,"Out of range")))))))),IF(L559&lt;='Assumptions and Catalog'!$C$60,L559*'Assumptions and Catalog'!$H$60+'Assumptions and Catalog'!$E$60+'Assumptions and Catalog'!$F$60,IF(L559&lt;='Assumptions and Catalog'!$C$61,L559*'Assumptions and Catalog'!$H$61+'Assumptions and Catalog'!$E$61+'Assumptions and Catalog'!$F$61,IF(L559&lt;='Assumptions and Catalog'!$C$62,L559*'Assumptions and Catalog'!$H$62+'Assumptions and Catalog'!$E$62+'Assumptions and Catalog'!$F$62,IF(L559&lt;='Assumptions and Catalog'!$C$63,L559*'Assumptions and Catalog'!$H$63+'Assumptions and Catalog'!$E$63+'Assumptions and Catalog'!$F$63,IF(L559&lt;='Assumptions and Catalog'!$C$64,L559*'Assumptions and Catalog'!$H$64+'Assumptions and Catalog'!$E$64+'Assumptions and Catalog'!$F$64,IF(L559&lt;='Assumptions and Catalog'!$C$65,L559*'Assumptions and Catalog'!$H$65+'Assumptions and Catalog'!$E$65+'Assumptions and Catalog'!$F$65,"Out of range")))))))))*(1+'Assumptions and Catalog'!$C$8)^(A559-1),0)</f>
        <v>8554.9666666666672</v>
      </c>
      <c r="O559" s="5">
        <f t="shared" si="43"/>
        <v>0</v>
      </c>
      <c r="P559" s="5">
        <f>D$55*(1-K$14)*(1-'Assumptions and Catalog'!$C$23)^R559</f>
        <v>0</v>
      </c>
      <c r="Q559" s="5">
        <f>IF(ISNUMBER(Inputs!$L$5),(IF(Inputs!$L$9="Actual flat rate",((D559+E559)*C559-G559)*Inputs!$L$10,IF(Inputs!$C$9="Residential",IF(((D559+E559)*C559-G559)&lt;='Assumptions and Catalog'!$C$50,((D559+E559)*C559-G559)*'Assumptions and Catalog'!$H$50+'Assumptions and Catalog'!$E$50+'Assumptions and Catalog'!$F$50,IF(((D559+E559)*C559-G559)&lt;='Assumptions and Catalog'!$C$51,((D559+E559)*C559-G559)*'Assumptions and Catalog'!$H$51+'Assumptions and Catalog'!$E$51+'Assumptions and Catalog'!$F$51,IF(((D559+E559)*C559-G559)&lt;='Assumptions and Catalog'!$C$52,((D559+E559)*C559-G559)*'Assumptions and Catalog'!$H$52+'Assumptions and Catalog'!$E$52+'Assumptions and Catalog'!$F$52,IF(((D559+E559)*C559-G559)&lt;='Assumptions and Catalog'!$C$53,((D559+E559)*C559-G559)*'Assumptions and Catalog'!$H$53+'Assumptions and Catalog'!$E$53+'Assumptions and Catalog'!$F$53,IF(((D559+E559)*C559-G559)&lt;='Assumptions and Catalog'!$C$54,((D559+E559)*C559-G559)*'Assumptions and Catalog'!$H$54+'Assumptions and Catalog'!$E$54+'Assumptions and Catalog'!$F$54,IF(((D559+E559)*C559-G559)&lt;='Assumptions and Catalog'!$C$55,((D559+E559)*C559-G559)*'Assumptions and Catalog'!$H$55+'Assumptions and Catalog'!$E$55+'Assumptions and Catalog'!$F$55,IF(((D559+E559)*C559-G559)&lt;='Assumptions and Catalog'!$C$56,((D559+E559)*C559-G559)*'Assumptions and Catalog'!$H$56+'Assumptions and Catalog'!$E$56+'Assumptions and Catalog'!$F$56,IF(((D559+E559)*C559-G559)&lt;='Assumptions and Catalog'!$C$57,((D559+E559)*C559-G559)*'Assumptions and Catalog'!$H$57+'Assumptions and Catalog'!$E$57+'Assumptions and Catalog'!$F$57,"Out of range")))))))),IF(((D559+E559)*C559-G559)&lt;='Assumptions and Catalog'!$C$60,((D559+E559)*C559-G559)*'Assumptions and Catalog'!$H$60+'Assumptions and Catalog'!$E$60+'Assumptions and Catalog'!$F$60,IF(((D559+E559)*C559-G559)&lt;='Assumptions and Catalog'!$C$61,((D559+E559)*C559-G559)*'Assumptions and Catalog'!$H$61+'Assumptions and Catalog'!$E$61+'Assumptions and Catalog'!$F$61,IF(((D559+E559)*C559-G559)&lt;='Assumptions and Catalog'!$C$62,((D559+E559)*C559-G559)*'Assumptions and Catalog'!$H$62+'Assumptions and Catalog'!$E$62+'Assumptions and Catalog'!$F$62,IF(((D559+E559)*C559-G559)&lt;='Assumptions and Catalog'!$C$63,((D559+E559)*C559-G559)*'Assumptions and Catalog'!$H$63+'Assumptions and Catalog'!$E$63+'Assumptions and Catalog'!$F$63,IF(((D559+E559)*C559-G559)&lt;='Assumptions and Catalog'!$C$64,((D559+E559)*C559-G559)*'Assumptions and Catalog'!$H$64+'Assumptions and Catalog'!$E$64+'Assumptions and Catalog'!$F$64,IF(((D559+E559)*C559-G559)&lt;='Assumptions and Catalog'!$C$65,((D559+E559)*C559-G559)*'Assumptions and Catalog'!$H$65+'Assumptions and Catalog'!$E$65+'Assumptions and Catalog'!$F$65,"Out of range")))))))))*(1+'Assumptions and Catalog'!$C$8)^(A559-1),0)</f>
        <v>8554.9666666666672</v>
      </c>
      <c r="R559" s="5">
        <f>IF(AND('Assumptions and Catalog'!$C$19&gt;0,A559&gt;='Assumptions and Catalog'!$C$19),A559-'Assumptions and Catalog'!$C$19,A559-1)</f>
        <v>2</v>
      </c>
      <c r="S559" s="5">
        <f>F559+L559-(D559+E559)*C559-J559-K559-IF(D$52&gt;0,'Assumptions and Catalog'!$C$26*C559,0)</f>
        <v>0</v>
      </c>
      <c r="T559" s="5"/>
      <c r="U559" s="5"/>
    </row>
    <row r="560" spans="1:21" ht="23.1" customHeight="1" outlineLevel="1" x14ac:dyDescent="0.2">
      <c r="A560" s="5">
        <v>13</v>
      </c>
      <c r="B560" s="5">
        <v>6</v>
      </c>
      <c r="C560" s="5">
        <f>DAY(DATE('Assumptions and Catalog'!$C$24+A560-1,B560+1,0))</f>
        <v>30</v>
      </c>
      <c r="D560" s="5">
        <f>IF(ISNUMBER(Inputs!$L$5),Inputs!$L$5*Inputs!$L$6,0)</f>
        <v>40.35</v>
      </c>
      <c r="E560" s="5">
        <f>IF(ISNUMBER(Inputs!$L$5),Inputs!$L$5-D560,0)</f>
        <v>40.35</v>
      </c>
      <c r="F560" s="5">
        <f>D$51*'Assumptions and Catalog'!$C$31*C560*(1-'Assumptions and Catalog'!$C$10)^(A560-1)</f>
        <v>0</v>
      </c>
      <c r="G560" s="5">
        <f t="shared" si="40"/>
        <v>0</v>
      </c>
      <c r="H560" s="5">
        <f>I560/('Assumptions and Catalog'!$C$11*'Assumptions and Catalog'!$C$12)</f>
        <v>0</v>
      </c>
      <c r="I560" s="5">
        <f>IF(K$15="Grid cycle",MIN(K$16,D560+E560,P560*'Assumptions and Catalog'!$C$12,D$57*(24-'Assumptions and Catalog'!$C$15),D$56*'Assumptions and Catalog'!$C$15*'Assumptions and Catalog'!$C$11*'Assumptions and Catalog'!$C$12)*C560,0)</f>
        <v>0</v>
      </c>
      <c r="J560" s="5">
        <f t="shared" si="41"/>
        <v>0</v>
      </c>
      <c r="K560" s="5">
        <f t="shared" si="42"/>
        <v>0</v>
      </c>
      <c r="L560" s="5">
        <f>(D560+E560)*C560-G560-I560+H560+IF(D$52&gt;0,'Assumptions and Catalog'!$C$26*C560,0)</f>
        <v>2421</v>
      </c>
      <c r="M560" s="5">
        <f>IF(ISNUMBER(Inputs!$L$5),(IF(Inputs!$L$9="Actual flat rate",((D560+E560)*C560)*Inputs!$L$10,IF(Inputs!$C$9="Residential",IF(((D560+E560)*C560)&lt;='Assumptions and Catalog'!$C$50,((D560+E560)*C560)*'Assumptions and Catalog'!$H$50+'Assumptions and Catalog'!$E$50+'Assumptions and Catalog'!$F$50,IF(((D560+E560)*C560)&lt;='Assumptions and Catalog'!$C$51,((D560+E560)*C560)*'Assumptions and Catalog'!$H$51+'Assumptions and Catalog'!$E$51+'Assumptions and Catalog'!$F$51,IF(((D560+E560)*C560)&lt;='Assumptions and Catalog'!$C$52,((D560+E560)*C560)*'Assumptions and Catalog'!$H$52+'Assumptions and Catalog'!$E$52+'Assumptions and Catalog'!$F$52,IF(((D560+E560)*C560)&lt;='Assumptions and Catalog'!$C$53,((D560+E560)*C560)*'Assumptions and Catalog'!$H$53+'Assumptions and Catalog'!$E$53+'Assumptions and Catalog'!$F$53,IF(((D560+E560)*C560)&lt;='Assumptions and Catalog'!$C$54,((D560+E560)*C560)*'Assumptions and Catalog'!$H$54+'Assumptions and Catalog'!$E$54+'Assumptions and Catalog'!$F$54,IF(((D560+E560)*C560)&lt;='Assumptions and Catalog'!$C$55,((D560+E560)*C560)*'Assumptions and Catalog'!$H$55+'Assumptions and Catalog'!$E$55+'Assumptions and Catalog'!$F$55,IF(((D560+E560)*C560)&lt;='Assumptions and Catalog'!$C$56,((D560+E560)*C560)*'Assumptions and Catalog'!$H$56+'Assumptions and Catalog'!$E$56+'Assumptions and Catalog'!$F$56,IF(((D560+E560)*C560)&lt;='Assumptions and Catalog'!$C$57,((D560+E560)*C560)*'Assumptions and Catalog'!$H$57+'Assumptions and Catalog'!$E$57+'Assumptions and Catalog'!$F$57,"Out of range")))))))),IF(((D560+E560)*C560)&lt;='Assumptions and Catalog'!$C$60,((D560+E560)*C560)*'Assumptions and Catalog'!$H$60+'Assumptions and Catalog'!$E$60+'Assumptions and Catalog'!$F$60,IF(((D560+E560)*C560)&lt;='Assumptions and Catalog'!$C$61,((D560+E560)*C560)*'Assumptions and Catalog'!$H$61+'Assumptions and Catalog'!$E$61+'Assumptions and Catalog'!$F$61,IF(((D560+E560)*C560)&lt;='Assumptions and Catalog'!$C$62,((D560+E560)*C560)*'Assumptions and Catalog'!$H$62+'Assumptions and Catalog'!$E$62+'Assumptions and Catalog'!$F$62,IF(((D560+E560)*C560)&lt;='Assumptions and Catalog'!$C$63,((D560+E560)*C560)*'Assumptions and Catalog'!$H$63+'Assumptions and Catalog'!$E$63+'Assumptions and Catalog'!$F$63,IF(((D560+E560)*C560)&lt;='Assumptions and Catalog'!$C$64,((D560+E560)*C560)*'Assumptions and Catalog'!$H$64+'Assumptions and Catalog'!$E$64+'Assumptions and Catalog'!$F$64,IF(((D560+E560)*C560)&lt;='Assumptions and Catalog'!$C$65,((D560+E560)*C560)*'Assumptions and Catalog'!$H$65+'Assumptions and Catalog'!$E$65+'Assumptions and Catalog'!$F$65,"Out of range")))))))))*(1+'Assumptions and Catalog'!$C$8)^(A560-1),0)</f>
        <v>8279</v>
      </c>
      <c r="N560" s="5">
        <f>IF(ISNUMBER(Inputs!$L$5),(IF(Inputs!$L$9="Actual flat rate",L560*Inputs!$L$10,IF(Inputs!$C$9="Residential",IF(L560&lt;='Assumptions and Catalog'!$C$50,L560*'Assumptions and Catalog'!$H$50+'Assumptions and Catalog'!$E$50+'Assumptions and Catalog'!$F$50,IF(L560&lt;='Assumptions and Catalog'!$C$51,L560*'Assumptions and Catalog'!$H$51+'Assumptions and Catalog'!$E$51+'Assumptions and Catalog'!$F$51,IF(L560&lt;='Assumptions and Catalog'!$C$52,L560*'Assumptions and Catalog'!$H$52+'Assumptions and Catalog'!$E$52+'Assumptions and Catalog'!$F$52,IF(L560&lt;='Assumptions and Catalog'!$C$53,L560*'Assumptions and Catalog'!$H$53+'Assumptions and Catalog'!$E$53+'Assumptions and Catalog'!$F$53,IF(L560&lt;='Assumptions and Catalog'!$C$54,L560*'Assumptions and Catalog'!$H$54+'Assumptions and Catalog'!$E$54+'Assumptions and Catalog'!$F$54,IF(L560&lt;='Assumptions and Catalog'!$C$55,L560*'Assumptions and Catalog'!$H$55+'Assumptions and Catalog'!$E$55+'Assumptions and Catalog'!$F$55,IF(L560&lt;='Assumptions and Catalog'!$C$56,L560*'Assumptions and Catalog'!$H$56+'Assumptions and Catalog'!$E$56+'Assumptions and Catalog'!$F$56,IF(L560&lt;='Assumptions and Catalog'!$C$57,L560*'Assumptions and Catalog'!$H$57+'Assumptions and Catalog'!$E$57+'Assumptions and Catalog'!$F$57,"Out of range")))))))),IF(L560&lt;='Assumptions and Catalog'!$C$60,L560*'Assumptions and Catalog'!$H$60+'Assumptions and Catalog'!$E$60+'Assumptions and Catalog'!$F$60,IF(L560&lt;='Assumptions and Catalog'!$C$61,L560*'Assumptions and Catalog'!$H$61+'Assumptions and Catalog'!$E$61+'Assumptions and Catalog'!$F$61,IF(L560&lt;='Assumptions and Catalog'!$C$62,L560*'Assumptions and Catalog'!$H$62+'Assumptions and Catalog'!$E$62+'Assumptions and Catalog'!$F$62,IF(L560&lt;='Assumptions and Catalog'!$C$63,L560*'Assumptions and Catalog'!$H$63+'Assumptions and Catalog'!$E$63+'Assumptions and Catalog'!$F$63,IF(L560&lt;='Assumptions and Catalog'!$C$64,L560*'Assumptions and Catalog'!$H$64+'Assumptions and Catalog'!$E$64+'Assumptions and Catalog'!$F$64,IF(L560&lt;='Assumptions and Catalog'!$C$65,L560*'Assumptions and Catalog'!$H$65+'Assumptions and Catalog'!$E$65+'Assumptions and Catalog'!$F$65,"Out of range")))))))))*(1+'Assumptions and Catalog'!$C$8)^(A560-1),0)</f>
        <v>8279</v>
      </c>
      <c r="O560" s="5">
        <f t="shared" si="43"/>
        <v>0</v>
      </c>
      <c r="P560" s="5">
        <f>D$55*(1-K$14)*(1-'Assumptions and Catalog'!$C$23)^R560</f>
        <v>0</v>
      </c>
      <c r="Q560" s="5">
        <f>IF(ISNUMBER(Inputs!$L$5),(IF(Inputs!$L$9="Actual flat rate",((D560+E560)*C560-G560)*Inputs!$L$10,IF(Inputs!$C$9="Residential",IF(((D560+E560)*C560-G560)&lt;='Assumptions and Catalog'!$C$50,((D560+E560)*C560-G560)*'Assumptions and Catalog'!$H$50+'Assumptions and Catalog'!$E$50+'Assumptions and Catalog'!$F$50,IF(((D560+E560)*C560-G560)&lt;='Assumptions and Catalog'!$C$51,((D560+E560)*C560-G560)*'Assumptions and Catalog'!$H$51+'Assumptions and Catalog'!$E$51+'Assumptions and Catalog'!$F$51,IF(((D560+E560)*C560-G560)&lt;='Assumptions and Catalog'!$C$52,((D560+E560)*C560-G560)*'Assumptions and Catalog'!$H$52+'Assumptions and Catalog'!$E$52+'Assumptions and Catalog'!$F$52,IF(((D560+E560)*C560-G560)&lt;='Assumptions and Catalog'!$C$53,((D560+E560)*C560-G560)*'Assumptions and Catalog'!$H$53+'Assumptions and Catalog'!$E$53+'Assumptions and Catalog'!$F$53,IF(((D560+E560)*C560-G560)&lt;='Assumptions and Catalog'!$C$54,((D560+E560)*C560-G560)*'Assumptions and Catalog'!$H$54+'Assumptions and Catalog'!$E$54+'Assumptions and Catalog'!$F$54,IF(((D560+E560)*C560-G560)&lt;='Assumptions and Catalog'!$C$55,((D560+E560)*C560-G560)*'Assumptions and Catalog'!$H$55+'Assumptions and Catalog'!$E$55+'Assumptions and Catalog'!$F$55,IF(((D560+E560)*C560-G560)&lt;='Assumptions and Catalog'!$C$56,((D560+E560)*C560-G560)*'Assumptions and Catalog'!$H$56+'Assumptions and Catalog'!$E$56+'Assumptions and Catalog'!$F$56,IF(((D560+E560)*C560-G560)&lt;='Assumptions and Catalog'!$C$57,((D560+E560)*C560-G560)*'Assumptions and Catalog'!$H$57+'Assumptions and Catalog'!$E$57+'Assumptions and Catalog'!$F$57,"Out of range")))))))),IF(((D560+E560)*C560-G560)&lt;='Assumptions and Catalog'!$C$60,((D560+E560)*C560-G560)*'Assumptions and Catalog'!$H$60+'Assumptions and Catalog'!$E$60+'Assumptions and Catalog'!$F$60,IF(((D560+E560)*C560-G560)&lt;='Assumptions and Catalog'!$C$61,((D560+E560)*C560-G560)*'Assumptions and Catalog'!$H$61+'Assumptions and Catalog'!$E$61+'Assumptions and Catalog'!$F$61,IF(((D560+E560)*C560-G560)&lt;='Assumptions and Catalog'!$C$62,((D560+E560)*C560-G560)*'Assumptions and Catalog'!$H$62+'Assumptions and Catalog'!$E$62+'Assumptions and Catalog'!$F$62,IF(((D560+E560)*C560-G560)&lt;='Assumptions and Catalog'!$C$63,((D560+E560)*C560-G560)*'Assumptions and Catalog'!$H$63+'Assumptions and Catalog'!$E$63+'Assumptions and Catalog'!$F$63,IF(((D560+E560)*C560-G560)&lt;='Assumptions and Catalog'!$C$64,((D560+E560)*C560-G560)*'Assumptions and Catalog'!$H$64+'Assumptions and Catalog'!$E$64+'Assumptions and Catalog'!$F$64,IF(((D560+E560)*C560-G560)&lt;='Assumptions and Catalog'!$C$65,((D560+E560)*C560-G560)*'Assumptions and Catalog'!$H$65+'Assumptions and Catalog'!$E$65+'Assumptions and Catalog'!$F$65,"Out of range")))))))))*(1+'Assumptions and Catalog'!$C$8)^(A560-1),0)</f>
        <v>8279</v>
      </c>
      <c r="R560" s="5">
        <f>IF(AND('Assumptions and Catalog'!$C$19&gt;0,A560&gt;='Assumptions and Catalog'!$C$19),A560-'Assumptions and Catalog'!$C$19,A560-1)</f>
        <v>2</v>
      </c>
      <c r="S560" s="5">
        <f>F560+L560-(D560+E560)*C560-J560-K560-IF(D$52&gt;0,'Assumptions and Catalog'!$C$26*C560,0)</f>
        <v>0</v>
      </c>
      <c r="T560" s="5"/>
      <c r="U560" s="5"/>
    </row>
    <row r="561" spans="1:21" ht="23.1" customHeight="1" outlineLevel="1" x14ac:dyDescent="0.2">
      <c r="A561" s="5">
        <v>13</v>
      </c>
      <c r="B561" s="5">
        <v>7</v>
      </c>
      <c r="C561" s="5">
        <f>DAY(DATE('Assumptions and Catalog'!$C$24+A561-1,B561+1,0))</f>
        <v>31</v>
      </c>
      <c r="D561" s="5">
        <f>IF(ISNUMBER(Inputs!$L$5),Inputs!$L$5*Inputs!$L$6,0)</f>
        <v>40.35</v>
      </c>
      <c r="E561" s="5">
        <f>IF(ISNUMBER(Inputs!$L$5),Inputs!$L$5-D561,0)</f>
        <v>40.35</v>
      </c>
      <c r="F561" s="5">
        <f>D$51*'Assumptions and Catalog'!$C$31*C561*(1-'Assumptions and Catalog'!$C$10)^(A561-1)</f>
        <v>0</v>
      </c>
      <c r="G561" s="5">
        <f t="shared" si="40"/>
        <v>0</v>
      </c>
      <c r="H561" s="5">
        <f>I561/('Assumptions and Catalog'!$C$11*'Assumptions and Catalog'!$C$12)</f>
        <v>0</v>
      </c>
      <c r="I561" s="5">
        <f>IF(K$15="Grid cycle",MIN(K$16,D561+E561,P561*'Assumptions and Catalog'!$C$12,D$57*(24-'Assumptions and Catalog'!$C$15),D$56*'Assumptions and Catalog'!$C$15*'Assumptions and Catalog'!$C$11*'Assumptions and Catalog'!$C$12)*C561,0)</f>
        <v>0</v>
      </c>
      <c r="J561" s="5">
        <f t="shared" si="41"/>
        <v>0</v>
      </c>
      <c r="K561" s="5">
        <f t="shared" si="42"/>
        <v>0</v>
      </c>
      <c r="L561" s="5">
        <f>(D561+E561)*C561-G561-I561+H561+IF(D$52&gt;0,'Assumptions and Catalog'!$C$26*C561,0)</f>
        <v>2501.7000000000003</v>
      </c>
      <c r="M561" s="5">
        <f>IF(ISNUMBER(Inputs!$L$5),(IF(Inputs!$L$9="Actual flat rate",((D561+E561)*C561)*Inputs!$L$10,IF(Inputs!$C$9="Residential",IF(((D561+E561)*C561)&lt;='Assumptions and Catalog'!$C$50,((D561+E561)*C561)*'Assumptions and Catalog'!$H$50+'Assumptions and Catalog'!$E$50+'Assumptions and Catalog'!$F$50,IF(((D561+E561)*C561)&lt;='Assumptions and Catalog'!$C$51,((D561+E561)*C561)*'Assumptions and Catalog'!$H$51+'Assumptions and Catalog'!$E$51+'Assumptions and Catalog'!$F$51,IF(((D561+E561)*C561)&lt;='Assumptions and Catalog'!$C$52,((D561+E561)*C561)*'Assumptions and Catalog'!$H$52+'Assumptions and Catalog'!$E$52+'Assumptions and Catalog'!$F$52,IF(((D561+E561)*C561)&lt;='Assumptions and Catalog'!$C$53,((D561+E561)*C561)*'Assumptions and Catalog'!$H$53+'Assumptions and Catalog'!$E$53+'Assumptions and Catalog'!$F$53,IF(((D561+E561)*C561)&lt;='Assumptions and Catalog'!$C$54,((D561+E561)*C561)*'Assumptions and Catalog'!$H$54+'Assumptions and Catalog'!$E$54+'Assumptions and Catalog'!$F$54,IF(((D561+E561)*C561)&lt;='Assumptions and Catalog'!$C$55,((D561+E561)*C561)*'Assumptions and Catalog'!$H$55+'Assumptions and Catalog'!$E$55+'Assumptions and Catalog'!$F$55,IF(((D561+E561)*C561)&lt;='Assumptions and Catalog'!$C$56,((D561+E561)*C561)*'Assumptions and Catalog'!$H$56+'Assumptions and Catalog'!$E$56+'Assumptions and Catalog'!$F$56,IF(((D561+E561)*C561)&lt;='Assumptions and Catalog'!$C$57,((D561+E561)*C561)*'Assumptions and Catalog'!$H$57+'Assumptions and Catalog'!$E$57+'Assumptions and Catalog'!$F$57,"Out of range")))))))),IF(((D561+E561)*C561)&lt;='Assumptions and Catalog'!$C$60,((D561+E561)*C561)*'Assumptions and Catalog'!$H$60+'Assumptions and Catalog'!$E$60+'Assumptions and Catalog'!$F$60,IF(((D561+E561)*C561)&lt;='Assumptions and Catalog'!$C$61,((D561+E561)*C561)*'Assumptions and Catalog'!$H$61+'Assumptions and Catalog'!$E$61+'Assumptions and Catalog'!$F$61,IF(((D561+E561)*C561)&lt;='Assumptions and Catalog'!$C$62,((D561+E561)*C561)*'Assumptions and Catalog'!$H$62+'Assumptions and Catalog'!$E$62+'Assumptions and Catalog'!$F$62,IF(((D561+E561)*C561)&lt;='Assumptions and Catalog'!$C$63,((D561+E561)*C561)*'Assumptions and Catalog'!$H$63+'Assumptions and Catalog'!$E$63+'Assumptions and Catalog'!$F$63,IF(((D561+E561)*C561)&lt;='Assumptions and Catalog'!$C$64,((D561+E561)*C561)*'Assumptions and Catalog'!$H$64+'Assumptions and Catalog'!$E$64+'Assumptions and Catalog'!$F$64,IF(((D561+E561)*C561)&lt;='Assumptions and Catalog'!$C$65,((D561+E561)*C561)*'Assumptions and Catalog'!$H$65+'Assumptions and Catalog'!$E$65+'Assumptions and Catalog'!$F$65,"Out of range")))))))))*(1+'Assumptions and Catalog'!$C$8)^(A561-1),0)</f>
        <v>8554.9666666666672</v>
      </c>
      <c r="N561" s="5">
        <f>IF(ISNUMBER(Inputs!$L$5),(IF(Inputs!$L$9="Actual flat rate",L561*Inputs!$L$10,IF(Inputs!$C$9="Residential",IF(L561&lt;='Assumptions and Catalog'!$C$50,L561*'Assumptions and Catalog'!$H$50+'Assumptions and Catalog'!$E$50+'Assumptions and Catalog'!$F$50,IF(L561&lt;='Assumptions and Catalog'!$C$51,L561*'Assumptions and Catalog'!$H$51+'Assumptions and Catalog'!$E$51+'Assumptions and Catalog'!$F$51,IF(L561&lt;='Assumptions and Catalog'!$C$52,L561*'Assumptions and Catalog'!$H$52+'Assumptions and Catalog'!$E$52+'Assumptions and Catalog'!$F$52,IF(L561&lt;='Assumptions and Catalog'!$C$53,L561*'Assumptions and Catalog'!$H$53+'Assumptions and Catalog'!$E$53+'Assumptions and Catalog'!$F$53,IF(L561&lt;='Assumptions and Catalog'!$C$54,L561*'Assumptions and Catalog'!$H$54+'Assumptions and Catalog'!$E$54+'Assumptions and Catalog'!$F$54,IF(L561&lt;='Assumptions and Catalog'!$C$55,L561*'Assumptions and Catalog'!$H$55+'Assumptions and Catalog'!$E$55+'Assumptions and Catalog'!$F$55,IF(L561&lt;='Assumptions and Catalog'!$C$56,L561*'Assumptions and Catalog'!$H$56+'Assumptions and Catalog'!$E$56+'Assumptions and Catalog'!$F$56,IF(L561&lt;='Assumptions and Catalog'!$C$57,L561*'Assumptions and Catalog'!$H$57+'Assumptions and Catalog'!$E$57+'Assumptions and Catalog'!$F$57,"Out of range")))))))),IF(L561&lt;='Assumptions and Catalog'!$C$60,L561*'Assumptions and Catalog'!$H$60+'Assumptions and Catalog'!$E$60+'Assumptions and Catalog'!$F$60,IF(L561&lt;='Assumptions and Catalog'!$C$61,L561*'Assumptions and Catalog'!$H$61+'Assumptions and Catalog'!$E$61+'Assumptions and Catalog'!$F$61,IF(L561&lt;='Assumptions and Catalog'!$C$62,L561*'Assumptions and Catalog'!$H$62+'Assumptions and Catalog'!$E$62+'Assumptions and Catalog'!$F$62,IF(L561&lt;='Assumptions and Catalog'!$C$63,L561*'Assumptions and Catalog'!$H$63+'Assumptions and Catalog'!$E$63+'Assumptions and Catalog'!$F$63,IF(L561&lt;='Assumptions and Catalog'!$C$64,L561*'Assumptions and Catalog'!$H$64+'Assumptions and Catalog'!$E$64+'Assumptions and Catalog'!$F$64,IF(L561&lt;='Assumptions and Catalog'!$C$65,L561*'Assumptions and Catalog'!$H$65+'Assumptions and Catalog'!$E$65+'Assumptions and Catalog'!$F$65,"Out of range")))))))))*(1+'Assumptions and Catalog'!$C$8)^(A561-1),0)</f>
        <v>8554.9666666666672</v>
      </c>
      <c r="O561" s="5">
        <f t="shared" si="43"/>
        <v>0</v>
      </c>
      <c r="P561" s="5">
        <f>D$55*(1-K$14)*(1-'Assumptions and Catalog'!$C$23)^R561</f>
        <v>0</v>
      </c>
      <c r="Q561" s="5">
        <f>IF(ISNUMBER(Inputs!$L$5),(IF(Inputs!$L$9="Actual flat rate",((D561+E561)*C561-G561)*Inputs!$L$10,IF(Inputs!$C$9="Residential",IF(((D561+E561)*C561-G561)&lt;='Assumptions and Catalog'!$C$50,((D561+E561)*C561-G561)*'Assumptions and Catalog'!$H$50+'Assumptions and Catalog'!$E$50+'Assumptions and Catalog'!$F$50,IF(((D561+E561)*C561-G561)&lt;='Assumptions and Catalog'!$C$51,((D561+E561)*C561-G561)*'Assumptions and Catalog'!$H$51+'Assumptions and Catalog'!$E$51+'Assumptions and Catalog'!$F$51,IF(((D561+E561)*C561-G561)&lt;='Assumptions and Catalog'!$C$52,((D561+E561)*C561-G561)*'Assumptions and Catalog'!$H$52+'Assumptions and Catalog'!$E$52+'Assumptions and Catalog'!$F$52,IF(((D561+E561)*C561-G561)&lt;='Assumptions and Catalog'!$C$53,((D561+E561)*C561-G561)*'Assumptions and Catalog'!$H$53+'Assumptions and Catalog'!$E$53+'Assumptions and Catalog'!$F$53,IF(((D561+E561)*C561-G561)&lt;='Assumptions and Catalog'!$C$54,((D561+E561)*C561-G561)*'Assumptions and Catalog'!$H$54+'Assumptions and Catalog'!$E$54+'Assumptions and Catalog'!$F$54,IF(((D561+E561)*C561-G561)&lt;='Assumptions and Catalog'!$C$55,((D561+E561)*C561-G561)*'Assumptions and Catalog'!$H$55+'Assumptions and Catalog'!$E$55+'Assumptions and Catalog'!$F$55,IF(((D561+E561)*C561-G561)&lt;='Assumptions and Catalog'!$C$56,((D561+E561)*C561-G561)*'Assumptions and Catalog'!$H$56+'Assumptions and Catalog'!$E$56+'Assumptions and Catalog'!$F$56,IF(((D561+E561)*C561-G561)&lt;='Assumptions and Catalog'!$C$57,((D561+E561)*C561-G561)*'Assumptions and Catalog'!$H$57+'Assumptions and Catalog'!$E$57+'Assumptions and Catalog'!$F$57,"Out of range")))))))),IF(((D561+E561)*C561-G561)&lt;='Assumptions and Catalog'!$C$60,((D561+E561)*C561-G561)*'Assumptions and Catalog'!$H$60+'Assumptions and Catalog'!$E$60+'Assumptions and Catalog'!$F$60,IF(((D561+E561)*C561-G561)&lt;='Assumptions and Catalog'!$C$61,((D561+E561)*C561-G561)*'Assumptions and Catalog'!$H$61+'Assumptions and Catalog'!$E$61+'Assumptions and Catalog'!$F$61,IF(((D561+E561)*C561-G561)&lt;='Assumptions and Catalog'!$C$62,((D561+E561)*C561-G561)*'Assumptions and Catalog'!$H$62+'Assumptions and Catalog'!$E$62+'Assumptions and Catalog'!$F$62,IF(((D561+E561)*C561-G561)&lt;='Assumptions and Catalog'!$C$63,((D561+E561)*C561-G561)*'Assumptions and Catalog'!$H$63+'Assumptions and Catalog'!$E$63+'Assumptions and Catalog'!$F$63,IF(((D561+E561)*C561-G561)&lt;='Assumptions and Catalog'!$C$64,((D561+E561)*C561-G561)*'Assumptions and Catalog'!$H$64+'Assumptions and Catalog'!$E$64+'Assumptions and Catalog'!$F$64,IF(((D561+E561)*C561-G561)&lt;='Assumptions and Catalog'!$C$65,((D561+E561)*C561-G561)*'Assumptions and Catalog'!$H$65+'Assumptions and Catalog'!$E$65+'Assumptions and Catalog'!$F$65,"Out of range")))))))))*(1+'Assumptions and Catalog'!$C$8)^(A561-1),0)</f>
        <v>8554.9666666666672</v>
      </c>
      <c r="R561" s="5">
        <f>IF(AND('Assumptions and Catalog'!$C$19&gt;0,A561&gt;='Assumptions and Catalog'!$C$19),A561-'Assumptions and Catalog'!$C$19,A561-1)</f>
        <v>2</v>
      </c>
      <c r="S561" s="5">
        <f>F561+L561-(D561+E561)*C561-J561-K561-IF(D$52&gt;0,'Assumptions and Catalog'!$C$26*C561,0)</f>
        <v>0</v>
      </c>
      <c r="T561" s="5"/>
      <c r="U561" s="5"/>
    </row>
    <row r="562" spans="1:21" ht="23.1" customHeight="1" outlineLevel="1" x14ac:dyDescent="0.2">
      <c r="A562" s="5">
        <v>13</v>
      </c>
      <c r="B562" s="5">
        <v>8</v>
      </c>
      <c r="C562" s="5">
        <f>DAY(DATE('Assumptions and Catalog'!$C$24+A562-1,B562+1,0))</f>
        <v>31</v>
      </c>
      <c r="D562" s="5">
        <f>IF(ISNUMBER(Inputs!$L$5),Inputs!$L$5*Inputs!$L$6,0)</f>
        <v>40.35</v>
      </c>
      <c r="E562" s="5">
        <f>IF(ISNUMBER(Inputs!$L$5),Inputs!$L$5-D562,0)</f>
        <v>40.35</v>
      </c>
      <c r="F562" s="5">
        <f>D$51*'Assumptions and Catalog'!$C$31*C562*(1-'Assumptions and Catalog'!$C$10)^(A562-1)</f>
        <v>0</v>
      </c>
      <c r="G562" s="5">
        <f t="shared" si="40"/>
        <v>0</v>
      </c>
      <c r="H562" s="5">
        <f>I562/('Assumptions and Catalog'!$C$11*'Assumptions and Catalog'!$C$12)</f>
        <v>0</v>
      </c>
      <c r="I562" s="5">
        <f>IF(K$15="Grid cycle",MIN(K$16,D562+E562,P562*'Assumptions and Catalog'!$C$12,D$57*(24-'Assumptions and Catalog'!$C$15),D$56*'Assumptions and Catalog'!$C$15*'Assumptions and Catalog'!$C$11*'Assumptions and Catalog'!$C$12)*C562,0)</f>
        <v>0</v>
      </c>
      <c r="J562" s="5">
        <f t="shared" si="41"/>
        <v>0</v>
      </c>
      <c r="K562" s="5">
        <f t="shared" si="42"/>
        <v>0</v>
      </c>
      <c r="L562" s="5">
        <f>(D562+E562)*C562-G562-I562+H562+IF(D$52&gt;0,'Assumptions and Catalog'!$C$26*C562,0)</f>
        <v>2501.7000000000003</v>
      </c>
      <c r="M562" s="5">
        <f>IF(ISNUMBER(Inputs!$L$5),(IF(Inputs!$L$9="Actual flat rate",((D562+E562)*C562)*Inputs!$L$10,IF(Inputs!$C$9="Residential",IF(((D562+E562)*C562)&lt;='Assumptions and Catalog'!$C$50,((D562+E562)*C562)*'Assumptions and Catalog'!$H$50+'Assumptions and Catalog'!$E$50+'Assumptions and Catalog'!$F$50,IF(((D562+E562)*C562)&lt;='Assumptions and Catalog'!$C$51,((D562+E562)*C562)*'Assumptions and Catalog'!$H$51+'Assumptions and Catalog'!$E$51+'Assumptions and Catalog'!$F$51,IF(((D562+E562)*C562)&lt;='Assumptions and Catalog'!$C$52,((D562+E562)*C562)*'Assumptions and Catalog'!$H$52+'Assumptions and Catalog'!$E$52+'Assumptions and Catalog'!$F$52,IF(((D562+E562)*C562)&lt;='Assumptions and Catalog'!$C$53,((D562+E562)*C562)*'Assumptions and Catalog'!$H$53+'Assumptions and Catalog'!$E$53+'Assumptions and Catalog'!$F$53,IF(((D562+E562)*C562)&lt;='Assumptions and Catalog'!$C$54,((D562+E562)*C562)*'Assumptions and Catalog'!$H$54+'Assumptions and Catalog'!$E$54+'Assumptions and Catalog'!$F$54,IF(((D562+E562)*C562)&lt;='Assumptions and Catalog'!$C$55,((D562+E562)*C562)*'Assumptions and Catalog'!$H$55+'Assumptions and Catalog'!$E$55+'Assumptions and Catalog'!$F$55,IF(((D562+E562)*C562)&lt;='Assumptions and Catalog'!$C$56,((D562+E562)*C562)*'Assumptions and Catalog'!$H$56+'Assumptions and Catalog'!$E$56+'Assumptions and Catalog'!$F$56,IF(((D562+E562)*C562)&lt;='Assumptions and Catalog'!$C$57,((D562+E562)*C562)*'Assumptions and Catalog'!$H$57+'Assumptions and Catalog'!$E$57+'Assumptions and Catalog'!$F$57,"Out of range")))))))),IF(((D562+E562)*C562)&lt;='Assumptions and Catalog'!$C$60,((D562+E562)*C562)*'Assumptions and Catalog'!$H$60+'Assumptions and Catalog'!$E$60+'Assumptions and Catalog'!$F$60,IF(((D562+E562)*C562)&lt;='Assumptions and Catalog'!$C$61,((D562+E562)*C562)*'Assumptions and Catalog'!$H$61+'Assumptions and Catalog'!$E$61+'Assumptions and Catalog'!$F$61,IF(((D562+E562)*C562)&lt;='Assumptions and Catalog'!$C$62,((D562+E562)*C562)*'Assumptions and Catalog'!$H$62+'Assumptions and Catalog'!$E$62+'Assumptions and Catalog'!$F$62,IF(((D562+E562)*C562)&lt;='Assumptions and Catalog'!$C$63,((D562+E562)*C562)*'Assumptions and Catalog'!$H$63+'Assumptions and Catalog'!$E$63+'Assumptions and Catalog'!$F$63,IF(((D562+E562)*C562)&lt;='Assumptions and Catalog'!$C$64,((D562+E562)*C562)*'Assumptions and Catalog'!$H$64+'Assumptions and Catalog'!$E$64+'Assumptions and Catalog'!$F$64,IF(((D562+E562)*C562)&lt;='Assumptions and Catalog'!$C$65,((D562+E562)*C562)*'Assumptions and Catalog'!$H$65+'Assumptions and Catalog'!$E$65+'Assumptions and Catalog'!$F$65,"Out of range")))))))))*(1+'Assumptions and Catalog'!$C$8)^(A562-1),0)</f>
        <v>8554.9666666666672</v>
      </c>
      <c r="N562" s="5">
        <f>IF(ISNUMBER(Inputs!$L$5),(IF(Inputs!$L$9="Actual flat rate",L562*Inputs!$L$10,IF(Inputs!$C$9="Residential",IF(L562&lt;='Assumptions and Catalog'!$C$50,L562*'Assumptions and Catalog'!$H$50+'Assumptions and Catalog'!$E$50+'Assumptions and Catalog'!$F$50,IF(L562&lt;='Assumptions and Catalog'!$C$51,L562*'Assumptions and Catalog'!$H$51+'Assumptions and Catalog'!$E$51+'Assumptions and Catalog'!$F$51,IF(L562&lt;='Assumptions and Catalog'!$C$52,L562*'Assumptions and Catalog'!$H$52+'Assumptions and Catalog'!$E$52+'Assumptions and Catalog'!$F$52,IF(L562&lt;='Assumptions and Catalog'!$C$53,L562*'Assumptions and Catalog'!$H$53+'Assumptions and Catalog'!$E$53+'Assumptions and Catalog'!$F$53,IF(L562&lt;='Assumptions and Catalog'!$C$54,L562*'Assumptions and Catalog'!$H$54+'Assumptions and Catalog'!$E$54+'Assumptions and Catalog'!$F$54,IF(L562&lt;='Assumptions and Catalog'!$C$55,L562*'Assumptions and Catalog'!$H$55+'Assumptions and Catalog'!$E$55+'Assumptions and Catalog'!$F$55,IF(L562&lt;='Assumptions and Catalog'!$C$56,L562*'Assumptions and Catalog'!$H$56+'Assumptions and Catalog'!$E$56+'Assumptions and Catalog'!$F$56,IF(L562&lt;='Assumptions and Catalog'!$C$57,L562*'Assumptions and Catalog'!$H$57+'Assumptions and Catalog'!$E$57+'Assumptions and Catalog'!$F$57,"Out of range")))))))),IF(L562&lt;='Assumptions and Catalog'!$C$60,L562*'Assumptions and Catalog'!$H$60+'Assumptions and Catalog'!$E$60+'Assumptions and Catalog'!$F$60,IF(L562&lt;='Assumptions and Catalog'!$C$61,L562*'Assumptions and Catalog'!$H$61+'Assumptions and Catalog'!$E$61+'Assumptions and Catalog'!$F$61,IF(L562&lt;='Assumptions and Catalog'!$C$62,L562*'Assumptions and Catalog'!$H$62+'Assumptions and Catalog'!$E$62+'Assumptions and Catalog'!$F$62,IF(L562&lt;='Assumptions and Catalog'!$C$63,L562*'Assumptions and Catalog'!$H$63+'Assumptions and Catalog'!$E$63+'Assumptions and Catalog'!$F$63,IF(L562&lt;='Assumptions and Catalog'!$C$64,L562*'Assumptions and Catalog'!$H$64+'Assumptions and Catalog'!$E$64+'Assumptions and Catalog'!$F$64,IF(L562&lt;='Assumptions and Catalog'!$C$65,L562*'Assumptions and Catalog'!$H$65+'Assumptions and Catalog'!$E$65+'Assumptions and Catalog'!$F$65,"Out of range")))))))))*(1+'Assumptions and Catalog'!$C$8)^(A562-1),0)</f>
        <v>8554.9666666666672</v>
      </c>
      <c r="O562" s="5">
        <f t="shared" si="43"/>
        <v>0</v>
      </c>
      <c r="P562" s="5">
        <f>D$55*(1-K$14)*(1-'Assumptions and Catalog'!$C$23)^R562</f>
        <v>0</v>
      </c>
      <c r="Q562" s="5">
        <f>IF(ISNUMBER(Inputs!$L$5),(IF(Inputs!$L$9="Actual flat rate",((D562+E562)*C562-G562)*Inputs!$L$10,IF(Inputs!$C$9="Residential",IF(((D562+E562)*C562-G562)&lt;='Assumptions and Catalog'!$C$50,((D562+E562)*C562-G562)*'Assumptions and Catalog'!$H$50+'Assumptions and Catalog'!$E$50+'Assumptions and Catalog'!$F$50,IF(((D562+E562)*C562-G562)&lt;='Assumptions and Catalog'!$C$51,((D562+E562)*C562-G562)*'Assumptions and Catalog'!$H$51+'Assumptions and Catalog'!$E$51+'Assumptions and Catalog'!$F$51,IF(((D562+E562)*C562-G562)&lt;='Assumptions and Catalog'!$C$52,((D562+E562)*C562-G562)*'Assumptions and Catalog'!$H$52+'Assumptions and Catalog'!$E$52+'Assumptions and Catalog'!$F$52,IF(((D562+E562)*C562-G562)&lt;='Assumptions and Catalog'!$C$53,((D562+E562)*C562-G562)*'Assumptions and Catalog'!$H$53+'Assumptions and Catalog'!$E$53+'Assumptions and Catalog'!$F$53,IF(((D562+E562)*C562-G562)&lt;='Assumptions and Catalog'!$C$54,((D562+E562)*C562-G562)*'Assumptions and Catalog'!$H$54+'Assumptions and Catalog'!$E$54+'Assumptions and Catalog'!$F$54,IF(((D562+E562)*C562-G562)&lt;='Assumptions and Catalog'!$C$55,((D562+E562)*C562-G562)*'Assumptions and Catalog'!$H$55+'Assumptions and Catalog'!$E$55+'Assumptions and Catalog'!$F$55,IF(((D562+E562)*C562-G562)&lt;='Assumptions and Catalog'!$C$56,((D562+E562)*C562-G562)*'Assumptions and Catalog'!$H$56+'Assumptions and Catalog'!$E$56+'Assumptions and Catalog'!$F$56,IF(((D562+E562)*C562-G562)&lt;='Assumptions and Catalog'!$C$57,((D562+E562)*C562-G562)*'Assumptions and Catalog'!$H$57+'Assumptions and Catalog'!$E$57+'Assumptions and Catalog'!$F$57,"Out of range")))))))),IF(((D562+E562)*C562-G562)&lt;='Assumptions and Catalog'!$C$60,((D562+E562)*C562-G562)*'Assumptions and Catalog'!$H$60+'Assumptions and Catalog'!$E$60+'Assumptions and Catalog'!$F$60,IF(((D562+E562)*C562-G562)&lt;='Assumptions and Catalog'!$C$61,((D562+E562)*C562-G562)*'Assumptions and Catalog'!$H$61+'Assumptions and Catalog'!$E$61+'Assumptions and Catalog'!$F$61,IF(((D562+E562)*C562-G562)&lt;='Assumptions and Catalog'!$C$62,((D562+E562)*C562-G562)*'Assumptions and Catalog'!$H$62+'Assumptions and Catalog'!$E$62+'Assumptions and Catalog'!$F$62,IF(((D562+E562)*C562-G562)&lt;='Assumptions and Catalog'!$C$63,((D562+E562)*C562-G562)*'Assumptions and Catalog'!$H$63+'Assumptions and Catalog'!$E$63+'Assumptions and Catalog'!$F$63,IF(((D562+E562)*C562-G562)&lt;='Assumptions and Catalog'!$C$64,((D562+E562)*C562-G562)*'Assumptions and Catalog'!$H$64+'Assumptions and Catalog'!$E$64+'Assumptions and Catalog'!$F$64,IF(((D562+E562)*C562-G562)&lt;='Assumptions and Catalog'!$C$65,((D562+E562)*C562-G562)*'Assumptions and Catalog'!$H$65+'Assumptions and Catalog'!$E$65+'Assumptions and Catalog'!$F$65,"Out of range")))))))))*(1+'Assumptions and Catalog'!$C$8)^(A562-1),0)</f>
        <v>8554.9666666666672</v>
      </c>
      <c r="R562" s="5">
        <f>IF(AND('Assumptions and Catalog'!$C$19&gt;0,A562&gt;='Assumptions and Catalog'!$C$19),A562-'Assumptions and Catalog'!$C$19,A562-1)</f>
        <v>2</v>
      </c>
      <c r="S562" s="5">
        <f>F562+L562-(D562+E562)*C562-J562-K562-IF(D$52&gt;0,'Assumptions and Catalog'!$C$26*C562,0)</f>
        <v>0</v>
      </c>
      <c r="T562" s="5"/>
      <c r="U562" s="5"/>
    </row>
    <row r="563" spans="1:21" ht="23.1" customHeight="1" outlineLevel="1" x14ac:dyDescent="0.2">
      <c r="A563" s="5">
        <v>13</v>
      </c>
      <c r="B563" s="5">
        <v>9</v>
      </c>
      <c r="C563" s="5">
        <f>DAY(DATE('Assumptions and Catalog'!$C$24+A563-1,B563+1,0))</f>
        <v>30</v>
      </c>
      <c r="D563" s="5">
        <f>IF(ISNUMBER(Inputs!$L$5),Inputs!$L$5*Inputs!$L$6,0)</f>
        <v>40.35</v>
      </c>
      <c r="E563" s="5">
        <f>IF(ISNUMBER(Inputs!$L$5),Inputs!$L$5-D563,0)</f>
        <v>40.35</v>
      </c>
      <c r="F563" s="5">
        <f>D$51*'Assumptions and Catalog'!$C$31*C563*(1-'Assumptions and Catalog'!$C$10)^(A563-1)</f>
        <v>0</v>
      </c>
      <c r="G563" s="5">
        <f t="shared" si="40"/>
        <v>0</v>
      </c>
      <c r="H563" s="5">
        <f>I563/('Assumptions and Catalog'!$C$11*'Assumptions and Catalog'!$C$12)</f>
        <v>0</v>
      </c>
      <c r="I563" s="5">
        <f>IF(K$15="Grid cycle",MIN(K$16,D563+E563,P563*'Assumptions and Catalog'!$C$12,D$57*(24-'Assumptions and Catalog'!$C$15),D$56*'Assumptions and Catalog'!$C$15*'Assumptions and Catalog'!$C$11*'Assumptions and Catalog'!$C$12)*C563,0)</f>
        <v>0</v>
      </c>
      <c r="J563" s="5">
        <f t="shared" si="41"/>
        <v>0</v>
      </c>
      <c r="K563" s="5">
        <f t="shared" si="42"/>
        <v>0</v>
      </c>
      <c r="L563" s="5">
        <f>(D563+E563)*C563-G563-I563+H563+IF(D$52&gt;0,'Assumptions and Catalog'!$C$26*C563,0)</f>
        <v>2421</v>
      </c>
      <c r="M563" s="5">
        <f>IF(ISNUMBER(Inputs!$L$5),(IF(Inputs!$L$9="Actual flat rate",((D563+E563)*C563)*Inputs!$L$10,IF(Inputs!$C$9="Residential",IF(((D563+E563)*C563)&lt;='Assumptions and Catalog'!$C$50,((D563+E563)*C563)*'Assumptions and Catalog'!$H$50+'Assumptions and Catalog'!$E$50+'Assumptions and Catalog'!$F$50,IF(((D563+E563)*C563)&lt;='Assumptions and Catalog'!$C$51,((D563+E563)*C563)*'Assumptions and Catalog'!$H$51+'Assumptions and Catalog'!$E$51+'Assumptions and Catalog'!$F$51,IF(((D563+E563)*C563)&lt;='Assumptions and Catalog'!$C$52,((D563+E563)*C563)*'Assumptions and Catalog'!$H$52+'Assumptions and Catalog'!$E$52+'Assumptions and Catalog'!$F$52,IF(((D563+E563)*C563)&lt;='Assumptions and Catalog'!$C$53,((D563+E563)*C563)*'Assumptions and Catalog'!$H$53+'Assumptions and Catalog'!$E$53+'Assumptions and Catalog'!$F$53,IF(((D563+E563)*C563)&lt;='Assumptions and Catalog'!$C$54,((D563+E563)*C563)*'Assumptions and Catalog'!$H$54+'Assumptions and Catalog'!$E$54+'Assumptions and Catalog'!$F$54,IF(((D563+E563)*C563)&lt;='Assumptions and Catalog'!$C$55,((D563+E563)*C563)*'Assumptions and Catalog'!$H$55+'Assumptions and Catalog'!$E$55+'Assumptions and Catalog'!$F$55,IF(((D563+E563)*C563)&lt;='Assumptions and Catalog'!$C$56,((D563+E563)*C563)*'Assumptions and Catalog'!$H$56+'Assumptions and Catalog'!$E$56+'Assumptions and Catalog'!$F$56,IF(((D563+E563)*C563)&lt;='Assumptions and Catalog'!$C$57,((D563+E563)*C563)*'Assumptions and Catalog'!$H$57+'Assumptions and Catalog'!$E$57+'Assumptions and Catalog'!$F$57,"Out of range")))))))),IF(((D563+E563)*C563)&lt;='Assumptions and Catalog'!$C$60,((D563+E563)*C563)*'Assumptions and Catalog'!$H$60+'Assumptions and Catalog'!$E$60+'Assumptions and Catalog'!$F$60,IF(((D563+E563)*C563)&lt;='Assumptions and Catalog'!$C$61,((D563+E563)*C563)*'Assumptions and Catalog'!$H$61+'Assumptions and Catalog'!$E$61+'Assumptions and Catalog'!$F$61,IF(((D563+E563)*C563)&lt;='Assumptions and Catalog'!$C$62,((D563+E563)*C563)*'Assumptions and Catalog'!$H$62+'Assumptions and Catalog'!$E$62+'Assumptions and Catalog'!$F$62,IF(((D563+E563)*C563)&lt;='Assumptions and Catalog'!$C$63,((D563+E563)*C563)*'Assumptions and Catalog'!$H$63+'Assumptions and Catalog'!$E$63+'Assumptions and Catalog'!$F$63,IF(((D563+E563)*C563)&lt;='Assumptions and Catalog'!$C$64,((D563+E563)*C563)*'Assumptions and Catalog'!$H$64+'Assumptions and Catalog'!$E$64+'Assumptions and Catalog'!$F$64,IF(((D563+E563)*C563)&lt;='Assumptions and Catalog'!$C$65,((D563+E563)*C563)*'Assumptions and Catalog'!$H$65+'Assumptions and Catalog'!$E$65+'Assumptions and Catalog'!$F$65,"Out of range")))))))))*(1+'Assumptions and Catalog'!$C$8)^(A563-1),0)</f>
        <v>8279</v>
      </c>
      <c r="N563" s="5">
        <f>IF(ISNUMBER(Inputs!$L$5),(IF(Inputs!$L$9="Actual flat rate",L563*Inputs!$L$10,IF(Inputs!$C$9="Residential",IF(L563&lt;='Assumptions and Catalog'!$C$50,L563*'Assumptions and Catalog'!$H$50+'Assumptions and Catalog'!$E$50+'Assumptions and Catalog'!$F$50,IF(L563&lt;='Assumptions and Catalog'!$C$51,L563*'Assumptions and Catalog'!$H$51+'Assumptions and Catalog'!$E$51+'Assumptions and Catalog'!$F$51,IF(L563&lt;='Assumptions and Catalog'!$C$52,L563*'Assumptions and Catalog'!$H$52+'Assumptions and Catalog'!$E$52+'Assumptions and Catalog'!$F$52,IF(L563&lt;='Assumptions and Catalog'!$C$53,L563*'Assumptions and Catalog'!$H$53+'Assumptions and Catalog'!$E$53+'Assumptions and Catalog'!$F$53,IF(L563&lt;='Assumptions and Catalog'!$C$54,L563*'Assumptions and Catalog'!$H$54+'Assumptions and Catalog'!$E$54+'Assumptions and Catalog'!$F$54,IF(L563&lt;='Assumptions and Catalog'!$C$55,L563*'Assumptions and Catalog'!$H$55+'Assumptions and Catalog'!$E$55+'Assumptions and Catalog'!$F$55,IF(L563&lt;='Assumptions and Catalog'!$C$56,L563*'Assumptions and Catalog'!$H$56+'Assumptions and Catalog'!$E$56+'Assumptions and Catalog'!$F$56,IF(L563&lt;='Assumptions and Catalog'!$C$57,L563*'Assumptions and Catalog'!$H$57+'Assumptions and Catalog'!$E$57+'Assumptions and Catalog'!$F$57,"Out of range")))))))),IF(L563&lt;='Assumptions and Catalog'!$C$60,L563*'Assumptions and Catalog'!$H$60+'Assumptions and Catalog'!$E$60+'Assumptions and Catalog'!$F$60,IF(L563&lt;='Assumptions and Catalog'!$C$61,L563*'Assumptions and Catalog'!$H$61+'Assumptions and Catalog'!$E$61+'Assumptions and Catalog'!$F$61,IF(L563&lt;='Assumptions and Catalog'!$C$62,L563*'Assumptions and Catalog'!$H$62+'Assumptions and Catalog'!$E$62+'Assumptions and Catalog'!$F$62,IF(L563&lt;='Assumptions and Catalog'!$C$63,L563*'Assumptions and Catalog'!$H$63+'Assumptions and Catalog'!$E$63+'Assumptions and Catalog'!$F$63,IF(L563&lt;='Assumptions and Catalog'!$C$64,L563*'Assumptions and Catalog'!$H$64+'Assumptions and Catalog'!$E$64+'Assumptions and Catalog'!$F$64,IF(L563&lt;='Assumptions and Catalog'!$C$65,L563*'Assumptions and Catalog'!$H$65+'Assumptions and Catalog'!$E$65+'Assumptions and Catalog'!$F$65,"Out of range")))))))))*(1+'Assumptions and Catalog'!$C$8)^(A563-1),0)</f>
        <v>8279</v>
      </c>
      <c r="O563" s="5">
        <f t="shared" si="43"/>
        <v>0</v>
      </c>
      <c r="P563" s="5">
        <f>D$55*(1-K$14)*(1-'Assumptions and Catalog'!$C$23)^R563</f>
        <v>0</v>
      </c>
      <c r="Q563" s="5">
        <f>IF(ISNUMBER(Inputs!$L$5),(IF(Inputs!$L$9="Actual flat rate",((D563+E563)*C563-G563)*Inputs!$L$10,IF(Inputs!$C$9="Residential",IF(((D563+E563)*C563-G563)&lt;='Assumptions and Catalog'!$C$50,((D563+E563)*C563-G563)*'Assumptions and Catalog'!$H$50+'Assumptions and Catalog'!$E$50+'Assumptions and Catalog'!$F$50,IF(((D563+E563)*C563-G563)&lt;='Assumptions and Catalog'!$C$51,((D563+E563)*C563-G563)*'Assumptions and Catalog'!$H$51+'Assumptions and Catalog'!$E$51+'Assumptions and Catalog'!$F$51,IF(((D563+E563)*C563-G563)&lt;='Assumptions and Catalog'!$C$52,((D563+E563)*C563-G563)*'Assumptions and Catalog'!$H$52+'Assumptions and Catalog'!$E$52+'Assumptions and Catalog'!$F$52,IF(((D563+E563)*C563-G563)&lt;='Assumptions and Catalog'!$C$53,((D563+E563)*C563-G563)*'Assumptions and Catalog'!$H$53+'Assumptions and Catalog'!$E$53+'Assumptions and Catalog'!$F$53,IF(((D563+E563)*C563-G563)&lt;='Assumptions and Catalog'!$C$54,((D563+E563)*C563-G563)*'Assumptions and Catalog'!$H$54+'Assumptions and Catalog'!$E$54+'Assumptions and Catalog'!$F$54,IF(((D563+E563)*C563-G563)&lt;='Assumptions and Catalog'!$C$55,((D563+E563)*C563-G563)*'Assumptions and Catalog'!$H$55+'Assumptions and Catalog'!$E$55+'Assumptions and Catalog'!$F$55,IF(((D563+E563)*C563-G563)&lt;='Assumptions and Catalog'!$C$56,((D563+E563)*C563-G563)*'Assumptions and Catalog'!$H$56+'Assumptions and Catalog'!$E$56+'Assumptions and Catalog'!$F$56,IF(((D563+E563)*C563-G563)&lt;='Assumptions and Catalog'!$C$57,((D563+E563)*C563-G563)*'Assumptions and Catalog'!$H$57+'Assumptions and Catalog'!$E$57+'Assumptions and Catalog'!$F$57,"Out of range")))))))),IF(((D563+E563)*C563-G563)&lt;='Assumptions and Catalog'!$C$60,((D563+E563)*C563-G563)*'Assumptions and Catalog'!$H$60+'Assumptions and Catalog'!$E$60+'Assumptions and Catalog'!$F$60,IF(((D563+E563)*C563-G563)&lt;='Assumptions and Catalog'!$C$61,((D563+E563)*C563-G563)*'Assumptions and Catalog'!$H$61+'Assumptions and Catalog'!$E$61+'Assumptions and Catalog'!$F$61,IF(((D563+E563)*C563-G563)&lt;='Assumptions and Catalog'!$C$62,((D563+E563)*C563-G563)*'Assumptions and Catalog'!$H$62+'Assumptions and Catalog'!$E$62+'Assumptions and Catalog'!$F$62,IF(((D563+E563)*C563-G563)&lt;='Assumptions and Catalog'!$C$63,((D563+E563)*C563-G563)*'Assumptions and Catalog'!$H$63+'Assumptions and Catalog'!$E$63+'Assumptions and Catalog'!$F$63,IF(((D563+E563)*C563-G563)&lt;='Assumptions and Catalog'!$C$64,((D563+E563)*C563-G563)*'Assumptions and Catalog'!$H$64+'Assumptions and Catalog'!$E$64+'Assumptions and Catalog'!$F$64,IF(((D563+E563)*C563-G563)&lt;='Assumptions and Catalog'!$C$65,((D563+E563)*C563-G563)*'Assumptions and Catalog'!$H$65+'Assumptions and Catalog'!$E$65+'Assumptions and Catalog'!$F$65,"Out of range")))))))))*(1+'Assumptions and Catalog'!$C$8)^(A563-1),0)</f>
        <v>8279</v>
      </c>
      <c r="R563" s="5">
        <f>IF(AND('Assumptions and Catalog'!$C$19&gt;0,A563&gt;='Assumptions and Catalog'!$C$19),A563-'Assumptions and Catalog'!$C$19,A563-1)</f>
        <v>2</v>
      </c>
      <c r="S563" s="5">
        <f>F563+L563-(D563+E563)*C563-J563-K563-IF(D$52&gt;0,'Assumptions and Catalog'!$C$26*C563,0)</f>
        <v>0</v>
      </c>
      <c r="T563" s="5"/>
      <c r="U563" s="5"/>
    </row>
    <row r="564" spans="1:21" ht="23.1" customHeight="1" outlineLevel="1" x14ac:dyDescent="0.2">
      <c r="A564" s="5">
        <v>13</v>
      </c>
      <c r="B564" s="5">
        <v>10</v>
      </c>
      <c r="C564" s="5">
        <f>DAY(DATE('Assumptions and Catalog'!$C$24+A564-1,B564+1,0))</f>
        <v>31</v>
      </c>
      <c r="D564" s="5">
        <f>IF(ISNUMBER(Inputs!$L$5),Inputs!$L$5*Inputs!$L$6,0)</f>
        <v>40.35</v>
      </c>
      <c r="E564" s="5">
        <f>IF(ISNUMBER(Inputs!$L$5),Inputs!$L$5-D564,0)</f>
        <v>40.35</v>
      </c>
      <c r="F564" s="5">
        <f>D$51*'Assumptions and Catalog'!$C$31*C564*(1-'Assumptions and Catalog'!$C$10)^(A564-1)</f>
        <v>0</v>
      </c>
      <c r="G564" s="5">
        <f t="shared" si="40"/>
        <v>0</v>
      </c>
      <c r="H564" s="5">
        <f>I564/('Assumptions and Catalog'!$C$11*'Assumptions and Catalog'!$C$12)</f>
        <v>0</v>
      </c>
      <c r="I564" s="5">
        <f>IF(K$15="Grid cycle",MIN(K$16,D564+E564,P564*'Assumptions and Catalog'!$C$12,D$57*(24-'Assumptions and Catalog'!$C$15),D$56*'Assumptions and Catalog'!$C$15*'Assumptions and Catalog'!$C$11*'Assumptions and Catalog'!$C$12)*C564,0)</f>
        <v>0</v>
      </c>
      <c r="J564" s="5">
        <f t="shared" si="41"/>
        <v>0</v>
      </c>
      <c r="K564" s="5">
        <f t="shared" si="42"/>
        <v>0</v>
      </c>
      <c r="L564" s="5">
        <f>(D564+E564)*C564-G564-I564+H564+IF(D$52&gt;0,'Assumptions and Catalog'!$C$26*C564,0)</f>
        <v>2501.7000000000003</v>
      </c>
      <c r="M564" s="5">
        <f>IF(ISNUMBER(Inputs!$L$5),(IF(Inputs!$L$9="Actual flat rate",((D564+E564)*C564)*Inputs!$L$10,IF(Inputs!$C$9="Residential",IF(((D564+E564)*C564)&lt;='Assumptions and Catalog'!$C$50,((D564+E564)*C564)*'Assumptions and Catalog'!$H$50+'Assumptions and Catalog'!$E$50+'Assumptions and Catalog'!$F$50,IF(((D564+E564)*C564)&lt;='Assumptions and Catalog'!$C$51,((D564+E564)*C564)*'Assumptions and Catalog'!$H$51+'Assumptions and Catalog'!$E$51+'Assumptions and Catalog'!$F$51,IF(((D564+E564)*C564)&lt;='Assumptions and Catalog'!$C$52,((D564+E564)*C564)*'Assumptions and Catalog'!$H$52+'Assumptions and Catalog'!$E$52+'Assumptions and Catalog'!$F$52,IF(((D564+E564)*C564)&lt;='Assumptions and Catalog'!$C$53,((D564+E564)*C564)*'Assumptions and Catalog'!$H$53+'Assumptions and Catalog'!$E$53+'Assumptions and Catalog'!$F$53,IF(((D564+E564)*C564)&lt;='Assumptions and Catalog'!$C$54,((D564+E564)*C564)*'Assumptions and Catalog'!$H$54+'Assumptions and Catalog'!$E$54+'Assumptions and Catalog'!$F$54,IF(((D564+E564)*C564)&lt;='Assumptions and Catalog'!$C$55,((D564+E564)*C564)*'Assumptions and Catalog'!$H$55+'Assumptions and Catalog'!$E$55+'Assumptions and Catalog'!$F$55,IF(((D564+E564)*C564)&lt;='Assumptions and Catalog'!$C$56,((D564+E564)*C564)*'Assumptions and Catalog'!$H$56+'Assumptions and Catalog'!$E$56+'Assumptions and Catalog'!$F$56,IF(((D564+E564)*C564)&lt;='Assumptions and Catalog'!$C$57,((D564+E564)*C564)*'Assumptions and Catalog'!$H$57+'Assumptions and Catalog'!$E$57+'Assumptions and Catalog'!$F$57,"Out of range")))))))),IF(((D564+E564)*C564)&lt;='Assumptions and Catalog'!$C$60,((D564+E564)*C564)*'Assumptions and Catalog'!$H$60+'Assumptions and Catalog'!$E$60+'Assumptions and Catalog'!$F$60,IF(((D564+E564)*C564)&lt;='Assumptions and Catalog'!$C$61,((D564+E564)*C564)*'Assumptions and Catalog'!$H$61+'Assumptions and Catalog'!$E$61+'Assumptions and Catalog'!$F$61,IF(((D564+E564)*C564)&lt;='Assumptions and Catalog'!$C$62,((D564+E564)*C564)*'Assumptions and Catalog'!$H$62+'Assumptions and Catalog'!$E$62+'Assumptions and Catalog'!$F$62,IF(((D564+E564)*C564)&lt;='Assumptions and Catalog'!$C$63,((D564+E564)*C564)*'Assumptions and Catalog'!$H$63+'Assumptions and Catalog'!$E$63+'Assumptions and Catalog'!$F$63,IF(((D564+E564)*C564)&lt;='Assumptions and Catalog'!$C$64,((D564+E564)*C564)*'Assumptions and Catalog'!$H$64+'Assumptions and Catalog'!$E$64+'Assumptions and Catalog'!$F$64,IF(((D564+E564)*C564)&lt;='Assumptions and Catalog'!$C$65,((D564+E564)*C564)*'Assumptions and Catalog'!$H$65+'Assumptions and Catalog'!$E$65+'Assumptions and Catalog'!$F$65,"Out of range")))))))))*(1+'Assumptions and Catalog'!$C$8)^(A564-1),0)</f>
        <v>8554.9666666666672</v>
      </c>
      <c r="N564" s="5">
        <f>IF(ISNUMBER(Inputs!$L$5),(IF(Inputs!$L$9="Actual flat rate",L564*Inputs!$L$10,IF(Inputs!$C$9="Residential",IF(L564&lt;='Assumptions and Catalog'!$C$50,L564*'Assumptions and Catalog'!$H$50+'Assumptions and Catalog'!$E$50+'Assumptions and Catalog'!$F$50,IF(L564&lt;='Assumptions and Catalog'!$C$51,L564*'Assumptions and Catalog'!$H$51+'Assumptions and Catalog'!$E$51+'Assumptions and Catalog'!$F$51,IF(L564&lt;='Assumptions and Catalog'!$C$52,L564*'Assumptions and Catalog'!$H$52+'Assumptions and Catalog'!$E$52+'Assumptions and Catalog'!$F$52,IF(L564&lt;='Assumptions and Catalog'!$C$53,L564*'Assumptions and Catalog'!$H$53+'Assumptions and Catalog'!$E$53+'Assumptions and Catalog'!$F$53,IF(L564&lt;='Assumptions and Catalog'!$C$54,L564*'Assumptions and Catalog'!$H$54+'Assumptions and Catalog'!$E$54+'Assumptions and Catalog'!$F$54,IF(L564&lt;='Assumptions and Catalog'!$C$55,L564*'Assumptions and Catalog'!$H$55+'Assumptions and Catalog'!$E$55+'Assumptions and Catalog'!$F$55,IF(L564&lt;='Assumptions and Catalog'!$C$56,L564*'Assumptions and Catalog'!$H$56+'Assumptions and Catalog'!$E$56+'Assumptions and Catalog'!$F$56,IF(L564&lt;='Assumptions and Catalog'!$C$57,L564*'Assumptions and Catalog'!$H$57+'Assumptions and Catalog'!$E$57+'Assumptions and Catalog'!$F$57,"Out of range")))))))),IF(L564&lt;='Assumptions and Catalog'!$C$60,L564*'Assumptions and Catalog'!$H$60+'Assumptions and Catalog'!$E$60+'Assumptions and Catalog'!$F$60,IF(L564&lt;='Assumptions and Catalog'!$C$61,L564*'Assumptions and Catalog'!$H$61+'Assumptions and Catalog'!$E$61+'Assumptions and Catalog'!$F$61,IF(L564&lt;='Assumptions and Catalog'!$C$62,L564*'Assumptions and Catalog'!$H$62+'Assumptions and Catalog'!$E$62+'Assumptions and Catalog'!$F$62,IF(L564&lt;='Assumptions and Catalog'!$C$63,L564*'Assumptions and Catalog'!$H$63+'Assumptions and Catalog'!$E$63+'Assumptions and Catalog'!$F$63,IF(L564&lt;='Assumptions and Catalog'!$C$64,L564*'Assumptions and Catalog'!$H$64+'Assumptions and Catalog'!$E$64+'Assumptions and Catalog'!$F$64,IF(L564&lt;='Assumptions and Catalog'!$C$65,L564*'Assumptions and Catalog'!$H$65+'Assumptions and Catalog'!$E$65+'Assumptions and Catalog'!$F$65,"Out of range")))))))))*(1+'Assumptions and Catalog'!$C$8)^(A564-1),0)</f>
        <v>8554.9666666666672</v>
      </c>
      <c r="O564" s="5">
        <f t="shared" si="43"/>
        <v>0</v>
      </c>
      <c r="P564" s="5">
        <f>D$55*(1-K$14)*(1-'Assumptions and Catalog'!$C$23)^R564</f>
        <v>0</v>
      </c>
      <c r="Q564" s="5">
        <f>IF(ISNUMBER(Inputs!$L$5),(IF(Inputs!$L$9="Actual flat rate",((D564+E564)*C564-G564)*Inputs!$L$10,IF(Inputs!$C$9="Residential",IF(((D564+E564)*C564-G564)&lt;='Assumptions and Catalog'!$C$50,((D564+E564)*C564-G564)*'Assumptions and Catalog'!$H$50+'Assumptions and Catalog'!$E$50+'Assumptions and Catalog'!$F$50,IF(((D564+E564)*C564-G564)&lt;='Assumptions and Catalog'!$C$51,((D564+E564)*C564-G564)*'Assumptions and Catalog'!$H$51+'Assumptions and Catalog'!$E$51+'Assumptions and Catalog'!$F$51,IF(((D564+E564)*C564-G564)&lt;='Assumptions and Catalog'!$C$52,((D564+E564)*C564-G564)*'Assumptions and Catalog'!$H$52+'Assumptions and Catalog'!$E$52+'Assumptions and Catalog'!$F$52,IF(((D564+E564)*C564-G564)&lt;='Assumptions and Catalog'!$C$53,((D564+E564)*C564-G564)*'Assumptions and Catalog'!$H$53+'Assumptions and Catalog'!$E$53+'Assumptions and Catalog'!$F$53,IF(((D564+E564)*C564-G564)&lt;='Assumptions and Catalog'!$C$54,((D564+E564)*C564-G564)*'Assumptions and Catalog'!$H$54+'Assumptions and Catalog'!$E$54+'Assumptions and Catalog'!$F$54,IF(((D564+E564)*C564-G564)&lt;='Assumptions and Catalog'!$C$55,((D564+E564)*C564-G564)*'Assumptions and Catalog'!$H$55+'Assumptions and Catalog'!$E$55+'Assumptions and Catalog'!$F$55,IF(((D564+E564)*C564-G564)&lt;='Assumptions and Catalog'!$C$56,((D564+E564)*C564-G564)*'Assumptions and Catalog'!$H$56+'Assumptions and Catalog'!$E$56+'Assumptions and Catalog'!$F$56,IF(((D564+E564)*C564-G564)&lt;='Assumptions and Catalog'!$C$57,((D564+E564)*C564-G564)*'Assumptions and Catalog'!$H$57+'Assumptions and Catalog'!$E$57+'Assumptions and Catalog'!$F$57,"Out of range")))))))),IF(((D564+E564)*C564-G564)&lt;='Assumptions and Catalog'!$C$60,((D564+E564)*C564-G564)*'Assumptions and Catalog'!$H$60+'Assumptions and Catalog'!$E$60+'Assumptions and Catalog'!$F$60,IF(((D564+E564)*C564-G564)&lt;='Assumptions and Catalog'!$C$61,((D564+E564)*C564-G564)*'Assumptions and Catalog'!$H$61+'Assumptions and Catalog'!$E$61+'Assumptions and Catalog'!$F$61,IF(((D564+E564)*C564-G564)&lt;='Assumptions and Catalog'!$C$62,((D564+E564)*C564-G564)*'Assumptions and Catalog'!$H$62+'Assumptions and Catalog'!$E$62+'Assumptions and Catalog'!$F$62,IF(((D564+E564)*C564-G564)&lt;='Assumptions and Catalog'!$C$63,((D564+E564)*C564-G564)*'Assumptions and Catalog'!$H$63+'Assumptions and Catalog'!$E$63+'Assumptions and Catalog'!$F$63,IF(((D564+E564)*C564-G564)&lt;='Assumptions and Catalog'!$C$64,((D564+E564)*C564-G564)*'Assumptions and Catalog'!$H$64+'Assumptions and Catalog'!$E$64+'Assumptions and Catalog'!$F$64,IF(((D564+E564)*C564-G564)&lt;='Assumptions and Catalog'!$C$65,((D564+E564)*C564-G564)*'Assumptions and Catalog'!$H$65+'Assumptions and Catalog'!$E$65+'Assumptions and Catalog'!$F$65,"Out of range")))))))))*(1+'Assumptions and Catalog'!$C$8)^(A564-1),0)</f>
        <v>8554.9666666666672</v>
      </c>
      <c r="R564" s="5">
        <f>IF(AND('Assumptions and Catalog'!$C$19&gt;0,A564&gt;='Assumptions and Catalog'!$C$19),A564-'Assumptions and Catalog'!$C$19,A564-1)</f>
        <v>2</v>
      </c>
      <c r="S564" s="5">
        <f>F564+L564-(D564+E564)*C564-J564-K564-IF(D$52&gt;0,'Assumptions and Catalog'!$C$26*C564,0)</f>
        <v>0</v>
      </c>
      <c r="T564" s="5"/>
      <c r="U564" s="5"/>
    </row>
    <row r="565" spans="1:21" ht="23.1" customHeight="1" outlineLevel="1" x14ac:dyDescent="0.2">
      <c r="A565" s="5">
        <v>13</v>
      </c>
      <c r="B565" s="5">
        <v>11</v>
      </c>
      <c r="C565" s="5">
        <f>DAY(DATE('Assumptions and Catalog'!$C$24+A565-1,B565+1,0))</f>
        <v>30</v>
      </c>
      <c r="D565" s="5">
        <f>IF(ISNUMBER(Inputs!$L$5),Inputs!$L$5*Inputs!$L$6,0)</f>
        <v>40.35</v>
      </c>
      <c r="E565" s="5">
        <f>IF(ISNUMBER(Inputs!$L$5),Inputs!$L$5-D565,0)</f>
        <v>40.35</v>
      </c>
      <c r="F565" s="5">
        <f>D$51*'Assumptions and Catalog'!$C$31*C565*(1-'Assumptions and Catalog'!$C$10)^(A565-1)</f>
        <v>0</v>
      </c>
      <c r="G565" s="5">
        <f t="shared" si="40"/>
        <v>0</v>
      </c>
      <c r="H565" s="5">
        <f>I565/('Assumptions and Catalog'!$C$11*'Assumptions and Catalog'!$C$12)</f>
        <v>0</v>
      </c>
      <c r="I565" s="5">
        <f>IF(K$15="Grid cycle",MIN(K$16,D565+E565,P565*'Assumptions and Catalog'!$C$12,D$57*(24-'Assumptions and Catalog'!$C$15),D$56*'Assumptions and Catalog'!$C$15*'Assumptions and Catalog'!$C$11*'Assumptions and Catalog'!$C$12)*C565,0)</f>
        <v>0</v>
      </c>
      <c r="J565" s="5">
        <f t="shared" si="41"/>
        <v>0</v>
      </c>
      <c r="K565" s="5">
        <f t="shared" si="42"/>
        <v>0</v>
      </c>
      <c r="L565" s="5">
        <f>(D565+E565)*C565-G565-I565+H565+IF(D$52&gt;0,'Assumptions and Catalog'!$C$26*C565,0)</f>
        <v>2421</v>
      </c>
      <c r="M565" s="5">
        <f>IF(ISNUMBER(Inputs!$L$5),(IF(Inputs!$L$9="Actual flat rate",((D565+E565)*C565)*Inputs!$L$10,IF(Inputs!$C$9="Residential",IF(((D565+E565)*C565)&lt;='Assumptions and Catalog'!$C$50,((D565+E565)*C565)*'Assumptions and Catalog'!$H$50+'Assumptions and Catalog'!$E$50+'Assumptions and Catalog'!$F$50,IF(((D565+E565)*C565)&lt;='Assumptions and Catalog'!$C$51,((D565+E565)*C565)*'Assumptions and Catalog'!$H$51+'Assumptions and Catalog'!$E$51+'Assumptions and Catalog'!$F$51,IF(((D565+E565)*C565)&lt;='Assumptions and Catalog'!$C$52,((D565+E565)*C565)*'Assumptions and Catalog'!$H$52+'Assumptions and Catalog'!$E$52+'Assumptions and Catalog'!$F$52,IF(((D565+E565)*C565)&lt;='Assumptions and Catalog'!$C$53,((D565+E565)*C565)*'Assumptions and Catalog'!$H$53+'Assumptions and Catalog'!$E$53+'Assumptions and Catalog'!$F$53,IF(((D565+E565)*C565)&lt;='Assumptions and Catalog'!$C$54,((D565+E565)*C565)*'Assumptions and Catalog'!$H$54+'Assumptions and Catalog'!$E$54+'Assumptions and Catalog'!$F$54,IF(((D565+E565)*C565)&lt;='Assumptions and Catalog'!$C$55,((D565+E565)*C565)*'Assumptions and Catalog'!$H$55+'Assumptions and Catalog'!$E$55+'Assumptions and Catalog'!$F$55,IF(((D565+E565)*C565)&lt;='Assumptions and Catalog'!$C$56,((D565+E565)*C565)*'Assumptions and Catalog'!$H$56+'Assumptions and Catalog'!$E$56+'Assumptions and Catalog'!$F$56,IF(((D565+E565)*C565)&lt;='Assumptions and Catalog'!$C$57,((D565+E565)*C565)*'Assumptions and Catalog'!$H$57+'Assumptions and Catalog'!$E$57+'Assumptions and Catalog'!$F$57,"Out of range")))))))),IF(((D565+E565)*C565)&lt;='Assumptions and Catalog'!$C$60,((D565+E565)*C565)*'Assumptions and Catalog'!$H$60+'Assumptions and Catalog'!$E$60+'Assumptions and Catalog'!$F$60,IF(((D565+E565)*C565)&lt;='Assumptions and Catalog'!$C$61,((D565+E565)*C565)*'Assumptions and Catalog'!$H$61+'Assumptions and Catalog'!$E$61+'Assumptions and Catalog'!$F$61,IF(((D565+E565)*C565)&lt;='Assumptions and Catalog'!$C$62,((D565+E565)*C565)*'Assumptions and Catalog'!$H$62+'Assumptions and Catalog'!$E$62+'Assumptions and Catalog'!$F$62,IF(((D565+E565)*C565)&lt;='Assumptions and Catalog'!$C$63,((D565+E565)*C565)*'Assumptions and Catalog'!$H$63+'Assumptions and Catalog'!$E$63+'Assumptions and Catalog'!$F$63,IF(((D565+E565)*C565)&lt;='Assumptions and Catalog'!$C$64,((D565+E565)*C565)*'Assumptions and Catalog'!$H$64+'Assumptions and Catalog'!$E$64+'Assumptions and Catalog'!$F$64,IF(((D565+E565)*C565)&lt;='Assumptions and Catalog'!$C$65,((D565+E565)*C565)*'Assumptions and Catalog'!$H$65+'Assumptions and Catalog'!$E$65+'Assumptions and Catalog'!$F$65,"Out of range")))))))))*(1+'Assumptions and Catalog'!$C$8)^(A565-1),0)</f>
        <v>8279</v>
      </c>
      <c r="N565" s="5">
        <f>IF(ISNUMBER(Inputs!$L$5),(IF(Inputs!$L$9="Actual flat rate",L565*Inputs!$L$10,IF(Inputs!$C$9="Residential",IF(L565&lt;='Assumptions and Catalog'!$C$50,L565*'Assumptions and Catalog'!$H$50+'Assumptions and Catalog'!$E$50+'Assumptions and Catalog'!$F$50,IF(L565&lt;='Assumptions and Catalog'!$C$51,L565*'Assumptions and Catalog'!$H$51+'Assumptions and Catalog'!$E$51+'Assumptions and Catalog'!$F$51,IF(L565&lt;='Assumptions and Catalog'!$C$52,L565*'Assumptions and Catalog'!$H$52+'Assumptions and Catalog'!$E$52+'Assumptions and Catalog'!$F$52,IF(L565&lt;='Assumptions and Catalog'!$C$53,L565*'Assumptions and Catalog'!$H$53+'Assumptions and Catalog'!$E$53+'Assumptions and Catalog'!$F$53,IF(L565&lt;='Assumptions and Catalog'!$C$54,L565*'Assumptions and Catalog'!$H$54+'Assumptions and Catalog'!$E$54+'Assumptions and Catalog'!$F$54,IF(L565&lt;='Assumptions and Catalog'!$C$55,L565*'Assumptions and Catalog'!$H$55+'Assumptions and Catalog'!$E$55+'Assumptions and Catalog'!$F$55,IF(L565&lt;='Assumptions and Catalog'!$C$56,L565*'Assumptions and Catalog'!$H$56+'Assumptions and Catalog'!$E$56+'Assumptions and Catalog'!$F$56,IF(L565&lt;='Assumptions and Catalog'!$C$57,L565*'Assumptions and Catalog'!$H$57+'Assumptions and Catalog'!$E$57+'Assumptions and Catalog'!$F$57,"Out of range")))))))),IF(L565&lt;='Assumptions and Catalog'!$C$60,L565*'Assumptions and Catalog'!$H$60+'Assumptions and Catalog'!$E$60+'Assumptions and Catalog'!$F$60,IF(L565&lt;='Assumptions and Catalog'!$C$61,L565*'Assumptions and Catalog'!$H$61+'Assumptions and Catalog'!$E$61+'Assumptions and Catalog'!$F$61,IF(L565&lt;='Assumptions and Catalog'!$C$62,L565*'Assumptions and Catalog'!$H$62+'Assumptions and Catalog'!$E$62+'Assumptions and Catalog'!$F$62,IF(L565&lt;='Assumptions and Catalog'!$C$63,L565*'Assumptions and Catalog'!$H$63+'Assumptions and Catalog'!$E$63+'Assumptions and Catalog'!$F$63,IF(L565&lt;='Assumptions and Catalog'!$C$64,L565*'Assumptions and Catalog'!$H$64+'Assumptions and Catalog'!$E$64+'Assumptions and Catalog'!$F$64,IF(L565&lt;='Assumptions and Catalog'!$C$65,L565*'Assumptions and Catalog'!$H$65+'Assumptions and Catalog'!$E$65+'Assumptions and Catalog'!$F$65,"Out of range")))))))))*(1+'Assumptions and Catalog'!$C$8)^(A565-1),0)</f>
        <v>8279</v>
      </c>
      <c r="O565" s="5">
        <f t="shared" si="43"/>
        <v>0</v>
      </c>
      <c r="P565" s="5">
        <f>D$55*(1-K$14)*(1-'Assumptions and Catalog'!$C$23)^R565</f>
        <v>0</v>
      </c>
      <c r="Q565" s="5">
        <f>IF(ISNUMBER(Inputs!$L$5),(IF(Inputs!$L$9="Actual flat rate",((D565+E565)*C565-G565)*Inputs!$L$10,IF(Inputs!$C$9="Residential",IF(((D565+E565)*C565-G565)&lt;='Assumptions and Catalog'!$C$50,((D565+E565)*C565-G565)*'Assumptions and Catalog'!$H$50+'Assumptions and Catalog'!$E$50+'Assumptions and Catalog'!$F$50,IF(((D565+E565)*C565-G565)&lt;='Assumptions and Catalog'!$C$51,((D565+E565)*C565-G565)*'Assumptions and Catalog'!$H$51+'Assumptions and Catalog'!$E$51+'Assumptions and Catalog'!$F$51,IF(((D565+E565)*C565-G565)&lt;='Assumptions and Catalog'!$C$52,((D565+E565)*C565-G565)*'Assumptions and Catalog'!$H$52+'Assumptions and Catalog'!$E$52+'Assumptions and Catalog'!$F$52,IF(((D565+E565)*C565-G565)&lt;='Assumptions and Catalog'!$C$53,((D565+E565)*C565-G565)*'Assumptions and Catalog'!$H$53+'Assumptions and Catalog'!$E$53+'Assumptions and Catalog'!$F$53,IF(((D565+E565)*C565-G565)&lt;='Assumptions and Catalog'!$C$54,((D565+E565)*C565-G565)*'Assumptions and Catalog'!$H$54+'Assumptions and Catalog'!$E$54+'Assumptions and Catalog'!$F$54,IF(((D565+E565)*C565-G565)&lt;='Assumptions and Catalog'!$C$55,((D565+E565)*C565-G565)*'Assumptions and Catalog'!$H$55+'Assumptions and Catalog'!$E$55+'Assumptions and Catalog'!$F$55,IF(((D565+E565)*C565-G565)&lt;='Assumptions and Catalog'!$C$56,((D565+E565)*C565-G565)*'Assumptions and Catalog'!$H$56+'Assumptions and Catalog'!$E$56+'Assumptions and Catalog'!$F$56,IF(((D565+E565)*C565-G565)&lt;='Assumptions and Catalog'!$C$57,((D565+E565)*C565-G565)*'Assumptions and Catalog'!$H$57+'Assumptions and Catalog'!$E$57+'Assumptions and Catalog'!$F$57,"Out of range")))))))),IF(((D565+E565)*C565-G565)&lt;='Assumptions and Catalog'!$C$60,((D565+E565)*C565-G565)*'Assumptions and Catalog'!$H$60+'Assumptions and Catalog'!$E$60+'Assumptions and Catalog'!$F$60,IF(((D565+E565)*C565-G565)&lt;='Assumptions and Catalog'!$C$61,((D565+E565)*C565-G565)*'Assumptions and Catalog'!$H$61+'Assumptions and Catalog'!$E$61+'Assumptions and Catalog'!$F$61,IF(((D565+E565)*C565-G565)&lt;='Assumptions and Catalog'!$C$62,((D565+E565)*C565-G565)*'Assumptions and Catalog'!$H$62+'Assumptions and Catalog'!$E$62+'Assumptions and Catalog'!$F$62,IF(((D565+E565)*C565-G565)&lt;='Assumptions and Catalog'!$C$63,((D565+E565)*C565-G565)*'Assumptions and Catalog'!$H$63+'Assumptions and Catalog'!$E$63+'Assumptions and Catalog'!$F$63,IF(((D565+E565)*C565-G565)&lt;='Assumptions and Catalog'!$C$64,((D565+E565)*C565-G565)*'Assumptions and Catalog'!$H$64+'Assumptions and Catalog'!$E$64+'Assumptions and Catalog'!$F$64,IF(((D565+E565)*C565-G565)&lt;='Assumptions and Catalog'!$C$65,((D565+E565)*C565-G565)*'Assumptions and Catalog'!$H$65+'Assumptions and Catalog'!$E$65+'Assumptions and Catalog'!$F$65,"Out of range")))))))))*(1+'Assumptions and Catalog'!$C$8)^(A565-1),0)</f>
        <v>8279</v>
      </c>
      <c r="R565" s="5">
        <f>IF(AND('Assumptions and Catalog'!$C$19&gt;0,A565&gt;='Assumptions and Catalog'!$C$19),A565-'Assumptions and Catalog'!$C$19,A565-1)</f>
        <v>2</v>
      </c>
      <c r="S565" s="5">
        <f>F565+L565-(D565+E565)*C565-J565-K565-IF(D$52&gt;0,'Assumptions and Catalog'!$C$26*C565,0)</f>
        <v>0</v>
      </c>
      <c r="T565" s="5"/>
      <c r="U565" s="5"/>
    </row>
    <row r="566" spans="1:21" ht="23.1" customHeight="1" outlineLevel="1" x14ac:dyDescent="0.2">
      <c r="A566" s="5">
        <v>13</v>
      </c>
      <c r="B566" s="5">
        <v>12</v>
      </c>
      <c r="C566" s="5">
        <f>DAY(DATE('Assumptions and Catalog'!$C$24+A566-1,B566+1,0))</f>
        <v>31</v>
      </c>
      <c r="D566" s="5">
        <f>IF(ISNUMBER(Inputs!$L$5),Inputs!$L$5*Inputs!$L$6,0)</f>
        <v>40.35</v>
      </c>
      <c r="E566" s="5">
        <f>IF(ISNUMBER(Inputs!$L$5),Inputs!$L$5-D566,0)</f>
        <v>40.35</v>
      </c>
      <c r="F566" s="5">
        <f>D$51*'Assumptions and Catalog'!$C$31*C566*(1-'Assumptions and Catalog'!$C$10)^(A566-1)</f>
        <v>0</v>
      </c>
      <c r="G566" s="5">
        <f t="shared" si="40"/>
        <v>0</v>
      </c>
      <c r="H566" s="5">
        <f>I566/('Assumptions and Catalog'!$C$11*'Assumptions and Catalog'!$C$12)</f>
        <v>0</v>
      </c>
      <c r="I566" s="5">
        <f>IF(K$15="Grid cycle",MIN(K$16,D566+E566,P566*'Assumptions and Catalog'!$C$12,D$57*(24-'Assumptions and Catalog'!$C$15),D$56*'Assumptions and Catalog'!$C$15*'Assumptions and Catalog'!$C$11*'Assumptions and Catalog'!$C$12)*C566,0)</f>
        <v>0</v>
      </c>
      <c r="J566" s="5">
        <f t="shared" si="41"/>
        <v>0</v>
      </c>
      <c r="K566" s="5">
        <f t="shared" si="42"/>
        <v>0</v>
      </c>
      <c r="L566" s="5">
        <f>(D566+E566)*C566-G566-I566+H566+IF(D$52&gt;0,'Assumptions and Catalog'!$C$26*C566,0)</f>
        <v>2501.7000000000003</v>
      </c>
      <c r="M566" s="5">
        <f>IF(ISNUMBER(Inputs!$L$5),(IF(Inputs!$L$9="Actual flat rate",((D566+E566)*C566)*Inputs!$L$10,IF(Inputs!$C$9="Residential",IF(((D566+E566)*C566)&lt;='Assumptions and Catalog'!$C$50,((D566+E566)*C566)*'Assumptions and Catalog'!$H$50+'Assumptions and Catalog'!$E$50+'Assumptions and Catalog'!$F$50,IF(((D566+E566)*C566)&lt;='Assumptions and Catalog'!$C$51,((D566+E566)*C566)*'Assumptions and Catalog'!$H$51+'Assumptions and Catalog'!$E$51+'Assumptions and Catalog'!$F$51,IF(((D566+E566)*C566)&lt;='Assumptions and Catalog'!$C$52,((D566+E566)*C566)*'Assumptions and Catalog'!$H$52+'Assumptions and Catalog'!$E$52+'Assumptions and Catalog'!$F$52,IF(((D566+E566)*C566)&lt;='Assumptions and Catalog'!$C$53,((D566+E566)*C566)*'Assumptions and Catalog'!$H$53+'Assumptions and Catalog'!$E$53+'Assumptions and Catalog'!$F$53,IF(((D566+E566)*C566)&lt;='Assumptions and Catalog'!$C$54,((D566+E566)*C566)*'Assumptions and Catalog'!$H$54+'Assumptions and Catalog'!$E$54+'Assumptions and Catalog'!$F$54,IF(((D566+E566)*C566)&lt;='Assumptions and Catalog'!$C$55,((D566+E566)*C566)*'Assumptions and Catalog'!$H$55+'Assumptions and Catalog'!$E$55+'Assumptions and Catalog'!$F$55,IF(((D566+E566)*C566)&lt;='Assumptions and Catalog'!$C$56,((D566+E566)*C566)*'Assumptions and Catalog'!$H$56+'Assumptions and Catalog'!$E$56+'Assumptions and Catalog'!$F$56,IF(((D566+E566)*C566)&lt;='Assumptions and Catalog'!$C$57,((D566+E566)*C566)*'Assumptions and Catalog'!$H$57+'Assumptions and Catalog'!$E$57+'Assumptions and Catalog'!$F$57,"Out of range")))))))),IF(((D566+E566)*C566)&lt;='Assumptions and Catalog'!$C$60,((D566+E566)*C566)*'Assumptions and Catalog'!$H$60+'Assumptions and Catalog'!$E$60+'Assumptions and Catalog'!$F$60,IF(((D566+E566)*C566)&lt;='Assumptions and Catalog'!$C$61,((D566+E566)*C566)*'Assumptions and Catalog'!$H$61+'Assumptions and Catalog'!$E$61+'Assumptions and Catalog'!$F$61,IF(((D566+E566)*C566)&lt;='Assumptions and Catalog'!$C$62,((D566+E566)*C566)*'Assumptions and Catalog'!$H$62+'Assumptions and Catalog'!$E$62+'Assumptions and Catalog'!$F$62,IF(((D566+E566)*C566)&lt;='Assumptions and Catalog'!$C$63,((D566+E566)*C566)*'Assumptions and Catalog'!$H$63+'Assumptions and Catalog'!$E$63+'Assumptions and Catalog'!$F$63,IF(((D566+E566)*C566)&lt;='Assumptions and Catalog'!$C$64,((D566+E566)*C566)*'Assumptions and Catalog'!$H$64+'Assumptions and Catalog'!$E$64+'Assumptions and Catalog'!$F$64,IF(((D566+E566)*C566)&lt;='Assumptions and Catalog'!$C$65,((D566+E566)*C566)*'Assumptions and Catalog'!$H$65+'Assumptions and Catalog'!$E$65+'Assumptions and Catalog'!$F$65,"Out of range")))))))))*(1+'Assumptions and Catalog'!$C$8)^(A566-1),0)</f>
        <v>8554.9666666666672</v>
      </c>
      <c r="N566" s="5">
        <f>IF(ISNUMBER(Inputs!$L$5),(IF(Inputs!$L$9="Actual flat rate",L566*Inputs!$L$10,IF(Inputs!$C$9="Residential",IF(L566&lt;='Assumptions and Catalog'!$C$50,L566*'Assumptions and Catalog'!$H$50+'Assumptions and Catalog'!$E$50+'Assumptions and Catalog'!$F$50,IF(L566&lt;='Assumptions and Catalog'!$C$51,L566*'Assumptions and Catalog'!$H$51+'Assumptions and Catalog'!$E$51+'Assumptions and Catalog'!$F$51,IF(L566&lt;='Assumptions and Catalog'!$C$52,L566*'Assumptions and Catalog'!$H$52+'Assumptions and Catalog'!$E$52+'Assumptions and Catalog'!$F$52,IF(L566&lt;='Assumptions and Catalog'!$C$53,L566*'Assumptions and Catalog'!$H$53+'Assumptions and Catalog'!$E$53+'Assumptions and Catalog'!$F$53,IF(L566&lt;='Assumptions and Catalog'!$C$54,L566*'Assumptions and Catalog'!$H$54+'Assumptions and Catalog'!$E$54+'Assumptions and Catalog'!$F$54,IF(L566&lt;='Assumptions and Catalog'!$C$55,L566*'Assumptions and Catalog'!$H$55+'Assumptions and Catalog'!$E$55+'Assumptions and Catalog'!$F$55,IF(L566&lt;='Assumptions and Catalog'!$C$56,L566*'Assumptions and Catalog'!$H$56+'Assumptions and Catalog'!$E$56+'Assumptions and Catalog'!$F$56,IF(L566&lt;='Assumptions and Catalog'!$C$57,L566*'Assumptions and Catalog'!$H$57+'Assumptions and Catalog'!$E$57+'Assumptions and Catalog'!$F$57,"Out of range")))))))),IF(L566&lt;='Assumptions and Catalog'!$C$60,L566*'Assumptions and Catalog'!$H$60+'Assumptions and Catalog'!$E$60+'Assumptions and Catalog'!$F$60,IF(L566&lt;='Assumptions and Catalog'!$C$61,L566*'Assumptions and Catalog'!$H$61+'Assumptions and Catalog'!$E$61+'Assumptions and Catalog'!$F$61,IF(L566&lt;='Assumptions and Catalog'!$C$62,L566*'Assumptions and Catalog'!$H$62+'Assumptions and Catalog'!$E$62+'Assumptions and Catalog'!$F$62,IF(L566&lt;='Assumptions and Catalog'!$C$63,L566*'Assumptions and Catalog'!$H$63+'Assumptions and Catalog'!$E$63+'Assumptions and Catalog'!$F$63,IF(L566&lt;='Assumptions and Catalog'!$C$64,L566*'Assumptions and Catalog'!$H$64+'Assumptions and Catalog'!$E$64+'Assumptions and Catalog'!$F$64,IF(L566&lt;='Assumptions and Catalog'!$C$65,L566*'Assumptions and Catalog'!$H$65+'Assumptions and Catalog'!$E$65+'Assumptions and Catalog'!$F$65,"Out of range")))))))))*(1+'Assumptions and Catalog'!$C$8)^(A566-1),0)</f>
        <v>8554.9666666666672</v>
      </c>
      <c r="O566" s="5">
        <f t="shared" si="43"/>
        <v>0</v>
      </c>
      <c r="P566" s="5">
        <f>D$55*(1-K$14)*(1-'Assumptions and Catalog'!$C$23)^R566</f>
        <v>0</v>
      </c>
      <c r="Q566" s="5">
        <f>IF(ISNUMBER(Inputs!$L$5),(IF(Inputs!$L$9="Actual flat rate",((D566+E566)*C566-G566)*Inputs!$L$10,IF(Inputs!$C$9="Residential",IF(((D566+E566)*C566-G566)&lt;='Assumptions and Catalog'!$C$50,((D566+E566)*C566-G566)*'Assumptions and Catalog'!$H$50+'Assumptions and Catalog'!$E$50+'Assumptions and Catalog'!$F$50,IF(((D566+E566)*C566-G566)&lt;='Assumptions and Catalog'!$C$51,((D566+E566)*C566-G566)*'Assumptions and Catalog'!$H$51+'Assumptions and Catalog'!$E$51+'Assumptions and Catalog'!$F$51,IF(((D566+E566)*C566-G566)&lt;='Assumptions and Catalog'!$C$52,((D566+E566)*C566-G566)*'Assumptions and Catalog'!$H$52+'Assumptions and Catalog'!$E$52+'Assumptions and Catalog'!$F$52,IF(((D566+E566)*C566-G566)&lt;='Assumptions and Catalog'!$C$53,((D566+E566)*C566-G566)*'Assumptions and Catalog'!$H$53+'Assumptions and Catalog'!$E$53+'Assumptions and Catalog'!$F$53,IF(((D566+E566)*C566-G566)&lt;='Assumptions and Catalog'!$C$54,((D566+E566)*C566-G566)*'Assumptions and Catalog'!$H$54+'Assumptions and Catalog'!$E$54+'Assumptions and Catalog'!$F$54,IF(((D566+E566)*C566-G566)&lt;='Assumptions and Catalog'!$C$55,((D566+E566)*C566-G566)*'Assumptions and Catalog'!$H$55+'Assumptions and Catalog'!$E$55+'Assumptions and Catalog'!$F$55,IF(((D566+E566)*C566-G566)&lt;='Assumptions and Catalog'!$C$56,((D566+E566)*C566-G566)*'Assumptions and Catalog'!$H$56+'Assumptions and Catalog'!$E$56+'Assumptions and Catalog'!$F$56,IF(((D566+E566)*C566-G566)&lt;='Assumptions and Catalog'!$C$57,((D566+E566)*C566-G566)*'Assumptions and Catalog'!$H$57+'Assumptions and Catalog'!$E$57+'Assumptions and Catalog'!$F$57,"Out of range")))))))),IF(((D566+E566)*C566-G566)&lt;='Assumptions and Catalog'!$C$60,((D566+E566)*C566-G566)*'Assumptions and Catalog'!$H$60+'Assumptions and Catalog'!$E$60+'Assumptions and Catalog'!$F$60,IF(((D566+E566)*C566-G566)&lt;='Assumptions and Catalog'!$C$61,((D566+E566)*C566-G566)*'Assumptions and Catalog'!$H$61+'Assumptions and Catalog'!$E$61+'Assumptions and Catalog'!$F$61,IF(((D566+E566)*C566-G566)&lt;='Assumptions and Catalog'!$C$62,((D566+E566)*C566-G566)*'Assumptions and Catalog'!$H$62+'Assumptions and Catalog'!$E$62+'Assumptions and Catalog'!$F$62,IF(((D566+E566)*C566-G566)&lt;='Assumptions and Catalog'!$C$63,((D566+E566)*C566-G566)*'Assumptions and Catalog'!$H$63+'Assumptions and Catalog'!$E$63+'Assumptions and Catalog'!$F$63,IF(((D566+E566)*C566-G566)&lt;='Assumptions and Catalog'!$C$64,((D566+E566)*C566-G566)*'Assumptions and Catalog'!$H$64+'Assumptions and Catalog'!$E$64+'Assumptions and Catalog'!$F$64,IF(((D566+E566)*C566-G566)&lt;='Assumptions and Catalog'!$C$65,((D566+E566)*C566-G566)*'Assumptions and Catalog'!$H$65+'Assumptions and Catalog'!$E$65+'Assumptions and Catalog'!$F$65,"Out of range")))))))))*(1+'Assumptions and Catalog'!$C$8)^(A566-1),0)</f>
        <v>8554.9666666666672</v>
      </c>
      <c r="R566" s="5">
        <f>IF(AND('Assumptions and Catalog'!$C$19&gt;0,A566&gt;='Assumptions and Catalog'!$C$19),A566-'Assumptions and Catalog'!$C$19,A566-1)</f>
        <v>2</v>
      </c>
      <c r="S566" s="5">
        <f>F566+L566-(D566+E566)*C566-J566-K566-IF(D$52&gt;0,'Assumptions and Catalog'!$C$26*C566,0)</f>
        <v>0</v>
      </c>
      <c r="T566" s="5"/>
      <c r="U566" s="5"/>
    </row>
    <row r="567" spans="1:21" ht="23.1" customHeight="1" outlineLevel="1" x14ac:dyDescent="0.2">
      <c r="A567" s="5">
        <v>14</v>
      </c>
      <c r="B567" s="5">
        <v>1</v>
      </c>
      <c r="C567" s="5">
        <f>DAY(DATE('Assumptions and Catalog'!$C$24+A567-1,B567+1,0))</f>
        <v>31</v>
      </c>
      <c r="D567" s="5">
        <f>IF(ISNUMBER(Inputs!$L$5),Inputs!$L$5*Inputs!$L$6,0)</f>
        <v>40.35</v>
      </c>
      <c r="E567" s="5">
        <f>IF(ISNUMBER(Inputs!$L$5),Inputs!$L$5-D567,0)</f>
        <v>40.35</v>
      </c>
      <c r="F567" s="5">
        <f>D$51*'Assumptions and Catalog'!$C$31*C567*(1-'Assumptions and Catalog'!$C$10)^(A567-1)</f>
        <v>0</v>
      </c>
      <c r="G567" s="5">
        <f t="shared" si="40"/>
        <v>0</v>
      </c>
      <c r="H567" s="5">
        <f>I567/('Assumptions and Catalog'!$C$11*'Assumptions and Catalog'!$C$12)</f>
        <v>0</v>
      </c>
      <c r="I567" s="5">
        <f>IF(K$15="Grid cycle",MIN(K$16,D567+E567,P567*'Assumptions and Catalog'!$C$12,D$57*(24-'Assumptions and Catalog'!$C$15),D$56*'Assumptions and Catalog'!$C$15*'Assumptions and Catalog'!$C$11*'Assumptions and Catalog'!$C$12)*C567,0)</f>
        <v>0</v>
      </c>
      <c r="J567" s="5">
        <f t="shared" si="41"/>
        <v>0</v>
      </c>
      <c r="K567" s="5">
        <f t="shared" si="42"/>
        <v>0</v>
      </c>
      <c r="L567" s="5">
        <f>(D567+E567)*C567-G567-I567+H567+IF(D$52&gt;0,'Assumptions and Catalog'!$C$26*C567,0)</f>
        <v>2501.7000000000003</v>
      </c>
      <c r="M567" s="5">
        <f>IF(ISNUMBER(Inputs!$L$5),(IF(Inputs!$L$9="Actual flat rate",((D567+E567)*C567)*Inputs!$L$10,IF(Inputs!$C$9="Residential",IF(((D567+E567)*C567)&lt;='Assumptions and Catalog'!$C$50,((D567+E567)*C567)*'Assumptions and Catalog'!$H$50+'Assumptions and Catalog'!$E$50+'Assumptions and Catalog'!$F$50,IF(((D567+E567)*C567)&lt;='Assumptions and Catalog'!$C$51,((D567+E567)*C567)*'Assumptions and Catalog'!$H$51+'Assumptions and Catalog'!$E$51+'Assumptions and Catalog'!$F$51,IF(((D567+E567)*C567)&lt;='Assumptions and Catalog'!$C$52,((D567+E567)*C567)*'Assumptions and Catalog'!$H$52+'Assumptions and Catalog'!$E$52+'Assumptions and Catalog'!$F$52,IF(((D567+E567)*C567)&lt;='Assumptions and Catalog'!$C$53,((D567+E567)*C567)*'Assumptions and Catalog'!$H$53+'Assumptions and Catalog'!$E$53+'Assumptions and Catalog'!$F$53,IF(((D567+E567)*C567)&lt;='Assumptions and Catalog'!$C$54,((D567+E567)*C567)*'Assumptions and Catalog'!$H$54+'Assumptions and Catalog'!$E$54+'Assumptions and Catalog'!$F$54,IF(((D567+E567)*C567)&lt;='Assumptions and Catalog'!$C$55,((D567+E567)*C567)*'Assumptions and Catalog'!$H$55+'Assumptions and Catalog'!$E$55+'Assumptions and Catalog'!$F$55,IF(((D567+E567)*C567)&lt;='Assumptions and Catalog'!$C$56,((D567+E567)*C567)*'Assumptions and Catalog'!$H$56+'Assumptions and Catalog'!$E$56+'Assumptions and Catalog'!$F$56,IF(((D567+E567)*C567)&lt;='Assumptions and Catalog'!$C$57,((D567+E567)*C567)*'Assumptions and Catalog'!$H$57+'Assumptions and Catalog'!$E$57+'Assumptions and Catalog'!$F$57,"Out of range")))))))),IF(((D567+E567)*C567)&lt;='Assumptions and Catalog'!$C$60,((D567+E567)*C567)*'Assumptions and Catalog'!$H$60+'Assumptions and Catalog'!$E$60+'Assumptions and Catalog'!$F$60,IF(((D567+E567)*C567)&lt;='Assumptions and Catalog'!$C$61,((D567+E567)*C567)*'Assumptions and Catalog'!$H$61+'Assumptions and Catalog'!$E$61+'Assumptions and Catalog'!$F$61,IF(((D567+E567)*C567)&lt;='Assumptions and Catalog'!$C$62,((D567+E567)*C567)*'Assumptions and Catalog'!$H$62+'Assumptions and Catalog'!$E$62+'Assumptions and Catalog'!$F$62,IF(((D567+E567)*C567)&lt;='Assumptions and Catalog'!$C$63,((D567+E567)*C567)*'Assumptions and Catalog'!$H$63+'Assumptions and Catalog'!$E$63+'Assumptions and Catalog'!$F$63,IF(((D567+E567)*C567)&lt;='Assumptions and Catalog'!$C$64,((D567+E567)*C567)*'Assumptions and Catalog'!$H$64+'Assumptions and Catalog'!$E$64+'Assumptions and Catalog'!$F$64,IF(((D567+E567)*C567)&lt;='Assumptions and Catalog'!$C$65,((D567+E567)*C567)*'Assumptions and Catalog'!$H$65+'Assumptions and Catalog'!$E$65+'Assumptions and Catalog'!$F$65,"Out of range")))))))))*(1+'Assumptions and Catalog'!$C$8)^(A567-1),0)</f>
        <v>8554.9666666666672</v>
      </c>
      <c r="N567" s="5">
        <f>IF(ISNUMBER(Inputs!$L$5),(IF(Inputs!$L$9="Actual flat rate",L567*Inputs!$L$10,IF(Inputs!$C$9="Residential",IF(L567&lt;='Assumptions and Catalog'!$C$50,L567*'Assumptions and Catalog'!$H$50+'Assumptions and Catalog'!$E$50+'Assumptions and Catalog'!$F$50,IF(L567&lt;='Assumptions and Catalog'!$C$51,L567*'Assumptions and Catalog'!$H$51+'Assumptions and Catalog'!$E$51+'Assumptions and Catalog'!$F$51,IF(L567&lt;='Assumptions and Catalog'!$C$52,L567*'Assumptions and Catalog'!$H$52+'Assumptions and Catalog'!$E$52+'Assumptions and Catalog'!$F$52,IF(L567&lt;='Assumptions and Catalog'!$C$53,L567*'Assumptions and Catalog'!$H$53+'Assumptions and Catalog'!$E$53+'Assumptions and Catalog'!$F$53,IF(L567&lt;='Assumptions and Catalog'!$C$54,L567*'Assumptions and Catalog'!$H$54+'Assumptions and Catalog'!$E$54+'Assumptions and Catalog'!$F$54,IF(L567&lt;='Assumptions and Catalog'!$C$55,L567*'Assumptions and Catalog'!$H$55+'Assumptions and Catalog'!$E$55+'Assumptions and Catalog'!$F$55,IF(L567&lt;='Assumptions and Catalog'!$C$56,L567*'Assumptions and Catalog'!$H$56+'Assumptions and Catalog'!$E$56+'Assumptions and Catalog'!$F$56,IF(L567&lt;='Assumptions and Catalog'!$C$57,L567*'Assumptions and Catalog'!$H$57+'Assumptions and Catalog'!$E$57+'Assumptions and Catalog'!$F$57,"Out of range")))))))),IF(L567&lt;='Assumptions and Catalog'!$C$60,L567*'Assumptions and Catalog'!$H$60+'Assumptions and Catalog'!$E$60+'Assumptions and Catalog'!$F$60,IF(L567&lt;='Assumptions and Catalog'!$C$61,L567*'Assumptions and Catalog'!$H$61+'Assumptions and Catalog'!$E$61+'Assumptions and Catalog'!$F$61,IF(L567&lt;='Assumptions and Catalog'!$C$62,L567*'Assumptions and Catalog'!$H$62+'Assumptions and Catalog'!$E$62+'Assumptions and Catalog'!$F$62,IF(L567&lt;='Assumptions and Catalog'!$C$63,L567*'Assumptions and Catalog'!$H$63+'Assumptions and Catalog'!$E$63+'Assumptions and Catalog'!$F$63,IF(L567&lt;='Assumptions and Catalog'!$C$64,L567*'Assumptions and Catalog'!$H$64+'Assumptions and Catalog'!$E$64+'Assumptions and Catalog'!$F$64,IF(L567&lt;='Assumptions and Catalog'!$C$65,L567*'Assumptions and Catalog'!$H$65+'Assumptions and Catalog'!$E$65+'Assumptions and Catalog'!$F$65,"Out of range")))))))))*(1+'Assumptions and Catalog'!$C$8)^(A567-1),0)</f>
        <v>8554.9666666666672</v>
      </c>
      <c r="O567" s="5">
        <f t="shared" si="43"/>
        <v>0</v>
      </c>
      <c r="P567" s="5">
        <f>D$55*(1-K$14)*(1-'Assumptions and Catalog'!$C$23)^R567</f>
        <v>0</v>
      </c>
      <c r="Q567" s="5">
        <f>IF(ISNUMBER(Inputs!$L$5),(IF(Inputs!$L$9="Actual flat rate",((D567+E567)*C567-G567)*Inputs!$L$10,IF(Inputs!$C$9="Residential",IF(((D567+E567)*C567-G567)&lt;='Assumptions and Catalog'!$C$50,((D567+E567)*C567-G567)*'Assumptions and Catalog'!$H$50+'Assumptions and Catalog'!$E$50+'Assumptions and Catalog'!$F$50,IF(((D567+E567)*C567-G567)&lt;='Assumptions and Catalog'!$C$51,((D567+E567)*C567-G567)*'Assumptions and Catalog'!$H$51+'Assumptions and Catalog'!$E$51+'Assumptions and Catalog'!$F$51,IF(((D567+E567)*C567-G567)&lt;='Assumptions and Catalog'!$C$52,((D567+E567)*C567-G567)*'Assumptions and Catalog'!$H$52+'Assumptions and Catalog'!$E$52+'Assumptions and Catalog'!$F$52,IF(((D567+E567)*C567-G567)&lt;='Assumptions and Catalog'!$C$53,((D567+E567)*C567-G567)*'Assumptions and Catalog'!$H$53+'Assumptions and Catalog'!$E$53+'Assumptions and Catalog'!$F$53,IF(((D567+E567)*C567-G567)&lt;='Assumptions and Catalog'!$C$54,((D567+E567)*C567-G567)*'Assumptions and Catalog'!$H$54+'Assumptions and Catalog'!$E$54+'Assumptions and Catalog'!$F$54,IF(((D567+E567)*C567-G567)&lt;='Assumptions and Catalog'!$C$55,((D567+E567)*C567-G567)*'Assumptions and Catalog'!$H$55+'Assumptions and Catalog'!$E$55+'Assumptions and Catalog'!$F$55,IF(((D567+E567)*C567-G567)&lt;='Assumptions and Catalog'!$C$56,((D567+E567)*C567-G567)*'Assumptions and Catalog'!$H$56+'Assumptions and Catalog'!$E$56+'Assumptions and Catalog'!$F$56,IF(((D567+E567)*C567-G567)&lt;='Assumptions and Catalog'!$C$57,((D567+E567)*C567-G567)*'Assumptions and Catalog'!$H$57+'Assumptions and Catalog'!$E$57+'Assumptions and Catalog'!$F$57,"Out of range")))))))),IF(((D567+E567)*C567-G567)&lt;='Assumptions and Catalog'!$C$60,((D567+E567)*C567-G567)*'Assumptions and Catalog'!$H$60+'Assumptions and Catalog'!$E$60+'Assumptions and Catalog'!$F$60,IF(((D567+E567)*C567-G567)&lt;='Assumptions and Catalog'!$C$61,((D567+E567)*C567-G567)*'Assumptions and Catalog'!$H$61+'Assumptions and Catalog'!$E$61+'Assumptions and Catalog'!$F$61,IF(((D567+E567)*C567-G567)&lt;='Assumptions and Catalog'!$C$62,((D567+E567)*C567-G567)*'Assumptions and Catalog'!$H$62+'Assumptions and Catalog'!$E$62+'Assumptions and Catalog'!$F$62,IF(((D567+E567)*C567-G567)&lt;='Assumptions and Catalog'!$C$63,((D567+E567)*C567-G567)*'Assumptions and Catalog'!$H$63+'Assumptions and Catalog'!$E$63+'Assumptions and Catalog'!$F$63,IF(((D567+E567)*C567-G567)&lt;='Assumptions and Catalog'!$C$64,((D567+E567)*C567-G567)*'Assumptions and Catalog'!$H$64+'Assumptions and Catalog'!$E$64+'Assumptions and Catalog'!$F$64,IF(((D567+E567)*C567-G567)&lt;='Assumptions and Catalog'!$C$65,((D567+E567)*C567-G567)*'Assumptions and Catalog'!$H$65+'Assumptions and Catalog'!$E$65+'Assumptions and Catalog'!$F$65,"Out of range")))))))))*(1+'Assumptions and Catalog'!$C$8)^(A567-1),0)</f>
        <v>8554.9666666666672</v>
      </c>
      <c r="R567" s="5">
        <f>IF(AND('Assumptions and Catalog'!$C$19&gt;0,A567&gt;='Assumptions and Catalog'!$C$19),A567-'Assumptions and Catalog'!$C$19,A567-1)</f>
        <v>3</v>
      </c>
      <c r="S567" s="5">
        <f>F567+L567-(D567+E567)*C567-J567-K567-IF(D$52&gt;0,'Assumptions and Catalog'!$C$26*C567,0)</f>
        <v>0</v>
      </c>
      <c r="T567" s="5"/>
      <c r="U567" s="5"/>
    </row>
    <row r="568" spans="1:21" ht="23.1" customHeight="1" outlineLevel="1" x14ac:dyDescent="0.2">
      <c r="A568" s="5">
        <v>14</v>
      </c>
      <c r="B568" s="5">
        <v>2</v>
      </c>
      <c r="C568" s="5">
        <f>DAY(DATE('Assumptions and Catalog'!$C$24+A568-1,B568+1,0))</f>
        <v>29</v>
      </c>
      <c r="D568" s="5">
        <f>IF(ISNUMBER(Inputs!$L$5),Inputs!$L$5*Inputs!$L$6,0)</f>
        <v>40.35</v>
      </c>
      <c r="E568" s="5">
        <f>IF(ISNUMBER(Inputs!$L$5),Inputs!$L$5-D568,0)</f>
        <v>40.35</v>
      </c>
      <c r="F568" s="5">
        <f>D$51*'Assumptions and Catalog'!$C$31*C568*(1-'Assumptions and Catalog'!$C$10)^(A568-1)</f>
        <v>0</v>
      </c>
      <c r="G568" s="5">
        <f t="shared" si="40"/>
        <v>0</v>
      </c>
      <c r="H568" s="5">
        <f>I568/('Assumptions and Catalog'!$C$11*'Assumptions and Catalog'!$C$12)</f>
        <v>0</v>
      </c>
      <c r="I568" s="5">
        <f>IF(K$15="Grid cycle",MIN(K$16,D568+E568,P568*'Assumptions and Catalog'!$C$12,D$57*(24-'Assumptions and Catalog'!$C$15),D$56*'Assumptions and Catalog'!$C$15*'Assumptions and Catalog'!$C$11*'Assumptions and Catalog'!$C$12)*C568,0)</f>
        <v>0</v>
      </c>
      <c r="J568" s="5">
        <f t="shared" si="41"/>
        <v>0</v>
      </c>
      <c r="K568" s="5">
        <f t="shared" si="42"/>
        <v>0</v>
      </c>
      <c r="L568" s="5">
        <f>(D568+E568)*C568-G568-I568+H568+IF(D$52&gt;0,'Assumptions and Catalog'!$C$26*C568,0)</f>
        <v>2340.3000000000002</v>
      </c>
      <c r="M568" s="5">
        <f>IF(ISNUMBER(Inputs!$L$5),(IF(Inputs!$L$9="Actual flat rate",((D568+E568)*C568)*Inputs!$L$10,IF(Inputs!$C$9="Residential",IF(((D568+E568)*C568)&lt;='Assumptions and Catalog'!$C$50,((D568+E568)*C568)*'Assumptions and Catalog'!$H$50+'Assumptions and Catalog'!$E$50+'Assumptions and Catalog'!$F$50,IF(((D568+E568)*C568)&lt;='Assumptions and Catalog'!$C$51,((D568+E568)*C568)*'Assumptions and Catalog'!$H$51+'Assumptions and Catalog'!$E$51+'Assumptions and Catalog'!$F$51,IF(((D568+E568)*C568)&lt;='Assumptions and Catalog'!$C$52,((D568+E568)*C568)*'Assumptions and Catalog'!$H$52+'Assumptions and Catalog'!$E$52+'Assumptions and Catalog'!$F$52,IF(((D568+E568)*C568)&lt;='Assumptions and Catalog'!$C$53,((D568+E568)*C568)*'Assumptions and Catalog'!$H$53+'Assumptions and Catalog'!$E$53+'Assumptions and Catalog'!$F$53,IF(((D568+E568)*C568)&lt;='Assumptions and Catalog'!$C$54,((D568+E568)*C568)*'Assumptions and Catalog'!$H$54+'Assumptions and Catalog'!$E$54+'Assumptions and Catalog'!$F$54,IF(((D568+E568)*C568)&lt;='Assumptions and Catalog'!$C$55,((D568+E568)*C568)*'Assumptions and Catalog'!$H$55+'Assumptions and Catalog'!$E$55+'Assumptions and Catalog'!$F$55,IF(((D568+E568)*C568)&lt;='Assumptions and Catalog'!$C$56,((D568+E568)*C568)*'Assumptions and Catalog'!$H$56+'Assumptions and Catalog'!$E$56+'Assumptions and Catalog'!$F$56,IF(((D568+E568)*C568)&lt;='Assumptions and Catalog'!$C$57,((D568+E568)*C568)*'Assumptions and Catalog'!$H$57+'Assumptions and Catalog'!$E$57+'Assumptions and Catalog'!$F$57,"Out of range")))))))),IF(((D568+E568)*C568)&lt;='Assumptions and Catalog'!$C$60,((D568+E568)*C568)*'Assumptions and Catalog'!$H$60+'Assumptions and Catalog'!$E$60+'Assumptions and Catalog'!$F$60,IF(((D568+E568)*C568)&lt;='Assumptions and Catalog'!$C$61,((D568+E568)*C568)*'Assumptions and Catalog'!$H$61+'Assumptions and Catalog'!$E$61+'Assumptions and Catalog'!$F$61,IF(((D568+E568)*C568)&lt;='Assumptions and Catalog'!$C$62,((D568+E568)*C568)*'Assumptions and Catalog'!$H$62+'Assumptions and Catalog'!$E$62+'Assumptions and Catalog'!$F$62,IF(((D568+E568)*C568)&lt;='Assumptions and Catalog'!$C$63,((D568+E568)*C568)*'Assumptions and Catalog'!$H$63+'Assumptions and Catalog'!$E$63+'Assumptions and Catalog'!$F$63,IF(((D568+E568)*C568)&lt;='Assumptions and Catalog'!$C$64,((D568+E568)*C568)*'Assumptions and Catalog'!$H$64+'Assumptions and Catalog'!$E$64+'Assumptions and Catalog'!$F$64,IF(((D568+E568)*C568)&lt;='Assumptions and Catalog'!$C$65,((D568+E568)*C568)*'Assumptions and Catalog'!$H$65+'Assumptions and Catalog'!$E$65+'Assumptions and Catalog'!$F$65,"Out of range")))))))))*(1+'Assumptions and Catalog'!$C$8)^(A568-1),0)</f>
        <v>8003.0333333333338</v>
      </c>
      <c r="N568" s="5">
        <f>IF(ISNUMBER(Inputs!$L$5),(IF(Inputs!$L$9="Actual flat rate",L568*Inputs!$L$10,IF(Inputs!$C$9="Residential",IF(L568&lt;='Assumptions and Catalog'!$C$50,L568*'Assumptions and Catalog'!$H$50+'Assumptions and Catalog'!$E$50+'Assumptions and Catalog'!$F$50,IF(L568&lt;='Assumptions and Catalog'!$C$51,L568*'Assumptions and Catalog'!$H$51+'Assumptions and Catalog'!$E$51+'Assumptions and Catalog'!$F$51,IF(L568&lt;='Assumptions and Catalog'!$C$52,L568*'Assumptions and Catalog'!$H$52+'Assumptions and Catalog'!$E$52+'Assumptions and Catalog'!$F$52,IF(L568&lt;='Assumptions and Catalog'!$C$53,L568*'Assumptions and Catalog'!$H$53+'Assumptions and Catalog'!$E$53+'Assumptions and Catalog'!$F$53,IF(L568&lt;='Assumptions and Catalog'!$C$54,L568*'Assumptions and Catalog'!$H$54+'Assumptions and Catalog'!$E$54+'Assumptions and Catalog'!$F$54,IF(L568&lt;='Assumptions and Catalog'!$C$55,L568*'Assumptions and Catalog'!$H$55+'Assumptions and Catalog'!$E$55+'Assumptions and Catalog'!$F$55,IF(L568&lt;='Assumptions and Catalog'!$C$56,L568*'Assumptions and Catalog'!$H$56+'Assumptions and Catalog'!$E$56+'Assumptions and Catalog'!$F$56,IF(L568&lt;='Assumptions and Catalog'!$C$57,L568*'Assumptions and Catalog'!$H$57+'Assumptions and Catalog'!$E$57+'Assumptions and Catalog'!$F$57,"Out of range")))))))),IF(L568&lt;='Assumptions and Catalog'!$C$60,L568*'Assumptions and Catalog'!$H$60+'Assumptions and Catalog'!$E$60+'Assumptions and Catalog'!$F$60,IF(L568&lt;='Assumptions and Catalog'!$C$61,L568*'Assumptions and Catalog'!$H$61+'Assumptions and Catalog'!$E$61+'Assumptions and Catalog'!$F$61,IF(L568&lt;='Assumptions and Catalog'!$C$62,L568*'Assumptions and Catalog'!$H$62+'Assumptions and Catalog'!$E$62+'Assumptions and Catalog'!$F$62,IF(L568&lt;='Assumptions and Catalog'!$C$63,L568*'Assumptions and Catalog'!$H$63+'Assumptions and Catalog'!$E$63+'Assumptions and Catalog'!$F$63,IF(L568&lt;='Assumptions and Catalog'!$C$64,L568*'Assumptions and Catalog'!$H$64+'Assumptions and Catalog'!$E$64+'Assumptions and Catalog'!$F$64,IF(L568&lt;='Assumptions and Catalog'!$C$65,L568*'Assumptions and Catalog'!$H$65+'Assumptions and Catalog'!$E$65+'Assumptions and Catalog'!$F$65,"Out of range")))))))))*(1+'Assumptions and Catalog'!$C$8)^(A568-1),0)</f>
        <v>8003.0333333333338</v>
      </c>
      <c r="O568" s="5">
        <f t="shared" si="43"/>
        <v>0</v>
      </c>
      <c r="P568" s="5">
        <f>D$55*(1-K$14)*(1-'Assumptions and Catalog'!$C$23)^R568</f>
        <v>0</v>
      </c>
      <c r="Q568" s="5">
        <f>IF(ISNUMBER(Inputs!$L$5),(IF(Inputs!$L$9="Actual flat rate",((D568+E568)*C568-G568)*Inputs!$L$10,IF(Inputs!$C$9="Residential",IF(((D568+E568)*C568-G568)&lt;='Assumptions and Catalog'!$C$50,((D568+E568)*C568-G568)*'Assumptions and Catalog'!$H$50+'Assumptions and Catalog'!$E$50+'Assumptions and Catalog'!$F$50,IF(((D568+E568)*C568-G568)&lt;='Assumptions and Catalog'!$C$51,((D568+E568)*C568-G568)*'Assumptions and Catalog'!$H$51+'Assumptions and Catalog'!$E$51+'Assumptions and Catalog'!$F$51,IF(((D568+E568)*C568-G568)&lt;='Assumptions and Catalog'!$C$52,((D568+E568)*C568-G568)*'Assumptions and Catalog'!$H$52+'Assumptions and Catalog'!$E$52+'Assumptions and Catalog'!$F$52,IF(((D568+E568)*C568-G568)&lt;='Assumptions and Catalog'!$C$53,((D568+E568)*C568-G568)*'Assumptions and Catalog'!$H$53+'Assumptions and Catalog'!$E$53+'Assumptions and Catalog'!$F$53,IF(((D568+E568)*C568-G568)&lt;='Assumptions and Catalog'!$C$54,((D568+E568)*C568-G568)*'Assumptions and Catalog'!$H$54+'Assumptions and Catalog'!$E$54+'Assumptions and Catalog'!$F$54,IF(((D568+E568)*C568-G568)&lt;='Assumptions and Catalog'!$C$55,((D568+E568)*C568-G568)*'Assumptions and Catalog'!$H$55+'Assumptions and Catalog'!$E$55+'Assumptions and Catalog'!$F$55,IF(((D568+E568)*C568-G568)&lt;='Assumptions and Catalog'!$C$56,((D568+E568)*C568-G568)*'Assumptions and Catalog'!$H$56+'Assumptions and Catalog'!$E$56+'Assumptions and Catalog'!$F$56,IF(((D568+E568)*C568-G568)&lt;='Assumptions and Catalog'!$C$57,((D568+E568)*C568-G568)*'Assumptions and Catalog'!$H$57+'Assumptions and Catalog'!$E$57+'Assumptions and Catalog'!$F$57,"Out of range")))))))),IF(((D568+E568)*C568-G568)&lt;='Assumptions and Catalog'!$C$60,((D568+E568)*C568-G568)*'Assumptions and Catalog'!$H$60+'Assumptions and Catalog'!$E$60+'Assumptions and Catalog'!$F$60,IF(((D568+E568)*C568-G568)&lt;='Assumptions and Catalog'!$C$61,((D568+E568)*C568-G568)*'Assumptions and Catalog'!$H$61+'Assumptions and Catalog'!$E$61+'Assumptions and Catalog'!$F$61,IF(((D568+E568)*C568-G568)&lt;='Assumptions and Catalog'!$C$62,((D568+E568)*C568-G568)*'Assumptions and Catalog'!$H$62+'Assumptions and Catalog'!$E$62+'Assumptions and Catalog'!$F$62,IF(((D568+E568)*C568-G568)&lt;='Assumptions and Catalog'!$C$63,((D568+E568)*C568-G568)*'Assumptions and Catalog'!$H$63+'Assumptions and Catalog'!$E$63+'Assumptions and Catalog'!$F$63,IF(((D568+E568)*C568-G568)&lt;='Assumptions and Catalog'!$C$64,((D568+E568)*C568-G568)*'Assumptions and Catalog'!$H$64+'Assumptions and Catalog'!$E$64+'Assumptions and Catalog'!$F$64,IF(((D568+E568)*C568-G568)&lt;='Assumptions and Catalog'!$C$65,((D568+E568)*C568-G568)*'Assumptions and Catalog'!$H$65+'Assumptions and Catalog'!$E$65+'Assumptions and Catalog'!$F$65,"Out of range")))))))))*(1+'Assumptions and Catalog'!$C$8)^(A568-1),0)</f>
        <v>8003.0333333333338</v>
      </c>
      <c r="R568" s="5">
        <f>IF(AND('Assumptions and Catalog'!$C$19&gt;0,A568&gt;='Assumptions and Catalog'!$C$19),A568-'Assumptions and Catalog'!$C$19,A568-1)</f>
        <v>3</v>
      </c>
      <c r="S568" s="5">
        <f>F568+L568-(D568+E568)*C568-J568-K568-IF(D$52&gt;0,'Assumptions and Catalog'!$C$26*C568,0)</f>
        <v>0</v>
      </c>
      <c r="T568" s="5"/>
      <c r="U568" s="5"/>
    </row>
    <row r="569" spans="1:21" ht="23.1" customHeight="1" outlineLevel="1" x14ac:dyDescent="0.2">
      <c r="A569" s="5">
        <v>14</v>
      </c>
      <c r="B569" s="5">
        <v>3</v>
      </c>
      <c r="C569" s="5">
        <f>DAY(DATE('Assumptions and Catalog'!$C$24+A569-1,B569+1,0))</f>
        <v>31</v>
      </c>
      <c r="D569" s="5">
        <f>IF(ISNUMBER(Inputs!$L$5),Inputs!$L$5*Inputs!$L$6,0)</f>
        <v>40.35</v>
      </c>
      <c r="E569" s="5">
        <f>IF(ISNUMBER(Inputs!$L$5),Inputs!$L$5-D569,0)</f>
        <v>40.35</v>
      </c>
      <c r="F569" s="5">
        <f>D$51*'Assumptions and Catalog'!$C$31*C569*(1-'Assumptions and Catalog'!$C$10)^(A569-1)</f>
        <v>0</v>
      </c>
      <c r="G569" s="5">
        <f t="shared" si="40"/>
        <v>0</v>
      </c>
      <c r="H569" s="5">
        <f>I569/('Assumptions and Catalog'!$C$11*'Assumptions and Catalog'!$C$12)</f>
        <v>0</v>
      </c>
      <c r="I569" s="5">
        <f>IF(K$15="Grid cycle",MIN(K$16,D569+E569,P569*'Assumptions and Catalog'!$C$12,D$57*(24-'Assumptions and Catalog'!$C$15),D$56*'Assumptions and Catalog'!$C$15*'Assumptions and Catalog'!$C$11*'Assumptions and Catalog'!$C$12)*C569,0)</f>
        <v>0</v>
      </c>
      <c r="J569" s="5">
        <f t="shared" si="41"/>
        <v>0</v>
      </c>
      <c r="K569" s="5">
        <f t="shared" si="42"/>
        <v>0</v>
      </c>
      <c r="L569" s="5">
        <f>(D569+E569)*C569-G569-I569+H569+IF(D$52&gt;0,'Assumptions and Catalog'!$C$26*C569,0)</f>
        <v>2501.7000000000003</v>
      </c>
      <c r="M569" s="5">
        <f>IF(ISNUMBER(Inputs!$L$5),(IF(Inputs!$L$9="Actual flat rate",((D569+E569)*C569)*Inputs!$L$10,IF(Inputs!$C$9="Residential",IF(((D569+E569)*C569)&lt;='Assumptions and Catalog'!$C$50,((D569+E569)*C569)*'Assumptions and Catalog'!$H$50+'Assumptions and Catalog'!$E$50+'Assumptions and Catalog'!$F$50,IF(((D569+E569)*C569)&lt;='Assumptions and Catalog'!$C$51,((D569+E569)*C569)*'Assumptions and Catalog'!$H$51+'Assumptions and Catalog'!$E$51+'Assumptions and Catalog'!$F$51,IF(((D569+E569)*C569)&lt;='Assumptions and Catalog'!$C$52,((D569+E569)*C569)*'Assumptions and Catalog'!$H$52+'Assumptions and Catalog'!$E$52+'Assumptions and Catalog'!$F$52,IF(((D569+E569)*C569)&lt;='Assumptions and Catalog'!$C$53,((D569+E569)*C569)*'Assumptions and Catalog'!$H$53+'Assumptions and Catalog'!$E$53+'Assumptions and Catalog'!$F$53,IF(((D569+E569)*C569)&lt;='Assumptions and Catalog'!$C$54,((D569+E569)*C569)*'Assumptions and Catalog'!$H$54+'Assumptions and Catalog'!$E$54+'Assumptions and Catalog'!$F$54,IF(((D569+E569)*C569)&lt;='Assumptions and Catalog'!$C$55,((D569+E569)*C569)*'Assumptions and Catalog'!$H$55+'Assumptions and Catalog'!$E$55+'Assumptions and Catalog'!$F$55,IF(((D569+E569)*C569)&lt;='Assumptions and Catalog'!$C$56,((D569+E569)*C569)*'Assumptions and Catalog'!$H$56+'Assumptions and Catalog'!$E$56+'Assumptions and Catalog'!$F$56,IF(((D569+E569)*C569)&lt;='Assumptions and Catalog'!$C$57,((D569+E569)*C569)*'Assumptions and Catalog'!$H$57+'Assumptions and Catalog'!$E$57+'Assumptions and Catalog'!$F$57,"Out of range")))))))),IF(((D569+E569)*C569)&lt;='Assumptions and Catalog'!$C$60,((D569+E569)*C569)*'Assumptions and Catalog'!$H$60+'Assumptions and Catalog'!$E$60+'Assumptions and Catalog'!$F$60,IF(((D569+E569)*C569)&lt;='Assumptions and Catalog'!$C$61,((D569+E569)*C569)*'Assumptions and Catalog'!$H$61+'Assumptions and Catalog'!$E$61+'Assumptions and Catalog'!$F$61,IF(((D569+E569)*C569)&lt;='Assumptions and Catalog'!$C$62,((D569+E569)*C569)*'Assumptions and Catalog'!$H$62+'Assumptions and Catalog'!$E$62+'Assumptions and Catalog'!$F$62,IF(((D569+E569)*C569)&lt;='Assumptions and Catalog'!$C$63,((D569+E569)*C569)*'Assumptions and Catalog'!$H$63+'Assumptions and Catalog'!$E$63+'Assumptions and Catalog'!$F$63,IF(((D569+E569)*C569)&lt;='Assumptions and Catalog'!$C$64,((D569+E569)*C569)*'Assumptions and Catalog'!$H$64+'Assumptions and Catalog'!$E$64+'Assumptions and Catalog'!$F$64,IF(((D569+E569)*C569)&lt;='Assumptions and Catalog'!$C$65,((D569+E569)*C569)*'Assumptions and Catalog'!$H$65+'Assumptions and Catalog'!$E$65+'Assumptions and Catalog'!$F$65,"Out of range")))))))))*(1+'Assumptions and Catalog'!$C$8)^(A569-1),0)</f>
        <v>8554.9666666666672</v>
      </c>
      <c r="N569" s="5">
        <f>IF(ISNUMBER(Inputs!$L$5),(IF(Inputs!$L$9="Actual flat rate",L569*Inputs!$L$10,IF(Inputs!$C$9="Residential",IF(L569&lt;='Assumptions and Catalog'!$C$50,L569*'Assumptions and Catalog'!$H$50+'Assumptions and Catalog'!$E$50+'Assumptions and Catalog'!$F$50,IF(L569&lt;='Assumptions and Catalog'!$C$51,L569*'Assumptions and Catalog'!$H$51+'Assumptions and Catalog'!$E$51+'Assumptions and Catalog'!$F$51,IF(L569&lt;='Assumptions and Catalog'!$C$52,L569*'Assumptions and Catalog'!$H$52+'Assumptions and Catalog'!$E$52+'Assumptions and Catalog'!$F$52,IF(L569&lt;='Assumptions and Catalog'!$C$53,L569*'Assumptions and Catalog'!$H$53+'Assumptions and Catalog'!$E$53+'Assumptions and Catalog'!$F$53,IF(L569&lt;='Assumptions and Catalog'!$C$54,L569*'Assumptions and Catalog'!$H$54+'Assumptions and Catalog'!$E$54+'Assumptions and Catalog'!$F$54,IF(L569&lt;='Assumptions and Catalog'!$C$55,L569*'Assumptions and Catalog'!$H$55+'Assumptions and Catalog'!$E$55+'Assumptions and Catalog'!$F$55,IF(L569&lt;='Assumptions and Catalog'!$C$56,L569*'Assumptions and Catalog'!$H$56+'Assumptions and Catalog'!$E$56+'Assumptions and Catalog'!$F$56,IF(L569&lt;='Assumptions and Catalog'!$C$57,L569*'Assumptions and Catalog'!$H$57+'Assumptions and Catalog'!$E$57+'Assumptions and Catalog'!$F$57,"Out of range")))))))),IF(L569&lt;='Assumptions and Catalog'!$C$60,L569*'Assumptions and Catalog'!$H$60+'Assumptions and Catalog'!$E$60+'Assumptions and Catalog'!$F$60,IF(L569&lt;='Assumptions and Catalog'!$C$61,L569*'Assumptions and Catalog'!$H$61+'Assumptions and Catalog'!$E$61+'Assumptions and Catalog'!$F$61,IF(L569&lt;='Assumptions and Catalog'!$C$62,L569*'Assumptions and Catalog'!$H$62+'Assumptions and Catalog'!$E$62+'Assumptions and Catalog'!$F$62,IF(L569&lt;='Assumptions and Catalog'!$C$63,L569*'Assumptions and Catalog'!$H$63+'Assumptions and Catalog'!$E$63+'Assumptions and Catalog'!$F$63,IF(L569&lt;='Assumptions and Catalog'!$C$64,L569*'Assumptions and Catalog'!$H$64+'Assumptions and Catalog'!$E$64+'Assumptions and Catalog'!$F$64,IF(L569&lt;='Assumptions and Catalog'!$C$65,L569*'Assumptions and Catalog'!$H$65+'Assumptions and Catalog'!$E$65+'Assumptions and Catalog'!$F$65,"Out of range")))))))))*(1+'Assumptions and Catalog'!$C$8)^(A569-1),0)</f>
        <v>8554.9666666666672</v>
      </c>
      <c r="O569" s="5">
        <f t="shared" si="43"/>
        <v>0</v>
      </c>
      <c r="P569" s="5">
        <f>D$55*(1-K$14)*(1-'Assumptions and Catalog'!$C$23)^R569</f>
        <v>0</v>
      </c>
      <c r="Q569" s="5">
        <f>IF(ISNUMBER(Inputs!$L$5),(IF(Inputs!$L$9="Actual flat rate",((D569+E569)*C569-G569)*Inputs!$L$10,IF(Inputs!$C$9="Residential",IF(((D569+E569)*C569-G569)&lt;='Assumptions and Catalog'!$C$50,((D569+E569)*C569-G569)*'Assumptions and Catalog'!$H$50+'Assumptions and Catalog'!$E$50+'Assumptions and Catalog'!$F$50,IF(((D569+E569)*C569-G569)&lt;='Assumptions and Catalog'!$C$51,((D569+E569)*C569-G569)*'Assumptions and Catalog'!$H$51+'Assumptions and Catalog'!$E$51+'Assumptions and Catalog'!$F$51,IF(((D569+E569)*C569-G569)&lt;='Assumptions and Catalog'!$C$52,((D569+E569)*C569-G569)*'Assumptions and Catalog'!$H$52+'Assumptions and Catalog'!$E$52+'Assumptions and Catalog'!$F$52,IF(((D569+E569)*C569-G569)&lt;='Assumptions and Catalog'!$C$53,((D569+E569)*C569-G569)*'Assumptions and Catalog'!$H$53+'Assumptions and Catalog'!$E$53+'Assumptions and Catalog'!$F$53,IF(((D569+E569)*C569-G569)&lt;='Assumptions and Catalog'!$C$54,((D569+E569)*C569-G569)*'Assumptions and Catalog'!$H$54+'Assumptions and Catalog'!$E$54+'Assumptions and Catalog'!$F$54,IF(((D569+E569)*C569-G569)&lt;='Assumptions and Catalog'!$C$55,((D569+E569)*C569-G569)*'Assumptions and Catalog'!$H$55+'Assumptions and Catalog'!$E$55+'Assumptions and Catalog'!$F$55,IF(((D569+E569)*C569-G569)&lt;='Assumptions and Catalog'!$C$56,((D569+E569)*C569-G569)*'Assumptions and Catalog'!$H$56+'Assumptions and Catalog'!$E$56+'Assumptions and Catalog'!$F$56,IF(((D569+E569)*C569-G569)&lt;='Assumptions and Catalog'!$C$57,((D569+E569)*C569-G569)*'Assumptions and Catalog'!$H$57+'Assumptions and Catalog'!$E$57+'Assumptions and Catalog'!$F$57,"Out of range")))))))),IF(((D569+E569)*C569-G569)&lt;='Assumptions and Catalog'!$C$60,((D569+E569)*C569-G569)*'Assumptions and Catalog'!$H$60+'Assumptions and Catalog'!$E$60+'Assumptions and Catalog'!$F$60,IF(((D569+E569)*C569-G569)&lt;='Assumptions and Catalog'!$C$61,((D569+E569)*C569-G569)*'Assumptions and Catalog'!$H$61+'Assumptions and Catalog'!$E$61+'Assumptions and Catalog'!$F$61,IF(((D569+E569)*C569-G569)&lt;='Assumptions and Catalog'!$C$62,((D569+E569)*C569-G569)*'Assumptions and Catalog'!$H$62+'Assumptions and Catalog'!$E$62+'Assumptions and Catalog'!$F$62,IF(((D569+E569)*C569-G569)&lt;='Assumptions and Catalog'!$C$63,((D569+E569)*C569-G569)*'Assumptions and Catalog'!$H$63+'Assumptions and Catalog'!$E$63+'Assumptions and Catalog'!$F$63,IF(((D569+E569)*C569-G569)&lt;='Assumptions and Catalog'!$C$64,((D569+E569)*C569-G569)*'Assumptions and Catalog'!$H$64+'Assumptions and Catalog'!$E$64+'Assumptions and Catalog'!$F$64,IF(((D569+E569)*C569-G569)&lt;='Assumptions and Catalog'!$C$65,((D569+E569)*C569-G569)*'Assumptions and Catalog'!$H$65+'Assumptions and Catalog'!$E$65+'Assumptions and Catalog'!$F$65,"Out of range")))))))))*(1+'Assumptions and Catalog'!$C$8)^(A569-1),0)</f>
        <v>8554.9666666666672</v>
      </c>
      <c r="R569" s="5">
        <f>IF(AND('Assumptions and Catalog'!$C$19&gt;0,A569&gt;='Assumptions and Catalog'!$C$19),A569-'Assumptions and Catalog'!$C$19,A569-1)</f>
        <v>3</v>
      </c>
      <c r="S569" s="5">
        <f>F569+L569-(D569+E569)*C569-J569-K569-IF(D$52&gt;0,'Assumptions and Catalog'!$C$26*C569,0)</f>
        <v>0</v>
      </c>
      <c r="T569" s="5"/>
      <c r="U569" s="5"/>
    </row>
    <row r="570" spans="1:21" ht="23.1" customHeight="1" outlineLevel="1" x14ac:dyDescent="0.2">
      <c r="A570" s="5">
        <v>14</v>
      </c>
      <c r="B570" s="5">
        <v>4</v>
      </c>
      <c r="C570" s="5">
        <f>DAY(DATE('Assumptions and Catalog'!$C$24+A570-1,B570+1,0))</f>
        <v>30</v>
      </c>
      <c r="D570" s="5">
        <f>IF(ISNUMBER(Inputs!$L$5),Inputs!$L$5*Inputs!$L$6,0)</f>
        <v>40.35</v>
      </c>
      <c r="E570" s="5">
        <f>IF(ISNUMBER(Inputs!$L$5),Inputs!$L$5-D570,0)</f>
        <v>40.35</v>
      </c>
      <c r="F570" s="5">
        <f>D$51*'Assumptions and Catalog'!$C$31*C570*(1-'Assumptions and Catalog'!$C$10)^(A570-1)</f>
        <v>0</v>
      </c>
      <c r="G570" s="5">
        <f t="shared" si="40"/>
        <v>0</v>
      </c>
      <c r="H570" s="5">
        <f>I570/('Assumptions and Catalog'!$C$11*'Assumptions and Catalog'!$C$12)</f>
        <v>0</v>
      </c>
      <c r="I570" s="5">
        <f>IF(K$15="Grid cycle",MIN(K$16,D570+E570,P570*'Assumptions and Catalog'!$C$12,D$57*(24-'Assumptions and Catalog'!$C$15),D$56*'Assumptions and Catalog'!$C$15*'Assumptions and Catalog'!$C$11*'Assumptions and Catalog'!$C$12)*C570,0)</f>
        <v>0</v>
      </c>
      <c r="J570" s="5">
        <f t="shared" si="41"/>
        <v>0</v>
      </c>
      <c r="K570" s="5">
        <f t="shared" si="42"/>
        <v>0</v>
      </c>
      <c r="L570" s="5">
        <f>(D570+E570)*C570-G570-I570+H570+IF(D$52&gt;0,'Assumptions and Catalog'!$C$26*C570,0)</f>
        <v>2421</v>
      </c>
      <c r="M570" s="5">
        <f>IF(ISNUMBER(Inputs!$L$5),(IF(Inputs!$L$9="Actual flat rate",((D570+E570)*C570)*Inputs!$L$10,IF(Inputs!$C$9="Residential",IF(((D570+E570)*C570)&lt;='Assumptions and Catalog'!$C$50,((D570+E570)*C570)*'Assumptions and Catalog'!$H$50+'Assumptions and Catalog'!$E$50+'Assumptions and Catalog'!$F$50,IF(((D570+E570)*C570)&lt;='Assumptions and Catalog'!$C$51,((D570+E570)*C570)*'Assumptions and Catalog'!$H$51+'Assumptions and Catalog'!$E$51+'Assumptions and Catalog'!$F$51,IF(((D570+E570)*C570)&lt;='Assumptions and Catalog'!$C$52,((D570+E570)*C570)*'Assumptions and Catalog'!$H$52+'Assumptions and Catalog'!$E$52+'Assumptions and Catalog'!$F$52,IF(((D570+E570)*C570)&lt;='Assumptions and Catalog'!$C$53,((D570+E570)*C570)*'Assumptions and Catalog'!$H$53+'Assumptions and Catalog'!$E$53+'Assumptions and Catalog'!$F$53,IF(((D570+E570)*C570)&lt;='Assumptions and Catalog'!$C$54,((D570+E570)*C570)*'Assumptions and Catalog'!$H$54+'Assumptions and Catalog'!$E$54+'Assumptions and Catalog'!$F$54,IF(((D570+E570)*C570)&lt;='Assumptions and Catalog'!$C$55,((D570+E570)*C570)*'Assumptions and Catalog'!$H$55+'Assumptions and Catalog'!$E$55+'Assumptions and Catalog'!$F$55,IF(((D570+E570)*C570)&lt;='Assumptions and Catalog'!$C$56,((D570+E570)*C570)*'Assumptions and Catalog'!$H$56+'Assumptions and Catalog'!$E$56+'Assumptions and Catalog'!$F$56,IF(((D570+E570)*C570)&lt;='Assumptions and Catalog'!$C$57,((D570+E570)*C570)*'Assumptions and Catalog'!$H$57+'Assumptions and Catalog'!$E$57+'Assumptions and Catalog'!$F$57,"Out of range")))))))),IF(((D570+E570)*C570)&lt;='Assumptions and Catalog'!$C$60,((D570+E570)*C570)*'Assumptions and Catalog'!$H$60+'Assumptions and Catalog'!$E$60+'Assumptions and Catalog'!$F$60,IF(((D570+E570)*C570)&lt;='Assumptions and Catalog'!$C$61,((D570+E570)*C570)*'Assumptions and Catalog'!$H$61+'Assumptions and Catalog'!$E$61+'Assumptions and Catalog'!$F$61,IF(((D570+E570)*C570)&lt;='Assumptions and Catalog'!$C$62,((D570+E570)*C570)*'Assumptions and Catalog'!$H$62+'Assumptions and Catalog'!$E$62+'Assumptions and Catalog'!$F$62,IF(((D570+E570)*C570)&lt;='Assumptions and Catalog'!$C$63,((D570+E570)*C570)*'Assumptions and Catalog'!$H$63+'Assumptions and Catalog'!$E$63+'Assumptions and Catalog'!$F$63,IF(((D570+E570)*C570)&lt;='Assumptions and Catalog'!$C$64,((D570+E570)*C570)*'Assumptions and Catalog'!$H$64+'Assumptions and Catalog'!$E$64+'Assumptions and Catalog'!$F$64,IF(((D570+E570)*C570)&lt;='Assumptions and Catalog'!$C$65,((D570+E570)*C570)*'Assumptions and Catalog'!$H$65+'Assumptions and Catalog'!$E$65+'Assumptions and Catalog'!$F$65,"Out of range")))))))))*(1+'Assumptions and Catalog'!$C$8)^(A570-1),0)</f>
        <v>8279</v>
      </c>
      <c r="N570" s="5">
        <f>IF(ISNUMBER(Inputs!$L$5),(IF(Inputs!$L$9="Actual flat rate",L570*Inputs!$L$10,IF(Inputs!$C$9="Residential",IF(L570&lt;='Assumptions and Catalog'!$C$50,L570*'Assumptions and Catalog'!$H$50+'Assumptions and Catalog'!$E$50+'Assumptions and Catalog'!$F$50,IF(L570&lt;='Assumptions and Catalog'!$C$51,L570*'Assumptions and Catalog'!$H$51+'Assumptions and Catalog'!$E$51+'Assumptions and Catalog'!$F$51,IF(L570&lt;='Assumptions and Catalog'!$C$52,L570*'Assumptions and Catalog'!$H$52+'Assumptions and Catalog'!$E$52+'Assumptions and Catalog'!$F$52,IF(L570&lt;='Assumptions and Catalog'!$C$53,L570*'Assumptions and Catalog'!$H$53+'Assumptions and Catalog'!$E$53+'Assumptions and Catalog'!$F$53,IF(L570&lt;='Assumptions and Catalog'!$C$54,L570*'Assumptions and Catalog'!$H$54+'Assumptions and Catalog'!$E$54+'Assumptions and Catalog'!$F$54,IF(L570&lt;='Assumptions and Catalog'!$C$55,L570*'Assumptions and Catalog'!$H$55+'Assumptions and Catalog'!$E$55+'Assumptions and Catalog'!$F$55,IF(L570&lt;='Assumptions and Catalog'!$C$56,L570*'Assumptions and Catalog'!$H$56+'Assumptions and Catalog'!$E$56+'Assumptions and Catalog'!$F$56,IF(L570&lt;='Assumptions and Catalog'!$C$57,L570*'Assumptions and Catalog'!$H$57+'Assumptions and Catalog'!$E$57+'Assumptions and Catalog'!$F$57,"Out of range")))))))),IF(L570&lt;='Assumptions and Catalog'!$C$60,L570*'Assumptions and Catalog'!$H$60+'Assumptions and Catalog'!$E$60+'Assumptions and Catalog'!$F$60,IF(L570&lt;='Assumptions and Catalog'!$C$61,L570*'Assumptions and Catalog'!$H$61+'Assumptions and Catalog'!$E$61+'Assumptions and Catalog'!$F$61,IF(L570&lt;='Assumptions and Catalog'!$C$62,L570*'Assumptions and Catalog'!$H$62+'Assumptions and Catalog'!$E$62+'Assumptions and Catalog'!$F$62,IF(L570&lt;='Assumptions and Catalog'!$C$63,L570*'Assumptions and Catalog'!$H$63+'Assumptions and Catalog'!$E$63+'Assumptions and Catalog'!$F$63,IF(L570&lt;='Assumptions and Catalog'!$C$64,L570*'Assumptions and Catalog'!$H$64+'Assumptions and Catalog'!$E$64+'Assumptions and Catalog'!$F$64,IF(L570&lt;='Assumptions and Catalog'!$C$65,L570*'Assumptions and Catalog'!$H$65+'Assumptions and Catalog'!$E$65+'Assumptions and Catalog'!$F$65,"Out of range")))))))))*(1+'Assumptions and Catalog'!$C$8)^(A570-1),0)</f>
        <v>8279</v>
      </c>
      <c r="O570" s="5">
        <f t="shared" si="43"/>
        <v>0</v>
      </c>
      <c r="P570" s="5">
        <f>D$55*(1-K$14)*(1-'Assumptions and Catalog'!$C$23)^R570</f>
        <v>0</v>
      </c>
      <c r="Q570" s="5">
        <f>IF(ISNUMBER(Inputs!$L$5),(IF(Inputs!$L$9="Actual flat rate",((D570+E570)*C570-G570)*Inputs!$L$10,IF(Inputs!$C$9="Residential",IF(((D570+E570)*C570-G570)&lt;='Assumptions and Catalog'!$C$50,((D570+E570)*C570-G570)*'Assumptions and Catalog'!$H$50+'Assumptions and Catalog'!$E$50+'Assumptions and Catalog'!$F$50,IF(((D570+E570)*C570-G570)&lt;='Assumptions and Catalog'!$C$51,((D570+E570)*C570-G570)*'Assumptions and Catalog'!$H$51+'Assumptions and Catalog'!$E$51+'Assumptions and Catalog'!$F$51,IF(((D570+E570)*C570-G570)&lt;='Assumptions and Catalog'!$C$52,((D570+E570)*C570-G570)*'Assumptions and Catalog'!$H$52+'Assumptions and Catalog'!$E$52+'Assumptions and Catalog'!$F$52,IF(((D570+E570)*C570-G570)&lt;='Assumptions and Catalog'!$C$53,((D570+E570)*C570-G570)*'Assumptions and Catalog'!$H$53+'Assumptions and Catalog'!$E$53+'Assumptions and Catalog'!$F$53,IF(((D570+E570)*C570-G570)&lt;='Assumptions and Catalog'!$C$54,((D570+E570)*C570-G570)*'Assumptions and Catalog'!$H$54+'Assumptions and Catalog'!$E$54+'Assumptions and Catalog'!$F$54,IF(((D570+E570)*C570-G570)&lt;='Assumptions and Catalog'!$C$55,((D570+E570)*C570-G570)*'Assumptions and Catalog'!$H$55+'Assumptions and Catalog'!$E$55+'Assumptions and Catalog'!$F$55,IF(((D570+E570)*C570-G570)&lt;='Assumptions and Catalog'!$C$56,((D570+E570)*C570-G570)*'Assumptions and Catalog'!$H$56+'Assumptions and Catalog'!$E$56+'Assumptions and Catalog'!$F$56,IF(((D570+E570)*C570-G570)&lt;='Assumptions and Catalog'!$C$57,((D570+E570)*C570-G570)*'Assumptions and Catalog'!$H$57+'Assumptions and Catalog'!$E$57+'Assumptions and Catalog'!$F$57,"Out of range")))))))),IF(((D570+E570)*C570-G570)&lt;='Assumptions and Catalog'!$C$60,((D570+E570)*C570-G570)*'Assumptions and Catalog'!$H$60+'Assumptions and Catalog'!$E$60+'Assumptions and Catalog'!$F$60,IF(((D570+E570)*C570-G570)&lt;='Assumptions and Catalog'!$C$61,((D570+E570)*C570-G570)*'Assumptions and Catalog'!$H$61+'Assumptions and Catalog'!$E$61+'Assumptions and Catalog'!$F$61,IF(((D570+E570)*C570-G570)&lt;='Assumptions and Catalog'!$C$62,((D570+E570)*C570-G570)*'Assumptions and Catalog'!$H$62+'Assumptions and Catalog'!$E$62+'Assumptions and Catalog'!$F$62,IF(((D570+E570)*C570-G570)&lt;='Assumptions and Catalog'!$C$63,((D570+E570)*C570-G570)*'Assumptions and Catalog'!$H$63+'Assumptions and Catalog'!$E$63+'Assumptions and Catalog'!$F$63,IF(((D570+E570)*C570-G570)&lt;='Assumptions and Catalog'!$C$64,((D570+E570)*C570-G570)*'Assumptions and Catalog'!$H$64+'Assumptions and Catalog'!$E$64+'Assumptions and Catalog'!$F$64,IF(((D570+E570)*C570-G570)&lt;='Assumptions and Catalog'!$C$65,((D570+E570)*C570-G570)*'Assumptions and Catalog'!$H$65+'Assumptions and Catalog'!$E$65+'Assumptions and Catalog'!$F$65,"Out of range")))))))))*(1+'Assumptions and Catalog'!$C$8)^(A570-1),0)</f>
        <v>8279</v>
      </c>
      <c r="R570" s="5">
        <f>IF(AND('Assumptions and Catalog'!$C$19&gt;0,A570&gt;='Assumptions and Catalog'!$C$19),A570-'Assumptions and Catalog'!$C$19,A570-1)</f>
        <v>3</v>
      </c>
      <c r="S570" s="5">
        <f>F570+L570-(D570+E570)*C570-J570-K570-IF(D$52&gt;0,'Assumptions and Catalog'!$C$26*C570,0)</f>
        <v>0</v>
      </c>
      <c r="T570" s="5"/>
      <c r="U570" s="5"/>
    </row>
    <row r="571" spans="1:21" ht="23.1" customHeight="1" outlineLevel="1" x14ac:dyDescent="0.2">
      <c r="A571" s="5">
        <v>14</v>
      </c>
      <c r="B571" s="5">
        <v>5</v>
      </c>
      <c r="C571" s="5">
        <f>DAY(DATE('Assumptions and Catalog'!$C$24+A571-1,B571+1,0))</f>
        <v>31</v>
      </c>
      <c r="D571" s="5">
        <f>IF(ISNUMBER(Inputs!$L$5),Inputs!$L$5*Inputs!$L$6,0)</f>
        <v>40.35</v>
      </c>
      <c r="E571" s="5">
        <f>IF(ISNUMBER(Inputs!$L$5),Inputs!$L$5-D571,0)</f>
        <v>40.35</v>
      </c>
      <c r="F571" s="5">
        <f>D$51*'Assumptions and Catalog'!$C$31*C571*(1-'Assumptions and Catalog'!$C$10)^(A571-1)</f>
        <v>0</v>
      </c>
      <c r="G571" s="5">
        <f t="shared" si="40"/>
        <v>0</v>
      </c>
      <c r="H571" s="5">
        <f>I571/('Assumptions and Catalog'!$C$11*'Assumptions and Catalog'!$C$12)</f>
        <v>0</v>
      </c>
      <c r="I571" s="5">
        <f>IF(K$15="Grid cycle",MIN(K$16,D571+E571,P571*'Assumptions and Catalog'!$C$12,D$57*(24-'Assumptions and Catalog'!$C$15),D$56*'Assumptions and Catalog'!$C$15*'Assumptions and Catalog'!$C$11*'Assumptions and Catalog'!$C$12)*C571,0)</f>
        <v>0</v>
      </c>
      <c r="J571" s="5">
        <f t="shared" si="41"/>
        <v>0</v>
      </c>
      <c r="K571" s="5">
        <f t="shared" si="42"/>
        <v>0</v>
      </c>
      <c r="L571" s="5">
        <f>(D571+E571)*C571-G571-I571+H571+IF(D$52&gt;0,'Assumptions and Catalog'!$C$26*C571,0)</f>
        <v>2501.7000000000003</v>
      </c>
      <c r="M571" s="5">
        <f>IF(ISNUMBER(Inputs!$L$5),(IF(Inputs!$L$9="Actual flat rate",((D571+E571)*C571)*Inputs!$L$10,IF(Inputs!$C$9="Residential",IF(((D571+E571)*C571)&lt;='Assumptions and Catalog'!$C$50,((D571+E571)*C571)*'Assumptions and Catalog'!$H$50+'Assumptions and Catalog'!$E$50+'Assumptions and Catalog'!$F$50,IF(((D571+E571)*C571)&lt;='Assumptions and Catalog'!$C$51,((D571+E571)*C571)*'Assumptions and Catalog'!$H$51+'Assumptions and Catalog'!$E$51+'Assumptions and Catalog'!$F$51,IF(((D571+E571)*C571)&lt;='Assumptions and Catalog'!$C$52,((D571+E571)*C571)*'Assumptions and Catalog'!$H$52+'Assumptions and Catalog'!$E$52+'Assumptions and Catalog'!$F$52,IF(((D571+E571)*C571)&lt;='Assumptions and Catalog'!$C$53,((D571+E571)*C571)*'Assumptions and Catalog'!$H$53+'Assumptions and Catalog'!$E$53+'Assumptions and Catalog'!$F$53,IF(((D571+E571)*C571)&lt;='Assumptions and Catalog'!$C$54,((D571+E571)*C571)*'Assumptions and Catalog'!$H$54+'Assumptions and Catalog'!$E$54+'Assumptions and Catalog'!$F$54,IF(((D571+E571)*C571)&lt;='Assumptions and Catalog'!$C$55,((D571+E571)*C571)*'Assumptions and Catalog'!$H$55+'Assumptions and Catalog'!$E$55+'Assumptions and Catalog'!$F$55,IF(((D571+E571)*C571)&lt;='Assumptions and Catalog'!$C$56,((D571+E571)*C571)*'Assumptions and Catalog'!$H$56+'Assumptions and Catalog'!$E$56+'Assumptions and Catalog'!$F$56,IF(((D571+E571)*C571)&lt;='Assumptions and Catalog'!$C$57,((D571+E571)*C571)*'Assumptions and Catalog'!$H$57+'Assumptions and Catalog'!$E$57+'Assumptions and Catalog'!$F$57,"Out of range")))))))),IF(((D571+E571)*C571)&lt;='Assumptions and Catalog'!$C$60,((D571+E571)*C571)*'Assumptions and Catalog'!$H$60+'Assumptions and Catalog'!$E$60+'Assumptions and Catalog'!$F$60,IF(((D571+E571)*C571)&lt;='Assumptions and Catalog'!$C$61,((D571+E571)*C571)*'Assumptions and Catalog'!$H$61+'Assumptions and Catalog'!$E$61+'Assumptions and Catalog'!$F$61,IF(((D571+E571)*C571)&lt;='Assumptions and Catalog'!$C$62,((D571+E571)*C571)*'Assumptions and Catalog'!$H$62+'Assumptions and Catalog'!$E$62+'Assumptions and Catalog'!$F$62,IF(((D571+E571)*C571)&lt;='Assumptions and Catalog'!$C$63,((D571+E571)*C571)*'Assumptions and Catalog'!$H$63+'Assumptions and Catalog'!$E$63+'Assumptions and Catalog'!$F$63,IF(((D571+E571)*C571)&lt;='Assumptions and Catalog'!$C$64,((D571+E571)*C571)*'Assumptions and Catalog'!$H$64+'Assumptions and Catalog'!$E$64+'Assumptions and Catalog'!$F$64,IF(((D571+E571)*C571)&lt;='Assumptions and Catalog'!$C$65,((D571+E571)*C571)*'Assumptions and Catalog'!$H$65+'Assumptions and Catalog'!$E$65+'Assumptions and Catalog'!$F$65,"Out of range")))))))))*(1+'Assumptions and Catalog'!$C$8)^(A571-1),0)</f>
        <v>8554.9666666666672</v>
      </c>
      <c r="N571" s="5">
        <f>IF(ISNUMBER(Inputs!$L$5),(IF(Inputs!$L$9="Actual flat rate",L571*Inputs!$L$10,IF(Inputs!$C$9="Residential",IF(L571&lt;='Assumptions and Catalog'!$C$50,L571*'Assumptions and Catalog'!$H$50+'Assumptions and Catalog'!$E$50+'Assumptions and Catalog'!$F$50,IF(L571&lt;='Assumptions and Catalog'!$C$51,L571*'Assumptions and Catalog'!$H$51+'Assumptions and Catalog'!$E$51+'Assumptions and Catalog'!$F$51,IF(L571&lt;='Assumptions and Catalog'!$C$52,L571*'Assumptions and Catalog'!$H$52+'Assumptions and Catalog'!$E$52+'Assumptions and Catalog'!$F$52,IF(L571&lt;='Assumptions and Catalog'!$C$53,L571*'Assumptions and Catalog'!$H$53+'Assumptions and Catalog'!$E$53+'Assumptions and Catalog'!$F$53,IF(L571&lt;='Assumptions and Catalog'!$C$54,L571*'Assumptions and Catalog'!$H$54+'Assumptions and Catalog'!$E$54+'Assumptions and Catalog'!$F$54,IF(L571&lt;='Assumptions and Catalog'!$C$55,L571*'Assumptions and Catalog'!$H$55+'Assumptions and Catalog'!$E$55+'Assumptions and Catalog'!$F$55,IF(L571&lt;='Assumptions and Catalog'!$C$56,L571*'Assumptions and Catalog'!$H$56+'Assumptions and Catalog'!$E$56+'Assumptions and Catalog'!$F$56,IF(L571&lt;='Assumptions and Catalog'!$C$57,L571*'Assumptions and Catalog'!$H$57+'Assumptions and Catalog'!$E$57+'Assumptions and Catalog'!$F$57,"Out of range")))))))),IF(L571&lt;='Assumptions and Catalog'!$C$60,L571*'Assumptions and Catalog'!$H$60+'Assumptions and Catalog'!$E$60+'Assumptions and Catalog'!$F$60,IF(L571&lt;='Assumptions and Catalog'!$C$61,L571*'Assumptions and Catalog'!$H$61+'Assumptions and Catalog'!$E$61+'Assumptions and Catalog'!$F$61,IF(L571&lt;='Assumptions and Catalog'!$C$62,L571*'Assumptions and Catalog'!$H$62+'Assumptions and Catalog'!$E$62+'Assumptions and Catalog'!$F$62,IF(L571&lt;='Assumptions and Catalog'!$C$63,L571*'Assumptions and Catalog'!$H$63+'Assumptions and Catalog'!$E$63+'Assumptions and Catalog'!$F$63,IF(L571&lt;='Assumptions and Catalog'!$C$64,L571*'Assumptions and Catalog'!$H$64+'Assumptions and Catalog'!$E$64+'Assumptions and Catalog'!$F$64,IF(L571&lt;='Assumptions and Catalog'!$C$65,L571*'Assumptions and Catalog'!$H$65+'Assumptions and Catalog'!$E$65+'Assumptions and Catalog'!$F$65,"Out of range")))))))))*(1+'Assumptions and Catalog'!$C$8)^(A571-1),0)</f>
        <v>8554.9666666666672</v>
      </c>
      <c r="O571" s="5">
        <f t="shared" si="43"/>
        <v>0</v>
      </c>
      <c r="P571" s="5">
        <f>D$55*(1-K$14)*(1-'Assumptions and Catalog'!$C$23)^R571</f>
        <v>0</v>
      </c>
      <c r="Q571" s="5">
        <f>IF(ISNUMBER(Inputs!$L$5),(IF(Inputs!$L$9="Actual flat rate",((D571+E571)*C571-G571)*Inputs!$L$10,IF(Inputs!$C$9="Residential",IF(((D571+E571)*C571-G571)&lt;='Assumptions and Catalog'!$C$50,((D571+E571)*C571-G571)*'Assumptions and Catalog'!$H$50+'Assumptions and Catalog'!$E$50+'Assumptions and Catalog'!$F$50,IF(((D571+E571)*C571-G571)&lt;='Assumptions and Catalog'!$C$51,((D571+E571)*C571-G571)*'Assumptions and Catalog'!$H$51+'Assumptions and Catalog'!$E$51+'Assumptions and Catalog'!$F$51,IF(((D571+E571)*C571-G571)&lt;='Assumptions and Catalog'!$C$52,((D571+E571)*C571-G571)*'Assumptions and Catalog'!$H$52+'Assumptions and Catalog'!$E$52+'Assumptions and Catalog'!$F$52,IF(((D571+E571)*C571-G571)&lt;='Assumptions and Catalog'!$C$53,((D571+E571)*C571-G571)*'Assumptions and Catalog'!$H$53+'Assumptions and Catalog'!$E$53+'Assumptions and Catalog'!$F$53,IF(((D571+E571)*C571-G571)&lt;='Assumptions and Catalog'!$C$54,((D571+E571)*C571-G571)*'Assumptions and Catalog'!$H$54+'Assumptions and Catalog'!$E$54+'Assumptions and Catalog'!$F$54,IF(((D571+E571)*C571-G571)&lt;='Assumptions and Catalog'!$C$55,((D571+E571)*C571-G571)*'Assumptions and Catalog'!$H$55+'Assumptions and Catalog'!$E$55+'Assumptions and Catalog'!$F$55,IF(((D571+E571)*C571-G571)&lt;='Assumptions and Catalog'!$C$56,((D571+E571)*C571-G571)*'Assumptions and Catalog'!$H$56+'Assumptions and Catalog'!$E$56+'Assumptions and Catalog'!$F$56,IF(((D571+E571)*C571-G571)&lt;='Assumptions and Catalog'!$C$57,((D571+E571)*C571-G571)*'Assumptions and Catalog'!$H$57+'Assumptions and Catalog'!$E$57+'Assumptions and Catalog'!$F$57,"Out of range")))))))),IF(((D571+E571)*C571-G571)&lt;='Assumptions and Catalog'!$C$60,((D571+E571)*C571-G571)*'Assumptions and Catalog'!$H$60+'Assumptions and Catalog'!$E$60+'Assumptions and Catalog'!$F$60,IF(((D571+E571)*C571-G571)&lt;='Assumptions and Catalog'!$C$61,((D571+E571)*C571-G571)*'Assumptions and Catalog'!$H$61+'Assumptions and Catalog'!$E$61+'Assumptions and Catalog'!$F$61,IF(((D571+E571)*C571-G571)&lt;='Assumptions and Catalog'!$C$62,((D571+E571)*C571-G571)*'Assumptions and Catalog'!$H$62+'Assumptions and Catalog'!$E$62+'Assumptions and Catalog'!$F$62,IF(((D571+E571)*C571-G571)&lt;='Assumptions and Catalog'!$C$63,((D571+E571)*C571-G571)*'Assumptions and Catalog'!$H$63+'Assumptions and Catalog'!$E$63+'Assumptions and Catalog'!$F$63,IF(((D571+E571)*C571-G571)&lt;='Assumptions and Catalog'!$C$64,((D571+E571)*C571-G571)*'Assumptions and Catalog'!$H$64+'Assumptions and Catalog'!$E$64+'Assumptions and Catalog'!$F$64,IF(((D571+E571)*C571-G571)&lt;='Assumptions and Catalog'!$C$65,((D571+E571)*C571-G571)*'Assumptions and Catalog'!$H$65+'Assumptions and Catalog'!$E$65+'Assumptions and Catalog'!$F$65,"Out of range")))))))))*(1+'Assumptions and Catalog'!$C$8)^(A571-1),0)</f>
        <v>8554.9666666666672</v>
      </c>
      <c r="R571" s="5">
        <f>IF(AND('Assumptions and Catalog'!$C$19&gt;0,A571&gt;='Assumptions and Catalog'!$C$19),A571-'Assumptions and Catalog'!$C$19,A571-1)</f>
        <v>3</v>
      </c>
      <c r="S571" s="5">
        <f>F571+L571-(D571+E571)*C571-J571-K571-IF(D$52&gt;0,'Assumptions and Catalog'!$C$26*C571,0)</f>
        <v>0</v>
      </c>
      <c r="T571" s="5"/>
      <c r="U571" s="5"/>
    </row>
    <row r="572" spans="1:21" ht="23.1" customHeight="1" outlineLevel="1" x14ac:dyDescent="0.2">
      <c r="A572" s="5">
        <v>14</v>
      </c>
      <c r="B572" s="5">
        <v>6</v>
      </c>
      <c r="C572" s="5">
        <f>DAY(DATE('Assumptions and Catalog'!$C$24+A572-1,B572+1,0))</f>
        <v>30</v>
      </c>
      <c r="D572" s="5">
        <f>IF(ISNUMBER(Inputs!$L$5),Inputs!$L$5*Inputs!$L$6,0)</f>
        <v>40.35</v>
      </c>
      <c r="E572" s="5">
        <f>IF(ISNUMBER(Inputs!$L$5),Inputs!$L$5-D572,0)</f>
        <v>40.35</v>
      </c>
      <c r="F572" s="5">
        <f>D$51*'Assumptions and Catalog'!$C$31*C572*(1-'Assumptions and Catalog'!$C$10)^(A572-1)</f>
        <v>0</v>
      </c>
      <c r="G572" s="5">
        <f t="shared" si="40"/>
        <v>0</v>
      </c>
      <c r="H572" s="5">
        <f>I572/('Assumptions and Catalog'!$C$11*'Assumptions and Catalog'!$C$12)</f>
        <v>0</v>
      </c>
      <c r="I572" s="5">
        <f>IF(K$15="Grid cycle",MIN(K$16,D572+E572,P572*'Assumptions and Catalog'!$C$12,D$57*(24-'Assumptions and Catalog'!$C$15),D$56*'Assumptions and Catalog'!$C$15*'Assumptions and Catalog'!$C$11*'Assumptions and Catalog'!$C$12)*C572,0)</f>
        <v>0</v>
      </c>
      <c r="J572" s="5">
        <f t="shared" si="41"/>
        <v>0</v>
      </c>
      <c r="K572" s="5">
        <f t="shared" si="42"/>
        <v>0</v>
      </c>
      <c r="L572" s="5">
        <f>(D572+E572)*C572-G572-I572+H572+IF(D$52&gt;0,'Assumptions and Catalog'!$C$26*C572,0)</f>
        <v>2421</v>
      </c>
      <c r="M572" s="5">
        <f>IF(ISNUMBER(Inputs!$L$5),(IF(Inputs!$L$9="Actual flat rate",((D572+E572)*C572)*Inputs!$L$10,IF(Inputs!$C$9="Residential",IF(((D572+E572)*C572)&lt;='Assumptions and Catalog'!$C$50,((D572+E572)*C572)*'Assumptions and Catalog'!$H$50+'Assumptions and Catalog'!$E$50+'Assumptions and Catalog'!$F$50,IF(((D572+E572)*C572)&lt;='Assumptions and Catalog'!$C$51,((D572+E572)*C572)*'Assumptions and Catalog'!$H$51+'Assumptions and Catalog'!$E$51+'Assumptions and Catalog'!$F$51,IF(((D572+E572)*C572)&lt;='Assumptions and Catalog'!$C$52,((D572+E572)*C572)*'Assumptions and Catalog'!$H$52+'Assumptions and Catalog'!$E$52+'Assumptions and Catalog'!$F$52,IF(((D572+E572)*C572)&lt;='Assumptions and Catalog'!$C$53,((D572+E572)*C572)*'Assumptions and Catalog'!$H$53+'Assumptions and Catalog'!$E$53+'Assumptions and Catalog'!$F$53,IF(((D572+E572)*C572)&lt;='Assumptions and Catalog'!$C$54,((D572+E572)*C572)*'Assumptions and Catalog'!$H$54+'Assumptions and Catalog'!$E$54+'Assumptions and Catalog'!$F$54,IF(((D572+E572)*C572)&lt;='Assumptions and Catalog'!$C$55,((D572+E572)*C572)*'Assumptions and Catalog'!$H$55+'Assumptions and Catalog'!$E$55+'Assumptions and Catalog'!$F$55,IF(((D572+E572)*C572)&lt;='Assumptions and Catalog'!$C$56,((D572+E572)*C572)*'Assumptions and Catalog'!$H$56+'Assumptions and Catalog'!$E$56+'Assumptions and Catalog'!$F$56,IF(((D572+E572)*C572)&lt;='Assumptions and Catalog'!$C$57,((D572+E572)*C572)*'Assumptions and Catalog'!$H$57+'Assumptions and Catalog'!$E$57+'Assumptions and Catalog'!$F$57,"Out of range")))))))),IF(((D572+E572)*C572)&lt;='Assumptions and Catalog'!$C$60,((D572+E572)*C572)*'Assumptions and Catalog'!$H$60+'Assumptions and Catalog'!$E$60+'Assumptions and Catalog'!$F$60,IF(((D572+E572)*C572)&lt;='Assumptions and Catalog'!$C$61,((D572+E572)*C572)*'Assumptions and Catalog'!$H$61+'Assumptions and Catalog'!$E$61+'Assumptions and Catalog'!$F$61,IF(((D572+E572)*C572)&lt;='Assumptions and Catalog'!$C$62,((D572+E572)*C572)*'Assumptions and Catalog'!$H$62+'Assumptions and Catalog'!$E$62+'Assumptions and Catalog'!$F$62,IF(((D572+E572)*C572)&lt;='Assumptions and Catalog'!$C$63,((D572+E572)*C572)*'Assumptions and Catalog'!$H$63+'Assumptions and Catalog'!$E$63+'Assumptions and Catalog'!$F$63,IF(((D572+E572)*C572)&lt;='Assumptions and Catalog'!$C$64,((D572+E572)*C572)*'Assumptions and Catalog'!$H$64+'Assumptions and Catalog'!$E$64+'Assumptions and Catalog'!$F$64,IF(((D572+E572)*C572)&lt;='Assumptions and Catalog'!$C$65,((D572+E572)*C572)*'Assumptions and Catalog'!$H$65+'Assumptions and Catalog'!$E$65+'Assumptions and Catalog'!$F$65,"Out of range")))))))))*(1+'Assumptions and Catalog'!$C$8)^(A572-1),0)</f>
        <v>8279</v>
      </c>
      <c r="N572" s="5">
        <f>IF(ISNUMBER(Inputs!$L$5),(IF(Inputs!$L$9="Actual flat rate",L572*Inputs!$L$10,IF(Inputs!$C$9="Residential",IF(L572&lt;='Assumptions and Catalog'!$C$50,L572*'Assumptions and Catalog'!$H$50+'Assumptions and Catalog'!$E$50+'Assumptions and Catalog'!$F$50,IF(L572&lt;='Assumptions and Catalog'!$C$51,L572*'Assumptions and Catalog'!$H$51+'Assumptions and Catalog'!$E$51+'Assumptions and Catalog'!$F$51,IF(L572&lt;='Assumptions and Catalog'!$C$52,L572*'Assumptions and Catalog'!$H$52+'Assumptions and Catalog'!$E$52+'Assumptions and Catalog'!$F$52,IF(L572&lt;='Assumptions and Catalog'!$C$53,L572*'Assumptions and Catalog'!$H$53+'Assumptions and Catalog'!$E$53+'Assumptions and Catalog'!$F$53,IF(L572&lt;='Assumptions and Catalog'!$C$54,L572*'Assumptions and Catalog'!$H$54+'Assumptions and Catalog'!$E$54+'Assumptions and Catalog'!$F$54,IF(L572&lt;='Assumptions and Catalog'!$C$55,L572*'Assumptions and Catalog'!$H$55+'Assumptions and Catalog'!$E$55+'Assumptions and Catalog'!$F$55,IF(L572&lt;='Assumptions and Catalog'!$C$56,L572*'Assumptions and Catalog'!$H$56+'Assumptions and Catalog'!$E$56+'Assumptions and Catalog'!$F$56,IF(L572&lt;='Assumptions and Catalog'!$C$57,L572*'Assumptions and Catalog'!$H$57+'Assumptions and Catalog'!$E$57+'Assumptions and Catalog'!$F$57,"Out of range")))))))),IF(L572&lt;='Assumptions and Catalog'!$C$60,L572*'Assumptions and Catalog'!$H$60+'Assumptions and Catalog'!$E$60+'Assumptions and Catalog'!$F$60,IF(L572&lt;='Assumptions and Catalog'!$C$61,L572*'Assumptions and Catalog'!$H$61+'Assumptions and Catalog'!$E$61+'Assumptions and Catalog'!$F$61,IF(L572&lt;='Assumptions and Catalog'!$C$62,L572*'Assumptions and Catalog'!$H$62+'Assumptions and Catalog'!$E$62+'Assumptions and Catalog'!$F$62,IF(L572&lt;='Assumptions and Catalog'!$C$63,L572*'Assumptions and Catalog'!$H$63+'Assumptions and Catalog'!$E$63+'Assumptions and Catalog'!$F$63,IF(L572&lt;='Assumptions and Catalog'!$C$64,L572*'Assumptions and Catalog'!$H$64+'Assumptions and Catalog'!$E$64+'Assumptions and Catalog'!$F$64,IF(L572&lt;='Assumptions and Catalog'!$C$65,L572*'Assumptions and Catalog'!$H$65+'Assumptions and Catalog'!$E$65+'Assumptions and Catalog'!$F$65,"Out of range")))))))))*(1+'Assumptions and Catalog'!$C$8)^(A572-1),0)</f>
        <v>8279</v>
      </c>
      <c r="O572" s="5">
        <f t="shared" si="43"/>
        <v>0</v>
      </c>
      <c r="P572" s="5">
        <f>D$55*(1-K$14)*(1-'Assumptions and Catalog'!$C$23)^R572</f>
        <v>0</v>
      </c>
      <c r="Q572" s="5">
        <f>IF(ISNUMBER(Inputs!$L$5),(IF(Inputs!$L$9="Actual flat rate",((D572+E572)*C572-G572)*Inputs!$L$10,IF(Inputs!$C$9="Residential",IF(((D572+E572)*C572-G572)&lt;='Assumptions and Catalog'!$C$50,((D572+E572)*C572-G572)*'Assumptions and Catalog'!$H$50+'Assumptions and Catalog'!$E$50+'Assumptions and Catalog'!$F$50,IF(((D572+E572)*C572-G572)&lt;='Assumptions and Catalog'!$C$51,((D572+E572)*C572-G572)*'Assumptions and Catalog'!$H$51+'Assumptions and Catalog'!$E$51+'Assumptions and Catalog'!$F$51,IF(((D572+E572)*C572-G572)&lt;='Assumptions and Catalog'!$C$52,((D572+E572)*C572-G572)*'Assumptions and Catalog'!$H$52+'Assumptions and Catalog'!$E$52+'Assumptions and Catalog'!$F$52,IF(((D572+E572)*C572-G572)&lt;='Assumptions and Catalog'!$C$53,((D572+E572)*C572-G572)*'Assumptions and Catalog'!$H$53+'Assumptions and Catalog'!$E$53+'Assumptions and Catalog'!$F$53,IF(((D572+E572)*C572-G572)&lt;='Assumptions and Catalog'!$C$54,((D572+E572)*C572-G572)*'Assumptions and Catalog'!$H$54+'Assumptions and Catalog'!$E$54+'Assumptions and Catalog'!$F$54,IF(((D572+E572)*C572-G572)&lt;='Assumptions and Catalog'!$C$55,((D572+E572)*C572-G572)*'Assumptions and Catalog'!$H$55+'Assumptions and Catalog'!$E$55+'Assumptions and Catalog'!$F$55,IF(((D572+E572)*C572-G572)&lt;='Assumptions and Catalog'!$C$56,((D572+E572)*C572-G572)*'Assumptions and Catalog'!$H$56+'Assumptions and Catalog'!$E$56+'Assumptions and Catalog'!$F$56,IF(((D572+E572)*C572-G572)&lt;='Assumptions and Catalog'!$C$57,((D572+E572)*C572-G572)*'Assumptions and Catalog'!$H$57+'Assumptions and Catalog'!$E$57+'Assumptions and Catalog'!$F$57,"Out of range")))))))),IF(((D572+E572)*C572-G572)&lt;='Assumptions and Catalog'!$C$60,((D572+E572)*C572-G572)*'Assumptions and Catalog'!$H$60+'Assumptions and Catalog'!$E$60+'Assumptions and Catalog'!$F$60,IF(((D572+E572)*C572-G572)&lt;='Assumptions and Catalog'!$C$61,((D572+E572)*C572-G572)*'Assumptions and Catalog'!$H$61+'Assumptions and Catalog'!$E$61+'Assumptions and Catalog'!$F$61,IF(((D572+E572)*C572-G572)&lt;='Assumptions and Catalog'!$C$62,((D572+E572)*C572-G572)*'Assumptions and Catalog'!$H$62+'Assumptions and Catalog'!$E$62+'Assumptions and Catalog'!$F$62,IF(((D572+E572)*C572-G572)&lt;='Assumptions and Catalog'!$C$63,((D572+E572)*C572-G572)*'Assumptions and Catalog'!$H$63+'Assumptions and Catalog'!$E$63+'Assumptions and Catalog'!$F$63,IF(((D572+E572)*C572-G572)&lt;='Assumptions and Catalog'!$C$64,((D572+E572)*C572-G572)*'Assumptions and Catalog'!$H$64+'Assumptions and Catalog'!$E$64+'Assumptions and Catalog'!$F$64,IF(((D572+E572)*C572-G572)&lt;='Assumptions and Catalog'!$C$65,((D572+E572)*C572-G572)*'Assumptions and Catalog'!$H$65+'Assumptions and Catalog'!$E$65+'Assumptions and Catalog'!$F$65,"Out of range")))))))))*(1+'Assumptions and Catalog'!$C$8)^(A572-1),0)</f>
        <v>8279</v>
      </c>
      <c r="R572" s="5">
        <f>IF(AND('Assumptions and Catalog'!$C$19&gt;0,A572&gt;='Assumptions and Catalog'!$C$19),A572-'Assumptions and Catalog'!$C$19,A572-1)</f>
        <v>3</v>
      </c>
      <c r="S572" s="5">
        <f>F572+L572-(D572+E572)*C572-J572-K572-IF(D$52&gt;0,'Assumptions and Catalog'!$C$26*C572,0)</f>
        <v>0</v>
      </c>
      <c r="T572" s="5"/>
      <c r="U572" s="5"/>
    </row>
    <row r="573" spans="1:21" ht="23.1" customHeight="1" outlineLevel="1" x14ac:dyDescent="0.2">
      <c r="A573" s="5">
        <v>14</v>
      </c>
      <c r="B573" s="5">
        <v>7</v>
      </c>
      <c r="C573" s="5">
        <f>DAY(DATE('Assumptions and Catalog'!$C$24+A573-1,B573+1,0))</f>
        <v>31</v>
      </c>
      <c r="D573" s="5">
        <f>IF(ISNUMBER(Inputs!$L$5),Inputs!$L$5*Inputs!$L$6,0)</f>
        <v>40.35</v>
      </c>
      <c r="E573" s="5">
        <f>IF(ISNUMBER(Inputs!$L$5),Inputs!$L$5-D573,0)</f>
        <v>40.35</v>
      </c>
      <c r="F573" s="5">
        <f>D$51*'Assumptions and Catalog'!$C$31*C573*(1-'Assumptions and Catalog'!$C$10)^(A573-1)</f>
        <v>0</v>
      </c>
      <c r="G573" s="5">
        <f t="shared" si="40"/>
        <v>0</v>
      </c>
      <c r="H573" s="5">
        <f>I573/('Assumptions and Catalog'!$C$11*'Assumptions and Catalog'!$C$12)</f>
        <v>0</v>
      </c>
      <c r="I573" s="5">
        <f>IF(K$15="Grid cycle",MIN(K$16,D573+E573,P573*'Assumptions and Catalog'!$C$12,D$57*(24-'Assumptions and Catalog'!$C$15),D$56*'Assumptions and Catalog'!$C$15*'Assumptions and Catalog'!$C$11*'Assumptions and Catalog'!$C$12)*C573,0)</f>
        <v>0</v>
      </c>
      <c r="J573" s="5">
        <f t="shared" si="41"/>
        <v>0</v>
      </c>
      <c r="K573" s="5">
        <f t="shared" si="42"/>
        <v>0</v>
      </c>
      <c r="L573" s="5">
        <f>(D573+E573)*C573-G573-I573+H573+IF(D$52&gt;0,'Assumptions and Catalog'!$C$26*C573,0)</f>
        <v>2501.7000000000003</v>
      </c>
      <c r="M573" s="5">
        <f>IF(ISNUMBER(Inputs!$L$5),(IF(Inputs!$L$9="Actual flat rate",((D573+E573)*C573)*Inputs!$L$10,IF(Inputs!$C$9="Residential",IF(((D573+E573)*C573)&lt;='Assumptions and Catalog'!$C$50,((D573+E573)*C573)*'Assumptions and Catalog'!$H$50+'Assumptions and Catalog'!$E$50+'Assumptions and Catalog'!$F$50,IF(((D573+E573)*C573)&lt;='Assumptions and Catalog'!$C$51,((D573+E573)*C573)*'Assumptions and Catalog'!$H$51+'Assumptions and Catalog'!$E$51+'Assumptions and Catalog'!$F$51,IF(((D573+E573)*C573)&lt;='Assumptions and Catalog'!$C$52,((D573+E573)*C573)*'Assumptions and Catalog'!$H$52+'Assumptions and Catalog'!$E$52+'Assumptions and Catalog'!$F$52,IF(((D573+E573)*C573)&lt;='Assumptions and Catalog'!$C$53,((D573+E573)*C573)*'Assumptions and Catalog'!$H$53+'Assumptions and Catalog'!$E$53+'Assumptions and Catalog'!$F$53,IF(((D573+E573)*C573)&lt;='Assumptions and Catalog'!$C$54,((D573+E573)*C573)*'Assumptions and Catalog'!$H$54+'Assumptions and Catalog'!$E$54+'Assumptions and Catalog'!$F$54,IF(((D573+E573)*C573)&lt;='Assumptions and Catalog'!$C$55,((D573+E573)*C573)*'Assumptions and Catalog'!$H$55+'Assumptions and Catalog'!$E$55+'Assumptions and Catalog'!$F$55,IF(((D573+E573)*C573)&lt;='Assumptions and Catalog'!$C$56,((D573+E573)*C573)*'Assumptions and Catalog'!$H$56+'Assumptions and Catalog'!$E$56+'Assumptions and Catalog'!$F$56,IF(((D573+E573)*C573)&lt;='Assumptions and Catalog'!$C$57,((D573+E573)*C573)*'Assumptions and Catalog'!$H$57+'Assumptions and Catalog'!$E$57+'Assumptions and Catalog'!$F$57,"Out of range")))))))),IF(((D573+E573)*C573)&lt;='Assumptions and Catalog'!$C$60,((D573+E573)*C573)*'Assumptions and Catalog'!$H$60+'Assumptions and Catalog'!$E$60+'Assumptions and Catalog'!$F$60,IF(((D573+E573)*C573)&lt;='Assumptions and Catalog'!$C$61,((D573+E573)*C573)*'Assumptions and Catalog'!$H$61+'Assumptions and Catalog'!$E$61+'Assumptions and Catalog'!$F$61,IF(((D573+E573)*C573)&lt;='Assumptions and Catalog'!$C$62,((D573+E573)*C573)*'Assumptions and Catalog'!$H$62+'Assumptions and Catalog'!$E$62+'Assumptions and Catalog'!$F$62,IF(((D573+E573)*C573)&lt;='Assumptions and Catalog'!$C$63,((D573+E573)*C573)*'Assumptions and Catalog'!$H$63+'Assumptions and Catalog'!$E$63+'Assumptions and Catalog'!$F$63,IF(((D573+E573)*C573)&lt;='Assumptions and Catalog'!$C$64,((D573+E573)*C573)*'Assumptions and Catalog'!$H$64+'Assumptions and Catalog'!$E$64+'Assumptions and Catalog'!$F$64,IF(((D573+E573)*C573)&lt;='Assumptions and Catalog'!$C$65,((D573+E573)*C573)*'Assumptions and Catalog'!$H$65+'Assumptions and Catalog'!$E$65+'Assumptions and Catalog'!$F$65,"Out of range")))))))))*(1+'Assumptions and Catalog'!$C$8)^(A573-1),0)</f>
        <v>8554.9666666666672</v>
      </c>
      <c r="N573" s="5">
        <f>IF(ISNUMBER(Inputs!$L$5),(IF(Inputs!$L$9="Actual flat rate",L573*Inputs!$L$10,IF(Inputs!$C$9="Residential",IF(L573&lt;='Assumptions and Catalog'!$C$50,L573*'Assumptions and Catalog'!$H$50+'Assumptions and Catalog'!$E$50+'Assumptions and Catalog'!$F$50,IF(L573&lt;='Assumptions and Catalog'!$C$51,L573*'Assumptions and Catalog'!$H$51+'Assumptions and Catalog'!$E$51+'Assumptions and Catalog'!$F$51,IF(L573&lt;='Assumptions and Catalog'!$C$52,L573*'Assumptions and Catalog'!$H$52+'Assumptions and Catalog'!$E$52+'Assumptions and Catalog'!$F$52,IF(L573&lt;='Assumptions and Catalog'!$C$53,L573*'Assumptions and Catalog'!$H$53+'Assumptions and Catalog'!$E$53+'Assumptions and Catalog'!$F$53,IF(L573&lt;='Assumptions and Catalog'!$C$54,L573*'Assumptions and Catalog'!$H$54+'Assumptions and Catalog'!$E$54+'Assumptions and Catalog'!$F$54,IF(L573&lt;='Assumptions and Catalog'!$C$55,L573*'Assumptions and Catalog'!$H$55+'Assumptions and Catalog'!$E$55+'Assumptions and Catalog'!$F$55,IF(L573&lt;='Assumptions and Catalog'!$C$56,L573*'Assumptions and Catalog'!$H$56+'Assumptions and Catalog'!$E$56+'Assumptions and Catalog'!$F$56,IF(L573&lt;='Assumptions and Catalog'!$C$57,L573*'Assumptions and Catalog'!$H$57+'Assumptions and Catalog'!$E$57+'Assumptions and Catalog'!$F$57,"Out of range")))))))),IF(L573&lt;='Assumptions and Catalog'!$C$60,L573*'Assumptions and Catalog'!$H$60+'Assumptions and Catalog'!$E$60+'Assumptions and Catalog'!$F$60,IF(L573&lt;='Assumptions and Catalog'!$C$61,L573*'Assumptions and Catalog'!$H$61+'Assumptions and Catalog'!$E$61+'Assumptions and Catalog'!$F$61,IF(L573&lt;='Assumptions and Catalog'!$C$62,L573*'Assumptions and Catalog'!$H$62+'Assumptions and Catalog'!$E$62+'Assumptions and Catalog'!$F$62,IF(L573&lt;='Assumptions and Catalog'!$C$63,L573*'Assumptions and Catalog'!$H$63+'Assumptions and Catalog'!$E$63+'Assumptions and Catalog'!$F$63,IF(L573&lt;='Assumptions and Catalog'!$C$64,L573*'Assumptions and Catalog'!$H$64+'Assumptions and Catalog'!$E$64+'Assumptions and Catalog'!$F$64,IF(L573&lt;='Assumptions and Catalog'!$C$65,L573*'Assumptions and Catalog'!$H$65+'Assumptions and Catalog'!$E$65+'Assumptions and Catalog'!$F$65,"Out of range")))))))))*(1+'Assumptions and Catalog'!$C$8)^(A573-1),0)</f>
        <v>8554.9666666666672</v>
      </c>
      <c r="O573" s="5">
        <f t="shared" si="43"/>
        <v>0</v>
      </c>
      <c r="P573" s="5">
        <f>D$55*(1-K$14)*(1-'Assumptions and Catalog'!$C$23)^R573</f>
        <v>0</v>
      </c>
      <c r="Q573" s="5">
        <f>IF(ISNUMBER(Inputs!$L$5),(IF(Inputs!$L$9="Actual flat rate",((D573+E573)*C573-G573)*Inputs!$L$10,IF(Inputs!$C$9="Residential",IF(((D573+E573)*C573-G573)&lt;='Assumptions and Catalog'!$C$50,((D573+E573)*C573-G573)*'Assumptions and Catalog'!$H$50+'Assumptions and Catalog'!$E$50+'Assumptions and Catalog'!$F$50,IF(((D573+E573)*C573-G573)&lt;='Assumptions and Catalog'!$C$51,((D573+E573)*C573-G573)*'Assumptions and Catalog'!$H$51+'Assumptions and Catalog'!$E$51+'Assumptions and Catalog'!$F$51,IF(((D573+E573)*C573-G573)&lt;='Assumptions and Catalog'!$C$52,((D573+E573)*C573-G573)*'Assumptions and Catalog'!$H$52+'Assumptions and Catalog'!$E$52+'Assumptions and Catalog'!$F$52,IF(((D573+E573)*C573-G573)&lt;='Assumptions and Catalog'!$C$53,((D573+E573)*C573-G573)*'Assumptions and Catalog'!$H$53+'Assumptions and Catalog'!$E$53+'Assumptions and Catalog'!$F$53,IF(((D573+E573)*C573-G573)&lt;='Assumptions and Catalog'!$C$54,((D573+E573)*C573-G573)*'Assumptions and Catalog'!$H$54+'Assumptions and Catalog'!$E$54+'Assumptions and Catalog'!$F$54,IF(((D573+E573)*C573-G573)&lt;='Assumptions and Catalog'!$C$55,((D573+E573)*C573-G573)*'Assumptions and Catalog'!$H$55+'Assumptions and Catalog'!$E$55+'Assumptions and Catalog'!$F$55,IF(((D573+E573)*C573-G573)&lt;='Assumptions and Catalog'!$C$56,((D573+E573)*C573-G573)*'Assumptions and Catalog'!$H$56+'Assumptions and Catalog'!$E$56+'Assumptions and Catalog'!$F$56,IF(((D573+E573)*C573-G573)&lt;='Assumptions and Catalog'!$C$57,((D573+E573)*C573-G573)*'Assumptions and Catalog'!$H$57+'Assumptions and Catalog'!$E$57+'Assumptions and Catalog'!$F$57,"Out of range")))))))),IF(((D573+E573)*C573-G573)&lt;='Assumptions and Catalog'!$C$60,((D573+E573)*C573-G573)*'Assumptions and Catalog'!$H$60+'Assumptions and Catalog'!$E$60+'Assumptions and Catalog'!$F$60,IF(((D573+E573)*C573-G573)&lt;='Assumptions and Catalog'!$C$61,((D573+E573)*C573-G573)*'Assumptions and Catalog'!$H$61+'Assumptions and Catalog'!$E$61+'Assumptions and Catalog'!$F$61,IF(((D573+E573)*C573-G573)&lt;='Assumptions and Catalog'!$C$62,((D573+E573)*C573-G573)*'Assumptions and Catalog'!$H$62+'Assumptions and Catalog'!$E$62+'Assumptions and Catalog'!$F$62,IF(((D573+E573)*C573-G573)&lt;='Assumptions and Catalog'!$C$63,((D573+E573)*C573-G573)*'Assumptions and Catalog'!$H$63+'Assumptions and Catalog'!$E$63+'Assumptions and Catalog'!$F$63,IF(((D573+E573)*C573-G573)&lt;='Assumptions and Catalog'!$C$64,((D573+E573)*C573-G573)*'Assumptions and Catalog'!$H$64+'Assumptions and Catalog'!$E$64+'Assumptions and Catalog'!$F$64,IF(((D573+E573)*C573-G573)&lt;='Assumptions and Catalog'!$C$65,((D573+E573)*C573-G573)*'Assumptions and Catalog'!$H$65+'Assumptions and Catalog'!$E$65+'Assumptions and Catalog'!$F$65,"Out of range")))))))))*(1+'Assumptions and Catalog'!$C$8)^(A573-1),0)</f>
        <v>8554.9666666666672</v>
      </c>
      <c r="R573" s="5">
        <f>IF(AND('Assumptions and Catalog'!$C$19&gt;0,A573&gt;='Assumptions and Catalog'!$C$19),A573-'Assumptions and Catalog'!$C$19,A573-1)</f>
        <v>3</v>
      </c>
      <c r="S573" s="5">
        <f>F573+L573-(D573+E573)*C573-J573-K573-IF(D$52&gt;0,'Assumptions and Catalog'!$C$26*C573,0)</f>
        <v>0</v>
      </c>
      <c r="T573" s="5"/>
      <c r="U573" s="5"/>
    </row>
    <row r="574" spans="1:21" ht="23.1" customHeight="1" outlineLevel="1" x14ac:dyDescent="0.2">
      <c r="A574" s="5">
        <v>14</v>
      </c>
      <c r="B574" s="5">
        <v>8</v>
      </c>
      <c r="C574" s="5">
        <f>DAY(DATE('Assumptions and Catalog'!$C$24+A574-1,B574+1,0))</f>
        <v>31</v>
      </c>
      <c r="D574" s="5">
        <f>IF(ISNUMBER(Inputs!$L$5),Inputs!$L$5*Inputs!$L$6,0)</f>
        <v>40.35</v>
      </c>
      <c r="E574" s="5">
        <f>IF(ISNUMBER(Inputs!$L$5),Inputs!$L$5-D574,0)</f>
        <v>40.35</v>
      </c>
      <c r="F574" s="5">
        <f>D$51*'Assumptions and Catalog'!$C$31*C574*(1-'Assumptions and Catalog'!$C$10)^(A574-1)</f>
        <v>0</v>
      </c>
      <c r="G574" s="5">
        <f t="shared" si="40"/>
        <v>0</v>
      </c>
      <c r="H574" s="5">
        <f>I574/('Assumptions and Catalog'!$C$11*'Assumptions and Catalog'!$C$12)</f>
        <v>0</v>
      </c>
      <c r="I574" s="5">
        <f>IF(K$15="Grid cycle",MIN(K$16,D574+E574,P574*'Assumptions and Catalog'!$C$12,D$57*(24-'Assumptions and Catalog'!$C$15),D$56*'Assumptions and Catalog'!$C$15*'Assumptions and Catalog'!$C$11*'Assumptions and Catalog'!$C$12)*C574,0)</f>
        <v>0</v>
      </c>
      <c r="J574" s="5">
        <f t="shared" si="41"/>
        <v>0</v>
      </c>
      <c r="K574" s="5">
        <f t="shared" si="42"/>
        <v>0</v>
      </c>
      <c r="L574" s="5">
        <f>(D574+E574)*C574-G574-I574+H574+IF(D$52&gt;0,'Assumptions and Catalog'!$C$26*C574,0)</f>
        <v>2501.7000000000003</v>
      </c>
      <c r="M574" s="5">
        <f>IF(ISNUMBER(Inputs!$L$5),(IF(Inputs!$L$9="Actual flat rate",((D574+E574)*C574)*Inputs!$L$10,IF(Inputs!$C$9="Residential",IF(((D574+E574)*C574)&lt;='Assumptions and Catalog'!$C$50,((D574+E574)*C574)*'Assumptions and Catalog'!$H$50+'Assumptions and Catalog'!$E$50+'Assumptions and Catalog'!$F$50,IF(((D574+E574)*C574)&lt;='Assumptions and Catalog'!$C$51,((D574+E574)*C574)*'Assumptions and Catalog'!$H$51+'Assumptions and Catalog'!$E$51+'Assumptions and Catalog'!$F$51,IF(((D574+E574)*C574)&lt;='Assumptions and Catalog'!$C$52,((D574+E574)*C574)*'Assumptions and Catalog'!$H$52+'Assumptions and Catalog'!$E$52+'Assumptions and Catalog'!$F$52,IF(((D574+E574)*C574)&lt;='Assumptions and Catalog'!$C$53,((D574+E574)*C574)*'Assumptions and Catalog'!$H$53+'Assumptions and Catalog'!$E$53+'Assumptions and Catalog'!$F$53,IF(((D574+E574)*C574)&lt;='Assumptions and Catalog'!$C$54,((D574+E574)*C574)*'Assumptions and Catalog'!$H$54+'Assumptions and Catalog'!$E$54+'Assumptions and Catalog'!$F$54,IF(((D574+E574)*C574)&lt;='Assumptions and Catalog'!$C$55,((D574+E574)*C574)*'Assumptions and Catalog'!$H$55+'Assumptions and Catalog'!$E$55+'Assumptions and Catalog'!$F$55,IF(((D574+E574)*C574)&lt;='Assumptions and Catalog'!$C$56,((D574+E574)*C574)*'Assumptions and Catalog'!$H$56+'Assumptions and Catalog'!$E$56+'Assumptions and Catalog'!$F$56,IF(((D574+E574)*C574)&lt;='Assumptions and Catalog'!$C$57,((D574+E574)*C574)*'Assumptions and Catalog'!$H$57+'Assumptions and Catalog'!$E$57+'Assumptions and Catalog'!$F$57,"Out of range")))))))),IF(((D574+E574)*C574)&lt;='Assumptions and Catalog'!$C$60,((D574+E574)*C574)*'Assumptions and Catalog'!$H$60+'Assumptions and Catalog'!$E$60+'Assumptions and Catalog'!$F$60,IF(((D574+E574)*C574)&lt;='Assumptions and Catalog'!$C$61,((D574+E574)*C574)*'Assumptions and Catalog'!$H$61+'Assumptions and Catalog'!$E$61+'Assumptions and Catalog'!$F$61,IF(((D574+E574)*C574)&lt;='Assumptions and Catalog'!$C$62,((D574+E574)*C574)*'Assumptions and Catalog'!$H$62+'Assumptions and Catalog'!$E$62+'Assumptions and Catalog'!$F$62,IF(((D574+E574)*C574)&lt;='Assumptions and Catalog'!$C$63,((D574+E574)*C574)*'Assumptions and Catalog'!$H$63+'Assumptions and Catalog'!$E$63+'Assumptions and Catalog'!$F$63,IF(((D574+E574)*C574)&lt;='Assumptions and Catalog'!$C$64,((D574+E574)*C574)*'Assumptions and Catalog'!$H$64+'Assumptions and Catalog'!$E$64+'Assumptions and Catalog'!$F$64,IF(((D574+E574)*C574)&lt;='Assumptions and Catalog'!$C$65,((D574+E574)*C574)*'Assumptions and Catalog'!$H$65+'Assumptions and Catalog'!$E$65+'Assumptions and Catalog'!$F$65,"Out of range")))))))))*(1+'Assumptions and Catalog'!$C$8)^(A574-1),0)</f>
        <v>8554.9666666666672</v>
      </c>
      <c r="N574" s="5">
        <f>IF(ISNUMBER(Inputs!$L$5),(IF(Inputs!$L$9="Actual flat rate",L574*Inputs!$L$10,IF(Inputs!$C$9="Residential",IF(L574&lt;='Assumptions and Catalog'!$C$50,L574*'Assumptions and Catalog'!$H$50+'Assumptions and Catalog'!$E$50+'Assumptions and Catalog'!$F$50,IF(L574&lt;='Assumptions and Catalog'!$C$51,L574*'Assumptions and Catalog'!$H$51+'Assumptions and Catalog'!$E$51+'Assumptions and Catalog'!$F$51,IF(L574&lt;='Assumptions and Catalog'!$C$52,L574*'Assumptions and Catalog'!$H$52+'Assumptions and Catalog'!$E$52+'Assumptions and Catalog'!$F$52,IF(L574&lt;='Assumptions and Catalog'!$C$53,L574*'Assumptions and Catalog'!$H$53+'Assumptions and Catalog'!$E$53+'Assumptions and Catalog'!$F$53,IF(L574&lt;='Assumptions and Catalog'!$C$54,L574*'Assumptions and Catalog'!$H$54+'Assumptions and Catalog'!$E$54+'Assumptions and Catalog'!$F$54,IF(L574&lt;='Assumptions and Catalog'!$C$55,L574*'Assumptions and Catalog'!$H$55+'Assumptions and Catalog'!$E$55+'Assumptions and Catalog'!$F$55,IF(L574&lt;='Assumptions and Catalog'!$C$56,L574*'Assumptions and Catalog'!$H$56+'Assumptions and Catalog'!$E$56+'Assumptions and Catalog'!$F$56,IF(L574&lt;='Assumptions and Catalog'!$C$57,L574*'Assumptions and Catalog'!$H$57+'Assumptions and Catalog'!$E$57+'Assumptions and Catalog'!$F$57,"Out of range")))))))),IF(L574&lt;='Assumptions and Catalog'!$C$60,L574*'Assumptions and Catalog'!$H$60+'Assumptions and Catalog'!$E$60+'Assumptions and Catalog'!$F$60,IF(L574&lt;='Assumptions and Catalog'!$C$61,L574*'Assumptions and Catalog'!$H$61+'Assumptions and Catalog'!$E$61+'Assumptions and Catalog'!$F$61,IF(L574&lt;='Assumptions and Catalog'!$C$62,L574*'Assumptions and Catalog'!$H$62+'Assumptions and Catalog'!$E$62+'Assumptions and Catalog'!$F$62,IF(L574&lt;='Assumptions and Catalog'!$C$63,L574*'Assumptions and Catalog'!$H$63+'Assumptions and Catalog'!$E$63+'Assumptions and Catalog'!$F$63,IF(L574&lt;='Assumptions and Catalog'!$C$64,L574*'Assumptions and Catalog'!$H$64+'Assumptions and Catalog'!$E$64+'Assumptions and Catalog'!$F$64,IF(L574&lt;='Assumptions and Catalog'!$C$65,L574*'Assumptions and Catalog'!$H$65+'Assumptions and Catalog'!$E$65+'Assumptions and Catalog'!$F$65,"Out of range")))))))))*(1+'Assumptions and Catalog'!$C$8)^(A574-1),0)</f>
        <v>8554.9666666666672</v>
      </c>
      <c r="O574" s="5">
        <f t="shared" si="43"/>
        <v>0</v>
      </c>
      <c r="P574" s="5">
        <f>D$55*(1-K$14)*(1-'Assumptions and Catalog'!$C$23)^R574</f>
        <v>0</v>
      </c>
      <c r="Q574" s="5">
        <f>IF(ISNUMBER(Inputs!$L$5),(IF(Inputs!$L$9="Actual flat rate",((D574+E574)*C574-G574)*Inputs!$L$10,IF(Inputs!$C$9="Residential",IF(((D574+E574)*C574-G574)&lt;='Assumptions and Catalog'!$C$50,((D574+E574)*C574-G574)*'Assumptions and Catalog'!$H$50+'Assumptions and Catalog'!$E$50+'Assumptions and Catalog'!$F$50,IF(((D574+E574)*C574-G574)&lt;='Assumptions and Catalog'!$C$51,((D574+E574)*C574-G574)*'Assumptions and Catalog'!$H$51+'Assumptions and Catalog'!$E$51+'Assumptions and Catalog'!$F$51,IF(((D574+E574)*C574-G574)&lt;='Assumptions and Catalog'!$C$52,((D574+E574)*C574-G574)*'Assumptions and Catalog'!$H$52+'Assumptions and Catalog'!$E$52+'Assumptions and Catalog'!$F$52,IF(((D574+E574)*C574-G574)&lt;='Assumptions and Catalog'!$C$53,((D574+E574)*C574-G574)*'Assumptions and Catalog'!$H$53+'Assumptions and Catalog'!$E$53+'Assumptions and Catalog'!$F$53,IF(((D574+E574)*C574-G574)&lt;='Assumptions and Catalog'!$C$54,((D574+E574)*C574-G574)*'Assumptions and Catalog'!$H$54+'Assumptions and Catalog'!$E$54+'Assumptions and Catalog'!$F$54,IF(((D574+E574)*C574-G574)&lt;='Assumptions and Catalog'!$C$55,((D574+E574)*C574-G574)*'Assumptions and Catalog'!$H$55+'Assumptions and Catalog'!$E$55+'Assumptions and Catalog'!$F$55,IF(((D574+E574)*C574-G574)&lt;='Assumptions and Catalog'!$C$56,((D574+E574)*C574-G574)*'Assumptions and Catalog'!$H$56+'Assumptions and Catalog'!$E$56+'Assumptions and Catalog'!$F$56,IF(((D574+E574)*C574-G574)&lt;='Assumptions and Catalog'!$C$57,((D574+E574)*C574-G574)*'Assumptions and Catalog'!$H$57+'Assumptions and Catalog'!$E$57+'Assumptions and Catalog'!$F$57,"Out of range")))))))),IF(((D574+E574)*C574-G574)&lt;='Assumptions and Catalog'!$C$60,((D574+E574)*C574-G574)*'Assumptions and Catalog'!$H$60+'Assumptions and Catalog'!$E$60+'Assumptions and Catalog'!$F$60,IF(((D574+E574)*C574-G574)&lt;='Assumptions and Catalog'!$C$61,((D574+E574)*C574-G574)*'Assumptions and Catalog'!$H$61+'Assumptions and Catalog'!$E$61+'Assumptions and Catalog'!$F$61,IF(((D574+E574)*C574-G574)&lt;='Assumptions and Catalog'!$C$62,((D574+E574)*C574-G574)*'Assumptions and Catalog'!$H$62+'Assumptions and Catalog'!$E$62+'Assumptions and Catalog'!$F$62,IF(((D574+E574)*C574-G574)&lt;='Assumptions and Catalog'!$C$63,((D574+E574)*C574-G574)*'Assumptions and Catalog'!$H$63+'Assumptions and Catalog'!$E$63+'Assumptions and Catalog'!$F$63,IF(((D574+E574)*C574-G574)&lt;='Assumptions and Catalog'!$C$64,((D574+E574)*C574-G574)*'Assumptions and Catalog'!$H$64+'Assumptions and Catalog'!$E$64+'Assumptions and Catalog'!$F$64,IF(((D574+E574)*C574-G574)&lt;='Assumptions and Catalog'!$C$65,((D574+E574)*C574-G574)*'Assumptions and Catalog'!$H$65+'Assumptions and Catalog'!$E$65+'Assumptions and Catalog'!$F$65,"Out of range")))))))))*(1+'Assumptions and Catalog'!$C$8)^(A574-1),0)</f>
        <v>8554.9666666666672</v>
      </c>
      <c r="R574" s="5">
        <f>IF(AND('Assumptions and Catalog'!$C$19&gt;0,A574&gt;='Assumptions and Catalog'!$C$19),A574-'Assumptions and Catalog'!$C$19,A574-1)</f>
        <v>3</v>
      </c>
      <c r="S574" s="5">
        <f>F574+L574-(D574+E574)*C574-J574-K574-IF(D$52&gt;0,'Assumptions and Catalog'!$C$26*C574,0)</f>
        <v>0</v>
      </c>
      <c r="T574" s="5"/>
      <c r="U574" s="5"/>
    </row>
    <row r="575" spans="1:21" ht="23.1" customHeight="1" outlineLevel="1" x14ac:dyDescent="0.2">
      <c r="A575" s="5">
        <v>14</v>
      </c>
      <c r="B575" s="5">
        <v>9</v>
      </c>
      <c r="C575" s="5">
        <f>DAY(DATE('Assumptions and Catalog'!$C$24+A575-1,B575+1,0))</f>
        <v>30</v>
      </c>
      <c r="D575" s="5">
        <f>IF(ISNUMBER(Inputs!$L$5),Inputs!$L$5*Inputs!$L$6,0)</f>
        <v>40.35</v>
      </c>
      <c r="E575" s="5">
        <f>IF(ISNUMBER(Inputs!$L$5),Inputs!$L$5-D575,0)</f>
        <v>40.35</v>
      </c>
      <c r="F575" s="5">
        <f>D$51*'Assumptions and Catalog'!$C$31*C575*(1-'Assumptions and Catalog'!$C$10)^(A575-1)</f>
        <v>0</v>
      </c>
      <c r="G575" s="5">
        <f t="shared" si="40"/>
        <v>0</v>
      </c>
      <c r="H575" s="5">
        <f>I575/('Assumptions and Catalog'!$C$11*'Assumptions and Catalog'!$C$12)</f>
        <v>0</v>
      </c>
      <c r="I575" s="5">
        <f>IF(K$15="Grid cycle",MIN(K$16,D575+E575,P575*'Assumptions and Catalog'!$C$12,D$57*(24-'Assumptions and Catalog'!$C$15),D$56*'Assumptions and Catalog'!$C$15*'Assumptions and Catalog'!$C$11*'Assumptions and Catalog'!$C$12)*C575,0)</f>
        <v>0</v>
      </c>
      <c r="J575" s="5">
        <f t="shared" si="41"/>
        <v>0</v>
      </c>
      <c r="K575" s="5">
        <f t="shared" si="42"/>
        <v>0</v>
      </c>
      <c r="L575" s="5">
        <f>(D575+E575)*C575-G575-I575+H575+IF(D$52&gt;0,'Assumptions and Catalog'!$C$26*C575,0)</f>
        <v>2421</v>
      </c>
      <c r="M575" s="5">
        <f>IF(ISNUMBER(Inputs!$L$5),(IF(Inputs!$L$9="Actual flat rate",((D575+E575)*C575)*Inputs!$L$10,IF(Inputs!$C$9="Residential",IF(((D575+E575)*C575)&lt;='Assumptions and Catalog'!$C$50,((D575+E575)*C575)*'Assumptions and Catalog'!$H$50+'Assumptions and Catalog'!$E$50+'Assumptions and Catalog'!$F$50,IF(((D575+E575)*C575)&lt;='Assumptions and Catalog'!$C$51,((D575+E575)*C575)*'Assumptions and Catalog'!$H$51+'Assumptions and Catalog'!$E$51+'Assumptions and Catalog'!$F$51,IF(((D575+E575)*C575)&lt;='Assumptions and Catalog'!$C$52,((D575+E575)*C575)*'Assumptions and Catalog'!$H$52+'Assumptions and Catalog'!$E$52+'Assumptions and Catalog'!$F$52,IF(((D575+E575)*C575)&lt;='Assumptions and Catalog'!$C$53,((D575+E575)*C575)*'Assumptions and Catalog'!$H$53+'Assumptions and Catalog'!$E$53+'Assumptions and Catalog'!$F$53,IF(((D575+E575)*C575)&lt;='Assumptions and Catalog'!$C$54,((D575+E575)*C575)*'Assumptions and Catalog'!$H$54+'Assumptions and Catalog'!$E$54+'Assumptions and Catalog'!$F$54,IF(((D575+E575)*C575)&lt;='Assumptions and Catalog'!$C$55,((D575+E575)*C575)*'Assumptions and Catalog'!$H$55+'Assumptions and Catalog'!$E$55+'Assumptions and Catalog'!$F$55,IF(((D575+E575)*C575)&lt;='Assumptions and Catalog'!$C$56,((D575+E575)*C575)*'Assumptions and Catalog'!$H$56+'Assumptions and Catalog'!$E$56+'Assumptions and Catalog'!$F$56,IF(((D575+E575)*C575)&lt;='Assumptions and Catalog'!$C$57,((D575+E575)*C575)*'Assumptions and Catalog'!$H$57+'Assumptions and Catalog'!$E$57+'Assumptions and Catalog'!$F$57,"Out of range")))))))),IF(((D575+E575)*C575)&lt;='Assumptions and Catalog'!$C$60,((D575+E575)*C575)*'Assumptions and Catalog'!$H$60+'Assumptions and Catalog'!$E$60+'Assumptions and Catalog'!$F$60,IF(((D575+E575)*C575)&lt;='Assumptions and Catalog'!$C$61,((D575+E575)*C575)*'Assumptions and Catalog'!$H$61+'Assumptions and Catalog'!$E$61+'Assumptions and Catalog'!$F$61,IF(((D575+E575)*C575)&lt;='Assumptions and Catalog'!$C$62,((D575+E575)*C575)*'Assumptions and Catalog'!$H$62+'Assumptions and Catalog'!$E$62+'Assumptions and Catalog'!$F$62,IF(((D575+E575)*C575)&lt;='Assumptions and Catalog'!$C$63,((D575+E575)*C575)*'Assumptions and Catalog'!$H$63+'Assumptions and Catalog'!$E$63+'Assumptions and Catalog'!$F$63,IF(((D575+E575)*C575)&lt;='Assumptions and Catalog'!$C$64,((D575+E575)*C575)*'Assumptions and Catalog'!$H$64+'Assumptions and Catalog'!$E$64+'Assumptions and Catalog'!$F$64,IF(((D575+E575)*C575)&lt;='Assumptions and Catalog'!$C$65,((D575+E575)*C575)*'Assumptions and Catalog'!$H$65+'Assumptions and Catalog'!$E$65+'Assumptions and Catalog'!$F$65,"Out of range")))))))))*(1+'Assumptions and Catalog'!$C$8)^(A575-1),0)</f>
        <v>8279</v>
      </c>
      <c r="N575" s="5">
        <f>IF(ISNUMBER(Inputs!$L$5),(IF(Inputs!$L$9="Actual flat rate",L575*Inputs!$L$10,IF(Inputs!$C$9="Residential",IF(L575&lt;='Assumptions and Catalog'!$C$50,L575*'Assumptions and Catalog'!$H$50+'Assumptions and Catalog'!$E$50+'Assumptions and Catalog'!$F$50,IF(L575&lt;='Assumptions and Catalog'!$C$51,L575*'Assumptions and Catalog'!$H$51+'Assumptions and Catalog'!$E$51+'Assumptions and Catalog'!$F$51,IF(L575&lt;='Assumptions and Catalog'!$C$52,L575*'Assumptions and Catalog'!$H$52+'Assumptions and Catalog'!$E$52+'Assumptions and Catalog'!$F$52,IF(L575&lt;='Assumptions and Catalog'!$C$53,L575*'Assumptions and Catalog'!$H$53+'Assumptions and Catalog'!$E$53+'Assumptions and Catalog'!$F$53,IF(L575&lt;='Assumptions and Catalog'!$C$54,L575*'Assumptions and Catalog'!$H$54+'Assumptions and Catalog'!$E$54+'Assumptions and Catalog'!$F$54,IF(L575&lt;='Assumptions and Catalog'!$C$55,L575*'Assumptions and Catalog'!$H$55+'Assumptions and Catalog'!$E$55+'Assumptions and Catalog'!$F$55,IF(L575&lt;='Assumptions and Catalog'!$C$56,L575*'Assumptions and Catalog'!$H$56+'Assumptions and Catalog'!$E$56+'Assumptions and Catalog'!$F$56,IF(L575&lt;='Assumptions and Catalog'!$C$57,L575*'Assumptions and Catalog'!$H$57+'Assumptions and Catalog'!$E$57+'Assumptions and Catalog'!$F$57,"Out of range")))))))),IF(L575&lt;='Assumptions and Catalog'!$C$60,L575*'Assumptions and Catalog'!$H$60+'Assumptions and Catalog'!$E$60+'Assumptions and Catalog'!$F$60,IF(L575&lt;='Assumptions and Catalog'!$C$61,L575*'Assumptions and Catalog'!$H$61+'Assumptions and Catalog'!$E$61+'Assumptions and Catalog'!$F$61,IF(L575&lt;='Assumptions and Catalog'!$C$62,L575*'Assumptions and Catalog'!$H$62+'Assumptions and Catalog'!$E$62+'Assumptions and Catalog'!$F$62,IF(L575&lt;='Assumptions and Catalog'!$C$63,L575*'Assumptions and Catalog'!$H$63+'Assumptions and Catalog'!$E$63+'Assumptions and Catalog'!$F$63,IF(L575&lt;='Assumptions and Catalog'!$C$64,L575*'Assumptions and Catalog'!$H$64+'Assumptions and Catalog'!$E$64+'Assumptions and Catalog'!$F$64,IF(L575&lt;='Assumptions and Catalog'!$C$65,L575*'Assumptions and Catalog'!$H$65+'Assumptions and Catalog'!$E$65+'Assumptions and Catalog'!$F$65,"Out of range")))))))))*(1+'Assumptions and Catalog'!$C$8)^(A575-1),0)</f>
        <v>8279</v>
      </c>
      <c r="O575" s="5">
        <f t="shared" si="43"/>
        <v>0</v>
      </c>
      <c r="P575" s="5">
        <f>D$55*(1-K$14)*(1-'Assumptions and Catalog'!$C$23)^R575</f>
        <v>0</v>
      </c>
      <c r="Q575" s="5">
        <f>IF(ISNUMBER(Inputs!$L$5),(IF(Inputs!$L$9="Actual flat rate",((D575+E575)*C575-G575)*Inputs!$L$10,IF(Inputs!$C$9="Residential",IF(((D575+E575)*C575-G575)&lt;='Assumptions and Catalog'!$C$50,((D575+E575)*C575-G575)*'Assumptions and Catalog'!$H$50+'Assumptions and Catalog'!$E$50+'Assumptions and Catalog'!$F$50,IF(((D575+E575)*C575-G575)&lt;='Assumptions and Catalog'!$C$51,((D575+E575)*C575-G575)*'Assumptions and Catalog'!$H$51+'Assumptions and Catalog'!$E$51+'Assumptions and Catalog'!$F$51,IF(((D575+E575)*C575-G575)&lt;='Assumptions and Catalog'!$C$52,((D575+E575)*C575-G575)*'Assumptions and Catalog'!$H$52+'Assumptions and Catalog'!$E$52+'Assumptions and Catalog'!$F$52,IF(((D575+E575)*C575-G575)&lt;='Assumptions and Catalog'!$C$53,((D575+E575)*C575-G575)*'Assumptions and Catalog'!$H$53+'Assumptions and Catalog'!$E$53+'Assumptions and Catalog'!$F$53,IF(((D575+E575)*C575-G575)&lt;='Assumptions and Catalog'!$C$54,((D575+E575)*C575-G575)*'Assumptions and Catalog'!$H$54+'Assumptions and Catalog'!$E$54+'Assumptions and Catalog'!$F$54,IF(((D575+E575)*C575-G575)&lt;='Assumptions and Catalog'!$C$55,((D575+E575)*C575-G575)*'Assumptions and Catalog'!$H$55+'Assumptions and Catalog'!$E$55+'Assumptions and Catalog'!$F$55,IF(((D575+E575)*C575-G575)&lt;='Assumptions and Catalog'!$C$56,((D575+E575)*C575-G575)*'Assumptions and Catalog'!$H$56+'Assumptions and Catalog'!$E$56+'Assumptions and Catalog'!$F$56,IF(((D575+E575)*C575-G575)&lt;='Assumptions and Catalog'!$C$57,((D575+E575)*C575-G575)*'Assumptions and Catalog'!$H$57+'Assumptions and Catalog'!$E$57+'Assumptions and Catalog'!$F$57,"Out of range")))))))),IF(((D575+E575)*C575-G575)&lt;='Assumptions and Catalog'!$C$60,((D575+E575)*C575-G575)*'Assumptions and Catalog'!$H$60+'Assumptions and Catalog'!$E$60+'Assumptions and Catalog'!$F$60,IF(((D575+E575)*C575-G575)&lt;='Assumptions and Catalog'!$C$61,((D575+E575)*C575-G575)*'Assumptions and Catalog'!$H$61+'Assumptions and Catalog'!$E$61+'Assumptions and Catalog'!$F$61,IF(((D575+E575)*C575-G575)&lt;='Assumptions and Catalog'!$C$62,((D575+E575)*C575-G575)*'Assumptions and Catalog'!$H$62+'Assumptions and Catalog'!$E$62+'Assumptions and Catalog'!$F$62,IF(((D575+E575)*C575-G575)&lt;='Assumptions and Catalog'!$C$63,((D575+E575)*C575-G575)*'Assumptions and Catalog'!$H$63+'Assumptions and Catalog'!$E$63+'Assumptions and Catalog'!$F$63,IF(((D575+E575)*C575-G575)&lt;='Assumptions and Catalog'!$C$64,((D575+E575)*C575-G575)*'Assumptions and Catalog'!$H$64+'Assumptions and Catalog'!$E$64+'Assumptions and Catalog'!$F$64,IF(((D575+E575)*C575-G575)&lt;='Assumptions and Catalog'!$C$65,((D575+E575)*C575-G575)*'Assumptions and Catalog'!$H$65+'Assumptions and Catalog'!$E$65+'Assumptions and Catalog'!$F$65,"Out of range")))))))))*(1+'Assumptions and Catalog'!$C$8)^(A575-1),0)</f>
        <v>8279</v>
      </c>
      <c r="R575" s="5">
        <f>IF(AND('Assumptions and Catalog'!$C$19&gt;0,A575&gt;='Assumptions and Catalog'!$C$19),A575-'Assumptions and Catalog'!$C$19,A575-1)</f>
        <v>3</v>
      </c>
      <c r="S575" s="5">
        <f>F575+L575-(D575+E575)*C575-J575-K575-IF(D$52&gt;0,'Assumptions and Catalog'!$C$26*C575,0)</f>
        <v>0</v>
      </c>
      <c r="T575" s="5"/>
      <c r="U575" s="5"/>
    </row>
    <row r="576" spans="1:21" ht="23.1" customHeight="1" outlineLevel="1" x14ac:dyDescent="0.2">
      <c r="A576" s="5">
        <v>14</v>
      </c>
      <c r="B576" s="5">
        <v>10</v>
      </c>
      <c r="C576" s="5">
        <f>DAY(DATE('Assumptions and Catalog'!$C$24+A576-1,B576+1,0))</f>
        <v>31</v>
      </c>
      <c r="D576" s="5">
        <f>IF(ISNUMBER(Inputs!$L$5),Inputs!$L$5*Inputs!$L$6,0)</f>
        <v>40.35</v>
      </c>
      <c r="E576" s="5">
        <f>IF(ISNUMBER(Inputs!$L$5),Inputs!$L$5-D576,0)</f>
        <v>40.35</v>
      </c>
      <c r="F576" s="5">
        <f>D$51*'Assumptions and Catalog'!$C$31*C576*(1-'Assumptions and Catalog'!$C$10)^(A576-1)</f>
        <v>0</v>
      </c>
      <c r="G576" s="5">
        <f t="shared" si="40"/>
        <v>0</v>
      </c>
      <c r="H576" s="5">
        <f>I576/('Assumptions and Catalog'!$C$11*'Assumptions and Catalog'!$C$12)</f>
        <v>0</v>
      </c>
      <c r="I576" s="5">
        <f>IF(K$15="Grid cycle",MIN(K$16,D576+E576,P576*'Assumptions and Catalog'!$C$12,D$57*(24-'Assumptions and Catalog'!$C$15),D$56*'Assumptions and Catalog'!$C$15*'Assumptions and Catalog'!$C$11*'Assumptions and Catalog'!$C$12)*C576,0)</f>
        <v>0</v>
      </c>
      <c r="J576" s="5">
        <f t="shared" si="41"/>
        <v>0</v>
      </c>
      <c r="K576" s="5">
        <f t="shared" si="42"/>
        <v>0</v>
      </c>
      <c r="L576" s="5">
        <f>(D576+E576)*C576-G576-I576+H576+IF(D$52&gt;0,'Assumptions and Catalog'!$C$26*C576,0)</f>
        <v>2501.7000000000003</v>
      </c>
      <c r="M576" s="5">
        <f>IF(ISNUMBER(Inputs!$L$5),(IF(Inputs!$L$9="Actual flat rate",((D576+E576)*C576)*Inputs!$L$10,IF(Inputs!$C$9="Residential",IF(((D576+E576)*C576)&lt;='Assumptions and Catalog'!$C$50,((D576+E576)*C576)*'Assumptions and Catalog'!$H$50+'Assumptions and Catalog'!$E$50+'Assumptions and Catalog'!$F$50,IF(((D576+E576)*C576)&lt;='Assumptions and Catalog'!$C$51,((D576+E576)*C576)*'Assumptions and Catalog'!$H$51+'Assumptions and Catalog'!$E$51+'Assumptions and Catalog'!$F$51,IF(((D576+E576)*C576)&lt;='Assumptions and Catalog'!$C$52,((D576+E576)*C576)*'Assumptions and Catalog'!$H$52+'Assumptions and Catalog'!$E$52+'Assumptions and Catalog'!$F$52,IF(((D576+E576)*C576)&lt;='Assumptions and Catalog'!$C$53,((D576+E576)*C576)*'Assumptions and Catalog'!$H$53+'Assumptions and Catalog'!$E$53+'Assumptions and Catalog'!$F$53,IF(((D576+E576)*C576)&lt;='Assumptions and Catalog'!$C$54,((D576+E576)*C576)*'Assumptions and Catalog'!$H$54+'Assumptions and Catalog'!$E$54+'Assumptions and Catalog'!$F$54,IF(((D576+E576)*C576)&lt;='Assumptions and Catalog'!$C$55,((D576+E576)*C576)*'Assumptions and Catalog'!$H$55+'Assumptions and Catalog'!$E$55+'Assumptions and Catalog'!$F$55,IF(((D576+E576)*C576)&lt;='Assumptions and Catalog'!$C$56,((D576+E576)*C576)*'Assumptions and Catalog'!$H$56+'Assumptions and Catalog'!$E$56+'Assumptions and Catalog'!$F$56,IF(((D576+E576)*C576)&lt;='Assumptions and Catalog'!$C$57,((D576+E576)*C576)*'Assumptions and Catalog'!$H$57+'Assumptions and Catalog'!$E$57+'Assumptions and Catalog'!$F$57,"Out of range")))))))),IF(((D576+E576)*C576)&lt;='Assumptions and Catalog'!$C$60,((D576+E576)*C576)*'Assumptions and Catalog'!$H$60+'Assumptions and Catalog'!$E$60+'Assumptions and Catalog'!$F$60,IF(((D576+E576)*C576)&lt;='Assumptions and Catalog'!$C$61,((D576+E576)*C576)*'Assumptions and Catalog'!$H$61+'Assumptions and Catalog'!$E$61+'Assumptions and Catalog'!$F$61,IF(((D576+E576)*C576)&lt;='Assumptions and Catalog'!$C$62,((D576+E576)*C576)*'Assumptions and Catalog'!$H$62+'Assumptions and Catalog'!$E$62+'Assumptions and Catalog'!$F$62,IF(((D576+E576)*C576)&lt;='Assumptions and Catalog'!$C$63,((D576+E576)*C576)*'Assumptions and Catalog'!$H$63+'Assumptions and Catalog'!$E$63+'Assumptions and Catalog'!$F$63,IF(((D576+E576)*C576)&lt;='Assumptions and Catalog'!$C$64,((D576+E576)*C576)*'Assumptions and Catalog'!$H$64+'Assumptions and Catalog'!$E$64+'Assumptions and Catalog'!$F$64,IF(((D576+E576)*C576)&lt;='Assumptions and Catalog'!$C$65,((D576+E576)*C576)*'Assumptions and Catalog'!$H$65+'Assumptions and Catalog'!$E$65+'Assumptions and Catalog'!$F$65,"Out of range")))))))))*(1+'Assumptions and Catalog'!$C$8)^(A576-1),0)</f>
        <v>8554.9666666666672</v>
      </c>
      <c r="N576" s="5">
        <f>IF(ISNUMBER(Inputs!$L$5),(IF(Inputs!$L$9="Actual flat rate",L576*Inputs!$L$10,IF(Inputs!$C$9="Residential",IF(L576&lt;='Assumptions and Catalog'!$C$50,L576*'Assumptions and Catalog'!$H$50+'Assumptions and Catalog'!$E$50+'Assumptions and Catalog'!$F$50,IF(L576&lt;='Assumptions and Catalog'!$C$51,L576*'Assumptions and Catalog'!$H$51+'Assumptions and Catalog'!$E$51+'Assumptions and Catalog'!$F$51,IF(L576&lt;='Assumptions and Catalog'!$C$52,L576*'Assumptions and Catalog'!$H$52+'Assumptions and Catalog'!$E$52+'Assumptions and Catalog'!$F$52,IF(L576&lt;='Assumptions and Catalog'!$C$53,L576*'Assumptions and Catalog'!$H$53+'Assumptions and Catalog'!$E$53+'Assumptions and Catalog'!$F$53,IF(L576&lt;='Assumptions and Catalog'!$C$54,L576*'Assumptions and Catalog'!$H$54+'Assumptions and Catalog'!$E$54+'Assumptions and Catalog'!$F$54,IF(L576&lt;='Assumptions and Catalog'!$C$55,L576*'Assumptions and Catalog'!$H$55+'Assumptions and Catalog'!$E$55+'Assumptions and Catalog'!$F$55,IF(L576&lt;='Assumptions and Catalog'!$C$56,L576*'Assumptions and Catalog'!$H$56+'Assumptions and Catalog'!$E$56+'Assumptions and Catalog'!$F$56,IF(L576&lt;='Assumptions and Catalog'!$C$57,L576*'Assumptions and Catalog'!$H$57+'Assumptions and Catalog'!$E$57+'Assumptions and Catalog'!$F$57,"Out of range")))))))),IF(L576&lt;='Assumptions and Catalog'!$C$60,L576*'Assumptions and Catalog'!$H$60+'Assumptions and Catalog'!$E$60+'Assumptions and Catalog'!$F$60,IF(L576&lt;='Assumptions and Catalog'!$C$61,L576*'Assumptions and Catalog'!$H$61+'Assumptions and Catalog'!$E$61+'Assumptions and Catalog'!$F$61,IF(L576&lt;='Assumptions and Catalog'!$C$62,L576*'Assumptions and Catalog'!$H$62+'Assumptions and Catalog'!$E$62+'Assumptions and Catalog'!$F$62,IF(L576&lt;='Assumptions and Catalog'!$C$63,L576*'Assumptions and Catalog'!$H$63+'Assumptions and Catalog'!$E$63+'Assumptions and Catalog'!$F$63,IF(L576&lt;='Assumptions and Catalog'!$C$64,L576*'Assumptions and Catalog'!$H$64+'Assumptions and Catalog'!$E$64+'Assumptions and Catalog'!$F$64,IF(L576&lt;='Assumptions and Catalog'!$C$65,L576*'Assumptions and Catalog'!$H$65+'Assumptions and Catalog'!$E$65+'Assumptions and Catalog'!$F$65,"Out of range")))))))))*(1+'Assumptions and Catalog'!$C$8)^(A576-1),0)</f>
        <v>8554.9666666666672</v>
      </c>
      <c r="O576" s="5">
        <f t="shared" si="43"/>
        <v>0</v>
      </c>
      <c r="P576" s="5">
        <f>D$55*(1-K$14)*(1-'Assumptions and Catalog'!$C$23)^R576</f>
        <v>0</v>
      </c>
      <c r="Q576" s="5">
        <f>IF(ISNUMBER(Inputs!$L$5),(IF(Inputs!$L$9="Actual flat rate",((D576+E576)*C576-G576)*Inputs!$L$10,IF(Inputs!$C$9="Residential",IF(((D576+E576)*C576-G576)&lt;='Assumptions and Catalog'!$C$50,((D576+E576)*C576-G576)*'Assumptions and Catalog'!$H$50+'Assumptions and Catalog'!$E$50+'Assumptions and Catalog'!$F$50,IF(((D576+E576)*C576-G576)&lt;='Assumptions and Catalog'!$C$51,((D576+E576)*C576-G576)*'Assumptions and Catalog'!$H$51+'Assumptions and Catalog'!$E$51+'Assumptions and Catalog'!$F$51,IF(((D576+E576)*C576-G576)&lt;='Assumptions and Catalog'!$C$52,((D576+E576)*C576-G576)*'Assumptions and Catalog'!$H$52+'Assumptions and Catalog'!$E$52+'Assumptions and Catalog'!$F$52,IF(((D576+E576)*C576-G576)&lt;='Assumptions and Catalog'!$C$53,((D576+E576)*C576-G576)*'Assumptions and Catalog'!$H$53+'Assumptions and Catalog'!$E$53+'Assumptions and Catalog'!$F$53,IF(((D576+E576)*C576-G576)&lt;='Assumptions and Catalog'!$C$54,((D576+E576)*C576-G576)*'Assumptions and Catalog'!$H$54+'Assumptions and Catalog'!$E$54+'Assumptions and Catalog'!$F$54,IF(((D576+E576)*C576-G576)&lt;='Assumptions and Catalog'!$C$55,((D576+E576)*C576-G576)*'Assumptions and Catalog'!$H$55+'Assumptions and Catalog'!$E$55+'Assumptions and Catalog'!$F$55,IF(((D576+E576)*C576-G576)&lt;='Assumptions and Catalog'!$C$56,((D576+E576)*C576-G576)*'Assumptions and Catalog'!$H$56+'Assumptions and Catalog'!$E$56+'Assumptions and Catalog'!$F$56,IF(((D576+E576)*C576-G576)&lt;='Assumptions and Catalog'!$C$57,((D576+E576)*C576-G576)*'Assumptions and Catalog'!$H$57+'Assumptions and Catalog'!$E$57+'Assumptions and Catalog'!$F$57,"Out of range")))))))),IF(((D576+E576)*C576-G576)&lt;='Assumptions and Catalog'!$C$60,((D576+E576)*C576-G576)*'Assumptions and Catalog'!$H$60+'Assumptions and Catalog'!$E$60+'Assumptions and Catalog'!$F$60,IF(((D576+E576)*C576-G576)&lt;='Assumptions and Catalog'!$C$61,((D576+E576)*C576-G576)*'Assumptions and Catalog'!$H$61+'Assumptions and Catalog'!$E$61+'Assumptions and Catalog'!$F$61,IF(((D576+E576)*C576-G576)&lt;='Assumptions and Catalog'!$C$62,((D576+E576)*C576-G576)*'Assumptions and Catalog'!$H$62+'Assumptions and Catalog'!$E$62+'Assumptions and Catalog'!$F$62,IF(((D576+E576)*C576-G576)&lt;='Assumptions and Catalog'!$C$63,((D576+E576)*C576-G576)*'Assumptions and Catalog'!$H$63+'Assumptions and Catalog'!$E$63+'Assumptions and Catalog'!$F$63,IF(((D576+E576)*C576-G576)&lt;='Assumptions and Catalog'!$C$64,((D576+E576)*C576-G576)*'Assumptions and Catalog'!$H$64+'Assumptions and Catalog'!$E$64+'Assumptions and Catalog'!$F$64,IF(((D576+E576)*C576-G576)&lt;='Assumptions and Catalog'!$C$65,((D576+E576)*C576-G576)*'Assumptions and Catalog'!$H$65+'Assumptions and Catalog'!$E$65+'Assumptions and Catalog'!$F$65,"Out of range")))))))))*(1+'Assumptions and Catalog'!$C$8)^(A576-1),0)</f>
        <v>8554.9666666666672</v>
      </c>
      <c r="R576" s="5">
        <f>IF(AND('Assumptions and Catalog'!$C$19&gt;0,A576&gt;='Assumptions and Catalog'!$C$19),A576-'Assumptions and Catalog'!$C$19,A576-1)</f>
        <v>3</v>
      </c>
      <c r="S576" s="5">
        <f>F576+L576-(D576+E576)*C576-J576-K576-IF(D$52&gt;0,'Assumptions and Catalog'!$C$26*C576,0)</f>
        <v>0</v>
      </c>
      <c r="T576" s="5"/>
      <c r="U576" s="5"/>
    </row>
    <row r="577" spans="1:21" ht="23.1" customHeight="1" outlineLevel="1" x14ac:dyDescent="0.2">
      <c r="A577" s="5">
        <v>14</v>
      </c>
      <c r="B577" s="5">
        <v>11</v>
      </c>
      <c r="C577" s="5">
        <f>DAY(DATE('Assumptions and Catalog'!$C$24+A577-1,B577+1,0))</f>
        <v>30</v>
      </c>
      <c r="D577" s="5">
        <f>IF(ISNUMBER(Inputs!$L$5),Inputs!$L$5*Inputs!$L$6,0)</f>
        <v>40.35</v>
      </c>
      <c r="E577" s="5">
        <f>IF(ISNUMBER(Inputs!$L$5),Inputs!$L$5-D577,0)</f>
        <v>40.35</v>
      </c>
      <c r="F577" s="5">
        <f>D$51*'Assumptions and Catalog'!$C$31*C577*(1-'Assumptions and Catalog'!$C$10)^(A577-1)</f>
        <v>0</v>
      </c>
      <c r="G577" s="5">
        <f t="shared" si="40"/>
        <v>0</v>
      </c>
      <c r="H577" s="5">
        <f>I577/('Assumptions and Catalog'!$C$11*'Assumptions and Catalog'!$C$12)</f>
        <v>0</v>
      </c>
      <c r="I577" s="5">
        <f>IF(K$15="Grid cycle",MIN(K$16,D577+E577,P577*'Assumptions and Catalog'!$C$12,D$57*(24-'Assumptions and Catalog'!$C$15),D$56*'Assumptions and Catalog'!$C$15*'Assumptions and Catalog'!$C$11*'Assumptions and Catalog'!$C$12)*C577,0)</f>
        <v>0</v>
      </c>
      <c r="J577" s="5">
        <f t="shared" si="41"/>
        <v>0</v>
      </c>
      <c r="K577" s="5">
        <f t="shared" si="42"/>
        <v>0</v>
      </c>
      <c r="L577" s="5">
        <f>(D577+E577)*C577-G577-I577+H577+IF(D$52&gt;0,'Assumptions and Catalog'!$C$26*C577,0)</f>
        <v>2421</v>
      </c>
      <c r="M577" s="5">
        <f>IF(ISNUMBER(Inputs!$L$5),(IF(Inputs!$L$9="Actual flat rate",((D577+E577)*C577)*Inputs!$L$10,IF(Inputs!$C$9="Residential",IF(((D577+E577)*C577)&lt;='Assumptions and Catalog'!$C$50,((D577+E577)*C577)*'Assumptions and Catalog'!$H$50+'Assumptions and Catalog'!$E$50+'Assumptions and Catalog'!$F$50,IF(((D577+E577)*C577)&lt;='Assumptions and Catalog'!$C$51,((D577+E577)*C577)*'Assumptions and Catalog'!$H$51+'Assumptions and Catalog'!$E$51+'Assumptions and Catalog'!$F$51,IF(((D577+E577)*C577)&lt;='Assumptions and Catalog'!$C$52,((D577+E577)*C577)*'Assumptions and Catalog'!$H$52+'Assumptions and Catalog'!$E$52+'Assumptions and Catalog'!$F$52,IF(((D577+E577)*C577)&lt;='Assumptions and Catalog'!$C$53,((D577+E577)*C577)*'Assumptions and Catalog'!$H$53+'Assumptions and Catalog'!$E$53+'Assumptions and Catalog'!$F$53,IF(((D577+E577)*C577)&lt;='Assumptions and Catalog'!$C$54,((D577+E577)*C577)*'Assumptions and Catalog'!$H$54+'Assumptions and Catalog'!$E$54+'Assumptions and Catalog'!$F$54,IF(((D577+E577)*C577)&lt;='Assumptions and Catalog'!$C$55,((D577+E577)*C577)*'Assumptions and Catalog'!$H$55+'Assumptions and Catalog'!$E$55+'Assumptions and Catalog'!$F$55,IF(((D577+E577)*C577)&lt;='Assumptions and Catalog'!$C$56,((D577+E577)*C577)*'Assumptions and Catalog'!$H$56+'Assumptions and Catalog'!$E$56+'Assumptions and Catalog'!$F$56,IF(((D577+E577)*C577)&lt;='Assumptions and Catalog'!$C$57,((D577+E577)*C577)*'Assumptions and Catalog'!$H$57+'Assumptions and Catalog'!$E$57+'Assumptions and Catalog'!$F$57,"Out of range")))))))),IF(((D577+E577)*C577)&lt;='Assumptions and Catalog'!$C$60,((D577+E577)*C577)*'Assumptions and Catalog'!$H$60+'Assumptions and Catalog'!$E$60+'Assumptions and Catalog'!$F$60,IF(((D577+E577)*C577)&lt;='Assumptions and Catalog'!$C$61,((D577+E577)*C577)*'Assumptions and Catalog'!$H$61+'Assumptions and Catalog'!$E$61+'Assumptions and Catalog'!$F$61,IF(((D577+E577)*C577)&lt;='Assumptions and Catalog'!$C$62,((D577+E577)*C577)*'Assumptions and Catalog'!$H$62+'Assumptions and Catalog'!$E$62+'Assumptions and Catalog'!$F$62,IF(((D577+E577)*C577)&lt;='Assumptions and Catalog'!$C$63,((D577+E577)*C577)*'Assumptions and Catalog'!$H$63+'Assumptions and Catalog'!$E$63+'Assumptions and Catalog'!$F$63,IF(((D577+E577)*C577)&lt;='Assumptions and Catalog'!$C$64,((D577+E577)*C577)*'Assumptions and Catalog'!$H$64+'Assumptions and Catalog'!$E$64+'Assumptions and Catalog'!$F$64,IF(((D577+E577)*C577)&lt;='Assumptions and Catalog'!$C$65,((D577+E577)*C577)*'Assumptions and Catalog'!$H$65+'Assumptions and Catalog'!$E$65+'Assumptions and Catalog'!$F$65,"Out of range")))))))))*(1+'Assumptions and Catalog'!$C$8)^(A577-1),0)</f>
        <v>8279</v>
      </c>
      <c r="N577" s="5">
        <f>IF(ISNUMBER(Inputs!$L$5),(IF(Inputs!$L$9="Actual flat rate",L577*Inputs!$L$10,IF(Inputs!$C$9="Residential",IF(L577&lt;='Assumptions and Catalog'!$C$50,L577*'Assumptions and Catalog'!$H$50+'Assumptions and Catalog'!$E$50+'Assumptions and Catalog'!$F$50,IF(L577&lt;='Assumptions and Catalog'!$C$51,L577*'Assumptions and Catalog'!$H$51+'Assumptions and Catalog'!$E$51+'Assumptions and Catalog'!$F$51,IF(L577&lt;='Assumptions and Catalog'!$C$52,L577*'Assumptions and Catalog'!$H$52+'Assumptions and Catalog'!$E$52+'Assumptions and Catalog'!$F$52,IF(L577&lt;='Assumptions and Catalog'!$C$53,L577*'Assumptions and Catalog'!$H$53+'Assumptions and Catalog'!$E$53+'Assumptions and Catalog'!$F$53,IF(L577&lt;='Assumptions and Catalog'!$C$54,L577*'Assumptions and Catalog'!$H$54+'Assumptions and Catalog'!$E$54+'Assumptions and Catalog'!$F$54,IF(L577&lt;='Assumptions and Catalog'!$C$55,L577*'Assumptions and Catalog'!$H$55+'Assumptions and Catalog'!$E$55+'Assumptions and Catalog'!$F$55,IF(L577&lt;='Assumptions and Catalog'!$C$56,L577*'Assumptions and Catalog'!$H$56+'Assumptions and Catalog'!$E$56+'Assumptions and Catalog'!$F$56,IF(L577&lt;='Assumptions and Catalog'!$C$57,L577*'Assumptions and Catalog'!$H$57+'Assumptions and Catalog'!$E$57+'Assumptions and Catalog'!$F$57,"Out of range")))))))),IF(L577&lt;='Assumptions and Catalog'!$C$60,L577*'Assumptions and Catalog'!$H$60+'Assumptions and Catalog'!$E$60+'Assumptions and Catalog'!$F$60,IF(L577&lt;='Assumptions and Catalog'!$C$61,L577*'Assumptions and Catalog'!$H$61+'Assumptions and Catalog'!$E$61+'Assumptions and Catalog'!$F$61,IF(L577&lt;='Assumptions and Catalog'!$C$62,L577*'Assumptions and Catalog'!$H$62+'Assumptions and Catalog'!$E$62+'Assumptions and Catalog'!$F$62,IF(L577&lt;='Assumptions and Catalog'!$C$63,L577*'Assumptions and Catalog'!$H$63+'Assumptions and Catalog'!$E$63+'Assumptions and Catalog'!$F$63,IF(L577&lt;='Assumptions and Catalog'!$C$64,L577*'Assumptions and Catalog'!$H$64+'Assumptions and Catalog'!$E$64+'Assumptions and Catalog'!$F$64,IF(L577&lt;='Assumptions and Catalog'!$C$65,L577*'Assumptions and Catalog'!$H$65+'Assumptions and Catalog'!$E$65+'Assumptions and Catalog'!$F$65,"Out of range")))))))))*(1+'Assumptions and Catalog'!$C$8)^(A577-1),0)</f>
        <v>8279</v>
      </c>
      <c r="O577" s="5">
        <f t="shared" si="43"/>
        <v>0</v>
      </c>
      <c r="P577" s="5">
        <f>D$55*(1-K$14)*(1-'Assumptions and Catalog'!$C$23)^R577</f>
        <v>0</v>
      </c>
      <c r="Q577" s="5">
        <f>IF(ISNUMBER(Inputs!$L$5),(IF(Inputs!$L$9="Actual flat rate",((D577+E577)*C577-G577)*Inputs!$L$10,IF(Inputs!$C$9="Residential",IF(((D577+E577)*C577-G577)&lt;='Assumptions and Catalog'!$C$50,((D577+E577)*C577-G577)*'Assumptions and Catalog'!$H$50+'Assumptions and Catalog'!$E$50+'Assumptions and Catalog'!$F$50,IF(((D577+E577)*C577-G577)&lt;='Assumptions and Catalog'!$C$51,((D577+E577)*C577-G577)*'Assumptions and Catalog'!$H$51+'Assumptions and Catalog'!$E$51+'Assumptions and Catalog'!$F$51,IF(((D577+E577)*C577-G577)&lt;='Assumptions and Catalog'!$C$52,((D577+E577)*C577-G577)*'Assumptions and Catalog'!$H$52+'Assumptions and Catalog'!$E$52+'Assumptions and Catalog'!$F$52,IF(((D577+E577)*C577-G577)&lt;='Assumptions and Catalog'!$C$53,((D577+E577)*C577-G577)*'Assumptions and Catalog'!$H$53+'Assumptions and Catalog'!$E$53+'Assumptions and Catalog'!$F$53,IF(((D577+E577)*C577-G577)&lt;='Assumptions and Catalog'!$C$54,((D577+E577)*C577-G577)*'Assumptions and Catalog'!$H$54+'Assumptions and Catalog'!$E$54+'Assumptions and Catalog'!$F$54,IF(((D577+E577)*C577-G577)&lt;='Assumptions and Catalog'!$C$55,((D577+E577)*C577-G577)*'Assumptions and Catalog'!$H$55+'Assumptions and Catalog'!$E$55+'Assumptions and Catalog'!$F$55,IF(((D577+E577)*C577-G577)&lt;='Assumptions and Catalog'!$C$56,((D577+E577)*C577-G577)*'Assumptions and Catalog'!$H$56+'Assumptions and Catalog'!$E$56+'Assumptions and Catalog'!$F$56,IF(((D577+E577)*C577-G577)&lt;='Assumptions and Catalog'!$C$57,((D577+E577)*C577-G577)*'Assumptions and Catalog'!$H$57+'Assumptions and Catalog'!$E$57+'Assumptions and Catalog'!$F$57,"Out of range")))))))),IF(((D577+E577)*C577-G577)&lt;='Assumptions and Catalog'!$C$60,((D577+E577)*C577-G577)*'Assumptions and Catalog'!$H$60+'Assumptions and Catalog'!$E$60+'Assumptions and Catalog'!$F$60,IF(((D577+E577)*C577-G577)&lt;='Assumptions and Catalog'!$C$61,((D577+E577)*C577-G577)*'Assumptions and Catalog'!$H$61+'Assumptions and Catalog'!$E$61+'Assumptions and Catalog'!$F$61,IF(((D577+E577)*C577-G577)&lt;='Assumptions and Catalog'!$C$62,((D577+E577)*C577-G577)*'Assumptions and Catalog'!$H$62+'Assumptions and Catalog'!$E$62+'Assumptions and Catalog'!$F$62,IF(((D577+E577)*C577-G577)&lt;='Assumptions and Catalog'!$C$63,((D577+E577)*C577-G577)*'Assumptions and Catalog'!$H$63+'Assumptions and Catalog'!$E$63+'Assumptions and Catalog'!$F$63,IF(((D577+E577)*C577-G577)&lt;='Assumptions and Catalog'!$C$64,((D577+E577)*C577-G577)*'Assumptions and Catalog'!$H$64+'Assumptions and Catalog'!$E$64+'Assumptions and Catalog'!$F$64,IF(((D577+E577)*C577-G577)&lt;='Assumptions and Catalog'!$C$65,((D577+E577)*C577-G577)*'Assumptions and Catalog'!$H$65+'Assumptions and Catalog'!$E$65+'Assumptions and Catalog'!$F$65,"Out of range")))))))))*(1+'Assumptions and Catalog'!$C$8)^(A577-1),0)</f>
        <v>8279</v>
      </c>
      <c r="R577" s="5">
        <f>IF(AND('Assumptions and Catalog'!$C$19&gt;0,A577&gt;='Assumptions and Catalog'!$C$19),A577-'Assumptions and Catalog'!$C$19,A577-1)</f>
        <v>3</v>
      </c>
      <c r="S577" s="5">
        <f>F577+L577-(D577+E577)*C577-J577-K577-IF(D$52&gt;0,'Assumptions and Catalog'!$C$26*C577,0)</f>
        <v>0</v>
      </c>
      <c r="T577" s="5"/>
      <c r="U577" s="5"/>
    </row>
    <row r="578" spans="1:21" ht="23.1" customHeight="1" outlineLevel="1" x14ac:dyDescent="0.2">
      <c r="A578" s="5">
        <v>14</v>
      </c>
      <c r="B578" s="5">
        <v>12</v>
      </c>
      <c r="C578" s="5">
        <f>DAY(DATE('Assumptions and Catalog'!$C$24+A578-1,B578+1,0))</f>
        <v>31</v>
      </c>
      <c r="D578" s="5">
        <f>IF(ISNUMBER(Inputs!$L$5),Inputs!$L$5*Inputs!$L$6,0)</f>
        <v>40.35</v>
      </c>
      <c r="E578" s="5">
        <f>IF(ISNUMBER(Inputs!$L$5),Inputs!$L$5-D578,0)</f>
        <v>40.35</v>
      </c>
      <c r="F578" s="5">
        <f>D$51*'Assumptions and Catalog'!$C$31*C578*(1-'Assumptions and Catalog'!$C$10)^(A578-1)</f>
        <v>0</v>
      </c>
      <c r="G578" s="5">
        <f t="shared" si="40"/>
        <v>0</v>
      </c>
      <c r="H578" s="5">
        <f>I578/('Assumptions and Catalog'!$C$11*'Assumptions and Catalog'!$C$12)</f>
        <v>0</v>
      </c>
      <c r="I578" s="5">
        <f>IF(K$15="Grid cycle",MIN(K$16,D578+E578,P578*'Assumptions and Catalog'!$C$12,D$57*(24-'Assumptions and Catalog'!$C$15),D$56*'Assumptions and Catalog'!$C$15*'Assumptions and Catalog'!$C$11*'Assumptions and Catalog'!$C$12)*C578,0)</f>
        <v>0</v>
      </c>
      <c r="J578" s="5">
        <f t="shared" si="41"/>
        <v>0</v>
      </c>
      <c r="K578" s="5">
        <f t="shared" si="42"/>
        <v>0</v>
      </c>
      <c r="L578" s="5">
        <f>(D578+E578)*C578-G578-I578+H578+IF(D$52&gt;0,'Assumptions and Catalog'!$C$26*C578,0)</f>
        <v>2501.7000000000003</v>
      </c>
      <c r="M578" s="5">
        <f>IF(ISNUMBER(Inputs!$L$5),(IF(Inputs!$L$9="Actual flat rate",((D578+E578)*C578)*Inputs!$L$10,IF(Inputs!$C$9="Residential",IF(((D578+E578)*C578)&lt;='Assumptions and Catalog'!$C$50,((D578+E578)*C578)*'Assumptions and Catalog'!$H$50+'Assumptions and Catalog'!$E$50+'Assumptions and Catalog'!$F$50,IF(((D578+E578)*C578)&lt;='Assumptions and Catalog'!$C$51,((D578+E578)*C578)*'Assumptions and Catalog'!$H$51+'Assumptions and Catalog'!$E$51+'Assumptions and Catalog'!$F$51,IF(((D578+E578)*C578)&lt;='Assumptions and Catalog'!$C$52,((D578+E578)*C578)*'Assumptions and Catalog'!$H$52+'Assumptions and Catalog'!$E$52+'Assumptions and Catalog'!$F$52,IF(((D578+E578)*C578)&lt;='Assumptions and Catalog'!$C$53,((D578+E578)*C578)*'Assumptions and Catalog'!$H$53+'Assumptions and Catalog'!$E$53+'Assumptions and Catalog'!$F$53,IF(((D578+E578)*C578)&lt;='Assumptions and Catalog'!$C$54,((D578+E578)*C578)*'Assumptions and Catalog'!$H$54+'Assumptions and Catalog'!$E$54+'Assumptions and Catalog'!$F$54,IF(((D578+E578)*C578)&lt;='Assumptions and Catalog'!$C$55,((D578+E578)*C578)*'Assumptions and Catalog'!$H$55+'Assumptions and Catalog'!$E$55+'Assumptions and Catalog'!$F$55,IF(((D578+E578)*C578)&lt;='Assumptions and Catalog'!$C$56,((D578+E578)*C578)*'Assumptions and Catalog'!$H$56+'Assumptions and Catalog'!$E$56+'Assumptions and Catalog'!$F$56,IF(((D578+E578)*C578)&lt;='Assumptions and Catalog'!$C$57,((D578+E578)*C578)*'Assumptions and Catalog'!$H$57+'Assumptions and Catalog'!$E$57+'Assumptions and Catalog'!$F$57,"Out of range")))))))),IF(((D578+E578)*C578)&lt;='Assumptions and Catalog'!$C$60,((D578+E578)*C578)*'Assumptions and Catalog'!$H$60+'Assumptions and Catalog'!$E$60+'Assumptions and Catalog'!$F$60,IF(((D578+E578)*C578)&lt;='Assumptions and Catalog'!$C$61,((D578+E578)*C578)*'Assumptions and Catalog'!$H$61+'Assumptions and Catalog'!$E$61+'Assumptions and Catalog'!$F$61,IF(((D578+E578)*C578)&lt;='Assumptions and Catalog'!$C$62,((D578+E578)*C578)*'Assumptions and Catalog'!$H$62+'Assumptions and Catalog'!$E$62+'Assumptions and Catalog'!$F$62,IF(((D578+E578)*C578)&lt;='Assumptions and Catalog'!$C$63,((D578+E578)*C578)*'Assumptions and Catalog'!$H$63+'Assumptions and Catalog'!$E$63+'Assumptions and Catalog'!$F$63,IF(((D578+E578)*C578)&lt;='Assumptions and Catalog'!$C$64,((D578+E578)*C578)*'Assumptions and Catalog'!$H$64+'Assumptions and Catalog'!$E$64+'Assumptions and Catalog'!$F$64,IF(((D578+E578)*C578)&lt;='Assumptions and Catalog'!$C$65,((D578+E578)*C578)*'Assumptions and Catalog'!$H$65+'Assumptions and Catalog'!$E$65+'Assumptions and Catalog'!$F$65,"Out of range")))))))))*(1+'Assumptions and Catalog'!$C$8)^(A578-1),0)</f>
        <v>8554.9666666666672</v>
      </c>
      <c r="N578" s="5">
        <f>IF(ISNUMBER(Inputs!$L$5),(IF(Inputs!$L$9="Actual flat rate",L578*Inputs!$L$10,IF(Inputs!$C$9="Residential",IF(L578&lt;='Assumptions and Catalog'!$C$50,L578*'Assumptions and Catalog'!$H$50+'Assumptions and Catalog'!$E$50+'Assumptions and Catalog'!$F$50,IF(L578&lt;='Assumptions and Catalog'!$C$51,L578*'Assumptions and Catalog'!$H$51+'Assumptions and Catalog'!$E$51+'Assumptions and Catalog'!$F$51,IF(L578&lt;='Assumptions and Catalog'!$C$52,L578*'Assumptions and Catalog'!$H$52+'Assumptions and Catalog'!$E$52+'Assumptions and Catalog'!$F$52,IF(L578&lt;='Assumptions and Catalog'!$C$53,L578*'Assumptions and Catalog'!$H$53+'Assumptions and Catalog'!$E$53+'Assumptions and Catalog'!$F$53,IF(L578&lt;='Assumptions and Catalog'!$C$54,L578*'Assumptions and Catalog'!$H$54+'Assumptions and Catalog'!$E$54+'Assumptions and Catalog'!$F$54,IF(L578&lt;='Assumptions and Catalog'!$C$55,L578*'Assumptions and Catalog'!$H$55+'Assumptions and Catalog'!$E$55+'Assumptions and Catalog'!$F$55,IF(L578&lt;='Assumptions and Catalog'!$C$56,L578*'Assumptions and Catalog'!$H$56+'Assumptions and Catalog'!$E$56+'Assumptions and Catalog'!$F$56,IF(L578&lt;='Assumptions and Catalog'!$C$57,L578*'Assumptions and Catalog'!$H$57+'Assumptions and Catalog'!$E$57+'Assumptions and Catalog'!$F$57,"Out of range")))))))),IF(L578&lt;='Assumptions and Catalog'!$C$60,L578*'Assumptions and Catalog'!$H$60+'Assumptions and Catalog'!$E$60+'Assumptions and Catalog'!$F$60,IF(L578&lt;='Assumptions and Catalog'!$C$61,L578*'Assumptions and Catalog'!$H$61+'Assumptions and Catalog'!$E$61+'Assumptions and Catalog'!$F$61,IF(L578&lt;='Assumptions and Catalog'!$C$62,L578*'Assumptions and Catalog'!$H$62+'Assumptions and Catalog'!$E$62+'Assumptions and Catalog'!$F$62,IF(L578&lt;='Assumptions and Catalog'!$C$63,L578*'Assumptions and Catalog'!$H$63+'Assumptions and Catalog'!$E$63+'Assumptions and Catalog'!$F$63,IF(L578&lt;='Assumptions and Catalog'!$C$64,L578*'Assumptions and Catalog'!$H$64+'Assumptions and Catalog'!$E$64+'Assumptions and Catalog'!$F$64,IF(L578&lt;='Assumptions and Catalog'!$C$65,L578*'Assumptions and Catalog'!$H$65+'Assumptions and Catalog'!$E$65+'Assumptions and Catalog'!$F$65,"Out of range")))))))))*(1+'Assumptions and Catalog'!$C$8)^(A578-1),0)</f>
        <v>8554.9666666666672</v>
      </c>
      <c r="O578" s="5">
        <f t="shared" si="43"/>
        <v>0</v>
      </c>
      <c r="P578" s="5">
        <f>D$55*(1-K$14)*(1-'Assumptions and Catalog'!$C$23)^R578</f>
        <v>0</v>
      </c>
      <c r="Q578" s="5">
        <f>IF(ISNUMBER(Inputs!$L$5),(IF(Inputs!$L$9="Actual flat rate",((D578+E578)*C578-G578)*Inputs!$L$10,IF(Inputs!$C$9="Residential",IF(((D578+E578)*C578-G578)&lt;='Assumptions and Catalog'!$C$50,((D578+E578)*C578-G578)*'Assumptions and Catalog'!$H$50+'Assumptions and Catalog'!$E$50+'Assumptions and Catalog'!$F$50,IF(((D578+E578)*C578-G578)&lt;='Assumptions and Catalog'!$C$51,((D578+E578)*C578-G578)*'Assumptions and Catalog'!$H$51+'Assumptions and Catalog'!$E$51+'Assumptions and Catalog'!$F$51,IF(((D578+E578)*C578-G578)&lt;='Assumptions and Catalog'!$C$52,((D578+E578)*C578-G578)*'Assumptions and Catalog'!$H$52+'Assumptions and Catalog'!$E$52+'Assumptions and Catalog'!$F$52,IF(((D578+E578)*C578-G578)&lt;='Assumptions and Catalog'!$C$53,((D578+E578)*C578-G578)*'Assumptions and Catalog'!$H$53+'Assumptions and Catalog'!$E$53+'Assumptions and Catalog'!$F$53,IF(((D578+E578)*C578-G578)&lt;='Assumptions and Catalog'!$C$54,((D578+E578)*C578-G578)*'Assumptions and Catalog'!$H$54+'Assumptions and Catalog'!$E$54+'Assumptions and Catalog'!$F$54,IF(((D578+E578)*C578-G578)&lt;='Assumptions and Catalog'!$C$55,((D578+E578)*C578-G578)*'Assumptions and Catalog'!$H$55+'Assumptions and Catalog'!$E$55+'Assumptions and Catalog'!$F$55,IF(((D578+E578)*C578-G578)&lt;='Assumptions and Catalog'!$C$56,((D578+E578)*C578-G578)*'Assumptions and Catalog'!$H$56+'Assumptions and Catalog'!$E$56+'Assumptions and Catalog'!$F$56,IF(((D578+E578)*C578-G578)&lt;='Assumptions and Catalog'!$C$57,((D578+E578)*C578-G578)*'Assumptions and Catalog'!$H$57+'Assumptions and Catalog'!$E$57+'Assumptions and Catalog'!$F$57,"Out of range")))))))),IF(((D578+E578)*C578-G578)&lt;='Assumptions and Catalog'!$C$60,((D578+E578)*C578-G578)*'Assumptions and Catalog'!$H$60+'Assumptions and Catalog'!$E$60+'Assumptions and Catalog'!$F$60,IF(((D578+E578)*C578-G578)&lt;='Assumptions and Catalog'!$C$61,((D578+E578)*C578-G578)*'Assumptions and Catalog'!$H$61+'Assumptions and Catalog'!$E$61+'Assumptions and Catalog'!$F$61,IF(((D578+E578)*C578-G578)&lt;='Assumptions and Catalog'!$C$62,((D578+E578)*C578-G578)*'Assumptions and Catalog'!$H$62+'Assumptions and Catalog'!$E$62+'Assumptions and Catalog'!$F$62,IF(((D578+E578)*C578-G578)&lt;='Assumptions and Catalog'!$C$63,((D578+E578)*C578-G578)*'Assumptions and Catalog'!$H$63+'Assumptions and Catalog'!$E$63+'Assumptions and Catalog'!$F$63,IF(((D578+E578)*C578-G578)&lt;='Assumptions and Catalog'!$C$64,((D578+E578)*C578-G578)*'Assumptions and Catalog'!$H$64+'Assumptions and Catalog'!$E$64+'Assumptions and Catalog'!$F$64,IF(((D578+E578)*C578-G578)&lt;='Assumptions and Catalog'!$C$65,((D578+E578)*C578-G578)*'Assumptions and Catalog'!$H$65+'Assumptions and Catalog'!$E$65+'Assumptions and Catalog'!$F$65,"Out of range")))))))))*(1+'Assumptions and Catalog'!$C$8)^(A578-1),0)</f>
        <v>8554.9666666666672</v>
      </c>
      <c r="R578" s="5">
        <f>IF(AND('Assumptions and Catalog'!$C$19&gt;0,A578&gt;='Assumptions and Catalog'!$C$19),A578-'Assumptions and Catalog'!$C$19,A578-1)</f>
        <v>3</v>
      </c>
      <c r="S578" s="5">
        <f>F578+L578-(D578+E578)*C578-J578-K578-IF(D$52&gt;0,'Assumptions and Catalog'!$C$26*C578,0)</f>
        <v>0</v>
      </c>
      <c r="T578" s="5"/>
      <c r="U578" s="5"/>
    </row>
    <row r="579" spans="1:21" ht="23.1" customHeight="1" outlineLevel="1" x14ac:dyDescent="0.2">
      <c r="A579" s="5">
        <v>15</v>
      </c>
      <c r="B579" s="5">
        <v>1</v>
      </c>
      <c r="C579" s="5">
        <f>DAY(DATE('Assumptions and Catalog'!$C$24+A579-1,B579+1,0))</f>
        <v>31</v>
      </c>
      <c r="D579" s="5">
        <f>IF(ISNUMBER(Inputs!$L$5),Inputs!$L$5*Inputs!$L$6,0)</f>
        <v>40.35</v>
      </c>
      <c r="E579" s="5">
        <f>IF(ISNUMBER(Inputs!$L$5),Inputs!$L$5-D579,0)</f>
        <v>40.35</v>
      </c>
      <c r="F579" s="5">
        <f>D$51*'Assumptions and Catalog'!$C$31*C579*(1-'Assumptions and Catalog'!$C$10)^(A579-1)</f>
        <v>0</v>
      </c>
      <c r="G579" s="5">
        <f t="shared" si="40"/>
        <v>0</v>
      </c>
      <c r="H579" s="5">
        <f>I579/('Assumptions and Catalog'!$C$11*'Assumptions and Catalog'!$C$12)</f>
        <v>0</v>
      </c>
      <c r="I579" s="5">
        <f>IF(K$15="Grid cycle",MIN(K$16,D579+E579,P579*'Assumptions and Catalog'!$C$12,D$57*(24-'Assumptions and Catalog'!$C$15),D$56*'Assumptions and Catalog'!$C$15*'Assumptions and Catalog'!$C$11*'Assumptions and Catalog'!$C$12)*C579,0)</f>
        <v>0</v>
      </c>
      <c r="J579" s="5">
        <f t="shared" si="41"/>
        <v>0</v>
      </c>
      <c r="K579" s="5">
        <f t="shared" si="42"/>
        <v>0</v>
      </c>
      <c r="L579" s="5">
        <f>(D579+E579)*C579-G579-I579+H579+IF(D$52&gt;0,'Assumptions and Catalog'!$C$26*C579,0)</f>
        <v>2501.7000000000003</v>
      </c>
      <c r="M579" s="5">
        <f>IF(ISNUMBER(Inputs!$L$5),(IF(Inputs!$L$9="Actual flat rate",((D579+E579)*C579)*Inputs!$L$10,IF(Inputs!$C$9="Residential",IF(((D579+E579)*C579)&lt;='Assumptions and Catalog'!$C$50,((D579+E579)*C579)*'Assumptions and Catalog'!$H$50+'Assumptions and Catalog'!$E$50+'Assumptions and Catalog'!$F$50,IF(((D579+E579)*C579)&lt;='Assumptions and Catalog'!$C$51,((D579+E579)*C579)*'Assumptions and Catalog'!$H$51+'Assumptions and Catalog'!$E$51+'Assumptions and Catalog'!$F$51,IF(((D579+E579)*C579)&lt;='Assumptions and Catalog'!$C$52,((D579+E579)*C579)*'Assumptions and Catalog'!$H$52+'Assumptions and Catalog'!$E$52+'Assumptions and Catalog'!$F$52,IF(((D579+E579)*C579)&lt;='Assumptions and Catalog'!$C$53,((D579+E579)*C579)*'Assumptions and Catalog'!$H$53+'Assumptions and Catalog'!$E$53+'Assumptions and Catalog'!$F$53,IF(((D579+E579)*C579)&lt;='Assumptions and Catalog'!$C$54,((D579+E579)*C579)*'Assumptions and Catalog'!$H$54+'Assumptions and Catalog'!$E$54+'Assumptions and Catalog'!$F$54,IF(((D579+E579)*C579)&lt;='Assumptions and Catalog'!$C$55,((D579+E579)*C579)*'Assumptions and Catalog'!$H$55+'Assumptions and Catalog'!$E$55+'Assumptions and Catalog'!$F$55,IF(((D579+E579)*C579)&lt;='Assumptions and Catalog'!$C$56,((D579+E579)*C579)*'Assumptions and Catalog'!$H$56+'Assumptions and Catalog'!$E$56+'Assumptions and Catalog'!$F$56,IF(((D579+E579)*C579)&lt;='Assumptions and Catalog'!$C$57,((D579+E579)*C579)*'Assumptions and Catalog'!$H$57+'Assumptions and Catalog'!$E$57+'Assumptions and Catalog'!$F$57,"Out of range")))))))),IF(((D579+E579)*C579)&lt;='Assumptions and Catalog'!$C$60,((D579+E579)*C579)*'Assumptions and Catalog'!$H$60+'Assumptions and Catalog'!$E$60+'Assumptions and Catalog'!$F$60,IF(((D579+E579)*C579)&lt;='Assumptions and Catalog'!$C$61,((D579+E579)*C579)*'Assumptions and Catalog'!$H$61+'Assumptions and Catalog'!$E$61+'Assumptions and Catalog'!$F$61,IF(((D579+E579)*C579)&lt;='Assumptions and Catalog'!$C$62,((D579+E579)*C579)*'Assumptions and Catalog'!$H$62+'Assumptions and Catalog'!$E$62+'Assumptions and Catalog'!$F$62,IF(((D579+E579)*C579)&lt;='Assumptions and Catalog'!$C$63,((D579+E579)*C579)*'Assumptions and Catalog'!$H$63+'Assumptions and Catalog'!$E$63+'Assumptions and Catalog'!$F$63,IF(((D579+E579)*C579)&lt;='Assumptions and Catalog'!$C$64,((D579+E579)*C579)*'Assumptions and Catalog'!$H$64+'Assumptions and Catalog'!$E$64+'Assumptions and Catalog'!$F$64,IF(((D579+E579)*C579)&lt;='Assumptions and Catalog'!$C$65,((D579+E579)*C579)*'Assumptions and Catalog'!$H$65+'Assumptions and Catalog'!$E$65+'Assumptions and Catalog'!$F$65,"Out of range")))))))))*(1+'Assumptions and Catalog'!$C$8)^(A579-1),0)</f>
        <v>8554.9666666666672</v>
      </c>
      <c r="N579" s="5">
        <f>IF(ISNUMBER(Inputs!$L$5),(IF(Inputs!$L$9="Actual flat rate",L579*Inputs!$L$10,IF(Inputs!$C$9="Residential",IF(L579&lt;='Assumptions and Catalog'!$C$50,L579*'Assumptions and Catalog'!$H$50+'Assumptions and Catalog'!$E$50+'Assumptions and Catalog'!$F$50,IF(L579&lt;='Assumptions and Catalog'!$C$51,L579*'Assumptions and Catalog'!$H$51+'Assumptions and Catalog'!$E$51+'Assumptions and Catalog'!$F$51,IF(L579&lt;='Assumptions and Catalog'!$C$52,L579*'Assumptions and Catalog'!$H$52+'Assumptions and Catalog'!$E$52+'Assumptions and Catalog'!$F$52,IF(L579&lt;='Assumptions and Catalog'!$C$53,L579*'Assumptions and Catalog'!$H$53+'Assumptions and Catalog'!$E$53+'Assumptions and Catalog'!$F$53,IF(L579&lt;='Assumptions and Catalog'!$C$54,L579*'Assumptions and Catalog'!$H$54+'Assumptions and Catalog'!$E$54+'Assumptions and Catalog'!$F$54,IF(L579&lt;='Assumptions and Catalog'!$C$55,L579*'Assumptions and Catalog'!$H$55+'Assumptions and Catalog'!$E$55+'Assumptions and Catalog'!$F$55,IF(L579&lt;='Assumptions and Catalog'!$C$56,L579*'Assumptions and Catalog'!$H$56+'Assumptions and Catalog'!$E$56+'Assumptions and Catalog'!$F$56,IF(L579&lt;='Assumptions and Catalog'!$C$57,L579*'Assumptions and Catalog'!$H$57+'Assumptions and Catalog'!$E$57+'Assumptions and Catalog'!$F$57,"Out of range")))))))),IF(L579&lt;='Assumptions and Catalog'!$C$60,L579*'Assumptions and Catalog'!$H$60+'Assumptions and Catalog'!$E$60+'Assumptions and Catalog'!$F$60,IF(L579&lt;='Assumptions and Catalog'!$C$61,L579*'Assumptions and Catalog'!$H$61+'Assumptions and Catalog'!$E$61+'Assumptions and Catalog'!$F$61,IF(L579&lt;='Assumptions and Catalog'!$C$62,L579*'Assumptions and Catalog'!$H$62+'Assumptions and Catalog'!$E$62+'Assumptions and Catalog'!$F$62,IF(L579&lt;='Assumptions and Catalog'!$C$63,L579*'Assumptions and Catalog'!$H$63+'Assumptions and Catalog'!$E$63+'Assumptions and Catalog'!$F$63,IF(L579&lt;='Assumptions and Catalog'!$C$64,L579*'Assumptions and Catalog'!$H$64+'Assumptions and Catalog'!$E$64+'Assumptions and Catalog'!$F$64,IF(L579&lt;='Assumptions and Catalog'!$C$65,L579*'Assumptions and Catalog'!$H$65+'Assumptions and Catalog'!$E$65+'Assumptions and Catalog'!$F$65,"Out of range")))))))))*(1+'Assumptions and Catalog'!$C$8)^(A579-1),0)</f>
        <v>8554.9666666666672</v>
      </c>
      <c r="O579" s="5">
        <f t="shared" si="43"/>
        <v>0</v>
      </c>
      <c r="P579" s="5">
        <f>D$55*(1-K$14)*(1-'Assumptions and Catalog'!$C$23)^R579</f>
        <v>0</v>
      </c>
      <c r="Q579" s="5">
        <f>IF(ISNUMBER(Inputs!$L$5),(IF(Inputs!$L$9="Actual flat rate",((D579+E579)*C579-G579)*Inputs!$L$10,IF(Inputs!$C$9="Residential",IF(((D579+E579)*C579-G579)&lt;='Assumptions and Catalog'!$C$50,((D579+E579)*C579-G579)*'Assumptions and Catalog'!$H$50+'Assumptions and Catalog'!$E$50+'Assumptions and Catalog'!$F$50,IF(((D579+E579)*C579-G579)&lt;='Assumptions and Catalog'!$C$51,((D579+E579)*C579-G579)*'Assumptions and Catalog'!$H$51+'Assumptions and Catalog'!$E$51+'Assumptions and Catalog'!$F$51,IF(((D579+E579)*C579-G579)&lt;='Assumptions and Catalog'!$C$52,((D579+E579)*C579-G579)*'Assumptions and Catalog'!$H$52+'Assumptions and Catalog'!$E$52+'Assumptions and Catalog'!$F$52,IF(((D579+E579)*C579-G579)&lt;='Assumptions and Catalog'!$C$53,((D579+E579)*C579-G579)*'Assumptions and Catalog'!$H$53+'Assumptions and Catalog'!$E$53+'Assumptions and Catalog'!$F$53,IF(((D579+E579)*C579-G579)&lt;='Assumptions and Catalog'!$C$54,((D579+E579)*C579-G579)*'Assumptions and Catalog'!$H$54+'Assumptions and Catalog'!$E$54+'Assumptions and Catalog'!$F$54,IF(((D579+E579)*C579-G579)&lt;='Assumptions and Catalog'!$C$55,((D579+E579)*C579-G579)*'Assumptions and Catalog'!$H$55+'Assumptions and Catalog'!$E$55+'Assumptions and Catalog'!$F$55,IF(((D579+E579)*C579-G579)&lt;='Assumptions and Catalog'!$C$56,((D579+E579)*C579-G579)*'Assumptions and Catalog'!$H$56+'Assumptions and Catalog'!$E$56+'Assumptions and Catalog'!$F$56,IF(((D579+E579)*C579-G579)&lt;='Assumptions and Catalog'!$C$57,((D579+E579)*C579-G579)*'Assumptions and Catalog'!$H$57+'Assumptions and Catalog'!$E$57+'Assumptions and Catalog'!$F$57,"Out of range")))))))),IF(((D579+E579)*C579-G579)&lt;='Assumptions and Catalog'!$C$60,((D579+E579)*C579-G579)*'Assumptions and Catalog'!$H$60+'Assumptions and Catalog'!$E$60+'Assumptions and Catalog'!$F$60,IF(((D579+E579)*C579-G579)&lt;='Assumptions and Catalog'!$C$61,((D579+E579)*C579-G579)*'Assumptions and Catalog'!$H$61+'Assumptions and Catalog'!$E$61+'Assumptions and Catalog'!$F$61,IF(((D579+E579)*C579-G579)&lt;='Assumptions and Catalog'!$C$62,((D579+E579)*C579-G579)*'Assumptions and Catalog'!$H$62+'Assumptions and Catalog'!$E$62+'Assumptions and Catalog'!$F$62,IF(((D579+E579)*C579-G579)&lt;='Assumptions and Catalog'!$C$63,((D579+E579)*C579-G579)*'Assumptions and Catalog'!$H$63+'Assumptions and Catalog'!$E$63+'Assumptions and Catalog'!$F$63,IF(((D579+E579)*C579-G579)&lt;='Assumptions and Catalog'!$C$64,((D579+E579)*C579-G579)*'Assumptions and Catalog'!$H$64+'Assumptions and Catalog'!$E$64+'Assumptions and Catalog'!$F$64,IF(((D579+E579)*C579-G579)&lt;='Assumptions and Catalog'!$C$65,((D579+E579)*C579-G579)*'Assumptions and Catalog'!$H$65+'Assumptions and Catalog'!$E$65+'Assumptions and Catalog'!$F$65,"Out of range")))))))))*(1+'Assumptions and Catalog'!$C$8)^(A579-1),0)</f>
        <v>8554.9666666666672</v>
      </c>
      <c r="R579" s="5">
        <f>IF(AND('Assumptions and Catalog'!$C$19&gt;0,A579&gt;='Assumptions and Catalog'!$C$19),A579-'Assumptions and Catalog'!$C$19,A579-1)</f>
        <v>4</v>
      </c>
      <c r="S579" s="5">
        <f>F579+L579-(D579+E579)*C579-J579-K579-IF(D$52&gt;0,'Assumptions and Catalog'!$C$26*C579,0)</f>
        <v>0</v>
      </c>
      <c r="T579" s="5"/>
      <c r="U579" s="5"/>
    </row>
    <row r="580" spans="1:21" ht="23.1" customHeight="1" outlineLevel="1" x14ac:dyDescent="0.2">
      <c r="A580" s="5">
        <v>15</v>
      </c>
      <c r="B580" s="5">
        <v>2</v>
      </c>
      <c r="C580" s="5">
        <f>DAY(DATE('Assumptions and Catalog'!$C$24+A580-1,B580+1,0))</f>
        <v>28</v>
      </c>
      <c r="D580" s="5">
        <f>IF(ISNUMBER(Inputs!$L$5),Inputs!$L$5*Inputs!$L$6,0)</f>
        <v>40.35</v>
      </c>
      <c r="E580" s="5">
        <f>IF(ISNUMBER(Inputs!$L$5),Inputs!$L$5-D580,0)</f>
        <v>40.35</v>
      </c>
      <c r="F580" s="5">
        <f>D$51*'Assumptions and Catalog'!$C$31*C580*(1-'Assumptions and Catalog'!$C$10)^(A580-1)</f>
        <v>0</v>
      </c>
      <c r="G580" s="5">
        <f t="shared" si="40"/>
        <v>0</v>
      </c>
      <c r="H580" s="5">
        <f>I580/('Assumptions and Catalog'!$C$11*'Assumptions and Catalog'!$C$12)</f>
        <v>0</v>
      </c>
      <c r="I580" s="5">
        <f>IF(K$15="Grid cycle",MIN(K$16,D580+E580,P580*'Assumptions and Catalog'!$C$12,D$57*(24-'Assumptions and Catalog'!$C$15),D$56*'Assumptions and Catalog'!$C$15*'Assumptions and Catalog'!$C$11*'Assumptions and Catalog'!$C$12)*C580,0)</f>
        <v>0</v>
      </c>
      <c r="J580" s="5">
        <f t="shared" si="41"/>
        <v>0</v>
      </c>
      <c r="K580" s="5">
        <f t="shared" si="42"/>
        <v>0</v>
      </c>
      <c r="L580" s="5">
        <f>(D580+E580)*C580-G580-I580+H580+IF(D$52&gt;0,'Assumptions and Catalog'!$C$26*C580,0)</f>
        <v>2259.6</v>
      </c>
      <c r="M580" s="5">
        <f>IF(ISNUMBER(Inputs!$L$5),(IF(Inputs!$L$9="Actual flat rate",((D580+E580)*C580)*Inputs!$L$10,IF(Inputs!$C$9="Residential",IF(((D580+E580)*C580)&lt;='Assumptions and Catalog'!$C$50,((D580+E580)*C580)*'Assumptions and Catalog'!$H$50+'Assumptions and Catalog'!$E$50+'Assumptions and Catalog'!$F$50,IF(((D580+E580)*C580)&lt;='Assumptions and Catalog'!$C$51,((D580+E580)*C580)*'Assumptions and Catalog'!$H$51+'Assumptions and Catalog'!$E$51+'Assumptions and Catalog'!$F$51,IF(((D580+E580)*C580)&lt;='Assumptions and Catalog'!$C$52,((D580+E580)*C580)*'Assumptions and Catalog'!$H$52+'Assumptions and Catalog'!$E$52+'Assumptions and Catalog'!$F$52,IF(((D580+E580)*C580)&lt;='Assumptions and Catalog'!$C$53,((D580+E580)*C580)*'Assumptions and Catalog'!$H$53+'Assumptions and Catalog'!$E$53+'Assumptions and Catalog'!$F$53,IF(((D580+E580)*C580)&lt;='Assumptions and Catalog'!$C$54,((D580+E580)*C580)*'Assumptions and Catalog'!$H$54+'Assumptions and Catalog'!$E$54+'Assumptions and Catalog'!$F$54,IF(((D580+E580)*C580)&lt;='Assumptions and Catalog'!$C$55,((D580+E580)*C580)*'Assumptions and Catalog'!$H$55+'Assumptions and Catalog'!$E$55+'Assumptions and Catalog'!$F$55,IF(((D580+E580)*C580)&lt;='Assumptions and Catalog'!$C$56,((D580+E580)*C580)*'Assumptions and Catalog'!$H$56+'Assumptions and Catalog'!$E$56+'Assumptions and Catalog'!$F$56,IF(((D580+E580)*C580)&lt;='Assumptions and Catalog'!$C$57,((D580+E580)*C580)*'Assumptions and Catalog'!$H$57+'Assumptions and Catalog'!$E$57+'Assumptions and Catalog'!$F$57,"Out of range")))))))),IF(((D580+E580)*C580)&lt;='Assumptions and Catalog'!$C$60,((D580+E580)*C580)*'Assumptions and Catalog'!$H$60+'Assumptions and Catalog'!$E$60+'Assumptions and Catalog'!$F$60,IF(((D580+E580)*C580)&lt;='Assumptions and Catalog'!$C$61,((D580+E580)*C580)*'Assumptions and Catalog'!$H$61+'Assumptions and Catalog'!$E$61+'Assumptions and Catalog'!$F$61,IF(((D580+E580)*C580)&lt;='Assumptions and Catalog'!$C$62,((D580+E580)*C580)*'Assumptions and Catalog'!$H$62+'Assumptions and Catalog'!$E$62+'Assumptions and Catalog'!$F$62,IF(((D580+E580)*C580)&lt;='Assumptions and Catalog'!$C$63,((D580+E580)*C580)*'Assumptions and Catalog'!$H$63+'Assumptions and Catalog'!$E$63+'Assumptions and Catalog'!$F$63,IF(((D580+E580)*C580)&lt;='Assumptions and Catalog'!$C$64,((D580+E580)*C580)*'Assumptions and Catalog'!$H$64+'Assumptions and Catalog'!$E$64+'Assumptions and Catalog'!$F$64,IF(((D580+E580)*C580)&lt;='Assumptions and Catalog'!$C$65,((D580+E580)*C580)*'Assumptions and Catalog'!$H$65+'Assumptions and Catalog'!$E$65+'Assumptions and Catalog'!$F$65,"Out of range")))))))))*(1+'Assumptions and Catalog'!$C$8)^(A580-1),0)</f>
        <v>7727.0666666666657</v>
      </c>
      <c r="N580" s="5">
        <f>IF(ISNUMBER(Inputs!$L$5),(IF(Inputs!$L$9="Actual flat rate",L580*Inputs!$L$10,IF(Inputs!$C$9="Residential",IF(L580&lt;='Assumptions and Catalog'!$C$50,L580*'Assumptions and Catalog'!$H$50+'Assumptions and Catalog'!$E$50+'Assumptions and Catalog'!$F$50,IF(L580&lt;='Assumptions and Catalog'!$C$51,L580*'Assumptions and Catalog'!$H$51+'Assumptions and Catalog'!$E$51+'Assumptions and Catalog'!$F$51,IF(L580&lt;='Assumptions and Catalog'!$C$52,L580*'Assumptions and Catalog'!$H$52+'Assumptions and Catalog'!$E$52+'Assumptions and Catalog'!$F$52,IF(L580&lt;='Assumptions and Catalog'!$C$53,L580*'Assumptions and Catalog'!$H$53+'Assumptions and Catalog'!$E$53+'Assumptions and Catalog'!$F$53,IF(L580&lt;='Assumptions and Catalog'!$C$54,L580*'Assumptions and Catalog'!$H$54+'Assumptions and Catalog'!$E$54+'Assumptions and Catalog'!$F$54,IF(L580&lt;='Assumptions and Catalog'!$C$55,L580*'Assumptions and Catalog'!$H$55+'Assumptions and Catalog'!$E$55+'Assumptions and Catalog'!$F$55,IF(L580&lt;='Assumptions and Catalog'!$C$56,L580*'Assumptions and Catalog'!$H$56+'Assumptions and Catalog'!$E$56+'Assumptions and Catalog'!$F$56,IF(L580&lt;='Assumptions and Catalog'!$C$57,L580*'Assumptions and Catalog'!$H$57+'Assumptions and Catalog'!$E$57+'Assumptions and Catalog'!$F$57,"Out of range")))))))),IF(L580&lt;='Assumptions and Catalog'!$C$60,L580*'Assumptions and Catalog'!$H$60+'Assumptions and Catalog'!$E$60+'Assumptions and Catalog'!$F$60,IF(L580&lt;='Assumptions and Catalog'!$C$61,L580*'Assumptions and Catalog'!$H$61+'Assumptions and Catalog'!$E$61+'Assumptions and Catalog'!$F$61,IF(L580&lt;='Assumptions and Catalog'!$C$62,L580*'Assumptions and Catalog'!$H$62+'Assumptions and Catalog'!$E$62+'Assumptions and Catalog'!$F$62,IF(L580&lt;='Assumptions and Catalog'!$C$63,L580*'Assumptions and Catalog'!$H$63+'Assumptions and Catalog'!$E$63+'Assumptions and Catalog'!$F$63,IF(L580&lt;='Assumptions and Catalog'!$C$64,L580*'Assumptions and Catalog'!$H$64+'Assumptions and Catalog'!$E$64+'Assumptions and Catalog'!$F$64,IF(L580&lt;='Assumptions and Catalog'!$C$65,L580*'Assumptions and Catalog'!$H$65+'Assumptions and Catalog'!$E$65+'Assumptions and Catalog'!$F$65,"Out of range")))))))))*(1+'Assumptions and Catalog'!$C$8)^(A580-1),0)</f>
        <v>7727.0666666666657</v>
      </c>
      <c r="O580" s="5">
        <f t="shared" si="43"/>
        <v>0</v>
      </c>
      <c r="P580" s="5">
        <f>D$55*(1-K$14)*(1-'Assumptions and Catalog'!$C$23)^R580</f>
        <v>0</v>
      </c>
      <c r="Q580" s="5">
        <f>IF(ISNUMBER(Inputs!$L$5),(IF(Inputs!$L$9="Actual flat rate",((D580+E580)*C580-G580)*Inputs!$L$10,IF(Inputs!$C$9="Residential",IF(((D580+E580)*C580-G580)&lt;='Assumptions and Catalog'!$C$50,((D580+E580)*C580-G580)*'Assumptions and Catalog'!$H$50+'Assumptions and Catalog'!$E$50+'Assumptions and Catalog'!$F$50,IF(((D580+E580)*C580-G580)&lt;='Assumptions and Catalog'!$C$51,((D580+E580)*C580-G580)*'Assumptions and Catalog'!$H$51+'Assumptions and Catalog'!$E$51+'Assumptions and Catalog'!$F$51,IF(((D580+E580)*C580-G580)&lt;='Assumptions and Catalog'!$C$52,((D580+E580)*C580-G580)*'Assumptions and Catalog'!$H$52+'Assumptions and Catalog'!$E$52+'Assumptions and Catalog'!$F$52,IF(((D580+E580)*C580-G580)&lt;='Assumptions and Catalog'!$C$53,((D580+E580)*C580-G580)*'Assumptions and Catalog'!$H$53+'Assumptions and Catalog'!$E$53+'Assumptions and Catalog'!$F$53,IF(((D580+E580)*C580-G580)&lt;='Assumptions and Catalog'!$C$54,((D580+E580)*C580-G580)*'Assumptions and Catalog'!$H$54+'Assumptions and Catalog'!$E$54+'Assumptions and Catalog'!$F$54,IF(((D580+E580)*C580-G580)&lt;='Assumptions and Catalog'!$C$55,((D580+E580)*C580-G580)*'Assumptions and Catalog'!$H$55+'Assumptions and Catalog'!$E$55+'Assumptions and Catalog'!$F$55,IF(((D580+E580)*C580-G580)&lt;='Assumptions and Catalog'!$C$56,((D580+E580)*C580-G580)*'Assumptions and Catalog'!$H$56+'Assumptions and Catalog'!$E$56+'Assumptions and Catalog'!$F$56,IF(((D580+E580)*C580-G580)&lt;='Assumptions and Catalog'!$C$57,((D580+E580)*C580-G580)*'Assumptions and Catalog'!$H$57+'Assumptions and Catalog'!$E$57+'Assumptions and Catalog'!$F$57,"Out of range")))))))),IF(((D580+E580)*C580-G580)&lt;='Assumptions and Catalog'!$C$60,((D580+E580)*C580-G580)*'Assumptions and Catalog'!$H$60+'Assumptions and Catalog'!$E$60+'Assumptions and Catalog'!$F$60,IF(((D580+E580)*C580-G580)&lt;='Assumptions and Catalog'!$C$61,((D580+E580)*C580-G580)*'Assumptions and Catalog'!$H$61+'Assumptions and Catalog'!$E$61+'Assumptions and Catalog'!$F$61,IF(((D580+E580)*C580-G580)&lt;='Assumptions and Catalog'!$C$62,((D580+E580)*C580-G580)*'Assumptions and Catalog'!$H$62+'Assumptions and Catalog'!$E$62+'Assumptions and Catalog'!$F$62,IF(((D580+E580)*C580-G580)&lt;='Assumptions and Catalog'!$C$63,((D580+E580)*C580-G580)*'Assumptions and Catalog'!$H$63+'Assumptions and Catalog'!$E$63+'Assumptions and Catalog'!$F$63,IF(((D580+E580)*C580-G580)&lt;='Assumptions and Catalog'!$C$64,((D580+E580)*C580-G580)*'Assumptions and Catalog'!$H$64+'Assumptions and Catalog'!$E$64+'Assumptions and Catalog'!$F$64,IF(((D580+E580)*C580-G580)&lt;='Assumptions and Catalog'!$C$65,((D580+E580)*C580-G580)*'Assumptions and Catalog'!$H$65+'Assumptions and Catalog'!$E$65+'Assumptions and Catalog'!$F$65,"Out of range")))))))))*(1+'Assumptions and Catalog'!$C$8)^(A580-1),0)</f>
        <v>7727.0666666666657</v>
      </c>
      <c r="R580" s="5">
        <f>IF(AND('Assumptions and Catalog'!$C$19&gt;0,A580&gt;='Assumptions and Catalog'!$C$19),A580-'Assumptions and Catalog'!$C$19,A580-1)</f>
        <v>4</v>
      </c>
      <c r="S580" s="5">
        <f>F580+L580-(D580+E580)*C580-J580-K580-IF(D$52&gt;0,'Assumptions and Catalog'!$C$26*C580,0)</f>
        <v>0</v>
      </c>
      <c r="T580" s="5"/>
      <c r="U580" s="5"/>
    </row>
    <row r="581" spans="1:21" ht="23.1" customHeight="1" outlineLevel="1" x14ac:dyDescent="0.2">
      <c r="A581" s="5">
        <v>15</v>
      </c>
      <c r="B581" s="5">
        <v>3</v>
      </c>
      <c r="C581" s="5">
        <f>DAY(DATE('Assumptions and Catalog'!$C$24+A581-1,B581+1,0))</f>
        <v>31</v>
      </c>
      <c r="D581" s="5">
        <f>IF(ISNUMBER(Inputs!$L$5),Inputs!$L$5*Inputs!$L$6,0)</f>
        <v>40.35</v>
      </c>
      <c r="E581" s="5">
        <f>IF(ISNUMBER(Inputs!$L$5),Inputs!$L$5-D581,0)</f>
        <v>40.35</v>
      </c>
      <c r="F581" s="5">
        <f>D$51*'Assumptions and Catalog'!$C$31*C581*(1-'Assumptions and Catalog'!$C$10)^(A581-1)</f>
        <v>0</v>
      </c>
      <c r="G581" s="5">
        <f t="shared" si="40"/>
        <v>0</v>
      </c>
      <c r="H581" s="5">
        <f>I581/('Assumptions and Catalog'!$C$11*'Assumptions and Catalog'!$C$12)</f>
        <v>0</v>
      </c>
      <c r="I581" s="5">
        <f>IF(K$15="Grid cycle",MIN(K$16,D581+E581,P581*'Assumptions and Catalog'!$C$12,D$57*(24-'Assumptions and Catalog'!$C$15),D$56*'Assumptions and Catalog'!$C$15*'Assumptions and Catalog'!$C$11*'Assumptions and Catalog'!$C$12)*C581,0)</f>
        <v>0</v>
      </c>
      <c r="J581" s="5">
        <f t="shared" si="41"/>
        <v>0</v>
      </c>
      <c r="K581" s="5">
        <f t="shared" si="42"/>
        <v>0</v>
      </c>
      <c r="L581" s="5">
        <f>(D581+E581)*C581-G581-I581+H581+IF(D$52&gt;0,'Assumptions and Catalog'!$C$26*C581,0)</f>
        <v>2501.7000000000003</v>
      </c>
      <c r="M581" s="5">
        <f>IF(ISNUMBER(Inputs!$L$5),(IF(Inputs!$L$9="Actual flat rate",((D581+E581)*C581)*Inputs!$L$10,IF(Inputs!$C$9="Residential",IF(((D581+E581)*C581)&lt;='Assumptions and Catalog'!$C$50,((D581+E581)*C581)*'Assumptions and Catalog'!$H$50+'Assumptions and Catalog'!$E$50+'Assumptions and Catalog'!$F$50,IF(((D581+E581)*C581)&lt;='Assumptions and Catalog'!$C$51,((D581+E581)*C581)*'Assumptions and Catalog'!$H$51+'Assumptions and Catalog'!$E$51+'Assumptions and Catalog'!$F$51,IF(((D581+E581)*C581)&lt;='Assumptions and Catalog'!$C$52,((D581+E581)*C581)*'Assumptions and Catalog'!$H$52+'Assumptions and Catalog'!$E$52+'Assumptions and Catalog'!$F$52,IF(((D581+E581)*C581)&lt;='Assumptions and Catalog'!$C$53,((D581+E581)*C581)*'Assumptions and Catalog'!$H$53+'Assumptions and Catalog'!$E$53+'Assumptions and Catalog'!$F$53,IF(((D581+E581)*C581)&lt;='Assumptions and Catalog'!$C$54,((D581+E581)*C581)*'Assumptions and Catalog'!$H$54+'Assumptions and Catalog'!$E$54+'Assumptions and Catalog'!$F$54,IF(((D581+E581)*C581)&lt;='Assumptions and Catalog'!$C$55,((D581+E581)*C581)*'Assumptions and Catalog'!$H$55+'Assumptions and Catalog'!$E$55+'Assumptions and Catalog'!$F$55,IF(((D581+E581)*C581)&lt;='Assumptions and Catalog'!$C$56,((D581+E581)*C581)*'Assumptions and Catalog'!$H$56+'Assumptions and Catalog'!$E$56+'Assumptions and Catalog'!$F$56,IF(((D581+E581)*C581)&lt;='Assumptions and Catalog'!$C$57,((D581+E581)*C581)*'Assumptions and Catalog'!$H$57+'Assumptions and Catalog'!$E$57+'Assumptions and Catalog'!$F$57,"Out of range")))))))),IF(((D581+E581)*C581)&lt;='Assumptions and Catalog'!$C$60,((D581+E581)*C581)*'Assumptions and Catalog'!$H$60+'Assumptions and Catalog'!$E$60+'Assumptions and Catalog'!$F$60,IF(((D581+E581)*C581)&lt;='Assumptions and Catalog'!$C$61,((D581+E581)*C581)*'Assumptions and Catalog'!$H$61+'Assumptions and Catalog'!$E$61+'Assumptions and Catalog'!$F$61,IF(((D581+E581)*C581)&lt;='Assumptions and Catalog'!$C$62,((D581+E581)*C581)*'Assumptions and Catalog'!$H$62+'Assumptions and Catalog'!$E$62+'Assumptions and Catalog'!$F$62,IF(((D581+E581)*C581)&lt;='Assumptions and Catalog'!$C$63,((D581+E581)*C581)*'Assumptions and Catalog'!$H$63+'Assumptions and Catalog'!$E$63+'Assumptions and Catalog'!$F$63,IF(((D581+E581)*C581)&lt;='Assumptions and Catalog'!$C$64,((D581+E581)*C581)*'Assumptions and Catalog'!$H$64+'Assumptions and Catalog'!$E$64+'Assumptions and Catalog'!$F$64,IF(((D581+E581)*C581)&lt;='Assumptions and Catalog'!$C$65,((D581+E581)*C581)*'Assumptions and Catalog'!$H$65+'Assumptions and Catalog'!$E$65+'Assumptions and Catalog'!$F$65,"Out of range")))))))))*(1+'Assumptions and Catalog'!$C$8)^(A581-1),0)</f>
        <v>8554.9666666666672</v>
      </c>
      <c r="N581" s="5">
        <f>IF(ISNUMBER(Inputs!$L$5),(IF(Inputs!$L$9="Actual flat rate",L581*Inputs!$L$10,IF(Inputs!$C$9="Residential",IF(L581&lt;='Assumptions and Catalog'!$C$50,L581*'Assumptions and Catalog'!$H$50+'Assumptions and Catalog'!$E$50+'Assumptions and Catalog'!$F$50,IF(L581&lt;='Assumptions and Catalog'!$C$51,L581*'Assumptions and Catalog'!$H$51+'Assumptions and Catalog'!$E$51+'Assumptions and Catalog'!$F$51,IF(L581&lt;='Assumptions and Catalog'!$C$52,L581*'Assumptions and Catalog'!$H$52+'Assumptions and Catalog'!$E$52+'Assumptions and Catalog'!$F$52,IF(L581&lt;='Assumptions and Catalog'!$C$53,L581*'Assumptions and Catalog'!$H$53+'Assumptions and Catalog'!$E$53+'Assumptions and Catalog'!$F$53,IF(L581&lt;='Assumptions and Catalog'!$C$54,L581*'Assumptions and Catalog'!$H$54+'Assumptions and Catalog'!$E$54+'Assumptions and Catalog'!$F$54,IF(L581&lt;='Assumptions and Catalog'!$C$55,L581*'Assumptions and Catalog'!$H$55+'Assumptions and Catalog'!$E$55+'Assumptions and Catalog'!$F$55,IF(L581&lt;='Assumptions and Catalog'!$C$56,L581*'Assumptions and Catalog'!$H$56+'Assumptions and Catalog'!$E$56+'Assumptions and Catalog'!$F$56,IF(L581&lt;='Assumptions and Catalog'!$C$57,L581*'Assumptions and Catalog'!$H$57+'Assumptions and Catalog'!$E$57+'Assumptions and Catalog'!$F$57,"Out of range")))))))),IF(L581&lt;='Assumptions and Catalog'!$C$60,L581*'Assumptions and Catalog'!$H$60+'Assumptions and Catalog'!$E$60+'Assumptions and Catalog'!$F$60,IF(L581&lt;='Assumptions and Catalog'!$C$61,L581*'Assumptions and Catalog'!$H$61+'Assumptions and Catalog'!$E$61+'Assumptions and Catalog'!$F$61,IF(L581&lt;='Assumptions and Catalog'!$C$62,L581*'Assumptions and Catalog'!$H$62+'Assumptions and Catalog'!$E$62+'Assumptions and Catalog'!$F$62,IF(L581&lt;='Assumptions and Catalog'!$C$63,L581*'Assumptions and Catalog'!$H$63+'Assumptions and Catalog'!$E$63+'Assumptions and Catalog'!$F$63,IF(L581&lt;='Assumptions and Catalog'!$C$64,L581*'Assumptions and Catalog'!$H$64+'Assumptions and Catalog'!$E$64+'Assumptions and Catalog'!$F$64,IF(L581&lt;='Assumptions and Catalog'!$C$65,L581*'Assumptions and Catalog'!$H$65+'Assumptions and Catalog'!$E$65+'Assumptions and Catalog'!$F$65,"Out of range")))))))))*(1+'Assumptions and Catalog'!$C$8)^(A581-1),0)</f>
        <v>8554.9666666666672</v>
      </c>
      <c r="O581" s="5">
        <f t="shared" si="43"/>
        <v>0</v>
      </c>
      <c r="P581" s="5">
        <f>D$55*(1-K$14)*(1-'Assumptions and Catalog'!$C$23)^R581</f>
        <v>0</v>
      </c>
      <c r="Q581" s="5">
        <f>IF(ISNUMBER(Inputs!$L$5),(IF(Inputs!$L$9="Actual flat rate",((D581+E581)*C581-G581)*Inputs!$L$10,IF(Inputs!$C$9="Residential",IF(((D581+E581)*C581-G581)&lt;='Assumptions and Catalog'!$C$50,((D581+E581)*C581-G581)*'Assumptions and Catalog'!$H$50+'Assumptions and Catalog'!$E$50+'Assumptions and Catalog'!$F$50,IF(((D581+E581)*C581-G581)&lt;='Assumptions and Catalog'!$C$51,((D581+E581)*C581-G581)*'Assumptions and Catalog'!$H$51+'Assumptions and Catalog'!$E$51+'Assumptions and Catalog'!$F$51,IF(((D581+E581)*C581-G581)&lt;='Assumptions and Catalog'!$C$52,((D581+E581)*C581-G581)*'Assumptions and Catalog'!$H$52+'Assumptions and Catalog'!$E$52+'Assumptions and Catalog'!$F$52,IF(((D581+E581)*C581-G581)&lt;='Assumptions and Catalog'!$C$53,((D581+E581)*C581-G581)*'Assumptions and Catalog'!$H$53+'Assumptions and Catalog'!$E$53+'Assumptions and Catalog'!$F$53,IF(((D581+E581)*C581-G581)&lt;='Assumptions and Catalog'!$C$54,((D581+E581)*C581-G581)*'Assumptions and Catalog'!$H$54+'Assumptions and Catalog'!$E$54+'Assumptions and Catalog'!$F$54,IF(((D581+E581)*C581-G581)&lt;='Assumptions and Catalog'!$C$55,((D581+E581)*C581-G581)*'Assumptions and Catalog'!$H$55+'Assumptions and Catalog'!$E$55+'Assumptions and Catalog'!$F$55,IF(((D581+E581)*C581-G581)&lt;='Assumptions and Catalog'!$C$56,((D581+E581)*C581-G581)*'Assumptions and Catalog'!$H$56+'Assumptions and Catalog'!$E$56+'Assumptions and Catalog'!$F$56,IF(((D581+E581)*C581-G581)&lt;='Assumptions and Catalog'!$C$57,((D581+E581)*C581-G581)*'Assumptions and Catalog'!$H$57+'Assumptions and Catalog'!$E$57+'Assumptions and Catalog'!$F$57,"Out of range")))))))),IF(((D581+E581)*C581-G581)&lt;='Assumptions and Catalog'!$C$60,((D581+E581)*C581-G581)*'Assumptions and Catalog'!$H$60+'Assumptions and Catalog'!$E$60+'Assumptions and Catalog'!$F$60,IF(((D581+E581)*C581-G581)&lt;='Assumptions and Catalog'!$C$61,((D581+E581)*C581-G581)*'Assumptions and Catalog'!$H$61+'Assumptions and Catalog'!$E$61+'Assumptions and Catalog'!$F$61,IF(((D581+E581)*C581-G581)&lt;='Assumptions and Catalog'!$C$62,((D581+E581)*C581-G581)*'Assumptions and Catalog'!$H$62+'Assumptions and Catalog'!$E$62+'Assumptions and Catalog'!$F$62,IF(((D581+E581)*C581-G581)&lt;='Assumptions and Catalog'!$C$63,((D581+E581)*C581-G581)*'Assumptions and Catalog'!$H$63+'Assumptions and Catalog'!$E$63+'Assumptions and Catalog'!$F$63,IF(((D581+E581)*C581-G581)&lt;='Assumptions and Catalog'!$C$64,((D581+E581)*C581-G581)*'Assumptions and Catalog'!$H$64+'Assumptions and Catalog'!$E$64+'Assumptions and Catalog'!$F$64,IF(((D581+E581)*C581-G581)&lt;='Assumptions and Catalog'!$C$65,((D581+E581)*C581-G581)*'Assumptions and Catalog'!$H$65+'Assumptions and Catalog'!$E$65+'Assumptions and Catalog'!$F$65,"Out of range")))))))))*(1+'Assumptions and Catalog'!$C$8)^(A581-1),0)</f>
        <v>8554.9666666666672</v>
      </c>
      <c r="R581" s="5">
        <f>IF(AND('Assumptions and Catalog'!$C$19&gt;0,A581&gt;='Assumptions and Catalog'!$C$19),A581-'Assumptions and Catalog'!$C$19,A581-1)</f>
        <v>4</v>
      </c>
      <c r="S581" s="5">
        <f>F581+L581-(D581+E581)*C581-J581-K581-IF(D$52&gt;0,'Assumptions and Catalog'!$C$26*C581,0)</f>
        <v>0</v>
      </c>
      <c r="T581" s="5"/>
      <c r="U581" s="5"/>
    </row>
    <row r="582" spans="1:21" ht="23.1" customHeight="1" outlineLevel="1" x14ac:dyDescent="0.2">
      <c r="A582" s="5">
        <v>15</v>
      </c>
      <c r="B582" s="5">
        <v>4</v>
      </c>
      <c r="C582" s="5">
        <f>DAY(DATE('Assumptions and Catalog'!$C$24+A582-1,B582+1,0))</f>
        <v>30</v>
      </c>
      <c r="D582" s="5">
        <f>IF(ISNUMBER(Inputs!$L$5),Inputs!$L$5*Inputs!$L$6,0)</f>
        <v>40.35</v>
      </c>
      <c r="E582" s="5">
        <f>IF(ISNUMBER(Inputs!$L$5),Inputs!$L$5-D582,0)</f>
        <v>40.35</v>
      </c>
      <c r="F582" s="5">
        <f>D$51*'Assumptions and Catalog'!$C$31*C582*(1-'Assumptions and Catalog'!$C$10)^(A582-1)</f>
        <v>0</v>
      </c>
      <c r="G582" s="5">
        <f t="shared" si="40"/>
        <v>0</v>
      </c>
      <c r="H582" s="5">
        <f>I582/('Assumptions and Catalog'!$C$11*'Assumptions and Catalog'!$C$12)</f>
        <v>0</v>
      </c>
      <c r="I582" s="5">
        <f>IF(K$15="Grid cycle",MIN(K$16,D582+E582,P582*'Assumptions and Catalog'!$C$12,D$57*(24-'Assumptions and Catalog'!$C$15),D$56*'Assumptions and Catalog'!$C$15*'Assumptions and Catalog'!$C$11*'Assumptions and Catalog'!$C$12)*C582,0)</f>
        <v>0</v>
      </c>
      <c r="J582" s="5">
        <f t="shared" si="41"/>
        <v>0</v>
      </c>
      <c r="K582" s="5">
        <f t="shared" si="42"/>
        <v>0</v>
      </c>
      <c r="L582" s="5">
        <f>(D582+E582)*C582-G582-I582+H582+IF(D$52&gt;0,'Assumptions and Catalog'!$C$26*C582,0)</f>
        <v>2421</v>
      </c>
      <c r="M582" s="5">
        <f>IF(ISNUMBER(Inputs!$L$5),(IF(Inputs!$L$9="Actual flat rate",((D582+E582)*C582)*Inputs!$L$10,IF(Inputs!$C$9="Residential",IF(((D582+E582)*C582)&lt;='Assumptions and Catalog'!$C$50,((D582+E582)*C582)*'Assumptions and Catalog'!$H$50+'Assumptions and Catalog'!$E$50+'Assumptions and Catalog'!$F$50,IF(((D582+E582)*C582)&lt;='Assumptions and Catalog'!$C$51,((D582+E582)*C582)*'Assumptions and Catalog'!$H$51+'Assumptions and Catalog'!$E$51+'Assumptions and Catalog'!$F$51,IF(((D582+E582)*C582)&lt;='Assumptions and Catalog'!$C$52,((D582+E582)*C582)*'Assumptions and Catalog'!$H$52+'Assumptions and Catalog'!$E$52+'Assumptions and Catalog'!$F$52,IF(((D582+E582)*C582)&lt;='Assumptions and Catalog'!$C$53,((D582+E582)*C582)*'Assumptions and Catalog'!$H$53+'Assumptions and Catalog'!$E$53+'Assumptions and Catalog'!$F$53,IF(((D582+E582)*C582)&lt;='Assumptions and Catalog'!$C$54,((D582+E582)*C582)*'Assumptions and Catalog'!$H$54+'Assumptions and Catalog'!$E$54+'Assumptions and Catalog'!$F$54,IF(((D582+E582)*C582)&lt;='Assumptions and Catalog'!$C$55,((D582+E582)*C582)*'Assumptions and Catalog'!$H$55+'Assumptions and Catalog'!$E$55+'Assumptions and Catalog'!$F$55,IF(((D582+E582)*C582)&lt;='Assumptions and Catalog'!$C$56,((D582+E582)*C582)*'Assumptions and Catalog'!$H$56+'Assumptions and Catalog'!$E$56+'Assumptions and Catalog'!$F$56,IF(((D582+E582)*C582)&lt;='Assumptions and Catalog'!$C$57,((D582+E582)*C582)*'Assumptions and Catalog'!$H$57+'Assumptions and Catalog'!$E$57+'Assumptions and Catalog'!$F$57,"Out of range")))))))),IF(((D582+E582)*C582)&lt;='Assumptions and Catalog'!$C$60,((D582+E582)*C582)*'Assumptions and Catalog'!$H$60+'Assumptions and Catalog'!$E$60+'Assumptions and Catalog'!$F$60,IF(((D582+E582)*C582)&lt;='Assumptions and Catalog'!$C$61,((D582+E582)*C582)*'Assumptions and Catalog'!$H$61+'Assumptions and Catalog'!$E$61+'Assumptions and Catalog'!$F$61,IF(((D582+E582)*C582)&lt;='Assumptions and Catalog'!$C$62,((D582+E582)*C582)*'Assumptions and Catalog'!$H$62+'Assumptions and Catalog'!$E$62+'Assumptions and Catalog'!$F$62,IF(((D582+E582)*C582)&lt;='Assumptions and Catalog'!$C$63,((D582+E582)*C582)*'Assumptions and Catalog'!$H$63+'Assumptions and Catalog'!$E$63+'Assumptions and Catalog'!$F$63,IF(((D582+E582)*C582)&lt;='Assumptions and Catalog'!$C$64,((D582+E582)*C582)*'Assumptions and Catalog'!$H$64+'Assumptions and Catalog'!$E$64+'Assumptions and Catalog'!$F$64,IF(((D582+E582)*C582)&lt;='Assumptions and Catalog'!$C$65,((D582+E582)*C582)*'Assumptions and Catalog'!$H$65+'Assumptions and Catalog'!$E$65+'Assumptions and Catalog'!$F$65,"Out of range")))))))))*(1+'Assumptions and Catalog'!$C$8)^(A582-1),0)</f>
        <v>8279</v>
      </c>
      <c r="N582" s="5">
        <f>IF(ISNUMBER(Inputs!$L$5),(IF(Inputs!$L$9="Actual flat rate",L582*Inputs!$L$10,IF(Inputs!$C$9="Residential",IF(L582&lt;='Assumptions and Catalog'!$C$50,L582*'Assumptions and Catalog'!$H$50+'Assumptions and Catalog'!$E$50+'Assumptions and Catalog'!$F$50,IF(L582&lt;='Assumptions and Catalog'!$C$51,L582*'Assumptions and Catalog'!$H$51+'Assumptions and Catalog'!$E$51+'Assumptions and Catalog'!$F$51,IF(L582&lt;='Assumptions and Catalog'!$C$52,L582*'Assumptions and Catalog'!$H$52+'Assumptions and Catalog'!$E$52+'Assumptions and Catalog'!$F$52,IF(L582&lt;='Assumptions and Catalog'!$C$53,L582*'Assumptions and Catalog'!$H$53+'Assumptions and Catalog'!$E$53+'Assumptions and Catalog'!$F$53,IF(L582&lt;='Assumptions and Catalog'!$C$54,L582*'Assumptions and Catalog'!$H$54+'Assumptions and Catalog'!$E$54+'Assumptions and Catalog'!$F$54,IF(L582&lt;='Assumptions and Catalog'!$C$55,L582*'Assumptions and Catalog'!$H$55+'Assumptions and Catalog'!$E$55+'Assumptions and Catalog'!$F$55,IF(L582&lt;='Assumptions and Catalog'!$C$56,L582*'Assumptions and Catalog'!$H$56+'Assumptions and Catalog'!$E$56+'Assumptions and Catalog'!$F$56,IF(L582&lt;='Assumptions and Catalog'!$C$57,L582*'Assumptions and Catalog'!$H$57+'Assumptions and Catalog'!$E$57+'Assumptions and Catalog'!$F$57,"Out of range")))))))),IF(L582&lt;='Assumptions and Catalog'!$C$60,L582*'Assumptions and Catalog'!$H$60+'Assumptions and Catalog'!$E$60+'Assumptions and Catalog'!$F$60,IF(L582&lt;='Assumptions and Catalog'!$C$61,L582*'Assumptions and Catalog'!$H$61+'Assumptions and Catalog'!$E$61+'Assumptions and Catalog'!$F$61,IF(L582&lt;='Assumptions and Catalog'!$C$62,L582*'Assumptions and Catalog'!$H$62+'Assumptions and Catalog'!$E$62+'Assumptions and Catalog'!$F$62,IF(L582&lt;='Assumptions and Catalog'!$C$63,L582*'Assumptions and Catalog'!$H$63+'Assumptions and Catalog'!$E$63+'Assumptions and Catalog'!$F$63,IF(L582&lt;='Assumptions and Catalog'!$C$64,L582*'Assumptions and Catalog'!$H$64+'Assumptions and Catalog'!$E$64+'Assumptions and Catalog'!$F$64,IF(L582&lt;='Assumptions and Catalog'!$C$65,L582*'Assumptions and Catalog'!$H$65+'Assumptions and Catalog'!$E$65+'Assumptions and Catalog'!$F$65,"Out of range")))))))))*(1+'Assumptions and Catalog'!$C$8)^(A582-1),0)</f>
        <v>8279</v>
      </c>
      <c r="O582" s="5">
        <f t="shared" si="43"/>
        <v>0</v>
      </c>
      <c r="P582" s="5">
        <f>D$55*(1-K$14)*(1-'Assumptions and Catalog'!$C$23)^R582</f>
        <v>0</v>
      </c>
      <c r="Q582" s="5">
        <f>IF(ISNUMBER(Inputs!$L$5),(IF(Inputs!$L$9="Actual flat rate",((D582+E582)*C582-G582)*Inputs!$L$10,IF(Inputs!$C$9="Residential",IF(((D582+E582)*C582-G582)&lt;='Assumptions and Catalog'!$C$50,((D582+E582)*C582-G582)*'Assumptions and Catalog'!$H$50+'Assumptions and Catalog'!$E$50+'Assumptions and Catalog'!$F$50,IF(((D582+E582)*C582-G582)&lt;='Assumptions and Catalog'!$C$51,((D582+E582)*C582-G582)*'Assumptions and Catalog'!$H$51+'Assumptions and Catalog'!$E$51+'Assumptions and Catalog'!$F$51,IF(((D582+E582)*C582-G582)&lt;='Assumptions and Catalog'!$C$52,((D582+E582)*C582-G582)*'Assumptions and Catalog'!$H$52+'Assumptions and Catalog'!$E$52+'Assumptions and Catalog'!$F$52,IF(((D582+E582)*C582-G582)&lt;='Assumptions and Catalog'!$C$53,((D582+E582)*C582-G582)*'Assumptions and Catalog'!$H$53+'Assumptions and Catalog'!$E$53+'Assumptions and Catalog'!$F$53,IF(((D582+E582)*C582-G582)&lt;='Assumptions and Catalog'!$C$54,((D582+E582)*C582-G582)*'Assumptions and Catalog'!$H$54+'Assumptions and Catalog'!$E$54+'Assumptions and Catalog'!$F$54,IF(((D582+E582)*C582-G582)&lt;='Assumptions and Catalog'!$C$55,((D582+E582)*C582-G582)*'Assumptions and Catalog'!$H$55+'Assumptions and Catalog'!$E$55+'Assumptions and Catalog'!$F$55,IF(((D582+E582)*C582-G582)&lt;='Assumptions and Catalog'!$C$56,((D582+E582)*C582-G582)*'Assumptions and Catalog'!$H$56+'Assumptions and Catalog'!$E$56+'Assumptions and Catalog'!$F$56,IF(((D582+E582)*C582-G582)&lt;='Assumptions and Catalog'!$C$57,((D582+E582)*C582-G582)*'Assumptions and Catalog'!$H$57+'Assumptions and Catalog'!$E$57+'Assumptions and Catalog'!$F$57,"Out of range")))))))),IF(((D582+E582)*C582-G582)&lt;='Assumptions and Catalog'!$C$60,((D582+E582)*C582-G582)*'Assumptions and Catalog'!$H$60+'Assumptions and Catalog'!$E$60+'Assumptions and Catalog'!$F$60,IF(((D582+E582)*C582-G582)&lt;='Assumptions and Catalog'!$C$61,((D582+E582)*C582-G582)*'Assumptions and Catalog'!$H$61+'Assumptions and Catalog'!$E$61+'Assumptions and Catalog'!$F$61,IF(((D582+E582)*C582-G582)&lt;='Assumptions and Catalog'!$C$62,((D582+E582)*C582-G582)*'Assumptions and Catalog'!$H$62+'Assumptions and Catalog'!$E$62+'Assumptions and Catalog'!$F$62,IF(((D582+E582)*C582-G582)&lt;='Assumptions and Catalog'!$C$63,((D582+E582)*C582-G582)*'Assumptions and Catalog'!$H$63+'Assumptions and Catalog'!$E$63+'Assumptions and Catalog'!$F$63,IF(((D582+E582)*C582-G582)&lt;='Assumptions and Catalog'!$C$64,((D582+E582)*C582-G582)*'Assumptions and Catalog'!$H$64+'Assumptions and Catalog'!$E$64+'Assumptions and Catalog'!$F$64,IF(((D582+E582)*C582-G582)&lt;='Assumptions and Catalog'!$C$65,((D582+E582)*C582-G582)*'Assumptions and Catalog'!$H$65+'Assumptions and Catalog'!$E$65+'Assumptions and Catalog'!$F$65,"Out of range")))))))))*(1+'Assumptions and Catalog'!$C$8)^(A582-1),0)</f>
        <v>8279</v>
      </c>
      <c r="R582" s="5">
        <f>IF(AND('Assumptions and Catalog'!$C$19&gt;0,A582&gt;='Assumptions and Catalog'!$C$19),A582-'Assumptions and Catalog'!$C$19,A582-1)</f>
        <v>4</v>
      </c>
      <c r="S582" s="5">
        <f>F582+L582-(D582+E582)*C582-J582-K582-IF(D$52&gt;0,'Assumptions and Catalog'!$C$26*C582,0)</f>
        <v>0</v>
      </c>
      <c r="T582" s="5"/>
      <c r="U582" s="5"/>
    </row>
    <row r="583" spans="1:21" ht="23.1" customHeight="1" outlineLevel="1" x14ac:dyDescent="0.2">
      <c r="A583" s="5">
        <v>15</v>
      </c>
      <c r="B583" s="5">
        <v>5</v>
      </c>
      <c r="C583" s="5">
        <f>DAY(DATE('Assumptions and Catalog'!$C$24+A583-1,B583+1,0))</f>
        <v>31</v>
      </c>
      <c r="D583" s="5">
        <f>IF(ISNUMBER(Inputs!$L$5),Inputs!$L$5*Inputs!$L$6,0)</f>
        <v>40.35</v>
      </c>
      <c r="E583" s="5">
        <f>IF(ISNUMBER(Inputs!$L$5),Inputs!$L$5-D583,0)</f>
        <v>40.35</v>
      </c>
      <c r="F583" s="5">
        <f>D$51*'Assumptions and Catalog'!$C$31*C583*(1-'Assumptions and Catalog'!$C$10)^(A583-1)</f>
        <v>0</v>
      </c>
      <c r="G583" s="5">
        <f t="shared" si="40"/>
        <v>0</v>
      </c>
      <c r="H583" s="5">
        <f>I583/('Assumptions and Catalog'!$C$11*'Assumptions and Catalog'!$C$12)</f>
        <v>0</v>
      </c>
      <c r="I583" s="5">
        <f>IF(K$15="Grid cycle",MIN(K$16,D583+E583,P583*'Assumptions and Catalog'!$C$12,D$57*(24-'Assumptions and Catalog'!$C$15),D$56*'Assumptions and Catalog'!$C$15*'Assumptions and Catalog'!$C$11*'Assumptions and Catalog'!$C$12)*C583,0)</f>
        <v>0</v>
      </c>
      <c r="J583" s="5">
        <f t="shared" si="41"/>
        <v>0</v>
      </c>
      <c r="K583" s="5">
        <f t="shared" si="42"/>
        <v>0</v>
      </c>
      <c r="L583" s="5">
        <f>(D583+E583)*C583-G583-I583+H583+IF(D$52&gt;0,'Assumptions and Catalog'!$C$26*C583,0)</f>
        <v>2501.7000000000003</v>
      </c>
      <c r="M583" s="5">
        <f>IF(ISNUMBER(Inputs!$L$5),(IF(Inputs!$L$9="Actual flat rate",((D583+E583)*C583)*Inputs!$L$10,IF(Inputs!$C$9="Residential",IF(((D583+E583)*C583)&lt;='Assumptions and Catalog'!$C$50,((D583+E583)*C583)*'Assumptions and Catalog'!$H$50+'Assumptions and Catalog'!$E$50+'Assumptions and Catalog'!$F$50,IF(((D583+E583)*C583)&lt;='Assumptions and Catalog'!$C$51,((D583+E583)*C583)*'Assumptions and Catalog'!$H$51+'Assumptions and Catalog'!$E$51+'Assumptions and Catalog'!$F$51,IF(((D583+E583)*C583)&lt;='Assumptions and Catalog'!$C$52,((D583+E583)*C583)*'Assumptions and Catalog'!$H$52+'Assumptions and Catalog'!$E$52+'Assumptions and Catalog'!$F$52,IF(((D583+E583)*C583)&lt;='Assumptions and Catalog'!$C$53,((D583+E583)*C583)*'Assumptions and Catalog'!$H$53+'Assumptions and Catalog'!$E$53+'Assumptions and Catalog'!$F$53,IF(((D583+E583)*C583)&lt;='Assumptions and Catalog'!$C$54,((D583+E583)*C583)*'Assumptions and Catalog'!$H$54+'Assumptions and Catalog'!$E$54+'Assumptions and Catalog'!$F$54,IF(((D583+E583)*C583)&lt;='Assumptions and Catalog'!$C$55,((D583+E583)*C583)*'Assumptions and Catalog'!$H$55+'Assumptions and Catalog'!$E$55+'Assumptions and Catalog'!$F$55,IF(((D583+E583)*C583)&lt;='Assumptions and Catalog'!$C$56,((D583+E583)*C583)*'Assumptions and Catalog'!$H$56+'Assumptions and Catalog'!$E$56+'Assumptions and Catalog'!$F$56,IF(((D583+E583)*C583)&lt;='Assumptions and Catalog'!$C$57,((D583+E583)*C583)*'Assumptions and Catalog'!$H$57+'Assumptions and Catalog'!$E$57+'Assumptions and Catalog'!$F$57,"Out of range")))))))),IF(((D583+E583)*C583)&lt;='Assumptions and Catalog'!$C$60,((D583+E583)*C583)*'Assumptions and Catalog'!$H$60+'Assumptions and Catalog'!$E$60+'Assumptions and Catalog'!$F$60,IF(((D583+E583)*C583)&lt;='Assumptions and Catalog'!$C$61,((D583+E583)*C583)*'Assumptions and Catalog'!$H$61+'Assumptions and Catalog'!$E$61+'Assumptions and Catalog'!$F$61,IF(((D583+E583)*C583)&lt;='Assumptions and Catalog'!$C$62,((D583+E583)*C583)*'Assumptions and Catalog'!$H$62+'Assumptions and Catalog'!$E$62+'Assumptions and Catalog'!$F$62,IF(((D583+E583)*C583)&lt;='Assumptions and Catalog'!$C$63,((D583+E583)*C583)*'Assumptions and Catalog'!$H$63+'Assumptions and Catalog'!$E$63+'Assumptions and Catalog'!$F$63,IF(((D583+E583)*C583)&lt;='Assumptions and Catalog'!$C$64,((D583+E583)*C583)*'Assumptions and Catalog'!$H$64+'Assumptions and Catalog'!$E$64+'Assumptions and Catalog'!$F$64,IF(((D583+E583)*C583)&lt;='Assumptions and Catalog'!$C$65,((D583+E583)*C583)*'Assumptions and Catalog'!$H$65+'Assumptions and Catalog'!$E$65+'Assumptions and Catalog'!$F$65,"Out of range")))))))))*(1+'Assumptions and Catalog'!$C$8)^(A583-1),0)</f>
        <v>8554.9666666666672</v>
      </c>
      <c r="N583" s="5">
        <f>IF(ISNUMBER(Inputs!$L$5),(IF(Inputs!$L$9="Actual flat rate",L583*Inputs!$L$10,IF(Inputs!$C$9="Residential",IF(L583&lt;='Assumptions and Catalog'!$C$50,L583*'Assumptions and Catalog'!$H$50+'Assumptions and Catalog'!$E$50+'Assumptions and Catalog'!$F$50,IF(L583&lt;='Assumptions and Catalog'!$C$51,L583*'Assumptions and Catalog'!$H$51+'Assumptions and Catalog'!$E$51+'Assumptions and Catalog'!$F$51,IF(L583&lt;='Assumptions and Catalog'!$C$52,L583*'Assumptions and Catalog'!$H$52+'Assumptions and Catalog'!$E$52+'Assumptions and Catalog'!$F$52,IF(L583&lt;='Assumptions and Catalog'!$C$53,L583*'Assumptions and Catalog'!$H$53+'Assumptions and Catalog'!$E$53+'Assumptions and Catalog'!$F$53,IF(L583&lt;='Assumptions and Catalog'!$C$54,L583*'Assumptions and Catalog'!$H$54+'Assumptions and Catalog'!$E$54+'Assumptions and Catalog'!$F$54,IF(L583&lt;='Assumptions and Catalog'!$C$55,L583*'Assumptions and Catalog'!$H$55+'Assumptions and Catalog'!$E$55+'Assumptions and Catalog'!$F$55,IF(L583&lt;='Assumptions and Catalog'!$C$56,L583*'Assumptions and Catalog'!$H$56+'Assumptions and Catalog'!$E$56+'Assumptions and Catalog'!$F$56,IF(L583&lt;='Assumptions and Catalog'!$C$57,L583*'Assumptions and Catalog'!$H$57+'Assumptions and Catalog'!$E$57+'Assumptions and Catalog'!$F$57,"Out of range")))))))),IF(L583&lt;='Assumptions and Catalog'!$C$60,L583*'Assumptions and Catalog'!$H$60+'Assumptions and Catalog'!$E$60+'Assumptions and Catalog'!$F$60,IF(L583&lt;='Assumptions and Catalog'!$C$61,L583*'Assumptions and Catalog'!$H$61+'Assumptions and Catalog'!$E$61+'Assumptions and Catalog'!$F$61,IF(L583&lt;='Assumptions and Catalog'!$C$62,L583*'Assumptions and Catalog'!$H$62+'Assumptions and Catalog'!$E$62+'Assumptions and Catalog'!$F$62,IF(L583&lt;='Assumptions and Catalog'!$C$63,L583*'Assumptions and Catalog'!$H$63+'Assumptions and Catalog'!$E$63+'Assumptions and Catalog'!$F$63,IF(L583&lt;='Assumptions and Catalog'!$C$64,L583*'Assumptions and Catalog'!$H$64+'Assumptions and Catalog'!$E$64+'Assumptions and Catalog'!$F$64,IF(L583&lt;='Assumptions and Catalog'!$C$65,L583*'Assumptions and Catalog'!$H$65+'Assumptions and Catalog'!$E$65+'Assumptions and Catalog'!$F$65,"Out of range")))))))))*(1+'Assumptions and Catalog'!$C$8)^(A583-1),0)</f>
        <v>8554.9666666666672</v>
      </c>
      <c r="O583" s="5">
        <f t="shared" si="43"/>
        <v>0</v>
      </c>
      <c r="P583" s="5">
        <f>D$55*(1-K$14)*(1-'Assumptions and Catalog'!$C$23)^R583</f>
        <v>0</v>
      </c>
      <c r="Q583" s="5">
        <f>IF(ISNUMBER(Inputs!$L$5),(IF(Inputs!$L$9="Actual flat rate",((D583+E583)*C583-G583)*Inputs!$L$10,IF(Inputs!$C$9="Residential",IF(((D583+E583)*C583-G583)&lt;='Assumptions and Catalog'!$C$50,((D583+E583)*C583-G583)*'Assumptions and Catalog'!$H$50+'Assumptions and Catalog'!$E$50+'Assumptions and Catalog'!$F$50,IF(((D583+E583)*C583-G583)&lt;='Assumptions and Catalog'!$C$51,((D583+E583)*C583-G583)*'Assumptions and Catalog'!$H$51+'Assumptions and Catalog'!$E$51+'Assumptions and Catalog'!$F$51,IF(((D583+E583)*C583-G583)&lt;='Assumptions and Catalog'!$C$52,((D583+E583)*C583-G583)*'Assumptions and Catalog'!$H$52+'Assumptions and Catalog'!$E$52+'Assumptions and Catalog'!$F$52,IF(((D583+E583)*C583-G583)&lt;='Assumptions and Catalog'!$C$53,((D583+E583)*C583-G583)*'Assumptions and Catalog'!$H$53+'Assumptions and Catalog'!$E$53+'Assumptions and Catalog'!$F$53,IF(((D583+E583)*C583-G583)&lt;='Assumptions and Catalog'!$C$54,((D583+E583)*C583-G583)*'Assumptions and Catalog'!$H$54+'Assumptions and Catalog'!$E$54+'Assumptions and Catalog'!$F$54,IF(((D583+E583)*C583-G583)&lt;='Assumptions and Catalog'!$C$55,((D583+E583)*C583-G583)*'Assumptions and Catalog'!$H$55+'Assumptions and Catalog'!$E$55+'Assumptions and Catalog'!$F$55,IF(((D583+E583)*C583-G583)&lt;='Assumptions and Catalog'!$C$56,((D583+E583)*C583-G583)*'Assumptions and Catalog'!$H$56+'Assumptions and Catalog'!$E$56+'Assumptions and Catalog'!$F$56,IF(((D583+E583)*C583-G583)&lt;='Assumptions and Catalog'!$C$57,((D583+E583)*C583-G583)*'Assumptions and Catalog'!$H$57+'Assumptions and Catalog'!$E$57+'Assumptions and Catalog'!$F$57,"Out of range")))))))),IF(((D583+E583)*C583-G583)&lt;='Assumptions and Catalog'!$C$60,((D583+E583)*C583-G583)*'Assumptions and Catalog'!$H$60+'Assumptions and Catalog'!$E$60+'Assumptions and Catalog'!$F$60,IF(((D583+E583)*C583-G583)&lt;='Assumptions and Catalog'!$C$61,((D583+E583)*C583-G583)*'Assumptions and Catalog'!$H$61+'Assumptions and Catalog'!$E$61+'Assumptions and Catalog'!$F$61,IF(((D583+E583)*C583-G583)&lt;='Assumptions and Catalog'!$C$62,((D583+E583)*C583-G583)*'Assumptions and Catalog'!$H$62+'Assumptions and Catalog'!$E$62+'Assumptions and Catalog'!$F$62,IF(((D583+E583)*C583-G583)&lt;='Assumptions and Catalog'!$C$63,((D583+E583)*C583-G583)*'Assumptions and Catalog'!$H$63+'Assumptions and Catalog'!$E$63+'Assumptions and Catalog'!$F$63,IF(((D583+E583)*C583-G583)&lt;='Assumptions and Catalog'!$C$64,((D583+E583)*C583-G583)*'Assumptions and Catalog'!$H$64+'Assumptions and Catalog'!$E$64+'Assumptions and Catalog'!$F$64,IF(((D583+E583)*C583-G583)&lt;='Assumptions and Catalog'!$C$65,((D583+E583)*C583-G583)*'Assumptions and Catalog'!$H$65+'Assumptions and Catalog'!$E$65+'Assumptions and Catalog'!$F$65,"Out of range")))))))))*(1+'Assumptions and Catalog'!$C$8)^(A583-1),0)</f>
        <v>8554.9666666666672</v>
      </c>
      <c r="R583" s="5">
        <f>IF(AND('Assumptions and Catalog'!$C$19&gt;0,A583&gt;='Assumptions and Catalog'!$C$19),A583-'Assumptions and Catalog'!$C$19,A583-1)</f>
        <v>4</v>
      </c>
      <c r="S583" s="5">
        <f>F583+L583-(D583+E583)*C583-J583-K583-IF(D$52&gt;0,'Assumptions and Catalog'!$C$26*C583,0)</f>
        <v>0</v>
      </c>
      <c r="T583" s="5"/>
      <c r="U583" s="5"/>
    </row>
    <row r="584" spans="1:21" ht="23.1" customHeight="1" outlineLevel="1" x14ac:dyDescent="0.2">
      <c r="A584" s="5">
        <v>15</v>
      </c>
      <c r="B584" s="5">
        <v>6</v>
      </c>
      <c r="C584" s="5">
        <f>DAY(DATE('Assumptions and Catalog'!$C$24+A584-1,B584+1,0))</f>
        <v>30</v>
      </c>
      <c r="D584" s="5">
        <f>IF(ISNUMBER(Inputs!$L$5),Inputs!$L$5*Inputs!$L$6,0)</f>
        <v>40.35</v>
      </c>
      <c r="E584" s="5">
        <f>IF(ISNUMBER(Inputs!$L$5),Inputs!$L$5-D584,0)</f>
        <v>40.35</v>
      </c>
      <c r="F584" s="5">
        <f>D$51*'Assumptions and Catalog'!$C$31*C584*(1-'Assumptions and Catalog'!$C$10)^(A584-1)</f>
        <v>0</v>
      </c>
      <c r="G584" s="5">
        <f t="shared" si="40"/>
        <v>0</v>
      </c>
      <c r="H584" s="5">
        <f>I584/('Assumptions and Catalog'!$C$11*'Assumptions and Catalog'!$C$12)</f>
        <v>0</v>
      </c>
      <c r="I584" s="5">
        <f>IF(K$15="Grid cycle",MIN(K$16,D584+E584,P584*'Assumptions and Catalog'!$C$12,D$57*(24-'Assumptions and Catalog'!$C$15),D$56*'Assumptions and Catalog'!$C$15*'Assumptions and Catalog'!$C$11*'Assumptions and Catalog'!$C$12)*C584,0)</f>
        <v>0</v>
      </c>
      <c r="J584" s="5">
        <f t="shared" si="41"/>
        <v>0</v>
      </c>
      <c r="K584" s="5">
        <f t="shared" si="42"/>
        <v>0</v>
      </c>
      <c r="L584" s="5">
        <f>(D584+E584)*C584-G584-I584+H584+IF(D$52&gt;0,'Assumptions and Catalog'!$C$26*C584,0)</f>
        <v>2421</v>
      </c>
      <c r="M584" s="5">
        <f>IF(ISNUMBER(Inputs!$L$5),(IF(Inputs!$L$9="Actual flat rate",((D584+E584)*C584)*Inputs!$L$10,IF(Inputs!$C$9="Residential",IF(((D584+E584)*C584)&lt;='Assumptions and Catalog'!$C$50,((D584+E584)*C584)*'Assumptions and Catalog'!$H$50+'Assumptions and Catalog'!$E$50+'Assumptions and Catalog'!$F$50,IF(((D584+E584)*C584)&lt;='Assumptions and Catalog'!$C$51,((D584+E584)*C584)*'Assumptions and Catalog'!$H$51+'Assumptions and Catalog'!$E$51+'Assumptions and Catalog'!$F$51,IF(((D584+E584)*C584)&lt;='Assumptions and Catalog'!$C$52,((D584+E584)*C584)*'Assumptions and Catalog'!$H$52+'Assumptions and Catalog'!$E$52+'Assumptions and Catalog'!$F$52,IF(((D584+E584)*C584)&lt;='Assumptions and Catalog'!$C$53,((D584+E584)*C584)*'Assumptions and Catalog'!$H$53+'Assumptions and Catalog'!$E$53+'Assumptions and Catalog'!$F$53,IF(((D584+E584)*C584)&lt;='Assumptions and Catalog'!$C$54,((D584+E584)*C584)*'Assumptions and Catalog'!$H$54+'Assumptions and Catalog'!$E$54+'Assumptions and Catalog'!$F$54,IF(((D584+E584)*C584)&lt;='Assumptions and Catalog'!$C$55,((D584+E584)*C584)*'Assumptions and Catalog'!$H$55+'Assumptions and Catalog'!$E$55+'Assumptions and Catalog'!$F$55,IF(((D584+E584)*C584)&lt;='Assumptions and Catalog'!$C$56,((D584+E584)*C584)*'Assumptions and Catalog'!$H$56+'Assumptions and Catalog'!$E$56+'Assumptions and Catalog'!$F$56,IF(((D584+E584)*C584)&lt;='Assumptions and Catalog'!$C$57,((D584+E584)*C584)*'Assumptions and Catalog'!$H$57+'Assumptions and Catalog'!$E$57+'Assumptions and Catalog'!$F$57,"Out of range")))))))),IF(((D584+E584)*C584)&lt;='Assumptions and Catalog'!$C$60,((D584+E584)*C584)*'Assumptions and Catalog'!$H$60+'Assumptions and Catalog'!$E$60+'Assumptions and Catalog'!$F$60,IF(((D584+E584)*C584)&lt;='Assumptions and Catalog'!$C$61,((D584+E584)*C584)*'Assumptions and Catalog'!$H$61+'Assumptions and Catalog'!$E$61+'Assumptions and Catalog'!$F$61,IF(((D584+E584)*C584)&lt;='Assumptions and Catalog'!$C$62,((D584+E584)*C584)*'Assumptions and Catalog'!$H$62+'Assumptions and Catalog'!$E$62+'Assumptions and Catalog'!$F$62,IF(((D584+E584)*C584)&lt;='Assumptions and Catalog'!$C$63,((D584+E584)*C584)*'Assumptions and Catalog'!$H$63+'Assumptions and Catalog'!$E$63+'Assumptions and Catalog'!$F$63,IF(((D584+E584)*C584)&lt;='Assumptions and Catalog'!$C$64,((D584+E584)*C584)*'Assumptions and Catalog'!$H$64+'Assumptions and Catalog'!$E$64+'Assumptions and Catalog'!$F$64,IF(((D584+E584)*C584)&lt;='Assumptions and Catalog'!$C$65,((D584+E584)*C584)*'Assumptions and Catalog'!$H$65+'Assumptions and Catalog'!$E$65+'Assumptions and Catalog'!$F$65,"Out of range")))))))))*(1+'Assumptions and Catalog'!$C$8)^(A584-1),0)</f>
        <v>8279</v>
      </c>
      <c r="N584" s="5">
        <f>IF(ISNUMBER(Inputs!$L$5),(IF(Inputs!$L$9="Actual flat rate",L584*Inputs!$L$10,IF(Inputs!$C$9="Residential",IF(L584&lt;='Assumptions and Catalog'!$C$50,L584*'Assumptions and Catalog'!$H$50+'Assumptions and Catalog'!$E$50+'Assumptions and Catalog'!$F$50,IF(L584&lt;='Assumptions and Catalog'!$C$51,L584*'Assumptions and Catalog'!$H$51+'Assumptions and Catalog'!$E$51+'Assumptions and Catalog'!$F$51,IF(L584&lt;='Assumptions and Catalog'!$C$52,L584*'Assumptions and Catalog'!$H$52+'Assumptions and Catalog'!$E$52+'Assumptions and Catalog'!$F$52,IF(L584&lt;='Assumptions and Catalog'!$C$53,L584*'Assumptions and Catalog'!$H$53+'Assumptions and Catalog'!$E$53+'Assumptions and Catalog'!$F$53,IF(L584&lt;='Assumptions and Catalog'!$C$54,L584*'Assumptions and Catalog'!$H$54+'Assumptions and Catalog'!$E$54+'Assumptions and Catalog'!$F$54,IF(L584&lt;='Assumptions and Catalog'!$C$55,L584*'Assumptions and Catalog'!$H$55+'Assumptions and Catalog'!$E$55+'Assumptions and Catalog'!$F$55,IF(L584&lt;='Assumptions and Catalog'!$C$56,L584*'Assumptions and Catalog'!$H$56+'Assumptions and Catalog'!$E$56+'Assumptions and Catalog'!$F$56,IF(L584&lt;='Assumptions and Catalog'!$C$57,L584*'Assumptions and Catalog'!$H$57+'Assumptions and Catalog'!$E$57+'Assumptions and Catalog'!$F$57,"Out of range")))))))),IF(L584&lt;='Assumptions and Catalog'!$C$60,L584*'Assumptions and Catalog'!$H$60+'Assumptions and Catalog'!$E$60+'Assumptions and Catalog'!$F$60,IF(L584&lt;='Assumptions and Catalog'!$C$61,L584*'Assumptions and Catalog'!$H$61+'Assumptions and Catalog'!$E$61+'Assumptions and Catalog'!$F$61,IF(L584&lt;='Assumptions and Catalog'!$C$62,L584*'Assumptions and Catalog'!$H$62+'Assumptions and Catalog'!$E$62+'Assumptions and Catalog'!$F$62,IF(L584&lt;='Assumptions and Catalog'!$C$63,L584*'Assumptions and Catalog'!$H$63+'Assumptions and Catalog'!$E$63+'Assumptions and Catalog'!$F$63,IF(L584&lt;='Assumptions and Catalog'!$C$64,L584*'Assumptions and Catalog'!$H$64+'Assumptions and Catalog'!$E$64+'Assumptions and Catalog'!$F$64,IF(L584&lt;='Assumptions and Catalog'!$C$65,L584*'Assumptions and Catalog'!$H$65+'Assumptions and Catalog'!$E$65+'Assumptions and Catalog'!$F$65,"Out of range")))))))))*(1+'Assumptions and Catalog'!$C$8)^(A584-1),0)</f>
        <v>8279</v>
      </c>
      <c r="O584" s="5">
        <f t="shared" si="43"/>
        <v>0</v>
      </c>
      <c r="P584" s="5">
        <f>D$55*(1-K$14)*(1-'Assumptions and Catalog'!$C$23)^R584</f>
        <v>0</v>
      </c>
      <c r="Q584" s="5">
        <f>IF(ISNUMBER(Inputs!$L$5),(IF(Inputs!$L$9="Actual flat rate",((D584+E584)*C584-G584)*Inputs!$L$10,IF(Inputs!$C$9="Residential",IF(((D584+E584)*C584-G584)&lt;='Assumptions and Catalog'!$C$50,((D584+E584)*C584-G584)*'Assumptions and Catalog'!$H$50+'Assumptions and Catalog'!$E$50+'Assumptions and Catalog'!$F$50,IF(((D584+E584)*C584-G584)&lt;='Assumptions and Catalog'!$C$51,((D584+E584)*C584-G584)*'Assumptions and Catalog'!$H$51+'Assumptions and Catalog'!$E$51+'Assumptions and Catalog'!$F$51,IF(((D584+E584)*C584-G584)&lt;='Assumptions and Catalog'!$C$52,((D584+E584)*C584-G584)*'Assumptions and Catalog'!$H$52+'Assumptions and Catalog'!$E$52+'Assumptions and Catalog'!$F$52,IF(((D584+E584)*C584-G584)&lt;='Assumptions and Catalog'!$C$53,((D584+E584)*C584-G584)*'Assumptions and Catalog'!$H$53+'Assumptions and Catalog'!$E$53+'Assumptions and Catalog'!$F$53,IF(((D584+E584)*C584-G584)&lt;='Assumptions and Catalog'!$C$54,((D584+E584)*C584-G584)*'Assumptions and Catalog'!$H$54+'Assumptions and Catalog'!$E$54+'Assumptions and Catalog'!$F$54,IF(((D584+E584)*C584-G584)&lt;='Assumptions and Catalog'!$C$55,((D584+E584)*C584-G584)*'Assumptions and Catalog'!$H$55+'Assumptions and Catalog'!$E$55+'Assumptions and Catalog'!$F$55,IF(((D584+E584)*C584-G584)&lt;='Assumptions and Catalog'!$C$56,((D584+E584)*C584-G584)*'Assumptions and Catalog'!$H$56+'Assumptions and Catalog'!$E$56+'Assumptions and Catalog'!$F$56,IF(((D584+E584)*C584-G584)&lt;='Assumptions and Catalog'!$C$57,((D584+E584)*C584-G584)*'Assumptions and Catalog'!$H$57+'Assumptions and Catalog'!$E$57+'Assumptions and Catalog'!$F$57,"Out of range")))))))),IF(((D584+E584)*C584-G584)&lt;='Assumptions and Catalog'!$C$60,((D584+E584)*C584-G584)*'Assumptions and Catalog'!$H$60+'Assumptions and Catalog'!$E$60+'Assumptions and Catalog'!$F$60,IF(((D584+E584)*C584-G584)&lt;='Assumptions and Catalog'!$C$61,((D584+E584)*C584-G584)*'Assumptions and Catalog'!$H$61+'Assumptions and Catalog'!$E$61+'Assumptions and Catalog'!$F$61,IF(((D584+E584)*C584-G584)&lt;='Assumptions and Catalog'!$C$62,((D584+E584)*C584-G584)*'Assumptions and Catalog'!$H$62+'Assumptions and Catalog'!$E$62+'Assumptions and Catalog'!$F$62,IF(((D584+E584)*C584-G584)&lt;='Assumptions and Catalog'!$C$63,((D584+E584)*C584-G584)*'Assumptions and Catalog'!$H$63+'Assumptions and Catalog'!$E$63+'Assumptions and Catalog'!$F$63,IF(((D584+E584)*C584-G584)&lt;='Assumptions and Catalog'!$C$64,((D584+E584)*C584-G584)*'Assumptions and Catalog'!$H$64+'Assumptions and Catalog'!$E$64+'Assumptions and Catalog'!$F$64,IF(((D584+E584)*C584-G584)&lt;='Assumptions and Catalog'!$C$65,((D584+E584)*C584-G584)*'Assumptions and Catalog'!$H$65+'Assumptions and Catalog'!$E$65+'Assumptions and Catalog'!$F$65,"Out of range")))))))))*(1+'Assumptions and Catalog'!$C$8)^(A584-1),0)</f>
        <v>8279</v>
      </c>
      <c r="R584" s="5">
        <f>IF(AND('Assumptions and Catalog'!$C$19&gt;0,A584&gt;='Assumptions and Catalog'!$C$19),A584-'Assumptions and Catalog'!$C$19,A584-1)</f>
        <v>4</v>
      </c>
      <c r="S584" s="5">
        <f>F584+L584-(D584+E584)*C584-J584-K584-IF(D$52&gt;0,'Assumptions and Catalog'!$C$26*C584,0)</f>
        <v>0</v>
      </c>
      <c r="T584" s="5"/>
      <c r="U584" s="5"/>
    </row>
    <row r="585" spans="1:21" ht="23.1" customHeight="1" outlineLevel="1" x14ac:dyDescent="0.2">
      <c r="A585" s="5">
        <v>15</v>
      </c>
      <c r="B585" s="5">
        <v>7</v>
      </c>
      <c r="C585" s="5">
        <f>DAY(DATE('Assumptions and Catalog'!$C$24+A585-1,B585+1,0))</f>
        <v>31</v>
      </c>
      <c r="D585" s="5">
        <f>IF(ISNUMBER(Inputs!$L$5),Inputs!$L$5*Inputs!$L$6,0)</f>
        <v>40.35</v>
      </c>
      <c r="E585" s="5">
        <f>IF(ISNUMBER(Inputs!$L$5),Inputs!$L$5-D585,0)</f>
        <v>40.35</v>
      </c>
      <c r="F585" s="5">
        <f>D$51*'Assumptions and Catalog'!$C$31*C585*(1-'Assumptions and Catalog'!$C$10)^(A585-1)</f>
        <v>0</v>
      </c>
      <c r="G585" s="5">
        <f t="shared" si="40"/>
        <v>0</v>
      </c>
      <c r="H585" s="5">
        <f>I585/('Assumptions and Catalog'!$C$11*'Assumptions and Catalog'!$C$12)</f>
        <v>0</v>
      </c>
      <c r="I585" s="5">
        <f>IF(K$15="Grid cycle",MIN(K$16,D585+E585,P585*'Assumptions and Catalog'!$C$12,D$57*(24-'Assumptions and Catalog'!$C$15),D$56*'Assumptions and Catalog'!$C$15*'Assumptions and Catalog'!$C$11*'Assumptions and Catalog'!$C$12)*C585,0)</f>
        <v>0</v>
      </c>
      <c r="J585" s="5">
        <f t="shared" si="41"/>
        <v>0</v>
      </c>
      <c r="K585" s="5">
        <f t="shared" si="42"/>
        <v>0</v>
      </c>
      <c r="L585" s="5">
        <f>(D585+E585)*C585-G585-I585+H585+IF(D$52&gt;0,'Assumptions and Catalog'!$C$26*C585,0)</f>
        <v>2501.7000000000003</v>
      </c>
      <c r="M585" s="5">
        <f>IF(ISNUMBER(Inputs!$L$5),(IF(Inputs!$L$9="Actual flat rate",((D585+E585)*C585)*Inputs!$L$10,IF(Inputs!$C$9="Residential",IF(((D585+E585)*C585)&lt;='Assumptions and Catalog'!$C$50,((D585+E585)*C585)*'Assumptions and Catalog'!$H$50+'Assumptions and Catalog'!$E$50+'Assumptions and Catalog'!$F$50,IF(((D585+E585)*C585)&lt;='Assumptions and Catalog'!$C$51,((D585+E585)*C585)*'Assumptions and Catalog'!$H$51+'Assumptions and Catalog'!$E$51+'Assumptions and Catalog'!$F$51,IF(((D585+E585)*C585)&lt;='Assumptions and Catalog'!$C$52,((D585+E585)*C585)*'Assumptions and Catalog'!$H$52+'Assumptions and Catalog'!$E$52+'Assumptions and Catalog'!$F$52,IF(((D585+E585)*C585)&lt;='Assumptions and Catalog'!$C$53,((D585+E585)*C585)*'Assumptions and Catalog'!$H$53+'Assumptions and Catalog'!$E$53+'Assumptions and Catalog'!$F$53,IF(((D585+E585)*C585)&lt;='Assumptions and Catalog'!$C$54,((D585+E585)*C585)*'Assumptions and Catalog'!$H$54+'Assumptions and Catalog'!$E$54+'Assumptions and Catalog'!$F$54,IF(((D585+E585)*C585)&lt;='Assumptions and Catalog'!$C$55,((D585+E585)*C585)*'Assumptions and Catalog'!$H$55+'Assumptions and Catalog'!$E$55+'Assumptions and Catalog'!$F$55,IF(((D585+E585)*C585)&lt;='Assumptions and Catalog'!$C$56,((D585+E585)*C585)*'Assumptions and Catalog'!$H$56+'Assumptions and Catalog'!$E$56+'Assumptions and Catalog'!$F$56,IF(((D585+E585)*C585)&lt;='Assumptions and Catalog'!$C$57,((D585+E585)*C585)*'Assumptions and Catalog'!$H$57+'Assumptions and Catalog'!$E$57+'Assumptions and Catalog'!$F$57,"Out of range")))))))),IF(((D585+E585)*C585)&lt;='Assumptions and Catalog'!$C$60,((D585+E585)*C585)*'Assumptions and Catalog'!$H$60+'Assumptions and Catalog'!$E$60+'Assumptions and Catalog'!$F$60,IF(((D585+E585)*C585)&lt;='Assumptions and Catalog'!$C$61,((D585+E585)*C585)*'Assumptions and Catalog'!$H$61+'Assumptions and Catalog'!$E$61+'Assumptions and Catalog'!$F$61,IF(((D585+E585)*C585)&lt;='Assumptions and Catalog'!$C$62,((D585+E585)*C585)*'Assumptions and Catalog'!$H$62+'Assumptions and Catalog'!$E$62+'Assumptions and Catalog'!$F$62,IF(((D585+E585)*C585)&lt;='Assumptions and Catalog'!$C$63,((D585+E585)*C585)*'Assumptions and Catalog'!$H$63+'Assumptions and Catalog'!$E$63+'Assumptions and Catalog'!$F$63,IF(((D585+E585)*C585)&lt;='Assumptions and Catalog'!$C$64,((D585+E585)*C585)*'Assumptions and Catalog'!$H$64+'Assumptions and Catalog'!$E$64+'Assumptions and Catalog'!$F$64,IF(((D585+E585)*C585)&lt;='Assumptions and Catalog'!$C$65,((D585+E585)*C585)*'Assumptions and Catalog'!$H$65+'Assumptions and Catalog'!$E$65+'Assumptions and Catalog'!$F$65,"Out of range")))))))))*(1+'Assumptions and Catalog'!$C$8)^(A585-1),0)</f>
        <v>8554.9666666666672</v>
      </c>
      <c r="N585" s="5">
        <f>IF(ISNUMBER(Inputs!$L$5),(IF(Inputs!$L$9="Actual flat rate",L585*Inputs!$L$10,IF(Inputs!$C$9="Residential",IF(L585&lt;='Assumptions and Catalog'!$C$50,L585*'Assumptions and Catalog'!$H$50+'Assumptions and Catalog'!$E$50+'Assumptions and Catalog'!$F$50,IF(L585&lt;='Assumptions and Catalog'!$C$51,L585*'Assumptions and Catalog'!$H$51+'Assumptions and Catalog'!$E$51+'Assumptions and Catalog'!$F$51,IF(L585&lt;='Assumptions and Catalog'!$C$52,L585*'Assumptions and Catalog'!$H$52+'Assumptions and Catalog'!$E$52+'Assumptions and Catalog'!$F$52,IF(L585&lt;='Assumptions and Catalog'!$C$53,L585*'Assumptions and Catalog'!$H$53+'Assumptions and Catalog'!$E$53+'Assumptions and Catalog'!$F$53,IF(L585&lt;='Assumptions and Catalog'!$C$54,L585*'Assumptions and Catalog'!$H$54+'Assumptions and Catalog'!$E$54+'Assumptions and Catalog'!$F$54,IF(L585&lt;='Assumptions and Catalog'!$C$55,L585*'Assumptions and Catalog'!$H$55+'Assumptions and Catalog'!$E$55+'Assumptions and Catalog'!$F$55,IF(L585&lt;='Assumptions and Catalog'!$C$56,L585*'Assumptions and Catalog'!$H$56+'Assumptions and Catalog'!$E$56+'Assumptions and Catalog'!$F$56,IF(L585&lt;='Assumptions and Catalog'!$C$57,L585*'Assumptions and Catalog'!$H$57+'Assumptions and Catalog'!$E$57+'Assumptions and Catalog'!$F$57,"Out of range")))))))),IF(L585&lt;='Assumptions and Catalog'!$C$60,L585*'Assumptions and Catalog'!$H$60+'Assumptions and Catalog'!$E$60+'Assumptions and Catalog'!$F$60,IF(L585&lt;='Assumptions and Catalog'!$C$61,L585*'Assumptions and Catalog'!$H$61+'Assumptions and Catalog'!$E$61+'Assumptions and Catalog'!$F$61,IF(L585&lt;='Assumptions and Catalog'!$C$62,L585*'Assumptions and Catalog'!$H$62+'Assumptions and Catalog'!$E$62+'Assumptions and Catalog'!$F$62,IF(L585&lt;='Assumptions and Catalog'!$C$63,L585*'Assumptions and Catalog'!$H$63+'Assumptions and Catalog'!$E$63+'Assumptions and Catalog'!$F$63,IF(L585&lt;='Assumptions and Catalog'!$C$64,L585*'Assumptions and Catalog'!$H$64+'Assumptions and Catalog'!$E$64+'Assumptions and Catalog'!$F$64,IF(L585&lt;='Assumptions and Catalog'!$C$65,L585*'Assumptions and Catalog'!$H$65+'Assumptions and Catalog'!$E$65+'Assumptions and Catalog'!$F$65,"Out of range")))))))))*(1+'Assumptions and Catalog'!$C$8)^(A585-1),0)</f>
        <v>8554.9666666666672</v>
      </c>
      <c r="O585" s="5">
        <f t="shared" si="43"/>
        <v>0</v>
      </c>
      <c r="P585" s="5">
        <f>D$55*(1-K$14)*(1-'Assumptions and Catalog'!$C$23)^R585</f>
        <v>0</v>
      </c>
      <c r="Q585" s="5">
        <f>IF(ISNUMBER(Inputs!$L$5),(IF(Inputs!$L$9="Actual flat rate",((D585+E585)*C585-G585)*Inputs!$L$10,IF(Inputs!$C$9="Residential",IF(((D585+E585)*C585-G585)&lt;='Assumptions and Catalog'!$C$50,((D585+E585)*C585-G585)*'Assumptions and Catalog'!$H$50+'Assumptions and Catalog'!$E$50+'Assumptions and Catalog'!$F$50,IF(((D585+E585)*C585-G585)&lt;='Assumptions and Catalog'!$C$51,((D585+E585)*C585-G585)*'Assumptions and Catalog'!$H$51+'Assumptions and Catalog'!$E$51+'Assumptions and Catalog'!$F$51,IF(((D585+E585)*C585-G585)&lt;='Assumptions and Catalog'!$C$52,((D585+E585)*C585-G585)*'Assumptions and Catalog'!$H$52+'Assumptions and Catalog'!$E$52+'Assumptions and Catalog'!$F$52,IF(((D585+E585)*C585-G585)&lt;='Assumptions and Catalog'!$C$53,((D585+E585)*C585-G585)*'Assumptions and Catalog'!$H$53+'Assumptions and Catalog'!$E$53+'Assumptions and Catalog'!$F$53,IF(((D585+E585)*C585-G585)&lt;='Assumptions and Catalog'!$C$54,((D585+E585)*C585-G585)*'Assumptions and Catalog'!$H$54+'Assumptions and Catalog'!$E$54+'Assumptions and Catalog'!$F$54,IF(((D585+E585)*C585-G585)&lt;='Assumptions and Catalog'!$C$55,((D585+E585)*C585-G585)*'Assumptions and Catalog'!$H$55+'Assumptions and Catalog'!$E$55+'Assumptions and Catalog'!$F$55,IF(((D585+E585)*C585-G585)&lt;='Assumptions and Catalog'!$C$56,((D585+E585)*C585-G585)*'Assumptions and Catalog'!$H$56+'Assumptions and Catalog'!$E$56+'Assumptions and Catalog'!$F$56,IF(((D585+E585)*C585-G585)&lt;='Assumptions and Catalog'!$C$57,((D585+E585)*C585-G585)*'Assumptions and Catalog'!$H$57+'Assumptions and Catalog'!$E$57+'Assumptions and Catalog'!$F$57,"Out of range")))))))),IF(((D585+E585)*C585-G585)&lt;='Assumptions and Catalog'!$C$60,((D585+E585)*C585-G585)*'Assumptions and Catalog'!$H$60+'Assumptions and Catalog'!$E$60+'Assumptions and Catalog'!$F$60,IF(((D585+E585)*C585-G585)&lt;='Assumptions and Catalog'!$C$61,((D585+E585)*C585-G585)*'Assumptions and Catalog'!$H$61+'Assumptions and Catalog'!$E$61+'Assumptions and Catalog'!$F$61,IF(((D585+E585)*C585-G585)&lt;='Assumptions and Catalog'!$C$62,((D585+E585)*C585-G585)*'Assumptions and Catalog'!$H$62+'Assumptions and Catalog'!$E$62+'Assumptions and Catalog'!$F$62,IF(((D585+E585)*C585-G585)&lt;='Assumptions and Catalog'!$C$63,((D585+E585)*C585-G585)*'Assumptions and Catalog'!$H$63+'Assumptions and Catalog'!$E$63+'Assumptions and Catalog'!$F$63,IF(((D585+E585)*C585-G585)&lt;='Assumptions and Catalog'!$C$64,((D585+E585)*C585-G585)*'Assumptions and Catalog'!$H$64+'Assumptions and Catalog'!$E$64+'Assumptions and Catalog'!$F$64,IF(((D585+E585)*C585-G585)&lt;='Assumptions and Catalog'!$C$65,((D585+E585)*C585-G585)*'Assumptions and Catalog'!$H$65+'Assumptions and Catalog'!$E$65+'Assumptions and Catalog'!$F$65,"Out of range")))))))))*(1+'Assumptions and Catalog'!$C$8)^(A585-1),0)</f>
        <v>8554.9666666666672</v>
      </c>
      <c r="R585" s="5">
        <f>IF(AND('Assumptions and Catalog'!$C$19&gt;0,A585&gt;='Assumptions and Catalog'!$C$19),A585-'Assumptions and Catalog'!$C$19,A585-1)</f>
        <v>4</v>
      </c>
      <c r="S585" s="5">
        <f>F585+L585-(D585+E585)*C585-J585-K585-IF(D$52&gt;0,'Assumptions and Catalog'!$C$26*C585,0)</f>
        <v>0</v>
      </c>
      <c r="T585" s="5"/>
      <c r="U585" s="5"/>
    </row>
    <row r="586" spans="1:21" ht="23.1" customHeight="1" outlineLevel="1" x14ac:dyDescent="0.2">
      <c r="A586" s="5">
        <v>15</v>
      </c>
      <c r="B586" s="5">
        <v>8</v>
      </c>
      <c r="C586" s="5">
        <f>DAY(DATE('Assumptions and Catalog'!$C$24+A586-1,B586+1,0))</f>
        <v>31</v>
      </c>
      <c r="D586" s="5">
        <f>IF(ISNUMBER(Inputs!$L$5),Inputs!$L$5*Inputs!$L$6,0)</f>
        <v>40.35</v>
      </c>
      <c r="E586" s="5">
        <f>IF(ISNUMBER(Inputs!$L$5),Inputs!$L$5-D586,0)</f>
        <v>40.35</v>
      </c>
      <c r="F586" s="5">
        <f>D$51*'Assumptions and Catalog'!$C$31*C586*(1-'Assumptions and Catalog'!$C$10)^(A586-1)</f>
        <v>0</v>
      </c>
      <c r="G586" s="5">
        <f t="shared" si="40"/>
        <v>0</v>
      </c>
      <c r="H586" s="5">
        <f>I586/('Assumptions and Catalog'!$C$11*'Assumptions and Catalog'!$C$12)</f>
        <v>0</v>
      </c>
      <c r="I586" s="5">
        <f>IF(K$15="Grid cycle",MIN(K$16,D586+E586,P586*'Assumptions and Catalog'!$C$12,D$57*(24-'Assumptions and Catalog'!$C$15),D$56*'Assumptions and Catalog'!$C$15*'Assumptions and Catalog'!$C$11*'Assumptions and Catalog'!$C$12)*C586,0)</f>
        <v>0</v>
      </c>
      <c r="J586" s="5">
        <f t="shared" si="41"/>
        <v>0</v>
      </c>
      <c r="K586" s="5">
        <f t="shared" si="42"/>
        <v>0</v>
      </c>
      <c r="L586" s="5">
        <f>(D586+E586)*C586-G586-I586+H586+IF(D$52&gt;0,'Assumptions and Catalog'!$C$26*C586,0)</f>
        <v>2501.7000000000003</v>
      </c>
      <c r="M586" s="5">
        <f>IF(ISNUMBER(Inputs!$L$5),(IF(Inputs!$L$9="Actual flat rate",((D586+E586)*C586)*Inputs!$L$10,IF(Inputs!$C$9="Residential",IF(((D586+E586)*C586)&lt;='Assumptions and Catalog'!$C$50,((D586+E586)*C586)*'Assumptions and Catalog'!$H$50+'Assumptions and Catalog'!$E$50+'Assumptions and Catalog'!$F$50,IF(((D586+E586)*C586)&lt;='Assumptions and Catalog'!$C$51,((D586+E586)*C586)*'Assumptions and Catalog'!$H$51+'Assumptions and Catalog'!$E$51+'Assumptions and Catalog'!$F$51,IF(((D586+E586)*C586)&lt;='Assumptions and Catalog'!$C$52,((D586+E586)*C586)*'Assumptions and Catalog'!$H$52+'Assumptions and Catalog'!$E$52+'Assumptions and Catalog'!$F$52,IF(((D586+E586)*C586)&lt;='Assumptions and Catalog'!$C$53,((D586+E586)*C586)*'Assumptions and Catalog'!$H$53+'Assumptions and Catalog'!$E$53+'Assumptions and Catalog'!$F$53,IF(((D586+E586)*C586)&lt;='Assumptions and Catalog'!$C$54,((D586+E586)*C586)*'Assumptions and Catalog'!$H$54+'Assumptions and Catalog'!$E$54+'Assumptions and Catalog'!$F$54,IF(((D586+E586)*C586)&lt;='Assumptions and Catalog'!$C$55,((D586+E586)*C586)*'Assumptions and Catalog'!$H$55+'Assumptions and Catalog'!$E$55+'Assumptions and Catalog'!$F$55,IF(((D586+E586)*C586)&lt;='Assumptions and Catalog'!$C$56,((D586+E586)*C586)*'Assumptions and Catalog'!$H$56+'Assumptions and Catalog'!$E$56+'Assumptions and Catalog'!$F$56,IF(((D586+E586)*C586)&lt;='Assumptions and Catalog'!$C$57,((D586+E586)*C586)*'Assumptions and Catalog'!$H$57+'Assumptions and Catalog'!$E$57+'Assumptions and Catalog'!$F$57,"Out of range")))))))),IF(((D586+E586)*C586)&lt;='Assumptions and Catalog'!$C$60,((D586+E586)*C586)*'Assumptions and Catalog'!$H$60+'Assumptions and Catalog'!$E$60+'Assumptions and Catalog'!$F$60,IF(((D586+E586)*C586)&lt;='Assumptions and Catalog'!$C$61,((D586+E586)*C586)*'Assumptions and Catalog'!$H$61+'Assumptions and Catalog'!$E$61+'Assumptions and Catalog'!$F$61,IF(((D586+E586)*C586)&lt;='Assumptions and Catalog'!$C$62,((D586+E586)*C586)*'Assumptions and Catalog'!$H$62+'Assumptions and Catalog'!$E$62+'Assumptions and Catalog'!$F$62,IF(((D586+E586)*C586)&lt;='Assumptions and Catalog'!$C$63,((D586+E586)*C586)*'Assumptions and Catalog'!$H$63+'Assumptions and Catalog'!$E$63+'Assumptions and Catalog'!$F$63,IF(((D586+E586)*C586)&lt;='Assumptions and Catalog'!$C$64,((D586+E586)*C586)*'Assumptions and Catalog'!$H$64+'Assumptions and Catalog'!$E$64+'Assumptions and Catalog'!$F$64,IF(((D586+E586)*C586)&lt;='Assumptions and Catalog'!$C$65,((D586+E586)*C586)*'Assumptions and Catalog'!$H$65+'Assumptions and Catalog'!$E$65+'Assumptions and Catalog'!$F$65,"Out of range")))))))))*(1+'Assumptions and Catalog'!$C$8)^(A586-1),0)</f>
        <v>8554.9666666666672</v>
      </c>
      <c r="N586" s="5">
        <f>IF(ISNUMBER(Inputs!$L$5),(IF(Inputs!$L$9="Actual flat rate",L586*Inputs!$L$10,IF(Inputs!$C$9="Residential",IF(L586&lt;='Assumptions and Catalog'!$C$50,L586*'Assumptions and Catalog'!$H$50+'Assumptions and Catalog'!$E$50+'Assumptions and Catalog'!$F$50,IF(L586&lt;='Assumptions and Catalog'!$C$51,L586*'Assumptions and Catalog'!$H$51+'Assumptions and Catalog'!$E$51+'Assumptions and Catalog'!$F$51,IF(L586&lt;='Assumptions and Catalog'!$C$52,L586*'Assumptions and Catalog'!$H$52+'Assumptions and Catalog'!$E$52+'Assumptions and Catalog'!$F$52,IF(L586&lt;='Assumptions and Catalog'!$C$53,L586*'Assumptions and Catalog'!$H$53+'Assumptions and Catalog'!$E$53+'Assumptions and Catalog'!$F$53,IF(L586&lt;='Assumptions and Catalog'!$C$54,L586*'Assumptions and Catalog'!$H$54+'Assumptions and Catalog'!$E$54+'Assumptions and Catalog'!$F$54,IF(L586&lt;='Assumptions and Catalog'!$C$55,L586*'Assumptions and Catalog'!$H$55+'Assumptions and Catalog'!$E$55+'Assumptions and Catalog'!$F$55,IF(L586&lt;='Assumptions and Catalog'!$C$56,L586*'Assumptions and Catalog'!$H$56+'Assumptions and Catalog'!$E$56+'Assumptions and Catalog'!$F$56,IF(L586&lt;='Assumptions and Catalog'!$C$57,L586*'Assumptions and Catalog'!$H$57+'Assumptions and Catalog'!$E$57+'Assumptions and Catalog'!$F$57,"Out of range")))))))),IF(L586&lt;='Assumptions and Catalog'!$C$60,L586*'Assumptions and Catalog'!$H$60+'Assumptions and Catalog'!$E$60+'Assumptions and Catalog'!$F$60,IF(L586&lt;='Assumptions and Catalog'!$C$61,L586*'Assumptions and Catalog'!$H$61+'Assumptions and Catalog'!$E$61+'Assumptions and Catalog'!$F$61,IF(L586&lt;='Assumptions and Catalog'!$C$62,L586*'Assumptions and Catalog'!$H$62+'Assumptions and Catalog'!$E$62+'Assumptions and Catalog'!$F$62,IF(L586&lt;='Assumptions and Catalog'!$C$63,L586*'Assumptions and Catalog'!$H$63+'Assumptions and Catalog'!$E$63+'Assumptions and Catalog'!$F$63,IF(L586&lt;='Assumptions and Catalog'!$C$64,L586*'Assumptions and Catalog'!$H$64+'Assumptions and Catalog'!$E$64+'Assumptions and Catalog'!$F$64,IF(L586&lt;='Assumptions and Catalog'!$C$65,L586*'Assumptions and Catalog'!$H$65+'Assumptions and Catalog'!$E$65+'Assumptions and Catalog'!$F$65,"Out of range")))))))))*(1+'Assumptions and Catalog'!$C$8)^(A586-1),0)</f>
        <v>8554.9666666666672</v>
      </c>
      <c r="O586" s="5">
        <f t="shared" si="43"/>
        <v>0</v>
      </c>
      <c r="P586" s="5">
        <f>D$55*(1-K$14)*(1-'Assumptions and Catalog'!$C$23)^R586</f>
        <v>0</v>
      </c>
      <c r="Q586" s="5">
        <f>IF(ISNUMBER(Inputs!$L$5),(IF(Inputs!$L$9="Actual flat rate",((D586+E586)*C586-G586)*Inputs!$L$10,IF(Inputs!$C$9="Residential",IF(((D586+E586)*C586-G586)&lt;='Assumptions and Catalog'!$C$50,((D586+E586)*C586-G586)*'Assumptions and Catalog'!$H$50+'Assumptions and Catalog'!$E$50+'Assumptions and Catalog'!$F$50,IF(((D586+E586)*C586-G586)&lt;='Assumptions and Catalog'!$C$51,((D586+E586)*C586-G586)*'Assumptions and Catalog'!$H$51+'Assumptions and Catalog'!$E$51+'Assumptions and Catalog'!$F$51,IF(((D586+E586)*C586-G586)&lt;='Assumptions and Catalog'!$C$52,((D586+E586)*C586-G586)*'Assumptions and Catalog'!$H$52+'Assumptions and Catalog'!$E$52+'Assumptions and Catalog'!$F$52,IF(((D586+E586)*C586-G586)&lt;='Assumptions and Catalog'!$C$53,((D586+E586)*C586-G586)*'Assumptions and Catalog'!$H$53+'Assumptions and Catalog'!$E$53+'Assumptions and Catalog'!$F$53,IF(((D586+E586)*C586-G586)&lt;='Assumptions and Catalog'!$C$54,((D586+E586)*C586-G586)*'Assumptions and Catalog'!$H$54+'Assumptions and Catalog'!$E$54+'Assumptions and Catalog'!$F$54,IF(((D586+E586)*C586-G586)&lt;='Assumptions and Catalog'!$C$55,((D586+E586)*C586-G586)*'Assumptions and Catalog'!$H$55+'Assumptions and Catalog'!$E$55+'Assumptions and Catalog'!$F$55,IF(((D586+E586)*C586-G586)&lt;='Assumptions and Catalog'!$C$56,((D586+E586)*C586-G586)*'Assumptions and Catalog'!$H$56+'Assumptions and Catalog'!$E$56+'Assumptions and Catalog'!$F$56,IF(((D586+E586)*C586-G586)&lt;='Assumptions and Catalog'!$C$57,((D586+E586)*C586-G586)*'Assumptions and Catalog'!$H$57+'Assumptions and Catalog'!$E$57+'Assumptions and Catalog'!$F$57,"Out of range")))))))),IF(((D586+E586)*C586-G586)&lt;='Assumptions and Catalog'!$C$60,((D586+E586)*C586-G586)*'Assumptions and Catalog'!$H$60+'Assumptions and Catalog'!$E$60+'Assumptions and Catalog'!$F$60,IF(((D586+E586)*C586-G586)&lt;='Assumptions and Catalog'!$C$61,((D586+E586)*C586-G586)*'Assumptions and Catalog'!$H$61+'Assumptions and Catalog'!$E$61+'Assumptions and Catalog'!$F$61,IF(((D586+E586)*C586-G586)&lt;='Assumptions and Catalog'!$C$62,((D586+E586)*C586-G586)*'Assumptions and Catalog'!$H$62+'Assumptions and Catalog'!$E$62+'Assumptions and Catalog'!$F$62,IF(((D586+E586)*C586-G586)&lt;='Assumptions and Catalog'!$C$63,((D586+E586)*C586-G586)*'Assumptions and Catalog'!$H$63+'Assumptions and Catalog'!$E$63+'Assumptions and Catalog'!$F$63,IF(((D586+E586)*C586-G586)&lt;='Assumptions and Catalog'!$C$64,((D586+E586)*C586-G586)*'Assumptions and Catalog'!$H$64+'Assumptions and Catalog'!$E$64+'Assumptions and Catalog'!$F$64,IF(((D586+E586)*C586-G586)&lt;='Assumptions and Catalog'!$C$65,((D586+E586)*C586-G586)*'Assumptions and Catalog'!$H$65+'Assumptions and Catalog'!$E$65+'Assumptions and Catalog'!$F$65,"Out of range")))))))))*(1+'Assumptions and Catalog'!$C$8)^(A586-1),0)</f>
        <v>8554.9666666666672</v>
      </c>
      <c r="R586" s="5">
        <f>IF(AND('Assumptions and Catalog'!$C$19&gt;0,A586&gt;='Assumptions and Catalog'!$C$19),A586-'Assumptions and Catalog'!$C$19,A586-1)</f>
        <v>4</v>
      </c>
      <c r="S586" s="5">
        <f>F586+L586-(D586+E586)*C586-J586-K586-IF(D$52&gt;0,'Assumptions and Catalog'!$C$26*C586,0)</f>
        <v>0</v>
      </c>
      <c r="T586" s="5"/>
      <c r="U586" s="5"/>
    </row>
    <row r="587" spans="1:21" ht="23.1" customHeight="1" outlineLevel="1" x14ac:dyDescent="0.2">
      <c r="A587" s="5">
        <v>15</v>
      </c>
      <c r="B587" s="5">
        <v>9</v>
      </c>
      <c r="C587" s="5">
        <f>DAY(DATE('Assumptions and Catalog'!$C$24+A587-1,B587+1,0))</f>
        <v>30</v>
      </c>
      <c r="D587" s="5">
        <f>IF(ISNUMBER(Inputs!$L$5),Inputs!$L$5*Inputs!$L$6,0)</f>
        <v>40.35</v>
      </c>
      <c r="E587" s="5">
        <f>IF(ISNUMBER(Inputs!$L$5),Inputs!$L$5-D587,0)</f>
        <v>40.35</v>
      </c>
      <c r="F587" s="5">
        <f>D$51*'Assumptions and Catalog'!$C$31*C587*(1-'Assumptions and Catalog'!$C$10)^(A587-1)</f>
        <v>0</v>
      </c>
      <c r="G587" s="5">
        <f t="shared" si="40"/>
        <v>0</v>
      </c>
      <c r="H587" s="5">
        <f>I587/('Assumptions and Catalog'!$C$11*'Assumptions and Catalog'!$C$12)</f>
        <v>0</v>
      </c>
      <c r="I587" s="5">
        <f>IF(K$15="Grid cycle",MIN(K$16,D587+E587,P587*'Assumptions and Catalog'!$C$12,D$57*(24-'Assumptions and Catalog'!$C$15),D$56*'Assumptions and Catalog'!$C$15*'Assumptions and Catalog'!$C$11*'Assumptions and Catalog'!$C$12)*C587,0)</f>
        <v>0</v>
      </c>
      <c r="J587" s="5">
        <f t="shared" si="41"/>
        <v>0</v>
      </c>
      <c r="K587" s="5">
        <f t="shared" si="42"/>
        <v>0</v>
      </c>
      <c r="L587" s="5">
        <f>(D587+E587)*C587-G587-I587+H587+IF(D$52&gt;0,'Assumptions and Catalog'!$C$26*C587,0)</f>
        <v>2421</v>
      </c>
      <c r="M587" s="5">
        <f>IF(ISNUMBER(Inputs!$L$5),(IF(Inputs!$L$9="Actual flat rate",((D587+E587)*C587)*Inputs!$L$10,IF(Inputs!$C$9="Residential",IF(((D587+E587)*C587)&lt;='Assumptions and Catalog'!$C$50,((D587+E587)*C587)*'Assumptions and Catalog'!$H$50+'Assumptions and Catalog'!$E$50+'Assumptions and Catalog'!$F$50,IF(((D587+E587)*C587)&lt;='Assumptions and Catalog'!$C$51,((D587+E587)*C587)*'Assumptions and Catalog'!$H$51+'Assumptions and Catalog'!$E$51+'Assumptions and Catalog'!$F$51,IF(((D587+E587)*C587)&lt;='Assumptions and Catalog'!$C$52,((D587+E587)*C587)*'Assumptions and Catalog'!$H$52+'Assumptions and Catalog'!$E$52+'Assumptions and Catalog'!$F$52,IF(((D587+E587)*C587)&lt;='Assumptions and Catalog'!$C$53,((D587+E587)*C587)*'Assumptions and Catalog'!$H$53+'Assumptions and Catalog'!$E$53+'Assumptions and Catalog'!$F$53,IF(((D587+E587)*C587)&lt;='Assumptions and Catalog'!$C$54,((D587+E587)*C587)*'Assumptions and Catalog'!$H$54+'Assumptions and Catalog'!$E$54+'Assumptions and Catalog'!$F$54,IF(((D587+E587)*C587)&lt;='Assumptions and Catalog'!$C$55,((D587+E587)*C587)*'Assumptions and Catalog'!$H$55+'Assumptions and Catalog'!$E$55+'Assumptions and Catalog'!$F$55,IF(((D587+E587)*C587)&lt;='Assumptions and Catalog'!$C$56,((D587+E587)*C587)*'Assumptions and Catalog'!$H$56+'Assumptions and Catalog'!$E$56+'Assumptions and Catalog'!$F$56,IF(((D587+E587)*C587)&lt;='Assumptions and Catalog'!$C$57,((D587+E587)*C587)*'Assumptions and Catalog'!$H$57+'Assumptions and Catalog'!$E$57+'Assumptions and Catalog'!$F$57,"Out of range")))))))),IF(((D587+E587)*C587)&lt;='Assumptions and Catalog'!$C$60,((D587+E587)*C587)*'Assumptions and Catalog'!$H$60+'Assumptions and Catalog'!$E$60+'Assumptions and Catalog'!$F$60,IF(((D587+E587)*C587)&lt;='Assumptions and Catalog'!$C$61,((D587+E587)*C587)*'Assumptions and Catalog'!$H$61+'Assumptions and Catalog'!$E$61+'Assumptions and Catalog'!$F$61,IF(((D587+E587)*C587)&lt;='Assumptions and Catalog'!$C$62,((D587+E587)*C587)*'Assumptions and Catalog'!$H$62+'Assumptions and Catalog'!$E$62+'Assumptions and Catalog'!$F$62,IF(((D587+E587)*C587)&lt;='Assumptions and Catalog'!$C$63,((D587+E587)*C587)*'Assumptions and Catalog'!$H$63+'Assumptions and Catalog'!$E$63+'Assumptions and Catalog'!$F$63,IF(((D587+E587)*C587)&lt;='Assumptions and Catalog'!$C$64,((D587+E587)*C587)*'Assumptions and Catalog'!$H$64+'Assumptions and Catalog'!$E$64+'Assumptions and Catalog'!$F$64,IF(((D587+E587)*C587)&lt;='Assumptions and Catalog'!$C$65,((D587+E587)*C587)*'Assumptions and Catalog'!$H$65+'Assumptions and Catalog'!$E$65+'Assumptions and Catalog'!$F$65,"Out of range")))))))))*(1+'Assumptions and Catalog'!$C$8)^(A587-1),0)</f>
        <v>8279</v>
      </c>
      <c r="N587" s="5">
        <f>IF(ISNUMBER(Inputs!$L$5),(IF(Inputs!$L$9="Actual flat rate",L587*Inputs!$L$10,IF(Inputs!$C$9="Residential",IF(L587&lt;='Assumptions and Catalog'!$C$50,L587*'Assumptions and Catalog'!$H$50+'Assumptions and Catalog'!$E$50+'Assumptions and Catalog'!$F$50,IF(L587&lt;='Assumptions and Catalog'!$C$51,L587*'Assumptions and Catalog'!$H$51+'Assumptions and Catalog'!$E$51+'Assumptions and Catalog'!$F$51,IF(L587&lt;='Assumptions and Catalog'!$C$52,L587*'Assumptions and Catalog'!$H$52+'Assumptions and Catalog'!$E$52+'Assumptions and Catalog'!$F$52,IF(L587&lt;='Assumptions and Catalog'!$C$53,L587*'Assumptions and Catalog'!$H$53+'Assumptions and Catalog'!$E$53+'Assumptions and Catalog'!$F$53,IF(L587&lt;='Assumptions and Catalog'!$C$54,L587*'Assumptions and Catalog'!$H$54+'Assumptions and Catalog'!$E$54+'Assumptions and Catalog'!$F$54,IF(L587&lt;='Assumptions and Catalog'!$C$55,L587*'Assumptions and Catalog'!$H$55+'Assumptions and Catalog'!$E$55+'Assumptions and Catalog'!$F$55,IF(L587&lt;='Assumptions and Catalog'!$C$56,L587*'Assumptions and Catalog'!$H$56+'Assumptions and Catalog'!$E$56+'Assumptions and Catalog'!$F$56,IF(L587&lt;='Assumptions and Catalog'!$C$57,L587*'Assumptions and Catalog'!$H$57+'Assumptions and Catalog'!$E$57+'Assumptions and Catalog'!$F$57,"Out of range")))))))),IF(L587&lt;='Assumptions and Catalog'!$C$60,L587*'Assumptions and Catalog'!$H$60+'Assumptions and Catalog'!$E$60+'Assumptions and Catalog'!$F$60,IF(L587&lt;='Assumptions and Catalog'!$C$61,L587*'Assumptions and Catalog'!$H$61+'Assumptions and Catalog'!$E$61+'Assumptions and Catalog'!$F$61,IF(L587&lt;='Assumptions and Catalog'!$C$62,L587*'Assumptions and Catalog'!$H$62+'Assumptions and Catalog'!$E$62+'Assumptions and Catalog'!$F$62,IF(L587&lt;='Assumptions and Catalog'!$C$63,L587*'Assumptions and Catalog'!$H$63+'Assumptions and Catalog'!$E$63+'Assumptions and Catalog'!$F$63,IF(L587&lt;='Assumptions and Catalog'!$C$64,L587*'Assumptions and Catalog'!$H$64+'Assumptions and Catalog'!$E$64+'Assumptions and Catalog'!$F$64,IF(L587&lt;='Assumptions and Catalog'!$C$65,L587*'Assumptions and Catalog'!$H$65+'Assumptions and Catalog'!$E$65+'Assumptions and Catalog'!$F$65,"Out of range")))))))))*(1+'Assumptions and Catalog'!$C$8)^(A587-1),0)</f>
        <v>8279</v>
      </c>
      <c r="O587" s="5">
        <f t="shared" si="43"/>
        <v>0</v>
      </c>
      <c r="P587" s="5">
        <f>D$55*(1-K$14)*(1-'Assumptions and Catalog'!$C$23)^R587</f>
        <v>0</v>
      </c>
      <c r="Q587" s="5">
        <f>IF(ISNUMBER(Inputs!$L$5),(IF(Inputs!$L$9="Actual flat rate",((D587+E587)*C587-G587)*Inputs!$L$10,IF(Inputs!$C$9="Residential",IF(((D587+E587)*C587-G587)&lt;='Assumptions and Catalog'!$C$50,((D587+E587)*C587-G587)*'Assumptions and Catalog'!$H$50+'Assumptions and Catalog'!$E$50+'Assumptions and Catalog'!$F$50,IF(((D587+E587)*C587-G587)&lt;='Assumptions and Catalog'!$C$51,((D587+E587)*C587-G587)*'Assumptions and Catalog'!$H$51+'Assumptions and Catalog'!$E$51+'Assumptions and Catalog'!$F$51,IF(((D587+E587)*C587-G587)&lt;='Assumptions and Catalog'!$C$52,((D587+E587)*C587-G587)*'Assumptions and Catalog'!$H$52+'Assumptions and Catalog'!$E$52+'Assumptions and Catalog'!$F$52,IF(((D587+E587)*C587-G587)&lt;='Assumptions and Catalog'!$C$53,((D587+E587)*C587-G587)*'Assumptions and Catalog'!$H$53+'Assumptions and Catalog'!$E$53+'Assumptions and Catalog'!$F$53,IF(((D587+E587)*C587-G587)&lt;='Assumptions and Catalog'!$C$54,((D587+E587)*C587-G587)*'Assumptions and Catalog'!$H$54+'Assumptions and Catalog'!$E$54+'Assumptions and Catalog'!$F$54,IF(((D587+E587)*C587-G587)&lt;='Assumptions and Catalog'!$C$55,((D587+E587)*C587-G587)*'Assumptions and Catalog'!$H$55+'Assumptions and Catalog'!$E$55+'Assumptions and Catalog'!$F$55,IF(((D587+E587)*C587-G587)&lt;='Assumptions and Catalog'!$C$56,((D587+E587)*C587-G587)*'Assumptions and Catalog'!$H$56+'Assumptions and Catalog'!$E$56+'Assumptions and Catalog'!$F$56,IF(((D587+E587)*C587-G587)&lt;='Assumptions and Catalog'!$C$57,((D587+E587)*C587-G587)*'Assumptions and Catalog'!$H$57+'Assumptions and Catalog'!$E$57+'Assumptions and Catalog'!$F$57,"Out of range")))))))),IF(((D587+E587)*C587-G587)&lt;='Assumptions and Catalog'!$C$60,((D587+E587)*C587-G587)*'Assumptions and Catalog'!$H$60+'Assumptions and Catalog'!$E$60+'Assumptions and Catalog'!$F$60,IF(((D587+E587)*C587-G587)&lt;='Assumptions and Catalog'!$C$61,((D587+E587)*C587-G587)*'Assumptions and Catalog'!$H$61+'Assumptions and Catalog'!$E$61+'Assumptions and Catalog'!$F$61,IF(((D587+E587)*C587-G587)&lt;='Assumptions and Catalog'!$C$62,((D587+E587)*C587-G587)*'Assumptions and Catalog'!$H$62+'Assumptions and Catalog'!$E$62+'Assumptions and Catalog'!$F$62,IF(((D587+E587)*C587-G587)&lt;='Assumptions and Catalog'!$C$63,((D587+E587)*C587-G587)*'Assumptions and Catalog'!$H$63+'Assumptions and Catalog'!$E$63+'Assumptions and Catalog'!$F$63,IF(((D587+E587)*C587-G587)&lt;='Assumptions and Catalog'!$C$64,((D587+E587)*C587-G587)*'Assumptions and Catalog'!$H$64+'Assumptions and Catalog'!$E$64+'Assumptions and Catalog'!$F$64,IF(((D587+E587)*C587-G587)&lt;='Assumptions and Catalog'!$C$65,((D587+E587)*C587-G587)*'Assumptions and Catalog'!$H$65+'Assumptions and Catalog'!$E$65+'Assumptions and Catalog'!$F$65,"Out of range")))))))))*(1+'Assumptions and Catalog'!$C$8)^(A587-1),0)</f>
        <v>8279</v>
      </c>
      <c r="R587" s="5">
        <f>IF(AND('Assumptions and Catalog'!$C$19&gt;0,A587&gt;='Assumptions and Catalog'!$C$19),A587-'Assumptions and Catalog'!$C$19,A587-1)</f>
        <v>4</v>
      </c>
      <c r="S587" s="5">
        <f>F587+L587-(D587+E587)*C587-J587-K587-IF(D$52&gt;0,'Assumptions and Catalog'!$C$26*C587,0)</f>
        <v>0</v>
      </c>
      <c r="T587" s="5"/>
      <c r="U587" s="5"/>
    </row>
    <row r="588" spans="1:21" ht="23.1" customHeight="1" outlineLevel="1" x14ac:dyDescent="0.2">
      <c r="A588" s="5">
        <v>15</v>
      </c>
      <c r="B588" s="5">
        <v>10</v>
      </c>
      <c r="C588" s="5">
        <f>DAY(DATE('Assumptions and Catalog'!$C$24+A588-1,B588+1,0))</f>
        <v>31</v>
      </c>
      <c r="D588" s="5">
        <f>IF(ISNUMBER(Inputs!$L$5),Inputs!$L$5*Inputs!$L$6,0)</f>
        <v>40.35</v>
      </c>
      <c r="E588" s="5">
        <f>IF(ISNUMBER(Inputs!$L$5),Inputs!$L$5-D588,0)</f>
        <v>40.35</v>
      </c>
      <c r="F588" s="5">
        <f>D$51*'Assumptions and Catalog'!$C$31*C588*(1-'Assumptions and Catalog'!$C$10)^(A588-1)</f>
        <v>0</v>
      </c>
      <c r="G588" s="5">
        <f t="shared" si="40"/>
        <v>0</v>
      </c>
      <c r="H588" s="5">
        <f>I588/('Assumptions and Catalog'!$C$11*'Assumptions and Catalog'!$C$12)</f>
        <v>0</v>
      </c>
      <c r="I588" s="5">
        <f>IF(K$15="Grid cycle",MIN(K$16,D588+E588,P588*'Assumptions and Catalog'!$C$12,D$57*(24-'Assumptions and Catalog'!$C$15),D$56*'Assumptions and Catalog'!$C$15*'Assumptions and Catalog'!$C$11*'Assumptions and Catalog'!$C$12)*C588,0)</f>
        <v>0</v>
      </c>
      <c r="J588" s="5">
        <f t="shared" si="41"/>
        <v>0</v>
      </c>
      <c r="K588" s="5">
        <f t="shared" si="42"/>
        <v>0</v>
      </c>
      <c r="L588" s="5">
        <f>(D588+E588)*C588-G588-I588+H588+IF(D$52&gt;0,'Assumptions and Catalog'!$C$26*C588,0)</f>
        <v>2501.7000000000003</v>
      </c>
      <c r="M588" s="5">
        <f>IF(ISNUMBER(Inputs!$L$5),(IF(Inputs!$L$9="Actual flat rate",((D588+E588)*C588)*Inputs!$L$10,IF(Inputs!$C$9="Residential",IF(((D588+E588)*C588)&lt;='Assumptions and Catalog'!$C$50,((D588+E588)*C588)*'Assumptions and Catalog'!$H$50+'Assumptions and Catalog'!$E$50+'Assumptions and Catalog'!$F$50,IF(((D588+E588)*C588)&lt;='Assumptions and Catalog'!$C$51,((D588+E588)*C588)*'Assumptions and Catalog'!$H$51+'Assumptions and Catalog'!$E$51+'Assumptions and Catalog'!$F$51,IF(((D588+E588)*C588)&lt;='Assumptions and Catalog'!$C$52,((D588+E588)*C588)*'Assumptions and Catalog'!$H$52+'Assumptions and Catalog'!$E$52+'Assumptions and Catalog'!$F$52,IF(((D588+E588)*C588)&lt;='Assumptions and Catalog'!$C$53,((D588+E588)*C588)*'Assumptions and Catalog'!$H$53+'Assumptions and Catalog'!$E$53+'Assumptions and Catalog'!$F$53,IF(((D588+E588)*C588)&lt;='Assumptions and Catalog'!$C$54,((D588+E588)*C588)*'Assumptions and Catalog'!$H$54+'Assumptions and Catalog'!$E$54+'Assumptions and Catalog'!$F$54,IF(((D588+E588)*C588)&lt;='Assumptions and Catalog'!$C$55,((D588+E588)*C588)*'Assumptions and Catalog'!$H$55+'Assumptions and Catalog'!$E$55+'Assumptions and Catalog'!$F$55,IF(((D588+E588)*C588)&lt;='Assumptions and Catalog'!$C$56,((D588+E588)*C588)*'Assumptions and Catalog'!$H$56+'Assumptions and Catalog'!$E$56+'Assumptions and Catalog'!$F$56,IF(((D588+E588)*C588)&lt;='Assumptions and Catalog'!$C$57,((D588+E588)*C588)*'Assumptions and Catalog'!$H$57+'Assumptions and Catalog'!$E$57+'Assumptions and Catalog'!$F$57,"Out of range")))))))),IF(((D588+E588)*C588)&lt;='Assumptions and Catalog'!$C$60,((D588+E588)*C588)*'Assumptions and Catalog'!$H$60+'Assumptions and Catalog'!$E$60+'Assumptions and Catalog'!$F$60,IF(((D588+E588)*C588)&lt;='Assumptions and Catalog'!$C$61,((D588+E588)*C588)*'Assumptions and Catalog'!$H$61+'Assumptions and Catalog'!$E$61+'Assumptions and Catalog'!$F$61,IF(((D588+E588)*C588)&lt;='Assumptions and Catalog'!$C$62,((D588+E588)*C588)*'Assumptions and Catalog'!$H$62+'Assumptions and Catalog'!$E$62+'Assumptions and Catalog'!$F$62,IF(((D588+E588)*C588)&lt;='Assumptions and Catalog'!$C$63,((D588+E588)*C588)*'Assumptions and Catalog'!$H$63+'Assumptions and Catalog'!$E$63+'Assumptions and Catalog'!$F$63,IF(((D588+E588)*C588)&lt;='Assumptions and Catalog'!$C$64,((D588+E588)*C588)*'Assumptions and Catalog'!$H$64+'Assumptions and Catalog'!$E$64+'Assumptions and Catalog'!$F$64,IF(((D588+E588)*C588)&lt;='Assumptions and Catalog'!$C$65,((D588+E588)*C588)*'Assumptions and Catalog'!$H$65+'Assumptions and Catalog'!$E$65+'Assumptions and Catalog'!$F$65,"Out of range")))))))))*(1+'Assumptions and Catalog'!$C$8)^(A588-1),0)</f>
        <v>8554.9666666666672</v>
      </c>
      <c r="N588" s="5">
        <f>IF(ISNUMBER(Inputs!$L$5),(IF(Inputs!$L$9="Actual flat rate",L588*Inputs!$L$10,IF(Inputs!$C$9="Residential",IF(L588&lt;='Assumptions and Catalog'!$C$50,L588*'Assumptions and Catalog'!$H$50+'Assumptions and Catalog'!$E$50+'Assumptions and Catalog'!$F$50,IF(L588&lt;='Assumptions and Catalog'!$C$51,L588*'Assumptions and Catalog'!$H$51+'Assumptions and Catalog'!$E$51+'Assumptions and Catalog'!$F$51,IF(L588&lt;='Assumptions and Catalog'!$C$52,L588*'Assumptions and Catalog'!$H$52+'Assumptions and Catalog'!$E$52+'Assumptions and Catalog'!$F$52,IF(L588&lt;='Assumptions and Catalog'!$C$53,L588*'Assumptions and Catalog'!$H$53+'Assumptions and Catalog'!$E$53+'Assumptions and Catalog'!$F$53,IF(L588&lt;='Assumptions and Catalog'!$C$54,L588*'Assumptions and Catalog'!$H$54+'Assumptions and Catalog'!$E$54+'Assumptions and Catalog'!$F$54,IF(L588&lt;='Assumptions and Catalog'!$C$55,L588*'Assumptions and Catalog'!$H$55+'Assumptions and Catalog'!$E$55+'Assumptions and Catalog'!$F$55,IF(L588&lt;='Assumptions and Catalog'!$C$56,L588*'Assumptions and Catalog'!$H$56+'Assumptions and Catalog'!$E$56+'Assumptions and Catalog'!$F$56,IF(L588&lt;='Assumptions and Catalog'!$C$57,L588*'Assumptions and Catalog'!$H$57+'Assumptions and Catalog'!$E$57+'Assumptions and Catalog'!$F$57,"Out of range")))))))),IF(L588&lt;='Assumptions and Catalog'!$C$60,L588*'Assumptions and Catalog'!$H$60+'Assumptions and Catalog'!$E$60+'Assumptions and Catalog'!$F$60,IF(L588&lt;='Assumptions and Catalog'!$C$61,L588*'Assumptions and Catalog'!$H$61+'Assumptions and Catalog'!$E$61+'Assumptions and Catalog'!$F$61,IF(L588&lt;='Assumptions and Catalog'!$C$62,L588*'Assumptions and Catalog'!$H$62+'Assumptions and Catalog'!$E$62+'Assumptions and Catalog'!$F$62,IF(L588&lt;='Assumptions and Catalog'!$C$63,L588*'Assumptions and Catalog'!$H$63+'Assumptions and Catalog'!$E$63+'Assumptions and Catalog'!$F$63,IF(L588&lt;='Assumptions and Catalog'!$C$64,L588*'Assumptions and Catalog'!$H$64+'Assumptions and Catalog'!$E$64+'Assumptions and Catalog'!$F$64,IF(L588&lt;='Assumptions and Catalog'!$C$65,L588*'Assumptions and Catalog'!$H$65+'Assumptions and Catalog'!$E$65+'Assumptions and Catalog'!$F$65,"Out of range")))))))))*(1+'Assumptions and Catalog'!$C$8)^(A588-1),0)</f>
        <v>8554.9666666666672</v>
      </c>
      <c r="O588" s="5">
        <f t="shared" si="43"/>
        <v>0</v>
      </c>
      <c r="P588" s="5">
        <f>D$55*(1-K$14)*(1-'Assumptions and Catalog'!$C$23)^R588</f>
        <v>0</v>
      </c>
      <c r="Q588" s="5">
        <f>IF(ISNUMBER(Inputs!$L$5),(IF(Inputs!$L$9="Actual flat rate",((D588+E588)*C588-G588)*Inputs!$L$10,IF(Inputs!$C$9="Residential",IF(((D588+E588)*C588-G588)&lt;='Assumptions and Catalog'!$C$50,((D588+E588)*C588-G588)*'Assumptions and Catalog'!$H$50+'Assumptions and Catalog'!$E$50+'Assumptions and Catalog'!$F$50,IF(((D588+E588)*C588-G588)&lt;='Assumptions and Catalog'!$C$51,((D588+E588)*C588-G588)*'Assumptions and Catalog'!$H$51+'Assumptions and Catalog'!$E$51+'Assumptions and Catalog'!$F$51,IF(((D588+E588)*C588-G588)&lt;='Assumptions and Catalog'!$C$52,((D588+E588)*C588-G588)*'Assumptions and Catalog'!$H$52+'Assumptions and Catalog'!$E$52+'Assumptions and Catalog'!$F$52,IF(((D588+E588)*C588-G588)&lt;='Assumptions and Catalog'!$C$53,((D588+E588)*C588-G588)*'Assumptions and Catalog'!$H$53+'Assumptions and Catalog'!$E$53+'Assumptions and Catalog'!$F$53,IF(((D588+E588)*C588-G588)&lt;='Assumptions and Catalog'!$C$54,((D588+E588)*C588-G588)*'Assumptions and Catalog'!$H$54+'Assumptions and Catalog'!$E$54+'Assumptions and Catalog'!$F$54,IF(((D588+E588)*C588-G588)&lt;='Assumptions and Catalog'!$C$55,((D588+E588)*C588-G588)*'Assumptions and Catalog'!$H$55+'Assumptions and Catalog'!$E$55+'Assumptions and Catalog'!$F$55,IF(((D588+E588)*C588-G588)&lt;='Assumptions and Catalog'!$C$56,((D588+E588)*C588-G588)*'Assumptions and Catalog'!$H$56+'Assumptions and Catalog'!$E$56+'Assumptions and Catalog'!$F$56,IF(((D588+E588)*C588-G588)&lt;='Assumptions and Catalog'!$C$57,((D588+E588)*C588-G588)*'Assumptions and Catalog'!$H$57+'Assumptions and Catalog'!$E$57+'Assumptions and Catalog'!$F$57,"Out of range")))))))),IF(((D588+E588)*C588-G588)&lt;='Assumptions and Catalog'!$C$60,((D588+E588)*C588-G588)*'Assumptions and Catalog'!$H$60+'Assumptions and Catalog'!$E$60+'Assumptions and Catalog'!$F$60,IF(((D588+E588)*C588-G588)&lt;='Assumptions and Catalog'!$C$61,((D588+E588)*C588-G588)*'Assumptions and Catalog'!$H$61+'Assumptions and Catalog'!$E$61+'Assumptions and Catalog'!$F$61,IF(((D588+E588)*C588-G588)&lt;='Assumptions and Catalog'!$C$62,((D588+E588)*C588-G588)*'Assumptions and Catalog'!$H$62+'Assumptions and Catalog'!$E$62+'Assumptions and Catalog'!$F$62,IF(((D588+E588)*C588-G588)&lt;='Assumptions and Catalog'!$C$63,((D588+E588)*C588-G588)*'Assumptions and Catalog'!$H$63+'Assumptions and Catalog'!$E$63+'Assumptions and Catalog'!$F$63,IF(((D588+E588)*C588-G588)&lt;='Assumptions and Catalog'!$C$64,((D588+E588)*C588-G588)*'Assumptions and Catalog'!$H$64+'Assumptions and Catalog'!$E$64+'Assumptions and Catalog'!$F$64,IF(((D588+E588)*C588-G588)&lt;='Assumptions and Catalog'!$C$65,((D588+E588)*C588-G588)*'Assumptions and Catalog'!$H$65+'Assumptions and Catalog'!$E$65+'Assumptions and Catalog'!$F$65,"Out of range")))))))))*(1+'Assumptions and Catalog'!$C$8)^(A588-1),0)</f>
        <v>8554.9666666666672</v>
      </c>
      <c r="R588" s="5">
        <f>IF(AND('Assumptions and Catalog'!$C$19&gt;0,A588&gt;='Assumptions and Catalog'!$C$19),A588-'Assumptions and Catalog'!$C$19,A588-1)</f>
        <v>4</v>
      </c>
      <c r="S588" s="5">
        <f>F588+L588-(D588+E588)*C588-J588-K588-IF(D$52&gt;0,'Assumptions and Catalog'!$C$26*C588,0)</f>
        <v>0</v>
      </c>
      <c r="T588" s="5"/>
      <c r="U588" s="5"/>
    </row>
    <row r="589" spans="1:21" ht="23.1" customHeight="1" outlineLevel="1" x14ac:dyDescent="0.2">
      <c r="A589" s="5">
        <v>15</v>
      </c>
      <c r="B589" s="5">
        <v>11</v>
      </c>
      <c r="C589" s="5">
        <f>DAY(DATE('Assumptions and Catalog'!$C$24+A589-1,B589+1,0))</f>
        <v>30</v>
      </c>
      <c r="D589" s="5">
        <f>IF(ISNUMBER(Inputs!$L$5),Inputs!$L$5*Inputs!$L$6,0)</f>
        <v>40.35</v>
      </c>
      <c r="E589" s="5">
        <f>IF(ISNUMBER(Inputs!$L$5),Inputs!$L$5-D589,0)</f>
        <v>40.35</v>
      </c>
      <c r="F589" s="5">
        <f>D$51*'Assumptions and Catalog'!$C$31*C589*(1-'Assumptions and Catalog'!$C$10)^(A589-1)</f>
        <v>0</v>
      </c>
      <c r="G589" s="5">
        <f t="shared" si="40"/>
        <v>0</v>
      </c>
      <c r="H589" s="5">
        <f>I589/('Assumptions and Catalog'!$C$11*'Assumptions and Catalog'!$C$12)</f>
        <v>0</v>
      </c>
      <c r="I589" s="5">
        <f>IF(K$15="Grid cycle",MIN(K$16,D589+E589,P589*'Assumptions and Catalog'!$C$12,D$57*(24-'Assumptions and Catalog'!$C$15),D$56*'Assumptions and Catalog'!$C$15*'Assumptions and Catalog'!$C$11*'Assumptions and Catalog'!$C$12)*C589,0)</f>
        <v>0</v>
      </c>
      <c r="J589" s="5">
        <f t="shared" si="41"/>
        <v>0</v>
      </c>
      <c r="K589" s="5">
        <f t="shared" si="42"/>
        <v>0</v>
      </c>
      <c r="L589" s="5">
        <f>(D589+E589)*C589-G589-I589+H589+IF(D$52&gt;0,'Assumptions and Catalog'!$C$26*C589,0)</f>
        <v>2421</v>
      </c>
      <c r="M589" s="5">
        <f>IF(ISNUMBER(Inputs!$L$5),(IF(Inputs!$L$9="Actual flat rate",((D589+E589)*C589)*Inputs!$L$10,IF(Inputs!$C$9="Residential",IF(((D589+E589)*C589)&lt;='Assumptions and Catalog'!$C$50,((D589+E589)*C589)*'Assumptions and Catalog'!$H$50+'Assumptions and Catalog'!$E$50+'Assumptions and Catalog'!$F$50,IF(((D589+E589)*C589)&lt;='Assumptions and Catalog'!$C$51,((D589+E589)*C589)*'Assumptions and Catalog'!$H$51+'Assumptions and Catalog'!$E$51+'Assumptions and Catalog'!$F$51,IF(((D589+E589)*C589)&lt;='Assumptions and Catalog'!$C$52,((D589+E589)*C589)*'Assumptions and Catalog'!$H$52+'Assumptions and Catalog'!$E$52+'Assumptions and Catalog'!$F$52,IF(((D589+E589)*C589)&lt;='Assumptions and Catalog'!$C$53,((D589+E589)*C589)*'Assumptions and Catalog'!$H$53+'Assumptions and Catalog'!$E$53+'Assumptions and Catalog'!$F$53,IF(((D589+E589)*C589)&lt;='Assumptions and Catalog'!$C$54,((D589+E589)*C589)*'Assumptions and Catalog'!$H$54+'Assumptions and Catalog'!$E$54+'Assumptions and Catalog'!$F$54,IF(((D589+E589)*C589)&lt;='Assumptions and Catalog'!$C$55,((D589+E589)*C589)*'Assumptions and Catalog'!$H$55+'Assumptions and Catalog'!$E$55+'Assumptions and Catalog'!$F$55,IF(((D589+E589)*C589)&lt;='Assumptions and Catalog'!$C$56,((D589+E589)*C589)*'Assumptions and Catalog'!$H$56+'Assumptions and Catalog'!$E$56+'Assumptions and Catalog'!$F$56,IF(((D589+E589)*C589)&lt;='Assumptions and Catalog'!$C$57,((D589+E589)*C589)*'Assumptions and Catalog'!$H$57+'Assumptions and Catalog'!$E$57+'Assumptions and Catalog'!$F$57,"Out of range")))))))),IF(((D589+E589)*C589)&lt;='Assumptions and Catalog'!$C$60,((D589+E589)*C589)*'Assumptions and Catalog'!$H$60+'Assumptions and Catalog'!$E$60+'Assumptions and Catalog'!$F$60,IF(((D589+E589)*C589)&lt;='Assumptions and Catalog'!$C$61,((D589+E589)*C589)*'Assumptions and Catalog'!$H$61+'Assumptions and Catalog'!$E$61+'Assumptions and Catalog'!$F$61,IF(((D589+E589)*C589)&lt;='Assumptions and Catalog'!$C$62,((D589+E589)*C589)*'Assumptions and Catalog'!$H$62+'Assumptions and Catalog'!$E$62+'Assumptions and Catalog'!$F$62,IF(((D589+E589)*C589)&lt;='Assumptions and Catalog'!$C$63,((D589+E589)*C589)*'Assumptions and Catalog'!$H$63+'Assumptions and Catalog'!$E$63+'Assumptions and Catalog'!$F$63,IF(((D589+E589)*C589)&lt;='Assumptions and Catalog'!$C$64,((D589+E589)*C589)*'Assumptions and Catalog'!$H$64+'Assumptions and Catalog'!$E$64+'Assumptions and Catalog'!$F$64,IF(((D589+E589)*C589)&lt;='Assumptions and Catalog'!$C$65,((D589+E589)*C589)*'Assumptions and Catalog'!$H$65+'Assumptions and Catalog'!$E$65+'Assumptions and Catalog'!$F$65,"Out of range")))))))))*(1+'Assumptions and Catalog'!$C$8)^(A589-1),0)</f>
        <v>8279</v>
      </c>
      <c r="N589" s="5">
        <f>IF(ISNUMBER(Inputs!$L$5),(IF(Inputs!$L$9="Actual flat rate",L589*Inputs!$L$10,IF(Inputs!$C$9="Residential",IF(L589&lt;='Assumptions and Catalog'!$C$50,L589*'Assumptions and Catalog'!$H$50+'Assumptions and Catalog'!$E$50+'Assumptions and Catalog'!$F$50,IF(L589&lt;='Assumptions and Catalog'!$C$51,L589*'Assumptions and Catalog'!$H$51+'Assumptions and Catalog'!$E$51+'Assumptions and Catalog'!$F$51,IF(L589&lt;='Assumptions and Catalog'!$C$52,L589*'Assumptions and Catalog'!$H$52+'Assumptions and Catalog'!$E$52+'Assumptions and Catalog'!$F$52,IF(L589&lt;='Assumptions and Catalog'!$C$53,L589*'Assumptions and Catalog'!$H$53+'Assumptions and Catalog'!$E$53+'Assumptions and Catalog'!$F$53,IF(L589&lt;='Assumptions and Catalog'!$C$54,L589*'Assumptions and Catalog'!$H$54+'Assumptions and Catalog'!$E$54+'Assumptions and Catalog'!$F$54,IF(L589&lt;='Assumptions and Catalog'!$C$55,L589*'Assumptions and Catalog'!$H$55+'Assumptions and Catalog'!$E$55+'Assumptions and Catalog'!$F$55,IF(L589&lt;='Assumptions and Catalog'!$C$56,L589*'Assumptions and Catalog'!$H$56+'Assumptions and Catalog'!$E$56+'Assumptions and Catalog'!$F$56,IF(L589&lt;='Assumptions and Catalog'!$C$57,L589*'Assumptions and Catalog'!$H$57+'Assumptions and Catalog'!$E$57+'Assumptions and Catalog'!$F$57,"Out of range")))))))),IF(L589&lt;='Assumptions and Catalog'!$C$60,L589*'Assumptions and Catalog'!$H$60+'Assumptions and Catalog'!$E$60+'Assumptions and Catalog'!$F$60,IF(L589&lt;='Assumptions and Catalog'!$C$61,L589*'Assumptions and Catalog'!$H$61+'Assumptions and Catalog'!$E$61+'Assumptions and Catalog'!$F$61,IF(L589&lt;='Assumptions and Catalog'!$C$62,L589*'Assumptions and Catalog'!$H$62+'Assumptions and Catalog'!$E$62+'Assumptions and Catalog'!$F$62,IF(L589&lt;='Assumptions and Catalog'!$C$63,L589*'Assumptions and Catalog'!$H$63+'Assumptions and Catalog'!$E$63+'Assumptions and Catalog'!$F$63,IF(L589&lt;='Assumptions and Catalog'!$C$64,L589*'Assumptions and Catalog'!$H$64+'Assumptions and Catalog'!$E$64+'Assumptions and Catalog'!$F$64,IF(L589&lt;='Assumptions and Catalog'!$C$65,L589*'Assumptions and Catalog'!$H$65+'Assumptions and Catalog'!$E$65+'Assumptions and Catalog'!$F$65,"Out of range")))))))))*(1+'Assumptions and Catalog'!$C$8)^(A589-1),0)</f>
        <v>8279</v>
      </c>
      <c r="O589" s="5">
        <f t="shared" si="43"/>
        <v>0</v>
      </c>
      <c r="P589" s="5">
        <f>D$55*(1-K$14)*(1-'Assumptions and Catalog'!$C$23)^R589</f>
        <v>0</v>
      </c>
      <c r="Q589" s="5">
        <f>IF(ISNUMBER(Inputs!$L$5),(IF(Inputs!$L$9="Actual flat rate",((D589+E589)*C589-G589)*Inputs!$L$10,IF(Inputs!$C$9="Residential",IF(((D589+E589)*C589-G589)&lt;='Assumptions and Catalog'!$C$50,((D589+E589)*C589-G589)*'Assumptions and Catalog'!$H$50+'Assumptions and Catalog'!$E$50+'Assumptions and Catalog'!$F$50,IF(((D589+E589)*C589-G589)&lt;='Assumptions and Catalog'!$C$51,((D589+E589)*C589-G589)*'Assumptions and Catalog'!$H$51+'Assumptions and Catalog'!$E$51+'Assumptions and Catalog'!$F$51,IF(((D589+E589)*C589-G589)&lt;='Assumptions and Catalog'!$C$52,((D589+E589)*C589-G589)*'Assumptions and Catalog'!$H$52+'Assumptions and Catalog'!$E$52+'Assumptions and Catalog'!$F$52,IF(((D589+E589)*C589-G589)&lt;='Assumptions and Catalog'!$C$53,((D589+E589)*C589-G589)*'Assumptions and Catalog'!$H$53+'Assumptions and Catalog'!$E$53+'Assumptions and Catalog'!$F$53,IF(((D589+E589)*C589-G589)&lt;='Assumptions and Catalog'!$C$54,((D589+E589)*C589-G589)*'Assumptions and Catalog'!$H$54+'Assumptions and Catalog'!$E$54+'Assumptions and Catalog'!$F$54,IF(((D589+E589)*C589-G589)&lt;='Assumptions and Catalog'!$C$55,((D589+E589)*C589-G589)*'Assumptions and Catalog'!$H$55+'Assumptions and Catalog'!$E$55+'Assumptions and Catalog'!$F$55,IF(((D589+E589)*C589-G589)&lt;='Assumptions and Catalog'!$C$56,((D589+E589)*C589-G589)*'Assumptions and Catalog'!$H$56+'Assumptions and Catalog'!$E$56+'Assumptions and Catalog'!$F$56,IF(((D589+E589)*C589-G589)&lt;='Assumptions and Catalog'!$C$57,((D589+E589)*C589-G589)*'Assumptions and Catalog'!$H$57+'Assumptions and Catalog'!$E$57+'Assumptions and Catalog'!$F$57,"Out of range")))))))),IF(((D589+E589)*C589-G589)&lt;='Assumptions and Catalog'!$C$60,((D589+E589)*C589-G589)*'Assumptions and Catalog'!$H$60+'Assumptions and Catalog'!$E$60+'Assumptions and Catalog'!$F$60,IF(((D589+E589)*C589-G589)&lt;='Assumptions and Catalog'!$C$61,((D589+E589)*C589-G589)*'Assumptions and Catalog'!$H$61+'Assumptions and Catalog'!$E$61+'Assumptions and Catalog'!$F$61,IF(((D589+E589)*C589-G589)&lt;='Assumptions and Catalog'!$C$62,((D589+E589)*C589-G589)*'Assumptions and Catalog'!$H$62+'Assumptions and Catalog'!$E$62+'Assumptions and Catalog'!$F$62,IF(((D589+E589)*C589-G589)&lt;='Assumptions and Catalog'!$C$63,((D589+E589)*C589-G589)*'Assumptions and Catalog'!$H$63+'Assumptions and Catalog'!$E$63+'Assumptions and Catalog'!$F$63,IF(((D589+E589)*C589-G589)&lt;='Assumptions and Catalog'!$C$64,((D589+E589)*C589-G589)*'Assumptions and Catalog'!$H$64+'Assumptions and Catalog'!$E$64+'Assumptions and Catalog'!$F$64,IF(((D589+E589)*C589-G589)&lt;='Assumptions and Catalog'!$C$65,((D589+E589)*C589-G589)*'Assumptions and Catalog'!$H$65+'Assumptions and Catalog'!$E$65+'Assumptions and Catalog'!$F$65,"Out of range")))))))))*(1+'Assumptions and Catalog'!$C$8)^(A589-1),0)</f>
        <v>8279</v>
      </c>
      <c r="R589" s="5">
        <f>IF(AND('Assumptions and Catalog'!$C$19&gt;0,A589&gt;='Assumptions and Catalog'!$C$19),A589-'Assumptions and Catalog'!$C$19,A589-1)</f>
        <v>4</v>
      </c>
      <c r="S589" s="5">
        <f>F589+L589-(D589+E589)*C589-J589-K589-IF(D$52&gt;0,'Assumptions and Catalog'!$C$26*C589,0)</f>
        <v>0</v>
      </c>
      <c r="T589" s="5"/>
      <c r="U589" s="5"/>
    </row>
    <row r="590" spans="1:21" ht="23.1" customHeight="1" outlineLevel="1" x14ac:dyDescent="0.2">
      <c r="A590" s="5">
        <v>15</v>
      </c>
      <c r="B590" s="5">
        <v>12</v>
      </c>
      <c r="C590" s="5">
        <f>DAY(DATE('Assumptions and Catalog'!$C$24+A590-1,B590+1,0))</f>
        <v>31</v>
      </c>
      <c r="D590" s="5">
        <f>IF(ISNUMBER(Inputs!$L$5),Inputs!$L$5*Inputs!$L$6,0)</f>
        <v>40.35</v>
      </c>
      <c r="E590" s="5">
        <f>IF(ISNUMBER(Inputs!$L$5),Inputs!$L$5-D590,0)</f>
        <v>40.35</v>
      </c>
      <c r="F590" s="5">
        <f>D$51*'Assumptions and Catalog'!$C$31*C590*(1-'Assumptions and Catalog'!$C$10)^(A590-1)</f>
        <v>0</v>
      </c>
      <c r="G590" s="5">
        <f t="shared" si="40"/>
        <v>0</v>
      </c>
      <c r="H590" s="5">
        <f>I590/('Assumptions and Catalog'!$C$11*'Assumptions and Catalog'!$C$12)</f>
        <v>0</v>
      </c>
      <c r="I590" s="5">
        <f>IF(K$15="Grid cycle",MIN(K$16,D590+E590,P590*'Assumptions and Catalog'!$C$12,D$57*(24-'Assumptions and Catalog'!$C$15),D$56*'Assumptions and Catalog'!$C$15*'Assumptions and Catalog'!$C$11*'Assumptions and Catalog'!$C$12)*C590,0)</f>
        <v>0</v>
      </c>
      <c r="J590" s="5">
        <f t="shared" si="41"/>
        <v>0</v>
      </c>
      <c r="K590" s="5">
        <f t="shared" si="42"/>
        <v>0</v>
      </c>
      <c r="L590" s="5">
        <f>(D590+E590)*C590-G590-I590+H590+IF(D$52&gt;0,'Assumptions and Catalog'!$C$26*C590,0)</f>
        <v>2501.7000000000003</v>
      </c>
      <c r="M590" s="5">
        <f>IF(ISNUMBER(Inputs!$L$5),(IF(Inputs!$L$9="Actual flat rate",((D590+E590)*C590)*Inputs!$L$10,IF(Inputs!$C$9="Residential",IF(((D590+E590)*C590)&lt;='Assumptions and Catalog'!$C$50,((D590+E590)*C590)*'Assumptions and Catalog'!$H$50+'Assumptions and Catalog'!$E$50+'Assumptions and Catalog'!$F$50,IF(((D590+E590)*C590)&lt;='Assumptions and Catalog'!$C$51,((D590+E590)*C590)*'Assumptions and Catalog'!$H$51+'Assumptions and Catalog'!$E$51+'Assumptions and Catalog'!$F$51,IF(((D590+E590)*C590)&lt;='Assumptions and Catalog'!$C$52,((D590+E590)*C590)*'Assumptions and Catalog'!$H$52+'Assumptions and Catalog'!$E$52+'Assumptions and Catalog'!$F$52,IF(((D590+E590)*C590)&lt;='Assumptions and Catalog'!$C$53,((D590+E590)*C590)*'Assumptions and Catalog'!$H$53+'Assumptions and Catalog'!$E$53+'Assumptions and Catalog'!$F$53,IF(((D590+E590)*C590)&lt;='Assumptions and Catalog'!$C$54,((D590+E590)*C590)*'Assumptions and Catalog'!$H$54+'Assumptions and Catalog'!$E$54+'Assumptions and Catalog'!$F$54,IF(((D590+E590)*C590)&lt;='Assumptions and Catalog'!$C$55,((D590+E590)*C590)*'Assumptions and Catalog'!$H$55+'Assumptions and Catalog'!$E$55+'Assumptions and Catalog'!$F$55,IF(((D590+E590)*C590)&lt;='Assumptions and Catalog'!$C$56,((D590+E590)*C590)*'Assumptions and Catalog'!$H$56+'Assumptions and Catalog'!$E$56+'Assumptions and Catalog'!$F$56,IF(((D590+E590)*C590)&lt;='Assumptions and Catalog'!$C$57,((D590+E590)*C590)*'Assumptions and Catalog'!$H$57+'Assumptions and Catalog'!$E$57+'Assumptions and Catalog'!$F$57,"Out of range")))))))),IF(((D590+E590)*C590)&lt;='Assumptions and Catalog'!$C$60,((D590+E590)*C590)*'Assumptions and Catalog'!$H$60+'Assumptions and Catalog'!$E$60+'Assumptions and Catalog'!$F$60,IF(((D590+E590)*C590)&lt;='Assumptions and Catalog'!$C$61,((D590+E590)*C590)*'Assumptions and Catalog'!$H$61+'Assumptions and Catalog'!$E$61+'Assumptions and Catalog'!$F$61,IF(((D590+E590)*C590)&lt;='Assumptions and Catalog'!$C$62,((D590+E590)*C590)*'Assumptions and Catalog'!$H$62+'Assumptions and Catalog'!$E$62+'Assumptions and Catalog'!$F$62,IF(((D590+E590)*C590)&lt;='Assumptions and Catalog'!$C$63,((D590+E590)*C590)*'Assumptions and Catalog'!$H$63+'Assumptions and Catalog'!$E$63+'Assumptions and Catalog'!$F$63,IF(((D590+E590)*C590)&lt;='Assumptions and Catalog'!$C$64,((D590+E590)*C590)*'Assumptions and Catalog'!$H$64+'Assumptions and Catalog'!$E$64+'Assumptions and Catalog'!$F$64,IF(((D590+E590)*C590)&lt;='Assumptions and Catalog'!$C$65,((D590+E590)*C590)*'Assumptions and Catalog'!$H$65+'Assumptions and Catalog'!$E$65+'Assumptions and Catalog'!$F$65,"Out of range")))))))))*(1+'Assumptions and Catalog'!$C$8)^(A590-1),0)</f>
        <v>8554.9666666666672</v>
      </c>
      <c r="N590" s="5">
        <f>IF(ISNUMBER(Inputs!$L$5),(IF(Inputs!$L$9="Actual flat rate",L590*Inputs!$L$10,IF(Inputs!$C$9="Residential",IF(L590&lt;='Assumptions and Catalog'!$C$50,L590*'Assumptions and Catalog'!$H$50+'Assumptions and Catalog'!$E$50+'Assumptions and Catalog'!$F$50,IF(L590&lt;='Assumptions and Catalog'!$C$51,L590*'Assumptions and Catalog'!$H$51+'Assumptions and Catalog'!$E$51+'Assumptions and Catalog'!$F$51,IF(L590&lt;='Assumptions and Catalog'!$C$52,L590*'Assumptions and Catalog'!$H$52+'Assumptions and Catalog'!$E$52+'Assumptions and Catalog'!$F$52,IF(L590&lt;='Assumptions and Catalog'!$C$53,L590*'Assumptions and Catalog'!$H$53+'Assumptions and Catalog'!$E$53+'Assumptions and Catalog'!$F$53,IF(L590&lt;='Assumptions and Catalog'!$C$54,L590*'Assumptions and Catalog'!$H$54+'Assumptions and Catalog'!$E$54+'Assumptions and Catalog'!$F$54,IF(L590&lt;='Assumptions and Catalog'!$C$55,L590*'Assumptions and Catalog'!$H$55+'Assumptions and Catalog'!$E$55+'Assumptions and Catalog'!$F$55,IF(L590&lt;='Assumptions and Catalog'!$C$56,L590*'Assumptions and Catalog'!$H$56+'Assumptions and Catalog'!$E$56+'Assumptions and Catalog'!$F$56,IF(L590&lt;='Assumptions and Catalog'!$C$57,L590*'Assumptions and Catalog'!$H$57+'Assumptions and Catalog'!$E$57+'Assumptions and Catalog'!$F$57,"Out of range")))))))),IF(L590&lt;='Assumptions and Catalog'!$C$60,L590*'Assumptions and Catalog'!$H$60+'Assumptions and Catalog'!$E$60+'Assumptions and Catalog'!$F$60,IF(L590&lt;='Assumptions and Catalog'!$C$61,L590*'Assumptions and Catalog'!$H$61+'Assumptions and Catalog'!$E$61+'Assumptions and Catalog'!$F$61,IF(L590&lt;='Assumptions and Catalog'!$C$62,L590*'Assumptions and Catalog'!$H$62+'Assumptions and Catalog'!$E$62+'Assumptions and Catalog'!$F$62,IF(L590&lt;='Assumptions and Catalog'!$C$63,L590*'Assumptions and Catalog'!$H$63+'Assumptions and Catalog'!$E$63+'Assumptions and Catalog'!$F$63,IF(L590&lt;='Assumptions and Catalog'!$C$64,L590*'Assumptions and Catalog'!$H$64+'Assumptions and Catalog'!$E$64+'Assumptions and Catalog'!$F$64,IF(L590&lt;='Assumptions and Catalog'!$C$65,L590*'Assumptions and Catalog'!$H$65+'Assumptions and Catalog'!$E$65+'Assumptions and Catalog'!$F$65,"Out of range")))))))))*(1+'Assumptions and Catalog'!$C$8)^(A590-1),0)</f>
        <v>8554.9666666666672</v>
      </c>
      <c r="O590" s="5">
        <f t="shared" si="43"/>
        <v>0</v>
      </c>
      <c r="P590" s="5">
        <f>D$55*(1-K$14)*(1-'Assumptions and Catalog'!$C$23)^R590</f>
        <v>0</v>
      </c>
      <c r="Q590" s="5">
        <f>IF(ISNUMBER(Inputs!$L$5),(IF(Inputs!$L$9="Actual flat rate",((D590+E590)*C590-G590)*Inputs!$L$10,IF(Inputs!$C$9="Residential",IF(((D590+E590)*C590-G590)&lt;='Assumptions and Catalog'!$C$50,((D590+E590)*C590-G590)*'Assumptions and Catalog'!$H$50+'Assumptions and Catalog'!$E$50+'Assumptions and Catalog'!$F$50,IF(((D590+E590)*C590-G590)&lt;='Assumptions and Catalog'!$C$51,((D590+E590)*C590-G590)*'Assumptions and Catalog'!$H$51+'Assumptions and Catalog'!$E$51+'Assumptions and Catalog'!$F$51,IF(((D590+E590)*C590-G590)&lt;='Assumptions and Catalog'!$C$52,((D590+E590)*C590-G590)*'Assumptions and Catalog'!$H$52+'Assumptions and Catalog'!$E$52+'Assumptions and Catalog'!$F$52,IF(((D590+E590)*C590-G590)&lt;='Assumptions and Catalog'!$C$53,((D590+E590)*C590-G590)*'Assumptions and Catalog'!$H$53+'Assumptions and Catalog'!$E$53+'Assumptions and Catalog'!$F$53,IF(((D590+E590)*C590-G590)&lt;='Assumptions and Catalog'!$C$54,((D590+E590)*C590-G590)*'Assumptions and Catalog'!$H$54+'Assumptions and Catalog'!$E$54+'Assumptions and Catalog'!$F$54,IF(((D590+E590)*C590-G590)&lt;='Assumptions and Catalog'!$C$55,((D590+E590)*C590-G590)*'Assumptions and Catalog'!$H$55+'Assumptions and Catalog'!$E$55+'Assumptions and Catalog'!$F$55,IF(((D590+E590)*C590-G590)&lt;='Assumptions and Catalog'!$C$56,((D590+E590)*C590-G590)*'Assumptions and Catalog'!$H$56+'Assumptions and Catalog'!$E$56+'Assumptions and Catalog'!$F$56,IF(((D590+E590)*C590-G590)&lt;='Assumptions and Catalog'!$C$57,((D590+E590)*C590-G590)*'Assumptions and Catalog'!$H$57+'Assumptions and Catalog'!$E$57+'Assumptions and Catalog'!$F$57,"Out of range")))))))),IF(((D590+E590)*C590-G590)&lt;='Assumptions and Catalog'!$C$60,((D590+E590)*C590-G590)*'Assumptions and Catalog'!$H$60+'Assumptions and Catalog'!$E$60+'Assumptions and Catalog'!$F$60,IF(((D590+E590)*C590-G590)&lt;='Assumptions and Catalog'!$C$61,((D590+E590)*C590-G590)*'Assumptions and Catalog'!$H$61+'Assumptions and Catalog'!$E$61+'Assumptions and Catalog'!$F$61,IF(((D590+E590)*C590-G590)&lt;='Assumptions and Catalog'!$C$62,((D590+E590)*C590-G590)*'Assumptions and Catalog'!$H$62+'Assumptions and Catalog'!$E$62+'Assumptions and Catalog'!$F$62,IF(((D590+E590)*C590-G590)&lt;='Assumptions and Catalog'!$C$63,((D590+E590)*C590-G590)*'Assumptions and Catalog'!$H$63+'Assumptions and Catalog'!$E$63+'Assumptions and Catalog'!$F$63,IF(((D590+E590)*C590-G590)&lt;='Assumptions and Catalog'!$C$64,((D590+E590)*C590-G590)*'Assumptions and Catalog'!$H$64+'Assumptions and Catalog'!$E$64+'Assumptions and Catalog'!$F$64,IF(((D590+E590)*C590-G590)&lt;='Assumptions and Catalog'!$C$65,((D590+E590)*C590-G590)*'Assumptions and Catalog'!$H$65+'Assumptions and Catalog'!$E$65+'Assumptions and Catalog'!$F$65,"Out of range")))))))))*(1+'Assumptions and Catalog'!$C$8)^(A590-1),0)</f>
        <v>8554.9666666666672</v>
      </c>
      <c r="R590" s="5">
        <f>IF(AND('Assumptions and Catalog'!$C$19&gt;0,A590&gt;='Assumptions and Catalog'!$C$19),A590-'Assumptions and Catalog'!$C$19,A590-1)</f>
        <v>4</v>
      </c>
      <c r="S590" s="5">
        <f>F590+L590-(D590+E590)*C590-J590-K590-IF(D$52&gt;0,'Assumptions and Catalog'!$C$26*C590,0)</f>
        <v>0</v>
      </c>
      <c r="T590" s="5"/>
      <c r="U590" s="5"/>
    </row>
    <row r="591" spans="1:21" ht="23.1" customHeight="1" outlineLevel="1" x14ac:dyDescent="0.2">
      <c r="A591" s="5">
        <v>16</v>
      </c>
      <c r="B591" s="5">
        <v>1</v>
      </c>
      <c r="C591" s="5">
        <f>DAY(DATE('Assumptions and Catalog'!$C$24+A591-1,B591+1,0))</f>
        <v>31</v>
      </c>
      <c r="D591" s="5">
        <f>IF(ISNUMBER(Inputs!$L$5),Inputs!$L$5*Inputs!$L$6,0)</f>
        <v>40.35</v>
      </c>
      <c r="E591" s="5">
        <f>IF(ISNUMBER(Inputs!$L$5),Inputs!$L$5-D591,0)</f>
        <v>40.35</v>
      </c>
      <c r="F591" s="5">
        <f>D$51*'Assumptions and Catalog'!$C$31*C591*(1-'Assumptions and Catalog'!$C$10)^(A591-1)</f>
        <v>0</v>
      </c>
      <c r="G591" s="5">
        <f t="shared" si="40"/>
        <v>0</v>
      </c>
      <c r="H591" s="5">
        <f>I591/('Assumptions and Catalog'!$C$11*'Assumptions and Catalog'!$C$12)</f>
        <v>0</v>
      </c>
      <c r="I591" s="5">
        <f>IF(K$15="Grid cycle",MIN(K$16,D591+E591,P591*'Assumptions and Catalog'!$C$12,D$57*(24-'Assumptions and Catalog'!$C$15),D$56*'Assumptions and Catalog'!$C$15*'Assumptions and Catalog'!$C$11*'Assumptions and Catalog'!$C$12)*C591,0)</f>
        <v>0</v>
      </c>
      <c r="J591" s="5">
        <f t="shared" si="41"/>
        <v>0</v>
      </c>
      <c r="K591" s="5">
        <f t="shared" si="42"/>
        <v>0</v>
      </c>
      <c r="L591" s="5">
        <f>(D591+E591)*C591-G591-I591+H591+IF(D$52&gt;0,'Assumptions and Catalog'!$C$26*C591,0)</f>
        <v>2501.7000000000003</v>
      </c>
      <c r="M591" s="5">
        <f>IF(ISNUMBER(Inputs!$L$5),(IF(Inputs!$L$9="Actual flat rate",((D591+E591)*C591)*Inputs!$L$10,IF(Inputs!$C$9="Residential",IF(((D591+E591)*C591)&lt;='Assumptions and Catalog'!$C$50,((D591+E591)*C591)*'Assumptions and Catalog'!$H$50+'Assumptions and Catalog'!$E$50+'Assumptions and Catalog'!$F$50,IF(((D591+E591)*C591)&lt;='Assumptions and Catalog'!$C$51,((D591+E591)*C591)*'Assumptions and Catalog'!$H$51+'Assumptions and Catalog'!$E$51+'Assumptions and Catalog'!$F$51,IF(((D591+E591)*C591)&lt;='Assumptions and Catalog'!$C$52,((D591+E591)*C591)*'Assumptions and Catalog'!$H$52+'Assumptions and Catalog'!$E$52+'Assumptions and Catalog'!$F$52,IF(((D591+E591)*C591)&lt;='Assumptions and Catalog'!$C$53,((D591+E591)*C591)*'Assumptions and Catalog'!$H$53+'Assumptions and Catalog'!$E$53+'Assumptions and Catalog'!$F$53,IF(((D591+E591)*C591)&lt;='Assumptions and Catalog'!$C$54,((D591+E591)*C591)*'Assumptions and Catalog'!$H$54+'Assumptions and Catalog'!$E$54+'Assumptions and Catalog'!$F$54,IF(((D591+E591)*C591)&lt;='Assumptions and Catalog'!$C$55,((D591+E591)*C591)*'Assumptions and Catalog'!$H$55+'Assumptions and Catalog'!$E$55+'Assumptions and Catalog'!$F$55,IF(((D591+E591)*C591)&lt;='Assumptions and Catalog'!$C$56,((D591+E591)*C591)*'Assumptions and Catalog'!$H$56+'Assumptions and Catalog'!$E$56+'Assumptions and Catalog'!$F$56,IF(((D591+E591)*C591)&lt;='Assumptions and Catalog'!$C$57,((D591+E591)*C591)*'Assumptions and Catalog'!$H$57+'Assumptions and Catalog'!$E$57+'Assumptions and Catalog'!$F$57,"Out of range")))))))),IF(((D591+E591)*C591)&lt;='Assumptions and Catalog'!$C$60,((D591+E591)*C591)*'Assumptions and Catalog'!$H$60+'Assumptions and Catalog'!$E$60+'Assumptions and Catalog'!$F$60,IF(((D591+E591)*C591)&lt;='Assumptions and Catalog'!$C$61,((D591+E591)*C591)*'Assumptions and Catalog'!$H$61+'Assumptions and Catalog'!$E$61+'Assumptions and Catalog'!$F$61,IF(((D591+E591)*C591)&lt;='Assumptions and Catalog'!$C$62,((D591+E591)*C591)*'Assumptions and Catalog'!$H$62+'Assumptions and Catalog'!$E$62+'Assumptions and Catalog'!$F$62,IF(((D591+E591)*C591)&lt;='Assumptions and Catalog'!$C$63,((D591+E591)*C591)*'Assumptions and Catalog'!$H$63+'Assumptions and Catalog'!$E$63+'Assumptions and Catalog'!$F$63,IF(((D591+E591)*C591)&lt;='Assumptions and Catalog'!$C$64,((D591+E591)*C591)*'Assumptions and Catalog'!$H$64+'Assumptions and Catalog'!$E$64+'Assumptions and Catalog'!$F$64,IF(((D591+E591)*C591)&lt;='Assumptions and Catalog'!$C$65,((D591+E591)*C591)*'Assumptions and Catalog'!$H$65+'Assumptions and Catalog'!$E$65+'Assumptions and Catalog'!$F$65,"Out of range")))))))))*(1+'Assumptions and Catalog'!$C$8)^(A591-1),0)</f>
        <v>8554.9666666666672</v>
      </c>
      <c r="N591" s="5">
        <f>IF(ISNUMBER(Inputs!$L$5),(IF(Inputs!$L$9="Actual flat rate",L591*Inputs!$L$10,IF(Inputs!$C$9="Residential",IF(L591&lt;='Assumptions and Catalog'!$C$50,L591*'Assumptions and Catalog'!$H$50+'Assumptions and Catalog'!$E$50+'Assumptions and Catalog'!$F$50,IF(L591&lt;='Assumptions and Catalog'!$C$51,L591*'Assumptions and Catalog'!$H$51+'Assumptions and Catalog'!$E$51+'Assumptions and Catalog'!$F$51,IF(L591&lt;='Assumptions and Catalog'!$C$52,L591*'Assumptions and Catalog'!$H$52+'Assumptions and Catalog'!$E$52+'Assumptions and Catalog'!$F$52,IF(L591&lt;='Assumptions and Catalog'!$C$53,L591*'Assumptions and Catalog'!$H$53+'Assumptions and Catalog'!$E$53+'Assumptions and Catalog'!$F$53,IF(L591&lt;='Assumptions and Catalog'!$C$54,L591*'Assumptions and Catalog'!$H$54+'Assumptions and Catalog'!$E$54+'Assumptions and Catalog'!$F$54,IF(L591&lt;='Assumptions and Catalog'!$C$55,L591*'Assumptions and Catalog'!$H$55+'Assumptions and Catalog'!$E$55+'Assumptions and Catalog'!$F$55,IF(L591&lt;='Assumptions and Catalog'!$C$56,L591*'Assumptions and Catalog'!$H$56+'Assumptions and Catalog'!$E$56+'Assumptions and Catalog'!$F$56,IF(L591&lt;='Assumptions and Catalog'!$C$57,L591*'Assumptions and Catalog'!$H$57+'Assumptions and Catalog'!$E$57+'Assumptions and Catalog'!$F$57,"Out of range")))))))),IF(L591&lt;='Assumptions and Catalog'!$C$60,L591*'Assumptions and Catalog'!$H$60+'Assumptions and Catalog'!$E$60+'Assumptions and Catalog'!$F$60,IF(L591&lt;='Assumptions and Catalog'!$C$61,L591*'Assumptions and Catalog'!$H$61+'Assumptions and Catalog'!$E$61+'Assumptions and Catalog'!$F$61,IF(L591&lt;='Assumptions and Catalog'!$C$62,L591*'Assumptions and Catalog'!$H$62+'Assumptions and Catalog'!$E$62+'Assumptions and Catalog'!$F$62,IF(L591&lt;='Assumptions and Catalog'!$C$63,L591*'Assumptions and Catalog'!$H$63+'Assumptions and Catalog'!$E$63+'Assumptions and Catalog'!$F$63,IF(L591&lt;='Assumptions and Catalog'!$C$64,L591*'Assumptions and Catalog'!$H$64+'Assumptions and Catalog'!$E$64+'Assumptions and Catalog'!$F$64,IF(L591&lt;='Assumptions and Catalog'!$C$65,L591*'Assumptions and Catalog'!$H$65+'Assumptions and Catalog'!$E$65+'Assumptions and Catalog'!$F$65,"Out of range")))))))))*(1+'Assumptions and Catalog'!$C$8)^(A591-1),0)</f>
        <v>8554.9666666666672</v>
      </c>
      <c r="O591" s="5">
        <f t="shared" si="43"/>
        <v>0</v>
      </c>
      <c r="P591" s="5">
        <f>D$55*(1-K$14)*(1-'Assumptions and Catalog'!$C$23)^R591</f>
        <v>0</v>
      </c>
      <c r="Q591" s="5">
        <f>IF(ISNUMBER(Inputs!$L$5),(IF(Inputs!$L$9="Actual flat rate",((D591+E591)*C591-G591)*Inputs!$L$10,IF(Inputs!$C$9="Residential",IF(((D591+E591)*C591-G591)&lt;='Assumptions and Catalog'!$C$50,((D591+E591)*C591-G591)*'Assumptions and Catalog'!$H$50+'Assumptions and Catalog'!$E$50+'Assumptions and Catalog'!$F$50,IF(((D591+E591)*C591-G591)&lt;='Assumptions and Catalog'!$C$51,((D591+E591)*C591-G591)*'Assumptions and Catalog'!$H$51+'Assumptions and Catalog'!$E$51+'Assumptions and Catalog'!$F$51,IF(((D591+E591)*C591-G591)&lt;='Assumptions and Catalog'!$C$52,((D591+E591)*C591-G591)*'Assumptions and Catalog'!$H$52+'Assumptions and Catalog'!$E$52+'Assumptions and Catalog'!$F$52,IF(((D591+E591)*C591-G591)&lt;='Assumptions and Catalog'!$C$53,((D591+E591)*C591-G591)*'Assumptions and Catalog'!$H$53+'Assumptions and Catalog'!$E$53+'Assumptions and Catalog'!$F$53,IF(((D591+E591)*C591-G591)&lt;='Assumptions and Catalog'!$C$54,((D591+E591)*C591-G591)*'Assumptions and Catalog'!$H$54+'Assumptions and Catalog'!$E$54+'Assumptions and Catalog'!$F$54,IF(((D591+E591)*C591-G591)&lt;='Assumptions and Catalog'!$C$55,((D591+E591)*C591-G591)*'Assumptions and Catalog'!$H$55+'Assumptions and Catalog'!$E$55+'Assumptions and Catalog'!$F$55,IF(((D591+E591)*C591-G591)&lt;='Assumptions and Catalog'!$C$56,((D591+E591)*C591-G591)*'Assumptions and Catalog'!$H$56+'Assumptions and Catalog'!$E$56+'Assumptions and Catalog'!$F$56,IF(((D591+E591)*C591-G591)&lt;='Assumptions and Catalog'!$C$57,((D591+E591)*C591-G591)*'Assumptions and Catalog'!$H$57+'Assumptions and Catalog'!$E$57+'Assumptions and Catalog'!$F$57,"Out of range")))))))),IF(((D591+E591)*C591-G591)&lt;='Assumptions and Catalog'!$C$60,((D591+E591)*C591-G591)*'Assumptions and Catalog'!$H$60+'Assumptions and Catalog'!$E$60+'Assumptions and Catalog'!$F$60,IF(((D591+E591)*C591-G591)&lt;='Assumptions and Catalog'!$C$61,((D591+E591)*C591-G591)*'Assumptions and Catalog'!$H$61+'Assumptions and Catalog'!$E$61+'Assumptions and Catalog'!$F$61,IF(((D591+E591)*C591-G591)&lt;='Assumptions and Catalog'!$C$62,((D591+E591)*C591-G591)*'Assumptions and Catalog'!$H$62+'Assumptions and Catalog'!$E$62+'Assumptions and Catalog'!$F$62,IF(((D591+E591)*C591-G591)&lt;='Assumptions and Catalog'!$C$63,((D591+E591)*C591-G591)*'Assumptions and Catalog'!$H$63+'Assumptions and Catalog'!$E$63+'Assumptions and Catalog'!$F$63,IF(((D591+E591)*C591-G591)&lt;='Assumptions and Catalog'!$C$64,((D591+E591)*C591-G591)*'Assumptions and Catalog'!$H$64+'Assumptions and Catalog'!$E$64+'Assumptions and Catalog'!$F$64,IF(((D591+E591)*C591-G591)&lt;='Assumptions and Catalog'!$C$65,((D591+E591)*C591-G591)*'Assumptions and Catalog'!$H$65+'Assumptions and Catalog'!$E$65+'Assumptions and Catalog'!$F$65,"Out of range")))))))))*(1+'Assumptions and Catalog'!$C$8)^(A591-1),0)</f>
        <v>8554.9666666666672</v>
      </c>
      <c r="R591" s="5">
        <f>IF(AND('Assumptions and Catalog'!$C$19&gt;0,A591&gt;='Assumptions and Catalog'!$C$19),A591-'Assumptions and Catalog'!$C$19,A591-1)</f>
        <v>5</v>
      </c>
      <c r="S591" s="5">
        <f>F591+L591-(D591+E591)*C591-J591-K591-IF(D$52&gt;0,'Assumptions and Catalog'!$C$26*C591,0)</f>
        <v>0</v>
      </c>
      <c r="T591" s="5"/>
      <c r="U591" s="5"/>
    </row>
    <row r="592" spans="1:21" ht="23.1" customHeight="1" outlineLevel="1" x14ac:dyDescent="0.2">
      <c r="A592" s="5">
        <v>16</v>
      </c>
      <c r="B592" s="5">
        <v>2</v>
      </c>
      <c r="C592" s="5">
        <f>DAY(DATE('Assumptions and Catalog'!$C$24+A592-1,B592+1,0))</f>
        <v>28</v>
      </c>
      <c r="D592" s="5">
        <f>IF(ISNUMBER(Inputs!$L$5),Inputs!$L$5*Inputs!$L$6,0)</f>
        <v>40.35</v>
      </c>
      <c r="E592" s="5">
        <f>IF(ISNUMBER(Inputs!$L$5),Inputs!$L$5-D592,0)</f>
        <v>40.35</v>
      </c>
      <c r="F592" s="5">
        <f>D$51*'Assumptions and Catalog'!$C$31*C592*(1-'Assumptions and Catalog'!$C$10)^(A592-1)</f>
        <v>0</v>
      </c>
      <c r="G592" s="5">
        <f t="shared" si="40"/>
        <v>0</v>
      </c>
      <c r="H592" s="5">
        <f>I592/('Assumptions and Catalog'!$C$11*'Assumptions and Catalog'!$C$12)</f>
        <v>0</v>
      </c>
      <c r="I592" s="5">
        <f>IF(K$15="Grid cycle",MIN(K$16,D592+E592,P592*'Assumptions and Catalog'!$C$12,D$57*(24-'Assumptions and Catalog'!$C$15),D$56*'Assumptions and Catalog'!$C$15*'Assumptions and Catalog'!$C$11*'Assumptions and Catalog'!$C$12)*C592,0)</f>
        <v>0</v>
      </c>
      <c r="J592" s="5">
        <f t="shared" si="41"/>
        <v>0</v>
      </c>
      <c r="K592" s="5">
        <f t="shared" si="42"/>
        <v>0</v>
      </c>
      <c r="L592" s="5">
        <f>(D592+E592)*C592-G592-I592+H592+IF(D$52&gt;0,'Assumptions and Catalog'!$C$26*C592,0)</f>
        <v>2259.6</v>
      </c>
      <c r="M592" s="5">
        <f>IF(ISNUMBER(Inputs!$L$5),(IF(Inputs!$L$9="Actual flat rate",((D592+E592)*C592)*Inputs!$L$10,IF(Inputs!$C$9="Residential",IF(((D592+E592)*C592)&lt;='Assumptions and Catalog'!$C$50,((D592+E592)*C592)*'Assumptions and Catalog'!$H$50+'Assumptions and Catalog'!$E$50+'Assumptions and Catalog'!$F$50,IF(((D592+E592)*C592)&lt;='Assumptions and Catalog'!$C$51,((D592+E592)*C592)*'Assumptions and Catalog'!$H$51+'Assumptions and Catalog'!$E$51+'Assumptions and Catalog'!$F$51,IF(((D592+E592)*C592)&lt;='Assumptions and Catalog'!$C$52,((D592+E592)*C592)*'Assumptions and Catalog'!$H$52+'Assumptions and Catalog'!$E$52+'Assumptions and Catalog'!$F$52,IF(((D592+E592)*C592)&lt;='Assumptions and Catalog'!$C$53,((D592+E592)*C592)*'Assumptions and Catalog'!$H$53+'Assumptions and Catalog'!$E$53+'Assumptions and Catalog'!$F$53,IF(((D592+E592)*C592)&lt;='Assumptions and Catalog'!$C$54,((D592+E592)*C592)*'Assumptions and Catalog'!$H$54+'Assumptions and Catalog'!$E$54+'Assumptions and Catalog'!$F$54,IF(((D592+E592)*C592)&lt;='Assumptions and Catalog'!$C$55,((D592+E592)*C592)*'Assumptions and Catalog'!$H$55+'Assumptions and Catalog'!$E$55+'Assumptions and Catalog'!$F$55,IF(((D592+E592)*C592)&lt;='Assumptions and Catalog'!$C$56,((D592+E592)*C592)*'Assumptions and Catalog'!$H$56+'Assumptions and Catalog'!$E$56+'Assumptions and Catalog'!$F$56,IF(((D592+E592)*C592)&lt;='Assumptions and Catalog'!$C$57,((D592+E592)*C592)*'Assumptions and Catalog'!$H$57+'Assumptions and Catalog'!$E$57+'Assumptions and Catalog'!$F$57,"Out of range")))))))),IF(((D592+E592)*C592)&lt;='Assumptions and Catalog'!$C$60,((D592+E592)*C592)*'Assumptions and Catalog'!$H$60+'Assumptions and Catalog'!$E$60+'Assumptions and Catalog'!$F$60,IF(((D592+E592)*C592)&lt;='Assumptions and Catalog'!$C$61,((D592+E592)*C592)*'Assumptions and Catalog'!$H$61+'Assumptions and Catalog'!$E$61+'Assumptions and Catalog'!$F$61,IF(((D592+E592)*C592)&lt;='Assumptions and Catalog'!$C$62,((D592+E592)*C592)*'Assumptions and Catalog'!$H$62+'Assumptions and Catalog'!$E$62+'Assumptions and Catalog'!$F$62,IF(((D592+E592)*C592)&lt;='Assumptions and Catalog'!$C$63,((D592+E592)*C592)*'Assumptions and Catalog'!$H$63+'Assumptions and Catalog'!$E$63+'Assumptions and Catalog'!$F$63,IF(((D592+E592)*C592)&lt;='Assumptions and Catalog'!$C$64,((D592+E592)*C592)*'Assumptions and Catalog'!$H$64+'Assumptions and Catalog'!$E$64+'Assumptions and Catalog'!$F$64,IF(((D592+E592)*C592)&lt;='Assumptions and Catalog'!$C$65,((D592+E592)*C592)*'Assumptions and Catalog'!$H$65+'Assumptions and Catalog'!$E$65+'Assumptions and Catalog'!$F$65,"Out of range")))))))))*(1+'Assumptions and Catalog'!$C$8)^(A592-1),0)</f>
        <v>7727.0666666666657</v>
      </c>
      <c r="N592" s="5">
        <f>IF(ISNUMBER(Inputs!$L$5),(IF(Inputs!$L$9="Actual flat rate",L592*Inputs!$L$10,IF(Inputs!$C$9="Residential",IF(L592&lt;='Assumptions and Catalog'!$C$50,L592*'Assumptions and Catalog'!$H$50+'Assumptions and Catalog'!$E$50+'Assumptions and Catalog'!$F$50,IF(L592&lt;='Assumptions and Catalog'!$C$51,L592*'Assumptions and Catalog'!$H$51+'Assumptions and Catalog'!$E$51+'Assumptions and Catalog'!$F$51,IF(L592&lt;='Assumptions and Catalog'!$C$52,L592*'Assumptions and Catalog'!$H$52+'Assumptions and Catalog'!$E$52+'Assumptions and Catalog'!$F$52,IF(L592&lt;='Assumptions and Catalog'!$C$53,L592*'Assumptions and Catalog'!$H$53+'Assumptions and Catalog'!$E$53+'Assumptions and Catalog'!$F$53,IF(L592&lt;='Assumptions and Catalog'!$C$54,L592*'Assumptions and Catalog'!$H$54+'Assumptions and Catalog'!$E$54+'Assumptions and Catalog'!$F$54,IF(L592&lt;='Assumptions and Catalog'!$C$55,L592*'Assumptions and Catalog'!$H$55+'Assumptions and Catalog'!$E$55+'Assumptions and Catalog'!$F$55,IF(L592&lt;='Assumptions and Catalog'!$C$56,L592*'Assumptions and Catalog'!$H$56+'Assumptions and Catalog'!$E$56+'Assumptions and Catalog'!$F$56,IF(L592&lt;='Assumptions and Catalog'!$C$57,L592*'Assumptions and Catalog'!$H$57+'Assumptions and Catalog'!$E$57+'Assumptions and Catalog'!$F$57,"Out of range")))))))),IF(L592&lt;='Assumptions and Catalog'!$C$60,L592*'Assumptions and Catalog'!$H$60+'Assumptions and Catalog'!$E$60+'Assumptions and Catalog'!$F$60,IF(L592&lt;='Assumptions and Catalog'!$C$61,L592*'Assumptions and Catalog'!$H$61+'Assumptions and Catalog'!$E$61+'Assumptions and Catalog'!$F$61,IF(L592&lt;='Assumptions and Catalog'!$C$62,L592*'Assumptions and Catalog'!$H$62+'Assumptions and Catalog'!$E$62+'Assumptions and Catalog'!$F$62,IF(L592&lt;='Assumptions and Catalog'!$C$63,L592*'Assumptions and Catalog'!$H$63+'Assumptions and Catalog'!$E$63+'Assumptions and Catalog'!$F$63,IF(L592&lt;='Assumptions and Catalog'!$C$64,L592*'Assumptions and Catalog'!$H$64+'Assumptions and Catalog'!$E$64+'Assumptions and Catalog'!$F$64,IF(L592&lt;='Assumptions and Catalog'!$C$65,L592*'Assumptions and Catalog'!$H$65+'Assumptions and Catalog'!$E$65+'Assumptions and Catalog'!$F$65,"Out of range")))))))))*(1+'Assumptions and Catalog'!$C$8)^(A592-1),0)</f>
        <v>7727.0666666666657</v>
      </c>
      <c r="O592" s="5">
        <f t="shared" si="43"/>
        <v>0</v>
      </c>
      <c r="P592" s="5">
        <f>D$55*(1-K$14)*(1-'Assumptions and Catalog'!$C$23)^R592</f>
        <v>0</v>
      </c>
      <c r="Q592" s="5">
        <f>IF(ISNUMBER(Inputs!$L$5),(IF(Inputs!$L$9="Actual flat rate",((D592+E592)*C592-G592)*Inputs!$L$10,IF(Inputs!$C$9="Residential",IF(((D592+E592)*C592-G592)&lt;='Assumptions and Catalog'!$C$50,((D592+E592)*C592-G592)*'Assumptions and Catalog'!$H$50+'Assumptions and Catalog'!$E$50+'Assumptions and Catalog'!$F$50,IF(((D592+E592)*C592-G592)&lt;='Assumptions and Catalog'!$C$51,((D592+E592)*C592-G592)*'Assumptions and Catalog'!$H$51+'Assumptions and Catalog'!$E$51+'Assumptions and Catalog'!$F$51,IF(((D592+E592)*C592-G592)&lt;='Assumptions and Catalog'!$C$52,((D592+E592)*C592-G592)*'Assumptions and Catalog'!$H$52+'Assumptions and Catalog'!$E$52+'Assumptions and Catalog'!$F$52,IF(((D592+E592)*C592-G592)&lt;='Assumptions and Catalog'!$C$53,((D592+E592)*C592-G592)*'Assumptions and Catalog'!$H$53+'Assumptions and Catalog'!$E$53+'Assumptions and Catalog'!$F$53,IF(((D592+E592)*C592-G592)&lt;='Assumptions and Catalog'!$C$54,((D592+E592)*C592-G592)*'Assumptions and Catalog'!$H$54+'Assumptions and Catalog'!$E$54+'Assumptions and Catalog'!$F$54,IF(((D592+E592)*C592-G592)&lt;='Assumptions and Catalog'!$C$55,((D592+E592)*C592-G592)*'Assumptions and Catalog'!$H$55+'Assumptions and Catalog'!$E$55+'Assumptions and Catalog'!$F$55,IF(((D592+E592)*C592-G592)&lt;='Assumptions and Catalog'!$C$56,((D592+E592)*C592-G592)*'Assumptions and Catalog'!$H$56+'Assumptions and Catalog'!$E$56+'Assumptions and Catalog'!$F$56,IF(((D592+E592)*C592-G592)&lt;='Assumptions and Catalog'!$C$57,((D592+E592)*C592-G592)*'Assumptions and Catalog'!$H$57+'Assumptions and Catalog'!$E$57+'Assumptions and Catalog'!$F$57,"Out of range")))))))),IF(((D592+E592)*C592-G592)&lt;='Assumptions and Catalog'!$C$60,((D592+E592)*C592-G592)*'Assumptions and Catalog'!$H$60+'Assumptions and Catalog'!$E$60+'Assumptions and Catalog'!$F$60,IF(((D592+E592)*C592-G592)&lt;='Assumptions and Catalog'!$C$61,((D592+E592)*C592-G592)*'Assumptions and Catalog'!$H$61+'Assumptions and Catalog'!$E$61+'Assumptions and Catalog'!$F$61,IF(((D592+E592)*C592-G592)&lt;='Assumptions and Catalog'!$C$62,((D592+E592)*C592-G592)*'Assumptions and Catalog'!$H$62+'Assumptions and Catalog'!$E$62+'Assumptions and Catalog'!$F$62,IF(((D592+E592)*C592-G592)&lt;='Assumptions and Catalog'!$C$63,((D592+E592)*C592-G592)*'Assumptions and Catalog'!$H$63+'Assumptions and Catalog'!$E$63+'Assumptions and Catalog'!$F$63,IF(((D592+E592)*C592-G592)&lt;='Assumptions and Catalog'!$C$64,((D592+E592)*C592-G592)*'Assumptions and Catalog'!$H$64+'Assumptions and Catalog'!$E$64+'Assumptions and Catalog'!$F$64,IF(((D592+E592)*C592-G592)&lt;='Assumptions and Catalog'!$C$65,((D592+E592)*C592-G592)*'Assumptions and Catalog'!$H$65+'Assumptions and Catalog'!$E$65+'Assumptions and Catalog'!$F$65,"Out of range")))))))))*(1+'Assumptions and Catalog'!$C$8)^(A592-1),0)</f>
        <v>7727.0666666666657</v>
      </c>
      <c r="R592" s="5">
        <f>IF(AND('Assumptions and Catalog'!$C$19&gt;0,A592&gt;='Assumptions and Catalog'!$C$19),A592-'Assumptions and Catalog'!$C$19,A592-1)</f>
        <v>5</v>
      </c>
      <c r="S592" s="5">
        <f>F592+L592-(D592+E592)*C592-J592-K592-IF(D$52&gt;0,'Assumptions and Catalog'!$C$26*C592,0)</f>
        <v>0</v>
      </c>
      <c r="T592" s="5"/>
      <c r="U592" s="5"/>
    </row>
    <row r="593" spans="1:21" ht="23.1" customHeight="1" outlineLevel="1" x14ac:dyDescent="0.2">
      <c r="A593" s="5">
        <v>16</v>
      </c>
      <c r="B593" s="5">
        <v>3</v>
      </c>
      <c r="C593" s="5">
        <f>DAY(DATE('Assumptions and Catalog'!$C$24+A593-1,B593+1,0))</f>
        <v>31</v>
      </c>
      <c r="D593" s="5">
        <f>IF(ISNUMBER(Inputs!$L$5),Inputs!$L$5*Inputs!$L$6,0)</f>
        <v>40.35</v>
      </c>
      <c r="E593" s="5">
        <f>IF(ISNUMBER(Inputs!$L$5),Inputs!$L$5-D593,0)</f>
        <v>40.35</v>
      </c>
      <c r="F593" s="5">
        <f>D$51*'Assumptions and Catalog'!$C$31*C593*(1-'Assumptions and Catalog'!$C$10)^(A593-1)</f>
        <v>0</v>
      </c>
      <c r="G593" s="5">
        <f t="shared" si="40"/>
        <v>0</v>
      </c>
      <c r="H593" s="5">
        <f>I593/('Assumptions and Catalog'!$C$11*'Assumptions and Catalog'!$C$12)</f>
        <v>0</v>
      </c>
      <c r="I593" s="5">
        <f>IF(K$15="Grid cycle",MIN(K$16,D593+E593,P593*'Assumptions and Catalog'!$C$12,D$57*(24-'Assumptions and Catalog'!$C$15),D$56*'Assumptions and Catalog'!$C$15*'Assumptions and Catalog'!$C$11*'Assumptions and Catalog'!$C$12)*C593,0)</f>
        <v>0</v>
      </c>
      <c r="J593" s="5">
        <f t="shared" si="41"/>
        <v>0</v>
      </c>
      <c r="K593" s="5">
        <f t="shared" si="42"/>
        <v>0</v>
      </c>
      <c r="L593" s="5">
        <f>(D593+E593)*C593-G593-I593+H593+IF(D$52&gt;0,'Assumptions and Catalog'!$C$26*C593,0)</f>
        <v>2501.7000000000003</v>
      </c>
      <c r="M593" s="5">
        <f>IF(ISNUMBER(Inputs!$L$5),(IF(Inputs!$L$9="Actual flat rate",((D593+E593)*C593)*Inputs!$L$10,IF(Inputs!$C$9="Residential",IF(((D593+E593)*C593)&lt;='Assumptions and Catalog'!$C$50,((D593+E593)*C593)*'Assumptions and Catalog'!$H$50+'Assumptions and Catalog'!$E$50+'Assumptions and Catalog'!$F$50,IF(((D593+E593)*C593)&lt;='Assumptions and Catalog'!$C$51,((D593+E593)*C593)*'Assumptions and Catalog'!$H$51+'Assumptions and Catalog'!$E$51+'Assumptions and Catalog'!$F$51,IF(((D593+E593)*C593)&lt;='Assumptions and Catalog'!$C$52,((D593+E593)*C593)*'Assumptions and Catalog'!$H$52+'Assumptions and Catalog'!$E$52+'Assumptions and Catalog'!$F$52,IF(((D593+E593)*C593)&lt;='Assumptions and Catalog'!$C$53,((D593+E593)*C593)*'Assumptions and Catalog'!$H$53+'Assumptions and Catalog'!$E$53+'Assumptions and Catalog'!$F$53,IF(((D593+E593)*C593)&lt;='Assumptions and Catalog'!$C$54,((D593+E593)*C593)*'Assumptions and Catalog'!$H$54+'Assumptions and Catalog'!$E$54+'Assumptions and Catalog'!$F$54,IF(((D593+E593)*C593)&lt;='Assumptions and Catalog'!$C$55,((D593+E593)*C593)*'Assumptions and Catalog'!$H$55+'Assumptions and Catalog'!$E$55+'Assumptions and Catalog'!$F$55,IF(((D593+E593)*C593)&lt;='Assumptions and Catalog'!$C$56,((D593+E593)*C593)*'Assumptions and Catalog'!$H$56+'Assumptions and Catalog'!$E$56+'Assumptions and Catalog'!$F$56,IF(((D593+E593)*C593)&lt;='Assumptions and Catalog'!$C$57,((D593+E593)*C593)*'Assumptions and Catalog'!$H$57+'Assumptions and Catalog'!$E$57+'Assumptions and Catalog'!$F$57,"Out of range")))))))),IF(((D593+E593)*C593)&lt;='Assumptions and Catalog'!$C$60,((D593+E593)*C593)*'Assumptions and Catalog'!$H$60+'Assumptions and Catalog'!$E$60+'Assumptions and Catalog'!$F$60,IF(((D593+E593)*C593)&lt;='Assumptions and Catalog'!$C$61,((D593+E593)*C593)*'Assumptions and Catalog'!$H$61+'Assumptions and Catalog'!$E$61+'Assumptions and Catalog'!$F$61,IF(((D593+E593)*C593)&lt;='Assumptions and Catalog'!$C$62,((D593+E593)*C593)*'Assumptions and Catalog'!$H$62+'Assumptions and Catalog'!$E$62+'Assumptions and Catalog'!$F$62,IF(((D593+E593)*C593)&lt;='Assumptions and Catalog'!$C$63,((D593+E593)*C593)*'Assumptions and Catalog'!$H$63+'Assumptions and Catalog'!$E$63+'Assumptions and Catalog'!$F$63,IF(((D593+E593)*C593)&lt;='Assumptions and Catalog'!$C$64,((D593+E593)*C593)*'Assumptions and Catalog'!$H$64+'Assumptions and Catalog'!$E$64+'Assumptions and Catalog'!$F$64,IF(((D593+E593)*C593)&lt;='Assumptions and Catalog'!$C$65,((D593+E593)*C593)*'Assumptions and Catalog'!$H$65+'Assumptions and Catalog'!$E$65+'Assumptions and Catalog'!$F$65,"Out of range")))))))))*(1+'Assumptions and Catalog'!$C$8)^(A593-1),0)</f>
        <v>8554.9666666666672</v>
      </c>
      <c r="N593" s="5">
        <f>IF(ISNUMBER(Inputs!$L$5),(IF(Inputs!$L$9="Actual flat rate",L593*Inputs!$L$10,IF(Inputs!$C$9="Residential",IF(L593&lt;='Assumptions and Catalog'!$C$50,L593*'Assumptions and Catalog'!$H$50+'Assumptions and Catalog'!$E$50+'Assumptions and Catalog'!$F$50,IF(L593&lt;='Assumptions and Catalog'!$C$51,L593*'Assumptions and Catalog'!$H$51+'Assumptions and Catalog'!$E$51+'Assumptions and Catalog'!$F$51,IF(L593&lt;='Assumptions and Catalog'!$C$52,L593*'Assumptions and Catalog'!$H$52+'Assumptions and Catalog'!$E$52+'Assumptions and Catalog'!$F$52,IF(L593&lt;='Assumptions and Catalog'!$C$53,L593*'Assumptions and Catalog'!$H$53+'Assumptions and Catalog'!$E$53+'Assumptions and Catalog'!$F$53,IF(L593&lt;='Assumptions and Catalog'!$C$54,L593*'Assumptions and Catalog'!$H$54+'Assumptions and Catalog'!$E$54+'Assumptions and Catalog'!$F$54,IF(L593&lt;='Assumptions and Catalog'!$C$55,L593*'Assumptions and Catalog'!$H$55+'Assumptions and Catalog'!$E$55+'Assumptions and Catalog'!$F$55,IF(L593&lt;='Assumptions and Catalog'!$C$56,L593*'Assumptions and Catalog'!$H$56+'Assumptions and Catalog'!$E$56+'Assumptions and Catalog'!$F$56,IF(L593&lt;='Assumptions and Catalog'!$C$57,L593*'Assumptions and Catalog'!$H$57+'Assumptions and Catalog'!$E$57+'Assumptions and Catalog'!$F$57,"Out of range")))))))),IF(L593&lt;='Assumptions and Catalog'!$C$60,L593*'Assumptions and Catalog'!$H$60+'Assumptions and Catalog'!$E$60+'Assumptions and Catalog'!$F$60,IF(L593&lt;='Assumptions and Catalog'!$C$61,L593*'Assumptions and Catalog'!$H$61+'Assumptions and Catalog'!$E$61+'Assumptions and Catalog'!$F$61,IF(L593&lt;='Assumptions and Catalog'!$C$62,L593*'Assumptions and Catalog'!$H$62+'Assumptions and Catalog'!$E$62+'Assumptions and Catalog'!$F$62,IF(L593&lt;='Assumptions and Catalog'!$C$63,L593*'Assumptions and Catalog'!$H$63+'Assumptions and Catalog'!$E$63+'Assumptions and Catalog'!$F$63,IF(L593&lt;='Assumptions and Catalog'!$C$64,L593*'Assumptions and Catalog'!$H$64+'Assumptions and Catalog'!$E$64+'Assumptions and Catalog'!$F$64,IF(L593&lt;='Assumptions and Catalog'!$C$65,L593*'Assumptions and Catalog'!$H$65+'Assumptions and Catalog'!$E$65+'Assumptions and Catalog'!$F$65,"Out of range")))))))))*(1+'Assumptions and Catalog'!$C$8)^(A593-1),0)</f>
        <v>8554.9666666666672</v>
      </c>
      <c r="O593" s="5">
        <f t="shared" si="43"/>
        <v>0</v>
      </c>
      <c r="P593" s="5">
        <f>D$55*(1-K$14)*(1-'Assumptions and Catalog'!$C$23)^R593</f>
        <v>0</v>
      </c>
      <c r="Q593" s="5">
        <f>IF(ISNUMBER(Inputs!$L$5),(IF(Inputs!$L$9="Actual flat rate",((D593+E593)*C593-G593)*Inputs!$L$10,IF(Inputs!$C$9="Residential",IF(((D593+E593)*C593-G593)&lt;='Assumptions and Catalog'!$C$50,((D593+E593)*C593-G593)*'Assumptions and Catalog'!$H$50+'Assumptions and Catalog'!$E$50+'Assumptions and Catalog'!$F$50,IF(((D593+E593)*C593-G593)&lt;='Assumptions and Catalog'!$C$51,((D593+E593)*C593-G593)*'Assumptions and Catalog'!$H$51+'Assumptions and Catalog'!$E$51+'Assumptions and Catalog'!$F$51,IF(((D593+E593)*C593-G593)&lt;='Assumptions and Catalog'!$C$52,((D593+E593)*C593-G593)*'Assumptions and Catalog'!$H$52+'Assumptions and Catalog'!$E$52+'Assumptions and Catalog'!$F$52,IF(((D593+E593)*C593-G593)&lt;='Assumptions and Catalog'!$C$53,((D593+E593)*C593-G593)*'Assumptions and Catalog'!$H$53+'Assumptions and Catalog'!$E$53+'Assumptions and Catalog'!$F$53,IF(((D593+E593)*C593-G593)&lt;='Assumptions and Catalog'!$C$54,((D593+E593)*C593-G593)*'Assumptions and Catalog'!$H$54+'Assumptions and Catalog'!$E$54+'Assumptions and Catalog'!$F$54,IF(((D593+E593)*C593-G593)&lt;='Assumptions and Catalog'!$C$55,((D593+E593)*C593-G593)*'Assumptions and Catalog'!$H$55+'Assumptions and Catalog'!$E$55+'Assumptions and Catalog'!$F$55,IF(((D593+E593)*C593-G593)&lt;='Assumptions and Catalog'!$C$56,((D593+E593)*C593-G593)*'Assumptions and Catalog'!$H$56+'Assumptions and Catalog'!$E$56+'Assumptions and Catalog'!$F$56,IF(((D593+E593)*C593-G593)&lt;='Assumptions and Catalog'!$C$57,((D593+E593)*C593-G593)*'Assumptions and Catalog'!$H$57+'Assumptions and Catalog'!$E$57+'Assumptions and Catalog'!$F$57,"Out of range")))))))),IF(((D593+E593)*C593-G593)&lt;='Assumptions and Catalog'!$C$60,((D593+E593)*C593-G593)*'Assumptions and Catalog'!$H$60+'Assumptions and Catalog'!$E$60+'Assumptions and Catalog'!$F$60,IF(((D593+E593)*C593-G593)&lt;='Assumptions and Catalog'!$C$61,((D593+E593)*C593-G593)*'Assumptions and Catalog'!$H$61+'Assumptions and Catalog'!$E$61+'Assumptions and Catalog'!$F$61,IF(((D593+E593)*C593-G593)&lt;='Assumptions and Catalog'!$C$62,((D593+E593)*C593-G593)*'Assumptions and Catalog'!$H$62+'Assumptions and Catalog'!$E$62+'Assumptions and Catalog'!$F$62,IF(((D593+E593)*C593-G593)&lt;='Assumptions and Catalog'!$C$63,((D593+E593)*C593-G593)*'Assumptions and Catalog'!$H$63+'Assumptions and Catalog'!$E$63+'Assumptions and Catalog'!$F$63,IF(((D593+E593)*C593-G593)&lt;='Assumptions and Catalog'!$C$64,((D593+E593)*C593-G593)*'Assumptions and Catalog'!$H$64+'Assumptions and Catalog'!$E$64+'Assumptions and Catalog'!$F$64,IF(((D593+E593)*C593-G593)&lt;='Assumptions and Catalog'!$C$65,((D593+E593)*C593-G593)*'Assumptions and Catalog'!$H$65+'Assumptions and Catalog'!$E$65+'Assumptions and Catalog'!$F$65,"Out of range")))))))))*(1+'Assumptions and Catalog'!$C$8)^(A593-1),0)</f>
        <v>8554.9666666666672</v>
      </c>
      <c r="R593" s="5">
        <f>IF(AND('Assumptions and Catalog'!$C$19&gt;0,A593&gt;='Assumptions and Catalog'!$C$19),A593-'Assumptions and Catalog'!$C$19,A593-1)</f>
        <v>5</v>
      </c>
      <c r="S593" s="5">
        <f>F593+L593-(D593+E593)*C593-J593-K593-IF(D$52&gt;0,'Assumptions and Catalog'!$C$26*C593,0)</f>
        <v>0</v>
      </c>
      <c r="T593" s="5"/>
      <c r="U593" s="5"/>
    </row>
    <row r="594" spans="1:21" ht="23.1" customHeight="1" outlineLevel="1" x14ac:dyDescent="0.2">
      <c r="A594" s="5">
        <v>16</v>
      </c>
      <c r="B594" s="5">
        <v>4</v>
      </c>
      <c r="C594" s="5">
        <f>DAY(DATE('Assumptions and Catalog'!$C$24+A594-1,B594+1,0))</f>
        <v>30</v>
      </c>
      <c r="D594" s="5">
        <f>IF(ISNUMBER(Inputs!$L$5),Inputs!$L$5*Inputs!$L$6,0)</f>
        <v>40.35</v>
      </c>
      <c r="E594" s="5">
        <f>IF(ISNUMBER(Inputs!$L$5),Inputs!$L$5-D594,0)</f>
        <v>40.35</v>
      </c>
      <c r="F594" s="5">
        <f>D$51*'Assumptions and Catalog'!$C$31*C594*(1-'Assumptions and Catalog'!$C$10)^(A594-1)</f>
        <v>0</v>
      </c>
      <c r="G594" s="5">
        <f t="shared" si="40"/>
        <v>0</v>
      </c>
      <c r="H594" s="5">
        <f>I594/('Assumptions and Catalog'!$C$11*'Assumptions and Catalog'!$C$12)</f>
        <v>0</v>
      </c>
      <c r="I594" s="5">
        <f>IF(K$15="Grid cycle",MIN(K$16,D594+E594,P594*'Assumptions and Catalog'!$C$12,D$57*(24-'Assumptions and Catalog'!$C$15),D$56*'Assumptions and Catalog'!$C$15*'Assumptions and Catalog'!$C$11*'Assumptions and Catalog'!$C$12)*C594,0)</f>
        <v>0</v>
      </c>
      <c r="J594" s="5">
        <f t="shared" si="41"/>
        <v>0</v>
      </c>
      <c r="K594" s="5">
        <f t="shared" si="42"/>
        <v>0</v>
      </c>
      <c r="L594" s="5">
        <f>(D594+E594)*C594-G594-I594+H594+IF(D$52&gt;0,'Assumptions and Catalog'!$C$26*C594,0)</f>
        <v>2421</v>
      </c>
      <c r="M594" s="5">
        <f>IF(ISNUMBER(Inputs!$L$5),(IF(Inputs!$L$9="Actual flat rate",((D594+E594)*C594)*Inputs!$L$10,IF(Inputs!$C$9="Residential",IF(((D594+E594)*C594)&lt;='Assumptions and Catalog'!$C$50,((D594+E594)*C594)*'Assumptions and Catalog'!$H$50+'Assumptions and Catalog'!$E$50+'Assumptions and Catalog'!$F$50,IF(((D594+E594)*C594)&lt;='Assumptions and Catalog'!$C$51,((D594+E594)*C594)*'Assumptions and Catalog'!$H$51+'Assumptions and Catalog'!$E$51+'Assumptions and Catalog'!$F$51,IF(((D594+E594)*C594)&lt;='Assumptions and Catalog'!$C$52,((D594+E594)*C594)*'Assumptions and Catalog'!$H$52+'Assumptions and Catalog'!$E$52+'Assumptions and Catalog'!$F$52,IF(((D594+E594)*C594)&lt;='Assumptions and Catalog'!$C$53,((D594+E594)*C594)*'Assumptions and Catalog'!$H$53+'Assumptions and Catalog'!$E$53+'Assumptions and Catalog'!$F$53,IF(((D594+E594)*C594)&lt;='Assumptions and Catalog'!$C$54,((D594+E594)*C594)*'Assumptions and Catalog'!$H$54+'Assumptions and Catalog'!$E$54+'Assumptions and Catalog'!$F$54,IF(((D594+E594)*C594)&lt;='Assumptions and Catalog'!$C$55,((D594+E594)*C594)*'Assumptions and Catalog'!$H$55+'Assumptions and Catalog'!$E$55+'Assumptions and Catalog'!$F$55,IF(((D594+E594)*C594)&lt;='Assumptions and Catalog'!$C$56,((D594+E594)*C594)*'Assumptions and Catalog'!$H$56+'Assumptions and Catalog'!$E$56+'Assumptions and Catalog'!$F$56,IF(((D594+E594)*C594)&lt;='Assumptions and Catalog'!$C$57,((D594+E594)*C594)*'Assumptions and Catalog'!$H$57+'Assumptions and Catalog'!$E$57+'Assumptions and Catalog'!$F$57,"Out of range")))))))),IF(((D594+E594)*C594)&lt;='Assumptions and Catalog'!$C$60,((D594+E594)*C594)*'Assumptions and Catalog'!$H$60+'Assumptions and Catalog'!$E$60+'Assumptions and Catalog'!$F$60,IF(((D594+E594)*C594)&lt;='Assumptions and Catalog'!$C$61,((D594+E594)*C594)*'Assumptions and Catalog'!$H$61+'Assumptions and Catalog'!$E$61+'Assumptions and Catalog'!$F$61,IF(((D594+E594)*C594)&lt;='Assumptions and Catalog'!$C$62,((D594+E594)*C594)*'Assumptions and Catalog'!$H$62+'Assumptions and Catalog'!$E$62+'Assumptions and Catalog'!$F$62,IF(((D594+E594)*C594)&lt;='Assumptions and Catalog'!$C$63,((D594+E594)*C594)*'Assumptions and Catalog'!$H$63+'Assumptions and Catalog'!$E$63+'Assumptions and Catalog'!$F$63,IF(((D594+E594)*C594)&lt;='Assumptions and Catalog'!$C$64,((D594+E594)*C594)*'Assumptions and Catalog'!$H$64+'Assumptions and Catalog'!$E$64+'Assumptions and Catalog'!$F$64,IF(((D594+E594)*C594)&lt;='Assumptions and Catalog'!$C$65,((D594+E594)*C594)*'Assumptions and Catalog'!$H$65+'Assumptions and Catalog'!$E$65+'Assumptions and Catalog'!$F$65,"Out of range")))))))))*(1+'Assumptions and Catalog'!$C$8)^(A594-1),0)</f>
        <v>8279</v>
      </c>
      <c r="N594" s="5">
        <f>IF(ISNUMBER(Inputs!$L$5),(IF(Inputs!$L$9="Actual flat rate",L594*Inputs!$L$10,IF(Inputs!$C$9="Residential",IF(L594&lt;='Assumptions and Catalog'!$C$50,L594*'Assumptions and Catalog'!$H$50+'Assumptions and Catalog'!$E$50+'Assumptions and Catalog'!$F$50,IF(L594&lt;='Assumptions and Catalog'!$C$51,L594*'Assumptions and Catalog'!$H$51+'Assumptions and Catalog'!$E$51+'Assumptions and Catalog'!$F$51,IF(L594&lt;='Assumptions and Catalog'!$C$52,L594*'Assumptions and Catalog'!$H$52+'Assumptions and Catalog'!$E$52+'Assumptions and Catalog'!$F$52,IF(L594&lt;='Assumptions and Catalog'!$C$53,L594*'Assumptions and Catalog'!$H$53+'Assumptions and Catalog'!$E$53+'Assumptions and Catalog'!$F$53,IF(L594&lt;='Assumptions and Catalog'!$C$54,L594*'Assumptions and Catalog'!$H$54+'Assumptions and Catalog'!$E$54+'Assumptions and Catalog'!$F$54,IF(L594&lt;='Assumptions and Catalog'!$C$55,L594*'Assumptions and Catalog'!$H$55+'Assumptions and Catalog'!$E$55+'Assumptions and Catalog'!$F$55,IF(L594&lt;='Assumptions and Catalog'!$C$56,L594*'Assumptions and Catalog'!$H$56+'Assumptions and Catalog'!$E$56+'Assumptions and Catalog'!$F$56,IF(L594&lt;='Assumptions and Catalog'!$C$57,L594*'Assumptions and Catalog'!$H$57+'Assumptions and Catalog'!$E$57+'Assumptions and Catalog'!$F$57,"Out of range")))))))),IF(L594&lt;='Assumptions and Catalog'!$C$60,L594*'Assumptions and Catalog'!$H$60+'Assumptions and Catalog'!$E$60+'Assumptions and Catalog'!$F$60,IF(L594&lt;='Assumptions and Catalog'!$C$61,L594*'Assumptions and Catalog'!$H$61+'Assumptions and Catalog'!$E$61+'Assumptions and Catalog'!$F$61,IF(L594&lt;='Assumptions and Catalog'!$C$62,L594*'Assumptions and Catalog'!$H$62+'Assumptions and Catalog'!$E$62+'Assumptions and Catalog'!$F$62,IF(L594&lt;='Assumptions and Catalog'!$C$63,L594*'Assumptions and Catalog'!$H$63+'Assumptions and Catalog'!$E$63+'Assumptions and Catalog'!$F$63,IF(L594&lt;='Assumptions and Catalog'!$C$64,L594*'Assumptions and Catalog'!$H$64+'Assumptions and Catalog'!$E$64+'Assumptions and Catalog'!$F$64,IF(L594&lt;='Assumptions and Catalog'!$C$65,L594*'Assumptions and Catalog'!$H$65+'Assumptions and Catalog'!$E$65+'Assumptions and Catalog'!$F$65,"Out of range")))))))))*(1+'Assumptions and Catalog'!$C$8)^(A594-1),0)</f>
        <v>8279</v>
      </c>
      <c r="O594" s="5">
        <f t="shared" si="43"/>
        <v>0</v>
      </c>
      <c r="P594" s="5">
        <f>D$55*(1-K$14)*(1-'Assumptions and Catalog'!$C$23)^R594</f>
        <v>0</v>
      </c>
      <c r="Q594" s="5">
        <f>IF(ISNUMBER(Inputs!$L$5),(IF(Inputs!$L$9="Actual flat rate",((D594+E594)*C594-G594)*Inputs!$L$10,IF(Inputs!$C$9="Residential",IF(((D594+E594)*C594-G594)&lt;='Assumptions and Catalog'!$C$50,((D594+E594)*C594-G594)*'Assumptions and Catalog'!$H$50+'Assumptions and Catalog'!$E$50+'Assumptions and Catalog'!$F$50,IF(((D594+E594)*C594-G594)&lt;='Assumptions and Catalog'!$C$51,((D594+E594)*C594-G594)*'Assumptions and Catalog'!$H$51+'Assumptions and Catalog'!$E$51+'Assumptions and Catalog'!$F$51,IF(((D594+E594)*C594-G594)&lt;='Assumptions and Catalog'!$C$52,((D594+E594)*C594-G594)*'Assumptions and Catalog'!$H$52+'Assumptions and Catalog'!$E$52+'Assumptions and Catalog'!$F$52,IF(((D594+E594)*C594-G594)&lt;='Assumptions and Catalog'!$C$53,((D594+E594)*C594-G594)*'Assumptions and Catalog'!$H$53+'Assumptions and Catalog'!$E$53+'Assumptions and Catalog'!$F$53,IF(((D594+E594)*C594-G594)&lt;='Assumptions and Catalog'!$C$54,((D594+E594)*C594-G594)*'Assumptions and Catalog'!$H$54+'Assumptions and Catalog'!$E$54+'Assumptions and Catalog'!$F$54,IF(((D594+E594)*C594-G594)&lt;='Assumptions and Catalog'!$C$55,((D594+E594)*C594-G594)*'Assumptions and Catalog'!$H$55+'Assumptions and Catalog'!$E$55+'Assumptions and Catalog'!$F$55,IF(((D594+E594)*C594-G594)&lt;='Assumptions and Catalog'!$C$56,((D594+E594)*C594-G594)*'Assumptions and Catalog'!$H$56+'Assumptions and Catalog'!$E$56+'Assumptions and Catalog'!$F$56,IF(((D594+E594)*C594-G594)&lt;='Assumptions and Catalog'!$C$57,((D594+E594)*C594-G594)*'Assumptions and Catalog'!$H$57+'Assumptions and Catalog'!$E$57+'Assumptions and Catalog'!$F$57,"Out of range")))))))),IF(((D594+E594)*C594-G594)&lt;='Assumptions and Catalog'!$C$60,((D594+E594)*C594-G594)*'Assumptions and Catalog'!$H$60+'Assumptions and Catalog'!$E$60+'Assumptions and Catalog'!$F$60,IF(((D594+E594)*C594-G594)&lt;='Assumptions and Catalog'!$C$61,((D594+E594)*C594-G594)*'Assumptions and Catalog'!$H$61+'Assumptions and Catalog'!$E$61+'Assumptions and Catalog'!$F$61,IF(((D594+E594)*C594-G594)&lt;='Assumptions and Catalog'!$C$62,((D594+E594)*C594-G594)*'Assumptions and Catalog'!$H$62+'Assumptions and Catalog'!$E$62+'Assumptions and Catalog'!$F$62,IF(((D594+E594)*C594-G594)&lt;='Assumptions and Catalog'!$C$63,((D594+E594)*C594-G594)*'Assumptions and Catalog'!$H$63+'Assumptions and Catalog'!$E$63+'Assumptions and Catalog'!$F$63,IF(((D594+E594)*C594-G594)&lt;='Assumptions and Catalog'!$C$64,((D594+E594)*C594-G594)*'Assumptions and Catalog'!$H$64+'Assumptions and Catalog'!$E$64+'Assumptions and Catalog'!$F$64,IF(((D594+E594)*C594-G594)&lt;='Assumptions and Catalog'!$C$65,((D594+E594)*C594-G594)*'Assumptions and Catalog'!$H$65+'Assumptions and Catalog'!$E$65+'Assumptions and Catalog'!$F$65,"Out of range")))))))))*(1+'Assumptions and Catalog'!$C$8)^(A594-1),0)</f>
        <v>8279</v>
      </c>
      <c r="R594" s="5">
        <f>IF(AND('Assumptions and Catalog'!$C$19&gt;0,A594&gt;='Assumptions and Catalog'!$C$19),A594-'Assumptions and Catalog'!$C$19,A594-1)</f>
        <v>5</v>
      </c>
      <c r="S594" s="5">
        <f>F594+L594-(D594+E594)*C594-J594-K594-IF(D$52&gt;0,'Assumptions and Catalog'!$C$26*C594,0)</f>
        <v>0</v>
      </c>
      <c r="T594" s="5"/>
      <c r="U594" s="5"/>
    </row>
    <row r="595" spans="1:21" ht="23.1" customHeight="1" outlineLevel="1" x14ac:dyDescent="0.2">
      <c r="A595" s="5">
        <v>16</v>
      </c>
      <c r="B595" s="5">
        <v>5</v>
      </c>
      <c r="C595" s="5">
        <f>DAY(DATE('Assumptions and Catalog'!$C$24+A595-1,B595+1,0))</f>
        <v>31</v>
      </c>
      <c r="D595" s="5">
        <f>IF(ISNUMBER(Inputs!$L$5),Inputs!$L$5*Inputs!$L$6,0)</f>
        <v>40.35</v>
      </c>
      <c r="E595" s="5">
        <f>IF(ISNUMBER(Inputs!$L$5),Inputs!$L$5-D595,0)</f>
        <v>40.35</v>
      </c>
      <c r="F595" s="5">
        <f>D$51*'Assumptions and Catalog'!$C$31*C595*(1-'Assumptions and Catalog'!$C$10)^(A595-1)</f>
        <v>0</v>
      </c>
      <c r="G595" s="5">
        <f t="shared" si="40"/>
        <v>0</v>
      </c>
      <c r="H595" s="5">
        <f>I595/('Assumptions and Catalog'!$C$11*'Assumptions and Catalog'!$C$12)</f>
        <v>0</v>
      </c>
      <c r="I595" s="5">
        <f>IF(K$15="Grid cycle",MIN(K$16,D595+E595,P595*'Assumptions and Catalog'!$C$12,D$57*(24-'Assumptions and Catalog'!$C$15),D$56*'Assumptions and Catalog'!$C$15*'Assumptions and Catalog'!$C$11*'Assumptions and Catalog'!$C$12)*C595,0)</f>
        <v>0</v>
      </c>
      <c r="J595" s="5">
        <f t="shared" si="41"/>
        <v>0</v>
      </c>
      <c r="K595" s="5">
        <f t="shared" si="42"/>
        <v>0</v>
      </c>
      <c r="L595" s="5">
        <f>(D595+E595)*C595-G595-I595+H595+IF(D$52&gt;0,'Assumptions and Catalog'!$C$26*C595,0)</f>
        <v>2501.7000000000003</v>
      </c>
      <c r="M595" s="5">
        <f>IF(ISNUMBER(Inputs!$L$5),(IF(Inputs!$L$9="Actual flat rate",((D595+E595)*C595)*Inputs!$L$10,IF(Inputs!$C$9="Residential",IF(((D595+E595)*C595)&lt;='Assumptions and Catalog'!$C$50,((D595+E595)*C595)*'Assumptions and Catalog'!$H$50+'Assumptions and Catalog'!$E$50+'Assumptions and Catalog'!$F$50,IF(((D595+E595)*C595)&lt;='Assumptions and Catalog'!$C$51,((D595+E595)*C595)*'Assumptions and Catalog'!$H$51+'Assumptions and Catalog'!$E$51+'Assumptions and Catalog'!$F$51,IF(((D595+E595)*C595)&lt;='Assumptions and Catalog'!$C$52,((D595+E595)*C595)*'Assumptions and Catalog'!$H$52+'Assumptions and Catalog'!$E$52+'Assumptions and Catalog'!$F$52,IF(((D595+E595)*C595)&lt;='Assumptions and Catalog'!$C$53,((D595+E595)*C595)*'Assumptions and Catalog'!$H$53+'Assumptions and Catalog'!$E$53+'Assumptions and Catalog'!$F$53,IF(((D595+E595)*C595)&lt;='Assumptions and Catalog'!$C$54,((D595+E595)*C595)*'Assumptions and Catalog'!$H$54+'Assumptions and Catalog'!$E$54+'Assumptions and Catalog'!$F$54,IF(((D595+E595)*C595)&lt;='Assumptions and Catalog'!$C$55,((D595+E595)*C595)*'Assumptions and Catalog'!$H$55+'Assumptions and Catalog'!$E$55+'Assumptions and Catalog'!$F$55,IF(((D595+E595)*C595)&lt;='Assumptions and Catalog'!$C$56,((D595+E595)*C595)*'Assumptions and Catalog'!$H$56+'Assumptions and Catalog'!$E$56+'Assumptions and Catalog'!$F$56,IF(((D595+E595)*C595)&lt;='Assumptions and Catalog'!$C$57,((D595+E595)*C595)*'Assumptions and Catalog'!$H$57+'Assumptions and Catalog'!$E$57+'Assumptions and Catalog'!$F$57,"Out of range")))))))),IF(((D595+E595)*C595)&lt;='Assumptions and Catalog'!$C$60,((D595+E595)*C595)*'Assumptions and Catalog'!$H$60+'Assumptions and Catalog'!$E$60+'Assumptions and Catalog'!$F$60,IF(((D595+E595)*C595)&lt;='Assumptions and Catalog'!$C$61,((D595+E595)*C595)*'Assumptions and Catalog'!$H$61+'Assumptions and Catalog'!$E$61+'Assumptions and Catalog'!$F$61,IF(((D595+E595)*C595)&lt;='Assumptions and Catalog'!$C$62,((D595+E595)*C595)*'Assumptions and Catalog'!$H$62+'Assumptions and Catalog'!$E$62+'Assumptions and Catalog'!$F$62,IF(((D595+E595)*C595)&lt;='Assumptions and Catalog'!$C$63,((D595+E595)*C595)*'Assumptions and Catalog'!$H$63+'Assumptions and Catalog'!$E$63+'Assumptions and Catalog'!$F$63,IF(((D595+E595)*C595)&lt;='Assumptions and Catalog'!$C$64,((D595+E595)*C595)*'Assumptions and Catalog'!$H$64+'Assumptions and Catalog'!$E$64+'Assumptions and Catalog'!$F$64,IF(((D595+E595)*C595)&lt;='Assumptions and Catalog'!$C$65,((D595+E595)*C595)*'Assumptions and Catalog'!$H$65+'Assumptions and Catalog'!$E$65+'Assumptions and Catalog'!$F$65,"Out of range")))))))))*(1+'Assumptions and Catalog'!$C$8)^(A595-1),0)</f>
        <v>8554.9666666666672</v>
      </c>
      <c r="N595" s="5">
        <f>IF(ISNUMBER(Inputs!$L$5),(IF(Inputs!$L$9="Actual flat rate",L595*Inputs!$L$10,IF(Inputs!$C$9="Residential",IF(L595&lt;='Assumptions and Catalog'!$C$50,L595*'Assumptions and Catalog'!$H$50+'Assumptions and Catalog'!$E$50+'Assumptions and Catalog'!$F$50,IF(L595&lt;='Assumptions and Catalog'!$C$51,L595*'Assumptions and Catalog'!$H$51+'Assumptions and Catalog'!$E$51+'Assumptions and Catalog'!$F$51,IF(L595&lt;='Assumptions and Catalog'!$C$52,L595*'Assumptions and Catalog'!$H$52+'Assumptions and Catalog'!$E$52+'Assumptions and Catalog'!$F$52,IF(L595&lt;='Assumptions and Catalog'!$C$53,L595*'Assumptions and Catalog'!$H$53+'Assumptions and Catalog'!$E$53+'Assumptions and Catalog'!$F$53,IF(L595&lt;='Assumptions and Catalog'!$C$54,L595*'Assumptions and Catalog'!$H$54+'Assumptions and Catalog'!$E$54+'Assumptions and Catalog'!$F$54,IF(L595&lt;='Assumptions and Catalog'!$C$55,L595*'Assumptions and Catalog'!$H$55+'Assumptions and Catalog'!$E$55+'Assumptions and Catalog'!$F$55,IF(L595&lt;='Assumptions and Catalog'!$C$56,L595*'Assumptions and Catalog'!$H$56+'Assumptions and Catalog'!$E$56+'Assumptions and Catalog'!$F$56,IF(L595&lt;='Assumptions and Catalog'!$C$57,L595*'Assumptions and Catalog'!$H$57+'Assumptions and Catalog'!$E$57+'Assumptions and Catalog'!$F$57,"Out of range")))))))),IF(L595&lt;='Assumptions and Catalog'!$C$60,L595*'Assumptions and Catalog'!$H$60+'Assumptions and Catalog'!$E$60+'Assumptions and Catalog'!$F$60,IF(L595&lt;='Assumptions and Catalog'!$C$61,L595*'Assumptions and Catalog'!$H$61+'Assumptions and Catalog'!$E$61+'Assumptions and Catalog'!$F$61,IF(L595&lt;='Assumptions and Catalog'!$C$62,L595*'Assumptions and Catalog'!$H$62+'Assumptions and Catalog'!$E$62+'Assumptions and Catalog'!$F$62,IF(L595&lt;='Assumptions and Catalog'!$C$63,L595*'Assumptions and Catalog'!$H$63+'Assumptions and Catalog'!$E$63+'Assumptions and Catalog'!$F$63,IF(L595&lt;='Assumptions and Catalog'!$C$64,L595*'Assumptions and Catalog'!$H$64+'Assumptions and Catalog'!$E$64+'Assumptions and Catalog'!$F$64,IF(L595&lt;='Assumptions and Catalog'!$C$65,L595*'Assumptions and Catalog'!$H$65+'Assumptions and Catalog'!$E$65+'Assumptions and Catalog'!$F$65,"Out of range")))))))))*(1+'Assumptions and Catalog'!$C$8)^(A595-1),0)</f>
        <v>8554.9666666666672</v>
      </c>
      <c r="O595" s="5">
        <f t="shared" si="43"/>
        <v>0</v>
      </c>
      <c r="P595" s="5">
        <f>D$55*(1-K$14)*(1-'Assumptions and Catalog'!$C$23)^R595</f>
        <v>0</v>
      </c>
      <c r="Q595" s="5">
        <f>IF(ISNUMBER(Inputs!$L$5),(IF(Inputs!$L$9="Actual flat rate",((D595+E595)*C595-G595)*Inputs!$L$10,IF(Inputs!$C$9="Residential",IF(((D595+E595)*C595-G595)&lt;='Assumptions and Catalog'!$C$50,((D595+E595)*C595-G595)*'Assumptions and Catalog'!$H$50+'Assumptions and Catalog'!$E$50+'Assumptions and Catalog'!$F$50,IF(((D595+E595)*C595-G595)&lt;='Assumptions and Catalog'!$C$51,((D595+E595)*C595-G595)*'Assumptions and Catalog'!$H$51+'Assumptions and Catalog'!$E$51+'Assumptions and Catalog'!$F$51,IF(((D595+E595)*C595-G595)&lt;='Assumptions and Catalog'!$C$52,((D595+E595)*C595-G595)*'Assumptions and Catalog'!$H$52+'Assumptions and Catalog'!$E$52+'Assumptions and Catalog'!$F$52,IF(((D595+E595)*C595-G595)&lt;='Assumptions and Catalog'!$C$53,((D595+E595)*C595-G595)*'Assumptions and Catalog'!$H$53+'Assumptions and Catalog'!$E$53+'Assumptions and Catalog'!$F$53,IF(((D595+E595)*C595-G595)&lt;='Assumptions and Catalog'!$C$54,((D595+E595)*C595-G595)*'Assumptions and Catalog'!$H$54+'Assumptions and Catalog'!$E$54+'Assumptions and Catalog'!$F$54,IF(((D595+E595)*C595-G595)&lt;='Assumptions and Catalog'!$C$55,((D595+E595)*C595-G595)*'Assumptions and Catalog'!$H$55+'Assumptions and Catalog'!$E$55+'Assumptions and Catalog'!$F$55,IF(((D595+E595)*C595-G595)&lt;='Assumptions and Catalog'!$C$56,((D595+E595)*C595-G595)*'Assumptions and Catalog'!$H$56+'Assumptions and Catalog'!$E$56+'Assumptions and Catalog'!$F$56,IF(((D595+E595)*C595-G595)&lt;='Assumptions and Catalog'!$C$57,((D595+E595)*C595-G595)*'Assumptions and Catalog'!$H$57+'Assumptions and Catalog'!$E$57+'Assumptions and Catalog'!$F$57,"Out of range")))))))),IF(((D595+E595)*C595-G595)&lt;='Assumptions and Catalog'!$C$60,((D595+E595)*C595-G595)*'Assumptions and Catalog'!$H$60+'Assumptions and Catalog'!$E$60+'Assumptions and Catalog'!$F$60,IF(((D595+E595)*C595-G595)&lt;='Assumptions and Catalog'!$C$61,((D595+E595)*C595-G595)*'Assumptions and Catalog'!$H$61+'Assumptions and Catalog'!$E$61+'Assumptions and Catalog'!$F$61,IF(((D595+E595)*C595-G595)&lt;='Assumptions and Catalog'!$C$62,((D595+E595)*C595-G595)*'Assumptions and Catalog'!$H$62+'Assumptions and Catalog'!$E$62+'Assumptions and Catalog'!$F$62,IF(((D595+E595)*C595-G595)&lt;='Assumptions and Catalog'!$C$63,((D595+E595)*C595-G595)*'Assumptions and Catalog'!$H$63+'Assumptions and Catalog'!$E$63+'Assumptions and Catalog'!$F$63,IF(((D595+E595)*C595-G595)&lt;='Assumptions and Catalog'!$C$64,((D595+E595)*C595-G595)*'Assumptions and Catalog'!$H$64+'Assumptions and Catalog'!$E$64+'Assumptions and Catalog'!$F$64,IF(((D595+E595)*C595-G595)&lt;='Assumptions and Catalog'!$C$65,((D595+E595)*C595-G595)*'Assumptions and Catalog'!$H$65+'Assumptions and Catalog'!$E$65+'Assumptions and Catalog'!$F$65,"Out of range")))))))))*(1+'Assumptions and Catalog'!$C$8)^(A595-1),0)</f>
        <v>8554.9666666666672</v>
      </c>
      <c r="R595" s="5">
        <f>IF(AND('Assumptions and Catalog'!$C$19&gt;0,A595&gt;='Assumptions and Catalog'!$C$19),A595-'Assumptions and Catalog'!$C$19,A595-1)</f>
        <v>5</v>
      </c>
      <c r="S595" s="5">
        <f>F595+L595-(D595+E595)*C595-J595-K595-IF(D$52&gt;0,'Assumptions and Catalog'!$C$26*C595,0)</f>
        <v>0</v>
      </c>
      <c r="T595" s="5"/>
      <c r="U595" s="5"/>
    </row>
    <row r="596" spans="1:21" ht="23.1" customHeight="1" outlineLevel="1" x14ac:dyDescent="0.2">
      <c r="A596" s="5">
        <v>16</v>
      </c>
      <c r="B596" s="5">
        <v>6</v>
      </c>
      <c r="C596" s="5">
        <f>DAY(DATE('Assumptions and Catalog'!$C$24+A596-1,B596+1,0))</f>
        <v>30</v>
      </c>
      <c r="D596" s="5">
        <f>IF(ISNUMBER(Inputs!$L$5),Inputs!$L$5*Inputs!$L$6,0)</f>
        <v>40.35</v>
      </c>
      <c r="E596" s="5">
        <f>IF(ISNUMBER(Inputs!$L$5),Inputs!$L$5-D596,0)</f>
        <v>40.35</v>
      </c>
      <c r="F596" s="5">
        <f>D$51*'Assumptions and Catalog'!$C$31*C596*(1-'Assumptions and Catalog'!$C$10)^(A596-1)</f>
        <v>0</v>
      </c>
      <c r="G596" s="5">
        <f t="shared" si="40"/>
        <v>0</v>
      </c>
      <c r="H596" s="5">
        <f>I596/('Assumptions and Catalog'!$C$11*'Assumptions and Catalog'!$C$12)</f>
        <v>0</v>
      </c>
      <c r="I596" s="5">
        <f>IF(K$15="Grid cycle",MIN(K$16,D596+E596,P596*'Assumptions and Catalog'!$C$12,D$57*(24-'Assumptions and Catalog'!$C$15),D$56*'Assumptions and Catalog'!$C$15*'Assumptions and Catalog'!$C$11*'Assumptions and Catalog'!$C$12)*C596,0)</f>
        <v>0</v>
      </c>
      <c r="J596" s="5">
        <f t="shared" si="41"/>
        <v>0</v>
      </c>
      <c r="K596" s="5">
        <f t="shared" si="42"/>
        <v>0</v>
      </c>
      <c r="L596" s="5">
        <f>(D596+E596)*C596-G596-I596+H596+IF(D$52&gt;0,'Assumptions and Catalog'!$C$26*C596,0)</f>
        <v>2421</v>
      </c>
      <c r="M596" s="5">
        <f>IF(ISNUMBER(Inputs!$L$5),(IF(Inputs!$L$9="Actual flat rate",((D596+E596)*C596)*Inputs!$L$10,IF(Inputs!$C$9="Residential",IF(((D596+E596)*C596)&lt;='Assumptions and Catalog'!$C$50,((D596+E596)*C596)*'Assumptions and Catalog'!$H$50+'Assumptions and Catalog'!$E$50+'Assumptions and Catalog'!$F$50,IF(((D596+E596)*C596)&lt;='Assumptions and Catalog'!$C$51,((D596+E596)*C596)*'Assumptions and Catalog'!$H$51+'Assumptions and Catalog'!$E$51+'Assumptions and Catalog'!$F$51,IF(((D596+E596)*C596)&lt;='Assumptions and Catalog'!$C$52,((D596+E596)*C596)*'Assumptions and Catalog'!$H$52+'Assumptions and Catalog'!$E$52+'Assumptions and Catalog'!$F$52,IF(((D596+E596)*C596)&lt;='Assumptions and Catalog'!$C$53,((D596+E596)*C596)*'Assumptions and Catalog'!$H$53+'Assumptions and Catalog'!$E$53+'Assumptions and Catalog'!$F$53,IF(((D596+E596)*C596)&lt;='Assumptions and Catalog'!$C$54,((D596+E596)*C596)*'Assumptions and Catalog'!$H$54+'Assumptions and Catalog'!$E$54+'Assumptions and Catalog'!$F$54,IF(((D596+E596)*C596)&lt;='Assumptions and Catalog'!$C$55,((D596+E596)*C596)*'Assumptions and Catalog'!$H$55+'Assumptions and Catalog'!$E$55+'Assumptions and Catalog'!$F$55,IF(((D596+E596)*C596)&lt;='Assumptions and Catalog'!$C$56,((D596+E596)*C596)*'Assumptions and Catalog'!$H$56+'Assumptions and Catalog'!$E$56+'Assumptions and Catalog'!$F$56,IF(((D596+E596)*C596)&lt;='Assumptions and Catalog'!$C$57,((D596+E596)*C596)*'Assumptions and Catalog'!$H$57+'Assumptions and Catalog'!$E$57+'Assumptions and Catalog'!$F$57,"Out of range")))))))),IF(((D596+E596)*C596)&lt;='Assumptions and Catalog'!$C$60,((D596+E596)*C596)*'Assumptions and Catalog'!$H$60+'Assumptions and Catalog'!$E$60+'Assumptions and Catalog'!$F$60,IF(((D596+E596)*C596)&lt;='Assumptions and Catalog'!$C$61,((D596+E596)*C596)*'Assumptions and Catalog'!$H$61+'Assumptions and Catalog'!$E$61+'Assumptions and Catalog'!$F$61,IF(((D596+E596)*C596)&lt;='Assumptions and Catalog'!$C$62,((D596+E596)*C596)*'Assumptions and Catalog'!$H$62+'Assumptions and Catalog'!$E$62+'Assumptions and Catalog'!$F$62,IF(((D596+E596)*C596)&lt;='Assumptions and Catalog'!$C$63,((D596+E596)*C596)*'Assumptions and Catalog'!$H$63+'Assumptions and Catalog'!$E$63+'Assumptions and Catalog'!$F$63,IF(((D596+E596)*C596)&lt;='Assumptions and Catalog'!$C$64,((D596+E596)*C596)*'Assumptions and Catalog'!$H$64+'Assumptions and Catalog'!$E$64+'Assumptions and Catalog'!$F$64,IF(((D596+E596)*C596)&lt;='Assumptions and Catalog'!$C$65,((D596+E596)*C596)*'Assumptions and Catalog'!$H$65+'Assumptions and Catalog'!$E$65+'Assumptions and Catalog'!$F$65,"Out of range")))))))))*(1+'Assumptions and Catalog'!$C$8)^(A596-1),0)</f>
        <v>8279</v>
      </c>
      <c r="N596" s="5">
        <f>IF(ISNUMBER(Inputs!$L$5),(IF(Inputs!$L$9="Actual flat rate",L596*Inputs!$L$10,IF(Inputs!$C$9="Residential",IF(L596&lt;='Assumptions and Catalog'!$C$50,L596*'Assumptions and Catalog'!$H$50+'Assumptions and Catalog'!$E$50+'Assumptions and Catalog'!$F$50,IF(L596&lt;='Assumptions and Catalog'!$C$51,L596*'Assumptions and Catalog'!$H$51+'Assumptions and Catalog'!$E$51+'Assumptions and Catalog'!$F$51,IF(L596&lt;='Assumptions and Catalog'!$C$52,L596*'Assumptions and Catalog'!$H$52+'Assumptions and Catalog'!$E$52+'Assumptions and Catalog'!$F$52,IF(L596&lt;='Assumptions and Catalog'!$C$53,L596*'Assumptions and Catalog'!$H$53+'Assumptions and Catalog'!$E$53+'Assumptions and Catalog'!$F$53,IF(L596&lt;='Assumptions and Catalog'!$C$54,L596*'Assumptions and Catalog'!$H$54+'Assumptions and Catalog'!$E$54+'Assumptions and Catalog'!$F$54,IF(L596&lt;='Assumptions and Catalog'!$C$55,L596*'Assumptions and Catalog'!$H$55+'Assumptions and Catalog'!$E$55+'Assumptions and Catalog'!$F$55,IF(L596&lt;='Assumptions and Catalog'!$C$56,L596*'Assumptions and Catalog'!$H$56+'Assumptions and Catalog'!$E$56+'Assumptions and Catalog'!$F$56,IF(L596&lt;='Assumptions and Catalog'!$C$57,L596*'Assumptions and Catalog'!$H$57+'Assumptions and Catalog'!$E$57+'Assumptions and Catalog'!$F$57,"Out of range")))))))),IF(L596&lt;='Assumptions and Catalog'!$C$60,L596*'Assumptions and Catalog'!$H$60+'Assumptions and Catalog'!$E$60+'Assumptions and Catalog'!$F$60,IF(L596&lt;='Assumptions and Catalog'!$C$61,L596*'Assumptions and Catalog'!$H$61+'Assumptions and Catalog'!$E$61+'Assumptions and Catalog'!$F$61,IF(L596&lt;='Assumptions and Catalog'!$C$62,L596*'Assumptions and Catalog'!$H$62+'Assumptions and Catalog'!$E$62+'Assumptions and Catalog'!$F$62,IF(L596&lt;='Assumptions and Catalog'!$C$63,L596*'Assumptions and Catalog'!$H$63+'Assumptions and Catalog'!$E$63+'Assumptions and Catalog'!$F$63,IF(L596&lt;='Assumptions and Catalog'!$C$64,L596*'Assumptions and Catalog'!$H$64+'Assumptions and Catalog'!$E$64+'Assumptions and Catalog'!$F$64,IF(L596&lt;='Assumptions and Catalog'!$C$65,L596*'Assumptions and Catalog'!$H$65+'Assumptions and Catalog'!$E$65+'Assumptions and Catalog'!$F$65,"Out of range")))))))))*(1+'Assumptions and Catalog'!$C$8)^(A596-1),0)</f>
        <v>8279</v>
      </c>
      <c r="O596" s="5">
        <f t="shared" si="43"/>
        <v>0</v>
      </c>
      <c r="P596" s="5">
        <f>D$55*(1-K$14)*(1-'Assumptions and Catalog'!$C$23)^R596</f>
        <v>0</v>
      </c>
      <c r="Q596" s="5">
        <f>IF(ISNUMBER(Inputs!$L$5),(IF(Inputs!$L$9="Actual flat rate",((D596+E596)*C596-G596)*Inputs!$L$10,IF(Inputs!$C$9="Residential",IF(((D596+E596)*C596-G596)&lt;='Assumptions and Catalog'!$C$50,((D596+E596)*C596-G596)*'Assumptions and Catalog'!$H$50+'Assumptions and Catalog'!$E$50+'Assumptions and Catalog'!$F$50,IF(((D596+E596)*C596-G596)&lt;='Assumptions and Catalog'!$C$51,((D596+E596)*C596-G596)*'Assumptions and Catalog'!$H$51+'Assumptions and Catalog'!$E$51+'Assumptions and Catalog'!$F$51,IF(((D596+E596)*C596-G596)&lt;='Assumptions and Catalog'!$C$52,((D596+E596)*C596-G596)*'Assumptions and Catalog'!$H$52+'Assumptions and Catalog'!$E$52+'Assumptions and Catalog'!$F$52,IF(((D596+E596)*C596-G596)&lt;='Assumptions and Catalog'!$C$53,((D596+E596)*C596-G596)*'Assumptions and Catalog'!$H$53+'Assumptions and Catalog'!$E$53+'Assumptions and Catalog'!$F$53,IF(((D596+E596)*C596-G596)&lt;='Assumptions and Catalog'!$C$54,((D596+E596)*C596-G596)*'Assumptions and Catalog'!$H$54+'Assumptions and Catalog'!$E$54+'Assumptions and Catalog'!$F$54,IF(((D596+E596)*C596-G596)&lt;='Assumptions and Catalog'!$C$55,((D596+E596)*C596-G596)*'Assumptions and Catalog'!$H$55+'Assumptions and Catalog'!$E$55+'Assumptions and Catalog'!$F$55,IF(((D596+E596)*C596-G596)&lt;='Assumptions and Catalog'!$C$56,((D596+E596)*C596-G596)*'Assumptions and Catalog'!$H$56+'Assumptions and Catalog'!$E$56+'Assumptions and Catalog'!$F$56,IF(((D596+E596)*C596-G596)&lt;='Assumptions and Catalog'!$C$57,((D596+E596)*C596-G596)*'Assumptions and Catalog'!$H$57+'Assumptions and Catalog'!$E$57+'Assumptions and Catalog'!$F$57,"Out of range")))))))),IF(((D596+E596)*C596-G596)&lt;='Assumptions and Catalog'!$C$60,((D596+E596)*C596-G596)*'Assumptions and Catalog'!$H$60+'Assumptions and Catalog'!$E$60+'Assumptions and Catalog'!$F$60,IF(((D596+E596)*C596-G596)&lt;='Assumptions and Catalog'!$C$61,((D596+E596)*C596-G596)*'Assumptions and Catalog'!$H$61+'Assumptions and Catalog'!$E$61+'Assumptions and Catalog'!$F$61,IF(((D596+E596)*C596-G596)&lt;='Assumptions and Catalog'!$C$62,((D596+E596)*C596-G596)*'Assumptions and Catalog'!$H$62+'Assumptions and Catalog'!$E$62+'Assumptions and Catalog'!$F$62,IF(((D596+E596)*C596-G596)&lt;='Assumptions and Catalog'!$C$63,((D596+E596)*C596-G596)*'Assumptions and Catalog'!$H$63+'Assumptions and Catalog'!$E$63+'Assumptions and Catalog'!$F$63,IF(((D596+E596)*C596-G596)&lt;='Assumptions and Catalog'!$C$64,((D596+E596)*C596-G596)*'Assumptions and Catalog'!$H$64+'Assumptions and Catalog'!$E$64+'Assumptions and Catalog'!$F$64,IF(((D596+E596)*C596-G596)&lt;='Assumptions and Catalog'!$C$65,((D596+E596)*C596-G596)*'Assumptions and Catalog'!$H$65+'Assumptions and Catalog'!$E$65+'Assumptions and Catalog'!$F$65,"Out of range")))))))))*(1+'Assumptions and Catalog'!$C$8)^(A596-1),0)</f>
        <v>8279</v>
      </c>
      <c r="R596" s="5">
        <f>IF(AND('Assumptions and Catalog'!$C$19&gt;0,A596&gt;='Assumptions and Catalog'!$C$19),A596-'Assumptions and Catalog'!$C$19,A596-1)</f>
        <v>5</v>
      </c>
      <c r="S596" s="5">
        <f>F596+L596-(D596+E596)*C596-J596-K596-IF(D$52&gt;0,'Assumptions and Catalog'!$C$26*C596,0)</f>
        <v>0</v>
      </c>
      <c r="T596" s="5"/>
      <c r="U596" s="5"/>
    </row>
    <row r="597" spans="1:21" ht="23.1" customHeight="1" outlineLevel="1" x14ac:dyDescent="0.2">
      <c r="A597" s="5">
        <v>16</v>
      </c>
      <c r="B597" s="5">
        <v>7</v>
      </c>
      <c r="C597" s="5">
        <f>DAY(DATE('Assumptions and Catalog'!$C$24+A597-1,B597+1,0))</f>
        <v>31</v>
      </c>
      <c r="D597" s="5">
        <f>IF(ISNUMBER(Inputs!$L$5),Inputs!$L$5*Inputs!$L$6,0)</f>
        <v>40.35</v>
      </c>
      <c r="E597" s="5">
        <f>IF(ISNUMBER(Inputs!$L$5),Inputs!$L$5-D597,0)</f>
        <v>40.35</v>
      </c>
      <c r="F597" s="5">
        <f>D$51*'Assumptions and Catalog'!$C$31*C597*(1-'Assumptions and Catalog'!$C$10)^(A597-1)</f>
        <v>0</v>
      </c>
      <c r="G597" s="5">
        <f t="shared" si="40"/>
        <v>0</v>
      </c>
      <c r="H597" s="5">
        <f>I597/('Assumptions and Catalog'!$C$11*'Assumptions and Catalog'!$C$12)</f>
        <v>0</v>
      </c>
      <c r="I597" s="5">
        <f>IF(K$15="Grid cycle",MIN(K$16,D597+E597,P597*'Assumptions and Catalog'!$C$12,D$57*(24-'Assumptions and Catalog'!$C$15),D$56*'Assumptions and Catalog'!$C$15*'Assumptions and Catalog'!$C$11*'Assumptions and Catalog'!$C$12)*C597,0)</f>
        <v>0</v>
      </c>
      <c r="J597" s="5">
        <f t="shared" si="41"/>
        <v>0</v>
      </c>
      <c r="K597" s="5">
        <f t="shared" si="42"/>
        <v>0</v>
      </c>
      <c r="L597" s="5">
        <f>(D597+E597)*C597-G597-I597+H597+IF(D$52&gt;0,'Assumptions and Catalog'!$C$26*C597,0)</f>
        <v>2501.7000000000003</v>
      </c>
      <c r="M597" s="5">
        <f>IF(ISNUMBER(Inputs!$L$5),(IF(Inputs!$L$9="Actual flat rate",((D597+E597)*C597)*Inputs!$L$10,IF(Inputs!$C$9="Residential",IF(((D597+E597)*C597)&lt;='Assumptions and Catalog'!$C$50,((D597+E597)*C597)*'Assumptions and Catalog'!$H$50+'Assumptions and Catalog'!$E$50+'Assumptions and Catalog'!$F$50,IF(((D597+E597)*C597)&lt;='Assumptions and Catalog'!$C$51,((D597+E597)*C597)*'Assumptions and Catalog'!$H$51+'Assumptions and Catalog'!$E$51+'Assumptions and Catalog'!$F$51,IF(((D597+E597)*C597)&lt;='Assumptions and Catalog'!$C$52,((D597+E597)*C597)*'Assumptions and Catalog'!$H$52+'Assumptions and Catalog'!$E$52+'Assumptions and Catalog'!$F$52,IF(((D597+E597)*C597)&lt;='Assumptions and Catalog'!$C$53,((D597+E597)*C597)*'Assumptions and Catalog'!$H$53+'Assumptions and Catalog'!$E$53+'Assumptions and Catalog'!$F$53,IF(((D597+E597)*C597)&lt;='Assumptions and Catalog'!$C$54,((D597+E597)*C597)*'Assumptions and Catalog'!$H$54+'Assumptions and Catalog'!$E$54+'Assumptions and Catalog'!$F$54,IF(((D597+E597)*C597)&lt;='Assumptions and Catalog'!$C$55,((D597+E597)*C597)*'Assumptions and Catalog'!$H$55+'Assumptions and Catalog'!$E$55+'Assumptions and Catalog'!$F$55,IF(((D597+E597)*C597)&lt;='Assumptions and Catalog'!$C$56,((D597+E597)*C597)*'Assumptions and Catalog'!$H$56+'Assumptions and Catalog'!$E$56+'Assumptions and Catalog'!$F$56,IF(((D597+E597)*C597)&lt;='Assumptions and Catalog'!$C$57,((D597+E597)*C597)*'Assumptions and Catalog'!$H$57+'Assumptions and Catalog'!$E$57+'Assumptions and Catalog'!$F$57,"Out of range")))))))),IF(((D597+E597)*C597)&lt;='Assumptions and Catalog'!$C$60,((D597+E597)*C597)*'Assumptions and Catalog'!$H$60+'Assumptions and Catalog'!$E$60+'Assumptions and Catalog'!$F$60,IF(((D597+E597)*C597)&lt;='Assumptions and Catalog'!$C$61,((D597+E597)*C597)*'Assumptions and Catalog'!$H$61+'Assumptions and Catalog'!$E$61+'Assumptions and Catalog'!$F$61,IF(((D597+E597)*C597)&lt;='Assumptions and Catalog'!$C$62,((D597+E597)*C597)*'Assumptions and Catalog'!$H$62+'Assumptions and Catalog'!$E$62+'Assumptions and Catalog'!$F$62,IF(((D597+E597)*C597)&lt;='Assumptions and Catalog'!$C$63,((D597+E597)*C597)*'Assumptions and Catalog'!$H$63+'Assumptions and Catalog'!$E$63+'Assumptions and Catalog'!$F$63,IF(((D597+E597)*C597)&lt;='Assumptions and Catalog'!$C$64,((D597+E597)*C597)*'Assumptions and Catalog'!$H$64+'Assumptions and Catalog'!$E$64+'Assumptions and Catalog'!$F$64,IF(((D597+E597)*C597)&lt;='Assumptions and Catalog'!$C$65,((D597+E597)*C597)*'Assumptions and Catalog'!$H$65+'Assumptions and Catalog'!$E$65+'Assumptions and Catalog'!$F$65,"Out of range")))))))))*(1+'Assumptions and Catalog'!$C$8)^(A597-1),0)</f>
        <v>8554.9666666666672</v>
      </c>
      <c r="N597" s="5">
        <f>IF(ISNUMBER(Inputs!$L$5),(IF(Inputs!$L$9="Actual flat rate",L597*Inputs!$L$10,IF(Inputs!$C$9="Residential",IF(L597&lt;='Assumptions and Catalog'!$C$50,L597*'Assumptions and Catalog'!$H$50+'Assumptions and Catalog'!$E$50+'Assumptions and Catalog'!$F$50,IF(L597&lt;='Assumptions and Catalog'!$C$51,L597*'Assumptions and Catalog'!$H$51+'Assumptions and Catalog'!$E$51+'Assumptions and Catalog'!$F$51,IF(L597&lt;='Assumptions and Catalog'!$C$52,L597*'Assumptions and Catalog'!$H$52+'Assumptions and Catalog'!$E$52+'Assumptions and Catalog'!$F$52,IF(L597&lt;='Assumptions and Catalog'!$C$53,L597*'Assumptions and Catalog'!$H$53+'Assumptions and Catalog'!$E$53+'Assumptions and Catalog'!$F$53,IF(L597&lt;='Assumptions and Catalog'!$C$54,L597*'Assumptions and Catalog'!$H$54+'Assumptions and Catalog'!$E$54+'Assumptions and Catalog'!$F$54,IF(L597&lt;='Assumptions and Catalog'!$C$55,L597*'Assumptions and Catalog'!$H$55+'Assumptions and Catalog'!$E$55+'Assumptions and Catalog'!$F$55,IF(L597&lt;='Assumptions and Catalog'!$C$56,L597*'Assumptions and Catalog'!$H$56+'Assumptions and Catalog'!$E$56+'Assumptions and Catalog'!$F$56,IF(L597&lt;='Assumptions and Catalog'!$C$57,L597*'Assumptions and Catalog'!$H$57+'Assumptions and Catalog'!$E$57+'Assumptions and Catalog'!$F$57,"Out of range")))))))),IF(L597&lt;='Assumptions and Catalog'!$C$60,L597*'Assumptions and Catalog'!$H$60+'Assumptions and Catalog'!$E$60+'Assumptions and Catalog'!$F$60,IF(L597&lt;='Assumptions and Catalog'!$C$61,L597*'Assumptions and Catalog'!$H$61+'Assumptions and Catalog'!$E$61+'Assumptions and Catalog'!$F$61,IF(L597&lt;='Assumptions and Catalog'!$C$62,L597*'Assumptions and Catalog'!$H$62+'Assumptions and Catalog'!$E$62+'Assumptions and Catalog'!$F$62,IF(L597&lt;='Assumptions and Catalog'!$C$63,L597*'Assumptions and Catalog'!$H$63+'Assumptions and Catalog'!$E$63+'Assumptions and Catalog'!$F$63,IF(L597&lt;='Assumptions and Catalog'!$C$64,L597*'Assumptions and Catalog'!$H$64+'Assumptions and Catalog'!$E$64+'Assumptions and Catalog'!$F$64,IF(L597&lt;='Assumptions and Catalog'!$C$65,L597*'Assumptions and Catalog'!$H$65+'Assumptions and Catalog'!$E$65+'Assumptions and Catalog'!$F$65,"Out of range")))))))))*(1+'Assumptions and Catalog'!$C$8)^(A597-1),0)</f>
        <v>8554.9666666666672</v>
      </c>
      <c r="O597" s="5">
        <f t="shared" si="43"/>
        <v>0</v>
      </c>
      <c r="P597" s="5">
        <f>D$55*(1-K$14)*(1-'Assumptions and Catalog'!$C$23)^R597</f>
        <v>0</v>
      </c>
      <c r="Q597" s="5">
        <f>IF(ISNUMBER(Inputs!$L$5),(IF(Inputs!$L$9="Actual flat rate",((D597+E597)*C597-G597)*Inputs!$L$10,IF(Inputs!$C$9="Residential",IF(((D597+E597)*C597-G597)&lt;='Assumptions and Catalog'!$C$50,((D597+E597)*C597-G597)*'Assumptions and Catalog'!$H$50+'Assumptions and Catalog'!$E$50+'Assumptions and Catalog'!$F$50,IF(((D597+E597)*C597-G597)&lt;='Assumptions and Catalog'!$C$51,((D597+E597)*C597-G597)*'Assumptions and Catalog'!$H$51+'Assumptions and Catalog'!$E$51+'Assumptions and Catalog'!$F$51,IF(((D597+E597)*C597-G597)&lt;='Assumptions and Catalog'!$C$52,((D597+E597)*C597-G597)*'Assumptions and Catalog'!$H$52+'Assumptions and Catalog'!$E$52+'Assumptions and Catalog'!$F$52,IF(((D597+E597)*C597-G597)&lt;='Assumptions and Catalog'!$C$53,((D597+E597)*C597-G597)*'Assumptions and Catalog'!$H$53+'Assumptions and Catalog'!$E$53+'Assumptions and Catalog'!$F$53,IF(((D597+E597)*C597-G597)&lt;='Assumptions and Catalog'!$C$54,((D597+E597)*C597-G597)*'Assumptions and Catalog'!$H$54+'Assumptions and Catalog'!$E$54+'Assumptions and Catalog'!$F$54,IF(((D597+E597)*C597-G597)&lt;='Assumptions and Catalog'!$C$55,((D597+E597)*C597-G597)*'Assumptions and Catalog'!$H$55+'Assumptions and Catalog'!$E$55+'Assumptions and Catalog'!$F$55,IF(((D597+E597)*C597-G597)&lt;='Assumptions and Catalog'!$C$56,((D597+E597)*C597-G597)*'Assumptions and Catalog'!$H$56+'Assumptions and Catalog'!$E$56+'Assumptions and Catalog'!$F$56,IF(((D597+E597)*C597-G597)&lt;='Assumptions and Catalog'!$C$57,((D597+E597)*C597-G597)*'Assumptions and Catalog'!$H$57+'Assumptions and Catalog'!$E$57+'Assumptions and Catalog'!$F$57,"Out of range")))))))),IF(((D597+E597)*C597-G597)&lt;='Assumptions and Catalog'!$C$60,((D597+E597)*C597-G597)*'Assumptions and Catalog'!$H$60+'Assumptions and Catalog'!$E$60+'Assumptions and Catalog'!$F$60,IF(((D597+E597)*C597-G597)&lt;='Assumptions and Catalog'!$C$61,((D597+E597)*C597-G597)*'Assumptions and Catalog'!$H$61+'Assumptions and Catalog'!$E$61+'Assumptions and Catalog'!$F$61,IF(((D597+E597)*C597-G597)&lt;='Assumptions and Catalog'!$C$62,((D597+E597)*C597-G597)*'Assumptions and Catalog'!$H$62+'Assumptions and Catalog'!$E$62+'Assumptions and Catalog'!$F$62,IF(((D597+E597)*C597-G597)&lt;='Assumptions and Catalog'!$C$63,((D597+E597)*C597-G597)*'Assumptions and Catalog'!$H$63+'Assumptions and Catalog'!$E$63+'Assumptions and Catalog'!$F$63,IF(((D597+E597)*C597-G597)&lt;='Assumptions and Catalog'!$C$64,((D597+E597)*C597-G597)*'Assumptions and Catalog'!$H$64+'Assumptions and Catalog'!$E$64+'Assumptions and Catalog'!$F$64,IF(((D597+E597)*C597-G597)&lt;='Assumptions and Catalog'!$C$65,((D597+E597)*C597-G597)*'Assumptions and Catalog'!$H$65+'Assumptions and Catalog'!$E$65+'Assumptions and Catalog'!$F$65,"Out of range")))))))))*(1+'Assumptions and Catalog'!$C$8)^(A597-1),0)</f>
        <v>8554.9666666666672</v>
      </c>
      <c r="R597" s="5">
        <f>IF(AND('Assumptions and Catalog'!$C$19&gt;0,A597&gt;='Assumptions and Catalog'!$C$19),A597-'Assumptions and Catalog'!$C$19,A597-1)</f>
        <v>5</v>
      </c>
      <c r="S597" s="5">
        <f>F597+L597-(D597+E597)*C597-J597-K597-IF(D$52&gt;0,'Assumptions and Catalog'!$C$26*C597,0)</f>
        <v>0</v>
      </c>
      <c r="T597" s="5"/>
      <c r="U597" s="5"/>
    </row>
    <row r="598" spans="1:21" ht="23.1" customHeight="1" outlineLevel="1" x14ac:dyDescent="0.2">
      <c r="A598" s="5">
        <v>16</v>
      </c>
      <c r="B598" s="5">
        <v>8</v>
      </c>
      <c r="C598" s="5">
        <f>DAY(DATE('Assumptions and Catalog'!$C$24+A598-1,B598+1,0))</f>
        <v>31</v>
      </c>
      <c r="D598" s="5">
        <f>IF(ISNUMBER(Inputs!$L$5),Inputs!$L$5*Inputs!$L$6,0)</f>
        <v>40.35</v>
      </c>
      <c r="E598" s="5">
        <f>IF(ISNUMBER(Inputs!$L$5),Inputs!$L$5-D598,0)</f>
        <v>40.35</v>
      </c>
      <c r="F598" s="5">
        <f>D$51*'Assumptions and Catalog'!$C$31*C598*(1-'Assumptions and Catalog'!$C$10)^(A598-1)</f>
        <v>0</v>
      </c>
      <c r="G598" s="5">
        <f t="shared" si="40"/>
        <v>0</v>
      </c>
      <c r="H598" s="5">
        <f>I598/('Assumptions and Catalog'!$C$11*'Assumptions and Catalog'!$C$12)</f>
        <v>0</v>
      </c>
      <c r="I598" s="5">
        <f>IF(K$15="Grid cycle",MIN(K$16,D598+E598,P598*'Assumptions and Catalog'!$C$12,D$57*(24-'Assumptions and Catalog'!$C$15),D$56*'Assumptions and Catalog'!$C$15*'Assumptions and Catalog'!$C$11*'Assumptions and Catalog'!$C$12)*C598,0)</f>
        <v>0</v>
      </c>
      <c r="J598" s="5">
        <f t="shared" si="41"/>
        <v>0</v>
      </c>
      <c r="K598" s="5">
        <f t="shared" si="42"/>
        <v>0</v>
      </c>
      <c r="L598" s="5">
        <f>(D598+E598)*C598-G598-I598+H598+IF(D$52&gt;0,'Assumptions and Catalog'!$C$26*C598,0)</f>
        <v>2501.7000000000003</v>
      </c>
      <c r="M598" s="5">
        <f>IF(ISNUMBER(Inputs!$L$5),(IF(Inputs!$L$9="Actual flat rate",((D598+E598)*C598)*Inputs!$L$10,IF(Inputs!$C$9="Residential",IF(((D598+E598)*C598)&lt;='Assumptions and Catalog'!$C$50,((D598+E598)*C598)*'Assumptions and Catalog'!$H$50+'Assumptions and Catalog'!$E$50+'Assumptions and Catalog'!$F$50,IF(((D598+E598)*C598)&lt;='Assumptions and Catalog'!$C$51,((D598+E598)*C598)*'Assumptions and Catalog'!$H$51+'Assumptions and Catalog'!$E$51+'Assumptions and Catalog'!$F$51,IF(((D598+E598)*C598)&lt;='Assumptions and Catalog'!$C$52,((D598+E598)*C598)*'Assumptions and Catalog'!$H$52+'Assumptions and Catalog'!$E$52+'Assumptions and Catalog'!$F$52,IF(((D598+E598)*C598)&lt;='Assumptions and Catalog'!$C$53,((D598+E598)*C598)*'Assumptions and Catalog'!$H$53+'Assumptions and Catalog'!$E$53+'Assumptions and Catalog'!$F$53,IF(((D598+E598)*C598)&lt;='Assumptions and Catalog'!$C$54,((D598+E598)*C598)*'Assumptions and Catalog'!$H$54+'Assumptions and Catalog'!$E$54+'Assumptions and Catalog'!$F$54,IF(((D598+E598)*C598)&lt;='Assumptions and Catalog'!$C$55,((D598+E598)*C598)*'Assumptions and Catalog'!$H$55+'Assumptions and Catalog'!$E$55+'Assumptions and Catalog'!$F$55,IF(((D598+E598)*C598)&lt;='Assumptions and Catalog'!$C$56,((D598+E598)*C598)*'Assumptions and Catalog'!$H$56+'Assumptions and Catalog'!$E$56+'Assumptions and Catalog'!$F$56,IF(((D598+E598)*C598)&lt;='Assumptions and Catalog'!$C$57,((D598+E598)*C598)*'Assumptions and Catalog'!$H$57+'Assumptions and Catalog'!$E$57+'Assumptions and Catalog'!$F$57,"Out of range")))))))),IF(((D598+E598)*C598)&lt;='Assumptions and Catalog'!$C$60,((D598+E598)*C598)*'Assumptions and Catalog'!$H$60+'Assumptions and Catalog'!$E$60+'Assumptions and Catalog'!$F$60,IF(((D598+E598)*C598)&lt;='Assumptions and Catalog'!$C$61,((D598+E598)*C598)*'Assumptions and Catalog'!$H$61+'Assumptions and Catalog'!$E$61+'Assumptions and Catalog'!$F$61,IF(((D598+E598)*C598)&lt;='Assumptions and Catalog'!$C$62,((D598+E598)*C598)*'Assumptions and Catalog'!$H$62+'Assumptions and Catalog'!$E$62+'Assumptions and Catalog'!$F$62,IF(((D598+E598)*C598)&lt;='Assumptions and Catalog'!$C$63,((D598+E598)*C598)*'Assumptions and Catalog'!$H$63+'Assumptions and Catalog'!$E$63+'Assumptions and Catalog'!$F$63,IF(((D598+E598)*C598)&lt;='Assumptions and Catalog'!$C$64,((D598+E598)*C598)*'Assumptions and Catalog'!$H$64+'Assumptions and Catalog'!$E$64+'Assumptions and Catalog'!$F$64,IF(((D598+E598)*C598)&lt;='Assumptions and Catalog'!$C$65,((D598+E598)*C598)*'Assumptions and Catalog'!$H$65+'Assumptions and Catalog'!$E$65+'Assumptions and Catalog'!$F$65,"Out of range")))))))))*(1+'Assumptions and Catalog'!$C$8)^(A598-1),0)</f>
        <v>8554.9666666666672</v>
      </c>
      <c r="N598" s="5">
        <f>IF(ISNUMBER(Inputs!$L$5),(IF(Inputs!$L$9="Actual flat rate",L598*Inputs!$L$10,IF(Inputs!$C$9="Residential",IF(L598&lt;='Assumptions and Catalog'!$C$50,L598*'Assumptions and Catalog'!$H$50+'Assumptions and Catalog'!$E$50+'Assumptions and Catalog'!$F$50,IF(L598&lt;='Assumptions and Catalog'!$C$51,L598*'Assumptions and Catalog'!$H$51+'Assumptions and Catalog'!$E$51+'Assumptions and Catalog'!$F$51,IF(L598&lt;='Assumptions and Catalog'!$C$52,L598*'Assumptions and Catalog'!$H$52+'Assumptions and Catalog'!$E$52+'Assumptions and Catalog'!$F$52,IF(L598&lt;='Assumptions and Catalog'!$C$53,L598*'Assumptions and Catalog'!$H$53+'Assumptions and Catalog'!$E$53+'Assumptions and Catalog'!$F$53,IF(L598&lt;='Assumptions and Catalog'!$C$54,L598*'Assumptions and Catalog'!$H$54+'Assumptions and Catalog'!$E$54+'Assumptions and Catalog'!$F$54,IF(L598&lt;='Assumptions and Catalog'!$C$55,L598*'Assumptions and Catalog'!$H$55+'Assumptions and Catalog'!$E$55+'Assumptions and Catalog'!$F$55,IF(L598&lt;='Assumptions and Catalog'!$C$56,L598*'Assumptions and Catalog'!$H$56+'Assumptions and Catalog'!$E$56+'Assumptions and Catalog'!$F$56,IF(L598&lt;='Assumptions and Catalog'!$C$57,L598*'Assumptions and Catalog'!$H$57+'Assumptions and Catalog'!$E$57+'Assumptions and Catalog'!$F$57,"Out of range")))))))),IF(L598&lt;='Assumptions and Catalog'!$C$60,L598*'Assumptions and Catalog'!$H$60+'Assumptions and Catalog'!$E$60+'Assumptions and Catalog'!$F$60,IF(L598&lt;='Assumptions and Catalog'!$C$61,L598*'Assumptions and Catalog'!$H$61+'Assumptions and Catalog'!$E$61+'Assumptions and Catalog'!$F$61,IF(L598&lt;='Assumptions and Catalog'!$C$62,L598*'Assumptions and Catalog'!$H$62+'Assumptions and Catalog'!$E$62+'Assumptions and Catalog'!$F$62,IF(L598&lt;='Assumptions and Catalog'!$C$63,L598*'Assumptions and Catalog'!$H$63+'Assumptions and Catalog'!$E$63+'Assumptions and Catalog'!$F$63,IF(L598&lt;='Assumptions and Catalog'!$C$64,L598*'Assumptions and Catalog'!$H$64+'Assumptions and Catalog'!$E$64+'Assumptions and Catalog'!$F$64,IF(L598&lt;='Assumptions and Catalog'!$C$65,L598*'Assumptions and Catalog'!$H$65+'Assumptions and Catalog'!$E$65+'Assumptions and Catalog'!$F$65,"Out of range")))))))))*(1+'Assumptions and Catalog'!$C$8)^(A598-1),0)</f>
        <v>8554.9666666666672</v>
      </c>
      <c r="O598" s="5">
        <f t="shared" si="43"/>
        <v>0</v>
      </c>
      <c r="P598" s="5">
        <f>D$55*(1-K$14)*(1-'Assumptions and Catalog'!$C$23)^R598</f>
        <v>0</v>
      </c>
      <c r="Q598" s="5">
        <f>IF(ISNUMBER(Inputs!$L$5),(IF(Inputs!$L$9="Actual flat rate",((D598+E598)*C598-G598)*Inputs!$L$10,IF(Inputs!$C$9="Residential",IF(((D598+E598)*C598-G598)&lt;='Assumptions and Catalog'!$C$50,((D598+E598)*C598-G598)*'Assumptions and Catalog'!$H$50+'Assumptions and Catalog'!$E$50+'Assumptions and Catalog'!$F$50,IF(((D598+E598)*C598-G598)&lt;='Assumptions and Catalog'!$C$51,((D598+E598)*C598-G598)*'Assumptions and Catalog'!$H$51+'Assumptions and Catalog'!$E$51+'Assumptions and Catalog'!$F$51,IF(((D598+E598)*C598-G598)&lt;='Assumptions and Catalog'!$C$52,((D598+E598)*C598-G598)*'Assumptions and Catalog'!$H$52+'Assumptions and Catalog'!$E$52+'Assumptions and Catalog'!$F$52,IF(((D598+E598)*C598-G598)&lt;='Assumptions and Catalog'!$C$53,((D598+E598)*C598-G598)*'Assumptions and Catalog'!$H$53+'Assumptions and Catalog'!$E$53+'Assumptions and Catalog'!$F$53,IF(((D598+E598)*C598-G598)&lt;='Assumptions and Catalog'!$C$54,((D598+E598)*C598-G598)*'Assumptions and Catalog'!$H$54+'Assumptions and Catalog'!$E$54+'Assumptions and Catalog'!$F$54,IF(((D598+E598)*C598-G598)&lt;='Assumptions and Catalog'!$C$55,((D598+E598)*C598-G598)*'Assumptions and Catalog'!$H$55+'Assumptions and Catalog'!$E$55+'Assumptions and Catalog'!$F$55,IF(((D598+E598)*C598-G598)&lt;='Assumptions and Catalog'!$C$56,((D598+E598)*C598-G598)*'Assumptions and Catalog'!$H$56+'Assumptions and Catalog'!$E$56+'Assumptions and Catalog'!$F$56,IF(((D598+E598)*C598-G598)&lt;='Assumptions and Catalog'!$C$57,((D598+E598)*C598-G598)*'Assumptions and Catalog'!$H$57+'Assumptions and Catalog'!$E$57+'Assumptions and Catalog'!$F$57,"Out of range")))))))),IF(((D598+E598)*C598-G598)&lt;='Assumptions and Catalog'!$C$60,((D598+E598)*C598-G598)*'Assumptions and Catalog'!$H$60+'Assumptions and Catalog'!$E$60+'Assumptions and Catalog'!$F$60,IF(((D598+E598)*C598-G598)&lt;='Assumptions and Catalog'!$C$61,((D598+E598)*C598-G598)*'Assumptions and Catalog'!$H$61+'Assumptions and Catalog'!$E$61+'Assumptions and Catalog'!$F$61,IF(((D598+E598)*C598-G598)&lt;='Assumptions and Catalog'!$C$62,((D598+E598)*C598-G598)*'Assumptions and Catalog'!$H$62+'Assumptions and Catalog'!$E$62+'Assumptions and Catalog'!$F$62,IF(((D598+E598)*C598-G598)&lt;='Assumptions and Catalog'!$C$63,((D598+E598)*C598-G598)*'Assumptions and Catalog'!$H$63+'Assumptions and Catalog'!$E$63+'Assumptions and Catalog'!$F$63,IF(((D598+E598)*C598-G598)&lt;='Assumptions and Catalog'!$C$64,((D598+E598)*C598-G598)*'Assumptions and Catalog'!$H$64+'Assumptions and Catalog'!$E$64+'Assumptions and Catalog'!$F$64,IF(((D598+E598)*C598-G598)&lt;='Assumptions and Catalog'!$C$65,((D598+E598)*C598-G598)*'Assumptions and Catalog'!$H$65+'Assumptions and Catalog'!$E$65+'Assumptions and Catalog'!$F$65,"Out of range")))))))))*(1+'Assumptions and Catalog'!$C$8)^(A598-1),0)</f>
        <v>8554.9666666666672</v>
      </c>
      <c r="R598" s="5">
        <f>IF(AND('Assumptions and Catalog'!$C$19&gt;0,A598&gt;='Assumptions and Catalog'!$C$19),A598-'Assumptions and Catalog'!$C$19,A598-1)</f>
        <v>5</v>
      </c>
      <c r="S598" s="5">
        <f>F598+L598-(D598+E598)*C598-J598-K598-IF(D$52&gt;0,'Assumptions and Catalog'!$C$26*C598,0)</f>
        <v>0</v>
      </c>
      <c r="T598" s="5"/>
      <c r="U598" s="5"/>
    </row>
    <row r="599" spans="1:21" ht="23.1" customHeight="1" outlineLevel="1" x14ac:dyDescent="0.2">
      <c r="A599" s="5">
        <v>16</v>
      </c>
      <c r="B599" s="5">
        <v>9</v>
      </c>
      <c r="C599" s="5">
        <f>DAY(DATE('Assumptions and Catalog'!$C$24+A599-1,B599+1,0))</f>
        <v>30</v>
      </c>
      <c r="D599" s="5">
        <f>IF(ISNUMBER(Inputs!$L$5),Inputs!$L$5*Inputs!$L$6,0)</f>
        <v>40.35</v>
      </c>
      <c r="E599" s="5">
        <f>IF(ISNUMBER(Inputs!$L$5),Inputs!$L$5-D599,0)</f>
        <v>40.35</v>
      </c>
      <c r="F599" s="5">
        <f>D$51*'Assumptions and Catalog'!$C$31*C599*(1-'Assumptions and Catalog'!$C$10)^(A599-1)</f>
        <v>0</v>
      </c>
      <c r="G599" s="5">
        <f t="shared" si="40"/>
        <v>0</v>
      </c>
      <c r="H599" s="5">
        <f>I599/('Assumptions and Catalog'!$C$11*'Assumptions and Catalog'!$C$12)</f>
        <v>0</v>
      </c>
      <c r="I599" s="5">
        <f>IF(K$15="Grid cycle",MIN(K$16,D599+E599,P599*'Assumptions and Catalog'!$C$12,D$57*(24-'Assumptions and Catalog'!$C$15),D$56*'Assumptions and Catalog'!$C$15*'Assumptions and Catalog'!$C$11*'Assumptions and Catalog'!$C$12)*C599,0)</f>
        <v>0</v>
      </c>
      <c r="J599" s="5">
        <f t="shared" si="41"/>
        <v>0</v>
      </c>
      <c r="K599" s="5">
        <f t="shared" si="42"/>
        <v>0</v>
      </c>
      <c r="L599" s="5">
        <f>(D599+E599)*C599-G599-I599+H599+IF(D$52&gt;0,'Assumptions and Catalog'!$C$26*C599,0)</f>
        <v>2421</v>
      </c>
      <c r="M599" s="5">
        <f>IF(ISNUMBER(Inputs!$L$5),(IF(Inputs!$L$9="Actual flat rate",((D599+E599)*C599)*Inputs!$L$10,IF(Inputs!$C$9="Residential",IF(((D599+E599)*C599)&lt;='Assumptions and Catalog'!$C$50,((D599+E599)*C599)*'Assumptions and Catalog'!$H$50+'Assumptions and Catalog'!$E$50+'Assumptions and Catalog'!$F$50,IF(((D599+E599)*C599)&lt;='Assumptions and Catalog'!$C$51,((D599+E599)*C599)*'Assumptions and Catalog'!$H$51+'Assumptions and Catalog'!$E$51+'Assumptions and Catalog'!$F$51,IF(((D599+E599)*C599)&lt;='Assumptions and Catalog'!$C$52,((D599+E599)*C599)*'Assumptions and Catalog'!$H$52+'Assumptions and Catalog'!$E$52+'Assumptions and Catalog'!$F$52,IF(((D599+E599)*C599)&lt;='Assumptions and Catalog'!$C$53,((D599+E599)*C599)*'Assumptions and Catalog'!$H$53+'Assumptions and Catalog'!$E$53+'Assumptions and Catalog'!$F$53,IF(((D599+E599)*C599)&lt;='Assumptions and Catalog'!$C$54,((D599+E599)*C599)*'Assumptions and Catalog'!$H$54+'Assumptions and Catalog'!$E$54+'Assumptions and Catalog'!$F$54,IF(((D599+E599)*C599)&lt;='Assumptions and Catalog'!$C$55,((D599+E599)*C599)*'Assumptions and Catalog'!$H$55+'Assumptions and Catalog'!$E$55+'Assumptions and Catalog'!$F$55,IF(((D599+E599)*C599)&lt;='Assumptions and Catalog'!$C$56,((D599+E599)*C599)*'Assumptions and Catalog'!$H$56+'Assumptions and Catalog'!$E$56+'Assumptions and Catalog'!$F$56,IF(((D599+E599)*C599)&lt;='Assumptions and Catalog'!$C$57,((D599+E599)*C599)*'Assumptions and Catalog'!$H$57+'Assumptions and Catalog'!$E$57+'Assumptions and Catalog'!$F$57,"Out of range")))))))),IF(((D599+E599)*C599)&lt;='Assumptions and Catalog'!$C$60,((D599+E599)*C599)*'Assumptions and Catalog'!$H$60+'Assumptions and Catalog'!$E$60+'Assumptions and Catalog'!$F$60,IF(((D599+E599)*C599)&lt;='Assumptions and Catalog'!$C$61,((D599+E599)*C599)*'Assumptions and Catalog'!$H$61+'Assumptions and Catalog'!$E$61+'Assumptions and Catalog'!$F$61,IF(((D599+E599)*C599)&lt;='Assumptions and Catalog'!$C$62,((D599+E599)*C599)*'Assumptions and Catalog'!$H$62+'Assumptions and Catalog'!$E$62+'Assumptions and Catalog'!$F$62,IF(((D599+E599)*C599)&lt;='Assumptions and Catalog'!$C$63,((D599+E599)*C599)*'Assumptions and Catalog'!$H$63+'Assumptions and Catalog'!$E$63+'Assumptions and Catalog'!$F$63,IF(((D599+E599)*C599)&lt;='Assumptions and Catalog'!$C$64,((D599+E599)*C599)*'Assumptions and Catalog'!$H$64+'Assumptions and Catalog'!$E$64+'Assumptions and Catalog'!$F$64,IF(((D599+E599)*C599)&lt;='Assumptions and Catalog'!$C$65,((D599+E599)*C599)*'Assumptions and Catalog'!$H$65+'Assumptions and Catalog'!$E$65+'Assumptions and Catalog'!$F$65,"Out of range")))))))))*(1+'Assumptions and Catalog'!$C$8)^(A599-1),0)</f>
        <v>8279</v>
      </c>
      <c r="N599" s="5">
        <f>IF(ISNUMBER(Inputs!$L$5),(IF(Inputs!$L$9="Actual flat rate",L599*Inputs!$L$10,IF(Inputs!$C$9="Residential",IF(L599&lt;='Assumptions and Catalog'!$C$50,L599*'Assumptions and Catalog'!$H$50+'Assumptions and Catalog'!$E$50+'Assumptions and Catalog'!$F$50,IF(L599&lt;='Assumptions and Catalog'!$C$51,L599*'Assumptions and Catalog'!$H$51+'Assumptions and Catalog'!$E$51+'Assumptions and Catalog'!$F$51,IF(L599&lt;='Assumptions and Catalog'!$C$52,L599*'Assumptions and Catalog'!$H$52+'Assumptions and Catalog'!$E$52+'Assumptions and Catalog'!$F$52,IF(L599&lt;='Assumptions and Catalog'!$C$53,L599*'Assumptions and Catalog'!$H$53+'Assumptions and Catalog'!$E$53+'Assumptions and Catalog'!$F$53,IF(L599&lt;='Assumptions and Catalog'!$C$54,L599*'Assumptions and Catalog'!$H$54+'Assumptions and Catalog'!$E$54+'Assumptions and Catalog'!$F$54,IF(L599&lt;='Assumptions and Catalog'!$C$55,L599*'Assumptions and Catalog'!$H$55+'Assumptions and Catalog'!$E$55+'Assumptions and Catalog'!$F$55,IF(L599&lt;='Assumptions and Catalog'!$C$56,L599*'Assumptions and Catalog'!$H$56+'Assumptions and Catalog'!$E$56+'Assumptions and Catalog'!$F$56,IF(L599&lt;='Assumptions and Catalog'!$C$57,L599*'Assumptions and Catalog'!$H$57+'Assumptions and Catalog'!$E$57+'Assumptions and Catalog'!$F$57,"Out of range")))))))),IF(L599&lt;='Assumptions and Catalog'!$C$60,L599*'Assumptions and Catalog'!$H$60+'Assumptions and Catalog'!$E$60+'Assumptions and Catalog'!$F$60,IF(L599&lt;='Assumptions and Catalog'!$C$61,L599*'Assumptions and Catalog'!$H$61+'Assumptions and Catalog'!$E$61+'Assumptions and Catalog'!$F$61,IF(L599&lt;='Assumptions and Catalog'!$C$62,L599*'Assumptions and Catalog'!$H$62+'Assumptions and Catalog'!$E$62+'Assumptions and Catalog'!$F$62,IF(L599&lt;='Assumptions and Catalog'!$C$63,L599*'Assumptions and Catalog'!$H$63+'Assumptions and Catalog'!$E$63+'Assumptions and Catalog'!$F$63,IF(L599&lt;='Assumptions and Catalog'!$C$64,L599*'Assumptions and Catalog'!$H$64+'Assumptions and Catalog'!$E$64+'Assumptions and Catalog'!$F$64,IF(L599&lt;='Assumptions and Catalog'!$C$65,L599*'Assumptions and Catalog'!$H$65+'Assumptions and Catalog'!$E$65+'Assumptions and Catalog'!$F$65,"Out of range")))))))))*(1+'Assumptions and Catalog'!$C$8)^(A599-1),0)</f>
        <v>8279</v>
      </c>
      <c r="O599" s="5">
        <f t="shared" si="43"/>
        <v>0</v>
      </c>
      <c r="P599" s="5">
        <f>D$55*(1-K$14)*(1-'Assumptions and Catalog'!$C$23)^R599</f>
        <v>0</v>
      </c>
      <c r="Q599" s="5">
        <f>IF(ISNUMBER(Inputs!$L$5),(IF(Inputs!$L$9="Actual flat rate",((D599+E599)*C599-G599)*Inputs!$L$10,IF(Inputs!$C$9="Residential",IF(((D599+E599)*C599-G599)&lt;='Assumptions and Catalog'!$C$50,((D599+E599)*C599-G599)*'Assumptions and Catalog'!$H$50+'Assumptions and Catalog'!$E$50+'Assumptions and Catalog'!$F$50,IF(((D599+E599)*C599-G599)&lt;='Assumptions and Catalog'!$C$51,((D599+E599)*C599-G599)*'Assumptions and Catalog'!$H$51+'Assumptions and Catalog'!$E$51+'Assumptions and Catalog'!$F$51,IF(((D599+E599)*C599-G599)&lt;='Assumptions and Catalog'!$C$52,((D599+E599)*C599-G599)*'Assumptions and Catalog'!$H$52+'Assumptions and Catalog'!$E$52+'Assumptions and Catalog'!$F$52,IF(((D599+E599)*C599-G599)&lt;='Assumptions and Catalog'!$C$53,((D599+E599)*C599-G599)*'Assumptions and Catalog'!$H$53+'Assumptions and Catalog'!$E$53+'Assumptions and Catalog'!$F$53,IF(((D599+E599)*C599-G599)&lt;='Assumptions and Catalog'!$C$54,((D599+E599)*C599-G599)*'Assumptions and Catalog'!$H$54+'Assumptions and Catalog'!$E$54+'Assumptions and Catalog'!$F$54,IF(((D599+E599)*C599-G599)&lt;='Assumptions and Catalog'!$C$55,((D599+E599)*C599-G599)*'Assumptions and Catalog'!$H$55+'Assumptions and Catalog'!$E$55+'Assumptions and Catalog'!$F$55,IF(((D599+E599)*C599-G599)&lt;='Assumptions and Catalog'!$C$56,((D599+E599)*C599-G599)*'Assumptions and Catalog'!$H$56+'Assumptions and Catalog'!$E$56+'Assumptions and Catalog'!$F$56,IF(((D599+E599)*C599-G599)&lt;='Assumptions and Catalog'!$C$57,((D599+E599)*C599-G599)*'Assumptions and Catalog'!$H$57+'Assumptions and Catalog'!$E$57+'Assumptions and Catalog'!$F$57,"Out of range")))))))),IF(((D599+E599)*C599-G599)&lt;='Assumptions and Catalog'!$C$60,((D599+E599)*C599-G599)*'Assumptions and Catalog'!$H$60+'Assumptions and Catalog'!$E$60+'Assumptions and Catalog'!$F$60,IF(((D599+E599)*C599-G599)&lt;='Assumptions and Catalog'!$C$61,((D599+E599)*C599-G599)*'Assumptions and Catalog'!$H$61+'Assumptions and Catalog'!$E$61+'Assumptions and Catalog'!$F$61,IF(((D599+E599)*C599-G599)&lt;='Assumptions and Catalog'!$C$62,((D599+E599)*C599-G599)*'Assumptions and Catalog'!$H$62+'Assumptions and Catalog'!$E$62+'Assumptions and Catalog'!$F$62,IF(((D599+E599)*C599-G599)&lt;='Assumptions and Catalog'!$C$63,((D599+E599)*C599-G599)*'Assumptions and Catalog'!$H$63+'Assumptions and Catalog'!$E$63+'Assumptions and Catalog'!$F$63,IF(((D599+E599)*C599-G599)&lt;='Assumptions and Catalog'!$C$64,((D599+E599)*C599-G599)*'Assumptions and Catalog'!$H$64+'Assumptions and Catalog'!$E$64+'Assumptions and Catalog'!$F$64,IF(((D599+E599)*C599-G599)&lt;='Assumptions and Catalog'!$C$65,((D599+E599)*C599-G599)*'Assumptions and Catalog'!$H$65+'Assumptions and Catalog'!$E$65+'Assumptions and Catalog'!$F$65,"Out of range")))))))))*(1+'Assumptions and Catalog'!$C$8)^(A599-1),0)</f>
        <v>8279</v>
      </c>
      <c r="R599" s="5">
        <f>IF(AND('Assumptions and Catalog'!$C$19&gt;0,A599&gt;='Assumptions and Catalog'!$C$19),A599-'Assumptions and Catalog'!$C$19,A599-1)</f>
        <v>5</v>
      </c>
      <c r="S599" s="5">
        <f>F599+L599-(D599+E599)*C599-J599-K599-IF(D$52&gt;0,'Assumptions and Catalog'!$C$26*C599,0)</f>
        <v>0</v>
      </c>
      <c r="T599" s="5"/>
      <c r="U599" s="5"/>
    </row>
    <row r="600" spans="1:21" ht="23.1" customHeight="1" outlineLevel="1" x14ac:dyDescent="0.2">
      <c r="A600" s="5">
        <v>16</v>
      </c>
      <c r="B600" s="5">
        <v>10</v>
      </c>
      <c r="C600" s="5">
        <f>DAY(DATE('Assumptions and Catalog'!$C$24+A600-1,B600+1,0))</f>
        <v>31</v>
      </c>
      <c r="D600" s="5">
        <f>IF(ISNUMBER(Inputs!$L$5),Inputs!$L$5*Inputs!$L$6,0)</f>
        <v>40.35</v>
      </c>
      <c r="E600" s="5">
        <f>IF(ISNUMBER(Inputs!$L$5),Inputs!$L$5-D600,0)</f>
        <v>40.35</v>
      </c>
      <c r="F600" s="5">
        <f>D$51*'Assumptions and Catalog'!$C$31*C600*(1-'Assumptions and Catalog'!$C$10)^(A600-1)</f>
        <v>0</v>
      </c>
      <c r="G600" s="5">
        <f t="shared" si="40"/>
        <v>0</v>
      </c>
      <c r="H600" s="5">
        <f>I600/('Assumptions and Catalog'!$C$11*'Assumptions and Catalog'!$C$12)</f>
        <v>0</v>
      </c>
      <c r="I600" s="5">
        <f>IF(K$15="Grid cycle",MIN(K$16,D600+E600,P600*'Assumptions and Catalog'!$C$12,D$57*(24-'Assumptions and Catalog'!$C$15),D$56*'Assumptions and Catalog'!$C$15*'Assumptions and Catalog'!$C$11*'Assumptions and Catalog'!$C$12)*C600,0)</f>
        <v>0</v>
      </c>
      <c r="J600" s="5">
        <f t="shared" si="41"/>
        <v>0</v>
      </c>
      <c r="K600" s="5">
        <f t="shared" si="42"/>
        <v>0</v>
      </c>
      <c r="L600" s="5">
        <f>(D600+E600)*C600-G600-I600+H600+IF(D$52&gt;0,'Assumptions and Catalog'!$C$26*C600,0)</f>
        <v>2501.7000000000003</v>
      </c>
      <c r="M600" s="5">
        <f>IF(ISNUMBER(Inputs!$L$5),(IF(Inputs!$L$9="Actual flat rate",((D600+E600)*C600)*Inputs!$L$10,IF(Inputs!$C$9="Residential",IF(((D600+E600)*C600)&lt;='Assumptions and Catalog'!$C$50,((D600+E600)*C600)*'Assumptions and Catalog'!$H$50+'Assumptions and Catalog'!$E$50+'Assumptions and Catalog'!$F$50,IF(((D600+E600)*C600)&lt;='Assumptions and Catalog'!$C$51,((D600+E600)*C600)*'Assumptions and Catalog'!$H$51+'Assumptions and Catalog'!$E$51+'Assumptions and Catalog'!$F$51,IF(((D600+E600)*C600)&lt;='Assumptions and Catalog'!$C$52,((D600+E600)*C600)*'Assumptions and Catalog'!$H$52+'Assumptions and Catalog'!$E$52+'Assumptions and Catalog'!$F$52,IF(((D600+E600)*C600)&lt;='Assumptions and Catalog'!$C$53,((D600+E600)*C600)*'Assumptions and Catalog'!$H$53+'Assumptions and Catalog'!$E$53+'Assumptions and Catalog'!$F$53,IF(((D600+E600)*C600)&lt;='Assumptions and Catalog'!$C$54,((D600+E600)*C600)*'Assumptions and Catalog'!$H$54+'Assumptions and Catalog'!$E$54+'Assumptions and Catalog'!$F$54,IF(((D600+E600)*C600)&lt;='Assumptions and Catalog'!$C$55,((D600+E600)*C600)*'Assumptions and Catalog'!$H$55+'Assumptions and Catalog'!$E$55+'Assumptions and Catalog'!$F$55,IF(((D600+E600)*C600)&lt;='Assumptions and Catalog'!$C$56,((D600+E600)*C600)*'Assumptions and Catalog'!$H$56+'Assumptions and Catalog'!$E$56+'Assumptions and Catalog'!$F$56,IF(((D600+E600)*C600)&lt;='Assumptions and Catalog'!$C$57,((D600+E600)*C600)*'Assumptions and Catalog'!$H$57+'Assumptions and Catalog'!$E$57+'Assumptions and Catalog'!$F$57,"Out of range")))))))),IF(((D600+E600)*C600)&lt;='Assumptions and Catalog'!$C$60,((D600+E600)*C600)*'Assumptions and Catalog'!$H$60+'Assumptions and Catalog'!$E$60+'Assumptions and Catalog'!$F$60,IF(((D600+E600)*C600)&lt;='Assumptions and Catalog'!$C$61,((D600+E600)*C600)*'Assumptions and Catalog'!$H$61+'Assumptions and Catalog'!$E$61+'Assumptions and Catalog'!$F$61,IF(((D600+E600)*C600)&lt;='Assumptions and Catalog'!$C$62,((D600+E600)*C600)*'Assumptions and Catalog'!$H$62+'Assumptions and Catalog'!$E$62+'Assumptions and Catalog'!$F$62,IF(((D600+E600)*C600)&lt;='Assumptions and Catalog'!$C$63,((D600+E600)*C600)*'Assumptions and Catalog'!$H$63+'Assumptions and Catalog'!$E$63+'Assumptions and Catalog'!$F$63,IF(((D600+E600)*C600)&lt;='Assumptions and Catalog'!$C$64,((D600+E600)*C600)*'Assumptions and Catalog'!$H$64+'Assumptions and Catalog'!$E$64+'Assumptions and Catalog'!$F$64,IF(((D600+E600)*C600)&lt;='Assumptions and Catalog'!$C$65,((D600+E600)*C600)*'Assumptions and Catalog'!$H$65+'Assumptions and Catalog'!$E$65+'Assumptions and Catalog'!$F$65,"Out of range")))))))))*(1+'Assumptions and Catalog'!$C$8)^(A600-1),0)</f>
        <v>8554.9666666666672</v>
      </c>
      <c r="N600" s="5">
        <f>IF(ISNUMBER(Inputs!$L$5),(IF(Inputs!$L$9="Actual flat rate",L600*Inputs!$L$10,IF(Inputs!$C$9="Residential",IF(L600&lt;='Assumptions and Catalog'!$C$50,L600*'Assumptions and Catalog'!$H$50+'Assumptions and Catalog'!$E$50+'Assumptions and Catalog'!$F$50,IF(L600&lt;='Assumptions and Catalog'!$C$51,L600*'Assumptions and Catalog'!$H$51+'Assumptions and Catalog'!$E$51+'Assumptions and Catalog'!$F$51,IF(L600&lt;='Assumptions and Catalog'!$C$52,L600*'Assumptions and Catalog'!$H$52+'Assumptions and Catalog'!$E$52+'Assumptions and Catalog'!$F$52,IF(L600&lt;='Assumptions and Catalog'!$C$53,L600*'Assumptions and Catalog'!$H$53+'Assumptions and Catalog'!$E$53+'Assumptions and Catalog'!$F$53,IF(L600&lt;='Assumptions and Catalog'!$C$54,L600*'Assumptions and Catalog'!$H$54+'Assumptions and Catalog'!$E$54+'Assumptions and Catalog'!$F$54,IF(L600&lt;='Assumptions and Catalog'!$C$55,L600*'Assumptions and Catalog'!$H$55+'Assumptions and Catalog'!$E$55+'Assumptions and Catalog'!$F$55,IF(L600&lt;='Assumptions and Catalog'!$C$56,L600*'Assumptions and Catalog'!$H$56+'Assumptions and Catalog'!$E$56+'Assumptions and Catalog'!$F$56,IF(L600&lt;='Assumptions and Catalog'!$C$57,L600*'Assumptions and Catalog'!$H$57+'Assumptions and Catalog'!$E$57+'Assumptions and Catalog'!$F$57,"Out of range")))))))),IF(L600&lt;='Assumptions and Catalog'!$C$60,L600*'Assumptions and Catalog'!$H$60+'Assumptions and Catalog'!$E$60+'Assumptions and Catalog'!$F$60,IF(L600&lt;='Assumptions and Catalog'!$C$61,L600*'Assumptions and Catalog'!$H$61+'Assumptions and Catalog'!$E$61+'Assumptions and Catalog'!$F$61,IF(L600&lt;='Assumptions and Catalog'!$C$62,L600*'Assumptions and Catalog'!$H$62+'Assumptions and Catalog'!$E$62+'Assumptions and Catalog'!$F$62,IF(L600&lt;='Assumptions and Catalog'!$C$63,L600*'Assumptions and Catalog'!$H$63+'Assumptions and Catalog'!$E$63+'Assumptions and Catalog'!$F$63,IF(L600&lt;='Assumptions and Catalog'!$C$64,L600*'Assumptions and Catalog'!$H$64+'Assumptions and Catalog'!$E$64+'Assumptions and Catalog'!$F$64,IF(L600&lt;='Assumptions and Catalog'!$C$65,L600*'Assumptions and Catalog'!$H$65+'Assumptions and Catalog'!$E$65+'Assumptions and Catalog'!$F$65,"Out of range")))))))))*(1+'Assumptions and Catalog'!$C$8)^(A600-1),0)</f>
        <v>8554.9666666666672</v>
      </c>
      <c r="O600" s="5">
        <f t="shared" si="43"/>
        <v>0</v>
      </c>
      <c r="P600" s="5">
        <f>D$55*(1-K$14)*(1-'Assumptions and Catalog'!$C$23)^R600</f>
        <v>0</v>
      </c>
      <c r="Q600" s="5">
        <f>IF(ISNUMBER(Inputs!$L$5),(IF(Inputs!$L$9="Actual flat rate",((D600+E600)*C600-G600)*Inputs!$L$10,IF(Inputs!$C$9="Residential",IF(((D600+E600)*C600-G600)&lt;='Assumptions and Catalog'!$C$50,((D600+E600)*C600-G600)*'Assumptions and Catalog'!$H$50+'Assumptions and Catalog'!$E$50+'Assumptions and Catalog'!$F$50,IF(((D600+E600)*C600-G600)&lt;='Assumptions and Catalog'!$C$51,((D600+E600)*C600-G600)*'Assumptions and Catalog'!$H$51+'Assumptions and Catalog'!$E$51+'Assumptions and Catalog'!$F$51,IF(((D600+E600)*C600-G600)&lt;='Assumptions and Catalog'!$C$52,((D600+E600)*C600-G600)*'Assumptions and Catalog'!$H$52+'Assumptions and Catalog'!$E$52+'Assumptions and Catalog'!$F$52,IF(((D600+E600)*C600-G600)&lt;='Assumptions and Catalog'!$C$53,((D600+E600)*C600-G600)*'Assumptions and Catalog'!$H$53+'Assumptions and Catalog'!$E$53+'Assumptions and Catalog'!$F$53,IF(((D600+E600)*C600-G600)&lt;='Assumptions and Catalog'!$C$54,((D600+E600)*C600-G600)*'Assumptions and Catalog'!$H$54+'Assumptions and Catalog'!$E$54+'Assumptions and Catalog'!$F$54,IF(((D600+E600)*C600-G600)&lt;='Assumptions and Catalog'!$C$55,((D600+E600)*C600-G600)*'Assumptions and Catalog'!$H$55+'Assumptions and Catalog'!$E$55+'Assumptions and Catalog'!$F$55,IF(((D600+E600)*C600-G600)&lt;='Assumptions and Catalog'!$C$56,((D600+E600)*C600-G600)*'Assumptions and Catalog'!$H$56+'Assumptions and Catalog'!$E$56+'Assumptions and Catalog'!$F$56,IF(((D600+E600)*C600-G600)&lt;='Assumptions and Catalog'!$C$57,((D600+E600)*C600-G600)*'Assumptions and Catalog'!$H$57+'Assumptions and Catalog'!$E$57+'Assumptions and Catalog'!$F$57,"Out of range")))))))),IF(((D600+E600)*C600-G600)&lt;='Assumptions and Catalog'!$C$60,((D600+E600)*C600-G600)*'Assumptions and Catalog'!$H$60+'Assumptions and Catalog'!$E$60+'Assumptions and Catalog'!$F$60,IF(((D600+E600)*C600-G600)&lt;='Assumptions and Catalog'!$C$61,((D600+E600)*C600-G600)*'Assumptions and Catalog'!$H$61+'Assumptions and Catalog'!$E$61+'Assumptions and Catalog'!$F$61,IF(((D600+E600)*C600-G600)&lt;='Assumptions and Catalog'!$C$62,((D600+E600)*C600-G600)*'Assumptions and Catalog'!$H$62+'Assumptions and Catalog'!$E$62+'Assumptions and Catalog'!$F$62,IF(((D600+E600)*C600-G600)&lt;='Assumptions and Catalog'!$C$63,((D600+E600)*C600-G600)*'Assumptions and Catalog'!$H$63+'Assumptions and Catalog'!$E$63+'Assumptions and Catalog'!$F$63,IF(((D600+E600)*C600-G600)&lt;='Assumptions and Catalog'!$C$64,((D600+E600)*C600-G600)*'Assumptions and Catalog'!$H$64+'Assumptions and Catalog'!$E$64+'Assumptions and Catalog'!$F$64,IF(((D600+E600)*C600-G600)&lt;='Assumptions and Catalog'!$C$65,((D600+E600)*C600-G600)*'Assumptions and Catalog'!$H$65+'Assumptions and Catalog'!$E$65+'Assumptions and Catalog'!$F$65,"Out of range")))))))))*(1+'Assumptions and Catalog'!$C$8)^(A600-1),0)</f>
        <v>8554.9666666666672</v>
      </c>
      <c r="R600" s="5">
        <f>IF(AND('Assumptions and Catalog'!$C$19&gt;0,A600&gt;='Assumptions and Catalog'!$C$19),A600-'Assumptions and Catalog'!$C$19,A600-1)</f>
        <v>5</v>
      </c>
      <c r="S600" s="5">
        <f>F600+L600-(D600+E600)*C600-J600-K600-IF(D$52&gt;0,'Assumptions and Catalog'!$C$26*C600,0)</f>
        <v>0</v>
      </c>
      <c r="T600" s="5"/>
      <c r="U600" s="5"/>
    </row>
    <row r="601" spans="1:21" ht="23.1" customHeight="1" outlineLevel="1" x14ac:dyDescent="0.2">
      <c r="A601" s="5">
        <v>16</v>
      </c>
      <c r="B601" s="5">
        <v>11</v>
      </c>
      <c r="C601" s="5">
        <f>DAY(DATE('Assumptions and Catalog'!$C$24+A601-1,B601+1,0))</f>
        <v>30</v>
      </c>
      <c r="D601" s="5">
        <f>IF(ISNUMBER(Inputs!$L$5),Inputs!$L$5*Inputs!$L$6,0)</f>
        <v>40.35</v>
      </c>
      <c r="E601" s="5">
        <f>IF(ISNUMBER(Inputs!$L$5),Inputs!$L$5-D601,0)</f>
        <v>40.35</v>
      </c>
      <c r="F601" s="5">
        <f>D$51*'Assumptions and Catalog'!$C$31*C601*(1-'Assumptions and Catalog'!$C$10)^(A601-1)</f>
        <v>0</v>
      </c>
      <c r="G601" s="5">
        <f t="shared" si="40"/>
        <v>0</v>
      </c>
      <c r="H601" s="5">
        <f>I601/('Assumptions and Catalog'!$C$11*'Assumptions and Catalog'!$C$12)</f>
        <v>0</v>
      </c>
      <c r="I601" s="5">
        <f>IF(K$15="Grid cycle",MIN(K$16,D601+E601,P601*'Assumptions and Catalog'!$C$12,D$57*(24-'Assumptions and Catalog'!$C$15),D$56*'Assumptions and Catalog'!$C$15*'Assumptions and Catalog'!$C$11*'Assumptions and Catalog'!$C$12)*C601,0)</f>
        <v>0</v>
      </c>
      <c r="J601" s="5">
        <f t="shared" si="41"/>
        <v>0</v>
      </c>
      <c r="K601" s="5">
        <f t="shared" si="42"/>
        <v>0</v>
      </c>
      <c r="L601" s="5">
        <f>(D601+E601)*C601-G601-I601+H601+IF(D$52&gt;0,'Assumptions and Catalog'!$C$26*C601,0)</f>
        <v>2421</v>
      </c>
      <c r="M601" s="5">
        <f>IF(ISNUMBER(Inputs!$L$5),(IF(Inputs!$L$9="Actual flat rate",((D601+E601)*C601)*Inputs!$L$10,IF(Inputs!$C$9="Residential",IF(((D601+E601)*C601)&lt;='Assumptions and Catalog'!$C$50,((D601+E601)*C601)*'Assumptions and Catalog'!$H$50+'Assumptions and Catalog'!$E$50+'Assumptions and Catalog'!$F$50,IF(((D601+E601)*C601)&lt;='Assumptions and Catalog'!$C$51,((D601+E601)*C601)*'Assumptions and Catalog'!$H$51+'Assumptions and Catalog'!$E$51+'Assumptions and Catalog'!$F$51,IF(((D601+E601)*C601)&lt;='Assumptions and Catalog'!$C$52,((D601+E601)*C601)*'Assumptions and Catalog'!$H$52+'Assumptions and Catalog'!$E$52+'Assumptions and Catalog'!$F$52,IF(((D601+E601)*C601)&lt;='Assumptions and Catalog'!$C$53,((D601+E601)*C601)*'Assumptions and Catalog'!$H$53+'Assumptions and Catalog'!$E$53+'Assumptions and Catalog'!$F$53,IF(((D601+E601)*C601)&lt;='Assumptions and Catalog'!$C$54,((D601+E601)*C601)*'Assumptions and Catalog'!$H$54+'Assumptions and Catalog'!$E$54+'Assumptions and Catalog'!$F$54,IF(((D601+E601)*C601)&lt;='Assumptions and Catalog'!$C$55,((D601+E601)*C601)*'Assumptions and Catalog'!$H$55+'Assumptions and Catalog'!$E$55+'Assumptions and Catalog'!$F$55,IF(((D601+E601)*C601)&lt;='Assumptions and Catalog'!$C$56,((D601+E601)*C601)*'Assumptions and Catalog'!$H$56+'Assumptions and Catalog'!$E$56+'Assumptions and Catalog'!$F$56,IF(((D601+E601)*C601)&lt;='Assumptions and Catalog'!$C$57,((D601+E601)*C601)*'Assumptions and Catalog'!$H$57+'Assumptions and Catalog'!$E$57+'Assumptions and Catalog'!$F$57,"Out of range")))))))),IF(((D601+E601)*C601)&lt;='Assumptions and Catalog'!$C$60,((D601+E601)*C601)*'Assumptions and Catalog'!$H$60+'Assumptions and Catalog'!$E$60+'Assumptions and Catalog'!$F$60,IF(((D601+E601)*C601)&lt;='Assumptions and Catalog'!$C$61,((D601+E601)*C601)*'Assumptions and Catalog'!$H$61+'Assumptions and Catalog'!$E$61+'Assumptions and Catalog'!$F$61,IF(((D601+E601)*C601)&lt;='Assumptions and Catalog'!$C$62,((D601+E601)*C601)*'Assumptions and Catalog'!$H$62+'Assumptions and Catalog'!$E$62+'Assumptions and Catalog'!$F$62,IF(((D601+E601)*C601)&lt;='Assumptions and Catalog'!$C$63,((D601+E601)*C601)*'Assumptions and Catalog'!$H$63+'Assumptions and Catalog'!$E$63+'Assumptions and Catalog'!$F$63,IF(((D601+E601)*C601)&lt;='Assumptions and Catalog'!$C$64,((D601+E601)*C601)*'Assumptions and Catalog'!$H$64+'Assumptions and Catalog'!$E$64+'Assumptions and Catalog'!$F$64,IF(((D601+E601)*C601)&lt;='Assumptions and Catalog'!$C$65,((D601+E601)*C601)*'Assumptions and Catalog'!$H$65+'Assumptions and Catalog'!$E$65+'Assumptions and Catalog'!$F$65,"Out of range")))))))))*(1+'Assumptions and Catalog'!$C$8)^(A601-1),0)</f>
        <v>8279</v>
      </c>
      <c r="N601" s="5">
        <f>IF(ISNUMBER(Inputs!$L$5),(IF(Inputs!$L$9="Actual flat rate",L601*Inputs!$L$10,IF(Inputs!$C$9="Residential",IF(L601&lt;='Assumptions and Catalog'!$C$50,L601*'Assumptions and Catalog'!$H$50+'Assumptions and Catalog'!$E$50+'Assumptions and Catalog'!$F$50,IF(L601&lt;='Assumptions and Catalog'!$C$51,L601*'Assumptions and Catalog'!$H$51+'Assumptions and Catalog'!$E$51+'Assumptions and Catalog'!$F$51,IF(L601&lt;='Assumptions and Catalog'!$C$52,L601*'Assumptions and Catalog'!$H$52+'Assumptions and Catalog'!$E$52+'Assumptions and Catalog'!$F$52,IF(L601&lt;='Assumptions and Catalog'!$C$53,L601*'Assumptions and Catalog'!$H$53+'Assumptions and Catalog'!$E$53+'Assumptions and Catalog'!$F$53,IF(L601&lt;='Assumptions and Catalog'!$C$54,L601*'Assumptions and Catalog'!$H$54+'Assumptions and Catalog'!$E$54+'Assumptions and Catalog'!$F$54,IF(L601&lt;='Assumptions and Catalog'!$C$55,L601*'Assumptions and Catalog'!$H$55+'Assumptions and Catalog'!$E$55+'Assumptions and Catalog'!$F$55,IF(L601&lt;='Assumptions and Catalog'!$C$56,L601*'Assumptions and Catalog'!$H$56+'Assumptions and Catalog'!$E$56+'Assumptions and Catalog'!$F$56,IF(L601&lt;='Assumptions and Catalog'!$C$57,L601*'Assumptions and Catalog'!$H$57+'Assumptions and Catalog'!$E$57+'Assumptions and Catalog'!$F$57,"Out of range")))))))),IF(L601&lt;='Assumptions and Catalog'!$C$60,L601*'Assumptions and Catalog'!$H$60+'Assumptions and Catalog'!$E$60+'Assumptions and Catalog'!$F$60,IF(L601&lt;='Assumptions and Catalog'!$C$61,L601*'Assumptions and Catalog'!$H$61+'Assumptions and Catalog'!$E$61+'Assumptions and Catalog'!$F$61,IF(L601&lt;='Assumptions and Catalog'!$C$62,L601*'Assumptions and Catalog'!$H$62+'Assumptions and Catalog'!$E$62+'Assumptions and Catalog'!$F$62,IF(L601&lt;='Assumptions and Catalog'!$C$63,L601*'Assumptions and Catalog'!$H$63+'Assumptions and Catalog'!$E$63+'Assumptions and Catalog'!$F$63,IF(L601&lt;='Assumptions and Catalog'!$C$64,L601*'Assumptions and Catalog'!$H$64+'Assumptions and Catalog'!$E$64+'Assumptions and Catalog'!$F$64,IF(L601&lt;='Assumptions and Catalog'!$C$65,L601*'Assumptions and Catalog'!$H$65+'Assumptions and Catalog'!$E$65+'Assumptions and Catalog'!$F$65,"Out of range")))))))))*(1+'Assumptions and Catalog'!$C$8)^(A601-1),0)</f>
        <v>8279</v>
      </c>
      <c r="O601" s="5">
        <f t="shared" si="43"/>
        <v>0</v>
      </c>
      <c r="P601" s="5">
        <f>D$55*(1-K$14)*(1-'Assumptions and Catalog'!$C$23)^R601</f>
        <v>0</v>
      </c>
      <c r="Q601" s="5">
        <f>IF(ISNUMBER(Inputs!$L$5),(IF(Inputs!$L$9="Actual flat rate",((D601+E601)*C601-G601)*Inputs!$L$10,IF(Inputs!$C$9="Residential",IF(((D601+E601)*C601-G601)&lt;='Assumptions and Catalog'!$C$50,((D601+E601)*C601-G601)*'Assumptions and Catalog'!$H$50+'Assumptions and Catalog'!$E$50+'Assumptions and Catalog'!$F$50,IF(((D601+E601)*C601-G601)&lt;='Assumptions and Catalog'!$C$51,((D601+E601)*C601-G601)*'Assumptions and Catalog'!$H$51+'Assumptions and Catalog'!$E$51+'Assumptions and Catalog'!$F$51,IF(((D601+E601)*C601-G601)&lt;='Assumptions and Catalog'!$C$52,((D601+E601)*C601-G601)*'Assumptions and Catalog'!$H$52+'Assumptions and Catalog'!$E$52+'Assumptions and Catalog'!$F$52,IF(((D601+E601)*C601-G601)&lt;='Assumptions and Catalog'!$C$53,((D601+E601)*C601-G601)*'Assumptions and Catalog'!$H$53+'Assumptions and Catalog'!$E$53+'Assumptions and Catalog'!$F$53,IF(((D601+E601)*C601-G601)&lt;='Assumptions and Catalog'!$C$54,((D601+E601)*C601-G601)*'Assumptions and Catalog'!$H$54+'Assumptions and Catalog'!$E$54+'Assumptions and Catalog'!$F$54,IF(((D601+E601)*C601-G601)&lt;='Assumptions and Catalog'!$C$55,((D601+E601)*C601-G601)*'Assumptions and Catalog'!$H$55+'Assumptions and Catalog'!$E$55+'Assumptions and Catalog'!$F$55,IF(((D601+E601)*C601-G601)&lt;='Assumptions and Catalog'!$C$56,((D601+E601)*C601-G601)*'Assumptions and Catalog'!$H$56+'Assumptions and Catalog'!$E$56+'Assumptions and Catalog'!$F$56,IF(((D601+E601)*C601-G601)&lt;='Assumptions and Catalog'!$C$57,((D601+E601)*C601-G601)*'Assumptions and Catalog'!$H$57+'Assumptions and Catalog'!$E$57+'Assumptions and Catalog'!$F$57,"Out of range")))))))),IF(((D601+E601)*C601-G601)&lt;='Assumptions and Catalog'!$C$60,((D601+E601)*C601-G601)*'Assumptions and Catalog'!$H$60+'Assumptions and Catalog'!$E$60+'Assumptions and Catalog'!$F$60,IF(((D601+E601)*C601-G601)&lt;='Assumptions and Catalog'!$C$61,((D601+E601)*C601-G601)*'Assumptions and Catalog'!$H$61+'Assumptions and Catalog'!$E$61+'Assumptions and Catalog'!$F$61,IF(((D601+E601)*C601-G601)&lt;='Assumptions and Catalog'!$C$62,((D601+E601)*C601-G601)*'Assumptions and Catalog'!$H$62+'Assumptions and Catalog'!$E$62+'Assumptions and Catalog'!$F$62,IF(((D601+E601)*C601-G601)&lt;='Assumptions and Catalog'!$C$63,((D601+E601)*C601-G601)*'Assumptions and Catalog'!$H$63+'Assumptions and Catalog'!$E$63+'Assumptions and Catalog'!$F$63,IF(((D601+E601)*C601-G601)&lt;='Assumptions and Catalog'!$C$64,((D601+E601)*C601-G601)*'Assumptions and Catalog'!$H$64+'Assumptions and Catalog'!$E$64+'Assumptions and Catalog'!$F$64,IF(((D601+E601)*C601-G601)&lt;='Assumptions and Catalog'!$C$65,((D601+E601)*C601-G601)*'Assumptions and Catalog'!$H$65+'Assumptions and Catalog'!$E$65+'Assumptions and Catalog'!$F$65,"Out of range")))))))))*(1+'Assumptions and Catalog'!$C$8)^(A601-1),0)</f>
        <v>8279</v>
      </c>
      <c r="R601" s="5">
        <f>IF(AND('Assumptions and Catalog'!$C$19&gt;0,A601&gt;='Assumptions and Catalog'!$C$19),A601-'Assumptions and Catalog'!$C$19,A601-1)</f>
        <v>5</v>
      </c>
      <c r="S601" s="5">
        <f>F601+L601-(D601+E601)*C601-J601-K601-IF(D$52&gt;0,'Assumptions and Catalog'!$C$26*C601,0)</f>
        <v>0</v>
      </c>
      <c r="T601" s="5"/>
      <c r="U601" s="5"/>
    </row>
    <row r="602" spans="1:21" ht="23.1" customHeight="1" outlineLevel="1" x14ac:dyDescent="0.2">
      <c r="A602" s="5">
        <v>16</v>
      </c>
      <c r="B602" s="5">
        <v>12</v>
      </c>
      <c r="C602" s="5">
        <f>DAY(DATE('Assumptions and Catalog'!$C$24+A602-1,B602+1,0))</f>
        <v>31</v>
      </c>
      <c r="D602" s="5">
        <f>IF(ISNUMBER(Inputs!$L$5),Inputs!$L$5*Inputs!$L$6,0)</f>
        <v>40.35</v>
      </c>
      <c r="E602" s="5">
        <f>IF(ISNUMBER(Inputs!$L$5),Inputs!$L$5-D602,0)</f>
        <v>40.35</v>
      </c>
      <c r="F602" s="5">
        <f>D$51*'Assumptions and Catalog'!$C$31*C602*(1-'Assumptions and Catalog'!$C$10)^(A602-1)</f>
        <v>0</v>
      </c>
      <c r="G602" s="5">
        <f t="shared" si="40"/>
        <v>0</v>
      </c>
      <c r="H602" s="5">
        <f>I602/('Assumptions and Catalog'!$C$11*'Assumptions and Catalog'!$C$12)</f>
        <v>0</v>
      </c>
      <c r="I602" s="5">
        <f>IF(K$15="Grid cycle",MIN(K$16,D602+E602,P602*'Assumptions and Catalog'!$C$12,D$57*(24-'Assumptions and Catalog'!$C$15),D$56*'Assumptions and Catalog'!$C$15*'Assumptions and Catalog'!$C$11*'Assumptions and Catalog'!$C$12)*C602,0)</f>
        <v>0</v>
      </c>
      <c r="J602" s="5">
        <f t="shared" si="41"/>
        <v>0</v>
      </c>
      <c r="K602" s="5">
        <f t="shared" si="42"/>
        <v>0</v>
      </c>
      <c r="L602" s="5">
        <f>(D602+E602)*C602-G602-I602+H602+IF(D$52&gt;0,'Assumptions and Catalog'!$C$26*C602,0)</f>
        <v>2501.7000000000003</v>
      </c>
      <c r="M602" s="5">
        <f>IF(ISNUMBER(Inputs!$L$5),(IF(Inputs!$L$9="Actual flat rate",((D602+E602)*C602)*Inputs!$L$10,IF(Inputs!$C$9="Residential",IF(((D602+E602)*C602)&lt;='Assumptions and Catalog'!$C$50,((D602+E602)*C602)*'Assumptions and Catalog'!$H$50+'Assumptions and Catalog'!$E$50+'Assumptions and Catalog'!$F$50,IF(((D602+E602)*C602)&lt;='Assumptions and Catalog'!$C$51,((D602+E602)*C602)*'Assumptions and Catalog'!$H$51+'Assumptions and Catalog'!$E$51+'Assumptions and Catalog'!$F$51,IF(((D602+E602)*C602)&lt;='Assumptions and Catalog'!$C$52,((D602+E602)*C602)*'Assumptions and Catalog'!$H$52+'Assumptions and Catalog'!$E$52+'Assumptions and Catalog'!$F$52,IF(((D602+E602)*C602)&lt;='Assumptions and Catalog'!$C$53,((D602+E602)*C602)*'Assumptions and Catalog'!$H$53+'Assumptions and Catalog'!$E$53+'Assumptions and Catalog'!$F$53,IF(((D602+E602)*C602)&lt;='Assumptions and Catalog'!$C$54,((D602+E602)*C602)*'Assumptions and Catalog'!$H$54+'Assumptions and Catalog'!$E$54+'Assumptions and Catalog'!$F$54,IF(((D602+E602)*C602)&lt;='Assumptions and Catalog'!$C$55,((D602+E602)*C602)*'Assumptions and Catalog'!$H$55+'Assumptions and Catalog'!$E$55+'Assumptions and Catalog'!$F$55,IF(((D602+E602)*C602)&lt;='Assumptions and Catalog'!$C$56,((D602+E602)*C602)*'Assumptions and Catalog'!$H$56+'Assumptions and Catalog'!$E$56+'Assumptions and Catalog'!$F$56,IF(((D602+E602)*C602)&lt;='Assumptions and Catalog'!$C$57,((D602+E602)*C602)*'Assumptions and Catalog'!$H$57+'Assumptions and Catalog'!$E$57+'Assumptions and Catalog'!$F$57,"Out of range")))))))),IF(((D602+E602)*C602)&lt;='Assumptions and Catalog'!$C$60,((D602+E602)*C602)*'Assumptions and Catalog'!$H$60+'Assumptions and Catalog'!$E$60+'Assumptions and Catalog'!$F$60,IF(((D602+E602)*C602)&lt;='Assumptions and Catalog'!$C$61,((D602+E602)*C602)*'Assumptions and Catalog'!$H$61+'Assumptions and Catalog'!$E$61+'Assumptions and Catalog'!$F$61,IF(((D602+E602)*C602)&lt;='Assumptions and Catalog'!$C$62,((D602+E602)*C602)*'Assumptions and Catalog'!$H$62+'Assumptions and Catalog'!$E$62+'Assumptions and Catalog'!$F$62,IF(((D602+E602)*C602)&lt;='Assumptions and Catalog'!$C$63,((D602+E602)*C602)*'Assumptions and Catalog'!$H$63+'Assumptions and Catalog'!$E$63+'Assumptions and Catalog'!$F$63,IF(((D602+E602)*C602)&lt;='Assumptions and Catalog'!$C$64,((D602+E602)*C602)*'Assumptions and Catalog'!$H$64+'Assumptions and Catalog'!$E$64+'Assumptions and Catalog'!$F$64,IF(((D602+E602)*C602)&lt;='Assumptions and Catalog'!$C$65,((D602+E602)*C602)*'Assumptions and Catalog'!$H$65+'Assumptions and Catalog'!$E$65+'Assumptions and Catalog'!$F$65,"Out of range")))))))))*(1+'Assumptions and Catalog'!$C$8)^(A602-1),0)</f>
        <v>8554.9666666666672</v>
      </c>
      <c r="N602" s="5">
        <f>IF(ISNUMBER(Inputs!$L$5),(IF(Inputs!$L$9="Actual flat rate",L602*Inputs!$L$10,IF(Inputs!$C$9="Residential",IF(L602&lt;='Assumptions and Catalog'!$C$50,L602*'Assumptions and Catalog'!$H$50+'Assumptions and Catalog'!$E$50+'Assumptions and Catalog'!$F$50,IF(L602&lt;='Assumptions and Catalog'!$C$51,L602*'Assumptions and Catalog'!$H$51+'Assumptions and Catalog'!$E$51+'Assumptions and Catalog'!$F$51,IF(L602&lt;='Assumptions and Catalog'!$C$52,L602*'Assumptions and Catalog'!$H$52+'Assumptions and Catalog'!$E$52+'Assumptions and Catalog'!$F$52,IF(L602&lt;='Assumptions and Catalog'!$C$53,L602*'Assumptions and Catalog'!$H$53+'Assumptions and Catalog'!$E$53+'Assumptions and Catalog'!$F$53,IF(L602&lt;='Assumptions and Catalog'!$C$54,L602*'Assumptions and Catalog'!$H$54+'Assumptions and Catalog'!$E$54+'Assumptions and Catalog'!$F$54,IF(L602&lt;='Assumptions and Catalog'!$C$55,L602*'Assumptions and Catalog'!$H$55+'Assumptions and Catalog'!$E$55+'Assumptions and Catalog'!$F$55,IF(L602&lt;='Assumptions and Catalog'!$C$56,L602*'Assumptions and Catalog'!$H$56+'Assumptions and Catalog'!$E$56+'Assumptions and Catalog'!$F$56,IF(L602&lt;='Assumptions and Catalog'!$C$57,L602*'Assumptions and Catalog'!$H$57+'Assumptions and Catalog'!$E$57+'Assumptions and Catalog'!$F$57,"Out of range")))))))),IF(L602&lt;='Assumptions and Catalog'!$C$60,L602*'Assumptions and Catalog'!$H$60+'Assumptions and Catalog'!$E$60+'Assumptions and Catalog'!$F$60,IF(L602&lt;='Assumptions and Catalog'!$C$61,L602*'Assumptions and Catalog'!$H$61+'Assumptions and Catalog'!$E$61+'Assumptions and Catalog'!$F$61,IF(L602&lt;='Assumptions and Catalog'!$C$62,L602*'Assumptions and Catalog'!$H$62+'Assumptions and Catalog'!$E$62+'Assumptions and Catalog'!$F$62,IF(L602&lt;='Assumptions and Catalog'!$C$63,L602*'Assumptions and Catalog'!$H$63+'Assumptions and Catalog'!$E$63+'Assumptions and Catalog'!$F$63,IF(L602&lt;='Assumptions and Catalog'!$C$64,L602*'Assumptions and Catalog'!$H$64+'Assumptions and Catalog'!$E$64+'Assumptions and Catalog'!$F$64,IF(L602&lt;='Assumptions and Catalog'!$C$65,L602*'Assumptions and Catalog'!$H$65+'Assumptions and Catalog'!$E$65+'Assumptions and Catalog'!$F$65,"Out of range")))))))))*(1+'Assumptions and Catalog'!$C$8)^(A602-1),0)</f>
        <v>8554.9666666666672</v>
      </c>
      <c r="O602" s="5">
        <f t="shared" si="43"/>
        <v>0</v>
      </c>
      <c r="P602" s="5">
        <f>D$55*(1-K$14)*(1-'Assumptions and Catalog'!$C$23)^R602</f>
        <v>0</v>
      </c>
      <c r="Q602" s="5">
        <f>IF(ISNUMBER(Inputs!$L$5),(IF(Inputs!$L$9="Actual flat rate",((D602+E602)*C602-G602)*Inputs!$L$10,IF(Inputs!$C$9="Residential",IF(((D602+E602)*C602-G602)&lt;='Assumptions and Catalog'!$C$50,((D602+E602)*C602-G602)*'Assumptions and Catalog'!$H$50+'Assumptions and Catalog'!$E$50+'Assumptions and Catalog'!$F$50,IF(((D602+E602)*C602-G602)&lt;='Assumptions and Catalog'!$C$51,((D602+E602)*C602-G602)*'Assumptions and Catalog'!$H$51+'Assumptions and Catalog'!$E$51+'Assumptions and Catalog'!$F$51,IF(((D602+E602)*C602-G602)&lt;='Assumptions and Catalog'!$C$52,((D602+E602)*C602-G602)*'Assumptions and Catalog'!$H$52+'Assumptions and Catalog'!$E$52+'Assumptions and Catalog'!$F$52,IF(((D602+E602)*C602-G602)&lt;='Assumptions and Catalog'!$C$53,((D602+E602)*C602-G602)*'Assumptions and Catalog'!$H$53+'Assumptions and Catalog'!$E$53+'Assumptions and Catalog'!$F$53,IF(((D602+E602)*C602-G602)&lt;='Assumptions and Catalog'!$C$54,((D602+E602)*C602-G602)*'Assumptions and Catalog'!$H$54+'Assumptions and Catalog'!$E$54+'Assumptions and Catalog'!$F$54,IF(((D602+E602)*C602-G602)&lt;='Assumptions and Catalog'!$C$55,((D602+E602)*C602-G602)*'Assumptions and Catalog'!$H$55+'Assumptions and Catalog'!$E$55+'Assumptions and Catalog'!$F$55,IF(((D602+E602)*C602-G602)&lt;='Assumptions and Catalog'!$C$56,((D602+E602)*C602-G602)*'Assumptions and Catalog'!$H$56+'Assumptions and Catalog'!$E$56+'Assumptions and Catalog'!$F$56,IF(((D602+E602)*C602-G602)&lt;='Assumptions and Catalog'!$C$57,((D602+E602)*C602-G602)*'Assumptions and Catalog'!$H$57+'Assumptions and Catalog'!$E$57+'Assumptions and Catalog'!$F$57,"Out of range")))))))),IF(((D602+E602)*C602-G602)&lt;='Assumptions and Catalog'!$C$60,((D602+E602)*C602-G602)*'Assumptions and Catalog'!$H$60+'Assumptions and Catalog'!$E$60+'Assumptions and Catalog'!$F$60,IF(((D602+E602)*C602-G602)&lt;='Assumptions and Catalog'!$C$61,((D602+E602)*C602-G602)*'Assumptions and Catalog'!$H$61+'Assumptions and Catalog'!$E$61+'Assumptions and Catalog'!$F$61,IF(((D602+E602)*C602-G602)&lt;='Assumptions and Catalog'!$C$62,((D602+E602)*C602-G602)*'Assumptions and Catalog'!$H$62+'Assumptions and Catalog'!$E$62+'Assumptions and Catalog'!$F$62,IF(((D602+E602)*C602-G602)&lt;='Assumptions and Catalog'!$C$63,((D602+E602)*C602-G602)*'Assumptions and Catalog'!$H$63+'Assumptions and Catalog'!$E$63+'Assumptions and Catalog'!$F$63,IF(((D602+E602)*C602-G602)&lt;='Assumptions and Catalog'!$C$64,((D602+E602)*C602-G602)*'Assumptions and Catalog'!$H$64+'Assumptions and Catalog'!$E$64+'Assumptions and Catalog'!$F$64,IF(((D602+E602)*C602-G602)&lt;='Assumptions and Catalog'!$C$65,((D602+E602)*C602-G602)*'Assumptions and Catalog'!$H$65+'Assumptions and Catalog'!$E$65+'Assumptions and Catalog'!$F$65,"Out of range")))))))))*(1+'Assumptions and Catalog'!$C$8)^(A602-1),0)</f>
        <v>8554.9666666666672</v>
      </c>
      <c r="R602" s="5">
        <f>IF(AND('Assumptions and Catalog'!$C$19&gt;0,A602&gt;='Assumptions and Catalog'!$C$19),A602-'Assumptions and Catalog'!$C$19,A602-1)</f>
        <v>5</v>
      </c>
      <c r="S602" s="5">
        <f>F602+L602-(D602+E602)*C602-J602-K602-IF(D$52&gt;0,'Assumptions and Catalog'!$C$26*C602,0)</f>
        <v>0</v>
      </c>
      <c r="T602" s="5"/>
      <c r="U602" s="5"/>
    </row>
    <row r="603" spans="1:21" ht="23.1" customHeight="1" outlineLevel="1" x14ac:dyDescent="0.2">
      <c r="A603" s="5">
        <v>17</v>
      </c>
      <c r="B603" s="5">
        <v>1</v>
      </c>
      <c r="C603" s="5">
        <f>DAY(DATE('Assumptions and Catalog'!$C$24+A603-1,B603+1,0))</f>
        <v>31</v>
      </c>
      <c r="D603" s="5">
        <f>IF(ISNUMBER(Inputs!$L$5),Inputs!$L$5*Inputs!$L$6,0)</f>
        <v>40.35</v>
      </c>
      <c r="E603" s="5">
        <f>IF(ISNUMBER(Inputs!$L$5),Inputs!$L$5-D603,0)</f>
        <v>40.35</v>
      </c>
      <c r="F603" s="5">
        <f>D$51*'Assumptions and Catalog'!$C$31*C603*(1-'Assumptions and Catalog'!$C$10)^(A603-1)</f>
        <v>0</v>
      </c>
      <c r="G603" s="5">
        <f t="shared" ref="G603:G650" si="44">MIN(F603,D603*C603)</f>
        <v>0</v>
      </c>
      <c r="H603" s="5">
        <f>I603/('Assumptions and Catalog'!$C$11*'Assumptions and Catalog'!$C$12)</f>
        <v>0</v>
      </c>
      <c r="I603" s="5">
        <f>IF(K$15="Grid cycle",MIN(K$16,D603+E603,P603*'Assumptions and Catalog'!$C$12,D$57*(24-'Assumptions and Catalog'!$C$15),D$56*'Assumptions and Catalog'!$C$15*'Assumptions and Catalog'!$C$11*'Assumptions and Catalog'!$C$12)*C603,0)</f>
        <v>0</v>
      </c>
      <c r="J603" s="5">
        <f t="shared" ref="J603:J650" si="45">MAX(F603-G603-0,0)</f>
        <v>0</v>
      </c>
      <c r="K603" s="5">
        <f t="shared" ref="K603:K650" si="46">H603-I603</f>
        <v>0</v>
      </c>
      <c r="L603" s="5">
        <f>(D603+E603)*C603-G603-I603+H603+IF(D$52&gt;0,'Assumptions and Catalog'!$C$26*C603,0)</f>
        <v>2501.7000000000003</v>
      </c>
      <c r="M603" s="5">
        <f>IF(ISNUMBER(Inputs!$L$5),(IF(Inputs!$L$9="Actual flat rate",((D603+E603)*C603)*Inputs!$L$10,IF(Inputs!$C$9="Residential",IF(((D603+E603)*C603)&lt;='Assumptions and Catalog'!$C$50,((D603+E603)*C603)*'Assumptions and Catalog'!$H$50+'Assumptions and Catalog'!$E$50+'Assumptions and Catalog'!$F$50,IF(((D603+E603)*C603)&lt;='Assumptions and Catalog'!$C$51,((D603+E603)*C603)*'Assumptions and Catalog'!$H$51+'Assumptions and Catalog'!$E$51+'Assumptions and Catalog'!$F$51,IF(((D603+E603)*C603)&lt;='Assumptions and Catalog'!$C$52,((D603+E603)*C603)*'Assumptions and Catalog'!$H$52+'Assumptions and Catalog'!$E$52+'Assumptions and Catalog'!$F$52,IF(((D603+E603)*C603)&lt;='Assumptions and Catalog'!$C$53,((D603+E603)*C603)*'Assumptions and Catalog'!$H$53+'Assumptions and Catalog'!$E$53+'Assumptions and Catalog'!$F$53,IF(((D603+E603)*C603)&lt;='Assumptions and Catalog'!$C$54,((D603+E603)*C603)*'Assumptions and Catalog'!$H$54+'Assumptions and Catalog'!$E$54+'Assumptions and Catalog'!$F$54,IF(((D603+E603)*C603)&lt;='Assumptions and Catalog'!$C$55,((D603+E603)*C603)*'Assumptions and Catalog'!$H$55+'Assumptions and Catalog'!$E$55+'Assumptions and Catalog'!$F$55,IF(((D603+E603)*C603)&lt;='Assumptions and Catalog'!$C$56,((D603+E603)*C603)*'Assumptions and Catalog'!$H$56+'Assumptions and Catalog'!$E$56+'Assumptions and Catalog'!$F$56,IF(((D603+E603)*C603)&lt;='Assumptions and Catalog'!$C$57,((D603+E603)*C603)*'Assumptions and Catalog'!$H$57+'Assumptions and Catalog'!$E$57+'Assumptions and Catalog'!$F$57,"Out of range")))))))),IF(((D603+E603)*C603)&lt;='Assumptions and Catalog'!$C$60,((D603+E603)*C603)*'Assumptions and Catalog'!$H$60+'Assumptions and Catalog'!$E$60+'Assumptions and Catalog'!$F$60,IF(((D603+E603)*C603)&lt;='Assumptions and Catalog'!$C$61,((D603+E603)*C603)*'Assumptions and Catalog'!$H$61+'Assumptions and Catalog'!$E$61+'Assumptions and Catalog'!$F$61,IF(((D603+E603)*C603)&lt;='Assumptions and Catalog'!$C$62,((D603+E603)*C603)*'Assumptions and Catalog'!$H$62+'Assumptions and Catalog'!$E$62+'Assumptions and Catalog'!$F$62,IF(((D603+E603)*C603)&lt;='Assumptions and Catalog'!$C$63,((D603+E603)*C603)*'Assumptions and Catalog'!$H$63+'Assumptions and Catalog'!$E$63+'Assumptions and Catalog'!$F$63,IF(((D603+E603)*C603)&lt;='Assumptions and Catalog'!$C$64,((D603+E603)*C603)*'Assumptions and Catalog'!$H$64+'Assumptions and Catalog'!$E$64+'Assumptions and Catalog'!$F$64,IF(((D603+E603)*C603)&lt;='Assumptions and Catalog'!$C$65,((D603+E603)*C603)*'Assumptions and Catalog'!$H$65+'Assumptions and Catalog'!$E$65+'Assumptions and Catalog'!$F$65,"Out of range")))))))))*(1+'Assumptions and Catalog'!$C$8)^(A603-1),0)</f>
        <v>8554.9666666666672</v>
      </c>
      <c r="N603" s="5">
        <f>IF(ISNUMBER(Inputs!$L$5),(IF(Inputs!$L$9="Actual flat rate",L603*Inputs!$L$10,IF(Inputs!$C$9="Residential",IF(L603&lt;='Assumptions and Catalog'!$C$50,L603*'Assumptions and Catalog'!$H$50+'Assumptions and Catalog'!$E$50+'Assumptions and Catalog'!$F$50,IF(L603&lt;='Assumptions and Catalog'!$C$51,L603*'Assumptions and Catalog'!$H$51+'Assumptions and Catalog'!$E$51+'Assumptions and Catalog'!$F$51,IF(L603&lt;='Assumptions and Catalog'!$C$52,L603*'Assumptions and Catalog'!$H$52+'Assumptions and Catalog'!$E$52+'Assumptions and Catalog'!$F$52,IF(L603&lt;='Assumptions and Catalog'!$C$53,L603*'Assumptions and Catalog'!$H$53+'Assumptions and Catalog'!$E$53+'Assumptions and Catalog'!$F$53,IF(L603&lt;='Assumptions and Catalog'!$C$54,L603*'Assumptions and Catalog'!$H$54+'Assumptions and Catalog'!$E$54+'Assumptions and Catalog'!$F$54,IF(L603&lt;='Assumptions and Catalog'!$C$55,L603*'Assumptions and Catalog'!$H$55+'Assumptions and Catalog'!$E$55+'Assumptions and Catalog'!$F$55,IF(L603&lt;='Assumptions and Catalog'!$C$56,L603*'Assumptions and Catalog'!$H$56+'Assumptions and Catalog'!$E$56+'Assumptions and Catalog'!$F$56,IF(L603&lt;='Assumptions and Catalog'!$C$57,L603*'Assumptions and Catalog'!$H$57+'Assumptions and Catalog'!$E$57+'Assumptions and Catalog'!$F$57,"Out of range")))))))),IF(L603&lt;='Assumptions and Catalog'!$C$60,L603*'Assumptions and Catalog'!$H$60+'Assumptions and Catalog'!$E$60+'Assumptions and Catalog'!$F$60,IF(L603&lt;='Assumptions and Catalog'!$C$61,L603*'Assumptions and Catalog'!$H$61+'Assumptions and Catalog'!$E$61+'Assumptions and Catalog'!$F$61,IF(L603&lt;='Assumptions and Catalog'!$C$62,L603*'Assumptions and Catalog'!$H$62+'Assumptions and Catalog'!$E$62+'Assumptions and Catalog'!$F$62,IF(L603&lt;='Assumptions and Catalog'!$C$63,L603*'Assumptions and Catalog'!$H$63+'Assumptions and Catalog'!$E$63+'Assumptions and Catalog'!$F$63,IF(L603&lt;='Assumptions and Catalog'!$C$64,L603*'Assumptions and Catalog'!$H$64+'Assumptions and Catalog'!$E$64+'Assumptions and Catalog'!$F$64,IF(L603&lt;='Assumptions and Catalog'!$C$65,L603*'Assumptions and Catalog'!$H$65+'Assumptions and Catalog'!$E$65+'Assumptions and Catalog'!$F$65,"Out of range")))))))))*(1+'Assumptions and Catalog'!$C$8)^(A603-1),0)</f>
        <v>8554.9666666666672</v>
      </c>
      <c r="O603" s="5">
        <f t="shared" ref="O603:O650" si="47">M603-N603</f>
        <v>0</v>
      </c>
      <c r="P603" s="5">
        <f>D$55*(1-K$14)*(1-'Assumptions and Catalog'!$C$23)^R603</f>
        <v>0</v>
      </c>
      <c r="Q603" s="5">
        <f>IF(ISNUMBER(Inputs!$L$5),(IF(Inputs!$L$9="Actual flat rate",((D603+E603)*C603-G603)*Inputs!$L$10,IF(Inputs!$C$9="Residential",IF(((D603+E603)*C603-G603)&lt;='Assumptions and Catalog'!$C$50,((D603+E603)*C603-G603)*'Assumptions and Catalog'!$H$50+'Assumptions and Catalog'!$E$50+'Assumptions and Catalog'!$F$50,IF(((D603+E603)*C603-G603)&lt;='Assumptions and Catalog'!$C$51,((D603+E603)*C603-G603)*'Assumptions and Catalog'!$H$51+'Assumptions and Catalog'!$E$51+'Assumptions and Catalog'!$F$51,IF(((D603+E603)*C603-G603)&lt;='Assumptions and Catalog'!$C$52,((D603+E603)*C603-G603)*'Assumptions and Catalog'!$H$52+'Assumptions and Catalog'!$E$52+'Assumptions and Catalog'!$F$52,IF(((D603+E603)*C603-G603)&lt;='Assumptions and Catalog'!$C$53,((D603+E603)*C603-G603)*'Assumptions and Catalog'!$H$53+'Assumptions and Catalog'!$E$53+'Assumptions and Catalog'!$F$53,IF(((D603+E603)*C603-G603)&lt;='Assumptions and Catalog'!$C$54,((D603+E603)*C603-G603)*'Assumptions and Catalog'!$H$54+'Assumptions and Catalog'!$E$54+'Assumptions and Catalog'!$F$54,IF(((D603+E603)*C603-G603)&lt;='Assumptions and Catalog'!$C$55,((D603+E603)*C603-G603)*'Assumptions and Catalog'!$H$55+'Assumptions and Catalog'!$E$55+'Assumptions and Catalog'!$F$55,IF(((D603+E603)*C603-G603)&lt;='Assumptions and Catalog'!$C$56,((D603+E603)*C603-G603)*'Assumptions and Catalog'!$H$56+'Assumptions and Catalog'!$E$56+'Assumptions and Catalog'!$F$56,IF(((D603+E603)*C603-G603)&lt;='Assumptions and Catalog'!$C$57,((D603+E603)*C603-G603)*'Assumptions and Catalog'!$H$57+'Assumptions and Catalog'!$E$57+'Assumptions and Catalog'!$F$57,"Out of range")))))))),IF(((D603+E603)*C603-G603)&lt;='Assumptions and Catalog'!$C$60,((D603+E603)*C603-G603)*'Assumptions and Catalog'!$H$60+'Assumptions and Catalog'!$E$60+'Assumptions and Catalog'!$F$60,IF(((D603+E603)*C603-G603)&lt;='Assumptions and Catalog'!$C$61,((D603+E603)*C603-G603)*'Assumptions and Catalog'!$H$61+'Assumptions and Catalog'!$E$61+'Assumptions and Catalog'!$F$61,IF(((D603+E603)*C603-G603)&lt;='Assumptions and Catalog'!$C$62,((D603+E603)*C603-G603)*'Assumptions and Catalog'!$H$62+'Assumptions and Catalog'!$E$62+'Assumptions and Catalog'!$F$62,IF(((D603+E603)*C603-G603)&lt;='Assumptions and Catalog'!$C$63,((D603+E603)*C603-G603)*'Assumptions and Catalog'!$H$63+'Assumptions and Catalog'!$E$63+'Assumptions and Catalog'!$F$63,IF(((D603+E603)*C603-G603)&lt;='Assumptions and Catalog'!$C$64,((D603+E603)*C603-G603)*'Assumptions and Catalog'!$H$64+'Assumptions and Catalog'!$E$64+'Assumptions and Catalog'!$F$64,IF(((D603+E603)*C603-G603)&lt;='Assumptions and Catalog'!$C$65,((D603+E603)*C603-G603)*'Assumptions and Catalog'!$H$65+'Assumptions and Catalog'!$E$65+'Assumptions and Catalog'!$F$65,"Out of range")))))))))*(1+'Assumptions and Catalog'!$C$8)^(A603-1),0)</f>
        <v>8554.9666666666672</v>
      </c>
      <c r="R603" s="5">
        <f>IF(AND('Assumptions and Catalog'!$C$19&gt;0,A603&gt;='Assumptions and Catalog'!$C$19),A603-'Assumptions and Catalog'!$C$19,A603-1)</f>
        <v>6</v>
      </c>
      <c r="S603" s="5">
        <f>F603+L603-(D603+E603)*C603-J603-K603-IF(D$52&gt;0,'Assumptions and Catalog'!$C$26*C603,0)</f>
        <v>0</v>
      </c>
      <c r="T603" s="5"/>
      <c r="U603" s="5"/>
    </row>
    <row r="604" spans="1:21" ht="23.1" customHeight="1" outlineLevel="1" x14ac:dyDescent="0.2">
      <c r="A604" s="5">
        <v>17</v>
      </c>
      <c r="B604" s="5">
        <v>2</v>
      </c>
      <c r="C604" s="5">
        <f>DAY(DATE('Assumptions and Catalog'!$C$24+A604-1,B604+1,0))</f>
        <v>28</v>
      </c>
      <c r="D604" s="5">
        <f>IF(ISNUMBER(Inputs!$L$5),Inputs!$L$5*Inputs!$L$6,0)</f>
        <v>40.35</v>
      </c>
      <c r="E604" s="5">
        <f>IF(ISNUMBER(Inputs!$L$5),Inputs!$L$5-D604,0)</f>
        <v>40.35</v>
      </c>
      <c r="F604" s="5">
        <f>D$51*'Assumptions and Catalog'!$C$31*C604*(1-'Assumptions and Catalog'!$C$10)^(A604-1)</f>
        <v>0</v>
      </c>
      <c r="G604" s="5">
        <f t="shared" si="44"/>
        <v>0</v>
      </c>
      <c r="H604" s="5">
        <f>I604/('Assumptions and Catalog'!$C$11*'Assumptions and Catalog'!$C$12)</f>
        <v>0</v>
      </c>
      <c r="I604" s="5">
        <f>IF(K$15="Grid cycle",MIN(K$16,D604+E604,P604*'Assumptions and Catalog'!$C$12,D$57*(24-'Assumptions and Catalog'!$C$15),D$56*'Assumptions and Catalog'!$C$15*'Assumptions and Catalog'!$C$11*'Assumptions and Catalog'!$C$12)*C604,0)</f>
        <v>0</v>
      </c>
      <c r="J604" s="5">
        <f t="shared" si="45"/>
        <v>0</v>
      </c>
      <c r="K604" s="5">
        <f t="shared" si="46"/>
        <v>0</v>
      </c>
      <c r="L604" s="5">
        <f>(D604+E604)*C604-G604-I604+H604+IF(D$52&gt;0,'Assumptions and Catalog'!$C$26*C604,0)</f>
        <v>2259.6</v>
      </c>
      <c r="M604" s="5">
        <f>IF(ISNUMBER(Inputs!$L$5),(IF(Inputs!$L$9="Actual flat rate",((D604+E604)*C604)*Inputs!$L$10,IF(Inputs!$C$9="Residential",IF(((D604+E604)*C604)&lt;='Assumptions and Catalog'!$C$50,((D604+E604)*C604)*'Assumptions and Catalog'!$H$50+'Assumptions and Catalog'!$E$50+'Assumptions and Catalog'!$F$50,IF(((D604+E604)*C604)&lt;='Assumptions and Catalog'!$C$51,((D604+E604)*C604)*'Assumptions and Catalog'!$H$51+'Assumptions and Catalog'!$E$51+'Assumptions and Catalog'!$F$51,IF(((D604+E604)*C604)&lt;='Assumptions and Catalog'!$C$52,((D604+E604)*C604)*'Assumptions and Catalog'!$H$52+'Assumptions and Catalog'!$E$52+'Assumptions and Catalog'!$F$52,IF(((D604+E604)*C604)&lt;='Assumptions and Catalog'!$C$53,((D604+E604)*C604)*'Assumptions and Catalog'!$H$53+'Assumptions and Catalog'!$E$53+'Assumptions and Catalog'!$F$53,IF(((D604+E604)*C604)&lt;='Assumptions and Catalog'!$C$54,((D604+E604)*C604)*'Assumptions and Catalog'!$H$54+'Assumptions and Catalog'!$E$54+'Assumptions and Catalog'!$F$54,IF(((D604+E604)*C604)&lt;='Assumptions and Catalog'!$C$55,((D604+E604)*C604)*'Assumptions and Catalog'!$H$55+'Assumptions and Catalog'!$E$55+'Assumptions and Catalog'!$F$55,IF(((D604+E604)*C604)&lt;='Assumptions and Catalog'!$C$56,((D604+E604)*C604)*'Assumptions and Catalog'!$H$56+'Assumptions and Catalog'!$E$56+'Assumptions and Catalog'!$F$56,IF(((D604+E604)*C604)&lt;='Assumptions and Catalog'!$C$57,((D604+E604)*C604)*'Assumptions and Catalog'!$H$57+'Assumptions and Catalog'!$E$57+'Assumptions and Catalog'!$F$57,"Out of range")))))))),IF(((D604+E604)*C604)&lt;='Assumptions and Catalog'!$C$60,((D604+E604)*C604)*'Assumptions and Catalog'!$H$60+'Assumptions and Catalog'!$E$60+'Assumptions and Catalog'!$F$60,IF(((D604+E604)*C604)&lt;='Assumptions and Catalog'!$C$61,((D604+E604)*C604)*'Assumptions and Catalog'!$H$61+'Assumptions and Catalog'!$E$61+'Assumptions and Catalog'!$F$61,IF(((D604+E604)*C604)&lt;='Assumptions and Catalog'!$C$62,((D604+E604)*C604)*'Assumptions and Catalog'!$H$62+'Assumptions and Catalog'!$E$62+'Assumptions and Catalog'!$F$62,IF(((D604+E604)*C604)&lt;='Assumptions and Catalog'!$C$63,((D604+E604)*C604)*'Assumptions and Catalog'!$H$63+'Assumptions and Catalog'!$E$63+'Assumptions and Catalog'!$F$63,IF(((D604+E604)*C604)&lt;='Assumptions and Catalog'!$C$64,((D604+E604)*C604)*'Assumptions and Catalog'!$H$64+'Assumptions and Catalog'!$E$64+'Assumptions and Catalog'!$F$64,IF(((D604+E604)*C604)&lt;='Assumptions and Catalog'!$C$65,((D604+E604)*C604)*'Assumptions and Catalog'!$H$65+'Assumptions and Catalog'!$E$65+'Assumptions and Catalog'!$F$65,"Out of range")))))))))*(1+'Assumptions and Catalog'!$C$8)^(A604-1),0)</f>
        <v>7727.0666666666657</v>
      </c>
      <c r="N604" s="5">
        <f>IF(ISNUMBER(Inputs!$L$5),(IF(Inputs!$L$9="Actual flat rate",L604*Inputs!$L$10,IF(Inputs!$C$9="Residential",IF(L604&lt;='Assumptions and Catalog'!$C$50,L604*'Assumptions and Catalog'!$H$50+'Assumptions and Catalog'!$E$50+'Assumptions and Catalog'!$F$50,IF(L604&lt;='Assumptions and Catalog'!$C$51,L604*'Assumptions and Catalog'!$H$51+'Assumptions and Catalog'!$E$51+'Assumptions and Catalog'!$F$51,IF(L604&lt;='Assumptions and Catalog'!$C$52,L604*'Assumptions and Catalog'!$H$52+'Assumptions and Catalog'!$E$52+'Assumptions and Catalog'!$F$52,IF(L604&lt;='Assumptions and Catalog'!$C$53,L604*'Assumptions and Catalog'!$H$53+'Assumptions and Catalog'!$E$53+'Assumptions and Catalog'!$F$53,IF(L604&lt;='Assumptions and Catalog'!$C$54,L604*'Assumptions and Catalog'!$H$54+'Assumptions and Catalog'!$E$54+'Assumptions and Catalog'!$F$54,IF(L604&lt;='Assumptions and Catalog'!$C$55,L604*'Assumptions and Catalog'!$H$55+'Assumptions and Catalog'!$E$55+'Assumptions and Catalog'!$F$55,IF(L604&lt;='Assumptions and Catalog'!$C$56,L604*'Assumptions and Catalog'!$H$56+'Assumptions and Catalog'!$E$56+'Assumptions and Catalog'!$F$56,IF(L604&lt;='Assumptions and Catalog'!$C$57,L604*'Assumptions and Catalog'!$H$57+'Assumptions and Catalog'!$E$57+'Assumptions and Catalog'!$F$57,"Out of range")))))))),IF(L604&lt;='Assumptions and Catalog'!$C$60,L604*'Assumptions and Catalog'!$H$60+'Assumptions and Catalog'!$E$60+'Assumptions and Catalog'!$F$60,IF(L604&lt;='Assumptions and Catalog'!$C$61,L604*'Assumptions and Catalog'!$H$61+'Assumptions and Catalog'!$E$61+'Assumptions and Catalog'!$F$61,IF(L604&lt;='Assumptions and Catalog'!$C$62,L604*'Assumptions and Catalog'!$H$62+'Assumptions and Catalog'!$E$62+'Assumptions and Catalog'!$F$62,IF(L604&lt;='Assumptions and Catalog'!$C$63,L604*'Assumptions and Catalog'!$H$63+'Assumptions and Catalog'!$E$63+'Assumptions and Catalog'!$F$63,IF(L604&lt;='Assumptions and Catalog'!$C$64,L604*'Assumptions and Catalog'!$H$64+'Assumptions and Catalog'!$E$64+'Assumptions and Catalog'!$F$64,IF(L604&lt;='Assumptions and Catalog'!$C$65,L604*'Assumptions and Catalog'!$H$65+'Assumptions and Catalog'!$E$65+'Assumptions and Catalog'!$F$65,"Out of range")))))))))*(1+'Assumptions and Catalog'!$C$8)^(A604-1),0)</f>
        <v>7727.0666666666657</v>
      </c>
      <c r="O604" s="5">
        <f t="shared" si="47"/>
        <v>0</v>
      </c>
      <c r="P604" s="5">
        <f>D$55*(1-K$14)*(1-'Assumptions and Catalog'!$C$23)^R604</f>
        <v>0</v>
      </c>
      <c r="Q604" s="5">
        <f>IF(ISNUMBER(Inputs!$L$5),(IF(Inputs!$L$9="Actual flat rate",((D604+E604)*C604-G604)*Inputs!$L$10,IF(Inputs!$C$9="Residential",IF(((D604+E604)*C604-G604)&lt;='Assumptions and Catalog'!$C$50,((D604+E604)*C604-G604)*'Assumptions and Catalog'!$H$50+'Assumptions and Catalog'!$E$50+'Assumptions and Catalog'!$F$50,IF(((D604+E604)*C604-G604)&lt;='Assumptions and Catalog'!$C$51,((D604+E604)*C604-G604)*'Assumptions and Catalog'!$H$51+'Assumptions and Catalog'!$E$51+'Assumptions and Catalog'!$F$51,IF(((D604+E604)*C604-G604)&lt;='Assumptions and Catalog'!$C$52,((D604+E604)*C604-G604)*'Assumptions and Catalog'!$H$52+'Assumptions and Catalog'!$E$52+'Assumptions and Catalog'!$F$52,IF(((D604+E604)*C604-G604)&lt;='Assumptions and Catalog'!$C$53,((D604+E604)*C604-G604)*'Assumptions and Catalog'!$H$53+'Assumptions and Catalog'!$E$53+'Assumptions and Catalog'!$F$53,IF(((D604+E604)*C604-G604)&lt;='Assumptions and Catalog'!$C$54,((D604+E604)*C604-G604)*'Assumptions and Catalog'!$H$54+'Assumptions and Catalog'!$E$54+'Assumptions and Catalog'!$F$54,IF(((D604+E604)*C604-G604)&lt;='Assumptions and Catalog'!$C$55,((D604+E604)*C604-G604)*'Assumptions and Catalog'!$H$55+'Assumptions and Catalog'!$E$55+'Assumptions and Catalog'!$F$55,IF(((D604+E604)*C604-G604)&lt;='Assumptions and Catalog'!$C$56,((D604+E604)*C604-G604)*'Assumptions and Catalog'!$H$56+'Assumptions and Catalog'!$E$56+'Assumptions and Catalog'!$F$56,IF(((D604+E604)*C604-G604)&lt;='Assumptions and Catalog'!$C$57,((D604+E604)*C604-G604)*'Assumptions and Catalog'!$H$57+'Assumptions and Catalog'!$E$57+'Assumptions and Catalog'!$F$57,"Out of range")))))))),IF(((D604+E604)*C604-G604)&lt;='Assumptions and Catalog'!$C$60,((D604+E604)*C604-G604)*'Assumptions and Catalog'!$H$60+'Assumptions and Catalog'!$E$60+'Assumptions and Catalog'!$F$60,IF(((D604+E604)*C604-G604)&lt;='Assumptions and Catalog'!$C$61,((D604+E604)*C604-G604)*'Assumptions and Catalog'!$H$61+'Assumptions and Catalog'!$E$61+'Assumptions and Catalog'!$F$61,IF(((D604+E604)*C604-G604)&lt;='Assumptions and Catalog'!$C$62,((D604+E604)*C604-G604)*'Assumptions and Catalog'!$H$62+'Assumptions and Catalog'!$E$62+'Assumptions and Catalog'!$F$62,IF(((D604+E604)*C604-G604)&lt;='Assumptions and Catalog'!$C$63,((D604+E604)*C604-G604)*'Assumptions and Catalog'!$H$63+'Assumptions and Catalog'!$E$63+'Assumptions and Catalog'!$F$63,IF(((D604+E604)*C604-G604)&lt;='Assumptions and Catalog'!$C$64,((D604+E604)*C604-G604)*'Assumptions and Catalog'!$H$64+'Assumptions and Catalog'!$E$64+'Assumptions and Catalog'!$F$64,IF(((D604+E604)*C604-G604)&lt;='Assumptions and Catalog'!$C$65,((D604+E604)*C604-G604)*'Assumptions and Catalog'!$H$65+'Assumptions and Catalog'!$E$65+'Assumptions and Catalog'!$F$65,"Out of range")))))))))*(1+'Assumptions and Catalog'!$C$8)^(A604-1),0)</f>
        <v>7727.0666666666657</v>
      </c>
      <c r="R604" s="5">
        <f>IF(AND('Assumptions and Catalog'!$C$19&gt;0,A604&gt;='Assumptions and Catalog'!$C$19),A604-'Assumptions and Catalog'!$C$19,A604-1)</f>
        <v>6</v>
      </c>
      <c r="S604" s="5">
        <f>F604+L604-(D604+E604)*C604-J604-K604-IF(D$52&gt;0,'Assumptions and Catalog'!$C$26*C604,0)</f>
        <v>0</v>
      </c>
      <c r="T604" s="5"/>
      <c r="U604" s="5"/>
    </row>
    <row r="605" spans="1:21" ht="23.1" customHeight="1" outlineLevel="1" x14ac:dyDescent="0.2">
      <c r="A605" s="5">
        <v>17</v>
      </c>
      <c r="B605" s="5">
        <v>3</v>
      </c>
      <c r="C605" s="5">
        <f>DAY(DATE('Assumptions and Catalog'!$C$24+A605-1,B605+1,0))</f>
        <v>31</v>
      </c>
      <c r="D605" s="5">
        <f>IF(ISNUMBER(Inputs!$L$5),Inputs!$L$5*Inputs!$L$6,0)</f>
        <v>40.35</v>
      </c>
      <c r="E605" s="5">
        <f>IF(ISNUMBER(Inputs!$L$5),Inputs!$L$5-D605,0)</f>
        <v>40.35</v>
      </c>
      <c r="F605" s="5">
        <f>D$51*'Assumptions and Catalog'!$C$31*C605*(1-'Assumptions and Catalog'!$C$10)^(A605-1)</f>
        <v>0</v>
      </c>
      <c r="G605" s="5">
        <f t="shared" si="44"/>
        <v>0</v>
      </c>
      <c r="H605" s="5">
        <f>I605/('Assumptions and Catalog'!$C$11*'Assumptions and Catalog'!$C$12)</f>
        <v>0</v>
      </c>
      <c r="I605" s="5">
        <f>IF(K$15="Grid cycle",MIN(K$16,D605+E605,P605*'Assumptions and Catalog'!$C$12,D$57*(24-'Assumptions and Catalog'!$C$15),D$56*'Assumptions and Catalog'!$C$15*'Assumptions and Catalog'!$C$11*'Assumptions and Catalog'!$C$12)*C605,0)</f>
        <v>0</v>
      </c>
      <c r="J605" s="5">
        <f t="shared" si="45"/>
        <v>0</v>
      </c>
      <c r="K605" s="5">
        <f t="shared" si="46"/>
        <v>0</v>
      </c>
      <c r="L605" s="5">
        <f>(D605+E605)*C605-G605-I605+H605+IF(D$52&gt;0,'Assumptions and Catalog'!$C$26*C605,0)</f>
        <v>2501.7000000000003</v>
      </c>
      <c r="M605" s="5">
        <f>IF(ISNUMBER(Inputs!$L$5),(IF(Inputs!$L$9="Actual flat rate",((D605+E605)*C605)*Inputs!$L$10,IF(Inputs!$C$9="Residential",IF(((D605+E605)*C605)&lt;='Assumptions and Catalog'!$C$50,((D605+E605)*C605)*'Assumptions and Catalog'!$H$50+'Assumptions and Catalog'!$E$50+'Assumptions and Catalog'!$F$50,IF(((D605+E605)*C605)&lt;='Assumptions and Catalog'!$C$51,((D605+E605)*C605)*'Assumptions and Catalog'!$H$51+'Assumptions and Catalog'!$E$51+'Assumptions and Catalog'!$F$51,IF(((D605+E605)*C605)&lt;='Assumptions and Catalog'!$C$52,((D605+E605)*C605)*'Assumptions and Catalog'!$H$52+'Assumptions and Catalog'!$E$52+'Assumptions and Catalog'!$F$52,IF(((D605+E605)*C605)&lt;='Assumptions and Catalog'!$C$53,((D605+E605)*C605)*'Assumptions and Catalog'!$H$53+'Assumptions and Catalog'!$E$53+'Assumptions and Catalog'!$F$53,IF(((D605+E605)*C605)&lt;='Assumptions and Catalog'!$C$54,((D605+E605)*C605)*'Assumptions and Catalog'!$H$54+'Assumptions and Catalog'!$E$54+'Assumptions and Catalog'!$F$54,IF(((D605+E605)*C605)&lt;='Assumptions and Catalog'!$C$55,((D605+E605)*C605)*'Assumptions and Catalog'!$H$55+'Assumptions and Catalog'!$E$55+'Assumptions and Catalog'!$F$55,IF(((D605+E605)*C605)&lt;='Assumptions and Catalog'!$C$56,((D605+E605)*C605)*'Assumptions and Catalog'!$H$56+'Assumptions and Catalog'!$E$56+'Assumptions and Catalog'!$F$56,IF(((D605+E605)*C605)&lt;='Assumptions and Catalog'!$C$57,((D605+E605)*C605)*'Assumptions and Catalog'!$H$57+'Assumptions and Catalog'!$E$57+'Assumptions and Catalog'!$F$57,"Out of range")))))))),IF(((D605+E605)*C605)&lt;='Assumptions and Catalog'!$C$60,((D605+E605)*C605)*'Assumptions and Catalog'!$H$60+'Assumptions and Catalog'!$E$60+'Assumptions and Catalog'!$F$60,IF(((D605+E605)*C605)&lt;='Assumptions and Catalog'!$C$61,((D605+E605)*C605)*'Assumptions and Catalog'!$H$61+'Assumptions and Catalog'!$E$61+'Assumptions and Catalog'!$F$61,IF(((D605+E605)*C605)&lt;='Assumptions and Catalog'!$C$62,((D605+E605)*C605)*'Assumptions and Catalog'!$H$62+'Assumptions and Catalog'!$E$62+'Assumptions and Catalog'!$F$62,IF(((D605+E605)*C605)&lt;='Assumptions and Catalog'!$C$63,((D605+E605)*C605)*'Assumptions and Catalog'!$H$63+'Assumptions and Catalog'!$E$63+'Assumptions and Catalog'!$F$63,IF(((D605+E605)*C605)&lt;='Assumptions and Catalog'!$C$64,((D605+E605)*C605)*'Assumptions and Catalog'!$H$64+'Assumptions and Catalog'!$E$64+'Assumptions and Catalog'!$F$64,IF(((D605+E605)*C605)&lt;='Assumptions and Catalog'!$C$65,((D605+E605)*C605)*'Assumptions and Catalog'!$H$65+'Assumptions and Catalog'!$E$65+'Assumptions and Catalog'!$F$65,"Out of range")))))))))*(1+'Assumptions and Catalog'!$C$8)^(A605-1),0)</f>
        <v>8554.9666666666672</v>
      </c>
      <c r="N605" s="5">
        <f>IF(ISNUMBER(Inputs!$L$5),(IF(Inputs!$L$9="Actual flat rate",L605*Inputs!$L$10,IF(Inputs!$C$9="Residential",IF(L605&lt;='Assumptions and Catalog'!$C$50,L605*'Assumptions and Catalog'!$H$50+'Assumptions and Catalog'!$E$50+'Assumptions and Catalog'!$F$50,IF(L605&lt;='Assumptions and Catalog'!$C$51,L605*'Assumptions and Catalog'!$H$51+'Assumptions and Catalog'!$E$51+'Assumptions and Catalog'!$F$51,IF(L605&lt;='Assumptions and Catalog'!$C$52,L605*'Assumptions and Catalog'!$H$52+'Assumptions and Catalog'!$E$52+'Assumptions and Catalog'!$F$52,IF(L605&lt;='Assumptions and Catalog'!$C$53,L605*'Assumptions and Catalog'!$H$53+'Assumptions and Catalog'!$E$53+'Assumptions and Catalog'!$F$53,IF(L605&lt;='Assumptions and Catalog'!$C$54,L605*'Assumptions and Catalog'!$H$54+'Assumptions and Catalog'!$E$54+'Assumptions and Catalog'!$F$54,IF(L605&lt;='Assumptions and Catalog'!$C$55,L605*'Assumptions and Catalog'!$H$55+'Assumptions and Catalog'!$E$55+'Assumptions and Catalog'!$F$55,IF(L605&lt;='Assumptions and Catalog'!$C$56,L605*'Assumptions and Catalog'!$H$56+'Assumptions and Catalog'!$E$56+'Assumptions and Catalog'!$F$56,IF(L605&lt;='Assumptions and Catalog'!$C$57,L605*'Assumptions and Catalog'!$H$57+'Assumptions and Catalog'!$E$57+'Assumptions and Catalog'!$F$57,"Out of range")))))))),IF(L605&lt;='Assumptions and Catalog'!$C$60,L605*'Assumptions and Catalog'!$H$60+'Assumptions and Catalog'!$E$60+'Assumptions and Catalog'!$F$60,IF(L605&lt;='Assumptions and Catalog'!$C$61,L605*'Assumptions and Catalog'!$H$61+'Assumptions and Catalog'!$E$61+'Assumptions and Catalog'!$F$61,IF(L605&lt;='Assumptions and Catalog'!$C$62,L605*'Assumptions and Catalog'!$H$62+'Assumptions and Catalog'!$E$62+'Assumptions and Catalog'!$F$62,IF(L605&lt;='Assumptions and Catalog'!$C$63,L605*'Assumptions and Catalog'!$H$63+'Assumptions and Catalog'!$E$63+'Assumptions and Catalog'!$F$63,IF(L605&lt;='Assumptions and Catalog'!$C$64,L605*'Assumptions and Catalog'!$H$64+'Assumptions and Catalog'!$E$64+'Assumptions and Catalog'!$F$64,IF(L605&lt;='Assumptions and Catalog'!$C$65,L605*'Assumptions and Catalog'!$H$65+'Assumptions and Catalog'!$E$65+'Assumptions and Catalog'!$F$65,"Out of range")))))))))*(1+'Assumptions and Catalog'!$C$8)^(A605-1),0)</f>
        <v>8554.9666666666672</v>
      </c>
      <c r="O605" s="5">
        <f t="shared" si="47"/>
        <v>0</v>
      </c>
      <c r="P605" s="5">
        <f>D$55*(1-K$14)*(1-'Assumptions and Catalog'!$C$23)^R605</f>
        <v>0</v>
      </c>
      <c r="Q605" s="5">
        <f>IF(ISNUMBER(Inputs!$L$5),(IF(Inputs!$L$9="Actual flat rate",((D605+E605)*C605-G605)*Inputs!$L$10,IF(Inputs!$C$9="Residential",IF(((D605+E605)*C605-G605)&lt;='Assumptions and Catalog'!$C$50,((D605+E605)*C605-G605)*'Assumptions and Catalog'!$H$50+'Assumptions and Catalog'!$E$50+'Assumptions and Catalog'!$F$50,IF(((D605+E605)*C605-G605)&lt;='Assumptions and Catalog'!$C$51,((D605+E605)*C605-G605)*'Assumptions and Catalog'!$H$51+'Assumptions and Catalog'!$E$51+'Assumptions and Catalog'!$F$51,IF(((D605+E605)*C605-G605)&lt;='Assumptions and Catalog'!$C$52,((D605+E605)*C605-G605)*'Assumptions and Catalog'!$H$52+'Assumptions and Catalog'!$E$52+'Assumptions and Catalog'!$F$52,IF(((D605+E605)*C605-G605)&lt;='Assumptions and Catalog'!$C$53,((D605+E605)*C605-G605)*'Assumptions and Catalog'!$H$53+'Assumptions and Catalog'!$E$53+'Assumptions and Catalog'!$F$53,IF(((D605+E605)*C605-G605)&lt;='Assumptions and Catalog'!$C$54,((D605+E605)*C605-G605)*'Assumptions and Catalog'!$H$54+'Assumptions and Catalog'!$E$54+'Assumptions and Catalog'!$F$54,IF(((D605+E605)*C605-G605)&lt;='Assumptions and Catalog'!$C$55,((D605+E605)*C605-G605)*'Assumptions and Catalog'!$H$55+'Assumptions and Catalog'!$E$55+'Assumptions and Catalog'!$F$55,IF(((D605+E605)*C605-G605)&lt;='Assumptions and Catalog'!$C$56,((D605+E605)*C605-G605)*'Assumptions and Catalog'!$H$56+'Assumptions and Catalog'!$E$56+'Assumptions and Catalog'!$F$56,IF(((D605+E605)*C605-G605)&lt;='Assumptions and Catalog'!$C$57,((D605+E605)*C605-G605)*'Assumptions and Catalog'!$H$57+'Assumptions and Catalog'!$E$57+'Assumptions and Catalog'!$F$57,"Out of range")))))))),IF(((D605+E605)*C605-G605)&lt;='Assumptions and Catalog'!$C$60,((D605+E605)*C605-G605)*'Assumptions and Catalog'!$H$60+'Assumptions and Catalog'!$E$60+'Assumptions and Catalog'!$F$60,IF(((D605+E605)*C605-G605)&lt;='Assumptions and Catalog'!$C$61,((D605+E605)*C605-G605)*'Assumptions and Catalog'!$H$61+'Assumptions and Catalog'!$E$61+'Assumptions and Catalog'!$F$61,IF(((D605+E605)*C605-G605)&lt;='Assumptions and Catalog'!$C$62,((D605+E605)*C605-G605)*'Assumptions and Catalog'!$H$62+'Assumptions and Catalog'!$E$62+'Assumptions and Catalog'!$F$62,IF(((D605+E605)*C605-G605)&lt;='Assumptions and Catalog'!$C$63,((D605+E605)*C605-G605)*'Assumptions and Catalog'!$H$63+'Assumptions and Catalog'!$E$63+'Assumptions and Catalog'!$F$63,IF(((D605+E605)*C605-G605)&lt;='Assumptions and Catalog'!$C$64,((D605+E605)*C605-G605)*'Assumptions and Catalog'!$H$64+'Assumptions and Catalog'!$E$64+'Assumptions and Catalog'!$F$64,IF(((D605+E605)*C605-G605)&lt;='Assumptions and Catalog'!$C$65,((D605+E605)*C605-G605)*'Assumptions and Catalog'!$H$65+'Assumptions and Catalog'!$E$65+'Assumptions and Catalog'!$F$65,"Out of range")))))))))*(1+'Assumptions and Catalog'!$C$8)^(A605-1),0)</f>
        <v>8554.9666666666672</v>
      </c>
      <c r="R605" s="5">
        <f>IF(AND('Assumptions and Catalog'!$C$19&gt;0,A605&gt;='Assumptions and Catalog'!$C$19),A605-'Assumptions and Catalog'!$C$19,A605-1)</f>
        <v>6</v>
      </c>
      <c r="S605" s="5">
        <f>F605+L605-(D605+E605)*C605-J605-K605-IF(D$52&gt;0,'Assumptions and Catalog'!$C$26*C605,0)</f>
        <v>0</v>
      </c>
      <c r="T605" s="5"/>
      <c r="U605" s="5"/>
    </row>
    <row r="606" spans="1:21" ht="23.1" customHeight="1" outlineLevel="1" x14ac:dyDescent="0.2">
      <c r="A606" s="5">
        <v>17</v>
      </c>
      <c r="B606" s="5">
        <v>4</v>
      </c>
      <c r="C606" s="5">
        <f>DAY(DATE('Assumptions and Catalog'!$C$24+A606-1,B606+1,0))</f>
        <v>30</v>
      </c>
      <c r="D606" s="5">
        <f>IF(ISNUMBER(Inputs!$L$5),Inputs!$L$5*Inputs!$L$6,0)</f>
        <v>40.35</v>
      </c>
      <c r="E606" s="5">
        <f>IF(ISNUMBER(Inputs!$L$5),Inputs!$L$5-D606,0)</f>
        <v>40.35</v>
      </c>
      <c r="F606" s="5">
        <f>D$51*'Assumptions and Catalog'!$C$31*C606*(1-'Assumptions and Catalog'!$C$10)^(A606-1)</f>
        <v>0</v>
      </c>
      <c r="G606" s="5">
        <f t="shared" si="44"/>
        <v>0</v>
      </c>
      <c r="H606" s="5">
        <f>I606/('Assumptions and Catalog'!$C$11*'Assumptions and Catalog'!$C$12)</f>
        <v>0</v>
      </c>
      <c r="I606" s="5">
        <f>IF(K$15="Grid cycle",MIN(K$16,D606+E606,P606*'Assumptions and Catalog'!$C$12,D$57*(24-'Assumptions and Catalog'!$C$15),D$56*'Assumptions and Catalog'!$C$15*'Assumptions and Catalog'!$C$11*'Assumptions and Catalog'!$C$12)*C606,0)</f>
        <v>0</v>
      </c>
      <c r="J606" s="5">
        <f t="shared" si="45"/>
        <v>0</v>
      </c>
      <c r="K606" s="5">
        <f t="shared" si="46"/>
        <v>0</v>
      </c>
      <c r="L606" s="5">
        <f>(D606+E606)*C606-G606-I606+H606+IF(D$52&gt;0,'Assumptions and Catalog'!$C$26*C606,0)</f>
        <v>2421</v>
      </c>
      <c r="M606" s="5">
        <f>IF(ISNUMBER(Inputs!$L$5),(IF(Inputs!$L$9="Actual flat rate",((D606+E606)*C606)*Inputs!$L$10,IF(Inputs!$C$9="Residential",IF(((D606+E606)*C606)&lt;='Assumptions and Catalog'!$C$50,((D606+E606)*C606)*'Assumptions and Catalog'!$H$50+'Assumptions and Catalog'!$E$50+'Assumptions and Catalog'!$F$50,IF(((D606+E606)*C606)&lt;='Assumptions and Catalog'!$C$51,((D606+E606)*C606)*'Assumptions and Catalog'!$H$51+'Assumptions and Catalog'!$E$51+'Assumptions and Catalog'!$F$51,IF(((D606+E606)*C606)&lt;='Assumptions and Catalog'!$C$52,((D606+E606)*C606)*'Assumptions and Catalog'!$H$52+'Assumptions and Catalog'!$E$52+'Assumptions and Catalog'!$F$52,IF(((D606+E606)*C606)&lt;='Assumptions and Catalog'!$C$53,((D606+E606)*C606)*'Assumptions and Catalog'!$H$53+'Assumptions and Catalog'!$E$53+'Assumptions and Catalog'!$F$53,IF(((D606+E606)*C606)&lt;='Assumptions and Catalog'!$C$54,((D606+E606)*C606)*'Assumptions and Catalog'!$H$54+'Assumptions and Catalog'!$E$54+'Assumptions and Catalog'!$F$54,IF(((D606+E606)*C606)&lt;='Assumptions and Catalog'!$C$55,((D606+E606)*C606)*'Assumptions and Catalog'!$H$55+'Assumptions and Catalog'!$E$55+'Assumptions and Catalog'!$F$55,IF(((D606+E606)*C606)&lt;='Assumptions and Catalog'!$C$56,((D606+E606)*C606)*'Assumptions and Catalog'!$H$56+'Assumptions and Catalog'!$E$56+'Assumptions and Catalog'!$F$56,IF(((D606+E606)*C606)&lt;='Assumptions and Catalog'!$C$57,((D606+E606)*C606)*'Assumptions and Catalog'!$H$57+'Assumptions and Catalog'!$E$57+'Assumptions and Catalog'!$F$57,"Out of range")))))))),IF(((D606+E606)*C606)&lt;='Assumptions and Catalog'!$C$60,((D606+E606)*C606)*'Assumptions and Catalog'!$H$60+'Assumptions and Catalog'!$E$60+'Assumptions and Catalog'!$F$60,IF(((D606+E606)*C606)&lt;='Assumptions and Catalog'!$C$61,((D606+E606)*C606)*'Assumptions and Catalog'!$H$61+'Assumptions and Catalog'!$E$61+'Assumptions and Catalog'!$F$61,IF(((D606+E606)*C606)&lt;='Assumptions and Catalog'!$C$62,((D606+E606)*C606)*'Assumptions and Catalog'!$H$62+'Assumptions and Catalog'!$E$62+'Assumptions and Catalog'!$F$62,IF(((D606+E606)*C606)&lt;='Assumptions and Catalog'!$C$63,((D606+E606)*C606)*'Assumptions and Catalog'!$H$63+'Assumptions and Catalog'!$E$63+'Assumptions and Catalog'!$F$63,IF(((D606+E606)*C606)&lt;='Assumptions and Catalog'!$C$64,((D606+E606)*C606)*'Assumptions and Catalog'!$H$64+'Assumptions and Catalog'!$E$64+'Assumptions and Catalog'!$F$64,IF(((D606+E606)*C606)&lt;='Assumptions and Catalog'!$C$65,((D606+E606)*C606)*'Assumptions and Catalog'!$H$65+'Assumptions and Catalog'!$E$65+'Assumptions and Catalog'!$F$65,"Out of range")))))))))*(1+'Assumptions and Catalog'!$C$8)^(A606-1),0)</f>
        <v>8279</v>
      </c>
      <c r="N606" s="5">
        <f>IF(ISNUMBER(Inputs!$L$5),(IF(Inputs!$L$9="Actual flat rate",L606*Inputs!$L$10,IF(Inputs!$C$9="Residential",IF(L606&lt;='Assumptions and Catalog'!$C$50,L606*'Assumptions and Catalog'!$H$50+'Assumptions and Catalog'!$E$50+'Assumptions and Catalog'!$F$50,IF(L606&lt;='Assumptions and Catalog'!$C$51,L606*'Assumptions and Catalog'!$H$51+'Assumptions and Catalog'!$E$51+'Assumptions and Catalog'!$F$51,IF(L606&lt;='Assumptions and Catalog'!$C$52,L606*'Assumptions and Catalog'!$H$52+'Assumptions and Catalog'!$E$52+'Assumptions and Catalog'!$F$52,IF(L606&lt;='Assumptions and Catalog'!$C$53,L606*'Assumptions and Catalog'!$H$53+'Assumptions and Catalog'!$E$53+'Assumptions and Catalog'!$F$53,IF(L606&lt;='Assumptions and Catalog'!$C$54,L606*'Assumptions and Catalog'!$H$54+'Assumptions and Catalog'!$E$54+'Assumptions and Catalog'!$F$54,IF(L606&lt;='Assumptions and Catalog'!$C$55,L606*'Assumptions and Catalog'!$H$55+'Assumptions and Catalog'!$E$55+'Assumptions and Catalog'!$F$55,IF(L606&lt;='Assumptions and Catalog'!$C$56,L606*'Assumptions and Catalog'!$H$56+'Assumptions and Catalog'!$E$56+'Assumptions and Catalog'!$F$56,IF(L606&lt;='Assumptions and Catalog'!$C$57,L606*'Assumptions and Catalog'!$H$57+'Assumptions and Catalog'!$E$57+'Assumptions and Catalog'!$F$57,"Out of range")))))))),IF(L606&lt;='Assumptions and Catalog'!$C$60,L606*'Assumptions and Catalog'!$H$60+'Assumptions and Catalog'!$E$60+'Assumptions and Catalog'!$F$60,IF(L606&lt;='Assumptions and Catalog'!$C$61,L606*'Assumptions and Catalog'!$H$61+'Assumptions and Catalog'!$E$61+'Assumptions and Catalog'!$F$61,IF(L606&lt;='Assumptions and Catalog'!$C$62,L606*'Assumptions and Catalog'!$H$62+'Assumptions and Catalog'!$E$62+'Assumptions and Catalog'!$F$62,IF(L606&lt;='Assumptions and Catalog'!$C$63,L606*'Assumptions and Catalog'!$H$63+'Assumptions and Catalog'!$E$63+'Assumptions and Catalog'!$F$63,IF(L606&lt;='Assumptions and Catalog'!$C$64,L606*'Assumptions and Catalog'!$H$64+'Assumptions and Catalog'!$E$64+'Assumptions and Catalog'!$F$64,IF(L606&lt;='Assumptions and Catalog'!$C$65,L606*'Assumptions and Catalog'!$H$65+'Assumptions and Catalog'!$E$65+'Assumptions and Catalog'!$F$65,"Out of range")))))))))*(1+'Assumptions and Catalog'!$C$8)^(A606-1),0)</f>
        <v>8279</v>
      </c>
      <c r="O606" s="5">
        <f t="shared" si="47"/>
        <v>0</v>
      </c>
      <c r="P606" s="5">
        <f>D$55*(1-K$14)*(1-'Assumptions and Catalog'!$C$23)^R606</f>
        <v>0</v>
      </c>
      <c r="Q606" s="5">
        <f>IF(ISNUMBER(Inputs!$L$5),(IF(Inputs!$L$9="Actual flat rate",((D606+E606)*C606-G606)*Inputs!$L$10,IF(Inputs!$C$9="Residential",IF(((D606+E606)*C606-G606)&lt;='Assumptions and Catalog'!$C$50,((D606+E606)*C606-G606)*'Assumptions and Catalog'!$H$50+'Assumptions and Catalog'!$E$50+'Assumptions and Catalog'!$F$50,IF(((D606+E606)*C606-G606)&lt;='Assumptions and Catalog'!$C$51,((D606+E606)*C606-G606)*'Assumptions and Catalog'!$H$51+'Assumptions and Catalog'!$E$51+'Assumptions and Catalog'!$F$51,IF(((D606+E606)*C606-G606)&lt;='Assumptions and Catalog'!$C$52,((D606+E606)*C606-G606)*'Assumptions and Catalog'!$H$52+'Assumptions and Catalog'!$E$52+'Assumptions and Catalog'!$F$52,IF(((D606+E606)*C606-G606)&lt;='Assumptions and Catalog'!$C$53,((D606+E606)*C606-G606)*'Assumptions and Catalog'!$H$53+'Assumptions and Catalog'!$E$53+'Assumptions and Catalog'!$F$53,IF(((D606+E606)*C606-G606)&lt;='Assumptions and Catalog'!$C$54,((D606+E606)*C606-G606)*'Assumptions and Catalog'!$H$54+'Assumptions and Catalog'!$E$54+'Assumptions and Catalog'!$F$54,IF(((D606+E606)*C606-G606)&lt;='Assumptions and Catalog'!$C$55,((D606+E606)*C606-G606)*'Assumptions and Catalog'!$H$55+'Assumptions and Catalog'!$E$55+'Assumptions and Catalog'!$F$55,IF(((D606+E606)*C606-G606)&lt;='Assumptions and Catalog'!$C$56,((D606+E606)*C606-G606)*'Assumptions and Catalog'!$H$56+'Assumptions and Catalog'!$E$56+'Assumptions and Catalog'!$F$56,IF(((D606+E606)*C606-G606)&lt;='Assumptions and Catalog'!$C$57,((D606+E606)*C606-G606)*'Assumptions and Catalog'!$H$57+'Assumptions and Catalog'!$E$57+'Assumptions and Catalog'!$F$57,"Out of range")))))))),IF(((D606+E606)*C606-G606)&lt;='Assumptions and Catalog'!$C$60,((D606+E606)*C606-G606)*'Assumptions and Catalog'!$H$60+'Assumptions and Catalog'!$E$60+'Assumptions and Catalog'!$F$60,IF(((D606+E606)*C606-G606)&lt;='Assumptions and Catalog'!$C$61,((D606+E606)*C606-G606)*'Assumptions and Catalog'!$H$61+'Assumptions and Catalog'!$E$61+'Assumptions and Catalog'!$F$61,IF(((D606+E606)*C606-G606)&lt;='Assumptions and Catalog'!$C$62,((D606+E606)*C606-G606)*'Assumptions and Catalog'!$H$62+'Assumptions and Catalog'!$E$62+'Assumptions and Catalog'!$F$62,IF(((D606+E606)*C606-G606)&lt;='Assumptions and Catalog'!$C$63,((D606+E606)*C606-G606)*'Assumptions and Catalog'!$H$63+'Assumptions and Catalog'!$E$63+'Assumptions and Catalog'!$F$63,IF(((D606+E606)*C606-G606)&lt;='Assumptions and Catalog'!$C$64,((D606+E606)*C606-G606)*'Assumptions and Catalog'!$H$64+'Assumptions and Catalog'!$E$64+'Assumptions and Catalog'!$F$64,IF(((D606+E606)*C606-G606)&lt;='Assumptions and Catalog'!$C$65,((D606+E606)*C606-G606)*'Assumptions and Catalog'!$H$65+'Assumptions and Catalog'!$E$65+'Assumptions and Catalog'!$F$65,"Out of range")))))))))*(1+'Assumptions and Catalog'!$C$8)^(A606-1),0)</f>
        <v>8279</v>
      </c>
      <c r="R606" s="5">
        <f>IF(AND('Assumptions and Catalog'!$C$19&gt;0,A606&gt;='Assumptions and Catalog'!$C$19),A606-'Assumptions and Catalog'!$C$19,A606-1)</f>
        <v>6</v>
      </c>
      <c r="S606" s="5">
        <f>F606+L606-(D606+E606)*C606-J606-K606-IF(D$52&gt;0,'Assumptions and Catalog'!$C$26*C606,0)</f>
        <v>0</v>
      </c>
      <c r="T606" s="5"/>
      <c r="U606" s="5"/>
    </row>
    <row r="607" spans="1:21" ht="23.1" customHeight="1" outlineLevel="1" x14ac:dyDescent="0.2">
      <c r="A607" s="5">
        <v>17</v>
      </c>
      <c r="B607" s="5">
        <v>5</v>
      </c>
      <c r="C607" s="5">
        <f>DAY(DATE('Assumptions and Catalog'!$C$24+A607-1,B607+1,0))</f>
        <v>31</v>
      </c>
      <c r="D607" s="5">
        <f>IF(ISNUMBER(Inputs!$L$5),Inputs!$L$5*Inputs!$L$6,0)</f>
        <v>40.35</v>
      </c>
      <c r="E607" s="5">
        <f>IF(ISNUMBER(Inputs!$L$5),Inputs!$L$5-D607,0)</f>
        <v>40.35</v>
      </c>
      <c r="F607" s="5">
        <f>D$51*'Assumptions and Catalog'!$C$31*C607*(1-'Assumptions and Catalog'!$C$10)^(A607-1)</f>
        <v>0</v>
      </c>
      <c r="G607" s="5">
        <f t="shared" si="44"/>
        <v>0</v>
      </c>
      <c r="H607" s="5">
        <f>I607/('Assumptions and Catalog'!$C$11*'Assumptions and Catalog'!$C$12)</f>
        <v>0</v>
      </c>
      <c r="I607" s="5">
        <f>IF(K$15="Grid cycle",MIN(K$16,D607+E607,P607*'Assumptions and Catalog'!$C$12,D$57*(24-'Assumptions and Catalog'!$C$15),D$56*'Assumptions and Catalog'!$C$15*'Assumptions and Catalog'!$C$11*'Assumptions and Catalog'!$C$12)*C607,0)</f>
        <v>0</v>
      </c>
      <c r="J607" s="5">
        <f t="shared" si="45"/>
        <v>0</v>
      </c>
      <c r="K607" s="5">
        <f t="shared" si="46"/>
        <v>0</v>
      </c>
      <c r="L607" s="5">
        <f>(D607+E607)*C607-G607-I607+H607+IF(D$52&gt;0,'Assumptions and Catalog'!$C$26*C607,0)</f>
        <v>2501.7000000000003</v>
      </c>
      <c r="M607" s="5">
        <f>IF(ISNUMBER(Inputs!$L$5),(IF(Inputs!$L$9="Actual flat rate",((D607+E607)*C607)*Inputs!$L$10,IF(Inputs!$C$9="Residential",IF(((D607+E607)*C607)&lt;='Assumptions and Catalog'!$C$50,((D607+E607)*C607)*'Assumptions and Catalog'!$H$50+'Assumptions and Catalog'!$E$50+'Assumptions and Catalog'!$F$50,IF(((D607+E607)*C607)&lt;='Assumptions and Catalog'!$C$51,((D607+E607)*C607)*'Assumptions and Catalog'!$H$51+'Assumptions and Catalog'!$E$51+'Assumptions and Catalog'!$F$51,IF(((D607+E607)*C607)&lt;='Assumptions and Catalog'!$C$52,((D607+E607)*C607)*'Assumptions and Catalog'!$H$52+'Assumptions and Catalog'!$E$52+'Assumptions and Catalog'!$F$52,IF(((D607+E607)*C607)&lt;='Assumptions and Catalog'!$C$53,((D607+E607)*C607)*'Assumptions and Catalog'!$H$53+'Assumptions and Catalog'!$E$53+'Assumptions and Catalog'!$F$53,IF(((D607+E607)*C607)&lt;='Assumptions and Catalog'!$C$54,((D607+E607)*C607)*'Assumptions and Catalog'!$H$54+'Assumptions and Catalog'!$E$54+'Assumptions and Catalog'!$F$54,IF(((D607+E607)*C607)&lt;='Assumptions and Catalog'!$C$55,((D607+E607)*C607)*'Assumptions and Catalog'!$H$55+'Assumptions and Catalog'!$E$55+'Assumptions and Catalog'!$F$55,IF(((D607+E607)*C607)&lt;='Assumptions and Catalog'!$C$56,((D607+E607)*C607)*'Assumptions and Catalog'!$H$56+'Assumptions and Catalog'!$E$56+'Assumptions and Catalog'!$F$56,IF(((D607+E607)*C607)&lt;='Assumptions and Catalog'!$C$57,((D607+E607)*C607)*'Assumptions and Catalog'!$H$57+'Assumptions and Catalog'!$E$57+'Assumptions and Catalog'!$F$57,"Out of range")))))))),IF(((D607+E607)*C607)&lt;='Assumptions and Catalog'!$C$60,((D607+E607)*C607)*'Assumptions and Catalog'!$H$60+'Assumptions and Catalog'!$E$60+'Assumptions and Catalog'!$F$60,IF(((D607+E607)*C607)&lt;='Assumptions and Catalog'!$C$61,((D607+E607)*C607)*'Assumptions and Catalog'!$H$61+'Assumptions and Catalog'!$E$61+'Assumptions and Catalog'!$F$61,IF(((D607+E607)*C607)&lt;='Assumptions and Catalog'!$C$62,((D607+E607)*C607)*'Assumptions and Catalog'!$H$62+'Assumptions and Catalog'!$E$62+'Assumptions and Catalog'!$F$62,IF(((D607+E607)*C607)&lt;='Assumptions and Catalog'!$C$63,((D607+E607)*C607)*'Assumptions and Catalog'!$H$63+'Assumptions and Catalog'!$E$63+'Assumptions and Catalog'!$F$63,IF(((D607+E607)*C607)&lt;='Assumptions and Catalog'!$C$64,((D607+E607)*C607)*'Assumptions and Catalog'!$H$64+'Assumptions and Catalog'!$E$64+'Assumptions and Catalog'!$F$64,IF(((D607+E607)*C607)&lt;='Assumptions and Catalog'!$C$65,((D607+E607)*C607)*'Assumptions and Catalog'!$H$65+'Assumptions and Catalog'!$E$65+'Assumptions and Catalog'!$F$65,"Out of range")))))))))*(1+'Assumptions and Catalog'!$C$8)^(A607-1),0)</f>
        <v>8554.9666666666672</v>
      </c>
      <c r="N607" s="5">
        <f>IF(ISNUMBER(Inputs!$L$5),(IF(Inputs!$L$9="Actual flat rate",L607*Inputs!$L$10,IF(Inputs!$C$9="Residential",IF(L607&lt;='Assumptions and Catalog'!$C$50,L607*'Assumptions and Catalog'!$H$50+'Assumptions and Catalog'!$E$50+'Assumptions and Catalog'!$F$50,IF(L607&lt;='Assumptions and Catalog'!$C$51,L607*'Assumptions and Catalog'!$H$51+'Assumptions and Catalog'!$E$51+'Assumptions and Catalog'!$F$51,IF(L607&lt;='Assumptions and Catalog'!$C$52,L607*'Assumptions and Catalog'!$H$52+'Assumptions and Catalog'!$E$52+'Assumptions and Catalog'!$F$52,IF(L607&lt;='Assumptions and Catalog'!$C$53,L607*'Assumptions and Catalog'!$H$53+'Assumptions and Catalog'!$E$53+'Assumptions and Catalog'!$F$53,IF(L607&lt;='Assumptions and Catalog'!$C$54,L607*'Assumptions and Catalog'!$H$54+'Assumptions and Catalog'!$E$54+'Assumptions and Catalog'!$F$54,IF(L607&lt;='Assumptions and Catalog'!$C$55,L607*'Assumptions and Catalog'!$H$55+'Assumptions and Catalog'!$E$55+'Assumptions and Catalog'!$F$55,IF(L607&lt;='Assumptions and Catalog'!$C$56,L607*'Assumptions and Catalog'!$H$56+'Assumptions and Catalog'!$E$56+'Assumptions and Catalog'!$F$56,IF(L607&lt;='Assumptions and Catalog'!$C$57,L607*'Assumptions and Catalog'!$H$57+'Assumptions and Catalog'!$E$57+'Assumptions and Catalog'!$F$57,"Out of range")))))))),IF(L607&lt;='Assumptions and Catalog'!$C$60,L607*'Assumptions and Catalog'!$H$60+'Assumptions and Catalog'!$E$60+'Assumptions and Catalog'!$F$60,IF(L607&lt;='Assumptions and Catalog'!$C$61,L607*'Assumptions and Catalog'!$H$61+'Assumptions and Catalog'!$E$61+'Assumptions and Catalog'!$F$61,IF(L607&lt;='Assumptions and Catalog'!$C$62,L607*'Assumptions and Catalog'!$H$62+'Assumptions and Catalog'!$E$62+'Assumptions and Catalog'!$F$62,IF(L607&lt;='Assumptions and Catalog'!$C$63,L607*'Assumptions and Catalog'!$H$63+'Assumptions and Catalog'!$E$63+'Assumptions and Catalog'!$F$63,IF(L607&lt;='Assumptions and Catalog'!$C$64,L607*'Assumptions and Catalog'!$H$64+'Assumptions and Catalog'!$E$64+'Assumptions and Catalog'!$F$64,IF(L607&lt;='Assumptions and Catalog'!$C$65,L607*'Assumptions and Catalog'!$H$65+'Assumptions and Catalog'!$E$65+'Assumptions and Catalog'!$F$65,"Out of range")))))))))*(1+'Assumptions and Catalog'!$C$8)^(A607-1),0)</f>
        <v>8554.9666666666672</v>
      </c>
      <c r="O607" s="5">
        <f t="shared" si="47"/>
        <v>0</v>
      </c>
      <c r="P607" s="5">
        <f>D$55*(1-K$14)*(1-'Assumptions and Catalog'!$C$23)^R607</f>
        <v>0</v>
      </c>
      <c r="Q607" s="5">
        <f>IF(ISNUMBER(Inputs!$L$5),(IF(Inputs!$L$9="Actual flat rate",((D607+E607)*C607-G607)*Inputs!$L$10,IF(Inputs!$C$9="Residential",IF(((D607+E607)*C607-G607)&lt;='Assumptions and Catalog'!$C$50,((D607+E607)*C607-G607)*'Assumptions and Catalog'!$H$50+'Assumptions and Catalog'!$E$50+'Assumptions and Catalog'!$F$50,IF(((D607+E607)*C607-G607)&lt;='Assumptions and Catalog'!$C$51,((D607+E607)*C607-G607)*'Assumptions and Catalog'!$H$51+'Assumptions and Catalog'!$E$51+'Assumptions and Catalog'!$F$51,IF(((D607+E607)*C607-G607)&lt;='Assumptions and Catalog'!$C$52,((D607+E607)*C607-G607)*'Assumptions and Catalog'!$H$52+'Assumptions and Catalog'!$E$52+'Assumptions and Catalog'!$F$52,IF(((D607+E607)*C607-G607)&lt;='Assumptions and Catalog'!$C$53,((D607+E607)*C607-G607)*'Assumptions and Catalog'!$H$53+'Assumptions and Catalog'!$E$53+'Assumptions and Catalog'!$F$53,IF(((D607+E607)*C607-G607)&lt;='Assumptions and Catalog'!$C$54,((D607+E607)*C607-G607)*'Assumptions and Catalog'!$H$54+'Assumptions and Catalog'!$E$54+'Assumptions and Catalog'!$F$54,IF(((D607+E607)*C607-G607)&lt;='Assumptions and Catalog'!$C$55,((D607+E607)*C607-G607)*'Assumptions and Catalog'!$H$55+'Assumptions and Catalog'!$E$55+'Assumptions and Catalog'!$F$55,IF(((D607+E607)*C607-G607)&lt;='Assumptions and Catalog'!$C$56,((D607+E607)*C607-G607)*'Assumptions and Catalog'!$H$56+'Assumptions and Catalog'!$E$56+'Assumptions and Catalog'!$F$56,IF(((D607+E607)*C607-G607)&lt;='Assumptions and Catalog'!$C$57,((D607+E607)*C607-G607)*'Assumptions and Catalog'!$H$57+'Assumptions and Catalog'!$E$57+'Assumptions and Catalog'!$F$57,"Out of range")))))))),IF(((D607+E607)*C607-G607)&lt;='Assumptions and Catalog'!$C$60,((D607+E607)*C607-G607)*'Assumptions and Catalog'!$H$60+'Assumptions and Catalog'!$E$60+'Assumptions and Catalog'!$F$60,IF(((D607+E607)*C607-G607)&lt;='Assumptions and Catalog'!$C$61,((D607+E607)*C607-G607)*'Assumptions and Catalog'!$H$61+'Assumptions and Catalog'!$E$61+'Assumptions and Catalog'!$F$61,IF(((D607+E607)*C607-G607)&lt;='Assumptions and Catalog'!$C$62,((D607+E607)*C607-G607)*'Assumptions and Catalog'!$H$62+'Assumptions and Catalog'!$E$62+'Assumptions and Catalog'!$F$62,IF(((D607+E607)*C607-G607)&lt;='Assumptions and Catalog'!$C$63,((D607+E607)*C607-G607)*'Assumptions and Catalog'!$H$63+'Assumptions and Catalog'!$E$63+'Assumptions and Catalog'!$F$63,IF(((D607+E607)*C607-G607)&lt;='Assumptions and Catalog'!$C$64,((D607+E607)*C607-G607)*'Assumptions and Catalog'!$H$64+'Assumptions and Catalog'!$E$64+'Assumptions and Catalog'!$F$64,IF(((D607+E607)*C607-G607)&lt;='Assumptions and Catalog'!$C$65,((D607+E607)*C607-G607)*'Assumptions and Catalog'!$H$65+'Assumptions and Catalog'!$E$65+'Assumptions and Catalog'!$F$65,"Out of range")))))))))*(1+'Assumptions and Catalog'!$C$8)^(A607-1),0)</f>
        <v>8554.9666666666672</v>
      </c>
      <c r="R607" s="5">
        <f>IF(AND('Assumptions and Catalog'!$C$19&gt;0,A607&gt;='Assumptions and Catalog'!$C$19),A607-'Assumptions and Catalog'!$C$19,A607-1)</f>
        <v>6</v>
      </c>
      <c r="S607" s="5">
        <f>F607+L607-(D607+E607)*C607-J607-K607-IF(D$52&gt;0,'Assumptions and Catalog'!$C$26*C607,0)</f>
        <v>0</v>
      </c>
      <c r="T607" s="5"/>
      <c r="U607" s="5"/>
    </row>
    <row r="608" spans="1:21" ht="23.1" customHeight="1" outlineLevel="1" x14ac:dyDescent="0.2">
      <c r="A608" s="5">
        <v>17</v>
      </c>
      <c r="B608" s="5">
        <v>6</v>
      </c>
      <c r="C608" s="5">
        <f>DAY(DATE('Assumptions and Catalog'!$C$24+A608-1,B608+1,0))</f>
        <v>30</v>
      </c>
      <c r="D608" s="5">
        <f>IF(ISNUMBER(Inputs!$L$5),Inputs!$L$5*Inputs!$L$6,0)</f>
        <v>40.35</v>
      </c>
      <c r="E608" s="5">
        <f>IF(ISNUMBER(Inputs!$L$5),Inputs!$L$5-D608,0)</f>
        <v>40.35</v>
      </c>
      <c r="F608" s="5">
        <f>D$51*'Assumptions and Catalog'!$C$31*C608*(1-'Assumptions and Catalog'!$C$10)^(A608-1)</f>
        <v>0</v>
      </c>
      <c r="G608" s="5">
        <f t="shared" si="44"/>
        <v>0</v>
      </c>
      <c r="H608" s="5">
        <f>I608/('Assumptions and Catalog'!$C$11*'Assumptions and Catalog'!$C$12)</f>
        <v>0</v>
      </c>
      <c r="I608" s="5">
        <f>IF(K$15="Grid cycle",MIN(K$16,D608+E608,P608*'Assumptions and Catalog'!$C$12,D$57*(24-'Assumptions and Catalog'!$C$15),D$56*'Assumptions and Catalog'!$C$15*'Assumptions and Catalog'!$C$11*'Assumptions and Catalog'!$C$12)*C608,0)</f>
        <v>0</v>
      </c>
      <c r="J608" s="5">
        <f t="shared" si="45"/>
        <v>0</v>
      </c>
      <c r="K608" s="5">
        <f t="shared" si="46"/>
        <v>0</v>
      </c>
      <c r="L608" s="5">
        <f>(D608+E608)*C608-G608-I608+H608+IF(D$52&gt;0,'Assumptions and Catalog'!$C$26*C608,0)</f>
        <v>2421</v>
      </c>
      <c r="M608" s="5">
        <f>IF(ISNUMBER(Inputs!$L$5),(IF(Inputs!$L$9="Actual flat rate",((D608+E608)*C608)*Inputs!$L$10,IF(Inputs!$C$9="Residential",IF(((D608+E608)*C608)&lt;='Assumptions and Catalog'!$C$50,((D608+E608)*C608)*'Assumptions and Catalog'!$H$50+'Assumptions and Catalog'!$E$50+'Assumptions and Catalog'!$F$50,IF(((D608+E608)*C608)&lt;='Assumptions and Catalog'!$C$51,((D608+E608)*C608)*'Assumptions and Catalog'!$H$51+'Assumptions and Catalog'!$E$51+'Assumptions and Catalog'!$F$51,IF(((D608+E608)*C608)&lt;='Assumptions and Catalog'!$C$52,((D608+E608)*C608)*'Assumptions and Catalog'!$H$52+'Assumptions and Catalog'!$E$52+'Assumptions and Catalog'!$F$52,IF(((D608+E608)*C608)&lt;='Assumptions and Catalog'!$C$53,((D608+E608)*C608)*'Assumptions and Catalog'!$H$53+'Assumptions and Catalog'!$E$53+'Assumptions and Catalog'!$F$53,IF(((D608+E608)*C608)&lt;='Assumptions and Catalog'!$C$54,((D608+E608)*C608)*'Assumptions and Catalog'!$H$54+'Assumptions and Catalog'!$E$54+'Assumptions and Catalog'!$F$54,IF(((D608+E608)*C608)&lt;='Assumptions and Catalog'!$C$55,((D608+E608)*C608)*'Assumptions and Catalog'!$H$55+'Assumptions and Catalog'!$E$55+'Assumptions and Catalog'!$F$55,IF(((D608+E608)*C608)&lt;='Assumptions and Catalog'!$C$56,((D608+E608)*C608)*'Assumptions and Catalog'!$H$56+'Assumptions and Catalog'!$E$56+'Assumptions and Catalog'!$F$56,IF(((D608+E608)*C608)&lt;='Assumptions and Catalog'!$C$57,((D608+E608)*C608)*'Assumptions and Catalog'!$H$57+'Assumptions and Catalog'!$E$57+'Assumptions and Catalog'!$F$57,"Out of range")))))))),IF(((D608+E608)*C608)&lt;='Assumptions and Catalog'!$C$60,((D608+E608)*C608)*'Assumptions and Catalog'!$H$60+'Assumptions and Catalog'!$E$60+'Assumptions and Catalog'!$F$60,IF(((D608+E608)*C608)&lt;='Assumptions and Catalog'!$C$61,((D608+E608)*C608)*'Assumptions and Catalog'!$H$61+'Assumptions and Catalog'!$E$61+'Assumptions and Catalog'!$F$61,IF(((D608+E608)*C608)&lt;='Assumptions and Catalog'!$C$62,((D608+E608)*C608)*'Assumptions and Catalog'!$H$62+'Assumptions and Catalog'!$E$62+'Assumptions and Catalog'!$F$62,IF(((D608+E608)*C608)&lt;='Assumptions and Catalog'!$C$63,((D608+E608)*C608)*'Assumptions and Catalog'!$H$63+'Assumptions and Catalog'!$E$63+'Assumptions and Catalog'!$F$63,IF(((D608+E608)*C608)&lt;='Assumptions and Catalog'!$C$64,((D608+E608)*C608)*'Assumptions and Catalog'!$H$64+'Assumptions and Catalog'!$E$64+'Assumptions and Catalog'!$F$64,IF(((D608+E608)*C608)&lt;='Assumptions and Catalog'!$C$65,((D608+E608)*C608)*'Assumptions and Catalog'!$H$65+'Assumptions and Catalog'!$E$65+'Assumptions and Catalog'!$F$65,"Out of range")))))))))*(1+'Assumptions and Catalog'!$C$8)^(A608-1),0)</f>
        <v>8279</v>
      </c>
      <c r="N608" s="5">
        <f>IF(ISNUMBER(Inputs!$L$5),(IF(Inputs!$L$9="Actual flat rate",L608*Inputs!$L$10,IF(Inputs!$C$9="Residential",IF(L608&lt;='Assumptions and Catalog'!$C$50,L608*'Assumptions and Catalog'!$H$50+'Assumptions and Catalog'!$E$50+'Assumptions and Catalog'!$F$50,IF(L608&lt;='Assumptions and Catalog'!$C$51,L608*'Assumptions and Catalog'!$H$51+'Assumptions and Catalog'!$E$51+'Assumptions and Catalog'!$F$51,IF(L608&lt;='Assumptions and Catalog'!$C$52,L608*'Assumptions and Catalog'!$H$52+'Assumptions and Catalog'!$E$52+'Assumptions and Catalog'!$F$52,IF(L608&lt;='Assumptions and Catalog'!$C$53,L608*'Assumptions and Catalog'!$H$53+'Assumptions and Catalog'!$E$53+'Assumptions and Catalog'!$F$53,IF(L608&lt;='Assumptions and Catalog'!$C$54,L608*'Assumptions and Catalog'!$H$54+'Assumptions and Catalog'!$E$54+'Assumptions and Catalog'!$F$54,IF(L608&lt;='Assumptions and Catalog'!$C$55,L608*'Assumptions and Catalog'!$H$55+'Assumptions and Catalog'!$E$55+'Assumptions and Catalog'!$F$55,IF(L608&lt;='Assumptions and Catalog'!$C$56,L608*'Assumptions and Catalog'!$H$56+'Assumptions and Catalog'!$E$56+'Assumptions and Catalog'!$F$56,IF(L608&lt;='Assumptions and Catalog'!$C$57,L608*'Assumptions and Catalog'!$H$57+'Assumptions and Catalog'!$E$57+'Assumptions and Catalog'!$F$57,"Out of range")))))))),IF(L608&lt;='Assumptions and Catalog'!$C$60,L608*'Assumptions and Catalog'!$H$60+'Assumptions and Catalog'!$E$60+'Assumptions and Catalog'!$F$60,IF(L608&lt;='Assumptions and Catalog'!$C$61,L608*'Assumptions and Catalog'!$H$61+'Assumptions and Catalog'!$E$61+'Assumptions and Catalog'!$F$61,IF(L608&lt;='Assumptions and Catalog'!$C$62,L608*'Assumptions and Catalog'!$H$62+'Assumptions and Catalog'!$E$62+'Assumptions and Catalog'!$F$62,IF(L608&lt;='Assumptions and Catalog'!$C$63,L608*'Assumptions and Catalog'!$H$63+'Assumptions and Catalog'!$E$63+'Assumptions and Catalog'!$F$63,IF(L608&lt;='Assumptions and Catalog'!$C$64,L608*'Assumptions and Catalog'!$H$64+'Assumptions and Catalog'!$E$64+'Assumptions and Catalog'!$F$64,IF(L608&lt;='Assumptions and Catalog'!$C$65,L608*'Assumptions and Catalog'!$H$65+'Assumptions and Catalog'!$E$65+'Assumptions and Catalog'!$F$65,"Out of range")))))))))*(1+'Assumptions and Catalog'!$C$8)^(A608-1),0)</f>
        <v>8279</v>
      </c>
      <c r="O608" s="5">
        <f t="shared" si="47"/>
        <v>0</v>
      </c>
      <c r="P608" s="5">
        <f>D$55*(1-K$14)*(1-'Assumptions and Catalog'!$C$23)^R608</f>
        <v>0</v>
      </c>
      <c r="Q608" s="5">
        <f>IF(ISNUMBER(Inputs!$L$5),(IF(Inputs!$L$9="Actual flat rate",((D608+E608)*C608-G608)*Inputs!$L$10,IF(Inputs!$C$9="Residential",IF(((D608+E608)*C608-G608)&lt;='Assumptions and Catalog'!$C$50,((D608+E608)*C608-G608)*'Assumptions and Catalog'!$H$50+'Assumptions and Catalog'!$E$50+'Assumptions and Catalog'!$F$50,IF(((D608+E608)*C608-G608)&lt;='Assumptions and Catalog'!$C$51,((D608+E608)*C608-G608)*'Assumptions and Catalog'!$H$51+'Assumptions and Catalog'!$E$51+'Assumptions and Catalog'!$F$51,IF(((D608+E608)*C608-G608)&lt;='Assumptions and Catalog'!$C$52,((D608+E608)*C608-G608)*'Assumptions and Catalog'!$H$52+'Assumptions and Catalog'!$E$52+'Assumptions and Catalog'!$F$52,IF(((D608+E608)*C608-G608)&lt;='Assumptions and Catalog'!$C$53,((D608+E608)*C608-G608)*'Assumptions and Catalog'!$H$53+'Assumptions and Catalog'!$E$53+'Assumptions and Catalog'!$F$53,IF(((D608+E608)*C608-G608)&lt;='Assumptions and Catalog'!$C$54,((D608+E608)*C608-G608)*'Assumptions and Catalog'!$H$54+'Assumptions and Catalog'!$E$54+'Assumptions and Catalog'!$F$54,IF(((D608+E608)*C608-G608)&lt;='Assumptions and Catalog'!$C$55,((D608+E608)*C608-G608)*'Assumptions and Catalog'!$H$55+'Assumptions and Catalog'!$E$55+'Assumptions and Catalog'!$F$55,IF(((D608+E608)*C608-G608)&lt;='Assumptions and Catalog'!$C$56,((D608+E608)*C608-G608)*'Assumptions and Catalog'!$H$56+'Assumptions and Catalog'!$E$56+'Assumptions and Catalog'!$F$56,IF(((D608+E608)*C608-G608)&lt;='Assumptions and Catalog'!$C$57,((D608+E608)*C608-G608)*'Assumptions and Catalog'!$H$57+'Assumptions and Catalog'!$E$57+'Assumptions and Catalog'!$F$57,"Out of range")))))))),IF(((D608+E608)*C608-G608)&lt;='Assumptions and Catalog'!$C$60,((D608+E608)*C608-G608)*'Assumptions and Catalog'!$H$60+'Assumptions and Catalog'!$E$60+'Assumptions and Catalog'!$F$60,IF(((D608+E608)*C608-G608)&lt;='Assumptions and Catalog'!$C$61,((D608+E608)*C608-G608)*'Assumptions and Catalog'!$H$61+'Assumptions and Catalog'!$E$61+'Assumptions and Catalog'!$F$61,IF(((D608+E608)*C608-G608)&lt;='Assumptions and Catalog'!$C$62,((D608+E608)*C608-G608)*'Assumptions and Catalog'!$H$62+'Assumptions and Catalog'!$E$62+'Assumptions and Catalog'!$F$62,IF(((D608+E608)*C608-G608)&lt;='Assumptions and Catalog'!$C$63,((D608+E608)*C608-G608)*'Assumptions and Catalog'!$H$63+'Assumptions and Catalog'!$E$63+'Assumptions and Catalog'!$F$63,IF(((D608+E608)*C608-G608)&lt;='Assumptions and Catalog'!$C$64,((D608+E608)*C608-G608)*'Assumptions and Catalog'!$H$64+'Assumptions and Catalog'!$E$64+'Assumptions and Catalog'!$F$64,IF(((D608+E608)*C608-G608)&lt;='Assumptions and Catalog'!$C$65,((D608+E608)*C608-G608)*'Assumptions and Catalog'!$H$65+'Assumptions and Catalog'!$E$65+'Assumptions and Catalog'!$F$65,"Out of range")))))))))*(1+'Assumptions and Catalog'!$C$8)^(A608-1),0)</f>
        <v>8279</v>
      </c>
      <c r="R608" s="5">
        <f>IF(AND('Assumptions and Catalog'!$C$19&gt;0,A608&gt;='Assumptions and Catalog'!$C$19),A608-'Assumptions and Catalog'!$C$19,A608-1)</f>
        <v>6</v>
      </c>
      <c r="S608" s="5">
        <f>F608+L608-(D608+E608)*C608-J608-K608-IF(D$52&gt;0,'Assumptions and Catalog'!$C$26*C608,0)</f>
        <v>0</v>
      </c>
      <c r="T608" s="5"/>
      <c r="U608" s="5"/>
    </row>
    <row r="609" spans="1:21" ht="23.1" customHeight="1" outlineLevel="1" x14ac:dyDescent="0.2">
      <c r="A609" s="5">
        <v>17</v>
      </c>
      <c r="B609" s="5">
        <v>7</v>
      </c>
      <c r="C609" s="5">
        <f>DAY(DATE('Assumptions and Catalog'!$C$24+A609-1,B609+1,0))</f>
        <v>31</v>
      </c>
      <c r="D609" s="5">
        <f>IF(ISNUMBER(Inputs!$L$5),Inputs!$L$5*Inputs!$L$6,0)</f>
        <v>40.35</v>
      </c>
      <c r="E609" s="5">
        <f>IF(ISNUMBER(Inputs!$L$5),Inputs!$L$5-D609,0)</f>
        <v>40.35</v>
      </c>
      <c r="F609" s="5">
        <f>D$51*'Assumptions and Catalog'!$C$31*C609*(1-'Assumptions and Catalog'!$C$10)^(A609-1)</f>
        <v>0</v>
      </c>
      <c r="G609" s="5">
        <f t="shared" si="44"/>
        <v>0</v>
      </c>
      <c r="H609" s="5">
        <f>I609/('Assumptions and Catalog'!$C$11*'Assumptions and Catalog'!$C$12)</f>
        <v>0</v>
      </c>
      <c r="I609" s="5">
        <f>IF(K$15="Grid cycle",MIN(K$16,D609+E609,P609*'Assumptions and Catalog'!$C$12,D$57*(24-'Assumptions and Catalog'!$C$15),D$56*'Assumptions and Catalog'!$C$15*'Assumptions and Catalog'!$C$11*'Assumptions and Catalog'!$C$12)*C609,0)</f>
        <v>0</v>
      </c>
      <c r="J609" s="5">
        <f t="shared" si="45"/>
        <v>0</v>
      </c>
      <c r="K609" s="5">
        <f t="shared" si="46"/>
        <v>0</v>
      </c>
      <c r="L609" s="5">
        <f>(D609+E609)*C609-G609-I609+H609+IF(D$52&gt;0,'Assumptions and Catalog'!$C$26*C609,0)</f>
        <v>2501.7000000000003</v>
      </c>
      <c r="M609" s="5">
        <f>IF(ISNUMBER(Inputs!$L$5),(IF(Inputs!$L$9="Actual flat rate",((D609+E609)*C609)*Inputs!$L$10,IF(Inputs!$C$9="Residential",IF(((D609+E609)*C609)&lt;='Assumptions and Catalog'!$C$50,((D609+E609)*C609)*'Assumptions and Catalog'!$H$50+'Assumptions and Catalog'!$E$50+'Assumptions and Catalog'!$F$50,IF(((D609+E609)*C609)&lt;='Assumptions and Catalog'!$C$51,((D609+E609)*C609)*'Assumptions and Catalog'!$H$51+'Assumptions and Catalog'!$E$51+'Assumptions and Catalog'!$F$51,IF(((D609+E609)*C609)&lt;='Assumptions and Catalog'!$C$52,((D609+E609)*C609)*'Assumptions and Catalog'!$H$52+'Assumptions and Catalog'!$E$52+'Assumptions and Catalog'!$F$52,IF(((D609+E609)*C609)&lt;='Assumptions and Catalog'!$C$53,((D609+E609)*C609)*'Assumptions and Catalog'!$H$53+'Assumptions and Catalog'!$E$53+'Assumptions and Catalog'!$F$53,IF(((D609+E609)*C609)&lt;='Assumptions and Catalog'!$C$54,((D609+E609)*C609)*'Assumptions and Catalog'!$H$54+'Assumptions and Catalog'!$E$54+'Assumptions and Catalog'!$F$54,IF(((D609+E609)*C609)&lt;='Assumptions and Catalog'!$C$55,((D609+E609)*C609)*'Assumptions and Catalog'!$H$55+'Assumptions and Catalog'!$E$55+'Assumptions and Catalog'!$F$55,IF(((D609+E609)*C609)&lt;='Assumptions and Catalog'!$C$56,((D609+E609)*C609)*'Assumptions and Catalog'!$H$56+'Assumptions and Catalog'!$E$56+'Assumptions and Catalog'!$F$56,IF(((D609+E609)*C609)&lt;='Assumptions and Catalog'!$C$57,((D609+E609)*C609)*'Assumptions and Catalog'!$H$57+'Assumptions and Catalog'!$E$57+'Assumptions and Catalog'!$F$57,"Out of range")))))))),IF(((D609+E609)*C609)&lt;='Assumptions and Catalog'!$C$60,((D609+E609)*C609)*'Assumptions and Catalog'!$H$60+'Assumptions and Catalog'!$E$60+'Assumptions and Catalog'!$F$60,IF(((D609+E609)*C609)&lt;='Assumptions and Catalog'!$C$61,((D609+E609)*C609)*'Assumptions and Catalog'!$H$61+'Assumptions and Catalog'!$E$61+'Assumptions and Catalog'!$F$61,IF(((D609+E609)*C609)&lt;='Assumptions and Catalog'!$C$62,((D609+E609)*C609)*'Assumptions and Catalog'!$H$62+'Assumptions and Catalog'!$E$62+'Assumptions and Catalog'!$F$62,IF(((D609+E609)*C609)&lt;='Assumptions and Catalog'!$C$63,((D609+E609)*C609)*'Assumptions and Catalog'!$H$63+'Assumptions and Catalog'!$E$63+'Assumptions and Catalog'!$F$63,IF(((D609+E609)*C609)&lt;='Assumptions and Catalog'!$C$64,((D609+E609)*C609)*'Assumptions and Catalog'!$H$64+'Assumptions and Catalog'!$E$64+'Assumptions and Catalog'!$F$64,IF(((D609+E609)*C609)&lt;='Assumptions and Catalog'!$C$65,((D609+E609)*C609)*'Assumptions and Catalog'!$H$65+'Assumptions and Catalog'!$E$65+'Assumptions and Catalog'!$F$65,"Out of range")))))))))*(1+'Assumptions and Catalog'!$C$8)^(A609-1),0)</f>
        <v>8554.9666666666672</v>
      </c>
      <c r="N609" s="5">
        <f>IF(ISNUMBER(Inputs!$L$5),(IF(Inputs!$L$9="Actual flat rate",L609*Inputs!$L$10,IF(Inputs!$C$9="Residential",IF(L609&lt;='Assumptions and Catalog'!$C$50,L609*'Assumptions and Catalog'!$H$50+'Assumptions and Catalog'!$E$50+'Assumptions and Catalog'!$F$50,IF(L609&lt;='Assumptions and Catalog'!$C$51,L609*'Assumptions and Catalog'!$H$51+'Assumptions and Catalog'!$E$51+'Assumptions and Catalog'!$F$51,IF(L609&lt;='Assumptions and Catalog'!$C$52,L609*'Assumptions and Catalog'!$H$52+'Assumptions and Catalog'!$E$52+'Assumptions and Catalog'!$F$52,IF(L609&lt;='Assumptions and Catalog'!$C$53,L609*'Assumptions and Catalog'!$H$53+'Assumptions and Catalog'!$E$53+'Assumptions and Catalog'!$F$53,IF(L609&lt;='Assumptions and Catalog'!$C$54,L609*'Assumptions and Catalog'!$H$54+'Assumptions and Catalog'!$E$54+'Assumptions and Catalog'!$F$54,IF(L609&lt;='Assumptions and Catalog'!$C$55,L609*'Assumptions and Catalog'!$H$55+'Assumptions and Catalog'!$E$55+'Assumptions and Catalog'!$F$55,IF(L609&lt;='Assumptions and Catalog'!$C$56,L609*'Assumptions and Catalog'!$H$56+'Assumptions and Catalog'!$E$56+'Assumptions and Catalog'!$F$56,IF(L609&lt;='Assumptions and Catalog'!$C$57,L609*'Assumptions and Catalog'!$H$57+'Assumptions and Catalog'!$E$57+'Assumptions and Catalog'!$F$57,"Out of range")))))))),IF(L609&lt;='Assumptions and Catalog'!$C$60,L609*'Assumptions and Catalog'!$H$60+'Assumptions and Catalog'!$E$60+'Assumptions and Catalog'!$F$60,IF(L609&lt;='Assumptions and Catalog'!$C$61,L609*'Assumptions and Catalog'!$H$61+'Assumptions and Catalog'!$E$61+'Assumptions and Catalog'!$F$61,IF(L609&lt;='Assumptions and Catalog'!$C$62,L609*'Assumptions and Catalog'!$H$62+'Assumptions and Catalog'!$E$62+'Assumptions and Catalog'!$F$62,IF(L609&lt;='Assumptions and Catalog'!$C$63,L609*'Assumptions and Catalog'!$H$63+'Assumptions and Catalog'!$E$63+'Assumptions and Catalog'!$F$63,IF(L609&lt;='Assumptions and Catalog'!$C$64,L609*'Assumptions and Catalog'!$H$64+'Assumptions and Catalog'!$E$64+'Assumptions and Catalog'!$F$64,IF(L609&lt;='Assumptions and Catalog'!$C$65,L609*'Assumptions and Catalog'!$H$65+'Assumptions and Catalog'!$E$65+'Assumptions and Catalog'!$F$65,"Out of range")))))))))*(1+'Assumptions and Catalog'!$C$8)^(A609-1),0)</f>
        <v>8554.9666666666672</v>
      </c>
      <c r="O609" s="5">
        <f t="shared" si="47"/>
        <v>0</v>
      </c>
      <c r="P609" s="5">
        <f>D$55*(1-K$14)*(1-'Assumptions and Catalog'!$C$23)^R609</f>
        <v>0</v>
      </c>
      <c r="Q609" s="5">
        <f>IF(ISNUMBER(Inputs!$L$5),(IF(Inputs!$L$9="Actual flat rate",((D609+E609)*C609-G609)*Inputs!$L$10,IF(Inputs!$C$9="Residential",IF(((D609+E609)*C609-G609)&lt;='Assumptions and Catalog'!$C$50,((D609+E609)*C609-G609)*'Assumptions and Catalog'!$H$50+'Assumptions and Catalog'!$E$50+'Assumptions and Catalog'!$F$50,IF(((D609+E609)*C609-G609)&lt;='Assumptions and Catalog'!$C$51,((D609+E609)*C609-G609)*'Assumptions and Catalog'!$H$51+'Assumptions and Catalog'!$E$51+'Assumptions and Catalog'!$F$51,IF(((D609+E609)*C609-G609)&lt;='Assumptions and Catalog'!$C$52,((D609+E609)*C609-G609)*'Assumptions and Catalog'!$H$52+'Assumptions and Catalog'!$E$52+'Assumptions and Catalog'!$F$52,IF(((D609+E609)*C609-G609)&lt;='Assumptions and Catalog'!$C$53,((D609+E609)*C609-G609)*'Assumptions and Catalog'!$H$53+'Assumptions and Catalog'!$E$53+'Assumptions and Catalog'!$F$53,IF(((D609+E609)*C609-G609)&lt;='Assumptions and Catalog'!$C$54,((D609+E609)*C609-G609)*'Assumptions and Catalog'!$H$54+'Assumptions and Catalog'!$E$54+'Assumptions and Catalog'!$F$54,IF(((D609+E609)*C609-G609)&lt;='Assumptions and Catalog'!$C$55,((D609+E609)*C609-G609)*'Assumptions and Catalog'!$H$55+'Assumptions and Catalog'!$E$55+'Assumptions and Catalog'!$F$55,IF(((D609+E609)*C609-G609)&lt;='Assumptions and Catalog'!$C$56,((D609+E609)*C609-G609)*'Assumptions and Catalog'!$H$56+'Assumptions and Catalog'!$E$56+'Assumptions and Catalog'!$F$56,IF(((D609+E609)*C609-G609)&lt;='Assumptions and Catalog'!$C$57,((D609+E609)*C609-G609)*'Assumptions and Catalog'!$H$57+'Assumptions and Catalog'!$E$57+'Assumptions and Catalog'!$F$57,"Out of range")))))))),IF(((D609+E609)*C609-G609)&lt;='Assumptions and Catalog'!$C$60,((D609+E609)*C609-G609)*'Assumptions and Catalog'!$H$60+'Assumptions and Catalog'!$E$60+'Assumptions and Catalog'!$F$60,IF(((D609+E609)*C609-G609)&lt;='Assumptions and Catalog'!$C$61,((D609+E609)*C609-G609)*'Assumptions and Catalog'!$H$61+'Assumptions and Catalog'!$E$61+'Assumptions and Catalog'!$F$61,IF(((D609+E609)*C609-G609)&lt;='Assumptions and Catalog'!$C$62,((D609+E609)*C609-G609)*'Assumptions and Catalog'!$H$62+'Assumptions and Catalog'!$E$62+'Assumptions and Catalog'!$F$62,IF(((D609+E609)*C609-G609)&lt;='Assumptions and Catalog'!$C$63,((D609+E609)*C609-G609)*'Assumptions and Catalog'!$H$63+'Assumptions and Catalog'!$E$63+'Assumptions and Catalog'!$F$63,IF(((D609+E609)*C609-G609)&lt;='Assumptions and Catalog'!$C$64,((D609+E609)*C609-G609)*'Assumptions and Catalog'!$H$64+'Assumptions and Catalog'!$E$64+'Assumptions and Catalog'!$F$64,IF(((D609+E609)*C609-G609)&lt;='Assumptions and Catalog'!$C$65,((D609+E609)*C609-G609)*'Assumptions and Catalog'!$H$65+'Assumptions and Catalog'!$E$65+'Assumptions and Catalog'!$F$65,"Out of range")))))))))*(1+'Assumptions and Catalog'!$C$8)^(A609-1),0)</f>
        <v>8554.9666666666672</v>
      </c>
      <c r="R609" s="5">
        <f>IF(AND('Assumptions and Catalog'!$C$19&gt;0,A609&gt;='Assumptions and Catalog'!$C$19),A609-'Assumptions and Catalog'!$C$19,A609-1)</f>
        <v>6</v>
      </c>
      <c r="S609" s="5">
        <f>F609+L609-(D609+E609)*C609-J609-K609-IF(D$52&gt;0,'Assumptions and Catalog'!$C$26*C609,0)</f>
        <v>0</v>
      </c>
      <c r="T609" s="5"/>
      <c r="U609" s="5"/>
    </row>
    <row r="610" spans="1:21" ht="23.1" customHeight="1" outlineLevel="1" x14ac:dyDescent="0.2">
      <c r="A610" s="5">
        <v>17</v>
      </c>
      <c r="B610" s="5">
        <v>8</v>
      </c>
      <c r="C610" s="5">
        <f>DAY(DATE('Assumptions and Catalog'!$C$24+A610-1,B610+1,0))</f>
        <v>31</v>
      </c>
      <c r="D610" s="5">
        <f>IF(ISNUMBER(Inputs!$L$5),Inputs!$L$5*Inputs!$L$6,0)</f>
        <v>40.35</v>
      </c>
      <c r="E610" s="5">
        <f>IF(ISNUMBER(Inputs!$L$5),Inputs!$L$5-D610,0)</f>
        <v>40.35</v>
      </c>
      <c r="F610" s="5">
        <f>D$51*'Assumptions and Catalog'!$C$31*C610*(1-'Assumptions and Catalog'!$C$10)^(A610-1)</f>
        <v>0</v>
      </c>
      <c r="G610" s="5">
        <f t="shared" si="44"/>
        <v>0</v>
      </c>
      <c r="H610" s="5">
        <f>I610/('Assumptions and Catalog'!$C$11*'Assumptions and Catalog'!$C$12)</f>
        <v>0</v>
      </c>
      <c r="I610" s="5">
        <f>IF(K$15="Grid cycle",MIN(K$16,D610+E610,P610*'Assumptions and Catalog'!$C$12,D$57*(24-'Assumptions and Catalog'!$C$15),D$56*'Assumptions and Catalog'!$C$15*'Assumptions and Catalog'!$C$11*'Assumptions and Catalog'!$C$12)*C610,0)</f>
        <v>0</v>
      </c>
      <c r="J610" s="5">
        <f t="shared" si="45"/>
        <v>0</v>
      </c>
      <c r="K610" s="5">
        <f t="shared" si="46"/>
        <v>0</v>
      </c>
      <c r="L610" s="5">
        <f>(D610+E610)*C610-G610-I610+H610+IF(D$52&gt;0,'Assumptions and Catalog'!$C$26*C610,0)</f>
        <v>2501.7000000000003</v>
      </c>
      <c r="M610" s="5">
        <f>IF(ISNUMBER(Inputs!$L$5),(IF(Inputs!$L$9="Actual flat rate",((D610+E610)*C610)*Inputs!$L$10,IF(Inputs!$C$9="Residential",IF(((D610+E610)*C610)&lt;='Assumptions and Catalog'!$C$50,((D610+E610)*C610)*'Assumptions and Catalog'!$H$50+'Assumptions and Catalog'!$E$50+'Assumptions and Catalog'!$F$50,IF(((D610+E610)*C610)&lt;='Assumptions and Catalog'!$C$51,((D610+E610)*C610)*'Assumptions and Catalog'!$H$51+'Assumptions and Catalog'!$E$51+'Assumptions and Catalog'!$F$51,IF(((D610+E610)*C610)&lt;='Assumptions and Catalog'!$C$52,((D610+E610)*C610)*'Assumptions and Catalog'!$H$52+'Assumptions and Catalog'!$E$52+'Assumptions and Catalog'!$F$52,IF(((D610+E610)*C610)&lt;='Assumptions and Catalog'!$C$53,((D610+E610)*C610)*'Assumptions and Catalog'!$H$53+'Assumptions and Catalog'!$E$53+'Assumptions and Catalog'!$F$53,IF(((D610+E610)*C610)&lt;='Assumptions and Catalog'!$C$54,((D610+E610)*C610)*'Assumptions and Catalog'!$H$54+'Assumptions and Catalog'!$E$54+'Assumptions and Catalog'!$F$54,IF(((D610+E610)*C610)&lt;='Assumptions and Catalog'!$C$55,((D610+E610)*C610)*'Assumptions and Catalog'!$H$55+'Assumptions and Catalog'!$E$55+'Assumptions and Catalog'!$F$55,IF(((D610+E610)*C610)&lt;='Assumptions and Catalog'!$C$56,((D610+E610)*C610)*'Assumptions and Catalog'!$H$56+'Assumptions and Catalog'!$E$56+'Assumptions and Catalog'!$F$56,IF(((D610+E610)*C610)&lt;='Assumptions and Catalog'!$C$57,((D610+E610)*C610)*'Assumptions and Catalog'!$H$57+'Assumptions and Catalog'!$E$57+'Assumptions and Catalog'!$F$57,"Out of range")))))))),IF(((D610+E610)*C610)&lt;='Assumptions and Catalog'!$C$60,((D610+E610)*C610)*'Assumptions and Catalog'!$H$60+'Assumptions and Catalog'!$E$60+'Assumptions and Catalog'!$F$60,IF(((D610+E610)*C610)&lt;='Assumptions and Catalog'!$C$61,((D610+E610)*C610)*'Assumptions and Catalog'!$H$61+'Assumptions and Catalog'!$E$61+'Assumptions and Catalog'!$F$61,IF(((D610+E610)*C610)&lt;='Assumptions and Catalog'!$C$62,((D610+E610)*C610)*'Assumptions and Catalog'!$H$62+'Assumptions and Catalog'!$E$62+'Assumptions and Catalog'!$F$62,IF(((D610+E610)*C610)&lt;='Assumptions and Catalog'!$C$63,((D610+E610)*C610)*'Assumptions and Catalog'!$H$63+'Assumptions and Catalog'!$E$63+'Assumptions and Catalog'!$F$63,IF(((D610+E610)*C610)&lt;='Assumptions and Catalog'!$C$64,((D610+E610)*C610)*'Assumptions and Catalog'!$H$64+'Assumptions and Catalog'!$E$64+'Assumptions and Catalog'!$F$64,IF(((D610+E610)*C610)&lt;='Assumptions and Catalog'!$C$65,((D610+E610)*C610)*'Assumptions and Catalog'!$H$65+'Assumptions and Catalog'!$E$65+'Assumptions and Catalog'!$F$65,"Out of range")))))))))*(1+'Assumptions and Catalog'!$C$8)^(A610-1),0)</f>
        <v>8554.9666666666672</v>
      </c>
      <c r="N610" s="5">
        <f>IF(ISNUMBER(Inputs!$L$5),(IF(Inputs!$L$9="Actual flat rate",L610*Inputs!$L$10,IF(Inputs!$C$9="Residential",IF(L610&lt;='Assumptions and Catalog'!$C$50,L610*'Assumptions and Catalog'!$H$50+'Assumptions and Catalog'!$E$50+'Assumptions and Catalog'!$F$50,IF(L610&lt;='Assumptions and Catalog'!$C$51,L610*'Assumptions and Catalog'!$H$51+'Assumptions and Catalog'!$E$51+'Assumptions and Catalog'!$F$51,IF(L610&lt;='Assumptions and Catalog'!$C$52,L610*'Assumptions and Catalog'!$H$52+'Assumptions and Catalog'!$E$52+'Assumptions and Catalog'!$F$52,IF(L610&lt;='Assumptions and Catalog'!$C$53,L610*'Assumptions and Catalog'!$H$53+'Assumptions and Catalog'!$E$53+'Assumptions and Catalog'!$F$53,IF(L610&lt;='Assumptions and Catalog'!$C$54,L610*'Assumptions and Catalog'!$H$54+'Assumptions and Catalog'!$E$54+'Assumptions and Catalog'!$F$54,IF(L610&lt;='Assumptions and Catalog'!$C$55,L610*'Assumptions and Catalog'!$H$55+'Assumptions and Catalog'!$E$55+'Assumptions and Catalog'!$F$55,IF(L610&lt;='Assumptions and Catalog'!$C$56,L610*'Assumptions and Catalog'!$H$56+'Assumptions and Catalog'!$E$56+'Assumptions and Catalog'!$F$56,IF(L610&lt;='Assumptions and Catalog'!$C$57,L610*'Assumptions and Catalog'!$H$57+'Assumptions and Catalog'!$E$57+'Assumptions and Catalog'!$F$57,"Out of range")))))))),IF(L610&lt;='Assumptions and Catalog'!$C$60,L610*'Assumptions and Catalog'!$H$60+'Assumptions and Catalog'!$E$60+'Assumptions and Catalog'!$F$60,IF(L610&lt;='Assumptions and Catalog'!$C$61,L610*'Assumptions and Catalog'!$H$61+'Assumptions and Catalog'!$E$61+'Assumptions and Catalog'!$F$61,IF(L610&lt;='Assumptions and Catalog'!$C$62,L610*'Assumptions and Catalog'!$H$62+'Assumptions and Catalog'!$E$62+'Assumptions and Catalog'!$F$62,IF(L610&lt;='Assumptions and Catalog'!$C$63,L610*'Assumptions and Catalog'!$H$63+'Assumptions and Catalog'!$E$63+'Assumptions and Catalog'!$F$63,IF(L610&lt;='Assumptions and Catalog'!$C$64,L610*'Assumptions and Catalog'!$H$64+'Assumptions and Catalog'!$E$64+'Assumptions and Catalog'!$F$64,IF(L610&lt;='Assumptions and Catalog'!$C$65,L610*'Assumptions and Catalog'!$H$65+'Assumptions and Catalog'!$E$65+'Assumptions and Catalog'!$F$65,"Out of range")))))))))*(1+'Assumptions and Catalog'!$C$8)^(A610-1),0)</f>
        <v>8554.9666666666672</v>
      </c>
      <c r="O610" s="5">
        <f t="shared" si="47"/>
        <v>0</v>
      </c>
      <c r="P610" s="5">
        <f>D$55*(1-K$14)*(1-'Assumptions and Catalog'!$C$23)^R610</f>
        <v>0</v>
      </c>
      <c r="Q610" s="5">
        <f>IF(ISNUMBER(Inputs!$L$5),(IF(Inputs!$L$9="Actual flat rate",((D610+E610)*C610-G610)*Inputs!$L$10,IF(Inputs!$C$9="Residential",IF(((D610+E610)*C610-G610)&lt;='Assumptions and Catalog'!$C$50,((D610+E610)*C610-G610)*'Assumptions and Catalog'!$H$50+'Assumptions and Catalog'!$E$50+'Assumptions and Catalog'!$F$50,IF(((D610+E610)*C610-G610)&lt;='Assumptions and Catalog'!$C$51,((D610+E610)*C610-G610)*'Assumptions and Catalog'!$H$51+'Assumptions and Catalog'!$E$51+'Assumptions and Catalog'!$F$51,IF(((D610+E610)*C610-G610)&lt;='Assumptions and Catalog'!$C$52,((D610+E610)*C610-G610)*'Assumptions and Catalog'!$H$52+'Assumptions and Catalog'!$E$52+'Assumptions and Catalog'!$F$52,IF(((D610+E610)*C610-G610)&lt;='Assumptions and Catalog'!$C$53,((D610+E610)*C610-G610)*'Assumptions and Catalog'!$H$53+'Assumptions and Catalog'!$E$53+'Assumptions and Catalog'!$F$53,IF(((D610+E610)*C610-G610)&lt;='Assumptions and Catalog'!$C$54,((D610+E610)*C610-G610)*'Assumptions and Catalog'!$H$54+'Assumptions and Catalog'!$E$54+'Assumptions and Catalog'!$F$54,IF(((D610+E610)*C610-G610)&lt;='Assumptions and Catalog'!$C$55,((D610+E610)*C610-G610)*'Assumptions and Catalog'!$H$55+'Assumptions and Catalog'!$E$55+'Assumptions and Catalog'!$F$55,IF(((D610+E610)*C610-G610)&lt;='Assumptions and Catalog'!$C$56,((D610+E610)*C610-G610)*'Assumptions and Catalog'!$H$56+'Assumptions and Catalog'!$E$56+'Assumptions and Catalog'!$F$56,IF(((D610+E610)*C610-G610)&lt;='Assumptions and Catalog'!$C$57,((D610+E610)*C610-G610)*'Assumptions and Catalog'!$H$57+'Assumptions and Catalog'!$E$57+'Assumptions and Catalog'!$F$57,"Out of range")))))))),IF(((D610+E610)*C610-G610)&lt;='Assumptions and Catalog'!$C$60,((D610+E610)*C610-G610)*'Assumptions and Catalog'!$H$60+'Assumptions and Catalog'!$E$60+'Assumptions and Catalog'!$F$60,IF(((D610+E610)*C610-G610)&lt;='Assumptions and Catalog'!$C$61,((D610+E610)*C610-G610)*'Assumptions and Catalog'!$H$61+'Assumptions and Catalog'!$E$61+'Assumptions and Catalog'!$F$61,IF(((D610+E610)*C610-G610)&lt;='Assumptions and Catalog'!$C$62,((D610+E610)*C610-G610)*'Assumptions and Catalog'!$H$62+'Assumptions and Catalog'!$E$62+'Assumptions and Catalog'!$F$62,IF(((D610+E610)*C610-G610)&lt;='Assumptions and Catalog'!$C$63,((D610+E610)*C610-G610)*'Assumptions and Catalog'!$H$63+'Assumptions and Catalog'!$E$63+'Assumptions and Catalog'!$F$63,IF(((D610+E610)*C610-G610)&lt;='Assumptions and Catalog'!$C$64,((D610+E610)*C610-G610)*'Assumptions and Catalog'!$H$64+'Assumptions and Catalog'!$E$64+'Assumptions and Catalog'!$F$64,IF(((D610+E610)*C610-G610)&lt;='Assumptions and Catalog'!$C$65,((D610+E610)*C610-G610)*'Assumptions and Catalog'!$H$65+'Assumptions and Catalog'!$E$65+'Assumptions and Catalog'!$F$65,"Out of range")))))))))*(1+'Assumptions and Catalog'!$C$8)^(A610-1),0)</f>
        <v>8554.9666666666672</v>
      </c>
      <c r="R610" s="5">
        <f>IF(AND('Assumptions and Catalog'!$C$19&gt;0,A610&gt;='Assumptions and Catalog'!$C$19),A610-'Assumptions and Catalog'!$C$19,A610-1)</f>
        <v>6</v>
      </c>
      <c r="S610" s="5">
        <f>F610+L610-(D610+E610)*C610-J610-K610-IF(D$52&gt;0,'Assumptions and Catalog'!$C$26*C610,0)</f>
        <v>0</v>
      </c>
      <c r="T610" s="5"/>
      <c r="U610" s="5"/>
    </row>
    <row r="611" spans="1:21" ht="23.1" customHeight="1" outlineLevel="1" x14ac:dyDescent="0.2">
      <c r="A611" s="5">
        <v>17</v>
      </c>
      <c r="B611" s="5">
        <v>9</v>
      </c>
      <c r="C611" s="5">
        <f>DAY(DATE('Assumptions and Catalog'!$C$24+A611-1,B611+1,0))</f>
        <v>30</v>
      </c>
      <c r="D611" s="5">
        <f>IF(ISNUMBER(Inputs!$L$5),Inputs!$L$5*Inputs!$L$6,0)</f>
        <v>40.35</v>
      </c>
      <c r="E611" s="5">
        <f>IF(ISNUMBER(Inputs!$L$5),Inputs!$L$5-D611,0)</f>
        <v>40.35</v>
      </c>
      <c r="F611" s="5">
        <f>D$51*'Assumptions and Catalog'!$C$31*C611*(1-'Assumptions and Catalog'!$C$10)^(A611-1)</f>
        <v>0</v>
      </c>
      <c r="G611" s="5">
        <f t="shared" si="44"/>
        <v>0</v>
      </c>
      <c r="H611" s="5">
        <f>I611/('Assumptions and Catalog'!$C$11*'Assumptions and Catalog'!$C$12)</f>
        <v>0</v>
      </c>
      <c r="I611" s="5">
        <f>IF(K$15="Grid cycle",MIN(K$16,D611+E611,P611*'Assumptions and Catalog'!$C$12,D$57*(24-'Assumptions and Catalog'!$C$15),D$56*'Assumptions and Catalog'!$C$15*'Assumptions and Catalog'!$C$11*'Assumptions and Catalog'!$C$12)*C611,0)</f>
        <v>0</v>
      </c>
      <c r="J611" s="5">
        <f t="shared" si="45"/>
        <v>0</v>
      </c>
      <c r="K611" s="5">
        <f t="shared" si="46"/>
        <v>0</v>
      </c>
      <c r="L611" s="5">
        <f>(D611+E611)*C611-G611-I611+H611+IF(D$52&gt;0,'Assumptions and Catalog'!$C$26*C611,0)</f>
        <v>2421</v>
      </c>
      <c r="M611" s="5">
        <f>IF(ISNUMBER(Inputs!$L$5),(IF(Inputs!$L$9="Actual flat rate",((D611+E611)*C611)*Inputs!$L$10,IF(Inputs!$C$9="Residential",IF(((D611+E611)*C611)&lt;='Assumptions and Catalog'!$C$50,((D611+E611)*C611)*'Assumptions and Catalog'!$H$50+'Assumptions and Catalog'!$E$50+'Assumptions and Catalog'!$F$50,IF(((D611+E611)*C611)&lt;='Assumptions and Catalog'!$C$51,((D611+E611)*C611)*'Assumptions and Catalog'!$H$51+'Assumptions and Catalog'!$E$51+'Assumptions and Catalog'!$F$51,IF(((D611+E611)*C611)&lt;='Assumptions and Catalog'!$C$52,((D611+E611)*C611)*'Assumptions and Catalog'!$H$52+'Assumptions and Catalog'!$E$52+'Assumptions and Catalog'!$F$52,IF(((D611+E611)*C611)&lt;='Assumptions and Catalog'!$C$53,((D611+E611)*C611)*'Assumptions and Catalog'!$H$53+'Assumptions and Catalog'!$E$53+'Assumptions and Catalog'!$F$53,IF(((D611+E611)*C611)&lt;='Assumptions and Catalog'!$C$54,((D611+E611)*C611)*'Assumptions and Catalog'!$H$54+'Assumptions and Catalog'!$E$54+'Assumptions and Catalog'!$F$54,IF(((D611+E611)*C611)&lt;='Assumptions and Catalog'!$C$55,((D611+E611)*C611)*'Assumptions and Catalog'!$H$55+'Assumptions and Catalog'!$E$55+'Assumptions and Catalog'!$F$55,IF(((D611+E611)*C611)&lt;='Assumptions and Catalog'!$C$56,((D611+E611)*C611)*'Assumptions and Catalog'!$H$56+'Assumptions and Catalog'!$E$56+'Assumptions and Catalog'!$F$56,IF(((D611+E611)*C611)&lt;='Assumptions and Catalog'!$C$57,((D611+E611)*C611)*'Assumptions and Catalog'!$H$57+'Assumptions and Catalog'!$E$57+'Assumptions and Catalog'!$F$57,"Out of range")))))))),IF(((D611+E611)*C611)&lt;='Assumptions and Catalog'!$C$60,((D611+E611)*C611)*'Assumptions and Catalog'!$H$60+'Assumptions and Catalog'!$E$60+'Assumptions and Catalog'!$F$60,IF(((D611+E611)*C611)&lt;='Assumptions and Catalog'!$C$61,((D611+E611)*C611)*'Assumptions and Catalog'!$H$61+'Assumptions and Catalog'!$E$61+'Assumptions and Catalog'!$F$61,IF(((D611+E611)*C611)&lt;='Assumptions and Catalog'!$C$62,((D611+E611)*C611)*'Assumptions and Catalog'!$H$62+'Assumptions and Catalog'!$E$62+'Assumptions and Catalog'!$F$62,IF(((D611+E611)*C611)&lt;='Assumptions and Catalog'!$C$63,((D611+E611)*C611)*'Assumptions and Catalog'!$H$63+'Assumptions and Catalog'!$E$63+'Assumptions and Catalog'!$F$63,IF(((D611+E611)*C611)&lt;='Assumptions and Catalog'!$C$64,((D611+E611)*C611)*'Assumptions and Catalog'!$H$64+'Assumptions and Catalog'!$E$64+'Assumptions and Catalog'!$F$64,IF(((D611+E611)*C611)&lt;='Assumptions and Catalog'!$C$65,((D611+E611)*C611)*'Assumptions and Catalog'!$H$65+'Assumptions and Catalog'!$E$65+'Assumptions and Catalog'!$F$65,"Out of range")))))))))*(1+'Assumptions and Catalog'!$C$8)^(A611-1),0)</f>
        <v>8279</v>
      </c>
      <c r="N611" s="5">
        <f>IF(ISNUMBER(Inputs!$L$5),(IF(Inputs!$L$9="Actual flat rate",L611*Inputs!$L$10,IF(Inputs!$C$9="Residential",IF(L611&lt;='Assumptions and Catalog'!$C$50,L611*'Assumptions and Catalog'!$H$50+'Assumptions and Catalog'!$E$50+'Assumptions and Catalog'!$F$50,IF(L611&lt;='Assumptions and Catalog'!$C$51,L611*'Assumptions and Catalog'!$H$51+'Assumptions and Catalog'!$E$51+'Assumptions and Catalog'!$F$51,IF(L611&lt;='Assumptions and Catalog'!$C$52,L611*'Assumptions and Catalog'!$H$52+'Assumptions and Catalog'!$E$52+'Assumptions and Catalog'!$F$52,IF(L611&lt;='Assumptions and Catalog'!$C$53,L611*'Assumptions and Catalog'!$H$53+'Assumptions and Catalog'!$E$53+'Assumptions and Catalog'!$F$53,IF(L611&lt;='Assumptions and Catalog'!$C$54,L611*'Assumptions and Catalog'!$H$54+'Assumptions and Catalog'!$E$54+'Assumptions and Catalog'!$F$54,IF(L611&lt;='Assumptions and Catalog'!$C$55,L611*'Assumptions and Catalog'!$H$55+'Assumptions and Catalog'!$E$55+'Assumptions and Catalog'!$F$55,IF(L611&lt;='Assumptions and Catalog'!$C$56,L611*'Assumptions and Catalog'!$H$56+'Assumptions and Catalog'!$E$56+'Assumptions and Catalog'!$F$56,IF(L611&lt;='Assumptions and Catalog'!$C$57,L611*'Assumptions and Catalog'!$H$57+'Assumptions and Catalog'!$E$57+'Assumptions and Catalog'!$F$57,"Out of range")))))))),IF(L611&lt;='Assumptions and Catalog'!$C$60,L611*'Assumptions and Catalog'!$H$60+'Assumptions and Catalog'!$E$60+'Assumptions and Catalog'!$F$60,IF(L611&lt;='Assumptions and Catalog'!$C$61,L611*'Assumptions and Catalog'!$H$61+'Assumptions and Catalog'!$E$61+'Assumptions and Catalog'!$F$61,IF(L611&lt;='Assumptions and Catalog'!$C$62,L611*'Assumptions and Catalog'!$H$62+'Assumptions and Catalog'!$E$62+'Assumptions and Catalog'!$F$62,IF(L611&lt;='Assumptions and Catalog'!$C$63,L611*'Assumptions and Catalog'!$H$63+'Assumptions and Catalog'!$E$63+'Assumptions and Catalog'!$F$63,IF(L611&lt;='Assumptions and Catalog'!$C$64,L611*'Assumptions and Catalog'!$H$64+'Assumptions and Catalog'!$E$64+'Assumptions and Catalog'!$F$64,IF(L611&lt;='Assumptions and Catalog'!$C$65,L611*'Assumptions and Catalog'!$H$65+'Assumptions and Catalog'!$E$65+'Assumptions and Catalog'!$F$65,"Out of range")))))))))*(1+'Assumptions and Catalog'!$C$8)^(A611-1),0)</f>
        <v>8279</v>
      </c>
      <c r="O611" s="5">
        <f t="shared" si="47"/>
        <v>0</v>
      </c>
      <c r="P611" s="5">
        <f>D$55*(1-K$14)*(1-'Assumptions and Catalog'!$C$23)^R611</f>
        <v>0</v>
      </c>
      <c r="Q611" s="5">
        <f>IF(ISNUMBER(Inputs!$L$5),(IF(Inputs!$L$9="Actual flat rate",((D611+E611)*C611-G611)*Inputs!$L$10,IF(Inputs!$C$9="Residential",IF(((D611+E611)*C611-G611)&lt;='Assumptions and Catalog'!$C$50,((D611+E611)*C611-G611)*'Assumptions and Catalog'!$H$50+'Assumptions and Catalog'!$E$50+'Assumptions and Catalog'!$F$50,IF(((D611+E611)*C611-G611)&lt;='Assumptions and Catalog'!$C$51,((D611+E611)*C611-G611)*'Assumptions and Catalog'!$H$51+'Assumptions and Catalog'!$E$51+'Assumptions and Catalog'!$F$51,IF(((D611+E611)*C611-G611)&lt;='Assumptions and Catalog'!$C$52,((D611+E611)*C611-G611)*'Assumptions and Catalog'!$H$52+'Assumptions and Catalog'!$E$52+'Assumptions and Catalog'!$F$52,IF(((D611+E611)*C611-G611)&lt;='Assumptions and Catalog'!$C$53,((D611+E611)*C611-G611)*'Assumptions and Catalog'!$H$53+'Assumptions and Catalog'!$E$53+'Assumptions and Catalog'!$F$53,IF(((D611+E611)*C611-G611)&lt;='Assumptions and Catalog'!$C$54,((D611+E611)*C611-G611)*'Assumptions and Catalog'!$H$54+'Assumptions and Catalog'!$E$54+'Assumptions and Catalog'!$F$54,IF(((D611+E611)*C611-G611)&lt;='Assumptions and Catalog'!$C$55,((D611+E611)*C611-G611)*'Assumptions and Catalog'!$H$55+'Assumptions and Catalog'!$E$55+'Assumptions and Catalog'!$F$55,IF(((D611+E611)*C611-G611)&lt;='Assumptions and Catalog'!$C$56,((D611+E611)*C611-G611)*'Assumptions and Catalog'!$H$56+'Assumptions and Catalog'!$E$56+'Assumptions and Catalog'!$F$56,IF(((D611+E611)*C611-G611)&lt;='Assumptions and Catalog'!$C$57,((D611+E611)*C611-G611)*'Assumptions and Catalog'!$H$57+'Assumptions and Catalog'!$E$57+'Assumptions and Catalog'!$F$57,"Out of range")))))))),IF(((D611+E611)*C611-G611)&lt;='Assumptions and Catalog'!$C$60,((D611+E611)*C611-G611)*'Assumptions and Catalog'!$H$60+'Assumptions and Catalog'!$E$60+'Assumptions and Catalog'!$F$60,IF(((D611+E611)*C611-G611)&lt;='Assumptions and Catalog'!$C$61,((D611+E611)*C611-G611)*'Assumptions and Catalog'!$H$61+'Assumptions and Catalog'!$E$61+'Assumptions and Catalog'!$F$61,IF(((D611+E611)*C611-G611)&lt;='Assumptions and Catalog'!$C$62,((D611+E611)*C611-G611)*'Assumptions and Catalog'!$H$62+'Assumptions and Catalog'!$E$62+'Assumptions and Catalog'!$F$62,IF(((D611+E611)*C611-G611)&lt;='Assumptions and Catalog'!$C$63,((D611+E611)*C611-G611)*'Assumptions and Catalog'!$H$63+'Assumptions and Catalog'!$E$63+'Assumptions and Catalog'!$F$63,IF(((D611+E611)*C611-G611)&lt;='Assumptions and Catalog'!$C$64,((D611+E611)*C611-G611)*'Assumptions and Catalog'!$H$64+'Assumptions and Catalog'!$E$64+'Assumptions and Catalog'!$F$64,IF(((D611+E611)*C611-G611)&lt;='Assumptions and Catalog'!$C$65,((D611+E611)*C611-G611)*'Assumptions and Catalog'!$H$65+'Assumptions and Catalog'!$E$65+'Assumptions and Catalog'!$F$65,"Out of range")))))))))*(1+'Assumptions and Catalog'!$C$8)^(A611-1),0)</f>
        <v>8279</v>
      </c>
      <c r="R611" s="5">
        <f>IF(AND('Assumptions and Catalog'!$C$19&gt;0,A611&gt;='Assumptions and Catalog'!$C$19),A611-'Assumptions and Catalog'!$C$19,A611-1)</f>
        <v>6</v>
      </c>
      <c r="S611" s="5">
        <f>F611+L611-(D611+E611)*C611-J611-K611-IF(D$52&gt;0,'Assumptions and Catalog'!$C$26*C611,0)</f>
        <v>0</v>
      </c>
      <c r="T611" s="5"/>
      <c r="U611" s="5"/>
    </row>
    <row r="612" spans="1:21" ht="23.1" customHeight="1" outlineLevel="1" x14ac:dyDescent="0.2">
      <c r="A612" s="5">
        <v>17</v>
      </c>
      <c r="B612" s="5">
        <v>10</v>
      </c>
      <c r="C612" s="5">
        <f>DAY(DATE('Assumptions and Catalog'!$C$24+A612-1,B612+1,0))</f>
        <v>31</v>
      </c>
      <c r="D612" s="5">
        <f>IF(ISNUMBER(Inputs!$L$5),Inputs!$L$5*Inputs!$L$6,0)</f>
        <v>40.35</v>
      </c>
      <c r="E612" s="5">
        <f>IF(ISNUMBER(Inputs!$L$5),Inputs!$L$5-D612,0)</f>
        <v>40.35</v>
      </c>
      <c r="F612" s="5">
        <f>D$51*'Assumptions and Catalog'!$C$31*C612*(1-'Assumptions and Catalog'!$C$10)^(A612-1)</f>
        <v>0</v>
      </c>
      <c r="G612" s="5">
        <f t="shared" si="44"/>
        <v>0</v>
      </c>
      <c r="H612" s="5">
        <f>I612/('Assumptions and Catalog'!$C$11*'Assumptions and Catalog'!$C$12)</f>
        <v>0</v>
      </c>
      <c r="I612" s="5">
        <f>IF(K$15="Grid cycle",MIN(K$16,D612+E612,P612*'Assumptions and Catalog'!$C$12,D$57*(24-'Assumptions and Catalog'!$C$15),D$56*'Assumptions and Catalog'!$C$15*'Assumptions and Catalog'!$C$11*'Assumptions and Catalog'!$C$12)*C612,0)</f>
        <v>0</v>
      </c>
      <c r="J612" s="5">
        <f t="shared" si="45"/>
        <v>0</v>
      </c>
      <c r="K612" s="5">
        <f t="shared" si="46"/>
        <v>0</v>
      </c>
      <c r="L612" s="5">
        <f>(D612+E612)*C612-G612-I612+H612+IF(D$52&gt;0,'Assumptions and Catalog'!$C$26*C612,0)</f>
        <v>2501.7000000000003</v>
      </c>
      <c r="M612" s="5">
        <f>IF(ISNUMBER(Inputs!$L$5),(IF(Inputs!$L$9="Actual flat rate",((D612+E612)*C612)*Inputs!$L$10,IF(Inputs!$C$9="Residential",IF(((D612+E612)*C612)&lt;='Assumptions and Catalog'!$C$50,((D612+E612)*C612)*'Assumptions and Catalog'!$H$50+'Assumptions and Catalog'!$E$50+'Assumptions and Catalog'!$F$50,IF(((D612+E612)*C612)&lt;='Assumptions and Catalog'!$C$51,((D612+E612)*C612)*'Assumptions and Catalog'!$H$51+'Assumptions and Catalog'!$E$51+'Assumptions and Catalog'!$F$51,IF(((D612+E612)*C612)&lt;='Assumptions and Catalog'!$C$52,((D612+E612)*C612)*'Assumptions and Catalog'!$H$52+'Assumptions and Catalog'!$E$52+'Assumptions and Catalog'!$F$52,IF(((D612+E612)*C612)&lt;='Assumptions and Catalog'!$C$53,((D612+E612)*C612)*'Assumptions and Catalog'!$H$53+'Assumptions and Catalog'!$E$53+'Assumptions and Catalog'!$F$53,IF(((D612+E612)*C612)&lt;='Assumptions and Catalog'!$C$54,((D612+E612)*C612)*'Assumptions and Catalog'!$H$54+'Assumptions and Catalog'!$E$54+'Assumptions and Catalog'!$F$54,IF(((D612+E612)*C612)&lt;='Assumptions and Catalog'!$C$55,((D612+E612)*C612)*'Assumptions and Catalog'!$H$55+'Assumptions and Catalog'!$E$55+'Assumptions and Catalog'!$F$55,IF(((D612+E612)*C612)&lt;='Assumptions and Catalog'!$C$56,((D612+E612)*C612)*'Assumptions and Catalog'!$H$56+'Assumptions and Catalog'!$E$56+'Assumptions and Catalog'!$F$56,IF(((D612+E612)*C612)&lt;='Assumptions and Catalog'!$C$57,((D612+E612)*C612)*'Assumptions and Catalog'!$H$57+'Assumptions and Catalog'!$E$57+'Assumptions and Catalog'!$F$57,"Out of range")))))))),IF(((D612+E612)*C612)&lt;='Assumptions and Catalog'!$C$60,((D612+E612)*C612)*'Assumptions and Catalog'!$H$60+'Assumptions and Catalog'!$E$60+'Assumptions and Catalog'!$F$60,IF(((D612+E612)*C612)&lt;='Assumptions and Catalog'!$C$61,((D612+E612)*C612)*'Assumptions and Catalog'!$H$61+'Assumptions and Catalog'!$E$61+'Assumptions and Catalog'!$F$61,IF(((D612+E612)*C612)&lt;='Assumptions and Catalog'!$C$62,((D612+E612)*C612)*'Assumptions and Catalog'!$H$62+'Assumptions and Catalog'!$E$62+'Assumptions and Catalog'!$F$62,IF(((D612+E612)*C612)&lt;='Assumptions and Catalog'!$C$63,((D612+E612)*C612)*'Assumptions and Catalog'!$H$63+'Assumptions and Catalog'!$E$63+'Assumptions and Catalog'!$F$63,IF(((D612+E612)*C612)&lt;='Assumptions and Catalog'!$C$64,((D612+E612)*C612)*'Assumptions and Catalog'!$H$64+'Assumptions and Catalog'!$E$64+'Assumptions and Catalog'!$F$64,IF(((D612+E612)*C612)&lt;='Assumptions and Catalog'!$C$65,((D612+E612)*C612)*'Assumptions and Catalog'!$H$65+'Assumptions and Catalog'!$E$65+'Assumptions and Catalog'!$F$65,"Out of range")))))))))*(1+'Assumptions and Catalog'!$C$8)^(A612-1),0)</f>
        <v>8554.9666666666672</v>
      </c>
      <c r="N612" s="5">
        <f>IF(ISNUMBER(Inputs!$L$5),(IF(Inputs!$L$9="Actual flat rate",L612*Inputs!$L$10,IF(Inputs!$C$9="Residential",IF(L612&lt;='Assumptions and Catalog'!$C$50,L612*'Assumptions and Catalog'!$H$50+'Assumptions and Catalog'!$E$50+'Assumptions and Catalog'!$F$50,IF(L612&lt;='Assumptions and Catalog'!$C$51,L612*'Assumptions and Catalog'!$H$51+'Assumptions and Catalog'!$E$51+'Assumptions and Catalog'!$F$51,IF(L612&lt;='Assumptions and Catalog'!$C$52,L612*'Assumptions and Catalog'!$H$52+'Assumptions and Catalog'!$E$52+'Assumptions and Catalog'!$F$52,IF(L612&lt;='Assumptions and Catalog'!$C$53,L612*'Assumptions and Catalog'!$H$53+'Assumptions and Catalog'!$E$53+'Assumptions and Catalog'!$F$53,IF(L612&lt;='Assumptions and Catalog'!$C$54,L612*'Assumptions and Catalog'!$H$54+'Assumptions and Catalog'!$E$54+'Assumptions and Catalog'!$F$54,IF(L612&lt;='Assumptions and Catalog'!$C$55,L612*'Assumptions and Catalog'!$H$55+'Assumptions and Catalog'!$E$55+'Assumptions and Catalog'!$F$55,IF(L612&lt;='Assumptions and Catalog'!$C$56,L612*'Assumptions and Catalog'!$H$56+'Assumptions and Catalog'!$E$56+'Assumptions and Catalog'!$F$56,IF(L612&lt;='Assumptions and Catalog'!$C$57,L612*'Assumptions and Catalog'!$H$57+'Assumptions and Catalog'!$E$57+'Assumptions and Catalog'!$F$57,"Out of range")))))))),IF(L612&lt;='Assumptions and Catalog'!$C$60,L612*'Assumptions and Catalog'!$H$60+'Assumptions and Catalog'!$E$60+'Assumptions and Catalog'!$F$60,IF(L612&lt;='Assumptions and Catalog'!$C$61,L612*'Assumptions and Catalog'!$H$61+'Assumptions and Catalog'!$E$61+'Assumptions and Catalog'!$F$61,IF(L612&lt;='Assumptions and Catalog'!$C$62,L612*'Assumptions and Catalog'!$H$62+'Assumptions and Catalog'!$E$62+'Assumptions and Catalog'!$F$62,IF(L612&lt;='Assumptions and Catalog'!$C$63,L612*'Assumptions and Catalog'!$H$63+'Assumptions and Catalog'!$E$63+'Assumptions and Catalog'!$F$63,IF(L612&lt;='Assumptions and Catalog'!$C$64,L612*'Assumptions and Catalog'!$H$64+'Assumptions and Catalog'!$E$64+'Assumptions and Catalog'!$F$64,IF(L612&lt;='Assumptions and Catalog'!$C$65,L612*'Assumptions and Catalog'!$H$65+'Assumptions and Catalog'!$E$65+'Assumptions and Catalog'!$F$65,"Out of range")))))))))*(1+'Assumptions and Catalog'!$C$8)^(A612-1),0)</f>
        <v>8554.9666666666672</v>
      </c>
      <c r="O612" s="5">
        <f t="shared" si="47"/>
        <v>0</v>
      </c>
      <c r="P612" s="5">
        <f>D$55*(1-K$14)*(1-'Assumptions and Catalog'!$C$23)^R612</f>
        <v>0</v>
      </c>
      <c r="Q612" s="5">
        <f>IF(ISNUMBER(Inputs!$L$5),(IF(Inputs!$L$9="Actual flat rate",((D612+E612)*C612-G612)*Inputs!$L$10,IF(Inputs!$C$9="Residential",IF(((D612+E612)*C612-G612)&lt;='Assumptions and Catalog'!$C$50,((D612+E612)*C612-G612)*'Assumptions and Catalog'!$H$50+'Assumptions and Catalog'!$E$50+'Assumptions and Catalog'!$F$50,IF(((D612+E612)*C612-G612)&lt;='Assumptions and Catalog'!$C$51,((D612+E612)*C612-G612)*'Assumptions and Catalog'!$H$51+'Assumptions and Catalog'!$E$51+'Assumptions and Catalog'!$F$51,IF(((D612+E612)*C612-G612)&lt;='Assumptions and Catalog'!$C$52,((D612+E612)*C612-G612)*'Assumptions and Catalog'!$H$52+'Assumptions and Catalog'!$E$52+'Assumptions and Catalog'!$F$52,IF(((D612+E612)*C612-G612)&lt;='Assumptions and Catalog'!$C$53,((D612+E612)*C612-G612)*'Assumptions and Catalog'!$H$53+'Assumptions and Catalog'!$E$53+'Assumptions and Catalog'!$F$53,IF(((D612+E612)*C612-G612)&lt;='Assumptions and Catalog'!$C$54,((D612+E612)*C612-G612)*'Assumptions and Catalog'!$H$54+'Assumptions and Catalog'!$E$54+'Assumptions and Catalog'!$F$54,IF(((D612+E612)*C612-G612)&lt;='Assumptions and Catalog'!$C$55,((D612+E612)*C612-G612)*'Assumptions and Catalog'!$H$55+'Assumptions and Catalog'!$E$55+'Assumptions and Catalog'!$F$55,IF(((D612+E612)*C612-G612)&lt;='Assumptions and Catalog'!$C$56,((D612+E612)*C612-G612)*'Assumptions and Catalog'!$H$56+'Assumptions and Catalog'!$E$56+'Assumptions and Catalog'!$F$56,IF(((D612+E612)*C612-G612)&lt;='Assumptions and Catalog'!$C$57,((D612+E612)*C612-G612)*'Assumptions and Catalog'!$H$57+'Assumptions and Catalog'!$E$57+'Assumptions and Catalog'!$F$57,"Out of range")))))))),IF(((D612+E612)*C612-G612)&lt;='Assumptions and Catalog'!$C$60,((D612+E612)*C612-G612)*'Assumptions and Catalog'!$H$60+'Assumptions and Catalog'!$E$60+'Assumptions and Catalog'!$F$60,IF(((D612+E612)*C612-G612)&lt;='Assumptions and Catalog'!$C$61,((D612+E612)*C612-G612)*'Assumptions and Catalog'!$H$61+'Assumptions and Catalog'!$E$61+'Assumptions and Catalog'!$F$61,IF(((D612+E612)*C612-G612)&lt;='Assumptions and Catalog'!$C$62,((D612+E612)*C612-G612)*'Assumptions and Catalog'!$H$62+'Assumptions and Catalog'!$E$62+'Assumptions and Catalog'!$F$62,IF(((D612+E612)*C612-G612)&lt;='Assumptions and Catalog'!$C$63,((D612+E612)*C612-G612)*'Assumptions and Catalog'!$H$63+'Assumptions and Catalog'!$E$63+'Assumptions and Catalog'!$F$63,IF(((D612+E612)*C612-G612)&lt;='Assumptions and Catalog'!$C$64,((D612+E612)*C612-G612)*'Assumptions and Catalog'!$H$64+'Assumptions and Catalog'!$E$64+'Assumptions and Catalog'!$F$64,IF(((D612+E612)*C612-G612)&lt;='Assumptions and Catalog'!$C$65,((D612+E612)*C612-G612)*'Assumptions and Catalog'!$H$65+'Assumptions and Catalog'!$E$65+'Assumptions and Catalog'!$F$65,"Out of range")))))))))*(1+'Assumptions and Catalog'!$C$8)^(A612-1),0)</f>
        <v>8554.9666666666672</v>
      </c>
      <c r="R612" s="5">
        <f>IF(AND('Assumptions and Catalog'!$C$19&gt;0,A612&gt;='Assumptions and Catalog'!$C$19),A612-'Assumptions and Catalog'!$C$19,A612-1)</f>
        <v>6</v>
      </c>
      <c r="S612" s="5">
        <f>F612+L612-(D612+E612)*C612-J612-K612-IF(D$52&gt;0,'Assumptions and Catalog'!$C$26*C612,0)</f>
        <v>0</v>
      </c>
      <c r="T612" s="5"/>
      <c r="U612" s="5"/>
    </row>
    <row r="613" spans="1:21" ht="23.1" customHeight="1" outlineLevel="1" x14ac:dyDescent="0.2">
      <c r="A613" s="5">
        <v>17</v>
      </c>
      <c r="B613" s="5">
        <v>11</v>
      </c>
      <c r="C613" s="5">
        <f>DAY(DATE('Assumptions and Catalog'!$C$24+A613-1,B613+1,0))</f>
        <v>30</v>
      </c>
      <c r="D613" s="5">
        <f>IF(ISNUMBER(Inputs!$L$5),Inputs!$L$5*Inputs!$L$6,0)</f>
        <v>40.35</v>
      </c>
      <c r="E613" s="5">
        <f>IF(ISNUMBER(Inputs!$L$5),Inputs!$L$5-D613,0)</f>
        <v>40.35</v>
      </c>
      <c r="F613" s="5">
        <f>D$51*'Assumptions and Catalog'!$C$31*C613*(1-'Assumptions and Catalog'!$C$10)^(A613-1)</f>
        <v>0</v>
      </c>
      <c r="G613" s="5">
        <f t="shared" si="44"/>
        <v>0</v>
      </c>
      <c r="H613" s="5">
        <f>I613/('Assumptions and Catalog'!$C$11*'Assumptions and Catalog'!$C$12)</f>
        <v>0</v>
      </c>
      <c r="I613" s="5">
        <f>IF(K$15="Grid cycle",MIN(K$16,D613+E613,P613*'Assumptions and Catalog'!$C$12,D$57*(24-'Assumptions and Catalog'!$C$15),D$56*'Assumptions and Catalog'!$C$15*'Assumptions and Catalog'!$C$11*'Assumptions and Catalog'!$C$12)*C613,0)</f>
        <v>0</v>
      </c>
      <c r="J613" s="5">
        <f t="shared" si="45"/>
        <v>0</v>
      </c>
      <c r="K613" s="5">
        <f t="shared" si="46"/>
        <v>0</v>
      </c>
      <c r="L613" s="5">
        <f>(D613+E613)*C613-G613-I613+H613+IF(D$52&gt;0,'Assumptions and Catalog'!$C$26*C613,0)</f>
        <v>2421</v>
      </c>
      <c r="M613" s="5">
        <f>IF(ISNUMBER(Inputs!$L$5),(IF(Inputs!$L$9="Actual flat rate",((D613+E613)*C613)*Inputs!$L$10,IF(Inputs!$C$9="Residential",IF(((D613+E613)*C613)&lt;='Assumptions and Catalog'!$C$50,((D613+E613)*C613)*'Assumptions and Catalog'!$H$50+'Assumptions and Catalog'!$E$50+'Assumptions and Catalog'!$F$50,IF(((D613+E613)*C613)&lt;='Assumptions and Catalog'!$C$51,((D613+E613)*C613)*'Assumptions and Catalog'!$H$51+'Assumptions and Catalog'!$E$51+'Assumptions and Catalog'!$F$51,IF(((D613+E613)*C613)&lt;='Assumptions and Catalog'!$C$52,((D613+E613)*C613)*'Assumptions and Catalog'!$H$52+'Assumptions and Catalog'!$E$52+'Assumptions and Catalog'!$F$52,IF(((D613+E613)*C613)&lt;='Assumptions and Catalog'!$C$53,((D613+E613)*C613)*'Assumptions and Catalog'!$H$53+'Assumptions and Catalog'!$E$53+'Assumptions and Catalog'!$F$53,IF(((D613+E613)*C613)&lt;='Assumptions and Catalog'!$C$54,((D613+E613)*C613)*'Assumptions and Catalog'!$H$54+'Assumptions and Catalog'!$E$54+'Assumptions and Catalog'!$F$54,IF(((D613+E613)*C613)&lt;='Assumptions and Catalog'!$C$55,((D613+E613)*C613)*'Assumptions and Catalog'!$H$55+'Assumptions and Catalog'!$E$55+'Assumptions and Catalog'!$F$55,IF(((D613+E613)*C613)&lt;='Assumptions and Catalog'!$C$56,((D613+E613)*C613)*'Assumptions and Catalog'!$H$56+'Assumptions and Catalog'!$E$56+'Assumptions and Catalog'!$F$56,IF(((D613+E613)*C613)&lt;='Assumptions and Catalog'!$C$57,((D613+E613)*C613)*'Assumptions and Catalog'!$H$57+'Assumptions and Catalog'!$E$57+'Assumptions and Catalog'!$F$57,"Out of range")))))))),IF(((D613+E613)*C613)&lt;='Assumptions and Catalog'!$C$60,((D613+E613)*C613)*'Assumptions and Catalog'!$H$60+'Assumptions and Catalog'!$E$60+'Assumptions and Catalog'!$F$60,IF(((D613+E613)*C613)&lt;='Assumptions and Catalog'!$C$61,((D613+E613)*C613)*'Assumptions and Catalog'!$H$61+'Assumptions and Catalog'!$E$61+'Assumptions and Catalog'!$F$61,IF(((D613+E613)*C613)&lt;='Assumptions and Catalog'!$C$62,((D613+E613)*C613)*'Assumptions and Catalog'!$H$62+'Assumptions and Catalog'!$E$62+'Assumptions and Catalog'!$F$62,IF(((D613+E613)*C613)&lt;='Assumptions and Catalog'!$C$63,((D613+E613)*C613)*'Assumptions and Catalog'!$H$63+'Assumptions and Catalog'!$E$63+'Assumptions and Catalog'!$F$63,IF(((D613+E613)*C613)&lt;='Assumptions and Catalog'!$C$64,((D613+E613)*C613)*'Assumptions and Catalog'!$H$64+'Assumptions and Catalog'!$E$64+'Assumptions and Catalog'!$F$64,IF(((D613+E613)*C613)&lt;='Assumptions and Catalog'!$C$65,((D613+E613)*C613)*'Assumptions and Catalog'!$H$65+'Assumptions and Catalog'!$E$65+'Assumptions and Catalog'!$F$65,"Out of range")))))))))*(1+'Assumptions and Catalog'!$C$8)^(A613-1),0)</f>
        <v>8279</v>
      </c>
      <c r="N613" s="5">
        <f>IF(ISNUMBER(Inputs!$L$5),(IF(Inputs!$L$9="Actual flat rate",L613*Inputs!$L$10,IF(Inputs!$C$9="Residential",IF(L613&lt;='Assumptions and Catalog'!$C$50,L613*'Assumptions and Catalog'!$H$50+'Assumptions and Catalog'!$E$50+'Assumptions and Catalog'!$F$50,IF(L613&lt;='Assumptions and Catalog'!$C$51,L613*'Assumptions and Catalog'!$H$51+'Assumptions and Catalog'!$E$51+'Assumptions and Catalog'!$F$51,IF(L613&lt;='Assumptions and Catalog'!$C$52,L613*'Assumptions and Catalog'!$H$52+'Assumptions and Catalog'!$E$52+'Assumptions and Catalog'!$F$52,IF(L613&lt;='Assumptions and Catalog'!$C$53,L613*'Assumptions and Catalog'!$H$53+'Assumptions and Catalog'!$E$53+'Assumptions and Catalog'!$F$53,IF(L613&lt;='Assumptions and Catalog'!$C$54,L613*'Assumptions and Catalog'!$H$54+'Assumptions and Catalog'!$E$54+'Assumptions and Catalog'!$F$54,IF(L613&lt;='Assumptions and Catalog'!$C$55,L613*'Assumptions and Catalog'!$H$55+'Assumptions and Catalog'!$E$55+'Assumptions and Catalog'!$F$55,IF(L613&lt;='Assumptions and Catalog'!$C$56,L613*'Assumptions and Catalog'!$H$56+'Assumptions and Catalog'!$E$56+'Assumptions and Catalog'!$F$56,IF(L613&lt;='Assumptions and Catalog'!$C$57,L613*'Assumptions and Catalog'!$H$57+'Assumptions and Catalog'!$E$57+'Assumptions and Catalog'!$F$57,"Out of range")))))))),IF(L613&lt;='Assumptions and Catalog'!$C$60,L613*'Assumptions and Catalog'!$H$60+'Assumptions and Catalog'!$E$60+'Assumptions and Catalog'!$F$60,IF(L613&lt;='Assumptions and Catalog'!$C$61,L613*'Assumptions and Catalog'!$H$61+'Assumptions and Catalog'!$E$61+'Assumptions and Catalog'!$F$61,IF(L613&lt;='Assumptions and Catalog'!$C$62,L613*'Assumptions and Catalog'!$H$62+'Assumptions and Catalog'!$E$62+'Assumptions and Catalog'!$F$62,IF(L613&lt;='Assumptions and Catalog'!$C$63,L613*'Assumptions and Catalog'!$H$63+'Assumptions and Catalog'!$E$63+'Assumptions and Catalog'!$F$63,IF(L613&lt;='Assumptions and Catalog'!$C$64,L613*'Assumptions and Catalog'!$H$64+'Assumptions and Catalog'!$E$64+'Assumptions and Catalog'!$F$64,IF(L613&lt;='Assumptions and Catalog'!$C$65,L613*'Assumptions and Catalog'!$H$65+'Assumptions and Catalog'!$E$65+'Assumptions and Catalog'!$F$65,"Out of range")))))))))*(1+'Assumptions and Catalog'!$C$8)^(A613-1),0)</f>
        <v>8279</v>
      </c>
      <c r="O613" s="5">
        <f t="shared" si="47"/>
        <v>0</v>
      </c>
      <c r="P613" s="5">
        <f>D$55*(1-K$14)*(1-'Assumptions and Catalog'!$C$23)^R613</f>
        <v>0</v>
      </c>
      <c r="Q613" s="5">
        <f>IF(ISNUMBER(Inputs!$L$5),(IF(Inputs!$L$9="Actual flat rate",((D613+E613)*C613-G613)*Inputs!$L$10,IF(Inputs!$C$9="Residential",IF(((D613+E613)*C613-G613)&lt;='Assumptions and Catalog'!$C$50,((D613+E613)*C613-G613)*'Assumptions and Catalog'!$H$50+'Assumptions and Catalog'!$E$50+'Assumptions and Catalog'!$F$50,IF(((D613+E613)*C613-G613)&lt;='Assumptions and Catalog'!$C$51,((D613+E613)*C613-G613)*'Assumptions and Catalog'!$H$51+'Assumptions and Catalog'!$E$51+'Assumptions and Catalog'!$F$51,IF(((D613+E613)*C613-G613)&lt;='Assumptions and Catalog'!$C$52,((D613+E613)*C613-G613)*'Assumptions and Catalog'!$H$52+'Assumptions and Catalog'!$E$52+'Assumptions and Catalog'!$F$52,IF(((D613+E613)*C613-G613)&lt;='Assumptions and Catalog'!$C$53,((D613+E613)*C613-G613)*'Assumptions and Catalog'!$H$53+'Assumptions and Catalog'!$E$53+'Assumptions and Catalog'!$F$53,IF(((D613+E613)*C613-G613)&lt;='Assumptions and Catalog'!$C$54,((D613+E613)*C613-G613)*'Assumptions and Catalog'!$H$54+'Assumptions and Catalog'!$E$54+'Assumptions and Catalog'!$F$54,IF(((D613+E613)*C613-G613)&lt;='Assumptions and Catalog'!$C$55,((D613+E613)*C613-G613)*'Assumptions and Catalog'!$H$55+'Assumptions and Catalog'!$E$55+'Assumptions and Catalog'!$F$55,IF(((D613+E613)*C613-G613)&lt;='Assumptions and Catalog'!$C$56,((D613+E613)*C613-G613)*'Assumptions and Catalog'!$H$56+'Assumptions and Catalog'!$E$56+'Assumptions and Catalog'!$F$56,IF(((D613+E613)*C613-G613)&lt;='Assumptions and Catalog'!$C$57,((D613+E613)*C613-G613)*'Assumptions and Catalog'!$H$57+'Assumptions and Catalog'!$E$57+'Assumptions and Catalog'!$F$57,"Out of range")))))))),IF(((D613+E613)*C613-G613)&lt;='Assumptions and Catalog'!$C$60,((D613+E613)*C613-G613)*'Assumptions and Catalog'!$H$60+'Assumptions and Catalog'!$E$60+'Assumptions and Catalog'!$F$60,IF(((D613+E613)*C613-G613)&lt;='Assumptions and Catalog'!$C$61,((D613+E613)*C613-G613)*'Assumptions and Catalog'!$H$61+'Assumptions and Catalog'!$E$61+'Assumptions and Catalog'!$F$61,IF(((D613+E613)*C613-G613)&lt;='Assumptions and Catalog'!$C$62,((D613+E613)*C613-G613)*'Assumptions and Catalog'!$H$62+'Assumptions and Catalog'!$E$62+'Assumptions and Catalog'!$F$62,IF(((D613+E613)*C613-G613)&lt;='Assumptions and Catalog'!$C$63,((D613+E613)*C613-G613)*'Assumptions and Catalog'!$H$63+'Assumptions and Catalog'!$E$63+'Assumptions and Catalog'!$F$63,IF(((D613+E613)*C613-G613)&lt;='Assumptions and Catalog'!$C$64,((D613+E613)*C613-G613)*'Assumptions and Catalog'!$H$64+'Assumptions and Catalog'!$E$64+'Assumptions and Catalog'!$F$64,IF(((D613+E613)*C613-G613)&lt;='Assumptions and Catalog'!$C$65,((D613+E613)*C613-G613)*'Assumptions and Catalog'!$H$65+'Assumptions and Catalog'!$E$65+'Assumptions and Catalog'!$F$65,"Out of range")))))))))*(1+'Assumptions and Catalog'!$C$8)^(A613-1),0)</f>
        <v>8279</v>
      </c>
      <c r="R613" s="5">
        <f>IF(AND('Assumptions and Catalog'!$C$19&gt;0,A613&gt;='Assumptions and Catalog'!$C$19),A613-'Assumptions and Catalog'!$C$19,A613-1)</f>
        <v>6</v>
      </c>
      <c r="S613" s="5">
        <f>F613+L613-(D613+E613)*C613-J613-K613-IF(D$52&gt;0,'Assumptions and Catalog'!$C$26*C613,0)</f>
        <v>0</v>
      </c>
      <c r="T613" s="5"/>
      <c r="U613" s="5"/>
    </row>
    <row r="614" spans="1:21" ht="23.1" customHeight="1" outlineLevel="1" x14ac:dyDescent="0.2">
      <c r="A614" s="5">
        <v>17</v>
      </c>
      <c r="B614" s="5">
        <v>12</v>
      </c>
      <c r="C614" s="5">
        <f>DAY(DATE('Assumptions and Catalog'!$C$24+A614-1,B614+1,0))</f>
        <v>31</v>
      </c>
      <c r="D614" s="5">
        <f>IF(ISNUMBER(Inputs!$L$5),Inputs!$L$5*Inputs!$L$6,0)</f>
        <v>40.35</v>
      </c>
      <c r="E614" s="5">
        <f>IF(ISNUMBER(Inputs!$L$5),Inputs!$L$5-D614,0)</f>
        <v>40.35</v>
      </c>
      <c r="F614" s="5">
        <f>D$51*'Assumptions and Catalog'!$C$31*C614*(1-'Assumptions and Catalog'!$C$10)^(A614-1)</f>
        <v>0</v>
      </c>
      <c r="G614" s="5">
        <f t="shared" si="44"/>
        <v>0</v>
      </c>
      <c r="H614" s="5">
        <f>I614/('Assumptions and Catalog'!$C$11*'Assumptions and Catalog'!$C$12)</f>
        <v>0</v>
      </c>
      <c r="I614" s="5">
        <f>IF(K$15="Grid cycle",MIN(K$16,D614+E614,P614*'Assumptions and Catalog'!$C$12,D$57*(24-'Assumptions and Catalog'!$C$15),D$56*'Assumptions and Catalog'!$C$15*'Assumptions and Catalog'!$C$11*'Assumptions and Catalog'!$C$12)*C614,0)</f>
        <v>0</v>
      </c>
      <c r="J614" s="5">
        <f t="shared" si="45"/>
        <v>0</v>
      </c>
      <c r="K614" s="5">
        <f t="shared" si="46"/>
        <v>0</v>
      </c>
      <c r="L614" s="5">
        <f>(D614+E614)*C614-G614-I614+H614+IF(D$52&gt;0,'Assumptions and Catalog'!$C$26*C614,0)</f>
        <v>2501.7000000000003</v>
      </c>
      <c r="M614" s="5">
        <f>IF(ISNUMBER(Inputs!$L$5),(IF(Inputs!$L$9="Actual flat rate",((D614+E614)*C614)*Inputs!$L$10,IF(Inputs!$C$9="Residential",IF(((D614+E614)*C614)&lt;='Assumptions and Catalog'!$C$50,((D614+E614)*C614)*'Assumptions and Catalog'!$H$50+'Assumptions and Catalog'!$E$50+'Assumptions and Catalog'!$F$50,IF(((D614+E614)*C614)&lt;='Assumptions and Catalog'!$C$51,((D614+E614)*C614)*'Assumptions and Catalog'!$H$51+'Assumptions and Catalog'!$E$51+'Assumptions and Catalog'!$F$51,IF(((D614+E614)*C614)&lt;='Assumptions and Catalog'!$C$52,((D614+E614)*C614)*'Assumptions and Catalog'!$H$52+'Assumptions and Catalog'!$E$52+'Assumptions and Catalog'!$F$52,IF(((D614+E614)*C614)&lt;='Assumptions and Catalog'!$C$53,((D614+E614)*C614)*'Assumptions and Catalog'!$H$53+'Assumptions and Catalog'!$E$53+'Assumptions and Catalog'!$F$53,IF(((D614+E614)*C614)&lt;='Assumptions and Catalog'!$C$54,((D614+E614)*C614)*'Assumptions and Catalog'!$H$54+'Assumptions and Catalog'!$E$54+'Assumptions and Catalog'!$F$54,IF(((D614+E614)*C614)&lt;='Assumptions and Catalog'!$C$55,((D614+E614)*C614)*'Assumptions and Catalog'!$H$55+'Assumptions and Catalog'!$E$55+'Assumptions and Catalog'!$F$55,IF(((D614+E614)*C614)&lt;='Assumptions and Catalog'!$C$56,((D614+E614)*C614)*'Assumptions and Catalog'!$H$56+'Assumptions and Catalog'!$E$56+'Assumptions and Catalog'!$F$56,IF(((D614+E614)*C614)&lt;='Assumptions and Catalog'!$C$57,((D614+E614)*C614)*'Assumptions and Catalog'!$H$57+'Assumptions and Catalog'!$E$57+'Assumptions and Catalog'!$F$57,"Out of range")))))))),IF(((D614+E614)*C614)&lt;='Assumptions and Catalog'!$C$60,((D614+E614)*C614)*'Assumptions and Catalog'!$H$60+'Assumptions and Catalog'!$E$60+'Assumptions and Catalog'!$F$60,IF(((D614+E614)*C614)&lt;='Assumptions and Catalog'!$C$61,((D614+E614)*C614)*'Assumptions and Catalog'!$H$61+'Assumptions and Catalog'!$E$61+'Assumptions and Catalog'!$F$61,IF(((D614+E614)*C614)&lt;='Assumptions and Catalog'!$C$62,((D614+E614)*C614)*'Assumptions and Catalog'!$H$62+'Assumptions and Catalog'!$E$62+'Assumptions and Catalog'!$F$62,IF(((D614+E614)*C614)&lt;='Assumptions and Catalog'!$C$63,((D614+E614)*C614)*'Assumptions and Catalog'!$H$63+'Assumptions and Catalog'!$E$63+'Assumptions and Catalog'!$F$63,IF(((D614+E614)*C614)&lt;='Assumptions and Catalog'!$C$64,((D614+E614)*C614)*'Assumptions and Catalog'!$H$64+'Assumptions and Catalog'!$E$64+'Assumptions and Catalog'!$F$64,IF(((D614+E614)*C614)&lt;='Assumptions and Catalog'!$C$65,((D614+E614)*C614)*'Assumptions and Catalog'!$H$65+'Assumptions and Catalog'!$E$65+'Assumptions and Catalog'!$F$65,"Out of range")))))))))*(1+'Assumptions and Catalog'!$C$8)^(A614-1),0)</f>
        <v>8554.9666666666672</v>
      </c>
      <c r="N614" s="5">
        <f>IF(ISNUMBER(Inputs!$L$5),(IF(Inputs!$L$9="Actual flat rate",L614*Inputs!$L$10,IF(Inputs!$C$9="Residential",IF(L614&lt;='Assumptions and Catalog'!$C$50,L614*'Assumptions and Catalog'!$H$50+'Assumptions and Catalog'!$E$50+'Assumptions and Catalog'!$F$50,IF(L614&lt;='Assumptions and Catalog'!$C$51,L614*'Assumptions and Catalog'!$H$51+'Assumptions and Catalog'!$E$51+'Assumptions and Catalog'!$F$51,IF(L614&lt;='Assumptions and Catalog'!$C$52,L614*'Assumptions and Catalog'!$H$52+'Assumptions and Catalog'!$E$52+'Assumptions and Catalog'!$F$52,IF(L614&lt;='Assumptions and Catalog'!$C$53,L614*'Assumptions and Catalog'!$H$53+'Assumptions and Catalog'!$E$53+'Assumptions and Catalog'!$F$53,IF(L614&lt;='Assumptions and Catalog'!$C$54,L614*'Assumptions and Catalog'!$H$54+'Assumptions and Catalog'!$E$54+'Assumptions and Catalog'!$F$54,IF(L614&lt;='Assumptions and Catalog'!$C$55,L614*'Assumptions and Catalog'!$H$55+'Assumptions and Catalog'!$E$55+'Assumptions and Catalog'!$F$55,IF(L614&lt;='Assumptions and Catalog'!$C$56,L614*'Assumptions and Catalog'!$H$56+'Assumptions and Catalog'!$E$56+'Assumptions and Catalog'!$F$56,IF(L614&lt;='Assumptions and Catalog'!$C$57,L614*'Assumptions and Catalog'!$H$57+'Assumptions and Catalog'!$E$57+'Assumptions and Catalog'!$F$57,"Out of range")))))))),IF(L614&lt;='Assumptions and Catalog'!$C$60,L614*'Assumptions and Catalog'!$H$60+'Assumptions and Catalog'!$E$60+'Assumptions and Catalog'!$F$60,IF(L614&lt;='Assumptions and Catalog'!$C$61,L614*'Assumptions and Catalog'!$H$61+'Assumptions and Catalog'!$E$61+'Assumptions and Catalog'!$F$61,IF(L614&lt;='Assumptions and Catalog'!$C$62,L614*'Assumptions and Catalog'!$H$62+'Assumptions and Catalog'!$E$62+'Assumptions and Catalog'!$F$62,IF(L614&lt;='Assumptions and Catalog'!$C$63,L614*'Assumptions and Catalog'!$H$63+'Assumptions and Catalog'!$E$63+'Assumptions and Catalog'!$F$63,IF(L614&lt;='Assumptions and Catalog'!$C$64,L614*'Assumptions and Catalog'!$H$64+'Assumptions and Catalog'!$E$64+'Assumptions and Catalog'!$F$64,IF(L614&lt;='Assumptions and Catalog'!$C$65,L614*'Assumptions and Catalog'!$H$65+'Assumptions and Catalog'!$E$65+'Assumptions and Catalog'!$F$65,"Out of range")))))))))*(1+'Assumptions and Catalog'!$C$8)^(A614-1),0)</f>
        <v>8554.9666666666672</v>
      </c>
      <c r="O614" s="5">
        <f t="shared" si="47"/>
        <v>0</v>
      </c>
      <c r="P614" s="5">
        <f>D$55*(1-K$14)*(1-'Assumptions and Catalog'!$C$23)^R614</f>
        <v>0</v>
      </c>
      <c r="Q614" s="5">
        <f>IF(ISNUMBER(Inputs!$L$5),(IF(Inputs!$L$9="Actual flat rate",((D614+E614)*C614-G614)*Inputs!$L$10,IF(Inputs!$C$9="Residential",IF(((D614+E614)*C614-G614)&lt;='Assumptions and Catalog'!$C$50,((D614+E614)*C614-G614)*'Assumptions and Catalog'!$H$50+'Assumptions and Catalog'!$E$50+'Assumptions and Catalog'!$F$50,IF(((D614+E614)*C614-G614)&lt;='Assumptions and Catalog'!$C$51,((D614+E614)*C614-G614)*'Assumptions and Catalog'!$H$51+'Assumptions and Catalog'!$E$51+'Assumptions and Catalog'!$F$51,IF(((D614+E614)*C614-G614)&lt;='Assumptions and Catalog'!$C$52,((D614+E614)*C614-G614)*'Assumptions and Catalog'!$H$52+'Assumptions and Catalog'!$E$52+'Assumptions and Catalog'!$F$52,IF(((D614+E614)*C614-G614)&lt;='Assumptions and Catalog'!$C$53,((D614+E614)*C614-G614)*'Assumptions and Catalog'!$H$53+'Assumptions and Catalog'!$E$53+'Assumptions and Catalog'!$F$53,IF(((D614+E614)*C614-G614)&lt;='Assumptions and Catalog'!$C$54,((D614+E614)*C614-G614)*'Assumptions and Catalog'!$H$54+'Assumptions and Catalog'!$E$54+'Assumptions and Catalog'!$F$54,IF(((D614+E614)*C614-G614)&lt;='Assumptions and Catalog'!$C$55,((D614+E614)*C614-G614)*'Assumptions and Catalog'!$H$55+'Assumptions and Catalog'!$E$55+'Assumptions and Catalog'!$F$55,IF(((D614+E614)*C614-G614)&lt;='Assumptions and Catalog'!$C$56,((D614+E614)*C614-G614)*'Assumptions and Catalog'!$H$56+'Assumptions and Catalog'!$E$56+'Assumptions and Catalog'!$F$56,IF(((D614+E614)*C614-G614)&lt;='Assumptions and Catalog'!$C$57,((D614+E614)*C614-G614)*'Assumptions and Catalog'!$H$57+'Assumptions and Catalog'!$E$57+'Assumptions and Catalog'!$F$57,"Out of range")))))))),IF(((D614+E614)*C614-G614)&lt;='Assumptions and Catalog'!$C$60,((D614+E614)*C614-G614)*'Assumptions and Catalog'!$H$60+'Assumptions and Catalog'!$E$60+'Assumptions and Catalog'!$F$60,IF(((D614+E614)*C614-G614)&lt;='Assumptions and Catalog'!$C$61,((D614+E614)*C614-G614)*'Assumptions and Catalog'!$H$61+'Assumptions and Catalog'!$E$61+'Assumptions and Catalog'!$F$61,IF(((D614+E614)*C614-G614)&lt;='Assumptions and Catalog'!$C$62,((D614+E614)*C614-G614)*'Assumptions and Catalog'!$H$62+'Assumptions and Catalog'!$E$62+'Assumptions and Catalog'!$F$62,IF(((D614+E614)*C614-G614)&lt;='Assumptions and Catalog'!$C$63,((D614+E614)*C614-G614)*'Assumptions and Catalog'!$H$63+'Assumptions and Catalog'!$E$63+'Assumptions and Catalog'!$F$63,IF(((D614+E614)*C614-G614)&lt;='Assumptions and Catalog'!$C$64,((D614+E614)*C614-G614)*'Assumptions and Catalog'!$H$64+'Assumptions and Catalog'!$E$64+'Assumptions and Catalog'!$F$64,IF(((D614+E614)*C614-G614)&lt;='Assumptions and Catalog'!$C$65,((D614+E614)*C614-G614)*'Assumptions and Catalog'!$H$65+'Assumptions and Catalog'!$E$65+'Assumptions and Catalog'!$F$65,"Out of range")))))))))*(1+'Assumptions and Catalog'!$C$8)^(A614-1),0)</f>
        <v>8554.9666666666672</v>
      </c>
      <c r="R614" s="5">
        <f>IF(AND('Assumptions and Catalog'!$C$19&gt;0,A614&gt;='Assumptions and Catalog'!$C$19),A614-'Assumptions and Catalog'!$C$19,A614-1)</f>
        <v>6</v>
      </c>
      <c r="S614" s="5">
        <f>F614+L614-(D614+E614)*C614-J614-K614-IF(D$52&gt;0,'Assumptions and Catalog'!$C$26*C614,0)</f>
        <v>0</v>
      </c>
      <c r="T614" s="5"/>
      <c r="U614" s="5"/>
    </row>
    <row r="615" spans="1:21" ht="23.1" customHeight="1" outlineLevel="1" x14ac:dyDescent="0.2">
      <c r="A615" s="5">
        <v>18</v>
      </c>
      <c r="B615" s="5">
        <v>1</v>
      </c>
      <c r="C615" s="5">
        <f>DAY(DATE('Assumptions and Catalog'!$C$24+A615-1,B615+1,0))</f>
        <v>31</v>
      </c>
      <c r="D615" s="5">
        <f>IF(ISNUMBER(Inputs!$L$5),Inputs!$L$5*Inputs!$L$6,0)</f>
        <v>40.35</v>
      </c>
      <c r="E615" s="5">
        <f>IF(ISNUMBER(Inputs!$L$5),Inputs!$L$5-D615,0)</f>
        <v>40.35</v>
      </c>
      <c r="F615" s="5">
        <f>D$51*'Assumptions and Catalog'!$C$31*C615*(1-'Assumptions and Catalog'!$C$10)^(A615-1)</f>
        <v>0</v>
      </c>
      <c r="G615" s="5">
        <f t="shared" si="44"/>
        <v>0</v>
      </c>
      <c r="H615" s="5">
        <f>I615/('Assumptions and Catalog'!$C$11*'Assumptions and Catalog'!$C$12)</f>
        <v>0</v>
      </c>
      <c r="I615" s="5">
        <f>IF(K$15="Grid cycle",MIN(K$16,D615+E615,P615*'Assumptions and Catalog'!$C$12,D$57*(24-'Assumptions and Catalog'!$C$15),D$56*'Assumptions and Catalog'!$C$15*'Assumptions and Catalog'!$C$11*'Assumptions and Catalog'!$C$12)*C615,0)</f>
        <v>0</v>
      </c>
      <c r="J615" s="5">
        <f t="shared" si="45"/>
        <v>0</v>
      </c>
      <c r="K615" s="5">
        <f t="shared" si="46"/>
        <v>0</v>
      </c>
      <c r="L615" s="5">
        <f>(D615+E615)*C615-G615-I615+H615+IF(D$52&gt;0,'Assumptions and Catalog'!$C$26*C615,0)</f>
        <v>2501.7000000000003</v>
      </c>
      <c r="M615" s="5">
        <f>IF(ISNUMBER(Inputs!$L$5),(IF(Inputs!$L$9="Actual flat rate",((D615+E615)*C615)*Inputs!$L$10,IF(Inputs!$C$9="Residential",IF(((D615+E615)*C615)&lt;='Assumptions and Catalog'!$C$50,((D615+E615)*C615)*'Assumptions and Catalog'!$H$50+'Assumptions and Catalog'!$E$50+'Assumptions and Catalog'!$F$50,IF(((D615+E615)*C615)&lt;='Assumptions and Catalog'!$C$51,((D615+E615)*C615)*'Assumptions and Catalog'!$H$51+'Assumptions and Catalog'!$E$51+'Assumptions and Catalog'!$F$51,IF(((D615+E615)*C615)&lt;='Assumptions and Catalog'!$C$52,((D615+E615)*C615)*'Assumptions and Catalog'!$H$52+'Assumptions and Catalog'!$E$52+'Assumptions and Catalog'!$F$52,IF(((D615+E615)*C615)&lt;='Assumptions and Catalog'!$C$53,((D615+E615)*C615)*'Assumptions and Catalog'!$H$53+'Assumptions and Catalog'!$E$53+'Assumptions and Catalog'!$F$53,IF(((D615+E615)*C615)&lt;='Assumptions and Catalog'!$C$54,((D615+E615)*C615)*'Assumptions and Catalog'!$H$54+'Assumptions and Catalog'!$E$54+'Assumptions and Catalog'!$F$54,IF(((D615+E615)*C615)&lt;='Assumptions and Catalog'!$C$55,((D615+E615)*C615)*'Assumptions and Catalog'!$H$55+'Assumptions and Catalog'!$E$55+'Assumptions and Catalog'!$F$55,IF(((D615+E615)*C615)&lt;='Assumptions and Catalog'!$C$56,((D615+E615)*C615)*'Assumptions and Catalog'!$H$56+'Assumptions and Catalog'!$E$56+'Assumptions and Catalog'!$F$56,IF(((D615+E615)*C615)&lt;='Assumptions and Catalog'!$C$57,((D615+E615)*C615)*'Assumptions and Catalog'!$H$57+'Assumptions and Catalog'!$E$57+'Assumptions and Catalog'!$F$57,"Out of range")))))))),IF(((D615+E615)*C615)&lt;='Assumptions and Catalog'!$C$60,((D615+E615)*C615)*'Assumptions and Catalog'!$H$60+'Assumptions and Catalog'!$E$60+'Assumptions and Catalog'!$F$60,IF(((D615+E615)*C615)&lt;='Assumptions and Catalog'!$C$61,((D615+E615)*C615)*'Assumptions and Catalog'!$H$61+'Assumptions and Catalog'!$E$61+'Assumptions and Catalog'!$F$61,IF(((D615+E615)*C615)&lt;='Assumptions and Catalog'!$C$62,((D615+E615)*C615)*'Assumptions and Catalog'!$H$62+'Assumptions and Catalog'!$E$62+'Assumptions and Catalog'!$F$62,IF(((D615+E615)*C615)&lt;='Assumptions and Catalog'!$C$63,((D615+E615)*C615)*'Assumptions and Catalog'!$H$63+'Assumptions and Catalog'!$E$63+'Assumptions and Catalog'!$F$63,IF(((D615+E615)*C615)&lt;='Assumptions and Catalog'!$C$64,((D615+E615)*C615)*'Assumptions and Catalog'!$H$64+'Assumptions and Catalog'!$E$64+'Assumptions and Catalog'!$F$64,IF(((D615+E615)*C615)&lt;='Assumptions and Catalog'!$C$65,((D615+E615)*C615)*'Assumptions and Catalog'!$H$65+'Assumptions and Catalog'!$E$65+'Assumptions and Catalog'!$F$65,"Out of range")))))))))*(1+'Assumptions and Catalog'!$C$8)^(A615-1),0)</f>
        <v>8554.9666666666672</v>
      </c>
      <c r="N615" s="5">
        <f>IF(ISNUMBER(Inputs!$L$5),(IF(Inputs!$L$9="Actual flat rate",L615*Inputs!$L$10,IF(Inputs!$C$9="Residential",IF(L615&lt;='Assumptions and Catalog'!$C$50,L615*'Assumptions and Catalog'!$H$50+'Assumptions and Catalog'!$E$50+'Assumptions and Catalog'!$F$50,IF(L615&lt;='Assumptions and Catalog'!$C$51,L615*'Assumptions and Catalog'!$H$51+'Assumptions and Catalog'!$E$51+'Assumptions and Catalog'!$F$51,IF(L615&lt;='Assumptions and Catalog'!$C$52,L615*'Assumptions and Catalog'!$H$52+'Assumptions and Catalog'!$E$52+'Assumptions and Catalog'!$F$52,IF(L615&lt;='Assumptions and Catalog'!$C$53,L615*'Assumptions and Catalog'!$H$53+'Assumptions and Catalog'!$E$53+'Assumptions and Catalog'!$F$53,IF(L615&lt;='Assumptions and Catalog'!$C$54,L615*'Assumptions and Catalog'!$H$54+'Assumptions and Catalog'!$E$54+'Assumptions and Catalog'!$F$54,IF(L615&lt;='Assumptions and Catalog'!$C$55,L615*'Assumptions and Catalog'!$H$55+'Assumptions and Catalog'!$E$55+'Assumptions and Catalog'!$F$55,IF(L615&lt;='Assumptions and Catalog'!$C$56,L615*'Assumptions and Catalog'!$H$56+'Assumptions and Catalog'!$E$56+'Assumptions and Catalog'!$F$56,IF(L615&lt;='Assumptions and Catalog'!$C$57,L615*'Assumptions and Catalog'!$H$57+'Assumptions and Catalog'!$E$57+'Assumptions and Catalog'!$F$57,"Out of range")))))))),IF(L615&lt;='Assumptions and Catalog'!$C$60,L615*'Assumptions and Catalog'!$H$60+'Assumptions and Catalog'!$E$60+'Assumptions and Catalog'!$F$60,IF(L615&lt;='Assumptions and Catalog'!$C$61,L615*'Assumptions and Catalog'!$H$61+'Assumptions and Catalog'!$E$61+'Assumptions and Catalog'!$F$61,IF(L615&lt;='Assumptions and Catalog'!$C$62,L615*'Assumptions and Catalog'!$H$62+'Assumptions and Catalog'!$E$62+'Assumptions and Catalog'!$F$62,IF(L615&lt;='Assumptions and Catalog'!$C$63,L615*'Assumptions and Catalog'!$H$63+'Assumptions and Catalog'!$E$63+'Assumptions and Catalog'!$F$63,IF(L615&lt;='Assumptions and Catalog'!$C$64,L615*'Assumptions and Catalog'!$H$64+'Assumptions and Catalog'!$E$64+'Assumptions and Catalog'!$F$64,IF(L615&lt;='Assumptions and Catalog'!$C$65,L615*'Assumptions and Catalog'!$H$65+'Assumptions and Catalog'!$E$65+'Assumptions and Catalog'!$F$65,"Out of range")))))))))*(1+'Assumptions and Catalog'!$C$8)^(A615-1),0)</f>
        <v>8554.9666666666672</v>
      </c>
      <c r="O615" s="5">
        <f t="shared" si="47"/>
        <v>0</v>
      </c>
      <c r="P615" s="5">
        <f>D$55*(1-K$14)*(1-'Assumptions and Catalog'!$C$23)^R615</f>
        <v>0</v>
      </c>
      <c r="Q615" s="5">
        <f>IF(ISNUMBER(Inputs!$L$5),(IF(Inputs!$L$9="Actual flat rate",((D615+E615)*C615-G615)*Inputs!$L$10,IF(Inputs!$C$9="Residential",IF(((D615+E615)*C615-G615)&lt;='Assumptions and Catalog'!$C$50,((D615+E615)*C615-G615)*'Assumptions and Catalog'!$H$50+'Assumptions and Catalog'!$E$50+'Assumptions and Catalog'!$F$50,IF(((D615+E615)*C615-G615)&lt;='Assumptions and Catalog'!$C$51,((D615+E615)*C615-G615)*'Assumptions and Catalog'!$H$51+'Assumptions and Catalog'!$E$51+'Assumptions and Catalog'!$F$51,IF(((D615+E615)*C615-G615)&lt;='Assumptions and Catalog'!$C$52,((D615+E615)*C615-G615)*'Assumptions and Catalog'!$H$52+'Assumptions and Catalog'!$E$52+'Assumptions and Catalog'!$F$52,IF(((D615+E615)*C615-G615)&lt;='Assumptions and Catalog'!$C$53,((D615+E615)*C615-G615)*'Assumptions and Catalog'!$H$53+'Assumptions and Catalog'!$E$53+'Assumptions and Catalog'!$F$53,IF(((D615+E615)*C615-G615)&lt;='Assumptions and Catalog'!$C$54,((D615+E615)*C615-G615)*'Assumptions and Catalog'!$H$54+'Assumptions and Catalog'!$E$54+'Assumptions and Catalog'!$F$54,IF(((D615+E615)*C615-G615)&lt;='Assumptions and Catalog'!$C$55,((D615+E615)*C615-G615)*'Assumptions and Catalog'!$H$55+'Assumptions and Catalog'!$E$55+'Assumptions and Catalog'!$F$55,IF(((D615+E615)*C615-G615)&lt;='Assumptions and Catalog'!$C$56,((D615+E615)*C615-G615)*'Assumptions and Catalog'!$H$56+'Assumptions and Catalog'!$E$56+'Assumptions and Catalog'!$F$56,IF(((D615+E615)*C615-G615)&lt;='Assumptions and Catalog'!$C$57,((D615+E615)*C615-G615)*'Assumptions and Catalog'!$H$57+'Assumptions and Catalog'!$E$57+'Assumptions and Catalog'!$F$57,"Out of range")))))))),IF(((D615+E615)*C615-G615)&lt;='Assumptions and Catalog'!$C$60,((D615+E615)*C615-G615)*'Assumptions and Catalog'!$H$60+'Assumptions and Catalog'!$E$60+'Assumptions and Catalog'!$F$60,IF(((D615+E615)*C615-G615)&lt;='Assumptions and Catalog'!$C$61,((D615+E615)*C615-G615)*'Assumptions and Catalog'!$H$61+'Assumptions and Catalog'!$E$61+'Assumptions and Catalog'!$F$61,IF(((D615+E615)*C615-G615)&lt;='Assumptions and Catalog'!$C$62,((D615+E615)*C615-G615)*'Assumptions and Catalog'!$H$62+'Assumptions and Catalog'!$E$62+'Assumptions and Catalog'!$F$62,IF(((D615+E615)*C615-G615)&lt;='Assumptions and Catalog'!$C$63,((D615+E615)*C615-G615)*'Assumptions and Catalog'!$H$63+'Assumptions and Catalog'!$E$63+'Assumptions and Catalog'!$F$63,IF(((D615+E615)*C615-G615)&lt;='Assumptions and Catalog'!$C$64,((D615+E615)*C615-G615)*'Assumptions and Catalog'!$H$64+'Assumptions and Catalog'!$E$64+'Assumptions and Catalog'!$F$64,IF(((D615+E615)*C615-G615)&lt;='Assumptions and Catalog'!$C$65,((D615+E615)*C615-G615)*'Assumptions and Catalog'!$H$65+'Assumptions and Catalog'!$E$65+'Assumptions and Catalog'!$F$65,"Out of range")))))))))*(1+'Assumptions and Catalog'!$C$8)^(A615-1),0)</f>
        <v>8554.9666666666672</v>
      </c>
      <c r="R615" s="5">
        <f>IF(AND('Assumptions and Catalog'!$C$19&gt;0,A615&gt;='Assumptions and Catalog'!$C$19),A615-'Assumptions and Catalog'!$C$19,A615-1)</f>
        <v>7</v>
      </c>
      <c r="S615" s="5">
        <f>F615+L615-(D615+E615)*C615-J615-K615-IF(D$52&gt;0,'Assumptions and Catalog'!$C$26*C615,0)</f>
        <v>0</v>
      </c>
      <c r="T615" s="5"/>
      <c r="U615" s="5"/>
    </row>
    <row r="616" spans="1:21" ht="23.1" customHeight="1" outlineLevel="1" x14ac:dyDescent="0.2">
      <c r="A616" s="5">
        <v>18</v>
      </c>
      <c r="B616" s="5">
        <v>2</v>
      </c>
      <c r="C616" s="5">
        <f>DAY(DATE('Assumptions and Catalog'!$C$24+A616-1,B616+1,0))</f>
        <v>29</v>
      </c>
      <c r="D616" s="5">
        <f>IF(ISNUMBER(Inputs!$L$5),Inputs!$L$5*Inputs!$L$6,0)</f>
        <v>40.35</v>
      </c>
      <c r="E616" s="5">
        <f>IF(ISNUMBER(Inputs!$L$5),Inputs!$L$5-D616,0)</f>
        <v>40.35</v>
      </c>
      <c r="F616" s="5">
        <f>D$51*'Assumptions and Catalog'!$C$31*C616*(1-'Assumptions and Catalog'!$C$10)^(A616-1)</f>
        <v>0</v>
      </c>
      <c r="G616" s="5">
        <f t="shared" si="44"/>
        <v>0</v>
      </c>
      <c r="H616" s="5">
        <f>I616/('Assumptions and Catalog'!$C$11*'Assumptions and Catalog'!$C$12)</f>
        <v>0</v>
      </c>
      <c r="I616" s="5">
        <f>IF(K$15="Grid cycle",MIN(K$16,D616+E616,P616*'Assumptions and Catalog'!$C$12,D$57*(24-'Assumptions and Catalog'!$C$15),D$56*'Assumptions and Catalog'!$C$15*'Assumptions and Catalog'!$C$11*'Assumptions and Catalog'!$C$12)*C616,0)</f>
        <v>0</v>
      </c>
      <c r="J616" s="5">
        <f t="shared" si="45"/>
        <v>0</v>
      </c>
      <c r="K616" s="5">
        <f t="shared" si="46"/>
        <v>0</v>
      </c>
      <c r="L616" s="5">
        <f>(D616+E616)*C616-G616-I616+H616+IF(D$52&gt;0,'Assumptions and Catalog'!$C$26*C616,0)</f>
        <v>2340.3000000000002</v>
      </c>
      <c r="M616" s="5">
        <f>IF(ISNUMBER(Inputs!$L$5),(IF(Inputs!$L$9="Actual flat rate",((D616+E616)*C616)*Inputs!$L$10,IF(Inputs!$C$9="Residential",IF(((D616+E616)*C616)&lt;='Assumptions and Catalog'!$C$50,((D616+E616)*C616)*'Assumptions and Catalog'!$H$50+'Assumptions and Catalog'!$E$50+'Assumptions and Catalog'!$F$50,IF(((D616+E616)*C616)&lt;='Assumptions and Catalog'!$C$51,((D616+E616)*C616)*'Assumptions and Catalog'!$H$51+'Assumptions and Catalog'!$E$51+'Assumptions and Catalog'!$F$51,IF(((D616+E616)*C616)&lt;='Assumptions and Catalog'!$C$52,((D616+E616)*C616)*'Assumptions and Catalog'!$H$52+'Assumptions and Catalog'!$E$52+'Assumptions and Catalog'!$F$52,IF(((D616+E616)*C616)&lt;='Assumptions and Catalog'!$C$53,((D616+E616)*C616)*'Assumptions and Catalog'!$H$53+'Assumptions and Catalog'!$E$53+'Assumptions and Catalog'!$F$53,IF(((D616+E616)*C616)&lt;='Assumptions and Catalog'!$C$54,((D616+E616)*C616)*'Assumptions and Catalog'!$H$54+'Assumptions and Catalog'!$E$54+'Assumptions and Catalog'!$F$54,IF(((D616+E616)*C616)&lt;='Assumptions and Catalog'!$C$55,((D616+E616)*C616)*'Assumptions and Catalog'!$H$55+'Assumptions and Catalog'!$E$55+'Assumptions and Catalog'!$F$55,IF(((D616+E616)*C616)&lt;='Assumptions and Catalog'!$C$56,((D616+E616)*C616)*'Assumptions and Catalog'!$H$56+'Assumptions and Catalog'!$E$56+'Assumptions and Catalog'!$F$56,IF(((D616+E616)*C616)&lt;='Assumptions and Catalog'!$C$57,((D616+E616)*C616)*'Assumptions and Catalog'!$H$57+'Assumptions and Catalog'!$E$57+'Assumptions and Catalog'!$F$57,"Out of range")))))))),IF(((D616+E616)*C616)&lt;='Assumptions and Catalog'!$C$60,((D616+E616)*C616)*'Assumptions and Catalog'!$H$60+'Assumptions and Catalog'!$E$60+'Assumptions and Catalog'!$F$60,IF(((D616+E616)*C616)&lt;='Assumptions and Catalog'!$C$61,((D616+E616)*C616)*'Assumptions and Catalog'!$H$61+'Assumptions and Catalog'!$E$61+'Assumptions and Catalog'!$F$61,IF(((D616+E616)*C616)&lt;='Assumptions and Catalog'!$C$62,((D616+E616)*C616)*'Assumptions and Catalog'!$H$62+'Assumptions and Catalog'!$E$62+'Assumptions and Catalog'!$F$62,IF(((D616+E616)*C616)&lt;='Assumptions and Catalog'!$C$63,((D616+E616)*C616)*'Assumptions and Catalog'!$H$63+'Assumptions and Catalog'!$E$63+'Assumptions and Catalog'!$F$63,IF(((D616+E616)*C616)&lt;='Assumptions and Catalog'!$C$64,((D616+E616)*C616)*'Assumptions and Catalog'!$H$64+'Assumptions and Catalog'!$E$64+'Assumptions and Catalog'!$F$64,IF(((D616+E616)*C616)&lt;='Assumptions and Catalog'!$C$65,((D616+E616)*C616)*'Assumptions and Catalog'!$H$65+'Assumptions and Catalog'!$E$65+'Assumptions and Catalog'!$F$65,"Out of range")))))))))*(1+'Assumptions and Catalog'!$C$8)^(A616-1),0)</f>
        <v>8003.0333333333338</v>
      </c>
      <c r="N616" s="5">
        <f>IF(ISNUMBER(Inputs!$L$5),(IF(Inputs!$L$9="Actual flat rate",L616*Inputs!$L$10,IF(Inputs!$C$9="Residential",IF(L616&lt;='Assumptions and Catalog'!$C$50,L616*'Assumptions and Catalog'!$H$50+'Assumptions and Catalog'!$E$50+'Assumptions and Catalog'!$F$50,IF(L616&lt;='Assumptions and Catalog'!$C$51,L616*'Assumptions and Catalog'!$H$51+'Assumptions and Catalog'!$E$51+'Assumptions and Catalog'!$F$51,IF(L616&lt;='Assumptions and Catalog'!$C$52,L616*'Assumptions and Catalog'!$H$52+'Assumptions and Catalog'!$E$52+'Assumptions and Catalog'!$F$52,IF(L616&lt;='Assumptions and Catalog'!$C$53,L616*'Assumptions and Catalog'!$H$53+'Assumptions and Catalog'!$E$53+'Assumptions and Catalog'!$F$53,IF(L616&lt;='Assumptions and Catalog'!$C$54,L616*'Assumptions and Catalog'!$H$54+'Assumptions and Catalog'!$E$54+'Assumptions and Catalog'!$F$54,IF(L616&lt;='Assumptions and Catalog'!$C$55,L616*'Assumptions and Catalog'!$H$55+'Assumptions and Catalog'!$E$55+'Assumptions and Catalog'!$F$55,IF(L616&lt;='Assumptions and Catalog'!$C$56,L616*'Assumptions and Catalog'!$H$56+'Assumptions and Catalog'!$E$56+'Assumptions and Catalog'!$F$56,IF(L616&lt;='Assumptions and Catalog'!$C$57,L616*'Assumptions and Catalog'!$H$57+'Assumptions and Catalog'!$E$57+'Assumptions and Catalog'!$F$57,"Out of range")))))))),IF(L616&lt;='Assumptions and Catalog'!$C$60,L616*'Assumptions and Catalog'!$H$60+'Assumptions and Catalog'!$E$60+'Assumptions and Catalog'!$F$60,IF(L616&lt;='Assumptions and Catalog'!$C$61,L616*'Assumptions and Catalog'!$H$61+'Assumptions and Catalog'!$E$61+'Assumptions and Catalog'!$F$61,IF(L616&lt;='Assumptions and Catalog'!$C$62,L616*'Assumptions and Catalog'!$H$62+'Assumptions and Catalog'!$E$62+'Assumptions and Catalog'!$F$62,IF(L616&lt;='Assumptions and Catalog'!$C$63,L616*'Assumptions and Catalog'!$H$63+'Assumptions and Catalog'!$E$63+'Assumptions and Catalog'!$F$63,IF(L616&lt;='Assumptions and Catalog'!$C$64,L616*'Assumptions and Catalog'!$H$64+'Assumptions and Catalog'!$E$64+'Assumptions and Catalog'!$F$64,IF(L616&lt;='Assumptions and Catalog'!$C$65,L616*'Assumptions and Catalog'!$H$65+'Assumptions and Catalog'!$E$65+'Assumptions and Catalog'!$F$65,"Out of range")))))))))*(1+'Assumptions and Catalog'!$C$8)^(A616-1),0)</f>
        <v>8003.0333333333338</v>
      </c>
      <c r="O616" s="5">
        <f t="shared" si="47"/>
        <v>0</v>
      </c>
      <c r="P616" s="5">
        <f>D$55*(1-K$14)*(1-'Assumptions and Catalog'!$C$23)^R616</f>
        <v>0</v>
      </c>
      <c r="Q616" s="5">
        <f>IF(ISNUMBER(Inputs!$L$5),(IF(Inputs!$L$9="Actual flat rate",((D616+E616)*C616-G616)*Inputs!$L$10,IF(Inputs!$C$9="Residential",IF(((D616+E616)*C616-G616)&lt;='Assumptions and Catalog'!$C$50,((D616+E616)*C616-G616)*'Assumptions and Catalog'!$H$50+'Assumptions and Catalog'!$E$50+'Assumptions and Catalog'!$F$50,IF(((D616+E616)*C616-G616)&lt;='Assumptions and Catalog'!$C$51,((D616+E616)*C616-G616)*'Assumptions and Catalog'!$H$51+'Assumptions and Catalog'!$E$51+'Assumptions and Catalog'!$F$51,IF(((D616+E616)*C616-G616)&lt;='Assumptions and Catalog'!$C$52,((D616+E616)*C616-G616)*'Assumptions and Catalog'!$H$52+'Assumptions and Catalog'!$E$52+'Assumptions and Catalog'!$F$52,IF(((D616+E616)*C616-G616)&lt;='Assumptions and Catalog'!$C$53,((D616+E616)*C616-G616)*'Assumptions and Catalog'!$H$53+'Assumptions and Catalog'!$E$53+'Assumptions and Catalog'!$F$53,IF(((D616+E616)*C616-G616)&lt;='Assumptions and Catalog'!$C$54,((D616+E616)*C616-G616)*'Assumptions and Catalog'!$H$54+'Assumptions and Catalog'!$E$54+'Assumptions and Catalog'!$F$54,IF(((D616+E616)*C616-G616)&lt;='Assumptions and Catalog'!$C$55,((D616+E616)*C616-G616)*'Assumptions and Catalog'!$H$55+'Assumptions and Catalog'!$E$55+'Assumptions and Catalog'!$F$55,IF(((D616+E616)*C616-G616)&lt;='Assumptions and Catalog'!$C$56,((D616+E616)*C616-G616)*'Assumptions and Catalog'!$H$56+'Assumptions and Catalog'!$E$56+'Assumptions and Catalog'!$F$56,IF(((D616+E616)*C616-G616)&lt;='Assumptions and Catalog'!$C$57,((D616+E616)*C616-G616)*'Assumptions and Catalog'!$H$57+'Assumptions and Catalog'!$E$57+'Assumptions and Catalog'!$F$57,"Out of range")))))))),IF(((D616+E616)*C616-G616)&lt;='Assumptions and Catalog'!$C$60,((D616+E616)*C616-G616)*'Assumptions and Catalog'!$H$60+'Assumptions and Catalog'!$E$60+'Assumptions and Catalog'!$F$60,IF(((D616+E616)*C616-G616)&lt;='Assumptions and Catalog'!$C$61,((D616+E616)*C616-G616)*'Assumptions and Catalog'!$H$61+'Assumptions and Catalog'!$E$61+'Assumptions and Catalog'!$F$61,IF(((D616+E616)*C616-G616)&lt;='Assumptions and Catalog'!$C$62,((D616+E616)*C616-G616)*'Assumptions and Catalog'!$H$62+'Assumptions and Catalog'!$E$62+'Assumptions and Catalog'!$F$62,IF(((D616+E616)*C616-G616)&lt;='Assumptions and Catalog'!$C$63,((D616+E616)*C616-G616)*'Assumptions and Catalog'!$H$63+'Assumptions and Catalog'!$E$63+'Assumptions and Catalog'!$F$63,IF(((D616+E616)*C616-G616)&lt;='Assumptions and Catalog'!$C$64,((D616+E616)*C616-G616)*'Assumptions and Catalog'!$H$64+'Assumptions and Catalog'!$E$64+'Assumptions and Catalog'!$F$64,IF(((D616+E616)*C616-G616)&lt;='Assumptions and Catalog'!$C$65,((D616+E616)*C616-G616)*'Assumptions and Catalog'!$H$65+'Assumptions and Catalog'!$E$65+'Assumptions and Catalog'!$F$65,"Out of range")))))))))*(1+'Assumptions and Catalog'!$C$8)^(A616-1),0)</f>
        <v>8003.0333333333338</v>
      </c>
      <c r="R616" s="5">
        <f>IF(AND('Assumptions and Catalog'!$C$19&gt;0,A616&gt;='Assumptions and Catalog'!$C$19),A616-'Assumptions and Catalog'!$C$19,A616-1)</f>
        <v>7</v>
      </c>
      <c r="S616" s="5">
        <f>F616+L616-(D616+E616)*C616-J616-K616-IF(D$52&gt;0,'Assumptions and Catalog'!$C$26*C616,0)</f>
        <v>0</v>
      </c>
      <c r="T616" s="5"/>
      <c r="U616" s="5"/>
    </row>
    <row r="617" spans="1:21" ht="23.1" customHeight="1" outlineLevel="1" x14ac:dyDescent="0.2">
      <c r="A617" s="5">
        <v>18</v>
      </c>
      <c r="B617" s="5">
        <v>3</v>
      </c>
      <c r="C617" s="5">
        <f>DAY(DATE('Assumptions and Catalog'!$C$24+A617-1,B617+1,0))</f>
        <v>31</v>
      </c>
      <c r="D617" s="5">
        <f>IF(ISNUMBER(Inputs!$L$5),Inputs!$L$5*Inputs!$L$6,0)</f>
        <v>40.35</v>
      </c>
      <c r="E617" s="5">
        <f>IF(ISNUMBER(Inputs!$L$5),Inputs!$L$5-D617,0)</f>
        <v>40.35</v>
      </c>
      <c r="F617" s="5">
        <f>D$51*'Assumptions and Catalog'!$C$31*C617*(1-'Assumptions and Catalog'!$C$10)^(A617-1)</f>
        <v>0</v>
      </c>
      <c r="G617" s="5">
        <f t="shared" si="44"/>
        <v>0</v>
      </c>
      <c r="H617" s="5">
        <f>I617/('Assumptions and Catalog'!$C$11*'Assumptions and Catalog'!$C$12)</f>
        <v>0</v>
      </c>
      <c r="I617" s="5">
        <f>IF(K$15="Grid cycle",MIN(K$16,D617+E617,P617*'Assumptions and Catalog'!$C$12,D$57*(24-'Assumptions and Catalog'!$C$15),D$56*'Assumptions and Catalog'!$C$15*'Assumptions and Catalog'!$C$11*'Assumptions and Catalog'!$C$12)*C617,0)</f>
        <v>0</v>
      </c>
      <c r="J617" s="5">
        <f t="shared" si="45"/>
        <v>0</v>
      </c>
      <c r="K617" s="5">
        <f t="shared" si="46"/>
        <v>0</v>
      </c>
      <c r="L617" s="5">
        <f>(D617+E617)*C617-G617-I617+H617+IF(D$52&gt;0,'Assumptions and Catalog'!$C$26*C617,0)</f>
        <v>2501.7000000000003</v>
      </c>
      <c r="M617" s="5">
        <f>IF(ISNUMBER(Inputs!$L$5),(IF(Inputs!$L$9="Actual flat rate",((D617+E617)*C617)*Inputs!$L$10,IF(Inputs!$C$9="Residential",IF(((D617+E617)*C617)&lt;='Assumptions and Catalog'!$C$50,((D617+E617)*C617)*'Assumptions and Catalog'!$H$50+'Assumptions and Catalog'!$E$50+'Assumptions and Catalog'!$F$50,IF(((D617+E617)*C617)&lt;='Assumptions and Catalog'!$C$51,((D617+E617)*C617)*'Assumptions and Catalog'!$H$51+'Assumptions and Catalog'!$E$51+'Assumptions and Catalog'!$F$51,IF(((D617+E617)*C617)&lt;='Assumptions and Catalog'!$C$52,((D617+E617)*C617)*'Assumptions and Catalog'!$H$52+'Assumptions and Catalog'!$E$52+'Assumptions and Catalog'!$F$52,IF(((D617+E617)*C617)&lt;='Assumptions and Catalog'!$C$53,((D617+E617)*C617)*'Assumptions and Catalog'!$H$53+'Assumptions and Catalog'!$E$53+'Assumptions and Catalog'!$F$53,IF(((D617+E617)*C617)&lt;='Assumptions and Catalog'!$C$54,((D617+E617)*C617)*'Assumptions and Catalog'!$H$54+'Assumptions and Catalog'!$E$54+'Assumptions and Catalog'!$F$54,IF(((D617+E617)*C617)&lt;='Assumptions and Catalog'!$C$55,((D617+E617)*C617)*'Assumptions and Catalog'!$H$55+'Assumptions and Catalog'!$E$55+'Assumptions and Catalog'!$F$55,IF(((D617+E617)*C617)&lt;='Assumptions and Catalog'!$C$56,((D617+E617)*C617)*'Assumptions and Catalog'!$H$56+'Assumptions and Catalog'!$E$56+'Assumptions and Catalog'!$F$56,IF(((D617+E617)*C617)&lt;='Assumptions and Catalog'!$C$57,((D617+E617)*C617)*'Assumptions and Catalog'!$H$57+'Assumptions and Catalog'!$E$57+'Assumptions and Catalog'!$F$57,"Out of range")))))))),IF(((D617+E617)*C617)&lt;='Assumptions and Catalog'!$C$60,((D617+E617)*C617)*'Assumptions and Catalog'!$H$60+'Assumptions and Catalog'!$E$60+'Assumptions and Catalog'!$F$60,IF(((D617+E617)*C617)&lt;='Assumptions and Catalog'!$C$61,((D617+E617)*C617)*'Assumptions and Catalog'!$H$61+'Assumptions and Catalog'!$E$61+'Assumptions and Catalog'!$F$61,IF(((D617+E617)*C617)&lt;='Assumptions and Catalog'!$C$62,((D617+E617)*C617)*'Assumptions and Catalog'!$H$62+'Assumptions and Catalog'!$E$62+'Assumptions and Catalog'!$F$62,IF(((D617+E617)*C617)&lt;='Assumptions and Catalog'!$C$63,((D617+E617)*C617)*'Assumptions and Catalog'!$H$63+'Assumptions and Catalog'!$E$63+'Assumptions and Catalog'!$F$63,IF(((D617+E617)*C617)&lt;='Assumptions and Catalog'!$C$64,((D617+E617)*C617)*'Assumptions and Catalog'!$H$64+'Assumptions and Catalog'!$E$64+'Assumptions and Catalog'!$F$64,IF(((D617+E617)*C617)&lt;='Assumptions and Catalog'!$C$65,((D617+E617)*C617)*'Assumptions and Catalog'!$H$65+'Assumptions and Catalog'!$E$65+'Assumptions and Catalog'!$F$65,"Out of range")))))))))*(1+'Assumptions and Catalog'!$C$8)^(A617-1),0)</f>
        <v>8554.9666666666672</v>
      </c>
      <c r="N617" s="5">
        <f>IF(ISNUMBER(Inputs!$L$5),(IF(Inputs!$L$9="Actual flat rate",L617*Inputs!$L$10,IF(Inputs!$C$9="Residential",IF(L617&lt;='Assumptions and Catalog'!$C$50,L617*'Assumptions and Catalog'!$H$50+'Assumptions and Catalog'!$E$50+'Assumptions and Catalog'!$F$50,IF(L617&lt;='Assumptions and Catalog'!$C$51,L617*'Assumptions and Catalog'!$H$51+'Assumptions and Catalog'!$E$51+'Assumptions and Catalog'!$F$51,IF(L617&lt;='Assumptions and Catalog'!$C$52,L617*'Assumptions and Catalog'!$H$52+'Assumptions and Catalog'!$E$52+'Assumptions and Catalog'!$F$52,IF(L617&lt;='Assumptions and Catalog'!$C$53,L617*'Assumptions and Catalog'!$H$53+'Assumptions and Catalog'!$E$53+'Assumptions and Catalog'!$F$53,IF(L617&lt;='Assumptions and Catalog'!$C$54,L617*'Assumptions and Catalog'!$H$54+'Assumptions and Catalog'!$E$54+'Assumptions and Catalog'!$F$54,IF(L617&lt;='Assumptions and Catalog'!$C$55,L617*'Assumptions and Catalog'!$H$55+'Assumptions and Catalog'!$E$55+'Assumptions and Catalog'!$F$55,IF(L617&lt;='Assumptions and Catalog'!$C$56,L617*'Assumptions and Catalog'!$H$56+'Assumptions and Catalog'!$E$56+'Assumptions and Catalog'!$F$56,IF(L617&lt;='Assumptions and Catalog'!$C$57,L617*'Assumptions and Catalog'!$H$57+'Assumptions and Catalog'!$E$57+'Assumptions and Catalog'!$F$57,"Out of range")))))))),IF(L617&lt;='Assumptions and Catalog'!$C$60,L617*'Assumptions and Catalog'!$H$60+'Assumptions and Catalog'!$E$60+'Assumptions and Catalog'!$F$60,IF(L617&lt;='Assumptions and Catalog'!$C$61,L617*'Assumptions and Catalog'!$H$61+'Assumptions and Catalog'!$E$61+'Assumptions and Catalog'!$F$61,IF(L617&lt;='Assumptions and Catalog'!$C$62,L617*'Assumptions and Catalog'!$H$62+'Assumptions and Catalog'!$E$62+'Assumptions and Catalog'!$F$62,IF(L617&lt;='Assumptions and Catalog'!$C$63,L617*'Assumptions and Catalog'!$H$63+'Assumptions and Catalog'!$E$63+'Assumptions and Catalog'!$F$63,IF(L617&lt;='Assumptions and Catalog'!$C$64,L617*'Assumptions and Catalog'!$H$64+'Assumptions and Catalog'!$E$64+'Assumptions and Catalog'!$F$64,IF(L617&lt;='Assumptions and Catalog'!$C$65,L617*'Assumptions and Catalog'!$H$65+'Assumptions and Catalog'!$E$65+'Assumptions and Catalog'!$F$65,"Out of range")))))))))*(1+'Assumptions and Catalog'!$C$8)^(A617-1),0)</f>
        <v>8554.9666666666672</v>
      </c>
      <c r="O617" s="5">
        <f t="shared" si="47"/>
        <v>0</v>
      </c>
      <c r="P617" s="5">
        <f>D$55*(1-K$14)*(1-'Assumptions and Catalog'!$C$23)^R617</f>
        <v>0</v>
      </c>
      <c r="Q617" s="5">
        <f>IF(ISNUMBER(Inputs!$L$5),(IF(Inputs!$L$9="Actual flat rate",((D617+E617)*C617-G617)*Inputs!$L$10,IF(Inputs!$C$9="Residential",IF(((D617+E617)*C617-G617)&lt;='Assumptions and Catalog'!$C$50,((D617+E617)*C617-G617)*'Assumptions and Catalog'!$H$50+'Assumptions and Catalog'!$E$50+'Assumptions and Catalog'!$F$50,IF(((D617+E617)*C617-G617)&lt;='Assumptions and Catalog'!$C$51,((D617+E617)*C617-G617)*'Assumptions and Catalog'!$H$51+'Assumptions and Catalog'!$E$51+'Assumptions and Catalog'!$F$51,IF(((D617+E617)*C617-G617)&lt;='Assumptions and Catalog'!$C$52,((D617+E617)*C617-G617)*'Assumptions and Catalog'!$H$52+'Assumptions and Catalog'!$E$52+'Assumptions and Catalog'!$F$52,IF(((D617+E617)*C617-G617)&lt;='Assumptions and Catalog'!$C$53,((D617+E617)*C617-G617)*'Assumptions and Catalog'!$H$53+'Assumptions and Catalog'!$E$53+'Assumptions and Catalog'!$F$53,IF(((D617+E617)*C617-G617)&lt;='Assumptions and Catalog'!$C$54,((D617+E617)*C617-G617)*'Assumptions and Catalog'!$H$54+'Assumptions and Catalog'!$E$54+'Assumptions and Catalog'!$F$54,IF(((D617+E617)*C617-G617)&lt;='Assumptions and Catalog'!$C$55,((D617+E617)*C617-G617)*'Assumptions and Catalog'!$H$55+'Assumptions and Catalog'!$E$55+'Assumptions and Catalog'!$F$55,IF(((D617+E617)*C617-G617)&lt;='Assumptions and Catalog'!$C$56,((D617+E617)*C617-G617)*'Assumptions and Catalog'!$H$56+'Assumptions and Catalog'!$E$56+'Assumptions and Catalog'!$F$56,IF(((D617+E617)*C617-G617)&lt;='Assumptions and Catalog'!$C$57,((D617+E617)*C617-G617)*'Assumptions and Catalog'!$H$57+'Assumptions and Catalog'!$E$57+'Assumptions and Catalog'!$F$57,"Out of range")))))))),IF(((D617+E617)*C617-G617)&lt;='Assumptions and Catalog'!$C$60,((D617+E617)*C617-G617)*'Assumptions and Catalog'!$H$60+'Assumptions and Catalog'!$E$60+'Assumptions and Catalog'!$F$60,IF(((D617+E617)*C617-G617)&lt;='Assumptions and Catalog'!$C$61,((D617+E617)*C617-G617)*'Assumptions and Catalog'!$H$61+'Assumptions and Catalog'!$E$61+'Assumptions and Catalog'!$F$61,IF(((D617+E617)*C617-G617)&lt;='Assumptions and Catalog'!$C$62,((D617+E617)*C617-G617)*'Assumptions and Catalog'!$H$62+'Assumptions and Catalog'!$E$62+'Assumptions and Catalog'!$F$62,IF(((D617+E617)*C617-G617)&lt;='Assumptions and Catalog'!$C$63,((D617+E617)*C617-G617)*'Assumptions and Catalog'!$H$63+'Assumptions and Catalog'!$E$63+'Assumptions and Catalog'!$F$63,IF(((D617+E617)*C617-G617)&lt;='Assumptions and Catalog'!$C$64,((D617+E617)*C617-G617)*'Assumptions and Catalog'!$H$64+'Assumptions and Catalog'!$E$64+'Assumptions and Catalog'!$F$64,IF(((D617+E617)*C617-G617)&lt;='Assumptions and Catalog'!$C$65,((D617+E617)*C617-G617)*'Assumptions and Catalog'!$H$65+'Assumptions and Catalog'!$E$65+'Assumptions and Catalog'!$F$65,"Out of range")))))))))*(1+'Assumptions and Catalog'!$C$8)^(A617-1),0)</f>
        <v>8554.9666666666672</v>
      </c>
      <c r="R617" s="5">
        <f>IF(AND('Assumptions and Catalog'!$C$19&gt;0,A617&gt;='Assumptions and Catalog'!$C$19),A617-'Assumptions and Catalog'!$C$19,A617-1)</f>
        <v>7</v>
      </c>
      <c r="S617" s="5">
        <f>F617+L617-(D617+E617)*C617-J617-K617-IF(D$52&gt;0,'Assumptions and Catalog'!$C$26*C617,0)</f>
        <v>0</v>
      </c>
      <c r="T617" s="5"/>
      <c r="U617" s="5"/>
    </row>
    <row r="618" spans="1:21" ht="23.1" customHeight="1" outlineLevel="1" x14ac:dyDescent="0.2">
      <c r="A618" s="5">
        <v>18</v>
      </c>
      <c r="B618" s="5">
        <v>4</v>
      </c>
      <c r="C618" s="5">
        <f>DAY(DATE('Assumptions and Catalog'!$C$24+A618-1,B618+1,0))</f>
        <v>30</v>
      </c>
      <c r="D618" s="5">
        <f>IF(ISNUMBER(Inputs!$L$5),Inputs!$L$5*Inputs!$L$6,0)</f>
        <v>40.35</v>
      </c>
      <c r="E618" s="5">
        <f>IF(ISNUMBER(Inputs!$L$5),Inputs!$L$5-D618,0)</f>
        <v>40.35</v>
      </c>
      <c r="F618" s="5">
        <f>D$51*'Assumptions and Catalog'!$C$31*C618*(1-'Assumptions and Catalog'!$C$10)^(A618-1)</f>
        <v>0</v>
      </c>
      <c r="G618" s="5">
        <f t="shared" si="44"/>
        <v>0</v>
      </c>
      <c r="H618" s="5">
        <f>I618/('Assumptions and Catalog'!$C$11*'Assumptions and Catalog'!$C$12)</f>
        <v>0</v>
      </c>
      <c r="I618" s="5">
        <f>IF(K$15="Grid cycle",MIN(K$16,D618+E618,P618*'Assumptions and Catalog'!$C$12,D$57*(24-'Assumptions and Catalog'!$C$15),D$56*'Assumptions and Catalog'!$C$15*'Assumptions and Catalog'!$C$11*'Assumptions and Catalog'!$C$12)*C618,0)</f>
        <v>0</v>
      </c>
      <c r="J618" s="5">
        <f t="shared" si="45"/>
        <v>0</v>
      </c>
      <c r="K618" s="5">
        <f t="shared" si="46"/>
        <v>0</v>
      </c>
      <c r="L618" s="5">
        <f>(D618+E618)*C618-G618-I618+H618+IF(D$52&gt;0,'Assumptions and Catalog'!$C$26*C618,0)</f>
        <v>2421</v>
      </c>
      <c r="M618" s="5">
        <f>IF(ISNUMBER(Inputs!$L$5),(IF(Inputs!$L$9="Actual flat rate",((D618+E618)*C618)*Inputs!$L$10,IF(Inputs!$C$9="Residential",IF(((D618+E618)*C618)&lt;='Assumptions and Catalog'!$C$50,((D618+E618)*C618)*'Assumptions and Catalog'!$H$50+'Assumptions and Catalog'!$E$50+'Assumptions and Catalog'!$F$50,IF(((D618+E618)*C618)&lt;='Assumptions and Catalog'!$C$51,((D618+E618)*C618)*'Assumptions and Catalog'!$H$51+'Assumptions and Catalog'!$E$51+'Assumptions and Catalog'!$F$51,IF(((D618+E618)*C618)&lt;='Assumptions and Catalog'!$C$52,((D618+E618)*C618)*'Assumptions and Catalog'!$H$52+'Assumptions and Catalog'!$E$52+'Assumptions and Catalog'!$F$52,IF(((D618+E618)*C618)&lt;='Assumptions and Catalog'!$C$53,((D618+E618)*C618)*'Assumptions and Catalog'!$H$53+'Assumptions and Catalog'!$E$53+'Assumptions and Catalog'!$F$53,IF(((D618+E618)*C618)&lt;='Assumptions and Catalog'!$C$54,((D618+E618)*C618)*'Assumptions and Catalog'!$H$54+'Assumptions and Catalog'!$E$54+'Assumptions and Catalog'!$F$54,IF(((D618+E618)*C618)&lt;='Assumptions and Catalog'!$C$55,((D618+E618)*C618)*'Assumptions and Catalog'!$H$55+'Assumptions and Catalog'!$E$55+'Assumptions and Catalog'!$F$55,IF(((D618+E618)*C618)&lt;='Assumptions and Catalog'!$C$56,((D618+E618)*C618)*'Assumptions and Catalog'!$H$56+'Assumptions and Catalog'!$E$56+'Assumptions and Catalog'!$F$56,IF(((D618+E618)*C618)&lt;='Assumptions and Catalog'!$C$57,((D618+E618)*C618)*'Assumptions and Catalog'!$H$57+'Assumptions and Catalog'!$E$57+'Assumptions and Catalog'!$F$57,"Out of range")))))))),IF(((D618+E618)*C618)&lt;='Assumptions and Catalog'!$C$60,((D618+E618)*C618)*'Assumptions and Catalog'!$H$60+'Assumptions and Catalog'!$E$60+'Assumptions and Catalog'!$F$60,IF(((D618+E618)*C618)&lt;='Assumptions and Catalog'!$C$61,((D618+E618)*C618)*'Assumptions and Catalog'!$H$61+'Assumptions and Catalog'!$E$61+'Assumptions and Catalog'!$F$61,IF(((D618+E618)*C618)&lt;='Assumptions and Catalog'!$C$62,((D618+E618)*C618)*'Assumptions and Catalog'!$H$62+'Assumptions and Catalog'!$E$62+'Assumptions and Catalog'!$F$62,IF(((D618+E618)*C618)&lt;='Assumptions and Catalog'!$C$63,((D618+E618)*C618)*'Assumptions and Catalog'!$H$63+'Assumptions and Catalog'!$E$63+'Assumptions and Catalog'!$F$63,IF(((D618+E618)*C618)&lt;='Assumptions and Catalog'!$C$64,((D618+E618)*C618)*'Assumptions and Catalog'!$H$64+'Assumptions and Catalog'!$E$64+'Assumptions and Catalog'!$F$64,IF(((D618+E618)*C618)&lt;='Assumptions and Catalog'!$C$65,((D618+E618)*C618)*'Assumptions and Catalog'!$H$65+'Assumptions and Catalog'!$E$65+'Assumptions and Catalog'!$F$65,"Out of range")))))))))*(1+'Assumptions and Catalog'!$C$8)^(A618-1),0)</f>
        <v>8279</v>
      </c>
      <c r="N618" s="5">
        <f>IF(ISNUMBER(Inputs!$L$5),(IF(Inputs!$L$9="Actual flat rate",L618*Inputs!$L$10,IF(Inputs!$C$9="Residential",IF(L618&lt;='Assumptions and Catalog'!$C$50,L618*'Assumptions and Catalog'!$H$50+'Assumptions and Catalog'!$E$50+'Assumptions and Catalog'!$F$50,IF(L618&lt;='Assumptions and Catalog'!$C$51,L618*'Assumptions and Catalog'!$H$51+'Assumptions and Catalog'!$E$51+'Assumptions and Catalog'!$F$51,IF(L618&lt;='Assumptions and Catalog'!$C$52,L618*'Assumptions and Catalog'!$H$52+'Assumptions and Catalog'!$E$52+'Assumptions and Catalog'!$F$52,IF(L618&lt;='Assumptions and Catalog'!$C$53,L618*'Assumptions and Catalog'!$H$53+'Assumptions and Catalog'!$E$53+'Assumptions and Catalog'!$F$53,IF(L618&lt;='Assumptions and Catalog'!$C$54,L618*'Assumptions and Catalog'!$H$54+'Assumptions and Catalog'!$E$54+'Assumptions and Catalog'!$F$54,IF(L618&lt;='Assumptions and Catalog'!$C$55,L618*'Assumptions and Catalog'!$H$55+'Assumptions and Catalog'!$E$55+'Assumptions and Catalog'!$F$55,IF(L618&lt;='Assumptions and Catalog'!$C$56,L618*'Assumptions and Catalog'!$H$56+'Assumptions and Catalog'!$E$56+'Assumptions and Catalog'!$F$56,IF(L618&lt;='Assumptions and Catalog'!$C$57,L618*'Assumptions and Catalog'!$H$57+'Assumptions and Catalog'!$E$57+'Assumptions and Catalog'!$F$57,"Out of range")))))))),IF(L618&lt;='Assumptions and Catalog'!$C$60,L618*'Assumptions and Catalog'!$H$60+'Assumptions and Catalog'!$E$60+'Assumptions and Catalog'!$F$60,IF(L618&lt;='Assumptions and Catalog'!$C$61,L618*'Assumptions and Catalog'!$H$61+'Assumptions and Catalog'!$E$61+'Assumptions and Catalog'!$F$61,IF(L618&lt;='Assumptions and Catalog'!$C$62,L618*'Assumptions and Catalog'!$H$62+'Assumptions and Catalog'!$E$62+'Assumptions and Catalog'!$F$62,IF(L618&lt;='Assumptions and Catalog'!$C$63,L618*'Assumptions and Catalog'!$H$63+'Assumptions and Catalog'!$E$63+'Assumptions and Catalog'!$F$63,IF(L618&lt;='Assumptions and Catalog'!$C$64,L618*'Assumptions and Catalog'!$H$64+'Assumptions and Catalog'!$E$64+'Assumptions and Catalog'!$F$64,IF(L618&lt;='Assumptions and Catalog'!$C$65,L618*'Assumptions and Catalog'!$H$65+'Assumptions and Catalog'!$E$65+'Assumptions and Catalog'!$F$65,"Out of range")))))))))*(1+'Assumptions and Catalog'!$C$8)^(A618-1),0)</f>
        <v>8279</v>
      </c>
      <c r="O618" s="5">
        <f t="shared" si="47"/>
        <v>0</v>
      </c>
      <c r="P618" s="5">
        <f>D$55*(1-K$14)*(1-'Assumptions and Catalog'!$C$23)^R618</f>
        <v>0</v>
      </c>
      <c r="Q618" s="5">
        <f>IF(ISNUMBER(Inputs!$L$5),(IF(Inputs!$L$9="Actual flat rate",((D618+E618)*C618-G618)*Inputs!$L$10,IF(Inputs!$C$9="Residential",IF(((D618+E618)*C618-G618)&lt;='Assumptions and Catalog'!$C$50,((D618+E618)*C618-G618)*'Assumptions and Catalog'!$H$50+'Assumptions and Catalog'!$E$50+'Assumptions and Catalog'!$F$50,IF(((D618+E618)*C618-G618)&lt;='Assumptions and Catalog'!$C$51,((D618+E618)*C618-G618)*'Assumptions and Catalog'!$H$51+'Assumptions and Catalog'!$E$51+'Assumptions and Catalog'!$F$51,IF(((D618+E618)*C618-G618)&lt;='Assumptions and Catalog'!$C$52,((D618+E618)*C618-G618)*'Assumptions and Catalog'!$H$52+'Assumptions and Catalog'!$E$52+'Assumptions and Catalog'!$F$52,IF(((D618+E618)*C618-G618)&lt;='Assumptions and Catalog'!$C$53,((D618+E618)*C618-G618)*'Assumptions and Catalog'!$H$53+'Assumptions and Catalog'!$E$53+'Assumptions and Catalog'!$F$53,IF(((D618+E618)*C618-G618)&lt;='Assumptions and Catalog'!$C$54,((D618+E618)*C618-G618)*'Assumptions and Catalog'!$H$54+'Assumptions and Catalog'!$E$54+'Assumptions and Catalog'!$F$54,IF(((D618+E618)*C618-G618)&lt;='Assumptions and Catalog'!$C$55,((D618+E618)*C618-G618)*'Assumptions and Catalog'!$H$55+'Assumptions and Catalog'!$E$55+'Assumptions and Catalog'!$F$55,IF(((D618+E618)*C618-G618)&lt;='Assumptions and Catalog'!$C$56,((D618+E618)*C618-G618)*'Assumptions and Catalog'!$H$56+'Assumptions and Catalog'!$E$56+'Assumptions and Catalog'!$F$56,IF(((D618+E618)*C618-G618)&lt;='Assumptions and Catalog'!$C$57,((D618+E618)*C618-G618)*'Assumptions and Catalog'!$H$57+'Assumptions and Catalog'!$E$57+'Assumptions and Catalog'!$F$57,"Out of range")))))))),IF(((D618+E618)*C618-G618)&lt;='Assumptions and Catalog'!$C$60,((D618+E618)*C618-G618)*'Assumptions and Catalog'!$H$60+'Assumptions and Catalog'!$E$60+'Assumptions and Catalog'!$F$60,IF(((D618+E618)*C618-G618)&lt;='Assumptions and Catalog'!$C$61,((D618+E618)*C618-G618)*'Assumptions and Catalog'!$H$61+'Assumptions and Catalog'!$E$61+'Assumptions and Catalog'!$F$61,IF(((D618+E618)*C618-G618)&lt;='Assumptions and Catalog'!$C$62,((D618+E618)*C618-G618)*'Assumptions and Catalog'!$H$62+'Assumptions and Catalog'!$E$62+'Assumptions and Catalog'!$F$62,IF(((D618+E618)*C618-G618)&lt;='Assumptions and Catalog'!$C$63,((D618+E618)*C618-G618)*'Assumptions and Catalog'!$H$63+'Assumptions and Catalog'!$E$63+'Assumptions and Catalog'!$F$63,IF(((D618+E618)*C618-G618)&lt;='Assumptions and Catalog'!$C$64,((D618+E618)*C618-G618)*'Assumptions and Catalog'!$H$64+'Assumptions and Catalog'!$E$64+'Assumptions and Catalog'!$F$64,IF(((D618+E618)*C618-G618)&lt;='Assumptions and Catalog'!$C$65,((D618+E618)*C618-G618)*'Assumptions and Catalog'!$H$65+'Assumptions and Catalog'!$E$65+'Assumptions and Catalog'!$F$65,"Out of range")))))))))*(1+'Assumptions and Catalog'!$C$8)^(A618-1),0)</f>
        <v>8279</v>
      </c>
      <c r="R618" s="5">
        <f>IF(AND('Assumptions and Catalog'!$C$19&gt;0,A618&gt;='Assumptions and Catalog'!$C$19),A618-'Assumptions and Catalog'!$C$19,A618-1)</f>
        <v>7</v>
      </c>
      <c r="S618" s="5">
        <f>F618+L618-(D618+E618)*C618-J618-K618-IF(D$52&gt;0,'Assumptions and Catalog'!$C$26*C618,0)</f>
        <v>0</v>
      </c>
      <c r="T618" s="5"/>
      <c r="U618" s="5"/>
    </row>
    <row r="619" spans="1:21" ht="23.1" customHeight="1" outlineLevel="1" x14ac:dyDescent="0.2">
      <c r="A619" s="5">
        <v>18</v>
      </c>
      <c r="B619" s="5">
        <v>5</v>
      </c>
      <c r="C619" s="5">
        <f>DAY(DATE('Assumptions and Catalog'!$C$24+A619-1,B619+1,0))</f>
        <v>31</v>
      </c>
      <c r="D619" s="5">
        <f>IF(ISNUMBER(Inputs!$L$5),Inputs!$L$5*Inputs!$L$6,0)</f>
        <v>40.35</v>
      </c>
      <c r="E619" s="5">
        <f>IF(ISNUMBER(Inputs!$L$5),Inputs!$L$5-D619,0)</f>
        <v>40.35</v>
      </c>
      <c r="F619" s="5">
        <f>D$51*'Assumptions and Catalog'!$C$31*C619*(1-'Assumptions and Catalog'!$C$10)^(A619-1)</f>
        <v>0</v>
      </c>
      <c r="G619" s="5">
        <f t="shared" si="44"/>
        <v>0</v>
      </c>
      <c r="H619" s="5">
        <f>I619/('Assumptions and Catalog'!$C$11*'Assumptions and Catalog'!$C$12)</f>
        <v>0</v>
      </c>
      <c r="I619" s="5">
        <f>IF(K$15="Grid cycle",MIN(K$16,D619+E619,P619*'Assumptions and Catalog'!$C$12,D$57*(24-'Assumptions and Catalog'!$C$15),D$56*'Assumptions and Catalog'!$C$15*'Assumptions and Catalog'!$C$11*'Assumptions and Catalog'!$C$12)*C619,0)</f>
        <v>0</v>
      </c>
      <c r="J619" s="5">
        <f t="shared" si="45"/>
        <v>0</v>
      </c>
      <c r="K619" s="5">
        <f t="shared" si="46"/>
        <v>0</v>
      </c>
      <c r="L619" s="5">
        <f>(D619+E619)*C619-G619-I619+H619+IF(D$52&gt;0,'Assumptions and Catalog'!$C$26*C619,0)</f>
        <v>2501.7000000000003</v>
      </c>
      <c r="M619" s="5">
        <f>IF(ISNUMBER(Inputs!$L$5),(IF(Inputs!$L$9="Actual flat rate",((D619+E619)*C619)*Inputs!$L$10,IF(Inputs!$C$9="Residential",IF(((D619+E619)*C619)&lt;='Assumptions and Catalog'!$C$50,((D619+E619)*C619)*'Assumptions and Catalog'!$H$50+'Assumptions and Catalog'!$E$50+'Assumptions and Catalog'!$F$50,IF(((D619+E619)*C619)&lt;='Assumptions and Catalog'!$C$51,((D619+E619)*C619)*'Assumptions and Catalog'!$H$51+'Assumptions and Catalog'!$E$51+'Assumptions and Catalog'!$F$51,IF(((D619+E619)*C619)&lt;='Assumptions and Catalog'!$C$52,((D619+E619)*C619)*'Assumptions and Catalog'!$H$52+'Assumptions and Catalog'!$E$52+'Assumptions and Catalog'!$F$52,IF(((D619+E619)*C619)&lt;='Assumptions and Catalog'!$C$53,((D619+E619)*C619)*'Assumptions and Catalog'!$H$53+'Assumptions and Catalog'!$E$53+'Assumptions and Catalog'!$F$53,IF(((D619+E619)*C619)&lt;='Assumptions and Catalog'!$C$54,((D619+E619)*C619)*'Assumptions and Catalog'!$H$54+'Assumptions and Catalog'!$E$54+'Assumptions and Catalog'!$F$54,IF(((D619+E619)*C619)&lt;='Assumptions and Catalog'!$C$55,((D619+E619)*C619)*'Assumptions and Catalog'!$H$55+'Assumptions and Catalog'!$E$55+'Assumptions and Catalog'!$F$55,IF(((D619+E619)*C619)&lt;='Assumptions and Catalog'!$C$56,((D619+E619)*C619)*'Assumptions and Catalog'!$H$56+'Assumptions and Catalog'!$E$56+'Assumptions and Catalog'!$F$56,IF(((D619+E619)*C619)&lt;='Assumptions and Catalog'!$C$57,((D619+E619)*C619)*'Assumptions and Catalog'!$H$57+'Assumptions and Catalog'!$E$57+'Assumptions and Catalog'!$F$57,"Out of range")))))))),IF(((D619+E619)*C619)&lt;='Assumptions and Catalog'!$C$60,((D619+E619)*C619)*'Assumptions and Catalog'!$H$60+'Assumptions and Catalog'!$E$60+'Assumptions and Catalog'!$F$60,IF(((D619+E619)*C619)&lt;='Assumptions and Catalog'!$C$61,((D619+E619)*C619)*'Assumptions and Catalog'!$H$61+'Assumptions and Catalog'!$E$61+'Assumptions and Catalog'!$F$61,IF(((D619+E619)*C619)&lt;='Assumptions and Catalog'!$C$62,((D619+E619)*C619)*'Assumptions and Catalog'!$H$62+'Assumptions and Catalog'!$E$62+'Assumptions and Catalog'!$F$62,IF(((D619+E619)*C619)&lt;='Assumptions and Catalog'!$C$63,((D619+E619)*C619)*'Assumptions and Catalog'!$H$63+'Assumptions and Catalog'!$E$63+'Assumptions and Catalog'!$F$63,IF(((D619+E619)*C619)&lt;='Assumptions and Catalog'!$C$64,((D619+E619)*C619)*'Assumptions and Catalog'!$H$64+'Assumptions and Catalog'!$E$64+'Assumptions and Catalog'!$F$64,IF(((D619+E619)*C619)&lt;='Assumptions and Catalog'!$C$65,((D619+E619)*C619)*'Assumptions and Catalog'!$H$65+'Assumptions and Catalog'!$E$65+'Assumptions and Catalog'!$F$65,"Out of range")))))))))*(1+'Assumptions and Catalog'!$C$8)^(A619-1),0)</f>
        <v>8554.9666666666672</v>
      </c>
      <c r="N619" s="5">
        <f>IF(ISNUMBER(Inputs!$L$5),(IF(Inputs!$L$9="Actual flat rate",L619*Inputs!$L$10,IF(Inputs!$C$9="Residential",IF(L619&lt;='Assumptions and Catalog'!$C$50,L619*'Assumptions and Catalog'!$H$50+'Assumptions and Catalog'!$E$50+'Assumptions and Catalog'!$F$50,IF(L619&lt;='Assumptions and Catalog'!$C$51,L619*'Assumptions and Catalog'!$H$51+'Assumptions and Catalog'!$E$51+'Assumptions and Catalog'!$F$51,IF(L619&lt;='Assumptions and Catalog'!$C$52,L619*'Assumptions and Catalog'!$H$52+'Assumptions and Catalog'!$E$52+'Assumptions and Catalog'!$F$52,IF(L619&lt;='Assumptions and Catalog'!$C$53,L619*'Assumptions and Catalog'!$H$53+'Assumptions and Catalog'!$E$53+'Assumptions and Catalog'!$F$53,IF(L619&lt;='Assumptions and Catalog'!$C$54,L619*'Assumptions and Catalog'!$H$54+'Assumptions and Catalog'!$E$54+'Assumptions and Catalog'!$F$54,IF(L619&lt;='Assumptions and Catalog'!$C$55,L619*'Assumptions and Catalog'!$H$55+'Assumptions and Catalog'!$E$55+'Assumptions and Catalog'!$F$55,IF(L619&lt;='Assumptions and Catalog'!$C$56,L619*'Assumptions and Catalog'!$H$56+'Assumptions and Catalog'!$E$56+'Assumptions and Catalog'!$F$56,IF(L619&lt;='Assumptions and Catalog'!$C$57,L619*'Assumptions and Catalog'!$H$57+'Assumptions and Catalog'!$E$57+'Assumptions and Catalog'!$F$57,"Out of range")))))))),IF(L619&lt;='Assumptions and Catalog'!$C$60,L619*'Assumptions and Catalog'!$H$60+'Assumptions and Catalog'!$E$60+'Assumptions and Catalog'!$F$60,IF(L619&lt;='Assumptions and Catalog'!$C$61,L619*'Assumptions and Catalog'!$H$61+'Assumptions and Catalog'!$E$61+'Assumptions and Catalog'!$F$61,IF(L619&lt;='Assumptions and Catalog'!$C$62,L619*'Assumptions and Catalog'!$H$62+'Assumptions and Catalog'!$E$62+'Assumptions and Catalog'!$F$62,IF(L619&lt;='Assumptions and Catalog'!$C$63,L619*'Assumptions and Catalog'!$H$63+'Assumptions and Catalog'!$E$63+'Assumptions and Catalog'!$F$63,IF(L619&lt;='Assumptions and Catalog'!$C$64,L619*'Assumptions and Catalog'!$H$64+'Assumptions and Catalog'!$E$64+'Assumptions and Catalog'!$F$64,IF(L619&lt;='Assumptions and Catalog'!$C$65,L619*'Assumptions and Catalog'!$H$65+'Assumptions and Catalog'!$E$65+'Assumptions and Catalog'!$F$65,"Out of range")))))))))*(1+'Assumptions and Catalog'!$C$8)^(A619-1),0)</f>
        <v>8554.9666666666672</v>
      </c>
      <c r="O619" s="5">
        <f t="shared" si="47"/>
        <v>0</v>
      </c>
      <c r="P619" s="5">
        <f>D$55*(1-K$14)*(1-'Assumptions and Catalog'!$C$23)^R619</f>
        <v>0</v>
      </c>
      <c r="Q619" s="5">
        <f>IF(ISNUMBER(Inputs!$L$5),(IF(Inputs!$L$9="Actual flat rate",((D619+E619)*C619-G619)*Inputs!$L$10,IF(Inputs!$C$9="Residential",IF(((D619+E619)*C619-G619)&lt;='Assumptions and Catalog'!$C$50,((D619+E619)*C619-G619)*'Assumptions and Catalog'!$H$50+'Assumptions and Catalog'!$E$50+'Assumptions and Catalog'!$F$50,IF(((D619+E619)*C619-G619)&lt;='Assumptions and Catalog'!$C$51,((D619+E619)*C619-G619)*'Assumptions and Catalog'!$H$51+'Assumptions and Catalog'!$E$51+'Assumptions and Catalog'!$F$51,IF(((D619+E619)*C619-G619)&lt;='Assumptions and Catalog'!$C$52,((D619+E619)*C619-G619)*'Assumptions and Catalog'!$H$52+'Assumptions and Catalog'!$E$52+'Assumptions and Catalog'!$F$52,IF(((D619+E619)*C619-G619)&lt;='Assumptions and Catalog'!$C$53,((D619+E619)*C619-G619)*'Assumptions and Catalog'!$H$53+'Assumptions and Catalog'!$E$53+'Assumptions and Catalog'!$F$53,IF(((D619+E619)*C619-G619)&lt;='Assumptions and Catalog'!$C$54,((D619+E619)*C619-G619)*'Assumptions and Catalog'!$H$54+'Assumptions and Catalog'!$E$54+'Assumptions and Catalog'!$F$54,IF(((D619+E619)*C619-G619)&lt;='Assumptions and Catalog'!$C$55,((D619+E619)*C619-G619)*'Assumptions and Catalog'!$H$55+'Assumptions and Catalog'!$E$55+'Assumptions and Catalog'!$F$55,IF(((D619+E619)*C619-G619)&lt;='Assumptions and Catalog'!$C$56,((D619+E619)*C619-G619)*'Assumptions and Catalog'!$H$56+'Assumptions and Catalog'!$E$56+'Assumptions and Catalog'!$F$56,IF(((D619+E619)*C619-G619)&lt;='Assumptions and Catalog'!$C$57,((D619+E619)*C619-G619)*'Assumptions and Catalog'!$H$57+'Assumptions and Catalog'!$E$57+'Assumptions and Catalog'!$F$57,"Out of range")))))))),IF(((D619+E619)*C619-G619)&lt;='Assumptions and Catalog'!$C$60,((D619+E619)*C619-G619)*'Assumptions and Catalog'!$H$60+'Assumptions and Catalog'!$E$60+'Assumptions and Catalog'!$F$60,IF(((D619+E619)*C619-G619)&lt;='Assumptions and Catalog'!$C$61,((D619+E619)*C619-G619)*'Assumptions and Catalog'!$H$61+'Assumptions and Catalog'!$E$61+'Assumptions and Catalog'!$F$61,IF(((D619+E619)*C619-G619)&lt;='Assumptions and Catalog'!$C$62,((D619+E619)*C619-G619)*'Assumptions and Catalog'!$H$62+'Assumptions and Catalog'!$E$62+'Assumptions and Catalog'!$F$62,IF(((D619+E619)*C619-G619)&lt;='Assumptions and Catalog'!$C$63,((D619+E619)*C619-G619)*'Assumptions and Catalog'!$H$63+'Assumptions and Catalog'!$E$63+'Assumptions and Catalog'!$F$63,IF(((D619+E619)*C619-G619)&lt;='Assumptions and Catalog'!$C$64,((D619+E619)*C619-G619)*'Assumptions and Catalog'!$H$64+'Assumptions and Catalog'!$E$64+'Assumptions and Catalog'!$F$64,IF(((D619+E619)*C619-G619)&lt;='Assumptions and Catalog'!$C$65,((D619+E619)*C619-G619)*'Assumptions and Catalog'!$H$65+'Assumptions and Catalog'!$E$65+'Assumptions and Catalog'!$F$65,"Out of range")))))))))*(1+'Assumptions and Catalog'!$C$8)^(A619-1),0)</f>
        <v>8554.9666666666672</v>
      </c>
      <c r="R619" s="5">
        <f>IF(AND('Assumptions and Catalog'!$C$19&gt;0,A619&gt;='Assumptions and Catalog'!$C$19),A619-'Assumptions and Catalog'!$C$19,A619-1)</f>
        <v>7</v>
      </c>
      <c r="S619" s="5">
        <f>F619+L619-(D619+E619)*C619-J619-K619-IF(D$52&gt;0,'Assumptions and Catalog'!$C$26*C619,0)</f>
        <v>0</v>
      </c>
      <c r="T619" s="5"/>
      <c r="U619" s="5"/>
    </row>
    <row r="620" spans="1:21" ht="23.1" customHeight="1" outlineLevel="1" x14ac:dyDescent="0.2">
      <c r="A620" s="5">
        <v>18</v>
      </c>
      <c r="B620" s="5">
        <v>6</v>
      </c>
      <c r="C620" s="5">
        <f>DAY(DATE('Assumptions and Catalog'!$C$24+A620-1,B620+1,0))</f>
        <v>30</v>
      </c>
      <c r="D620" s="5">
        <f>IF(ISNUMBER(Inputs!$L$5),Inputs!$L$5*Inputs!$L$6,0)</f>
        <v>40.35</v>
      </c>
      <c r="E620" s="5">
        <f>IF(ISNUMBER(Inputs!$L$5),Inputs!$L$5-D620,0)</f>
        <v>40.35</v>
      </c>
      <c r="F620" s="5">
        <f>D$51*'Assumptions and Catalog'!$C$31*C620*(1-'Assumptions and Catalog'!$C$10)^(A620-1)</f>
        <v>0</v>
      </c>
      <c r="G620" s="5">
        <f t="shared" si="44"/>
        <v>0</v>
      </c>
      <c r="H620" s="5">
        <f>I620/('Assumptions and Catalog'!$C$11*'Assumptions and Catalog'!$C$12)</f>
        <v>0</v>
      </c>
      <c r="I620" s="5">
        <f>IF(K$15="Grid cycle",MIN(K$16,D620+E620,P620*'Assumptions and Catalog'!$C$12,D$57*(24-'Assumptions and Catalog'!$C$15),D$56*'Assumptions and Catalog'!$C$15*'Assumptions and Catalog'!$C$11*'Assumptions and Catalog'!$C$12)*C620,0)</f>
        <v>0</v>
      </c>
      <c r="J620" s="5">
        <f t="shared" si="45"/>
        <v>0</v>
      </c>
      <c r="K620" s="5">
        <f t="shared" si="46"/>
        <v>0</v>
      </c>
      <c r="L620" s="5">
        <f>(D620+E620)*C620-G620-I620+H620+IF(D$52&gt;0,'Assumptions and Catalog'!$C$26*C620,0)</f>
        <v>2421</v>
      </c>
      <c r="M620" s="5">
        <f>IF(ISNUMBER(Inputs!$L$5),(IF(Inputs!$L$9="Actual flat rate",((D620+E620)*C620)*Inputs!$L$10,IF(Inputs!$C$9="Residential",IF(((D620+E620)*C620)&lt;='Assumptions and Catalog'!$C$50,((D620+E620)*C620)*'Assumptions and Catalog'!$H$50+'Assumptions and Catalog'!$E$50+'Assumptions and Catalog'!$F$50,IF(((D620+E620)*C620)&lt;='Assumptions and Catalog'!$C$51,((D620+E620)*C620)*'Assumptions and Catalog'!$H$51+'Assumptions and Catalog'!$E$51+'Assumptions and Catalog'!$F$51,IF(((D620+E620)*C620)&lt;='Assumptions and Catalog'!$C$52,((D620+E620)*C620)*'Assumptions and Catalog'!$H$52+'Assumptions and Catalog'!$E$52+'Assumptions and Catalog'!$F$52,IF(((D620+E620)*C620)&lt;='Assumptions and Catalog'!$C$53,((D620+E620)*C620)*'Assumptions and Catalog'!$H$53+'Assumptions and Catalog'!$E$53+'Assumptions and Catalog'!$F$53,IF(((D620+E620)*C620)&lt;='Assumptions and Catalog'!$C$54,((D620+E620)*C620)*'Assumptions and Catalog'!$H$54+'Assumptions and Catalog'!$E$54+'Assumptions and Catalog'!$F$54,IF(((D620+E620)*C620)&lt;='Assumptions and Catalog'!$C$55,((D620+E620)*C620)*'Assumptions and Catalog'!$H$55+'Assumptions and Catalog'!$E$55+'Assumptions and Catalog'!$F$55,IF(((D620+E620)*C620)&lt;='Assumptions and Catalog'!$C$56,((D620+E620)*C620)*'Assumptions and Catalog'!$H$56+'Assumptions and Catalog'!$E$56+'Assumptions and Catalog'!$F$56,IF(((D620+E620)*C620)&lt;='Assumptions and Catalog'!$C$57,((D620+E620)*C620)*'Assumptions and Catalog'!$H$57+'Assumptions and Catalog'!$E$57+'Assumptions and Catalog'!$F$57,"Out of range")))))))),IF(((D620+E620)*C620)&lt;='Assumptions and Catalog'!$C$60,((D620+E620)*C620)*'Assumptions and Catalog'!$H$60+'Assumptions and Catalog'!$E$60+'Assumptions and Catalog'!$F$60,IF(((D620+E620)*C620)&lt;='Assumptions and Catalog'!$C$61,((D620+E620)*C620)*'Assumptions and Catalog'!$H$61+'Assumptions and Catalog'!$E$61+'Assumptions and Catalog'!$F$61,IF(((D620+E620)*C620)&lt;='Assumptions and Catalog'!$C$62,((D620+E620)*C620)*'Assumptions and Catalog'!$H$62+'Assumptions and Catalog'!$E$62+'Assumptions and Catalog'!$F$62,IF(((D620+E620)*C620)&lt;='Assumptions and Catalog'!$C$63,((D620+E620)*C620)*'Assumptions and Catalog'!$H$63+'Assumptions and Catalog'!$E$63+'Assumptions and Catalog'!$F$63,IF(((D620+E620)*C620)&lt;='Assumptions and Catalog'!$C$64,((D620+E620)*C620)*'Assumptions and Catalog'!$H$64+'Assumptions and Catalog'!$E$64+'Assumptions and Catalog'!$F$64,IF(((D620+E620)*C620)&lt;='Assumptions and Catalog'!$C$65,((D620+E620)*C620)*'Assumptions and Catalog'!$H$65+'Assumptions and Catalog'!$E$65+'Assumptions and Catalog'!$F$65,"Out of range")))))))))*(1+'Assumptions and Catalog'!$C$8)^(A620-1),0)</f>
        <v>8279</v>
      </c>
      <c r="N620" s="5">
        <f>IF(ISNUMBER(Inputs!$L$5),(IF(Inputs!$L$9="Actual flat rate",L620*Inputs!$L$10,IF(Inputs!$C$9="Residential",IF(L620&lt;='Assumptions and Catalog'!$C$50,L620*'Assumptions and Catalog'!$H$50+'Assumptions and Catalog'!$E$50+'Assumptions and Catalog'!$F$50,IF(L620&lt;='Assumptions and Catalog'!$C$51,L620*'Assumptions and Catalog'!$H$51+'Assumptions and Catalog'!$E$51+'Assumptions and Catalog'!$F$51,IF(L620&lt;='Assumptions and Catalog'!$C$52,L620*'Assumptions and Catalog'!$H$52+'Assumptions and Catalog'!$E$52+'Assumptions and Catalog'!$F$52,IF(L620&lt;='Assumptions and Catalog'!$C$53,L620*'Assumptions and Catalog'!$H$53+'Assumptions and Catalog'!$E$53+'Assumptions and Catalog'!$F$53,IF(L620&lt;='Assumptions and Catalog'!$C$54,L620*'Assumptions and Catalog'!$H$54+'Assumptions and Catalog'!$E$54+'Assumptions and Catalog'!$F$54,IF(L620&lt;='Assumptions and Catalog'!$C$55,L620*'Assumptions and Catalog'!$H$55+'Assumptions and Catalog'!$E$55+'Assumptions and Catalog'!$F$55,IF(L620&lt;='Assumptions and Catalog'!$C$56,L620*'Assumptions and Catalog'!$H$56+'Assumptions and Catalog'!$E$56+'Assumptions and Catalog'!$F$56,IF(L620&lt;='Assumptions and Catalog'!$C$57,L620*'Assumptions and Catalog'!$H$57+'Assumptions and Catalog'!$E$57+'Assumptions and Catalog'!$F$57,"Out of range")))))))),IF(L620&lt;='Assumptions and Catalog'!$C$60,L620*'Assumptions and Catalog'!$H$60+'Assumptions and Catalog'!$E$60+'Assumptions and Catalog'!$F$60,IF(L620&lt;='Assumptions and Catalog'!$C$61,L620*'Assumptions and Catalog'!$H$61+'Assumptions and Catalog'!$E$61+'Assumptions and Catalog'!$F$61,IF(L620&lt;='Assumptions and Catalog'!$C$62,L620*'Assumptions and Catalog'!$H$62+'Assumptions and Catalog'!$E$62+'Assumptions and Catalog'!$F$62,IF(L620&lt;='Assumptions and Catalog'!$C$63,L620*'Assumptions and Catalog'!$H$63+'Assumptions and Catalog'!$E$63+'Assumptions and Catalog'!$F$63,IF(L620&lt;='Assumptions and Catalog'!$C$64,L620*'Assumptions and Catalog'!$H$64+'Assumptions and Catalog'!$E$64+'Assumptions and Catalog'!$F$64,IF(L620&lt;='Assumptions and Catalog'!$C$65,L620*'Assumptions and Catalog'!$H$65+'Assumptions and Catalog'!$E$65+'Assumptions and Catalog'!$F$65,"Out of range")))))))))*(1+'Assumptions and Catalog'!$C$8)^(A620-1),0)</f>
        <v>8279</v>
      </c>
      <c r="O620" s="5">
        <f t="shared" si="47"/>
        <v>0</v>
      </c>
      <c r="P620" s="5">
        <f>D$55*(1-K$14)*(1-'Assumptions and Catalog'!$C$23)^R620</f>
        <v>0</v>
      </c>
      <c r="Q620" s="5">
        <f>IF(ISNUMBER(Inputs!$L$5),(IF(Inputs!$L$9="Actual flat rate",((D620+E620)*C620-G620)*Inputs!$L$10,IF(Inputs!$C$9="Residential",IF(((D620+E620)*C620-G620)&lt;='Assumptions and Catalog'!$C$50,((D620+E620)*C620-G620)*'Assumptions and Catalog'!$H$50+'Assumptions and Catalog'!$E$50+'Assumptions and Catalog'!$F$50,IF(((D620+E620)*C620-G620)&lt;='Assumptions and Catalog'!$C$51,((D620+E620)*C620-G620)*'Assumptions and Catalog'!$H$51+'Assumptions and Catalog'!$E$51+'Assumptions and Catalog'!$F$51,IF(((D620+E620)*C620-G620)&lt;='Assumptions and Catalog'!$C$52,((D620+E620)*C620-G620)*'Assumptions and Catalog'!$H$52+'Assumptions and Catalog'!$E$52+'Assumptions and Catalog'!$F$52,IF(((D620+E620)*C620-G620)&lt;='Assumptions and Catalog'!$C$53,((D620+E620)*C620-G620)*'Assumptions and Catalog'!$H$53+'Assumptions and Catalog'!$E$53+'Assumptions and Catalog'!$F$53,IF(((D620+E620)*C620-G620)&lt;='Assumptions and Catalog'!$C$54,((D620+E620)*C620-G620)*'Assumptions and Catalog'!$H$54+'Assumptions and Catalog'!$E$54+'Assumptions and Catalog'!$F$54,IF(((D620+E620)*C620-G620)&lt;='Assumptions and Catalog'!$C$55,((D620+E620)*C620-G620)*'Assumptions and Catalog'!$H$55+'Assumptions and Catalog'!$E$55+'Assumptions and Catalog'!$F$55,IF(((D620+E620)*C620-G620)&lt;='Assumptions and Catalog'!$C$56,((D620+E620)*C620-G620)*'Assumptions and Catalog'!$H$56+'Assumptions and Catalog'!$E$56+'Assumptions and Catalog'!$F$56,IF(((D620+E620)*C620-G620)&lt;='Assumptions and Catalog'!$C$57,((D620+E620)*C620-G620)*'Assumptions and Catalog'!$H$57+'Assumptions and Catalog'!$E$57+'Assumptions and Catalog'!$F$57,"Out of range")))))))),IF(((D620+E620)*C620-G620)&lt;='Assumptions and Catalog'!$C$60,((D620+E620)*C620-G620)*'Assumptions and Catalog'!$H$60+'Assumptions and Catalog'!$E$60+'Assumptions and Catalog'!$F$60,IF(((D620+E620)*C620-G620)&lt;='Assumptions and Catalog'!$C$61,((D620+E620)*C620-G620)*'Assumptions and Catalog'!$H$61+'Assumptions and Catalog'!$E$61+'Assumptions and Catalog'!$F$61,IF(((D620+E620)*C620-G620)&lt;='Assumptions and Catalog'!$C$62,((D620+E620)*C620-G620)*'Assumptions and Catalog'!$H$62+'Assumptions and Catalog'!$E$62+'Assumptions and Catalog'!$F$62,IF(((D620+E620)*C620-G620)&lt;='Assumptions and Catalog'!$C$63,((D620+E620)*C620-G620)*'Assumptions and Catalog'!$H$63+'Assumptions and Catalog'!$E$63+'Assumptions and Catalog'!$F$63,IF(((D620+E620)*C620-G620)&lt;='Assumptions and Catalog'!$C$64,((D620+E620)*C620-G620)*'Assumptions and Catalog'!$H$64+'Assumptions and Catalog'!$E$64+'Assumptions and Catalog'!$F$64,IF(((D620+E620)*C620-G620)&lt;='Assumptions and Catalog'!$C$65,((D620+E620)*C620-G620)*'Assumptions and Catalog'!$H$65+'Assumptions and Catalog'!$E$65+'Assumptions and Catalog'!$F$65,"Out of range")))))))))*(1+'Assumptions and Catalog'!$C$8)^(A620-1),0)</f>
        <v>8279</v>
      </c>
      <c r="R620" s="5">
        <f>IF(AND('Assumptions and Catalog'!$C$19&gt;0,A620&gt;='Assumptions and Catalog'!$C$19),A620-'Assumptions and Catalog'!$C$19,A620-1)</f>
        <v>7</v>
      </c>
      <c r="S620" s="5">
        <f>F620+L620-(D620+E620)*C620-J620-K620-IF(D$52&gt;0,'Assumptions and Catalog'!$C$26*C620,0)</f>
        <v>0</v>
      </c>
      <c r="T620" s="5"/>
      <c r="U620" s="5"/>
    </row>
    <row r="621" spans="1:21" ht="23.1" customHeight="1" outlineLevel="1" x14ac:dyDescent="0.2">
      <c r="A621" s="5">
        <v>18</v>
      </c>
      <c r="B621" s="5">
        <v>7</v>
      </c>
      <c r="C621" s="5">
        <f>DAY(DATE('Assumptions and Catalog'!$C$24+A621-1,B621+1,0))</f>
        <v>31</v>
      </c>
      <c r="D621" s="5">
        <f>IF(ISNUMBER(Inputs!$L$5),Inputs!$L$5*Inputs!$L$6,0)</f>
        <v>40.35</v>
      </c>
      <c r="E621" s="5">
        <f>IF(ISNUMBER(Inputs!$L$5),Inputs!$L$5-D621,0)</f>
        <v>40.35</v>
      </c>
      <c r="F621" s="5">
        <f>D$51*'Assumptions and Catalog'!$C$31*C621*(1-'Assumptions and Catalog'!$C$10)^(A621-1)</f>
        <v>0</v>
      </c>
      <c r="G621" s="5">
        <f t="shared" si="44"/>
        <v>0</v>
      </c>
      <c r="H621" s="5">
        <f>I621/('Assumptions and Catalog'!$C$11*'Assumptions and Catalog'!$C$12)</f>
        <v>0</v>
      </c>
      <c r="I621" s="5">
        <f>IF(K$15="Grid cycle",MIN(K$16,D621+E621,P621*'Assumptions and Catalog'!$C$12,D$57*(24-'Assumptions and Catalog'!$C$15),D$56*'Assumptions and Catalog'!$C$15*'Assumptions and Catalog'!$C$11*'Assumptions and Catalog'!$C$12)*C621,0)</f>
        <v>0</v>
      </c>
      <c r="J621" s="5">
        <f t="shared" si="45"/>
        <v>0</v>
      </c>
      <c r="K621" s="5">
        <f t="shared" si="46"/>
        <v>0</v>
      </c>
      <c r="L621" s="5">
        <f>(D621+E621)*C621-G621-I621+H621+IF(D$52&gt;0,'Assumptions and Catalog'!$C$26*C621,0)</f>
        <v>2501.7000000000003</v>
      </c>
      <c r="M621" s="5">
        <f>IF(ISNUMBER(Inputs!$L$5),(IF(Inputs!$L$9="Actual flat rate",((D621+E621)*C621)*Inputs!$L$10,IF(Inputs!$C$9="Residential",IF(((D621+E621)*C621)&lt;='Assumptions and Catalog'!$C$50,((D621+E621)*C621)*'Assumptions and Catalog'!$H$50+'Assumptions and Catalog'!$E$50+'Assumptions and Catalog'!$F$50,IF(((D621+E621)*C621)&lt;='Assumptions and Catalog'!$C$51,((D621+E621)*C621)*'Assumptions and Catalog'!$H$51+'Assumptions and Catalog'!$E$51+'Assumptions and Catalog'!$F$51,IF(((D621+E621)*C621)&lt;='Assumptions and Catalog'!$C$52,((D621+E621)*C621)*'Assumptions and Catalog'!$H$52+'Assumptions and Catalog'!$E$52+'Assumptions and Catalog'!$F$52,IF(((D621+E621)*C621)&lt;='Assumptions and Catalog'!$C$53,((D621+E621)*C621)*'Assumptions and Catalog'!$H$53+'Assumptions and Catalog'!$E$53+'Assumptions and Catalog'!$F$53,IF(((D621+E621)*C621)&lt;='Assumptions and Catalog'!$C$54,((D621+E621)*C621)*'Assumptions and Catalog'!$H$54+'Assumptions and Catalog'!$E$54+'Assumptions and Catalog'!$F$54,IF(((D621+E621)*C621)&lt;='Assumptions and Catalog'!$C$55,((D621+E621)*C621)*'Assumptions and Catalog'!$H$55+'Assumptions and Catalog'!$E$55+'Assumptions and Catalog'!$F$55,IF(((D621+E621)*C621)&lt;='Assumptions and Catalog'!$C$56,((D621+E621)*C621)*'Assumptions and Catalog'!$H$56+'Assumptions and Catalog'!$E$56+'Assumptions and Catalog'!$F$56,IF(((D621+E621)*C621)&lt;='Assumptions and Catalog'!$C$57,((D621+E621)*C621)*'Assumptions and Catalog'!$H$57+'Assumptions and Catalog'!$E$57+'Assumptions and Catalog'!$F$57,"Out of range")))))))),IF(((D621+E621)*C621)&lt;='Assumptions and Catalog'!$C$60,((D621+E621)*C621)*'Assumptions and Catalog'!$H$60+'Assumptions and Catalog'!$E$60+'Assumptions and Catalog'!$F$60,IF(((D621+E621)*C621)&lt;='Assumptions and Catalog'!$C$61,((D621+E621)*C621)*'Assumptions and Catalog'!$H$61+'Assumptions and Catalog'!$E$61+'Assumptions and Catalog'!$F$61,IF(((D621+E621)*C621)&lt;='Assumptions and Catalog'!$C$62,((D621+E621)*C621)*'Assumptions and Catalog'!$H$62+'Assumptions and Catalog'!$E$62+'Assumptions and Catalog'!$F$62,IF(((D621+E621)*C621)&lt;='Assumptions and Catalog'!$C$63,((D621+E621)*C621)*'Assumptions and Catalog'!$H$63+'Assumptions and Catalog'!$E$63+'Assumptions and Catalog'!$F$63,IF(((D621+E621)*C621)&lt;='Assumptions and Catalog'!$C$64,((D621+E621)*C621)*'Assumptions and Catalog'!$H$64+'Assumptions and Catalog'!$E$64+'Assumptions and Catalog'!$F$64,IF(((D621+E621)*C621)&lt;='Assumptions and Catalog'!$C$65,((D621+E621)*C621)*'Assumptions and Catalog'!$H$65+'Assumptions and Catalog'!$E$65+'Assumptions and Catalog'!$F$65,"Out of range")))))))))*(1+'Assumptions and Catalog'!$C$8)^(A621-1),0)</f>
        <v>8554.9666666666672</v>
      </c>
      <c r="N621" s="5">
        <f>IF(ISNUMBER(Inputs!$L$5),(IF(Inputs!$L$9="Actual flat rate",L621*Inputs!$L$10,IF(Inputs!$C$9="Residential",IF(L621&lt;='Assumptions and Catalog'!$C$50,L621*'Assumptions and Catalog'!$H$50+'Assumptions and Catalog'!$E$50+'Assumptions and Catalog'!$F$50,IF(L621&lt;='Assumptions and Catalog'!$C$51,L621*'Assumptions and Catalog'!$H$51+'Assumptions and Catalog'!$E$51+'Assumptions and Catalog'!$F$51,IF(L621&lt;='Assumptions and Catalog'!$C$52,L621*'Assumptions and Catalog'!$H$52+'Assumptions and Catalog'!$E$52+'Assumptions and Catalog'!$F$52,IF(L621&lt;='Assumptions and Catalog'!$C$53,L621*'Assumptions and Catalog'!$H$53+'Assumptions and Catalog'!$E$53+'Assumptions and Catalog'!$F$53,IF(L621&lt;='Assumptions and Catalog'!$C$54,L621*'Assumptions and Catalog'!$H$54+'Assumptions and Catalog'!$E$54+'Assumptions and Catalog'!$F$54,IF(L621&lt;='Assumptions and Catalog'!$C$55,L621*'Assumptions and Catalog'!$H$55+'Assumptions and Catalog'!$E$55+'Assumptions and Catalog'!$F$55,IF(L621&lt;='Assumptions and Catalog'!$C$56,L621*'Assumptions and Catalog'!$H$56+'Assumptions and Catalog'!$E$56+'Assumptions and Catalog'!$F$56,IF(L621&lt;='Assumptions and Catalog'!$C$57,L621*'Assumptions and Catalog'!$H$57+'Assumptions and Catalog'!$E$57+'Assumptions and Catalog'!$F$57,"Out of range")))))))),IF(L621&lt;='Assumptions and Catalog'!$C$60,L621*'Assumptions and Catalog'!$H$60+'Assumptions and Catalog'!$E$60+'Assumptions and Catalog'!$F$60,IF(L621&lt;='Assumptions and Catalog'!$C$61,L621*'Assumptions and Catalog'!$H$61+'Assumptions and Catalog'!$E$61+'Assumptions and Catalog'!$F$61,IF(L621&lt;='Assumptions and Catalog'!$C$62,L621*'Assumptions and Catalog'!$H$62+'Assumptions and Catalog'!$E$62+'Assumptions and Catalog'!$F$62,IF(L621&lt;='Assumptions and Catalog'!$C$63,L621*'Assumptions and Catalog'!$H$63+'Assumptions and Catalog'!$E$63+'Assumptions and Catalog'!$F$63,IF(L621&lt;='Assumptions and Catalog'!$C$64,L621*'Assumptions and Catalog'!$H$64+'Assumptions and Catalog'!$E$64+'Assumptions and Catalog'!$F$64,IF(L621&lt;='Assumptions and Catalog'!$C$65,L621*'Assumptions and Catalog'!$H$65+'Assumptions and Catalog'!$E$65+'Assumptions and Catalog'!$F$65,"Out of range")))))))))*(1+'Assumptions and Catalog'!$C$8)^(A621-1),0)</f>
        <v>8554.9666666666672</v>
      </c>
      <c r="O621" s="5">
        <f t="shared" si="47"/>
        <v>0</v>
      </c>
      <c r="P621" s="5">
        <f>D$55*(1-K$14)*(1-'Assumptions and Catalog'!$C$23)^R621</f>
        <v>0</v>
      </c>
      <c r="Q621" s="5">
        <f>IF(ISNUMBER(Inputs!$L$5),(IF(Inputs!$L$9="Actual flat rate",((D621+E621)*C621-G621)*Inputs!$L$10,IF(Inputs!$C$9="Residential",IF(((D621+E621)*C621-G621)&lt;='Assumptions and Catalog'!$C$50,((D621+E621)*C621-G621)*'Assumptions and Catalog'!$H$50+'Assumptions and Catalog'!$E$50+'Assumptions and Catalog'!$F$50,IF(((D621+E621)*C621-G621)&lt;='Assumptions and Catalog'!$C$51,((D621+E621)*C621-G621)*'Assumptions and Catalog'!$H$51+'Assumptions and Catalog'!$E$51+'Assumptions and Catalog'!$F$51,IF(((D621+E621)*C621-G621)&lt;='Assumptions and Catalog'!$C$52,((D621+E621)*C621-G621)*'Assumptions and Catalog'!$H$52+'Assumptions and Catalog'!$E$52+'Assumptions and Catalog'!$F$52,IF(((D621+E621)*C621-G621)&lt;='Assumptions and Catalog'!$C$53,((D621+E621)*C621-G621)*'Assumptions and Catalog'!$H$53+'Assumptions and Catalog'!$E$53+'Assumptions and Catalog'!$F$53,IF(((D621+E621)*C621-G621)&lt;='Assumptions and Catalog'!$C$54,((D621+E621)*C621-G621)*'Assumptions and Catalog'!$H$54+'Assumptions and Catalog'!$E$54+'Assumptions and Catalog'!$F$54,IF(((D621+E621)*C621-G621)&lt;='Assumptions and Catalog'!$C$55,((D621+E621)*C621-G621)*'Assumptions and Catalog'!$H$55+'Assumptions and Catalog'!$E$55+'Assumptions and Catalog'!$F$55,IF(((D621+E621)*C621-G621)&lt;='Assumptions and Catalog'!$C$56,((D621+E621)*C621-G621)*'Assumptions and Catalog'!$H$56+'Assumptions and Catalog'!$E$56+'Assumptions and Catalog'!$F$56,IF(((D621+E621)*C621-G621)&lt;='Assumptions and Catalog'!$C$57,((D621+E621)*C621-G621)*'Assumptions and Catalog'!$H$57+'Assumptions and Catalog'!$E$57+'Assumptions and Catalog'!$F$57,"Out of range")))))))),IF(((D621+E621)*C621-G621)&lt;='Assumptions and Catalog'!$C$60,((D621+E621)*C621-G621)*'Assumptions and Catalog'!$H$60+'Assumptions and Catalog'!$E$60+'Assumptions and Catalog'!$F$60,IF(((D621+E621)*C621-G621)&lt;='Assumptions and Catalog'!$C$61,((D621+E621)*C621-G621)*'Assumptions and Catalog'!$H$61+'Assumptions and Catalog'!$E$61+'Assumptions and Catalog'!$F$61,IF(((D621+E621)*C621-G621)&lt;='Assumptions and Catalog'!$C$62,((D621+E621)*C621-G621)*'Assumptions and Catalog'!$H$62+'Assumptions and Catalog'!$E$62+'Assumptions and Catalog'!$F$62,IF(((D621+E621)*C621-G621)&lt;='Assumptions and Catalog'!$C$63,((D621+E621)*C621-G621)*'Assumptions and Catalog'!$H$63+'Assumptions and Catalog'!$E$63+'Assumptions and Catalog'!$F$63,IF(((D621+E621)*C621-G621)&lt;='Assumptions and Catalog'!$C$64,((D621+E621)*C621-G621)*'Assumptions and Catalog'!$H$64+'Assumptions and Catalog'!$E$64+'Assumptions and Catalog'!$F$64,IF(((D621+E621)*C621-G621)&lt;='Assumptions and Catalog'!$C$65,((D621+E621)*C621-G621)*'Assumptions and Catalog'!$H$65+'Assumptions and Catalog'!$E$65+'Assumptions and Catalog'!$F$65,"Out of range")))))))))*(1+'Assumptions and Catalog'!$C$8)^(A621-1),0)</f>
        <v>8554.9666666666672</v>
      </c>
      <c r="R621" s="5">
        <f>IF(AND('Assumptions and Catalog'!$C$19&gt;0,A621&gt;='Assumptions and Catalog'!$C$19),A621-'Assumptions and Catalog'!$C$19,A621-1)</f>
        <v>7</v>
      </c>
      <c r="S621" s="5">
        <f>F621+L621-(D621+E621)*C621-J621-K621-IF(D$52&gt;0,'Assumptions and Catalog'!$C$26*C621,0)</f>
        <v>0</v>
      </c>
      <c r="T621" s="5"/>
      <c r="U621" s="5"/>
    </row>
    <row r="622" spans="1:21" ht="23.1" customHeight="1" outlineLevel="1" x14ac:dyDescent="0.2">
      <c r="A622" s="5">
        <v>18</v>
      </c>
      <c r="B622" s="5">
        <v>8</v>
      </c>
      <c r="C622" s="5">
        <f>DAY(DATE('Assumptions and Catalog'!$C$24+A622-1,B622+1,0))</f>
        <v>31</v>
      </c>
      <c r="D622" s="5">
        <f>IF(ISNUMBER(Inputs!$L$5),Inputs!$L$5*Inputs!$L$6,0)</f>
        <v>40.35</v>
      </c>
      <c r="E622" s="5">
        <f>IF(ISNUMBER(Inputs!$L$5),Inputs!$L$5-D622,0)</f>
        <v>40.35</v>
      </c>
      <c r="F622" s="5">
        <f>D$51*'Assumptions and Catalog'!$C$31*C622*(1-'Assumptions and Catalog'!$C$10)^(A622-1)</f>
        <v>0</v>
      </c>
      <c r="G622" s="5">
        <f t="shared" si="44"/>
        <v>0</v>
      </c>
      <c r="H622" s="5">
        <f>I622/('Assumptions and Catalog'!$C$11*'Assumptions and Catalog'!$C$12)</f>
        <v>0</v>
      </c>
      <c r="I622" s="5">
        <f>IF(K$15="Grid cycle",MIN(K$16,D622+E622,P622*'Assumptions and Catalog'!$C$12,D$57*(24-'Assumptions and Catalog'!$C$15),D$56*'Assumptions and Catalog'!$C$15*'Assumptions and Catalog'!$C$11*'Assumptions and Catalog'!$C$12)*C622,0)</f>
        <v>0</v>
      </c>
      <c r="J622" s="5">
        <f t="shared" si="45"/>
        <v>0</v>
      </c>
      <c r="K622" s="5">
        <f t="shared" si="46"/>
        <v>0</v>
      </c>
      <c r="L622" s="5">
        <f>(D622+E622)*C622-G622-I622+H622+IF(D$52&gt;0,'Assumptions and Catalog'!$C$26*C622,0)</f>
        <v>2501.7000000000003</v>
      </c>
      <c r="M622" s="5">
        <f>IF(ISNUMBER(Inputs!$L$5),(IF(Inputs!$L$9="Actual flat rate",((D622+E622)*C622)*Inputs!$L$10,IF(Inputs!$C$9="Residential",IF(((D622+E622)*C622)&lt;='Assumptions and Catalog'!$C$50,((D622+E622)*C622)*'Assumptions and Catalog'!$H$50+'Assumptions and Catalog'!$E$50+'Assumptions and Catalog'!$F$50,IF(((D622+E622)*C622)&lt;='Assumptions and Catalog'!$C$51,((D622+E622)*C622)*'Assumptions and Catalog'!$H$51+'Assumptions and Catalog'!$E$51+'Assumptions and Catalog'!$F$51,IF(((D622+E622)*C622)&lt;='Assumptions and Catalog'!$C$52,((D622+E622)*C622)*'Assumptions and Catalog'!$H$52+'Assumptions and Catalog'!$E$52+'Assumptions and Catalog'!$F$52,IF(((D622+E622)*C622)&lt;='Assumptions and Catalog'!$C$53,((D622+E622)*C622)*'Assumptions and Catalog'!$H$53+'Assumptions and Catalog'!$E$53+'Assumptions and Catalog'!$F$53,IF(((D622+E622)*C622)&lt;='Assumptions and Catalog'!$C$54,((D622+E622)*C622)*'Assumptions and Catalog'!$H$54+'Assumptions and Catalog'!$E$54+'Assumptions and Catalog'!$F$54,IF(((D622+E622)*C622)&lt;='Assumptions and Catalog'!$C$55,((D622+E622)*C622)*'Assumptions and Catalog'!$H$55+'Assumptions and Catalog'!$E$55+'Assumptions and Catalog'!$F$55,IF(((D622+E622)*C622)&lt;='Assumptions and Catalog'!$C$56,((D622+E622)*C622)*'Assumptions and Catalog'!$H$56+'Assumptions and Catalog'!$E$56+'Assumptions and Catalog'!$F$56,IF(((D622+E622)*C622)&lt;='Assumptions and Catalog'!$C$57,((D622+E622)*C622)*'Assumptions and Catalog'!$H$57+'Assumptions and Catalog'!$E$57+'Assumptions and Catalog'!$F$57,"Out of range")))))))),IF(((D622+E622)*C622)&lt;='Assumptions and Catalog'!$C$60,((D622+E622)*C622)*'Assumptions and Catalog'!$H$60+'Assumptions and Catalog'!$E$60+'Assumptions and Catalog'!$F$60,IF(((D622+E622)*C622)&lt;='Assumptions and Catalog'!$C$61,((D622+E622)*C622)*'Assumptions and Catalog'!$H$61+'Assumptions and Catalog'!$E$61+'Assumptions and Catalog'!$F$61,IF(((D622+E622)*C622)&lt;='Assumptions and Catalog'!$C$62,((D622+E622)*C622)*'Assumptions and Catalog'!$H$62+'Assumptions and Catalog'!$E$62+'Assumptions and Catalog'!$F$62,IF(((D622+E622)*C622)&lt;='Assumptions and Catalog'!$C$63,((D622+E622)*C622)*'Assumptions and Catalog'!$H$63+'Assumptions and Catalog'!$E$63+'Assumptions and Catalog'!$F$63,IF(((D622+E622)*C622)&lt;='Assumptions and Catalog'!$C$64,((D622+E622)*C622)*'Assumptions and Catalog'!$H$64+'Assumptions and Catalog'!$E$64+'Assumptions and Catalog'!$F$64,IF(((D622+E622)*C622)&lt;='Assumptions and Catalog'!$C$65,((D622+E622)*C622)*'Assumptions and Catalog'!$H$65+'Assumptions and Catalog'!$E$65+'Assumptions and Catalog'!$F$65,"Out of range")))))))))*(1+'Assumptions and Catalog'!$C$8)^(A622-1),0)</f>
        <v>8554.9666666666672</v>
      </c>
      <c r="N622" s="5">
        <f>IF(ISNUMBER(Inputs!$L$5),(IF(Inputs!$L$9="Actual flat rate",L622*Inputs!$L$10,IF(Inputs!$C$9="Residential",IF(L622&lt;='Assumptions and Catalog'!$C$50,L622*'Assumptions and Catalog'!$H$50+'Assumptions and Catalog'!$E$50+'Assumptions and Catalog'!$F$50,IF(L622&lt;='Assumptions and Catalog'!$C$51,L622*'Assumptions and Catalog'!$H$51+'Assumptions and Catalog'!$E$51+'Assumptions and Catalog'!$F$51,IF(L622&lt;='Assumptions and Catalog'!$C$52,L622*'Assumptions and Catalog'!$H$52+'Assumptions and Catalog'!$E$52+'Assumptions and Catalog'!$F$52,IF(L622&lt;='Assumptions and Catalog'!$C$53,L622*'Assumptions and Catalog'!$H$53+'Assumptions and Catalog'!$E$53+'Assumptions and Catalog'!$F$53,IF(L622&lt;='Assumptions and Catalog'!$C$54,L622*'Assumptions and Catalog'!$H$54+'Assumptions and Catalog'!$E$54+'Assumptions and Catalog'!$F$54,IF(L622&lt;='Assumptions and Catalog'!$C$55,L622*'Assumptions and Catalog'!$H$55+'Assumptions and Catalog'!$E$55+'Assumptions and Catalog'!$F$55,IF(L622&lt;='Assumptions and Catalog'!$C$56,L622*'Assumptions and Catalog'!$H$56+'Assumptions and Catalog'!$E$56+'Assumptions and Catalog'!$F$56,IF(L622&lt;='Assumptions and Catalog'!$C$57,L622*'Assumptions and Catalog'!$H$57+'Assumptions and Catalog'!$E$57+'Assumptions and Catalog'!$F$57,"Out of range")))))))),IF(L622&lt;='Assumptions and Catalog'!$C$60,L622*'Assumptions and Catalog'!$H$60+'Assumptions and Catalog'!$E$60+'Assumptions and Catalog'!$F$60,IF(L622&lt;='Assumptions and Catalog'!$C$61,L622*'Assumptions and Catalog'!$H$61+'Assumptions and Catalog'!$E$61+'Assumptions and Catalog'!$F$61,IF(L622&lt;='Assumptions and Catalog'!$C$62,L622*'Assumptions and Catalog'!$H$62+'Assumptions and Catalog'!$E$62+'Assumptions and Catalog'!$F$62,IF(L622&lt;='Assumptions and Catalog'!$C$63,L622*'Assumptions and Catalog'!$H$63+'Assumptions and Catalog'!$E$63+'Assumptions and Catalog'!$F$63,IF(L622&lt;='Assumptions and Catalog'!$C$64,L622*'Assumptions and Catalog'!$H$64+'Assumptions and Catalog'!$E$64+'Assumptions and Catalog'!$F$64,IF(L622&lt;='Assumptions and Catalog'!$C$65,L622*'Assumptions and Catalog'!$H$65+'Assumptions and Catalog'!$E$65+'Assumptions and Catalog'!$F$65,"Out of range")))))))))*(1+'Assumptions and Catalog'!$C$8)^(A622-1),0)</f>
        <v>8554.9666666666672</v>
      </c>
      <c r="O622" s="5">
        <f t="shared" si="47"/>
        <v>0</v>
      </c>
      <c r="P622" s="5">
        <f>D$55*(1-K$14)*(1-'Assumptions and Catalog'!$C$23)^R622</f>
        <v>0</v>
      </c>
      <c r="Q622" s="5">
        <f>IF(ISNUMBER(Inputs!$L$5),(IF(Inputs!$L$9="Actual flat rate",((D622+E622)*C622-G622)*Inputs!$L$10,IF(Inputs!$C$9="Residential",IF(((D622+E622)*C622-G622)&lt;='Assumptions and Catalog'!$C$50,((D622+E622)*C622-G622)*'Assumptions and Catalog'!$H$50+'Assumptions and Catalog'!$E$50+'Assumptions and Catalog'!$F$50,IF(((D622+E622)*C622-G622)&lt;='Assumptions and Catalog'!$C$51,((D622+E622)*C622-G622)*'Assumptions and Catalog'!$H$51+'Assumptions and Catalog'!$E$51+'Assumptions and Catalog'!$F$51,IF(((D622+E622)*C622-G622)&lt;='Assumptions and Catalog'!$C$52,((D622+E622)*C622-G622)*'Assumptions and Catalog'!$H$52+'Assumptions and Catalog'!$E$52+'Assumptions and Catalog'!$F$52,IF(((D622+E622)*C622-G622)&lt;='Assumptions and Catalog'!$C$53,((D622+E622)*C622-G622)*'Assumptions and Catalog'!$H$53+'Assumptions and Catalog'!$E$53+'Assumptions and Catalog'!$F$53,IF(((D622+E622)*C622-G622)&lt;='Assumptions and Catalog'!$C$54,((D622+E622)*C622-G622)*'Assumptions and Catalog'!$H$54+'Assumptions and Catalog'!$E$54+'Assumptions and Catalog'!$F$54,IF(((D622+E622)*C622-G622)&lt;='Assumptions and Catalog'!$C$55,((D622+E622)*C622-G622)*'Assumptions and Catalog'!$H$55+'Assumptions and Catalog'!$E$55+'Assumptions and Catalog'!$F$55,IF(((D622+E622)*C622-G622)&lt;='Assumptions and Catalog'!$C$56,((D622+E622)*C622-G622)*'Assumptions and Catalog'!$H$56+'Assumptions and Catalog'!$E$56+'Assumptions and Catalog'!$F$56,IF(((D622+E622)*C622-G622)&lt;='Assumptions and Catalog'!$C$57,((D622+E622)*C622-G622)*'Assumptions and Catalog'!$H$57+'Assumptions and Catalog'!$E$57+'Assumptions and Catalog'!$F$57,"Out of range")))))))),IF(((D622+E622)*C622-G622)&lt;='Assumptions and Catalog'!$C$60,((D622+E622)*C622-G622)*'Assumptions and Catalog'!$H$60+'Assumptions and Catalog'!$E$60+'Assumptions and Catalog'!$F$60,IF(((D622+E622)*C622-G622)&lt;='Assumptions and Catalog'!$C$61,((D622+E622)*C622-G622)*'Assumptions and Catalog'!$H$61+'Assumptions and Catalog'!$E$61+'Assumptions and Catalog'!$F$61,IF(((D622+E622)*C622-G622)&lt;='Assumptions and Catalog'!$C$62,((D622+E622)*C622-G622)*'Assumptions and Catalog'!$H$62+'Assumptions and Catalog'!$E$62+'Assumptions and Catalog'!$F$62,IF(((D622+E622)*C622-G622)&lt;='Assumptions and Catalog'!$C$63,((D622+E622)*C622-G622)*'Assumptions and Catalog'!$H$63+'Assumptions and Catalog'!$E$63+'Assumptions and Catalog'!$F$63,IF(((D622+E622)*C622-G622)&lt;='Assumptions and Catalog'!$C$64,((D622+E622)*C622-G622)*'Assumptions and Catalog'!$H$64+'Assumptions and Catalog'!$E$64+'Assumptions and Catalog'!$F$64,IF(((D622+E622)*C622-G622)&lt;='Assumptions and Catalog'!$C$65,((D622+E622)*C622-G622)*'Assumptions and Catalog'!$H$65+'Assumptions and Catalog'!$E$65+'Assumptions and Catalog'!$F$65,"Out of range")))))))))*(1+'Assumptions and Catalog'!$C$8)^(A622-1),0)</f>
        <v>8554.9666666666672</v>
      </c>
      <c r="R622" s="5">
        <f>IF(AND('Assumptions and Catalog'!$C$19&gt;0,A622&gt;='Assumptions and Catalog'!$C$19),A622-'Assumptions and Catalog'!$C$19,A622-1)</f>
        <v>7</v>
      </c>
      <c r="S622" s="5">
        <f>F622+L622-(D622+E622)*C622-J622-K622-IF(D$52&gt;0,'Assumptions and Catalog'!$C$26*C622,0)</f>
        <v>0</v>
      </c>
      <c r="T622" s="5"/>
      <c r="U622" s="5"/>
    </row>
    <row r="623" spans="1:21" ht="23.1" customHeight="1" outlineLevel="1" x14ac:dyDescent="0.2">
      <c r="A623" s="5">
        <v>18</v>
      </c>
      <c r="B623" s="5">
        <v>9</v>
      </c>
      <c r="C623" s="5">
        <f>DAY(DATE('Assumptions and Catalog'!$C$24+A623-1,B623+1,0))</f>
        <v>30</v>
      </c>
      <c r="D623" s="5">
        <f>IF(ISNUMBER(Inputs!$L$5),Inputs!$L$5*Inputs!$L$6,0)</f>
        <v>40.35</v>
      </c>
      <c r="E623" s="5">
        <f>IF(ISNUMBER(Inputs!$L$5),Inputs!$L$5-D623,0)</f>
        <v>40.35</v>
      </c>
      <c r="F623" s="5">
        <f>D$51*'Assumptions and Catalog'!$C$31*C623*(1-'Assumptions and Catalog'!$C$10)^(A623-1)</f>
        <v>0</v>
      </c>
      <c r="G623" s="5">
        <f t="shared" si="44"/>
        <v>0</v>
      </c>
      <c r="H623" s="5">
        <f>I623/('Assumptions and Catalog'!$C$11*'Assumptions and Catalog'!$C$12)</f>
        <v>0</v>
      </c>
      <c r="I623" s="5">
        <f>IF(K$15="Grid cycle",MIN(K$16,D623+E623,P623*'Assumptions and Catalog'!$C$12,D$57*(24-'Assumptions and Catalog'!$C$15),D$56*'Assumptions and Catalog'!$C$15*'Assumptions and Catalog'!$C$11*'Assumptions and Catalog'!$C$12)*C623,0)</f>
        <v>0</v>
      </c>
      <c r="J623" s="5">
        <f t="shared" si="45"/>
        <v>0</v>
      </c>
      <c r="K623" s="5">
        <f t="shared" si="46"/>
        <v>0</v>
      </c>
      <c r="L623" s="5">
        <f>(D623+E623)*C623-G623-I623+H623+IF(D$52&gt;0,'Assumptions and Catalog'!$C$26*C623,0)</f>
        <v>2421</v>
      </c>
      <c r="M623" s="5">
        <f>IF(ISNUMBER(Inputs!$L$5),(IF(Inputs!$L$9="Actual flat rate",((D623+E623)*C623)*Inputs!$L$10,IF(Inputs!$C$9="Residential",IF(((D623+E623)*C623)&lt;='Assumptions and Catalog'!$C$50,((D623+E623)*C623)*'Assumptions and Catalog'!$H$50+'Assumptions and Catalog'!$E$50+'Assumptions and Catalog'!$F$50,IF(((D623+E623)*C623)&lt;='Assumptions and Catalog'!$C$51,((D623+E623)*C623)*'Assumptions and Catalog'!$H$51+'Assumptions and Catalog'!$E$51+'Assumptions and Catalog'!$F$51,IF(((D623+E623)*C623)&lt;='Assumptions and Catalog'!$C$52,((D623+E623)*C623)*'Assumptions and Catalog'!$H$52+'Assumptions and Catalog'!$E$52+'Assumptions and Catalog'!$F$52,IF(((D623+E623)*C623)&lt;='Assumptions and Catalog'!$C$53,((D623+E623)*C623)*'Assumptions and Catalog'!$H$53+'Assumptions and Catalog'!$E$53+'Assumptions and Catalog'!$F$53,IF(((D623+E623)*C623)&lt;='Assumptions and Catalog'!$C$54,((D623+E623)*C623)*'Assumptions and Catalog'!$H$54+'Assumptions and Catalog'!$E$54+'Assumptions and Catalog'!$F$54,IF(((D623+E623)*C623)&lt;='Assumptions and Catalog'!$C$55,((D623+E623)*C623)*'Assumptions and Catalog'!$H$55+'Assumptions and Catalog'!$E$55+'Assumptions and Catalog'!$F$55,IF(((D623+E623)*C623)&lt;='Assumptions and Catalog'!$C$56,((D623+E623)*C623)*'Assumptions and Catalog'!$H$56+'Assumptions and Catalog'!$E$56+'Assumptions and Catalog'!$F$56,IF(((D623+E623)*C623)&lt;='Assumptions and Catalog'!$C$57,((D623+E623)*C623)*'Assumptions and Catalog'!$H$57+'Assumptions and Catalog'!$E$57+'Assumptions and Catalog'!$F$57,"Out of range")))))))),IF(((D623+E623)*C623)&lt;='Assumptions and Catalog'!$C$60,((D623+E623)*C623)*'Assumptions and Catalog'!$H$60+'Assumptions and Catalog'!$E$60+'Assumptions and Catalog'!$F$60,IF(((D623+E623)*C623)&lt;='Assumptions and Catalog'!$C$61,((D623+E623)*C623)*'Assumptions and Catalog'!$H$61+'Assumptions and Catalog'!$E$61+'Assumptions and Catalog'!$F$61,IF(((D623+E623)*C623)&lt;='Assumptions and Catalog'!$C$62,((D623+E623)*C623)*'Assumptions and Catalog'!$H$62+'Assumptions and Catalog'!$E$62+'Assumptions and Catalog'!$F$62,IF(((D623+E623)*C623)&lt;='Assumptions and Catalog'!$C$63,((D623+E623)*C623)*'Assumptions and Catalog'!$H$63+'Assumptions and Catalog'!$E$63+'Assumptions and Catalog'!$F$63,IF(((D623+E623)*C623)&lt;='Assumptions and Catalog'!$C$64,((D623+E623)*C623)*'Assumptions and Catalog'!$H$64+'Assumptions and Catalog'!$E$64+'Assumptions and Catalog'!$F$64,IF(((D623+E623)*C623)&lt;='Assumptions and Catalog'!$C$65,((D623+E623)*C623)*'Assumptions and Catalog'!$H$65+'Assumptions and Catalog'!$E$65+'Assumptions and Catalog'!$F$65,"Out of range")))))))))*(1+'Assumptions and Catalog'!$C$8)^(A623-1),0)</f>
        <v>8279</v>
      </c>
      <c r="N623" s="5">
        <f>IF(ISNUMBER(Inputs!$L$5),(IF(Inputs!$L$9="Actual flat rate",L623*Inputs!$L$10,IF(Inputs!$C$9="Residential",IF(L623&lt;='Assumptions and Catalog'!$C$50,L623*'Assumptions and Catalog'!$H$50+'Assumptions and Catalog'!$E$50+'Assumptions and Catalog'!$F$50,IF(L623&lt;='Assumptions and Catalog'!$C$51,L623*'Assumptions and Catalog'!$H$51+'Assumptions and Catalog'!$E$51+'Assumptions and Catalog'!$F$51,IF(L623&lt;='Assumptions and Catalog'!$C$52,L623*'Assumptions and Catalog'!$H$52+'Assumptions and Catalog'!$E$52+'Assumptions and Catalog'!$F$52,IF(L623&lt;='Assumptions and Catalog'!$C$53,L623*'Assumptions and Catalog'!$H$53+'Assumptions and Catalog'!$E$53+'Assumptions and Catalog'!$F$53,IF(L623&lt;='Assumptions and Catalog'!$C$54,L623*'Assumptions and Catalog'!$H$54+'Assumptions and Catalog'!$E$54+'Assumptions and Catalog'!$F$54,IF(L623&lt;='Assumptions and Catalog'!$C$55,L623*'Assumptions and Catalog'!$H$55+'Assumptions and Catalog'!$E$55+'Assumptions and Catalog'!$F$55,IF(L623&lt;='Assumptions and Catalog'!$C$56,L623*'Assumptions and Catalog'!$H$56+'Assumptions and Catalog'!$E$56+'Assumptions and Catalog'!$F$56,IF(L623&lt;='Assumptions and Catalog'!$C$57,L623*'Assumptions and Catalog'!$H$57+'Assumptions and Catalog'!$E$57+'Assumptions and Catalog'!$F$57,"Out of range")))))))),IF(L623&lt;='Assumptions and Catalog'!$C$60,L623*'Assumptions and Catalog'!$H$60+'Assumptions and Catalog'!$E$60+'Assumptions and Catalog'!$F$60,IF(L623&lt;='Assumptions and Catalog'!$C$61,L623*'Assumptions and Catalog'!$H$61+'Assumptions and Catalog'!$E$61+'Assumptions and Catalog'!$F$61,IF(L623&lt;='Assumptions and Catalog'!$C$62,L623*'Assumptions and Catalog'!$H$62+'Assumptions and Catalog'!$E$62+'Assumptions and Catalog'!$F$62,IF(L623&lt;='Assumptions and Catalog'!$C$63,L623*'Assumptions and Catalog'!$H$63+'Assumptions and Catalog'!$E$63+'Assumptions and Catalog'!$F$63,IF(L623&lt;='Assumptions and Catalog'!$C$64,L623*'Assumptions and Catalog'!$H$64+'Assumptions and Catalog'!$E$64+'Assumptions and Catalog'!$F$64,IF(L623&lt;='Assumptions and Catalog'!$C$65,L623*'Assumptions and Catalog'!$H$65+'Assumptions and Catalog'!$E$65+'Assumptions and Catalog'!$F$65,"Out of range")))))))))*(1+'Assumptions and Catalog'!$C$8)^(A623-1),0)</f>
        <v>8279</v>
      </c>
      <c r="O623" s="5">
        <f t="shared" si="47"/>
        <v>0</v>
      </c>
      <c r="P623" s="5">
        <f>D$55*(1-K$14)*(1-'Assumptions and Catalog'!$C$23)^R623</f>
        <v>0</v>
      </c>
      <c r="Q623" s="5">
        <f>IF(ISNUMBER(Inputs!$L$5),(IF(Inputs!$L$9="Actual flat rate",((D623+E623)*C623-G623)*Inputs!$L$10,IF(Inputs!$C$9="Residential",IF(((D623+E623)*C623-G623)&lt;='Assumptions and Catalog'!$C$50,((D623+E623)*C623-G623)*'Assumptions and Catalog'!$H$50+'Assumptions and Catalog'!$E$50+'Assumptions and Catalog'!$F$50,IF(((D623+E623)*C623-G623)&lt;='Assumptions and Catalog'!$C$51,((D623+E623)*C623-G623)*'Assumptions and Catalog'!$H$51+'Assumptions and Catalog'!$E$51+'Assumptions and Catalog'!$F$51,IF(((D623+E623)*C623-G623)&lt;='Assumptions and Catalog'!$C$52,((D623+E623)*C623-G623)*'Assumptions and Catalog'!$H$52+'Assumptions and Catalog'!$E$52+'Assumptions and Catalog'!$F$52,IF(((D623+E623)*C623-G623)&lt;='Assumptions and Catalog'!$C$53,((D623+E623)*C623-G623)*'Assumptions and Catalog'!$H$53+'Assumptions and Catalog'!$E$53+'Assumptions and Catalog'!$F$53,IF(((D623+E623)*C623-G623)&lt;='Assumptions and Catalog'!$C$54,((D623+E623)*C623-G623)*'Assumptions and Catalog'!$H$54+'Assumptions and Catalog'!$E$54+'Assumptions and Catalog'!$F$54,IF(((D623+E623)*C623-G623)&lt;='Assumptions and Catalog'!$C$55,((D623+E623)*C623-G623)*'Assumptions and Catalog'!$H$55+'Assumptions and Catalog'!$E$55+'Assumptions and Catalog'!$F$55,IF(((D623+E623)*C623-G623)&lt;='Assumptions and Catalog'!$C$56,((D623+E623)*C623-G623)*'Assumptions and Catalog'!$H$56+'Assumptions and Catalog'!$E$56+'Assumptions and Catalog'!$F$56,IF(((D623+E623)*C623-G623)&lt;='Assumptions and Catalog'!$C$57,((D623+E623)*C623-G623)*'Assumptions and Catalog'!$H$57+'Assumptions and Catalog'!$E$57+'Assumptions and Catalog'!$F$57,"Out of range")))))))),IF(((D623+E623)*C623-G623)&lt;='Assumptions and Catalog'!$C$60,((D623+E623)*C623-G623)*'Assumptions and Catalog'!$H$60+'Assumptions and Catalog'!$E$60+'Assumptions and Catalog'!$F$60,IF(((D623+E623)*C623-G623)&lt;='Assumptions and Catalog'!$C$61,((D623+E623)*C623-G623)*'Assumptions and Catalog'!$H$61+'Assumptions and Catalog'!$E$61+'Assumptions and Catalog'!$F$61,IF(((D623+E623)*C623-G623)&lt;='Assumptions and Catalog'!$C$62,((D623+E623)*C623-G623)*'Assumptions and Catalog'!$H$62+'Assumptions and Catalog'!$E$62+'Assumptions and Catalog'!$F$62,IF(((D623+E623)*C623-G623)&lt;='Assumptions and Catalog'!$C$63,((D623+E623)*C623-G623)*'Assumptions and Catalog'!$H$63+'Assumptions and Catalog'!$E$63+'Assumptions and Catalog'!$F$63,IF(((D623+E623)*C623-G623)&lt;='Assumptions and Catalog'!$C$64,((D623+E623)*C623-G623)*'Assumptions and Catalog'!$H$64+'Assumptions and Catalog'!$E$64+'Assumptions and Catalog'!$F$64,IF(((D623+E623)*C623-G623)&lt;='Assumptions and Catalog'!$C$65,((D623+E623)*C623-G623)*'Assumptions and Catalog'!$H$65+'Assumptions and Catalog'!$E$65+'Assumptions and Catalog'!$F$65,"Out of range")))))))))*(1+'Assumptions and Catalog'!$C$8)^(A623-1),0)</f>
        <v>8279</v>
      </c>
      <c r="R623" s="5">
        <f>IF(AND('Assumptions and Catalog'!$C$19&gt;0,A623&gt;='Assumptions and Catalog'!$C$19),A623-'Assumptions and Catalog'!$C$19,A623-1)</f>
        <v>7</v>
      </c>
      <c r="S623" s="5">
        <f>F623+L623-(D623+E623)*C623-J623-K623-IF(D$52&gt;0,'Assumptions and Catalog'!$C$26*C623,0)</f>
        <v>0</v>
      </c>
      <c r="T623" s="5"/>
      <c r="U623" s="5"/>
    </row>
    <row r="624" spans="1:21" ht="23.1" customHeight="1" outlineLevel="1" x14ac:dyDescent="0.2">
      <c r="A624" s="5">
        <v>18</v>
      </c>
      <c r="B624" s="5">
        <v>10</v>
      </c>
      <c r="C624" s="5">
        <f>DAY(DATE('Assumptions and Catalog'!$C$24+A624-1,B624+1,0))</f>
        <v>31</v>
      </c>
      <c r="D624" s="5">
        <f>IF(ISNUMBER(Inputs!$L$5),Inputs!$L$5*Inputs!$L$6,0)</f>
        <v>40.35</v>
      </c>
      <c r="E624" s="5">
        <f>IF(ISNUMBER(Inputs!$L$5),Inputs!$L$5-D624,0)</f>
        <v>40.35</v>
      </c>
      <c r="F624" s="5">
        <f>D$51*'Assumptions and Catalog'!$C$31*C624*(1-'Assumptions and Catalog'!$C$10)^(A624-1)</f>
        <v>0</v>
      </c>
      <c r="G624" s="5">
        <f t="shared" si="44"/>
        <v>0</v>
      </c>
      <c r="H624" s="5">
        <f>I624/('Assumptions and Catalog'!$C$11*'Assumptions and Catalog'!$C$12)</f>
        <v>0</v>
      </c>
      <c r="I624" s="5">
        <f>IF(K$15="Grid cycle",MIN(K$16,D624+E624,P624*'Assumptions and Catalog'!$C$12,D$57*(24-'Assumptions and Catalog'!$C$15),D$56*'Assumptions and Catalog'!$C$15*'Assumptions and Catalog'!$C$11*'Assumptions and Catalog'!$C$12)*C624,0)</f>
        <v>0</v>
      </c>
      <c r="J624" s="5">
        <f t="shared" si="45"/>
        <v>0</v>
      </c>
      <c r="K624" s="5">
        <f t="shared" si="46"/>
        <v>0</v>
      </c>
      <c r="L624" s="5">
        <f>(D624+E624)*C624-G624-I624+H624+IF(D$52&gt;0,'Assumptions and Catalog'!$C$26*C624,0)</f>
        <v>2501.7000000000003</v>
      </c>
      <c r="M624" s="5">
        <f>IF(ISNUMBER(Inputs!$L$5),(IF(Inputs!$L$9="Actual flat rate",((D624+E624)*C624)*Inputs!$L$10,IF(Inputs!$C$9="Residential",IF(((D624+E624)*C624)&lt;='Assumptions and Catalog'!$C$50,((D624+E624)*C624)*'Assumptions and Catalog'!$H$50+'Assumptions and Catalog'!$E$50+'Assumptions and Catalog'!$F$50,IF(((D624+E624)*C624)&lt;='Assumptions and Catalog'!$C$51,((D624+E624)*C624)*'Assumptions and Catalog'!$H$51+'Assumptions and Catalog'!$E$51+'Assumptions and Catalog'!$F$51,IF(((D624+E624)*C624)&lt;='Assumptions and Catalog'!$C$52,((D624+E624)*C624)*'Assumptions and Catalog'!$H$52+'Assumptions and Catalog'!$E$52+'Assumptions and Catalog'!$F$52,IF(((D624+E624)*C624)&lt;='Assumptions and Catalog'!$C$53,((D624+E624)*C624)*'Assumptions and Catalog'!$H$53+'Assumptions and Catalog'!$E$53+'Assumptions and Catalog'!$F$53,IF(((D624+E624)*C624)&lt;='Assumptions and Catalog'!$C$54,((D624+E624)*C624)*'Assumptions and Catalog'!$H$54+'Assumptions and Catalog'!$E$54+'Assumptions and Catalog'!$F$54,IF(((D624+E624)*C624)&lt;='Assumptions and Catalog'!$C$55,((D624+E624)*C624)*'Assumptions and Catalog'!$H$55+'Assumptions and Catalog'!$E$55+'Assumptions and Catalog'!$F$55,IF(((D624+E624)*C624)&lt;='Assumptions and Catalog'!$C$56,((D624+E624)*C624)*'Assumptions and Catalog'!$H$56+'Assumptions and Catalog'!$E$56+'Assumptions and Catalog'!$F$56,IF(((D624+E624)*C624)&lt;='Assumptions and Catalog'!$C$57,((D624+E624)*C624)*'Assumptions and Catalog'!$H$57+'Assumptions and Catalog'!$E$57+'Assumptions and Catalog'!$F$57,"Out of range")))))))),IF(((D624+E624)*C624)&lt;='Assumptions and Catalog'!$C$60,((D624+E624)*C624)*'Assumptions and Catalog'!$H$60+'Assumptions and Catalog'!$E$60+'Assumptions and Catalog'!$F$60,IF(((D624+E624)*C624)&lt;='Assumptions and Catalog'!$C$61,((D624+E624)*C624)*'Assumptions and Catalog'!$H$61+'Assumptions and Catalog'!$E$61+'Assumptions and Catalog'!$F$61,IF(((D624+E624)*C624)&lt;='Assumptions and Catalog'!$C$62,((D624+E624)*C624)*'Assumptions and Catalog'!$H$62+'Assumptions and Catalog'!$E$62+'Assumptions and Catalog'!$F$62,IF(((D624+E624)*C624)&lt;='Assumptions and Catalog'!$C$63,((D624+E624)*C624)*'Assumptions and Catalog'!$H$63+'Assumptions and Catalog'!$E$63+'Assumptions and Catalog'!$F$63,IF(((D624+E624)*C624)&lt;='Assumptions and Catalog'!$C$64,((D624+E624)*C624)*'Assumptions and Catalog'!$H$64+'Assumptions and Catalog'!$E$64+'Assumptions and Catalog'!$F$64,IF(((D624+E624)*C624)&lt;='Assumptions and Catalog'!$C$65,((D624+E624)*C624)*'Assumptions and Catalog'!$H$65+'Assumptions and Catalog'!$E$65+'Assumptions and Catalog'!$F$65,"Out of range")))))))))*(1+'Assumptions and Catalog'!$C$8)^(A624-1),0)</f>
        <v>8554.9666666666672</v>
      </c>
      <c r="N624" s="5">
        <f>IF(ISNUMBER(Inputs!$L$5),(IF(Inputs!$L$9="Actual flat rate",L624*Inputs!$L$10,IF(Inputs!$C$9="Residential",IF(L624&lt;='Assumptions and Catalog'!$C$50,L624*'Assumptions and Catalog'!$H$50+'Assumptions and Catalog'!$E$50+'Assumptions and Catalog'!$F$50,IF(L624&lt;='Assumptions and Catalog'!$C$51,L624*'Assumptions and Catalog'!$H$51+'Assumptions and Catalog'!$E$51+'Assumptions and Catalog'!$F$51,IF(L624&lt;='Assumptions and Catalog'!$C$52,L624*'Assumptions and Catalog'!$H$52+'Assumptions and Catalog'!$E$52+'Assumptions and Catalog'!$F$52,IF(L624&lt;='Assumptions and Catalog'!$C$53,L624*'Assumptions and Catalog'!$H$53+'Assumptions and Catalog'!$E$53+'Assumptions and Catalog'!$F$53,IF(L624&lt;='Assumptions and Catalog'!$C$54,L624*'Assumptions and Catalog'!$H$54+'Assumptions and Catalog'!$E$54+'Assumptions and Catalog'!$F$54,IF(L624&lt;='Assumptions and Catalog'!$C$55,L624*'Assumptions and Catalog'!$H$55+'Assumptions and Catalog'!$E$55+'Assumptions and Catalog'!$F$55,IF(L624&lt;='Assumptions and Catalog'!$C$56,L624*'Assumptions and Catalog'!$H$56+'Assumptions and Catalog'!$E$56+'Assumptions and Catalog'!$F$56,IF(L624&lt;='Assumptions and Catalog'!$C$57,L624*'Assumptions and Catalog'!$H$57+'Assumptions and Catalog'!$E$57+'Assumptions and Catalog'!$F$57,"Out of range")))))))),IF(L624&lt;='Assumptions and Catalog'!$C$60,L624*'Assumptions and Catalog'!$H$60+'Assumptions and Catalog'!$E$60+'Assumptions and Catalog'!$F$60,IF(L624&lt;='Assumptions and Catalog'!$C$61,L624*'Assumptions and Catalog'!$H$61+'Assumptions and Catalog'!$E$61+'Assumptions and Catalog'!$F$61,IF(L624&lt;='Assumptions and Catalog'!$C$62,L624*'Assumptions and Catalog'!$H$62+'Assumptions and Catalog'!$E$62+'Assumptions and Catalog'!$F$62,IF(L624&lt;='Assumptions and Catalog'!$C$63,L624*'Assumptions and Catalog'!$H$63+'Assumptions and Catalog'!$E$63+'Assumptions and Catalog'!$F$63,IF(L624&lt;='Assumptions and Catalog'!$C$64,L624*'Assumptions and Catalog'!$H$64+'Assumptions and Catalog'!$E$64+'Assumptions and Catalog'!$F$64,IF(L624&lt;='Assumptions and Catalog'!$C$65,L624*'Assumptions and Catalog'!$H$65+'Assumptions and Catalog'!$E$65+'Assumptions and Catalog'!$F$65,"Out of range")))))))))*(1+'Assumptions and Catalog'!$C$8)^(A624-1),0)</f>
        <v>8554.9666666666672</v>
      </c>
      <c r="O624" s="5">
        <f t="shared" si="47"/>
        <v>0</v>
      </c>
      <c r="P624" s="5">
        <f>D$55*(1-K$14)*(1-'Assumptions and Catalog'!$C$23)^R624</f>
        <v>0</v>
      </c>
      <c r="Q624" s="5">
        <f>IF(ISNUMBER(Inputs!$L$5),(IF(Inputs!$L$9="Actual flat rate",((D624+E624)*C624-G624)*Inputs!$L$10,IF(Inputs!$C$9="Residential",IF(((D624+E624)*C624-G624)&lt;='Assumptions and Catalog'!$C$50,((D624+E624)*C624-G624)*'Assumptions and Catalog'!$H$50+'Assumptions and Catalog'!$E$50+'Assumptions and Catalog'!$F$50,IF(((D624+E624)*C624-G624)&lt;='Assumptions and Catalog'!$C$51,((D624+E624)*C624-G624)*'Assumptions and Catalog'!$H$51+'Assumptions and Catalog'!$E$51+'Assumptions and Catalog'!$F$51,IF(((D624+E624)*C624-G624)&lt;='Assumptions and Catalog'!$C$52,((D624+E624)*C624-G624)*'Assumptions and Catalog'!$H$52+'Assumptions and Catalog'!$E$52+'Assumptions and Catalog'!$F$52,IF(((D624+E624)*C624-G624)&lt;='Assumptions and Catalog'!$C$53,((D624+E624)*C624-G624)*'Assumptions and Catalog'!$H$53+'Assumptions and Catalog'!$E$53+'Assumptions and Catalog'!$F$53,IF(((D624+E624)*C624-G624)&lt;='Assumptions and Catalog'!$C$54,((D624+E624)*C624-G624)*'Assumptions and Catalog'!$H$54+'Assumptions and Catalog'!$E$54+'Assumptions and Catalog'!$F$54,IF(((D624+E624)*C624-G624)&lt;='Assumptions and Catalog'!$C$55,((D624+E624)*C624-G624)*'Assumptions and Catalog'!$H$55+'Assumptions and Catalog'!$E$55+'Assumptions and Catalog'!$F$55,IF(((D624+E624)*C624-G624)&lt;='Assumptions and Catalog'!$C$56,((D624+E624)*C624-G624)*'Assumptions and Catalog'!$H$56+'Assumptions and Catalog'!$E$56+'Assumptions and Catalog'!$F$56,IF(((D624+E624)*C624-G624)&lt;='Assumptions and Catalog'!$C$57,((D624+E624)*C624-G624)*'Assumptions and Catalog'!$H$57+'Assumptions and Catalog'!$E$57+'Assumptions and Catalog'!$F$57,"Out of range")))))))),IF(((D624+E624)*C624-G624)&lt;='Assumptions and Catalog'!$C$60,((D624+E624)*C624-G624)*'Assumptions and Catalog'!$H$60+'Assumptions and Catalog'!$E$60+'Assumptions and Catalog'!$F$60,IF(((D624+E624)*C624-G624)&lt;='Assumptions and Catalog'!$C$61,((D624+E624)*C624-G624)*'Assumptions and Catalog'!$H$61+'Assumptions and Catalog'!$E$61+'Assumptions and Catalog'!$F$61,IF(((D624+E624)*C624-G624)&lt;='Assumptions and Catalog'!$C$62,((D624+E624)*C624-G624)*'Assumptions and Catalog'!$H$62+'Assumptions and Catalog'!$E$62+'Assumptions and Catalog'!$F$62,IF(((D624+E624)*C624-G624)&lt;='Assumptions and Catalog'!$C$63,((D624+E624)*C624-G624)*'Assumptions and Catalog'!$H$63+'Assumptions and Catalog'!$E$63+'Assumptions and Catalog'!$F$63,IF(((D624+E624)*C624-G624)&lt;='Assumptions and Catalog'!$C$64,((D624+E624)*C624-G624)*'Assumptions and Catalog'!$H$64+'Assumptions and Catalog'!$E$64+'Assumptions and Catalog'!$F$64,IF(((D624+E624)*C624-G624)&lt;='Assumptions and Catalog'!$C$65,((D624+E624)*C624-G624)*'Assumptions and Catalog'!$H$65+'Assumptions and Catalog'!$E$65+'Assumptions and Catalog'!$F$65,"Out of range")))))))))*(1+'Assumptions and Catalog'!$C$8)^(A624-1),0)</f>
        <v>8554.9666666666672</v>
      </c>
      <c r="R624" s="5">
        <f>IF(AND('Assumptions and Catalog'!$C$19&gt;0,A624&gt;='Assumptions and Catalog'!$C$19),A624-'Assumptions and Catalog'!$C$19,A624-1)</f>
        <v>7</v>
      </c>
      <c r="S624" s="5">
        <f>F624+L624-(D624+E624)*C624-J624-K624-IF(D$52&gt;0,'Assumptions and Catalog'!$C$26*C624,0)</f>
        <v>0</v>
      </c>
      <c r="T624" s="5"/>
      <c r="U624" s="5"/>
    </row>
    <row r="625" spans="1:21" ht="23.1" customHeight="1" outlineLevel="1" x14ac:dyDescent="0.2">
      <c r="A625" s="5">
        <v>18</v>
      </c>
      <c r="B625" s="5">
        <v>11</v>
      </c>
      <c r="C625" s="5">
        <f>DAY(DATE('Assumptions and Catalog'!$C$24+A625-1,B625+1,0))</f>
        <v>30</v>
      </c>
      <c r="D625" s="5">
        <f>IF(ISNUMBER(Inputs!$L$5),Inputs!$L$5*Inputs!$L$6,0)</f>
        <v>40.35</v>
      </c>
      <c r="E625" s="5">
        <f>IF(ISNUMBER(Inputs!$L$5),Inputs!$L$5-D625,0)</f>
        <v>40.35</v>
      </c>
      <c r="F625" s="5">
        <f>D$51*'Assumptions and Catalog'!$C$31*C625*(1-'Assumptions and Catalog'!$C$10)^(A625-1)</f>
        <v>0</v>
      </c>
      <c r="G625" s="5">
        <f t="shared" si="44"/>
        <v>0</v>
      </c>
      <c r="H625" s="5">
        <f>I625/('Assumptions and Catalog'!$C$11*'Assumptions and Catalog'!$C$12)</f>
        <v>0</v>
      </c>
      <c r="I625" s="5">
        <f>IF(K$15="Grid cycle",MIN(K$16,D625+E625,P625*'Assumptions and Catalog'!$C$12,D$57*(24-'Assumptions and Catalog'!$C$15),D$56*'Assumptions and Catalog'!$C$15*'Assumptions and Catalog'!$C$11*'Assumptions and Catalog'!$C$12)*C625,0)</f>
        <v>0</v>
      </c>
      <c r="J625" s="5">
        <f t="shared" si="45"/>
        <v>0</v>
      </c>
      <c r="K625" s="5">
        <f t="shared" si="46"/>
        <v>0</v>
      </c>
      <c r="L625" s="5">
        <f>(D625+E625)*C625-G625-I625+H625+IF(D$52&gt;0,'Assumptions and Catalog'!$C$26*C625,0)</f>
        <v>2421</v>
      </c>
      <c r="M625" s="5">
        <f>IF(ISNUMBER(Inputs!$L$5),(IF(Inputs!$L$9="Actual flat rate",((D625+E625)*C625)*Inputs!$L$10,IF(Inputs!$C$9="Residential",IF(((D625+E625)*C625)&lt;='Assumptions and Catalog'!$C$50,((D625+E625)*C625)*'Assumptions and Catalog'!$H$50+'Assumptions and Catalog'!$E$50+'Assumptions and Catalog'!$F$50,IF(((D625+E625)*C625)&lt;='Assumptions and Catalog'!$C$51,((D625+E625)*C625)*'Assumptions and Catalog'!$H$51+'Assumptions and Catalog'!$E$51+'Assumptions and Catalog'!$F$51,IF(((D625+E625)*C625)&lt;='Assumptions and Catalog'!$C$52,((D625+E625)*C625)*'Assumptions and Catalog'!$H$52+'Assumptions and Catalog'!$E$52+'Assumptions and Catalog'!$F$52,IF(((D625+E625)*C625)&lt;='Assumptions and Catalog'!$C$53,((D625+E625)*C625)*'Assumptions and Catalog'!$H$53+'Assumptions and Catalog'!$E$53+'Assumptions and Catalog'!$F$53,IF(((D625+E625)*C625)&lt;='Assumptions and Catalog'!$C$54,((D625+E625)*C625)*'Assumptions and Catalog'!$H$54+'Assumptions and Catalog'!$E$54+'Assumptions and Catalog'!$F$54,IF(((D625+E625)*C625)&lt;='Assumptions and Catalog'!$C$55,((D625+E625)*C625)*'Assumptions and Catalog'!$H$55+'Assumptions and Catalog'!$E$55+'Assumptions and Catalog'!$F$55,IF(((D625+E625)*C625)&lt;='Assumptions and Catalog'!$C$56,((D625+E625)*C625)*'Assumptions and Catalog'!$H$56+'Assumptions and Catalog'!$E$56+'Assumptions and Catalog'!$F$56,IF(((D625+E625)*C625)&lt;='Assumptions and Catalog'!$C$57,((D625+E625)*C625)*'Assumptions and Catalog'!$H$57+'Assumptions and Catalog'!$E$57+'Assumptions and Catalog'!$F$57,"Out of range")))))))),IF(((D625+E625)*C625)&lt;='Assumptions and Catalog'!$C$60,((D625+E625)*C625)*'Assumptions and Catalog'!$H$60+'Assumptions and Catalog'!$E$60+'Assumptions and Catalog'!$F$60,IF(((D625+E625)*C625)&lt;='Assumptions and Catalog'!$C$61,((D625+E625)*C625)*'Assumptions and Catalog'!$H$61+'Assumptions and Catalog'!$E$61+'Assumptions and Catalog'!$F$61,IF(((D625+E625)*C625)&lt;='Assumptions and Catalog'!$C$62,((D625+E625)*C625)*'Assumptions and Catalog'!$H$62+'Assumptions and Catalog'!$E$62+'Assumptions and Catalog'!$F$62,IF(((D625+E625)*C625)&lt;='Assumptions and Catalog'!$C$63,((D625+E625)*C625)*'Assumptions and Catalog'!$H$63+'Assumptions and Catalog'!$E$63+'Assumptions and Catalog'!$F$63,IF(((D625+E625)*C625)&lt;='Assumptions and Catalog'!$C$64,((D625+E625)*C625)*'Assumptions and Catalog'!$H$64+'Assumptions and Catalog'!$E$64+'Assumptions and Catalog'!$F$64,IF(((D625+E625)*C625)&lt;='Assumptions and Catalog'!$C$65,((D625+E625)*C625)*'Assumptions and Catalog'!$H$65+'Assumptions and Catalog'!$E$65+'Assumptions and Catalog'!$F$65,"Out of range")))))))))*(1+'Assumptions and Catalog'!$C$8)^(A625-1),0)</f>
        <v>8279</v>
      </c>
      <c r="N625" s="5">
        <f>IF(ISNUMBER(Inputs!$L$5),(IF(Inputs!$L$9="Actual flat rate",L625*Inputs!$L$10,IF(Inputs!$C$9="Residential",IF(L625&lt;='Assumptions and Catalog'!$C$50,L625*'Assumptions and Catalog'!$H$50+'Assumptions and Catalog'!$E$50+'Assumptions and Catalog'!$F$50,IF(L625&lt;='Assumptions and Catalog'!$C$51,L625*'Assumptions and Catalog'!$H$51+'Assumptions and Catalog'!$E$51+'Assumptions and Catalog'!$F$51,IF(L625&lt;='Assumptions and Catalog'!$C$52,L625*'Assumptions and Catalog'!$H$52+'Assumptions and Catalog'!$E$52+'Assumptions and Catalog'!$F$52,IF(L625&lt;='Assumptions and Catalog'!$C$53,L625*'Assumptions and Catalog'!$H$53+'Assumptions and Catalog'!$E$53+'Assumptions and Catalog'!$F$53,IF(L625&lt;='Assumptions and Catalog'!$C$54,L625*'Assumptions and Catalog'!$H$54+'Assumptions and Catalog'!$E$54+'Assumptions and Catalog'!$F$54,IF(L625&lt;='Assumptions and Catalog'!$C$55,L625*'Assumptions and Catalog'!$H$55+'Assumptions and Catalog'!$E$55+'Assumptions and Catalog'!$F$55,IF(L625&lt;='Assumptions and Catalog'!$C$56,L625*'Assumptions and Catalog'!$H$56+'Assumptions and Catalog'!$E$56+'Assumptions and Catalog'!$F$56,IF(L625&lt;='Assumptions and Catalog'!$C$57,L625*'Assumptions and Catalog'!$H$57+'Assumptions and Catalog'!$E$57+'Assumptions and Catalog'!$F$57,"Out of range")))))))),IF(L625&lt;='Assumptions and Catalog'!$C$60,L625*'Assumptions and Catalog'!$H$60+'Assumptions and Catalog'!$E$60+'Assumptions and Catalog'!$F$60,IF(L625&lt;='Assumptions and Catalog'!$C$61,L625*'Assumptions and Catalog'!$H$61+'Assumptions and Catalog'!$E$61+'Assumptions and Catalog'!$F$61,IF(L625&lt;='Assumptions and Catalog'!$C$62,L625*'Assumptions and Catalog'!$H$62+'Assumptions and Catalog'!$E$62+'Assumptions and Catalog'!$F$62,IF(L625&lt;='Assumptions and Catalog'!$C$63,L625*'Assumptions and Catalog'!$H$63+'Assumptions and Catalog'!$E$63+'Assumptions and Catalog'!$F$63,IF(L625&lt;='Assumptions and Catalog'!$C$64,L625*'Assumptions and Catalog'!$H$64+'Assumptions and Catalog'!$E$64+'Assumptions and Catalog'!$F$64,IF(L625&lt;='Assumptions and Catalog'!$C$65,L625*'Assumptions and Catalog'!$H$65+'Assumptions and Catalog'!$E$65+'Assumptions and Catalog'!$F$65,"Out of range")))))))))*(1+'Assumptions and Catalog'!$C$8)^(A625-1),0)</f>
        <v>8279</v>
      </c>
      <c r="O625" s="5">
        <f t="shared" si="47"/>
        <v>0</v>
      </c>
      <c r="P625" s="5">
        <f>D$55*(1-K$14)*(1-'Assumptions and Catalog'!$C$23)^R625</f>
        <v>0</v>
      </c>
      <c r="Q625" s="5">
        <f>IF(ISNUMBER(Inputs!$L$5),(IF(Inputs!$L$9="Actual flat rate",((D625+E625)*C625-G625)*Inputs!$L$10,IF(Inputs!$C$9="Residential",IF(((D625+E625)*C625-G625)&lt;='Assumptions and Catalog'!$C$50,((D625+E625)*C625-G625)*'Assumptions and Catalog'!$H$50+'Assumptions and Catalog'!$E$50+'Assumptions and Catalog'!$F$50,IF(((D625+E625)*C625-G625)&lt;='Assumptions and Catalog'!$C$51,((D625+E625)*C625-G625)*'Assumptions and Catalog'!$H$51+'Assumptions and Catalog'!$E$51+'Assumptions and Catalog'!$F$51,IF(((D625+E625)*C625-G625)&lt;='Assumptions and Catalog'!$C$52,((D625+E625)*C625-G625)*'Assumptions and Catalog'!$H$52+'Assumptions and Catalog'!$E$52+'Assumptions and Catalog'!$F$52,IF(((D625+E625)*C625-G625)&lt;='Assumptions and Catalog'!$C$53,((D625+E625)*C625-G625)*'Assumptions and Catalog'!$H$53+'Assumptions and Catalog'!$E$53+'Assumptions and Catalog'!$F$53,IF(((D625+E625)*C625-G625)&lt;='Assumptions and Catalog'!$C$54,((D625+E625)*C625-G625)*'Assumptions and Catalog'!$H$54+'Assumptions and Catalog'!$E$54+'Assumptions and Catalog'!$F$54,IF(((D625+E625)*C625-G625)&lt;='Assumptions and Catalog'!$C$55,((D625+E625)*C625-G625)*'Assumptions and Catalog'!$H$55+'Assumptions and Catalog'!$E$55+'Assumptions and Catalog'!$F$55,IF(((D625+E625)*C625-G625)&lt;='Assumptions and Catalog'!$C$56,((D625+E625)*C625-G625)*'Assumptions and Catalog'!$H$56+'Assumptions and Catalog'!$E$56+'Assumptions and Catalog'!$F$56,IF(((D625+E625)*C625-G625)&lt;='Assumptions and Catalog'!$C$57,((D625+E625)*C625-G625)*'Assumptions and Catalog'!$H$57+'Assumptions and Catalog'!$E$57+'Assumptions and Catalog'!$F$57,"Out of range")))))))),IF(((D625+E625)*C625-G625)&lt;='Assumptions and Catalog'!$C$60,((D625+E625)*C625-G625)*'Assumptions and Catalog'!$H$60+'Assumptions and Catalog'!$E$60+'Assumptions and Catalog'!$F$60,IF(((D625+E625)*C625-G625)&lt;='Assumptions and Catalog'!$C$61,((D625+E625)*C625-G625)*'Assumptions and Catalog'!$H$61+'Assumptions and Catalog'!$E$61+'Assumptions and Catalog'!$F$61,IF(((D625+E625)*C625-G625)&lt;='Assumptions and Catalog'!$C$62,((D625+E625)*C625-G625)*'Assumptions and Catalog'!$H$62+'Assumptions and Catalog'!$E$62+'Assumptions and Catalog'!$F$62,IF(((D625+E625)*C625-G625)&lt;='Assumptions and Catalog'!$C$63,((D625+E625)*C625-G625)*'Assumptions and Catalog'!$H$63+'Assumptions and Catalog'!$E$63+'Assumptions and Catalog'!$F$63,IF(((D625+E625)*C625-G625)&lt;='Assumptions and Catalog'!$C$64,((D625+E625)*C625-G625)*'Assumptions and Catalog'!$H$64+'Assumptions and Catalog'!$E$64+'Assumptions and Catalog'!$F$64,IF(((D625+E625)*C625-G625)&lt;='Assumptions and Catalog'!$C$65,((D625+E625)*C625-G625)*'Assumptions and Catalog'!$H$65+'Assumptions and Catalog'!$E$65+'Assumptions and Catalog'!$F$65,"Out of range")))))))))*(1+'Assumptions and Catalog'!$C$8)^(A625-1),0)</f>
        <v>8279</v>
      </c>
      <c r="R625" s="5">
        <f>IF(AND('Assumptions and Catalog'!$C$19&gt;0,A625&gt;='Assumptions and Catalog'!$C$19),A625-'Assumptions and Catalog'!$C$19,A625-1)</f>
        <v>7</v>
      </c>
      <c r="S625" s="5">
        <f>F625+L625-(D625+E625)*C625-J625-K625-IF(D$52&gt;0,'Assumptions and Catalog'!$C$26*C625,0)</f>
        <v>0</v>
      </c>
      <c r="T625" s="5"/>
      <c r="U625" s="5"/>
    </row>
    <row r="626" spans="1:21" ht="23.1" customHeight="1" outlineLevel="1" x14ac:dyDescent="0.2">
      <c r="A626" s="5">
        <v>18</v>
      </c>
      <c r="B626" s="5">
        <v>12</v>
      </c>
      <c r="C626" s="5">
        <f>DAY(DATE('Assumptions and Catalog'!$C$24+A626-1,B626+1,0))</f>
        <v>31</v>
      </c>
      <c r="D626" s="5">
        <f>IF(ISNUMBER(Inputs!$L$5),Inputs!$L$5*Inputs!$L$6,0)</f>
        <v>40.35</v>
      </c>
      <c r="E626" s="5">
        <f>IF(ISNUMBER(Inputs!$L$5),Inputs!$L$5-D626,0)</f>
        <v>40.35</v>
      </c>
      <c r="F626" s="5">
        <f>D$51*'Assumptions and Catalog'!$C$31*C626*(1-'Assumptions and Catalog'!$C$10)^(A626-1)</f>
        <v>0</v>
      </c>
      <c r="G626" s="5">
        <f t="shared" si="44"/>
        <v>0</v>
      </c>
      <c r="H626" s="5">
        <f>I626/('Assumptions and Catalog'!$C$11*'Assumptions and Catalog'!$C$12)</f>
        <v>0</v>
      </c>
      <c r="I626" s="5">
        <f>IF(K$15="Grid cycle",MIN(K$16,D626+E626,P626*'Assumptions and Catalog'!$C$12,D$57*(24-'Assumptions and Catalog'!$C$15),D$56*'Assumptions and Catalog'!$C$15*'Assumptions and Catalog'!$C$11*'Assumptions and Catalog'!$C$12)*C626,0)</f>
        <v>0</v>
      </c>
      <c r="J626" s="5">
        <f t="shared" si="45"/>
        <v>0</v>
      </c>
      <c r="K626" s="5">
        <f t="shared" si="46"/>
        <v>0</v>
      </c>
      <c r="L626" s="5">
        <f>(D626+E626)*C626-G626-I626+H626+IF(D$52&gt;0,'Assumptions and Catalog'!$C$26*C626,0)</f>
        <v>2501.7000000000003</v>
      </c>
      <c r="M626" s="5">
        <f>IF(ISNUMBER(Inputs!$L$5),(IF(Inputs!$L$9="Actual flat rate",((D626+E626)*C626)*Inputs!$L$10,IF(Inputs!$C$9="Residential",IF(((D626+E626)*C626)&lt;='Assumptions and Catalog'!$C$50,((D626+E626)*C626)*'Assumptions and Catalog'!$H$50+'Assumptions and Catalog'!$E$50+'Assumptions and Catalog'!$F$50,IF(((D626+E626)*C626)&lt;='Assumptions and Catalog'!$C$51,((D626+E626)*C626)*'Assumptions and Catalog'!$H$51+'Assumptions and Catalog'!$E$51+'Assumptions and Catalog'!$F$51,IF(((D626+E626)*C626)&lt;='Assumptions and Catalog'!$C$52,((D626+E626)*C626)*'Assumptions and Catalog'!$H$52+'Assumptions and Catalog'!$E$52+'Assumptions and Catalog'!$F$52,IF(((D626+E626)*C626)&lt;='Assumptions and Catalog'!$C$53,((D626+E626)*C626)*'Assumptions and Catalog'!$H$53+'Assumptions and Catalog'!$E$53+'Assumptions and Catalog'!$F$53,IF(((D626+E626)*C626)&lt;='Assumptions and Catalog'!$C$54,((D626+E626)*C626)*'Assumptions and Catalog'!$H$54+'Assumptions and Catalog'!$E$54+'Assumptions and Catalog'!$F$54,IF(((D626+E626)*C626)&lt;='Assumptions and Catalog'!$C$55,((D626+E626)*C626)*'Assumptions and Catalog'!$H$55+'Assumptions and Catalog'!$E$55+'Assumptions and Catalog'!$F$55,IF(((D626+E626)*C626)&lt;='Assumptions and Catalog'!$C$56,((D626+E626)*C626)*'Assumptions and Catalog'!$H$56+'Assumptions and Catalog'!$E$56+'Assumptions and Catalog'!$F$56,IF(((D626+E626)*C626)&lt;='Assumptions and Catalog'!$C$57,((D626+E626)*C626)*'Assumptions and Catalog'!$H$57+'Assumptions and Catalog'!$E$57+'Assumptions and Catalog'!$F$57,"Out of range")))))))),IF(((D626+E626)*C626)&lt;='Assumptions and Catalog'!$C$60,((D626+E626)*C626)*'Assumptions and Catalog'!$H$60+'Assumptions and Catalog'!$E$60+'Assumptions and Catalog'!$F$60,IF(((D626+E626)*C626)&lt;='Assumptions and Catalog'!$C$61,((D626+E626)*C626)*'Assumptions and Catalog'!$H$61+'Assumptions and Catalog'!$E$61+'Assumptions and Catalog'!$F$61,IF(((D626+E626)*C626)&lt;='Assumptions and Catalog'!$C$62,((D626+E626)*C626)*'Assumptions and Catalog'!$H$62+'Assumptions and Catalog'!$E$62+'Assumptions and Catalog'!$F$62,IF(((D626+E626)*C626)&lt;='Assumptions and Catalog'!$C$63,((D626+E626)*C626)*'Assumptions and Catalog'!$H$63+'Assumptions and Catalog'!$E$63+'Assumptions and Catalog'!$F$63,IF(((D626+E626)*C626)&lt;='Assumptions and Catalog'!$C$64,((D626+E626)*C626)*'Assumptions and Catalog'!$H$64+'Assumptions and Catalog'!$E$64+'Assumptions and Catalog'!$F$64,IF(((D626+E626)*C626)&lt;='Assumptions and Catalog'!$C$65,((D626+E626)*C626)*'Assumptions and Catalog'!$H$65+'Assumptions and Catalog'!$E$65+'Assumptions and Catalog'!$F$65,"Out of range")))))))))*(1+'Assumptions and Catalog'!$C$8)^(A626-1),0)</f>
        <v>8554.9666666666672</v>
      </c>
      <c r="N626" s="5">
        <f>IF(ISNUMBER(Inputs!$L$5),(IF(Inputs!$L$9="Actual flat rate",L626*Inputs!$L$10,IF(Inputs!$C$9="Residential",IF(L626&lt;='Assumptions and Catalog'!$C$50,L626*'Assumptions and Catalog'!$H$50+'Assumptions and Catalog'!$E$50+'Assumptions and Catalog'!$F$50,IF(L626&lt;='Assumptions and Catalog'!$C$51,L626*'Assumptions and Catalog'!$H$51+'Assumptions and Catalog'!$E$51+'Assumptions and Catalog'!$F$51,IF(L626&lt;='Assumptions and Catalog'!$C$52,L626*'Assumptions and Catalog'!$H$52+'Assumptions and Catalog'!$E$52+'Assumptions and Catalog'!$F$52,IF(L626&lt;='Assumptions and Catalog'!$C$53,L626*'Assumptions and Catalog'!$H$53+'Assumptions and Catalog'!$E$53+'Assumptions and Catalog'!$F$53,IF(L626&lt;='Assumptions and Catalog'!$C$54,L626*'Assumptions and Catalog'!$H$54+'Assumptions and Catalog'!$E$54+'Assumptions and Catalog'!$F$54,IF(L626&lt;='Assumptions and Catalog'!$C$55,L626*'Assumptions and Catalog'!$H$55+'Assumptions and Catalog'!$E$55+'Assumptions and Catalog'!$F$55,IF(L626&lt;='Assumptions and Catalog'!$C$56,L626*'Assumptions and Catalog'!$H$56+'Assumptions and Catalog'!$E$56+'Assumptions and Catalog'!$F$56,IF(L626&lt;='Assumptions and Catalog'!$C$57,L626*'Assumptions and Catalog'!$H$57+'Assumptions and Catalog'!$E$57+'Assumptions and Catalog'!$F$57,"Out of range")))))))),IF(L626&lt;='Assumptions and Catalog'!$C$60,L626*'Assumptions and Catalog'!$H$60+'Assumptions and Catalog'!$E$60+'Assumptions and Catalog'!$F$60,IF(L626&lt;='Assumptions and Catalog'!$C$61,L626*'Assumptions and Catalog'!$H$61+'Assumptions and Catalog'!$E$61+'Assumptions and Catalog'!$F$61,IF(L626&lt;='Assumptions and Catalog'!$C$62,L626*'Assumptions and Catalog'!$H$62+'Assumptions and Catalog'!$E$62+'Assumptions and Catalog'!$F$62,IF(L626&lt;='Assumptions and Catalog'!$C$63,L626*'Assumptions and Catalog'!$H$63+'Assumptions and Catalog'!$E$63+'Assumptions and Catalog'!$F$63,IF(L626&lt;='Assumptions and Catalog'!$C$64,L626*'Assumptions and Catalog'!$H$64+'Assumptions and Catalog'!$E$64+'Assumptions and Catalog'!$F$64,IF(L626&lt;='Assumptions and Catalog'!$C$65,L626*'Assumptions and Catalog'!$H$65+'Assumptions and Catalog'!$E$65+'Assumptions and Catalog'!$F$65,"Out of range")))))))))*(1+'Assumptions and Catalog'!$C$8)^(A626-1),0)</f>
        <v>8554.9666666666672</v>
      </c>
      <c r="O626" s="5">
        <f t="shared" si="47"/>
        <v>0</v>
      </c>
      <c r="P626" s="5">
        <f>D$55*(1-K$14)*(1-'Assumptions and Catalog'!$C$23)^R626</f>
        <v>0</v>
      </c>
      <c r="Q626" s="5">
        <f>IF(ISNUMBER(Inputs!$L$5),(IF(Inputs!$L$9="Actual flat rate",((D626+E626)*C626-G626)*Inputs!$L$10,IF(Inputs!$C$9="Residential",IF(((D626+E626)*C626-G626)&lt;='Assumptions and Catalog'!$C$50,((D626+E626)*C626-G626)*'Assumptions and Catalog'!$H$50+'Assumptions and Catalog'!$E$50+'Assumptions and Catalog'!$F$50,IF(((D626+E626)*C626-G626)&lt;='Assumptions and Catalog'!$C$51,((D626+E626)*C626-G626)*'Assumptions and Catalog'!$H$51+'Assumptions and Catalog'!$E$51+'Assumptions and Catalog'!$F$51,IF(((D626+E626)*C626-G626)&lt;='Assumptions and Catalog'!$C$52,((D626+E626)*C626-G626)*'Assumptions and Catalog'!$H$52+'Assumptions and Catalog'!$E$52+'Assumptions and Catalog'!$F$52,IF(((D626+E626)*C626-G626)&lt;='Assumptions and Catalog'!$C$53,((D626+E626)*C626-G626)*'Assumptions and Catalog'!$H$53+'Assumptions and Catalog'!$E$53+'Assumptions and Catalog'!$F$53,IF(((D626+E626)*C626-G626)&lt;='Assumptions and Catalog'!$C$54,((D626+E626)*C626-G626)*'Assumptions and Catalog'!$H$54+'Assumptions and Catalog'!$E$54+'Assumptions and Catalog'!$F$54,IF(((D626+E626)*C626-G626)&lt;='Assumptions and Catalog'!$C$55,((D626+E626)*C626-G626)*'Assumptions and Catalog'!$H$55+'Assumptions and Catalog'!$E$55+'Assumptions and Catalog'!$F$55,IF(((D626+E626)*C626-G626)&lt;='Assumptions and Catalog'!$C$56,((D626+E626)*C626-G626)*'Assumptions and Catalog'!$H$56+'Assumptions and Catalog'!$E$56+'Assumptions and Catalog'!$F$56,IF(((D626+E626)*C626-G626)&lt;='Assumptions and Catalog'!$C$57,((D626+E626)*C626-G626)*'Assumptions and Catalog'!$H$57+'Assumptions and Catalog'!$E$57+'Assumptions and Catalog'!$F$57,"Out of range")))))))),IF(((D626+E626)*C626-G626)&lt;='Assumptions and Catalog'!$C$60,((D626+E626)*C626-G626)*'Assumptions and Catalog'!$H$60+'Assumptions and Catalog'!$E$60+'Assumptions and Catalog'!$F$60,IF(((D626+E626)*C626-G626)&lt;='Assumptions and Catalog'!$C$61,((D626+E626)*C626-G626)*'Assumptions and Catalog'!$H$61+'Assumptions and Catalog'!$E$61+'Assumptions and Catalog'!$F$61,IF(((D626+E626)*C626-G626)&lt;='Assumptions and Catalog'!$C$62,((D626+E626)*C626-G626)*'Assumptions and Catalog'!$H$62+'Assumptions and Catalog'!$E$62+'Assumptions and Catalog'!$F$62,IF(((D626+E626)*C626-G626)&lt;='Assumptions and Catalog'!$C$63,((D626+E626)*C626-G626)*'Assumptions and Catalog'!$H$63+'Assumptions and Catalog'!$E$63+'Assumptions and Catalog'!$F$63,IF(((D626+E626)*C626-G626)&lt;='Assumptions and Catalog'!$C$64,((D626+E626)*C626-G626)*'Assumptions and Catalog'!$H$64+'Assumptions and Catalog'!$E$64+'Assumptions and Catalog'!$F$64,IF(((D626+E626)*C626-G626)&lt;='Assumptions and Catalog'!$C$65,((D626+E626)*C626-G626)*'Assumptions and Catalog'!$H$65+'Assumptions and Catalog'!$E$65+'Assumptions and Catalog'!$F$65,"Out of range")))))))))*(1+'Assumptions and Catalog'!$C$8)^(A626-1),0)</f>
        <v>8554.9666666666672</v>
      </c>
      <c r="R626" s="5">
        <f>IF(AND('Assumptions and Catalog'!$C$19&gt;0,A626&gt;='Assumptions and Catalog'!$C$19),A626-'Assumptions and Catalog'!$C$19,A626-1)</f>
        <v>7</v>
      </c>
      <c r="S626" s="5">
        <f>F626+L626-(D626+E626)*C626-J626-K626-IF(D$52&gt;0,'Assumptions and Catalog'!$C$26*C626,0)</f>
        <v>0</v>
      </c>
      <c r="T626" s="5"/>
      <c r="U626" s="5"/>
    </row>
    <row r="627" spans="1:21" ht="23.1" customHeight="1" outlineLevel="1" x14ac:dyDescent="0.2">
      <c r="A627" s="5">
        <v>19</v>
      </c>
      <c r="B627" s="5">
        <v>1</v>
      </c>
      <c r="C627" s="5">
        <f>DAY(DATE('Assumptions and Catalog'!$C$24+A627-1,B627+1,0))</f>
        <v>31</v>
      </c>
      <c r="D627" s="5">
        <f>IF(ISNUMBER(Inputs!$L$5),Inputs!$L$5*Inputs!$L$6,0)</f>
        <v>40.35</v>
      </c>
      <c r="E627" s="5">
        <f>IF(ISNUMBER(Inputs!$L$5),Inputs!$L$5-D627,0)</f>
        <v>40.35</v>
      </c>
      <c r="F627" s="5">
        <f>D$51*'Assumptions and Catalog'!$C$31*C627*(1-'Assumptions and Catalog'!$C$10)^(A627-1)</f>
        <v>0</v>
      </c>
      <c r="G627" s="5">
        <f t="shared" si="44"/>
        <v>0</v>
      </c>
      <c r="H627" s="5">
        <f>I627/('Assumptions and Catalog'!$C$11*'Assumptions and Catalog'!$C$12)</f>
        <v>0</v>
      </c>
      <c r="I627" s="5">
        <f>IF(K$15="Grid cycle",MIN(K$16,D627+E627,P627*'Assumptions and Catalog'!$C$12,D$57*(24-'Assumptions and Catalog'!$C$15),D$56*'Assumptions and Catalog'!$C$15*'Assumptions and Catalog'!$C$11*'Assumptions and Catalog'!$C$12)*C627,0)</f>
        <v>0</v>
      </c>
      <c r="J627" s="5">
        <f t="shared" si="45"/>
        <v>0</v>
      </c>
      <c r="K627" s="5">
        <f t="shared" si="46"/>
        <v>0</v>
      </c>
      <c r="L627" s="5">
        <f>(D627+E627)*C627-G627-I627+H627+IF(D$52&gt;0,'Assumptions and Catalog'!$C$26*C627,0)</f>
        <v>2501.7000000000003</v>
      </c>
      <c r="M627" s="5">
        <f>IF(ISNUMBER(Inputs!$L$5),(IF(Inputs!$L$9="Actual flat rate",((D627+E627)*C627)*Inputs!$L$10,IF(Inputs!$C$9="Residential",IF(((D627+E627)*C627)&lt;='Assumptions and Catalog'!$C$50,((D627+E627)*C627)*'Assumptions and Catalog'!$H$50+'Assumptions and Catalog'!$E$50+'Assumptions and Catalog'!$F$50,IF(((D627+E627)*C627)&lt;='Assumptions and Catalog'!$C$51,((D627+E627)*C627)*'Assumptions and Catalog'!$H$51+'Assumptions and Catalog'!$E$51+'Assumptions and Catalog'!$F$51,IF(((D627+E627)*C627)&lt;='Assumptions and Catalog'!$C$52,((D627+E627)*C627)*'Assumptions and Catalog'!$H$52+'Assumptions and Catalog'!$E$52+'Assumptions and Catalog'!$F$52,IF(((D627+E627)*C627)&lt;='Assumptions and Catalog'!$C$53,((D627+E627)*C627)*'Assumptions and Catalog'!$H$53+'Assumptions and Catalog'!$E$53+'Assumptions and Catalog'!$F$53,IF(((D627+E627)*C627)&lt;='Assumptions and Catalog'!$C$54,((D627+E627)*C627)*'Assumptions and Catalog'!$H$54+'Assumptions and Catalog'!$E$54+'Assumptions and Catalog'!$F$54,IF(((D627+E627)*C627)&lt;='Assumptions and Catalog'!$C$55,((D627+E627)*C627)*'Assumptions and Catalog'!$H$55+'Assumptions and Catalog'!$E$55+'Assumptions and Catalog'!$F$55,IF(((D627+E627)*C627)&lt;='Assumptions and Catalog'!$C$56,((D627+E627)*C627)*'Assumptions and Catalog'!$H$56+'Assumptions and Catalog'!$E$56+'Assumptions and Catalog'!$F$56,IF(((D627+E627)*C627)&lt;='Assumptions and Catalog'!$C$57,((D627+E627)*C627)*'Assumptions and Catalog'!$H$57+'Assumptions and Catalog'!$E$57+'Assumptions and Catalog'!$F$57,"Out of range")))))))),IF(((D627+E627)*C627)&lt;='Assumptions and Catalog'!$C$60,((D627+E627)*C627)*'Assumptions and Catalog'!$H$60+'Assumptions and Catalog'!$E$60+'Assumptions and Catalog'!$F$60,IF(((D627+E627)*C627)&lt;='Assumptions and Catalog'!$C$61,((D627+E627)*C627)*'Assumptions and Catalog'!$H$61+'Assumptions and Catalog'!$E$61+'Assumptions and Catalog'!$F$61,IF(((D627+E627)*C627)&lt;='Assumptions and Catalog'!$C$62,((D627+E627)*C627)*'Assumptions and Catalog'!$H$62+'Assumptions and Catalog'!$E$62+'Assumptions and Catalog'!$F$62,IF(((D627+E627)*C627)&lt;='Assumptions and Catalog'!$C$63,((D627+E627)*C627)*'Assumptions and Catalog'!$H$63+'Assumptions and Catalog'!$E$63+'Assumptions and Catalog'!$F$63,IF(((D627+E627)*C627)&lt;='Assumptions and Catalog'!$C$64,((D627+E627)*C627)*'Assumptions and Catalog'!$H$64+'Assumptions and Catalog'!$E$64+'Assumptions and Catalog'!$F$64,IF(((D627+E627)*C627)&lt;='Assumptions and Catalog'!$C$65,((D627+E627)*C627)*'Assumptions and Catalog'!$H$65+'Assumptions and Catalog'!$E$65+'Assumptions and Catalog'!$F$65,"Out of range")))))))))*(1+'Assumptions and Catalog'!$C$8)^(A627-1),0)</f>
        <v>8554.9666666666672</v>
      </c>
      <c r="N627" s="5">
        <f>IF(ISNUMBER(Inputs!$L$5),(IF(Inputs!$L$9="Actual flat rate",L627*Inputs!$L$10,IF(Inputs!$C$9="Residential",IF(L627&lt;='Assumptions and Catalog'!$C$50,L627*'Assumptions and Catalog'!$H$50+'Assumptions and Catalog'!$E$50+'Assumptions and Catalog'!$F$50,IF(L627&lt;='Assumptions and Catalog'!$C$51,L627*'Assumptions and Catalog'!$H$51+'Assumptions and Catalog'!$E$51+'Assumptions and Catalog'!$F$51,IF(L627&lt;='Assumptions and Catalog'!$C$52,L627*'Assumptions and Catalog'!$H$52+'Assumptions and Catalog'!$E$52+'Assumptions and Catalog'!$F$52,IF(L627&lt;='Assumptions and Catalog'!$C$53,L627*'Assumptions and Catalog'!$H$53+'Assumptions and Catalog'!$E$53+'Assumptions and Catalog'!$F$53,IF(L627&lt;='Assumptions and Catalog'!$C$54,L627*'Assumptions and Catalog'!$H$54+'Assumptions and Catalog'!$E$54+'Assumptions and Catalog'!$F$54,IF(L627&lt;='Assumptions and Catalog'!$C$55,L627*'Assumptions and Catalog'!$H$55+'Assumptions and Catalog'!$E$55+'Assumptions and Catalog'!$F$55,IF(L627&lt;='Assumptions and Catalog'!$C$56,L627*'Assumptions and Catalog'!$H$56+'Assumptions and Catalog'!$E$56+'Assumptions and Catalog'!$F$56,IF(L627&lt;='Assumptions and Catalog'!$C$57,L627*'Assumptions and Catalog'!$H$57+'Assumptions and Catalog'!$E$57+'Assumptions and Catalog'!$F$57,"Out of range")))))))),IF(L627&lt;='Assumptions and Catalog'!$C$60,L627*'Assumptions and Catalog'!$H$60+'Assumptions and Catalog'!$E$60+'Assumptions and Catalog'!$F$60,IF(L627&lt;='Assumptions and Catalog'!$C$61,L627*'Assumptions and Catalog'!$H$61+'Assumptions and Catalog'!$E$61+'Assumptions and Catalog'!$F$61,IF(L627&lt;='Assumptions and Catalog'!$C$62,L627*'Assumptions and Catalog'!$H$62+'Assumptions and Catalog'!$E$62+'Assumptions and Catalog'!$F$62,IF(L627&lt;='Assumptions and Catalog'!$C$63,L627*'Assumptions and Catalog'!$H$63+'Assumptions and Catalog'!$E$63+'Assumptions and Catalog'!$F$63,IF(L627&lt;='Assumptions and Catalog'!$C$64,L627*'Assumptions and Catalog'!$H$64+'Assumptions and Catalog'!$E$64+'Assumptions and Catalog'!$F$64,IF(L627&lt;='Assumptions and Catalog'!$C$65,L627*'Assumptions and Catalog'!$H$65+'Assumptions and Catalog'!$E$65+'Assumptions and Catalog'!$F$65,"Out of range")))))))))*(1+'Assumptions and Catalog'!$C$8)^(A627-1),0)</f>
        <v>8554.9666666666672</v>
      </c>
      <c r="O627" s="5">
        <f t="shared" si="47"/>
        <v>0</v>
      </c>
      <c r="P627" s="5">
        <f>D$55*(1-K$14)*(1-'Assumptions and Catalog'!$C$23)^R627</f>
        <v>0</v>
      </c>
      <c r="Q627" s="5">
        <f>IF(ISNUMBER(Inputs!$L$5),(IF(Inputs!$L$9="Actual flat rate",((D627+E627)*C627-G627)*Inputs!$L$10,IF(Inputs!$C$9="Residential",IF(((D627+E627)*C627-G627)&lt;='Assumptions and Catalog'!$C$50,((D627+E627)*C627-G627)*'Assumptions and Catalog'!$H$50+'Assumptions and Catalog'!$E$50+'Assumptions and Catalog'!$F$50,IF(((D627+E627)*C627-G627)&lt;='Assumptions and Catalog'!$C$51,((D627+E627)*C627-G627)*'Assumptions and Catalog'!$H$51+'Assumptions and Catalog'!$E$51+'Assumptions and Catalog'!$F$51,IF(((D627+E627)*C627-G627)&lt;='Assumptions and Catalog'!$C$52,((D627+E627)*C627-G627)*'Assumptions and Catalog'!$H$52+'Assumptions and Catalog'!$E$52+'Assumptions and Catalog'!$F$52,IF(((D627+E627)*C627-G627)&lt;='Assumptions and Catalog'!$C$53,((D627+E627)*C627-G627)*'Assumptions and Catalog'!$H$53+'Assumptions and Catalog'!$E$53+'Assumptions and Catalog'!$F$53,IF(((D627+E627)*C627-G627)&lt;='Assumptions and Catalog'!$C$54,((D627+E627)*C627-G627)*'Assumptions and Catalog'!$H$54+'Assumptions and Catalog'!$E$54+'Assumptions and Catalog'!$F$54,IF(((D627+E627)*C627-G627)&lt;='Assumptions and Catalog'!$C$55,((D627+E627)*C627-G627)*'Assumptions and Catalog'!$H$55+'Assumptions and Catalog'!$E$55+'Assumptions and Catalog'!$F$55,IF(((D627+E627)*C627-G627)&lt;='Assumptions and Catalog'!$C$56,((D627+E627)*C627-G627)*'Assumptions and Catalog'!$H$56+'Assumptions and Catalog'!$E$56+'Assumptions and Catalog'!$F$56,IF(((D627+E627)*C627-G627)&lt;='Assumptions and Catalog'!$C$57,((D627+E627)*C627-G627)*'Assumptions and Catalog'!$H$57+'Assumptions and Catalog'!$E$57+'Assumptions and Catalog'!$F$57,"Out of range")))))))),IF(((D627+E627)*C627-G627)&lt;='Assumptions and Catalog'!$C$60,((D627+E627)*C627-G627)*'Assumptions and Catalog'!$H$60+'Assumptions and Catalog'!$E$60+'Assumptions and Catalog'!$F$60,IF(((D627+E627)*C627-G627)&lt;='Assumptions and Catalog'!$C$61,((D627+E627)*C627-G627)*'Assumptions and Catalog'!$H$61+'Assumptions and Catalog'!$E$61+'Assumptions and Catalog'!$F$61,IF(((D627+E627)*C627-G627)&lt;='Assumptions and Catalog'!$C$62,((D627+E627)*C627-G627)*'Assumptions and Catalog'!$H$62+'Assumptions and Catalog'!$E$62+'Assumptions and Catalog'!$F$62,IF(((D627+E627)*C627-G627)&lt;='Assumptions and Catalog'!$C$63,((D627+E627)*C627-G627)*'Assumptions and Catalog'!$H$63+'Assumptions and Catalog'!$E$63+'Assumptions and Catalog'!$F$63,IF(((D627+E627)*C627-G627)&lt;='Assumptions and Catalog'!$C$64,((D627+E627)*C627-G627)*'Assumptions and Catalog'!$H$64+'Assumptions and Catalog'!$E$64+'Assumptions and Catalog'!$F$64,IF(((D627+E627)*C627-G627)&lt;='Assumptions and Catalog'!$C$65,((D627+E627)*C627-G627)*'Assumptions and Catalog'!$H$65+'Assumptions and Catalog'!$E$65+'Assumptions and Catalog'!$F$65,"Out of range")))))))))*(1+'Assumptions and Catalog'!$C$8)^(A627-1),0)</f>
        <v>8554.9666666666672</v>
      </c>
      <c r="R627" s="5">
        <f>IF(AND('Assumptions and Catalog'!$C$19&gt;0,A627&gt;='Assumptions and Catalog'!$C$19),A627-'Assumptions and Catalog'!$C$19,A627-1)</f>
        <v>8</v>
      </c>
      <c r="S627" s="5">
        <f>F627+L627-(D627+E627)*C627-J627-K627-IF(D$52&gt;0,'Assumptions and Catalog'!$C$26*C627,0)</f>
        <v>0</v>
      </c>
      <c r="T627" s="5"/>
      <c r="U627" s="5"/>
    </row>
    <row r="628" spans="1:21" ht="23.1" customHeight="1" outlineLevel="1" x14ac:dyDescent="0.2">
      <c r="A628" s="5">
        <v>19</v>
      </c>
      <c r="B628" s="5">
        <v>2</v>
      </c>
      <c r="C628" s="5">
        <f>DAY(DATE('Assumptions and Catalog'!$C$24+A628-1,B628+1,0))</f>
        <v>28</v>
      </c>
      <c r="D628" s="5">
        <f>IF(ISNUMBER(Inputs!$L$5),Inputs!$L$5*Inputs!$L$6,0)</f>
        <v>40.35</v>
      </c>
      <c r="E628" s="5">
        <f>IF(ISNUMBER(Inputs!$L$5),Inputs!$L$5-D628,0)</f>
        <v>40.35</v>
      </c>
      <c r="F628" s="5">
        <f>D$51*'Assumptions and Catalog'!$C$31*C628*(1-'Assumptions and Catalog'!$C$10)^(A628-1)</f>
        <v>0</v>
      </c>
      <c r="G628" s="5">
        <f t="shared" si="44"/>
        <v>0</v>
      </c>
      <c r="H628" s="5">
        <f>I628/('Assumptions and Catalog'!$C$11*'Assumptions and Catalog'!$C$12)</f>
        <v>0</v>
      </c>
      <c r="I628" s="5">
        <f>IF(K$15="Grid cycle",MIN(K$16,D628+E628,P628*'Assumptions and Catalog'!$C$12,D$57*(24-'Assumptions and Catalog'!$C$15),D$56*'Assumptions and Catalog'!$C$15*'Assumptions and Catalog'!$C$11*'Assumptions and Catalog'!$C$12)*C628,0)</f>
        <v>0</v>
      </c>
      <c r="J628" s="5">
        <f t="shared" si="45"/>
        <v>0</v>
      </c>
      <c r="K628" s="5">
        <f t="shared" si="46"/>
        <v>0</v>
      </c>
      <c r="L628" s="5">
        <f>(D628+E628)*C628-G628-I628+H628+IF(D$52&gt;0,'Assumptions and Catalog'!$C$26*C628,0)</f>
        <v>2259.6</v>
      </c>
      <c r="M628" s="5">
        <f>IF(ISNUMBER(Inputs!$L$5),(IF(Inputs!$L$9="Actual flat rate",((D628+E628)*C628)*Inputs!$L$10,IF(Inputs!$C$9="Residential",IF(((D628+E628)*C628)&lt;='Assumptions and Catalog'!$C$50,((D628+E628)*C628)*'Assumptions and Catalog'!$H$50+'Assumptions and Catalog'!$E$50+'Assumptions and Catalog'!$F$50,IF(((D628+E628)*C628)&lt;='Assumptions and Catalog'!$C$51,((D628+E628)*C628)*'Assumptions and Catalog'!$H$51+'Assumptions and Catalog'!$E$51+'Assumptions and Catalog'!$F$51,IF(((D628+E628)*C628)&lt;='Assumptions and Catalog'!$C$52,((D628+E628)*C628)*'Assumptions and Catalog'!$H$52+'Assumptions and Catalog'!$E$52+'Assumptions and Catalog'!$F$52,IF(((D628+E628)*C628)&lt;='Assumptions and Catalog'!$C$53,((D628+E628)*C628)*'Assumptions and Catalog'!$H$53+'Assumptions and Catalog'!$E$53+'Assumptions and Catalog'!$F$53,IF(((D628+E628)*C628)&lt;='Assumptions and Catalog'!$C$54,((D628+E628)*C628)*'Assumptions and Catalog'!$H$54+'Assumptions and Catalog'!$E$54+'Assumptions and Catalog'!$F$54,IF(((D628+E628)*C628)&lt;='Assumptions and Catalog'!$C$55,((D628+E628)*C628)*'Assumptions and Catalog'!$H$55+'Assumptions and Catalog'!$E$55+'Assumptions and Catalog'!$F$55,IF(((D628+E628)*C628)&lt;='Assumptions and Catalog'!$C$56,((D628+E628)*C628)*'Assumptions and Catalog'!$H$56+'Assumptions and Catalog'!$E$56+'Assumptions and Catalog'!$F$56,IF(((D628+E628)*C628)&lt;='Assumptions and Catalog'!$C$57,((D628+E628)*C628)*'Assumptions and Catalog'!$H$57+'Assumptions and Catalog'!$E$57+'Assumptions and Catalog'!$F$57,"Out of range")))))))),IF(((D628+E628)*C628)&lt;='Assumptions and Catalog'!$C$60,((D628+E628)*C628)*'Assumptions and Catalog'!$H$60+'Assumptions and Catalog'!$E$60+'Assumptions and Catalog'!$F$60,IF(((D628+E628)*C628)&lt;='Assumptions and Catalog'!$C$61,((D628+E628)*C628)*'Assumptions and Catalog'!$H$61+'Assumptions and Catalog'!$E$61+'Assumptions and Catalog'!$F$61,IF(((D628+E628)*C628)&lt;='Assumptions and Catalog'!$C$62,((D628+E628)*C628)*'Assumptions and Catalog'!$H$62+'Assumptions and Catalog'!$E$62+'Assumptions and Catalog'!$F$62,IF(((D628+E628)*C628)&lt;='Assumptions and Catalog'!$C$63,((D628+E628)*C628)*'Assumptions and Catalog'!$H$63+'Assumptions and Catalog'!$E$63+'Assumptions and Catalog'!$F$63,IF(((D628+E628)*C628)&lt;='Assumptions and Catalog'!$C$64,((D628+E628)*C628)*'Assumptions and Catalog'!$H$64+'Assumptions and Catalog'!$E$64+'Assumptions and Catalog'!$F$64,IF(((D628+E628)*C628)&lt;='Assumptions and Catalog'!$C$65,((D628+E628)*C628)*'Assumptions and Catalog'!$H$65+'Assumptions and Catalog'!$E$65+'Assumptions and Catalog'!$F$65,"Out of range")))))))))*(1+'Assumptions and Catalog'!$C$8)^(A628-1),0)</f>
        <v>7727.0666666666657</v>
      </c>
      <c r="N628" s="5">
        <f>IF(ISNUMBER(Inputs!$L$5),(IF(Inputs!$L$9="Actual flat rate",L628*Inputs!$L$10,IF(Inputs!$C$9="Residential",IF(L628&lt;='Assumptions and Catalog'!$C$50,L628*'Assumptions and Catalog'!$H$50+'Assumptions and Catalog'!$E$50+'Assumptions and Catalog'!$F$50,IF(L628&lt;='Assumptions and Catalog'!$C$51,L628*'Assumptions and Catalog'!$H$51+'Assumptions and Catalog'!$E$51+'Assumptions and Catalog'!$F$51,IF(L628&lt;='Assumptions and Catalog'!$C$52,L628*'Assumptions and Catalog'!$H$52+'Assumptions and Catalog'!$E$52+'Assumptions and Catalog'!$F$52,IF(L628&lt;='Assumptions and Catalog'!$C$53,L628*'Assumptions and Catalog'!$H$53+'Assumptions and Catalog'!$E$53+'Assumptions and Catalog'!$F$53,IF(L628&lt;='Assumptions and Catalog'!$C$54,L628*'Assumptions and Catalog'!$H$54+'Assumptions and Catalog'!$E$54+'Assumptions and Catalog'!$F$54,IF(L628&lt;='Assumptions and Catalog'!$C$55,L628*'Assumptions and Catalog'!$H$55+'Assumptions and Catalog'!$E$55+'Assumptions and Catalog'!$F$55,IF(L628&lt;='Assumptions and Catalog'!$C$56,L628*'Assumptions and Catalog'!$H$56+'Assumptions and Catalog'!$E$56+'Assumptions and Catalog'!$F$56,IF(L628&lt;='Assumptions and Catalog'!$C$57,L628*'Assumptions and Catalog'!$H$57+'Assumptions and Catalog'!$E$57+'Assumptions and Catalog'!$F$57,"Out of range")))))))),IF(L628&lt;='Assumptions and Catalog'!$C$60,L628*'Assumptions and Catalog'!$H$60+'Assumptions and Catalog'!$E$60+'Assumptions and Catalog'!$F$60,IF(L628&lt;='Assumptions and Catalog'!$C$61,L628*'Assumptions and Catalog'!$H$61+'Assumptions and Catalog'!$E$61+'Assumptions and Catalog'!$F$61,IF(L628&lt;='Assumptions and Catalog'!$C$62,L628*'Assumptions and Catalog'!$H$62+'Assumptions and Catalog'!$E$62+'Assumptions and Catalog'!$F$62,IF(L628&lt;='Assumptions and Catalog'!$C$63,L628*'Assumptions and Catalog'!$H$63+'Assumptions and Catalog'!$E$63+'Assumptions and Catalog'!$F$63,IF(L628&lt;='Assumptions and Catalog'!$C$64,L628*'Assumptions and Catalog'!$H$64+'Assumptions and Catalog'!$E$64+'Assumptions and Catalog'!$F$64,IF(L628&lt;='Assumptions and Catalog'!$C$65,L628*'Assumptions and Catalog'!$H$65+'Assumptions and Catalog'!$E$65+'Assumptions and Catalog'!$F$65,"Out of range")))))))))*(1+'Assumptions and Catalog'!$C$8)^(A628-1),0)</f>
        <v>7727.0666666666657</v>
      </c>
      <c r="O628" s="5">
        <f t="shared" si="47"/>
        <v>0</v>
      </c>
      <c r="P628" s="5">
        <f>D$55*(1-K$14)*(1-'Assumptions and Catalog'!$C$23)^R628</f>
        <v>0</v>
      </c>
      <c r="Q628" s="5">
        <f>IF(ISNUMBER(Inputs!$L$5),(IF(Inputs!$L$9="Actual flat rate",((D628+E628)*C628-G628)*Inputs!$L$10,IF(Inputs!$C$9="Residential",IF(((D628+E628)*C628-G628)&lt;='Assumptions and Catalog'!$C$50,((D628+E628)*C628-G628)*'Assumptions and Catalog'!$H$50+'Assumptions and Catalog'!$E$50+'Assumptions and Catalog'!$F$50,IF(((D628+E628)*C628-G628)&lt;='Assumptions and Catalog'!$C$51,((D628+E628)*C628-G628)*'Assumptions and Catalog'!$H$51+'Assumptions and Catalog'!$E$51+'Assumptions and Catalog'!$F$51,IF(((D628+E628)*C628-G628)&lt;='Assumptions and Catalog'!$C$52,((D628+E628)*C628-G628)*'Assumptions and Catalog'!$H$52+'Assumptions and Catalog'!$E$52+'Assumptions and Catalog'!$F$52,IF(((D628+E628)*C628-G628)&lt;='Assumptions and Catalog'!$C$53,((D628+E628)*C628-G628)*'Assumptions and Catalog'!$H$53+'Assumptions and Catalog'!$E$53+'Assumptions and Catalog'!$F$53,IF(((D628+E628)*C628-G628)&lt;='Assumptions and Catalog'!$C$54,((D628+E628)*C628-G628)*'Assumptions and Catalog'!$H$54+'Assumptions and Catalog'!$E$54+'Assumptions and Catalog'!$F$54,IF(((D628+E628)*C628-G628)&lt;='Assumptions and Catalog'!$C$55,((D628+E628)*C628-G628)*'Assumptions and Catalog'!$H$55+'Assumptions and Catalog'!$E$55+'Assumptions and Catalog'!$F$55,IF(((D628+E628)*C628-G628)&lt;='Assumptions and Catalog'!$C$56,((D628+E628)*C628-G628)*'Assumptions and Catalog'!$H$56+'Assumptions and Catalog'!$E$56+'Assumptions and Catalog'!$F$56,IF(((D628+E628)*C628-G628)&lt;='Assumptions and Catalog'!$C$57,((D628+E628)*C628-G628)*'Assumptions and Catalog'!$H$57+'Assumptions and Catalog'!$E$57+'Assumptions and Catalog'!$F$57,"Out of range")))))))),IF(((D628+E628)*C628-G628)&lt;='Assumptions and Catalog'!$C$60,((D628+E628)*C628-G628)*'Assumptions and Catalog'!$H$60+'Assumptions and Catalog'!$E$60+'Assumptions and Catalog'!$F$60,IF(((D628+E628)*C628-G628)&lt;='Assumptions and Catalog'!$C$61,((D628+E628)*C628-G628)*'Assumptions and Catalog'!$H$61+'Assumptions and Catalog'!$E$61+'Assumptions and Catalog'!$F$61,IF(((D628+E628)*C628-G628)&lt;='Assumptions and Catalog'!$C$62,((D628+E628)*C628-G628)*'Assumptions and Catalog'!$H$62+'Assumptions and Catalog'!$E$62+'Assumptions and Catalog'!$F$62,IF(((D628+E628)*C628-G628)&lt;='Assumptions and Catalog'!$C$63,((D628+E628)*C628-G628)*'Assumptions and Catalog'!$H$63+'Assumptions and Catalog'!$E$63+'Assumptions and Catalog'!$F$63,IF(((D628+E628)*C628-G628)&lt;='Assumptions and Catalog'!$C$64,((D628+E628)*C628-G628)*'Assumptions and Catalog'!$H$64+'Assumptions and Catalog'!$E$64+'Assumptions and Catalog'!$F$64,IF(((D628+E628)*C628-G628)&lt;='Assumptions and Catalog'!$C$65,((D628+E628)*C628-G628)*'Assumptions and Catalog'!$H$65+'Assumptions and Catalog'!$E$65+'Assumptions and Catalog'!$F$65,"Out of range")))))))))*(1+'Assumptions and Catalog'!$C$8)^(A628-1),0)</f>
        <v>7727.0666666666657</v>
      </c>
      <c r="R628" s="5">
        <f>IF(AND('Assumptions and Catalog'!$C$19&gt;0,A628&gt;='Assumptions and Catalog'!$C$19),A628-'Assumptions and Catalog'!$C$19,A628-1)</f>
        <v>8</v>
      </c>
      <c r="S628" s="5">
        <f>F628+L628-(D628+E628)*C628-J628-K628-IF(D$52&gt;0,'Assumptions and Catalog'!$C$26*C628,0)</f>
        <v>0</v>
      </c>
      <c r="T628" s="5"/>
      <c r="U628" s="5"/>
    </row>
    <row r="629" spans="1:21" ht="23.1" customHeight="1" outlineLevel="1" x14ac:dyDescent="0.2">
      <c r="A629" s="5">
        <v>19</v>
      </c>
      <c r="B629" s="5">
        <v>3</v>
      </c>
      <c r="C629" s="5">
        <f>DAY(DATE('Assumptions and Catalog'!$C$24+A629-1,B629+1,0))</f>
        <v>31</v>
      </c>
      <c r="D629" s="5">
        <f>IF(ISNUMBER(Inputs!$L$5),Inputs!$L$5*Inputs!$L$6,0)</f>
        <v>40.35</v>
      </c>
      <c r="E629" s="5">
        <f>IF(ISNUMBER(Inputs!$L$5),Inputs!$L$5-D629,0)</f>
        <v>40.35</v>
      </c>
      <c r="F629" s="5">
        <f>D$51*'Assumptions and Catalog'!$C$31*C629*(1-'Assumptions and Catalog'!$C$10)^(A629-1)</f>
        <v>0</v>
      </c>
      <c r="G629" s="5">
        <f t="shared" si="44"/>
        <v>0</v>
      </c>
      <c r="H629" s="5">
        <f>I629/('Assumptions and Catalog'!$C$11*'Assumptions and Catalog'!$C$12)</f>
        <v>0</v>
      </c>
      <c r="I629" s="5">
        <f>IF(K$15="Grid cycle",MIN(K$16,D629+E629,P629*'Assumptions and Catalog'!$C$12,D$57*(24-'Assumptions and Catalog'!$C$15),D$56*'Assumptions and Catalog'!$C$15*'Assumptions and Catalog'!$C$11*'Assumptions and Catalog'!$C$12)*C629,0)</f>
        <v>0</v>
      </c>
      <c r="J629" s="5">
        <f t="shared" si="45"/>
        <v>0</v>
      </c>
      <c r="K629" s="5">
        <f t="shared" si="46"/>
        <v>0</v>
      </c>
      <c r="L629" s="5">
        <f>(D629+E629)*C629-G629-I629+H629+IF(D$52&gt;0,'Assumptions and Catalog'!$C$26*C629,0)</f>
        <v>2501.7000000000003</v>
      </c>
      <c r="M629" s="5">
        <f>IF(ISNUMBER(Inputs!$L$5),(IF(Inputs!$L$9="Actual flat rate",((D629+E629)*C629)*Inputs!$L$10,IF(Inputs!$C$9="Residential",IF(((D629+E629)*C629)&lt;='Assumptions and Catalog'!$C$50,((D629+E629)*C629)*'Assumptions and Catalog'!$H$50+'Assumptions and Catalog'!$E$50+'Assumptions and Catalog'!$F$50,IF(((D629+E629)*C629)&lt;='Assumptions and Catalog'!$C$51,((D629+E629)*C629)*'Assumptions and Catalog'!$H$51+'Assumptions and Catalog'!$E$51+'Assumptions and Catalog'!$F$51,IF(((D629+E629)*C629)&lt;='Assumptions and Catalog'!$C$52,((D629+E629)*C629)*'Assumptions and Catalog'!$H$52+'Assumptions and Catalog'!$E$52+'Assumptions and Catalog'!$F$52,IF(((D629+E629)*C629)&lt;='Assumptions and Catalog'!$C$53,((D629+E629)*C629)*'Assumptions and Catalog'!$H$53+'Assumptions and Catalog'!$E$53+'Assumptions and Catalog'!$F$53,IF(((D629+E629)*C629)&lt;='Assumptions and Catalog'!$C$54,((D629+E629)*C629)*'Assumptions and Catalog'!$H$54+'Assumptions and Catalog'!$E$54+'Assumptions and Catalog'!$F$54,IF(((D629+E629)*C629)&lt;='Assumptions and Catalog'!$C$55,((D629+E629)*C629)*'Assumptions and Catalog'!$H$55+'Assumptions and Catalog'!$E$55+'Assumptions and Catalog'!$F$55,IF(((D629+E629)*C629)&lt;='Assumptions and Catalog'!$C$56,((D629+E629)*C629)*'Assumptions and Catalog'!$H$56+'Assumptions and Catalog'!$E$56+'Assumptions and Catalog'!$F$56,IF(((D629+E629)*C629)&lt;='Assumptions and Catalog'!$C$57,((D629+E629)*C629)*'Assumptions and Catalog'!$H$57+'Assumptions and Catalog'!$E$57+'Assumptions and Catalog'!$F$57,"Out of range")))))))),IF(((D629+E629)*C629)&lt;='Assumptions and Catalog'!$C$60,((D629+E629)*C629)*'Assumptions and Catalog'!$H$60+'Assumptions and Catalog'!$E$60+'Assumptions and Catalog'!$F$60,IF(((D629+E629)*C629)&lt;='Assumptions and Catalog'!$C$61,((D629+E629)*C629)*'Assumptions and Catalog'!$H$61+'Assumptions and Catalog'!$E$61+'Assumptions and Catalog'!$F$61,IF(((D629+E629)*C629)&lt;='Assumptions and Catalog'!$C$62,((D629+E629)*C629)*'Assumptions and Catalog'!$H$62+'Assumptions and Catalog'!$E$62+'Assumptions and Catalog'!$F$62,IF(((D629+E629)*C629)&lt;='Assumptions and Catalog'!$C$63,((D629+E629)*C629)*'Assumptions and Catalog'!$H$63+'Assumptions and Catalog'!$E$63+'Assumptions and Catalog'!$F$63,IF(((D629+E629)*C629)&lt;='Assumptions and Catalog'!$C$64,((D629+E629)*C629)*'Assumptions and Catalog'!$H$64+'Assumptions and Catalog'!$E$64+'Assumptions and Catalog'!$F$64,IF(((D629+E629)*C629)&lt;='Assumptions and Catalog'!$C$65,((D629+E629)*C629)*'Assumptions and Catalog'!$H$65+'Assumptions and Catalog'!$E$65+'Assumptions and Catalog'!$F$65,"Out of range")))))))))*(1+'Assumptions and Catalog'!$C$8)^(A629-1),0)</f>
        <v>8554.9666666666672</v>
      </c>
      <c r="N629" s="5">
        <f>IF(ISNUMBER(Inputs!$L$5),(IF(Inputs!$L$9="Actual flat rate",L629*Inputs!$L$10,IF(Inputs!$C$9="Residential",IF(L629&lt;='Assumptions and Catalog'!$C$50,L629*'Assumptions and Catalog'!$H$50+'Assumptions and Catalog'!$E$50+'Assumptions and Catalog'!$F$50,IF(L629&lt;='Assumptions and Catalog'!$C$51,L629*'Assumptions and Catalog'!$H$51+'Assumptions and Catalog'!$E$51+'Assumptions and Catalog'!$F$51,IF(L629&lt;='Assumptions and Catalog'!$C$52,L629*'Assumptions and Catalog'!$H$52+'Assumptions and Catalog'!$E$52+'Assumptions and Catalog'!$F$52,IF(L629&lt;='Assumptions and Catalog'!$C$53,L629*'Assumptions and Catalog'!$H$53+'Assumptions and Catalog'!$E$53+'Assumptions and Catalog'!$F$53,IF(L629&lt;='Assumptions and Catalog'!$C$54,L629*'Assumptions and Catalog'!$H$54+'Assumptions and Catalog'!$E$54+'Assumptions and Catalog'!$F$54,IF(L629&lt;='Assumptions and Catalog'!$C$55,L629*'Assumptions and Catalog'!$H$55+'Assumptions and Catalog'!$E$55+'Assumptions and Catalog'!$F$55,IF(L629&lt;='Assumptions and Catalog'!$C$56,L629*'Assumptions and Catalog'!$H$56+'Assumptions and Catalog'!$E$56+'Assumptions and Catalog'!$F$56,IF(L629&lt;='Assumptions and Catalog'!$C$57,L629*'Assumptions and Catalog'!$H$57+'Assumptions and Catalog'!$E$57+'Assumptions and Catalog'!$F$57,"Out of range")))))))),IF(L629&lt;='Assumptions and Catalog'!$C$60,L629*'Assumptions and Catalog'!$H$60+'Assumptions and Catalog'!$E$60+'Assumptions and Catalog'!$F$60,IF(L629&lt;='Assumptions and Catalog'!$C$61,L629*'Assumptions and Catalog'!$H$61+'Assumptions and Catalog'!$E$61+'Assumptions and Catalog'!$F$61,IF(L629&lt;='Assumptions and Catalog'!$C$62,L629*'Assumptions and Catalog'!$H$62+'Assumptions and Catalog'!$E$62+'Assumptions and Catalog'!$F$62,IF(L629&lt;='Assumptions and Catalog'!$C$63,L629*'Assumptions and Catalog'!$H$63+'Assumptions and Catalog'!$E$63+'Assumptions and Catalog'!$F$63,IF(L629&lt;='Assumptions and Catalog'!$C$64,L629*'Assumptions and Catalog'!$H$64+'Assumptions and Catalog'!$E$64+'Assumptions and Catalog'!$F$64,IF(L629&lt;='Assumptions and Catalog'!$C$65,L629*'Assumptions and Catalog'!$H$65+'Assumptions and Catalog'!$E$65+'Assumptions and Catalog'!$F$65,"Out of range")))))))))*(1+'Assumptions and Catalog'!$C$8)^(A629-1),0)</f>
        <v>8554.9666666666672</v>
      </c>
      <c r="O629" s="5">
        <f t="shared" si="47"/>
        <v>0</v>
      </c>
      <c r="P629" s="5">
        <f>D$55*(1-K$14)*(1-'Assumptions and Catalog'!$C$23)^R629</f>
        <v>0</v>
      </c>
      <c r="Q629" s="5">
        <f>IF(ISNUMBER(Inputs!$L$5),(IF(Inputs!$L$9="Actual flat rate",((D629+E629)*C629-G629)*Inputs!$L$10,IF(Inputs!$C$9="Residential",IF(((D629+E629)*C629-G629)&lt;='Assumptions and Catalog'!$C$50,((D629+E629)*C629-G629)*'Assumptions and Catalog'!$H$50+'Assumptions and Catalog'!$E$50+'Assumptions and Catalog'!$F$50,IF(((D629+E629)*C629-G629)&lt;='Assumptions and Catalog'!$C$51,((D629+E629)*C629-G629)*'Assumptions and Catalog'!$H$51+'Assumptions and Catalog'!$E$51+'Assumptions and Catalog'!$F$51,IF(((D629+E629)*C629-G629)&lt;='Assumptions and Catalog'!$C$52,((D629+E629)*C629-G629)*'Assumptions and Catalog'!$H$52+'Assumptions and Catalog'!$E$52+'Assumptions and Catalog'!$F$52,IF(((D629+E629)*C629-G629)&lt;='Assumptions and Catalog'!$C$53,((D629+E629)*C629-G629)*'Assumptions and Catalog'!$H$53+'Assumptions and Catalog'!$E$53+'Assumptions and Catalog'!$F$53,IF(((D629+E629)*C629-G629)&lt;='Assumptions and Catalog'!$C$54,((D629+E629)*C629-G629)*'Assumptions and Catalog'!$H$54+'Assumptions and Catalog'!$E$54+'Assumptions and Catalog'!$F$54,IF(((D629+E629)*C629-G629)&lt;='Assumptions and Catalog'!$C$55,((D629+E629)*C629-G629)*'Assumptions and Catalog'!$H$55+'Assumptions and Catalog'!$E$55+'Assumptions and Catalog'!$F$55,IF(((D629+E629)*C629-G629)&lt;='Assumptions and Catalog'!$C$56,((D629+E629)*C629-G629)*'Assumptions and Catalog'!$H$56+'Assumptions and Catalog'!$E$56+'Assumptions and Catalog'!$F$56,IF(((D629+E629)*C629-G629)&lt;='Assumptions and Catalog'!$C$57,((D629+E629)*C629-G629)*'Assumptions and Catalog'!$H$57+'Assumptions and Catalog'!$E$57+'Assumptions and Catalog'!$F$57,"Out of range")))))))),IF(((D629+E629)*C629-G629)&lt;='Assumptions and Catalog'!$C$60,((D629+E629)*C629-G629)*'Assumptions and Catalog'!$H$60+'Assumptions and Catalog'!$E$60+'Assumptions and Catalog'!$F$60,IF(((D629+E629)*C629-G629)&lt;='Assumptions and Catalog'!$C$61,((D629+E629)*C629-G629)*'Assumptions and Catalog'!$H$61+'Assumptions and Catalog'!$E$61+'Assumptions and Catalog'!$F$61,IF(((D629+E629)*C629-G629)&lt;='Assumptions and Catalog'!$C$62,((D629+E629)*C629-G629)*'Assumptions and Catalog'!$H$62+'Assumptions and Catalog'!$E$62+'Assumptions and Catalog'!$F$62,IF(((D629+E629)*C629-G629)&lt;='Assumptions and Catalog'!$C$63,((D629+E629)*C629-G629)*'Assumptions and Catalog'!$H$63+'Assumptions and Catalog'!$E$63+'Assumptions and Catalog'!$F$63,IF(((D629+E629)*C629-G629)&lt;='Assumptions and Catalog'!$C$64,((D629+E629)*C629-G629)*'Assumptions and Catalog'!$H$64+'Assumptions and Catalog'!$E$64+'Assumptions and Catalog'!$F$64,IF(((D629+E629)*C629-G629)&lt;='Assumptions and Catalog'!$C$65,((D629+E629)*C629-G629)*'Assumptions and Catalog'!$H$65+'Assumptions and Catalog'!$E$65+'Assumptions and Catalog'!$F$65,"Out of range")))))))))*(1+'Assumptions and Catalog'!$C$8)^(A629-1),0)</f>
        <v>8554.9666666666672</v>
      </c>
      <c r="R629" s="5">
        <f>IF(AND('Assumptions and Catalog'!$C$19&gt;0,A629&gt;='Assumptions and Catalog'!$C$19),A629-'Assumptions and Catalog'!$C$19,A629-1)</f>
        <v>8</v>
      </c>
      <c r="S629" s="5">
        <f>F629+L629-(D629+E629)*C629-J629-K629-IF(D$52&gt;0,'Assumptions and Catalog'!$C$26*C629,0)</f>
        <v>0</v>
      </c>
      <c r="T629" s="5"/>
      <c r="U629" s="5"/>
    </row>
    <row r="630" spans="1:21" ht="23.1" customHeight="1" outlineLevel="1" x14ac:dyDescent="0.2">
      <c r="A630" s="5">
        <v>19</v>
      </c>
      <c r="B630" s="5">
        <v>4</v>
      </c>
      <c r="C630" s="5">
        <f>DAY(DATE('Assumptions and Catalog'!$C$24+A630-1,B630+1,0))</f>
        <v>30</v>
      </c>
      <c r="D630" s="5">
        <f>IF(ISNUMBER(Inputs!$L$5),Inputs!$L$5*Inputs!$L$6,0)</f>
        <v>40.35</v>
      </c>
      <c r="E630" s="5">
        <f>IF(ISNUMBER(Inputs!$L$5),Inputs!$L$5-D630,0)</f>
        <v>40.35</v>
      </c>
      <c r="F630" s="5">
        <f>D$51*'Assumptions and Catalog'!$C$31*C630*(1-'Assumptions and Catalog'!$C$10)^(A630-1)</f>
        <v>0</v>
      </c>
      <c r="G630" s="5">
        <f t="shared" si="44"/>
        <v>0</v>
      </c>
      <c r="H630" s="5">
        <f>I630/('Assumptions and Catalog'!$C$11*'Assumptions and Catalog'!$C$12)</f>
        <v>0</v>
      </c>
      <c r="I630" s="5">
        <f>IF(K$15="Grid cycle",MIN(K$16,D630+E630,P630*'Assumptions and Catalog'!$C$12,D$57*(24-'Assumptions and Catalog'!$C$15),D$56*'Assumptions and Catalog'!$C$15*'Assumptions and Catalog'!$C$11*'Assumptions and Catalog'!$C$12)*C630,0)</f>
        <v>0</v>
      </c>
      <c r="J630" s="5">
        <f t="shared" si="45"/>
        <v>0</v>
      </c>
      <c r="K630" s="5">
        <f t="shared" si="46"/>
        <v>0</v>
      </c>
      <c r="L630" s="5">
        <f>(D630+E630)*C630-G630-I630+H630+IF(D$52&gt;0,'Assumptions and Catalog'!$C$26*C630,0)</f>
        <v>2421</v>
      </c>
      <c r="M630" s="5">
        <f>IF(ISNUMBER(Inputs!$L$5),(IF(Inputs!$L$9="Actual flat rate",((D630+E630)*C630)*Inputs!$L$10,IF(Inputs!$C$9="Residential",IF(((D630+E630)*C630)&lt;='Assumptions and Catalog'!$C$50,((D630+E630)*C630)*'Assumptions and Catalog'!$H$50+'Assumptions and Catalog'!$E$50+'Assumptions and Catalog'!$F$50,IF(((D630+E630)*C630)&lt;='Assumptions and Catalog'!$C$51,((D630+E630)*C630)*'Assumptions and Catalog'!$H$51+'Assumptions and Catalog'!$E$51+'Assumptions and Catalog'!$F$51,IF(((D630+E630)*C630)&lt;='Assumptions and Catalog'!$C$52,((D630+E630)*C630)*'Assumptions and Catalog'!$H$52+'Assumptions and Catalog'!$E$52+'Assumptions and Catalog'!$F$52,IF(((D630+E630)*C630)&lt;='Assumptions and Catalog'!$C$53,((D630+E630)*C630)*'Assumptions and Catalog'!$H$53+'Assumptions and Catalog'!$E$53+'Assumptions and Catalog'!$F$53,IF(((D630+E630)*C630)&lt;='Assumptions and Catalog'!$C$54,((D630+E630)*C630)*'Assumptions and Catalog'!$H$54+'Assumptions and Catalog'!$E$54+'Assumptions and Catalog'!$F$54,IF(((D630+E630)*C630)&lt;='Assumptions and Catalog'!$C$55,((D630+E630)*C630)*'Assumptions and Catalog'!$H$55+'Assumptions and Catalog'!$E$55+'Assumptions and Catalog'!$F$55,IF(((D630+E630)*C630)&lt;='Assumptions and Catalog'!$C$56,((D630+E630)*C630)*'Assumptions and Catalog'!$H$56+'Assumptions and Catalog'!$E$56+'Assumptions and Catalog'!$F$56,IF(((D630+E630)*C630)&lt;='Assumptions and Catalog'!$C$57,((D630+E630)*C630)*'Assumptions and Catalog'!$H$57+'Assumptions and Catalog'!$E$57+'Assumptions and Catalog'!$F$57,"Out of range")))))))),IF(((D630+E630)*C630)&lt;='Assumptions and Catalog'!$C$60,((D630+E630)*C630)*'Assumptions and Catalog'!$H$60+'Assumptions and Catalog'!$E$60+'Assumptions and Catalog'!$F$60,IF(((D630+E630)*C630)&lt;='Assumptions and Catalog'!$C$61,((D630+E630)*C630)*'Assumptions and Catalog'!$H$61+'Assumptions and Catalog'!$E$61+'Assumptions and Catalog'!$F$61,IF(((D630+E630)*C630)&lt;='Assumptions and Catalog'!$C$62,((D630+E630)*C630)*'Assumptions and Catalog'!$H$62+'Assumptions and Catalog'!$E$62+'Assumptions and Catalog'!$F$62,IF(((D630+E630)*C630)&lt;='Assumptions and Catalog'!$C$63,((D630+E630)*C630)*'Assumptions and Catalog'!$H$63+'Assumptions and Catalog'!$E$63+'Assumptions and Catalog'!$F$63,IF(((D630+E630)*C630)&lt;='Assumptions and Catalog'!$C$64,((D630+E630)*C630)*'Assumptions and Catalog'!$H$64+'Assumptions and Catalog'!$E$64+'Assumptions and Catalog'!$F$64,IF(((D630+E630)*C630)&lt;='Assumptions and Catalog'!$C$65,((D630+E630)*C630)*'Assumptions and Catalog'!$H$65+'Assumptions and Catalog'!$E$65+'Assumptions and Catalog'!$F$65,"Out of range")))))))))*(1+'Assumptions and Catalog'!$C$8)^(A630-1),0)</f>
        <v>8279</v>
      </c>
      <c r="N630" s="5">
        <f>IF(ISNUMBER(Inputs!$L$5),(IF(Inputs!$L$9="Actual flat rate",L630*Inputs!$L$10,IF(Inputs!$C$9="Residential",IF(L630&lt;='Assumptions and Catalog'!$C$50,L630*'Assumptions and Catalog'!$H$50+'Assumptions and Catalog'!$E$50+'Assumptions and Catalog'!$F$50,IF(L630&lt;='Assumptions and Catalog'!$C$51,L630*'Assumptions and Catalog'!$H$51+'Assumptions and Catalog'!$E$51+'Assumptions and Catalog'!$F$51,IF(L630&lt;='Assumptions and Catalog'!$C$52,L630*'Assumptions and Catalog'!$H$52+'Assumptions and Catalog'!$E$52+'Assumptions and Catalog'!$F$52,IF(L630&lt;='Assumptions and Catalog'!$C$53,L630*'Assumptions and Catalog'!$H$53+'Assumptions and Catalog'!$E$53+'Assumptions and Catalog'!$F$53,IF(L630&lt;='Assumptions and Catalog'!$C$54,L630*'Assumptions and Catalog'!$H$54+'Assumptions and Catalog'!$E$54+'Assumptions and Catalog'!$F$54,IF(L630&lt;='Assumptions and Catalog'!$C$55,L630*'Assumptions and Catalog'!$H$55+'Assumptions and Catalog'!$E$55+'Assumptions and Catalog'!$F$55,IF(L630&lt;='Assumptions and Catalog'!$C$56,L630*'Assumptions and Catalog'!$H$56+'Assumptions and Catalog'!$E$56+'Assumptions and Catalog'!$F$56,IF(L630&lt;='Assumptions and Catalog'!$C$57,L630*'Assumptions and Catalog'!$H$57+'Assumptions and Catalog'!$E$57+'Assumptions and Catalog'!$F$57,"Out of range")))))))),IF(L630&lt;='Assumptions and Catalog'!$C$60,L630*'Assumptions and Catalog'!$H$60+'Assumptions and Catalog'!$E$60+'Assumptions and Catalog'!$F$60,IF(L630&lt;='Assumptions and Catalog'!$C$61,L630*'Assumptions and Catalog'!$H$61+'Assumptions and Catalog'!$E$61+'Assumptions and Catalog'!$F$61,IF(L630&lt;='Assumptions and Catalog'!$C$62,L630*'Assumptions and Catalog'!$H$62+'Assumptions and Catalog'!$E$62+'Assumptions and Catalog'!$F$62,IF(L630&lt;='Assumptions and Catalog'!$C$63,L630*'Assumptions and Catalog'!$H$63+'Assumptions and Catalog'!$E$63+'Assumptions and Catalog'!$F$63,IF(L630&lt;='Assumptions and Catalog'!$C$64,L630*'Assumptions and Catalog'!$H$64+'Assumptions and Catalog'!$E$64+'Assumptions and Catalog'!$F$64,IF(L630&lt;='Assumptions and Catalog'!$C$65,L630*'Assumptions and Catalog'!$H$65+'Assumptions and Catalog'!$E$65+'Assumptions and Catalog'!$F$65,"Out of range")))))))))*(1+'Assumptions and Catalog'!$C$8)^(A630-1),0)</f>
        <v>8279</v>
      </c>
      <c r="O630" s="5">
        <f t="shared" si="47"/>
        <v>0</v>
      </c>
      <c r="P630" s="5">
        <f>D$55*(1-K$14)*(1-'Assumptions and Catalog'!$C$23)^R630</f>
        <v>0</v>
      </c>
      <c r="Q630" s="5">
        <f>IF(ISNUMBER(Inputs!$L$5),(IF(Inputs!$L$9="Actual flat rate",((D630+E630)*C630-G630)*Inputs!$L$10,IF(Inputs!$C$9="Residential",IF(((D630+E630)*C630-G630)&lt;='Assumptions and Catalog'!$C$50,((D630+E630)*C630-G630)*'Assumptions and Catalog'!$H$50+'Assumptions and Catalog'!$E$50+'Assumptions and Catalog'!$F$50,IF(((D630+E630)*C630-G630)&lt;='Assumptions and Catalog'!$C$51,((D630+E630)*C630-G630)*'Assumptions and Catalog'!$H$51+'Assumptions and Catalog'!$E$51+'Assumptions and Catalog'!$F$51,IF(((D630+E630)*C630-G630)&lt;='Assumptions and Catalog'!$C$52,((D630+E630)*C630-G630)*'Assumptions and Catalog'!$H$52+'Assumptions and Catalog'!$E$52+'Assumptions and Catalog'!$F$52,IF(((D630+E630)*C630-G630)&lt;='Assumptions and Catalog'!$C$53,((D630+E630)*C630-G630)*'Assumptions and Catalog'!$H$53+'Assumptions and Catalog'!$E$53+'Assumptions and Catalog'!$F$53,IF(((D630+E630)*C630-G630)&lt;='Assumptions and Catalog'!$C$54,((D630+E630)*C630-G630)*'Assumptions and Catalog'!$H$54+'Assumptions and Catalog'!$E$54+'Assumptions and Catalog'!$F$54,IF(((D630+E630)*C630-G630)&lt;='Assumptions and Catalog'!$C$55,((D630+E630)*C630-G630)*'Assumptions and Catalog'!$H$55+'Assumptions and Catalog'!$E$55+'Assumptions and Catalog'!$F$55,IF(((D630+E630)*C630-G630)&lt;='Assumptions and Catalog'!$C$56,((D630+E630)*C630-G630)*'Assumptions and Catalog'!$H$56+'Assumptions and Catalog'!$E$56+'Assumptions and Catalog'!$F$56,IF(((D630+E630)*C630-G630)&lt;='Assumptions and Catalog'!$C$57,((D630+E630)*C630-G630)*'Assumptions and Catalog'!$H$57+'Assumptions and Catalog'!$E$57+'Assumptions and Catalog'!$F$57,"Out of range")))))))),IF(((D630+E630)*C630-G630)&lt;='Assumptions and Catalog'!$C$60,((D630+E630)*C630-G630)*'Assumptions and Catalog'!$H$60+'Assumptions and Catalog'!$E$60+'Assumptions and Catalog'!$F$60,IF(((D630+E630)*C630-G630)&lt;='Assumptions and Catalog'!$C$61,((D630+E630)*C630-G630)*'Assumptions and Catalog'!$H$61+'Assumptions and Catalog'!$E$61+'Assumptions and Catalog'!$F$61,IF(((D630+E630)*C630-G630)&lt;='Assumptions and Catalog'!$C$62,((D630+E630)*C630-G630)*'Assumptions and Catalog'!$H$62+'Assumptions and Catalog'!$E$62+'Assumptions and Catalog'!$F$62,IF(((D630+E630)*C630-G630)&lt;='Assumptions and Catalog'!$C$63,((D630+E630)*C630-G630)*'Assumptions and Catalog'!$H$63+'Assumptions and Catalog'!$E$63+'Assumptions and Catalog'!$F$63,IF(((D630+E630)*C630-G630)&lt;='Assumptions and Catalog'!$C$64,((D630+E630)*C630-G630)*'Assumptions and Catalog'!$H$64+'Assumptions and Catalog'!$E$64+'Assumptions and Catalog'!$F$64,IF(((D630+E630)*C630-G630)&lt;='Assumptions and Catalog'!$C$65,((D630+E630)*C630-G630)*'Assumptions and Catalog'!$H$65+'Assumptions and Catalog'!$E$65+'Assumptions and Catalog'!$F$65,"Out of range")))))))))*(1+'Assumptions and Catalog'!$C$8)^(A630-1),0)</f>
        <v>8279</v>
      </c>
      <c r="R630" s="5">
        <f>IF(AND('Assumptions and Catalog'!$C$19&gt;0,A630&gt;='Assumptions and Catalog'!$C$19),A630-'Assumptions and Catalog'!$C$19,A630-1)</f>
        <v>8</v>
      </c>
      <c r="S630" s="5">
        <f>F630+L630-(D630+E630)*C630-J630-K630-IF(D$52&gt;0,'Assumptions and Catalog'!$C$26*C630,0)</f>
        <v>0</v>
      </c>
      <c r="T630" s="5"/>
      <c r="U630" s="5"/>
    </row>
    <row r="631" spans="1:21" ht="23.1" customHeight="1" outlineLevel="1" x14ac:dyDescent="0.2">
      <c r="A631" s="5">
        <v>19</v>
      </c>
      <c r="B631" s="5">
        <v>5</v>
      </c>
      <c r="C631" s="5">
        <f>DAY(DATE('Assumptions and Catalog'!$C$24+A631-1,B631+1,0))</f>
        <v>31</v>
      </c>
      <c r="D631" s="5">
        <f>IF(ISNUMBER(Inputs!$L$5),Inputs!$L$5*Inputs!$L$6,0)</f>
        <v>40.35</v>
      </c>
      <c r="E631" s="5">
        <f>IF(ISNUMBER(Inputs!$L$5),Inputs!$L$5-D631,0)</f>
        <v>40.35</v>
      </c>
      <c r="F631" s="5">
        <f>D$51*'Assumptions and Catalog'!$C$31*C631*(1-'Assumptions and Catalog'!$C$10)^(A631-1)</f>
        <v>0</v>
      </c>
      <c r="G631" s="5">
        <f t="shared" si="44"/>
        <v>0</v>
      </c>
      <c r="H631" s="5">
        <f>I631/('Assumptions and Catalog'!$C$11*'Assumptions and Catalog'!$C$12)</f>
        <v>0</v>
      </c>
      <c r="I631" s="5">
        <f>IF(K$15="Grid cycle",MIN(K$16,D631+E631,P631*'Assumptions and Catalog'!$C$12,D$57*(24-'Assumptions and Catalog'!$C$15),D$56*'Assumptions and Catalog'!$C$15*'Assumptions and Catalog'!$C$11*'Assumptions and Catalog'!$C$12)*C631,0)</f>
        <v>0</v>
      </c>
      <c r="J631" s="5">
        <f t="shared" si="45"/>
        <v>0</v>
      </c>
      <c r="K631" s="5">
        <f t="shared" si="46"/>
        <v>0</v>
      </c>
      <c r="L631" s="5">
        <f>(D631+E631)*C631-G631-I631+H631+IF(D$52&gt;0,'Assumptions and Catalog'!$C$26*C631,0)</f>
        <v>2501.7000000000003</v>
      </c>
      <c r="M631" s="5">
        <f>IF(ISNUMBER(Inputs!$L$5),(IF(Inputs!$L$9="Actual flat rate",((D631+E631)*C631)*Inputs!$L$10,IF(Inputs!$C$9="Residential",IF(((D631+E631)*C631)&lt;='Assumptions and Catalog'!$C$50,((D631+E631)*C631)*'Assumptions and Catalog'!$H$50+'Assumptions and Catalog'!$E$50+'Assumptions and Catalog'!$F$50,IF(((D631+E631)*C631)&lt;='Assumptions and Catalog'!$C$51,((D631+E631)*C631)*'Assumptions and Catalog'!$H$51+'Assumptions and Catalog'!$E$51+'Assumptions and Catalog'!$F$51,IF(((D631+E631)*C631)&lt;='Assumptions and Catalog'!$C$52,((D631+E631)*C631)*'Assumptions and Catalog'!$H$52+'Assumptions and Catalog'!$E$52+'Assumptions and Catalog'!$F$52,IF(((D631+E631)*C631)&lt;='Assumptions and Catalog'!$C$53,((D631+E631)*C631)*'Assumptions and Catalog'!$H$53+'Assumptions and Catalog'!$E$53+'Assumptions and Catalog'!$F$53,IF(((D631+E631)*C631)&lt;='Assumptions and Catalog'!$C$54,((D631+E631)*C631)*'Assumptions and Catalog'!$H$54+'Assumptions and Catalog'!$E$54+'Assumptions and Catalog'!$F$54,IF(((D631+E631)*C631)&lt;='Assumptions and Catalog'!$C$55,((D631+E631)*C631)*'Assumptions and Catalog'!$H$55+'Assumptions and Catalog'!$E$55+'Assumptions and Catalog'!$F$55,IF(((D631+E631)*C631)&lt;='Assumptions and Catalog'!$C$56,((D631+E631)*C631)*'Assumptions and Catalog'!$H$56+'Assumptions and Catalog'!$E$56+'Assumptions and Catalog'!$F$56,IF(((D631+E631)*C631)&lt;='Assumptions and Catalog'!$C$57,((D631+E631)*C631)*'Assumptions and Catalog'!$H$57+'Assumptions and Catalog'!$E$57+'Assumptions and Catalog'!$F$57,"Out of range")))))))),IF(((D631+E631)*C631)&lt;='Assumptions and Catalog'!$C$60,((D631+E631)*C631)*'Assumptions and Catalog'!$H$60+'Assumptions and Catalog'!$E$60+'Assumptions and Catalog'!$F$60,IF(((D631+E631)*C631)&lt;='Assumptions and Catalog'!$C$61,((D631+E631)*C631)*'Assumptions and Catalog'!$H$61+'Assumptions and Catalog'!$E$61+'Assumptions and Catalog'!$F$61,IF(((D631+E631)*C631)&lt;='Assumptions and Catalog'!$C$62,((D631+E631)*C631)*'Assumptions and Catalog'!$H$62+'Assumptions and Catalog'!$E$62+'Assumptions and Catalog'!$F$62,IF(((D631+E631)*C631)&lt;='Assumptions and Catalog'!$C$63,((D631+E631)*C631)*'Assumptions and Catalog'!$H$63+'Assumptions and Catalog'!$E$63+'Assumptions and Catalog'!$F$63,IF(((D631+E631)*C631)&lt;='Assumptions and Catalog'!$C$64,((D631+E631)*C631)*'Assumptions and Catalog'!$H$64+'Assumptions and Catalog'!$E$64+'Assumptions and Catalog'!$F$64,IF(((D631+E631)*C631)&lt;='Assumptions and Catalog'!$C$65,((D631+E631)*C631)*'Assumptions and Catalog'!$H$65+'Assumptions and Catalog'!$E$65+'Assumptions and Catalog'!$F$65,"Out of range")))))))))*(1+'Assumptions and Catalog'!$C$8)^(A631-1),0)</f>
        <v>8554.9666666666672</v>
      </c>
      <c r="N631" s="5">
        <f>IF(ISNUMBER(Inputs!$L$5),(IF(Inputs!$L$9="Actual flat rate",L631*Inputs!$L$10,IF(Inputs!$C$9="Residential",IF(L631&lt;='Assumptions and Catalog'!$C$50,L631*'Assumptions and Catalog'!$H$50+'Assumptions and Catalog'!$E$50+'Assumptions and Catalog'!$F$50,IF(L631&lt;='Assumptions and Catalog'!$C$51,L631*'Assumptions and Catalog'!$H$51+'Assumptions and Catalog'!$E$51+'Assumptions and Catalog'!$F$51,IF(L631&lt;='Assumptions and Catalog'!$C$52,L631*'Assumptions and Catalog'!$H$52+'Assumptions and Catalog'!$E$52+'Assumptions and Catalog'!$F$52,IF(L631&lt;='Assumptions and Catalog'!$C$53,L631*'Assumptions and Catalog'!$H$53+'Assumptions and Catalog'!$E$53+'Assumptions and Catalog'!$F$53,IF(L631&lt;='Assumptions and Catalog'!$C$54,L631*'Assumptions and Catalog'!$H$54+'Assumptions and Catalog'!$E$54+'Assumptions and Catalog'!$F$54,IF(L631&lt;='Assumptions and Catalog'!$C$55,L631*'Assumptions and Catalog'!$H$55+'Assumptions and Catalog'!$E$55+'Assumptions and Catalog'!$F$55,IF(L631&lt;='Assumptions and Catalog'!$C$56,L631*'Assumptions and Catalog'!$H$56+'Assumptions and Catalog'!$E$56+'Assumptions and Catalog'!$F$56,IF(L631&lt;='Assumptions and Catalog'!$C$57,L631*'Assumptions and Catalog'!$H$57+'Assumptions and Catalog'!$E$57+'Assumptions and Catalog'!$F$57,"Out of range")))))))),IF(L631&lt;='Assumptions and Catalog'!$C$60,L631*'Assumptions and Catalog'!$H$60+'Assumptions and Catalog'!$E$60+'Assumptions and Catalog'!$F$60,IF(L631&lt;='Assumptions and Catalog'!$C$61,L631*'Assumptions and Catalog'!$H$61+'Assumptions and Catalog'!$E$61+'Assumptions and Catalog'!$F$61,IF(L631&lt;='Assumptions and Catalog'!$C$62,L631*'Assumptions and Catalog'!$H$62+'Assumptions and Catalog'!$E$62+'Assumptions and Catalog'!$F$62,IF(L631&lt;='Assumptions and Catalog'!$C$63,L631*'Assumptions and Catalog'!$H$63+'Assumptions and Catalog'!$E$63+'Assumptions and Catalog'!$F$63,IF(L631&lt;='Assumptions and Catalog'!$C$64,L631*'Assumptions and Catalog'!$H$64+'Assumptions and Catalog'!$E$64+'Assumptions and Catalog'!$F$64,IF(L631&lt;='Assumptions and Catalog'!$C$65,L631*'Assumptions and Catalog'!$H$65+'Assumptions and Catalog'!$E$65+'Assumptions and Catalog'!$F$65,"Out of range")))))))))*(1+'Assumptions and Catalog'!$C$8)^(A631-1),0)</f>
        <v>8554.9666666666672</v>
      </c>
      <c r="O631" s="5">
        <f t="shared" si="47"/>
        <v>0</v>
      </c>
      <c r="P631" s="5">
        <f>D$55*(1-K$14)*(1-'Assumptions and Catalog'!$C$23)^R631</f>
        <v>0</v>
      </c>
      <c r="Q631" s="5">
        <f>IF(ISNUMBER(Inputs!$L$5),(IF(Inputs!$L$9="Actual flat rate",((D631+E631)*C631-G631)*Inputs!$L$10,IF(Inputs!$C$9="Residential",IF(((D631+E631)*C631-G631)&lt;='Assumptions and Catalog'!$C$50,((D631+E631)*C631-G631)*'Assumptions and Catalog'!$H$50+'Assumptions and Catalog'!$E$50+'Assumptions and Catalog'!$F$50,IF(((D631+E631)*C631-G631)&lt;='Assumptions and Catalog'!$C$51,((D631+E631)*C631-G631)*'Assumptions and Catalog'!$H$51+'Assumptions and Catalog'!$E$51+'Assumptions and Catalog'!$F$51,IF(((D631+E631)*C631-G631)&lt;='Assumptions and Catalog'!$C$52,((D631+E631)*C631-G631)*'Assumptions and Catalog'!$H$52+'Assumptions and Catalog'!$E$52+'Assumptions and Catalog'!$F$52,IF(((D631+E631)*C631-G631)&lt;='Assumptions and Catalog'!$C$53,((D631+E631)*C631-G631)*'Assumptions and Catalog'!$H$53+'Assumptions and Catalog'!$E$53+'Assumptions and Catalog'!$F$53,IF(((D631+E631)*C631-G631)&lt;='Assumptions and Catalog'!$C$54,((D631+E631)*C631-G631)*'Assumptions and Catalog'!$H$54+'Assumptions and Catalog'!$E$54+'Assumptions and Catalog'!$F$54,IF(((D631+E631)*C631-G631)&lt;='Assumptions and Catalog'!$C$55,((D631+E631)*C631-G631)*'Assumptions and Catalog'!$H$55+'Assumptions and Catalog'!$E$55+'Assumptions and Catalog'!$F$55,IF(((D631+E631)*C631-G631)&lt;='Assumptions and Catalog'!$C$56,((D631+E631)*C631-G631)*'Assumptions and Catalog'!$H$56+'Assumptions and Catalog'!$E$56+'Assumptions and Catalog'!$F$56,IF(((D631+E631)*C631-G631)&lt;='Assumptions and Catalog'!$C$57,((D631+E631)*C631-G631)*'Assumptions and Catalog'!$H$57+'Assumptions and Catalog'!$E$57+'Assumptions and Catalog'!$F$57,"Out of range")))))))),IF(((D631+E631)*C631-G631)&lt;='Assumptions and Catalog'!$C$60,((D631+E631)*C631-G631)*'Assumptions and Catalog'!$H$60+'Assumptions and Catalog'!$E$60+'Assumptions and Catalog'!$F$60,IF(((D631+E631)*C631-G631)&lt;='Assumptions and Catalog'!$C$61,((D631+E631)*C631-G631)*'Assumptions and Catalog'!$H$61+'Assumptions and Catalog'!$E$61+'Assumptions and Catalog'!$F$61,IF(((D631+E631)*C631-G631)&lt;='Assumptions and Catalog'!$C$62,((D631+E631)*C631-G631)*'Assumptions and Catalog'!$H$62+'Assumptions and Catalog'!$E$62+'Assumptions and Catalog'!$F$62,IF(((D631+E631)*C631-G631)&lt;='Assumptions and Catalog'!$C$63,((D631+E631)*C631-G631)*'Assumptions and Catalog'!$H$63+'Assumptions and Catalog'!$E$63+'Assumptions and Catalog'!$F$63,IF(((D631+E631)*C631-G631)&lt;='Assumptions and Catalog'!$C$64,((D631+E631)*C631-G631)*'Assumptions and Catalog'!$H$64+'Assumptions and Catalog'!$E$64+'Assumptions and Catalog'!$F$64,IF(((D631+E631)*C631-G631)&lt;='Assumptions and Catalog'!$C$65,((D631+E631)*C631-G631)*'Assumptions and Catalog'!$H$65+'Assumptions and Catalog'!$E$65+'Assumptions and Catalog'!$F$65,"Out of range")))))))))*(1+'Assumptions and Catalog'!$C$8)^(A631-1),0)</f>
        <v>8554.9666666666672</v>
      </c>
      <c r="R631" s="5">
        <f>IF(AND('Assumptions and Catalog'!$C$19&gt;0,A631&gt;='Assumptions and Catalog'!$C$19),A631-'Assumptions and Catalog'!$C$19,A631-1)</f>
        <v>8</v>
      </c>
      <c r="S631" s="5">
        <f>F631+L631-(D631+E631)*C631-J631-K631-IF(D$52&gt;0,'Assumptions and Catalog'!$C$26*C631,0)</f>
        <v>0</v>
      </c>
      <c r="T631" s="5"/>
      <c r="U631" s="5"/>
    </row>
    <row r="632" spans="1:21" ht="23.1" customHeight="1" outlineLevel="1" x14ac:dyDescent="0.2">
      <c r="A632" s="5">
        <v>19</v>
      </c>
      <c r="B632" s="5">
        <v>6</v>
      </c>
      <c r="C632" s="5">
        <f>DAY(DATE('Assumptions and Catalog'!$C$24+A632-1,B632+1,0))</f>
        <v>30</v>
      </c>
      <c r="D632" s="5">
        <f>IF(ISNUMBER(Inputs!$L$5),Inputs!$L$5*Inputs!$L$6,0)</f>
        <v>40.35</v>
      </c>
      <c r="E632" s="5">
        <f>IF(ISNUMBER(Inputs!$L$5),Inputs!$L$5-D632,0)</f>
        <v>40.35</v>
      </c>
      <c r="F632" s="5">
        <f>D$51*'Assumptions and Catalog'!$C$31*C632*(1-'Assumptions and Catalog'!$C$10)^(A632-1)</f>
        <v>0</v>
      </c>
      <c r="G632" s="5">
        <f t="shared" si="44"/>
        <v>0</v>
      </c>
      <c r="H632" s="5">
        <f>I632/('Assumptions and Catalog'!$C$11*'Assumptions and Catalog'!$C$12)</f>
        <v>0</v>
      </c>
      <c r="I632" s="5">
        <f>IF(K$15="Grid cycle",MIN(K$16,D632+E632,P632*'Assumptions and Catalog'!$C$12,D$57*(24-'Assumptions and Catalog'!$C$15),D$56*'Assumptions and Catalog'!$C$15*'Assumptions and Catalog'!$C$11*'Assumptions and Catalog'!$C$12)*C632,0)</f>
        <v>0</v>
      </c>
      <c r="J632" s="5">
        <f t="shared" si="45"/>
        <v>0</v>
      </c>
      <c r="K632" s="5">
        <f t="shared" si="46"/>
        <v>0</v>
      </c>
      <c r="L632" s="5">
        <f>(D632+E632)*C632-G632-I632+H632+IF(D$52&gt;0,'Assumptions and Catalog'!$C$26*C632,0)</f>
        <v>2421</v>
      </c>
      <c r="M632" s="5">
        <f>IF(ISNUMBER(Inputs!$L$5),(IF(Inputs!$L$9="Actual flat rate",((D632+E632)*C632)*Inputs!$L$10,IF(Inputs!$C$9="Residential",IF(((D632+E632)*C632)&lt;='Assumptions and Catalog'!$C$50,((D632+E632)*C632)*'Assumptions and Catalog'!$H$50+'Assumptions and Catalog'!$E$50+'Assumptions and Catalog'!$F$50,IF(((D632+E632)*C632)&lt;='Assumptions and Catalog'!$C$51,((D632+E632)*C632)*'Assumptions and Catalog'!$H$51+'Assumptions and Catalog'!$E$51+'Assumptions and Catalog'!$F$51,IF(((D632+E632)*C632)&lt;='Assumptions and Catalog'!$C$52,((D632+E632)*C632)*'Assumptions and Catalog'!$H$52+'Assumptions and Catalog'!$E$52+'Assumptions and Catalog'!$F$52,IF(((D632+E632)*C632)&lt;='Assumptions and Catalog'!$C$53,((D632+E632)*C632)*'Assumptions and Catalog'!$H$53+'Assumptions and Catalog'!$E$53+'Assumptions and Catalog'!$F$53,IF(((D632+E632)*C632)&lt;='Assumptions and Catalog'!$C$54,((D632+E632)*C632)*'Assumptions and Catalog'!$H$54+'Assumptions and Catalog'!$E$54+'Assumptions and Catalog'!$F$54,IF(((D632+E632)*C632)&lt;='Assumptions and Catalog'!$C$55,((D632+E632)*C632)*'Assumptions and Catalog'!$H$55+'Assumptions and Catalog'!$E$55+'Assumptions and Catalog'!$F$55,IF(((D632+E632)*C632)&lt;='Assumptions and Catalog'!$C$56,((D632+E632)*C632)*'Assumptions and Catalog'!$H$56+'Assumptions and Catalog'!$E$56+'Assumptions and Catalog'!$F$56,IF(((D632+E632)*C632)&lt;='Assumptions and Catalog'!$C$57,((D632+E632)*C632)*'Assumptions and Catalog'!$H$57+'Assumptions and Catalog'!$E$57+'Assumptions and Catalog'!$F$57,"Out of range")))))))),IF(((D632+E632)*C632)&lt;='Assumptions and Catalog'!$C$60,((D632+E632)*C632)*'Assumptions and Catalog'!$H$60+'Assumptions and Catalog'!$E$60+'Assumptions and Catalog'!$F$60,IF(((D632+E632)*C632)&lt;='Assumptions and Catalog'!$C$61,((D632+E632)*C632)*'Assumptions and Catalog'!$H$61+'Assumptions and Catalog'!$E$61+'Assumptions and Catalog'!$F$61,IF(((D632+E632)*C632)&lt;='Assumptions and Catalog'!$C$62,((D632+E632)*C632)*'Assumptions and Catalog'!$H$62+'Assumptions and Catalog'!$E$62+'Assumptions and Catalog'!$F$62,IF(((D632+E632)*C632)&lt;='Assumptions and Catalog'!$C$63,((D632+E632)*C632)*'Assumptions and Catalog'!$H$63+'Assumptions and Catalog'!$E$63+'Assumptions and Catalog'!$F$63,IF(((D632+E632)*C632)&lt;='Assumptions and Catalog'!$C$64,((D632+E632)*C632)*'Assumptions and Catalog'!$H$64+'Assumptions and Catalog'!$E$64+'Assumptions and Catalog'!$F$64,IF(((D632+E632)*C632)&lt;='Assumptions and Catalog'!$C$65,((D632+E632)*C632)*'Assumptions and Catalog'!$H$65+'Assumptions and Catalog'!$E$65+'Assumptions and Catalog'!$F$65,"Out of range")))))))))*(1+'Assumptions and Catalog'!$C$8)^(A632-1),0)</f>
        <v>8279</v>
      </c>
      <c r="N632" s="5">
        <f>IF(ISNUMBER(Inputs!$L$5),(IF(Inputs!$L$9="Actual flat rate",L632*Inputs!$L$10,IF(Inputs!$C$9="Residential",IF(L632&lt;='Assumptions and Catalog'!$C$50,L632*'Assumptions and Catalog'!$H$50+'Assumptions and Catalog'!$E$50+'Assumptions and Catalog'!$F$50,IF(L632&lt;='Assumptions and Catalog'!$C$51,L632*'Assumptions and Catalog'!$H$51+'Assumptions and Catalog'!$E$51+'Assumptions and Catalog'!$F$51,IF(L632&lt;='Assumptions and Catalog'!$C$52,L632*'Assumptions and Catalog'!$H$52+'Assumptions and Catalog'!$E$52+'Assumptions and Catalog'!$F$52,IF(L632&lt;='Assumptions and Catalog'!$C$53,L632*'Assumptions and Catalog'!$H$53+'Assumptions and Catalog'!$E$53+'Assumptions and Catalog'!$F$53,IF(L632&lt;='Assumptions and Catalog'!$C$54,L632*'Assumptions and Catalog'!$H$54+'Assumptions and Catalog'!$E$54+'Assumptions and Catalog'!$F$54,IF(L632&lt;='Assumptions and Catalog'!$C$55,L632*'Assumptions and Catalog'!$H$55+'Assumptions and Catalog'!$E$55+'Assumptions and Catalog'!$F$55,IF(L632&lt;='Assumptions and Catalog'!$C$56,L632*'Assumptions and Catalog'!$H$56+'Assumptions and Catalog'!$E$56+'Assumptions and Catalog'!$F$56,IF(L632&lt;='Assumptions and Catalog'!$C$57,L632*'Assumptions and Catalog'!$H$57+'Assumptions and Catalog'!$E$57+'Assumptions and Catalog'!$F$57,"Out of range")))))))),IF(L632&lt;='Assumptions and Catalog'!$C$60,L632*'Assumptions and Catalog'!$H$60+'Assumptions and Catalog'!$E$60+'Assumptions and Catalog'!$F$60,IF(L632&lt;='Assumptions and Catalog'!$C$61,L632*'Assumptions and Catalog'!$H$61+'Assumptions and Catalog'!$E$61+'Assumptions and Catalog'!$F$61,IF(L632&lt;='Assumptions and Catalog'!$C$62,L632*'Assumptions and Catalog'!$H$62+'Assumptions and Catalog'!$E$62+'Assumptions and Catalog'!$F$62,IF(L632&lt;='Assumptions and Catalog'!$C$63,L632*'Assumptions and Catalog'!$H$63+'Assumptions and Catalog'!$E$63+'Assumptions and Catalog'!$F$63,IF(L632&lt;='Assumptions and Catalog'!$C$64,L632*'Assumptions and Catalog'!$H$64+'Assumptions and Catalog'!$E$64+'Assumptions and Catalog'!$F$64,IF(L632&lt;='Assumptions and Catalog'!$C$65,L632*'Assumptions and Catalog'!$H$65+'Assumptions and Catalog'!$E$65+'Assumptions and Catalog'!$F$65,"Out of range")))))))))*(1+'Assumptions and Catalog'!$C$8)^(A632-1),0)</f>
        <v>8279</v>
      </c>
      <c r="O632" s="5">
        <f t="shared" si="47"/>
        <v>0</v>
      </c>
      <c r="P632" s="5">
        <f>D$55*(1-K$14)*(1-'Assumptions and Catalog'!$C$23)^R632</f>
        <v>0</v>
      </c>
      <c r="Q632" s="5">
        <f>IF(ISNUMBER(Inputs!$L$5),(IF(Inputs!$L$9="Actual flat rate",((D632+E632)*C632-G632)*Inputs!$L$10,IF(Inputs!$C$9="Residential",IF(((D632+E632)*C632-G632)&lt;='Assumptions and Catalog'!$C$50,((D632+E632)*C632-G632)*'Assumptions and Catalog'!$H$50+'Assumptions and Catalog'!$E$50+'Assumptions and Catalog'!$F$50,IF(((D632+E632)*C632-G632)&lt;='Assumptions and Catalog'!$C$51,((D632+E632)*C632-G632)*'Assumptions and Catalog'!$H$51+'Assumptions and Catalog'!$E$51+'Assumptions and Catalog'!$F$51,IF(((D632+E632)*C632-G632)&lt;='Assumptions and Catalog'!$C$52,((D632+E632)*C632-G632)*'Assumptions and Catalog'!$H$52+'Assumptions and Catalog'!$E$52+'Assumptions and Catalog'!$F$52,IF(((D632+E632)*C632-G632)&lt;='Assumptions and Catalog'!$C$53,((D632+E632)*C632-G632)*'Assumptions and Catalog'!$H$53+'Assumptions and Catalog'!$E$53+'Assumptions and Catalog'!$F$53,IF(((D632+E632)*C632-G632)&lt;='Assumptions and Catalog'!$C$54,((D632+E632)*C632-G632)*'Assumptions and Catalog'!$H$54+'Assumptions and Catalog'!$E$54+'Assumptions and Catalog'!$F$54,IF(((D632+E632)*C632-G632)&lt;='Assumptions and Catalog'!$C$55,((D632+E632)*C632-G632)*'Assumptions and Catalog'!$H$55+'Assumptions and Catalog'!$E$55+'Assumptions and Catalog'!$F$55,IF(((D632+E632)*C632-G632)&lt;='Assumptions and Catalog'!$C$56,((D632+E632)*C632-G632)*'Assumptions and Catalog'!$H$56+'Assumptions and Catalog'!$E$56+'Assumptions and Catalog'!$F$56,IF(((D632+E632)*C632-G632)&lt;='Assumptions and Catalog'!$C$57,((D632+E632)*C632-G632)*'Assumptions and Catalog'!$H$57+'Assumptions and Catalog'!$E$57+'Assumptions and Catalog'!$F$57,"Out of range")))))))),IF(((D632+E632)*C632-G632)&lt;='Assumptions and Catalog'!$C$60,((D632+E632)*C632-G632)*'Assumptions and Catalog'!$H$60+'Assumptions and Catalog'!$E$60+'Assumptions and Catalog'!$F$60,IF(((D632+E632)*C632-G632)&lt;='Assumptions and Catalog'!$C$61,((D632+E632)*C632-G632)*'Assumptions and Catalog'!$H$61+'Assumptions and Catalog'!$E$61+'Assumptions and Catalog'!$F$61,IF(((D632+E632)*C632-G632)&lt;='Assumptions and Catalog'!$C$62,((D632+E632)*C632-G632)*'Assumptions and Catalog'!$H$62+'Assumptions and Catalog'!$E$62+'Assumptions and Catalog'!$F$62,IF(((D632+E632)*C632-G632)&lt;='Assumptions and Catalog'!$C$63,((D632+E632)*C632-G632)*'Assumptions and Catalog'!$H$63+'Assumptions and Catalog'!$E$63+'Assumptions and Catalog'!$F$63,IF(((D632+E632)*C632-G632)&lt;='Assumptions and Catalog'!$C$64,((D632+E632)*C632-G632)*'Assumptions and Catalog'!$H$64+'Assumptions and Catalog'!$E$64+'Assumptions and Catalog'!$F$64,IF(((D632+E632)*C632-G632)&lt;='Assumptions and Catalog'!$C$65,((D632+E632)*C632-G632)*'Assumptions and Catalog'!$H$65+'Assumptions and Catalog'!$E$65+'Assumptions and Catalog'!$F$65,"Out of range")))))))))*(1+'Assumptions and Catalog'!$C$8)^(A632-1),0)</f>
        <v>8279</v>
      </c>
      <c r="R632" s="5">
        <f>IF(AND('Assumptions and Catalog'!$C$19&gt;0,A632&gt;='Assumptions and Catalog'!$C$19),A632-'Assumptions and Catalog'!$C$19,A632-1)</f>
        <v>8</v>
      </c>
      <c r="S632" s="5">
        <f>F632+L632-(D632+E632)*C632-J632-K632-IF(D$52&gt;0,'Assumptions and Catalog'!$C$26*C632,0)</f>
        <v>0</v>
      </c>
      <c r="T632" s="5"/>
      <c r="U632" s="5"/>
    </row>
    <row r="633" spans="1:21" ht="23.1" customHeight="1" outlineLevel="1" x14ac:dyDescent="0.2">
      <c r="A633" s="5">
        <v>19</v>
      </c>
      <c r="B633" s="5">
        <v>7</v>
      </c>
      <c r="C633" s="5">
        <f>DAY(DATE('Assumptions and Catalog'!$C$24+A633-1,B633+1,0))</f>
        <v>31</v>
      </c>
      <c r="D633" s="5">
        <f>IF(ISNUMBER(Inputs!$L$5),Inputs!$L$5*Inputs!$L$6,0)</f>
        <v>40.35</v>
      </c>
      <c r="E633" s="5">
        <f>IF(ISNUMBER(Inputs!$L$5),Inputs!$L$5-D633,0)</f>
        <v>40.35</v>
      </c>
      <c r="F633" s="5">
        <f>D$51*'Assumptions and Catalog'!$C$31*C633*(1-'Assumptions and Catalog'!$C$10)^(A633-1)</f>
        <v>0</v>
      </c>
      <c r="G633" s="5">
        <f t="shared" si="44"/>
        <v>0</v>
      </c>
      <c r="H633" s="5">
        <f>I633/('Assumptions and Catalog'!$C$11*'Assumptions and Catalog'!$C$12)</f>
        <v>0</v>
      </c>
      <c r="I633" s="5">
        <f>IF(K$15="Grid cycle",MIN(K$16,D633+E633,P633*'Assumptions and Catalog'!$C$12,D$57*(24-'Assumptions and Catalog'!$C$15),D$56*'Assumptions and Catalog'!$C$15*'Assumptions and Catalog'!$C$11*'Assumptions and Catalog'!$C$12)*C633,0)</f>
        <v>0</v>
      </c>
      <c r="J633" s="5">
        <f t="shared" si="45"/>
        <v>0</v>
      </c>
      <c r="K633" s="5">
        <f t="shared" si="46"/>
        <v>0</v>
      </c>
      <c r="L633" s="5">
        <f>(D633+E633)*C633-G633-I633+H633+IF(D$52&gt;0,'Assumptions and Catalog'!$C$26*C633,0)</f>
        <v>2501.7000000000003</v>
      </c>
      <c r="M633" s="5">
        <f>IF(ISNUMBER(Inputs!$L$5),(IF(Inputs!$L$9="Actual flat rate",((D633+E633)*C633)*Inputs!$L$10,IF(Inputs!$C$9="Residential",IF(((D633+E633)*C633)&lt;='Assumptions and Catalog'!$C$50,((D633+E633)*C633)*'Assumptions and Catalog'!$H$50+'Assumptions and Catalog'!$E$50+'Assumptions and Catalog'!$F$50,IF(((D633+E633)*C633)&lt;='Assumptions and Catalog'!$C$51,((D633+E633)*C633)*'Assumptions and Catalog'!$H$51+'Assumptions and Catalog'!$E$51+'Assumptions and Catalog'!$F$51,IF(((D633+E633)*C633)&lt;='Assumptions and Catalog'!$C$52,((D633+E633)*C633)*'Assumptions and Catalog'!$H$52+'Assumptions and Catalog'!$E$52+'Assumptions and Catalog'!$F$52,IF(((D633+E633)*C633)&lt;='Assumptions and Catalog'!$C$53,((D633+E633)*C633)*'Assumptions and Catalog'!$H$53+'Assumptions and Catalog'!$E$53+'Assumptions and Catalog'!$F$53,IF(((D633+E633)*C633)&lt;='Assumptions and Catalog'!$C$54,((D633+E633)*C633)*'Assumptions and Catalog'!$H$54+'Assumptions and Catalog'!$E$54+'Assumptions and Catalog'!$F$54,IF(((D633+E633)*C633)&lt;='Assumptions and Catalog'!$C$55,((D633+E633)*C633)*'Assumptions and Catalog'!$H$55+'Assumptions and Catalog'!$E$55+'Assumptions and Catalog'!$F$55,IF(((D633+E633)*C633)&lt;='Assumptions and Catalog'!$C$56,((D633+E633)*C633)*'Assumptions and Catalog'!$H$56+'Assumptions and Catalog'!$E$56+'Assumptions and Catalog'!$F$56,IF(((D633+E633)*C633)&lt;='Assumptions and Catalog'!$C$57,((D633+E633)*C633)*'Assumptions and Catalog'!$H$57+'Assumptions and Catalog'!$E$57+'Assumptions and Catalog'!$F$57,"Out of range")))))))),IF(((D633+E633)*C633)&lt;='Assumptions and Catalog'!$C$60,((D633+E633)*C633)*'Assumptions and Catalog'!$H$60+'Assumptions and Catalog'!$E$60+'Assumptions and Catalog'!$F$60,IF(((D633+E633)*C633)&lt;='Assumptions and Catalog'!$C$61,((D633+E633)*C633)*'Assumptions and Catalog'!$H$61+'Assumptions and Catalog'!$E$61+'Assumptions and Catalog'!$F$61,IF(((D633+E633)*C633)&lt;='Assumptions and Catalog'!$C$62,((D633+E633)*C633)*'Assumptions and Catalog'!$H$62+'Assumptions and Catalog'!$E$62+'Assumptions and Catalog'!$F$62,IF(((D633+E633)*C633)&lt;='Assumptions and Catalog'!$C$63,((D633+E633)*C633)*'Assumptions and Catalog'!$H$63+'Assumptions and Catalog'!$E$63+'Assumptions and Catalog'!$F$63,IF(((D633+E633)*C633)&lt;='Assumptions and Catalog'!$C$64,((D633+E633)*C633)*'Assumptions and Catalog'!$H$64+'Assumptions and Catalog'!$E$64+'Assumptions and Catalog'!$F$64,IF(((D633+E633)*C633)&lt;='Assumptions and Catalog'!$C$65,((D633+E633)*C633)*'Assumptions and Catalog'!$H$65+'Assumptions and Catalog'!$E$65+'Assumptions and Catalog'!$F$65,"Out of range")))))))))*(1+'Assumptions and Catalog'!$C$8)^(A633-1),0)</f>
        <v>8554.9666666666672</v>
      </c>
      <c r="N633" s="5">
        <f>IF(ISNUMBER(Inputs!$L$5),(IF(Inputs!$L$9="Actual flat rate",L633*Inputs!$L$10,IF(Inputs!$C$9="Residential",IF(L633&lt;='Assumptions and Catalog'!$C$50,L633*'Assumptions and Catalog'!$H$50+'Assumptions and Catalog'!$E$50+'Assumptions and Catalog'!$F$50,IF(L633&lt;='Assumptions and Catalog'!$C$51,L633*'Assumptions and Catalog'!$H$51+'Assumptions and Catalog'!$E$51+'Assumptions and Catalog'!$F$51,IF(L633&lt;='Assumptions and Catalog'!$C$52,L633*'Assumptions and Catalog'!$H$52+'Assumptions and Catalog'!$E$52+'Assumptions and Catalog'!$F$52,IF(L633&lt;='Assumptions and Catalog'!$C$53,L633*'Assumptions and Catalog'!$H$53+'Assumptions and Catalog'!$E$53+'Assumptions and Catalog'!$F$53,IF(L633&lt;='Assumptions and Catalog'!$C$54,L633*'Assumptions and Catalog'!$H$54+'Assumptions and Catalog'!$E$54+'Assumptions and Catalog'!$F$54,IF(L633&lt;='Assumptions and Catalog'!$C$55,L633*'Assumptions and Catalog'!$H$55+'Assumptions and Catalog'!$E$55+'Assumptions and Catalog'!$F$55,IF(L633&lt;='Assumptions and Catalog'!$C$56,L633*'Assumptions and Catalog'!$H$56+'Assumptions and Catalog'!$E$56+'Assumptions and Catalog'!$F$56,IF(L633&lt;='Assumptions and Catalog'!$C$57,L633*'Assumptions and Catalog'!$H$57+'Assumptions and Catalog'!$E$57+'Assumptions and Catalog'!$F$57,"Out of range")))))))),IF(L633&lt;='Assumptions and Catalog'!$C$60,L633*'Assumptions and Catalog'!$H$60+'Assumptions and Catalog'!$E$60+'Assumptions and Catalog'!$F$60,IF(L633&lt;='Assumptions and Catalog'!$C$61,L633*'Assumptions and Catalog'!$H$61+'Assumptions and Catalog'!$E$61+'Assumptions and Catalog'!$F$61,IF(L633&lt;='Assumptions and Catalog'!$C$62,L633*'Assumptions and Catalog'!$H$62+'Assumptions and Catalog'!$E$62+'Assumptions and Catalog'!$F$62,IF(L633&lt;='Assumptions and Catalog'!$C$63,L633*'Assumptions and Catalog'!$H$63+'Assumptions and Catalog'!$E$63+'Assumptions and Catalog'!$F$63,IF(L633&lt;='Assumptions and Catalog'!$C$64,L633*'Assumptions and Catalog'!$H$64+'Assumptions and Catalog'!$E$64+'Assumptions and Catalog'!$F$64,IF(L633&lt;='Assumptions and Catalog'!$C$65,L633*'Assumptions and Catalog'!$H$65+'Assumptions and Catalog'!$E$65+'Assumptions and Catalog'!$F$65,"Out of range")))))))))*(1+'Assumptions and Catalog'!$C$8)^(A633-1),0)</f>
        <v>8554.9666666666672</v>
      </c>
      <c r="O633" s="5">
        <f t="shared" si="47"/>
        <v>0</v>
      </c>
      <c r="P633" s="5">
        <f>D$55*(1-K$14)*(1-'Assumptions and Catalog'!$C$23)^R633</f>
        <v>0</v>
      </c>
      <c r="Q633" s="5">
        <f>IF(ISNUMBER(Inputs!$L$5),(IF(Inputs!$L$9="Actual flat rate",((D633+E633)*C633-G633)*Inputs!$L$10,IF(Inputs!$C$9="Residential",IF(((D633+E633)*C633-G633)&lt;='Assumptions and Catalog'!$C$50,((D633+E633)*C633-G633)*'Assumptions and Catalog'!$H$50+'Assumptions and Catalog'!$E$50+'Assumptions and Catalog'!$F$50,IF(((D633+E633)*C633-G633)&lt;='Assumptions and Catalog'!$C$51,((D633+E633)*C633-G633)*'Assumptions and Catalog'!$H$51+'Assumptions and Catalog'!$E$51+'Assumptions and Catalog'!$F$51,IF(((D633+E633)*C633-G633)&lt;='Assumptions and Catalog'!$C$52,((D633+E633)*C633-G633)*'Assumptions and Catalog'!$H$52+'Assumptions and Catalog'!$E$52+'Assumptions and Catalog'!$F$52,IF(((D633+E633)*C633-G633)&lt;='Assumptions and Catalog'!$C$53,((D633+E633)*C633-G633)*'Assumptions and Catalog'!$H$53+'Assumptions and Catalog'!$E$53+'Assumptions and Catalog'!$F$53,IF(((D633+E633)*C633-G633)&lt;='Assumptions and Catalog'!$C$54,((D633+E633)*C633-G633)*'Assumptions and Catalog'!$H$54+'Assumptions and Catalog'!$E$54+'Assumptions and Catalog'!$F$54,IF(((D633+E633)*C633-G633)&lt;='Assumptions and Catalog'!$C$55,((D633+E633)*C633-G633)*'Assumptions and Catalog'!$H$55+'Assumptions and Catalog'!$E$55+'Assumptions and Catalog'!$F$55,IF(((D633+E633)*C633-G633)&lt;='Assumptions and Catalog'!$C$56,((D633+E633)*C633-G633)*'Assumptions and Catalog'!$H$56+'Assumptions and Catalog'!$E$56+'Assumptions and Catalog'!$F$56,IF(((D633+E633)*C633-G633)&lt;='Assumptions and Catalog'!$C$57,((D633+E633)*C633-G633)*'Assumptions and Catalog'!$H$57+'Assumptions and Catalog'!$E$57+'Assumptions and Catalog'!$F$57,"Out of range")))))))),IF(((D633+E633)*C633-G633)&lt;='Assumptions and Catalog'!$C$60,((D633+E633)*C633-G633)*'Assumptions and Catalog'!$H$60+'Assumptions and Catalog'!$E$60+'Assumptions and Catalog'!$F$60,IF(((D633+E633)*C633-G633)&lt;='Assumptions and Catalog'!$C$61,((D633+E633)*C633-G633)*'Assumptions and Catalog'!$H$61+'Assumptions and Catalog'!$E$61+'Assumptions and Catalog'!$F$61,IF(((D633+E633)*C633-G633)&lt;='Assumptions and Catalog'!$C$62,((D633+E633)*C633-G633)*'Assumptions and Catalog'!$H$62+'Assumptions and Catalog'!$E$62+'Assumptions and Catalog'!$F$62,IF(((D633+E633)*C633-G633)&lt;='Assumptions and Catalog'!$C$63,((D633+E633)*C633-G633)*'Assumptions and Catalog'!$H$63+'Assumptions and Catalog'!$E$63+'Assumptions and Catalog'!$F$63,IF(((D633+E633)*C633-G633)&lt;='Assumptions and Catalog'!$C$64,((D633+E633)*C633-G633)*'Assumptions and Catalog'!$H$64+'Assumptions and Catalog'!$E$64+'Assumptions and Catalog'!$F$64,IF(((D633+E633)*C633-G633)&lt;='Assumptions and Catalog'!$C$65,((D633+E633)*C633-G633)*'Assumptions and Catalog'!$H$65+'Assumptions and Catalog'!$E$65+'Assumptions and Catalog'!$F$65,"Out of range")))))))))*(1+'Assumptions and Catalog'!$C$8)^(A633-1),0)</f>
        <v>8554.9666666666672</v>
      </c>
      <c r="R633" s="5">
        <f>IF(AND('Assumptions and Catalog'!$C$19&gt;0,A633&gt;='Assumptions and Catalog'!$C$19),A633-'Assumptions and Catalog'!$C$19,A633-1)</f>
        <v>8</v>
      </c>
      <c r="S633" s="5">
        <f>F633+L633-(D633+E633)*C633-J633-K633-IF(D$52&gt;0,'Assumptions and Catalog'!$C$26*C633,0)</f>
        <v>0</v>
      </c>
      <c r="T633" s="5"/>
      <c r="U633" s="5"/>
    </row>
    <row r="634" spans="1:21" ht="23.1" customHeight="1" outlineLevel="1" x14ac:dyDescent="0.2">
      <c r="A634" s="5">
        <v>19</v>
      </c>
      <c r="B634" s="5">
        <v>8</v>
      </c>
      <c r="C634" s="5">
        <f>DAY(DATE('Assumptions and Catalog'!$C$24+A634-1,B634+1,0))</f>
        <v>31</v>
      </c>
      <c r="D634" s="5">
        <f>IF(ISNUMBER(Inputs!$L$5),Inputs!$L$5*Inputs!$L$6,0)</f>
        <v>40.35</v>
      </c>
      <c r="E634" s="5">
        <f>IF(ISNUMBER(Inputs!$L$5),Inputs!$L$5-D634,0)</f>
        <v>40.35</v>
      </c>
      <c r="F634" s="5">
        <f>D$51*'Assumptions and Catalog'!$C$31*C634*(1-'Assumptions and Catalog'!$C$10)^(A634-1)</f>
        <v>0</v>
      </c>
      <c r="G634" s="5">
        <f t="shared" si="44"/>
        <v>0</v>
      </c>
      <c r="H634" s="5">
        <f>I634/('Assumptions and Catalog'!$C$11*'Assumptions and Catalog'!$C$12)</f>
        <v>0</v>
      </c>
      <c r="I634" s="5">
        <f>IF(K$15="Grid cycle",MIN(K$16,D634+E634,P634*'Assumptions and Catalog'!$C$12,D$57*(24-'Assumptions and Catalog'!$C$15),D$56*'Assumptions and Catalog'!$C$15*'Assumptions and Catalog'!$C$11*'Assumptions and Catalog'!$C$12)*C634,0)</f>
        <v>0</v>
      </c>
      <c r="J634" s="5">
        <f t="shared" si="45"/>
        <v>0</v>
      </c>
      <c r="K634" s="5">
        <f t="shared" si="46"/>
        <v>0</v>
      </c>
      <c r="L634" s="5">
        <f>(D634+E634)*C634-G634-I634+H634+IF(D$52&gt;0,'Assumptions and Catalog'!$C$26*C634,0)</f>
        <v>2501.7000000000003</v>
      </c>
      <c r="M634" s="5">
        <f>IF(ISNUMBER(Inputs!$L$5),(IF(Inputs!$L$9="Actual flat rate",((D634+E634)*C634)*Inputs!$L$10,IF(Inputs!$C$9="Residential",IF(((D634+E634)*C634)&lt;='Assumptions and Catalog'!$C$50,((D634+E634)*C634)*'Assumptions and Catalog'!$H$50+'Assumptions and Catalog'!$E$50+'Assumptions and Catalog'!$F$50,IF(((D634+E634)*C634)&lt;='Assumptions and Catalog'!$C$51,((D634+E634)*C634)*'Assumptions and Catalog'!$H$51+'Assumptions and Catalog'!$E$51+'Assumptions and Catalog'!$F$51,IF(((D634+E634)*C634)&lt;='Assumptions and Catalog'!$C$52,((D634+E634)*C634)*'Assumptions and Catalog'!$H$52+'Assumptions and Catalog'!$E$52+'Assumptions and Catalog'!$F$52,IF(((D634+E634)*C634)&lt;='Assumptions and Catalog'!$C$53,((D634+E634)*C634)*'Assumptions and Catalog'!$H$53+'Assumptions and Catalog'!$E$53+'Assumptions and Catalog'!$F$53,IF(((D634+E634)*C634)&lt;='Assumptions and Catalog'!$C$54,((D634+E634)*C634)*'Assumptions and Catalog'!$H$54+'Assumptions and Catalog'!$E$54+'Assumptions and Catalog'!$F$54,IF(((D634+E634)*C634)&lt;='Assumptions and Catalog'!$C$55,((D634+E634)*C634)*'Assumptions and Catalog'!$H$55+'Assumptions and Catalog'!$E$55+'Assumptions and Catalog'!$F$55,IF(((D634+E634)*C634)&lt;='Assumptions and Catalog'!$C$56,((D634+E634)*C634)*'Assumptions and Catalog'!$H$56+'Assumptions and Catalog'!$E$56+'Assumptions and Catalog'!$F$56,IF(((D634+E634)*C634)&lt;='Assumptions and Catalog'!$C$57,((D634+E634)*C634)*'Assumptions and Catalog'!$H$57+'Assumptions and Catalog'!$E$57+'Assumptions and Catalog'!$F$57,"Out of range")))))))),IF(((D634+E634)*C634)&lt;='Assumptions and Catalog'!$C$60,((D634+E634)*C634)*'Assumptions and Catalog'!$H$60+'Assumptions and Catalog'!$E$60+'Assumptions and Catalog'!$F$60,IF(((D634+E634)*C634)&lt;='Assumptions and Catalog'!$C$61,((D634+E634)*C634)*'Assumptions and Catalog'!$H$61+'Assumptions and Catalog'!$E$61+'Assumptions and Catalog'!$F$61,IF(((D634+E634)*C634)&lt;='Assumptions and Catalog'!$C$62,((D634+E634)*C634)*'Assumptions and Catalog'!$H$62+'Assumptions and Catalog'!$E$62+'Assumptions and Catalog'!$F$62,IF(((D634+E634)*C634)&lt;='Assumptions and Catalog'!$C$63,((D634+E634)*C634)*'Assumptions and Catalog'!$H$63+'Assumptions and Catalog'!$E$63+'Assumptions and Catalog'!$F$63,IF(((D634+E634)*C634)&lt;='Assumptions and Catalog'!$C$64,((D634+E634)*C634)*'Assumptions and Catalog'!$H$64+'Assumptions and Catalog'!$E$64+'Assumptions and Catalog'!$F$64,IF(((D634+E634)*C634)&lt;='Assumptions and Catalog'!$C$65,((D634+E634)*C634)*'Assumptions and Catalog'!$H$65+'Assumptions and Catalog'!$E$65+'Assumptions and Catalog'!$F$65,"Out of range")))))))))*(1+'Assumptions and Catalog'!$C$8)^(A634-1),0)</f>
        <v>8554.9666666666672</v>
      </c>
      <c r="N634" s="5">
        <f>IF(ISNUMBER(Inputs!$L$5),(IF(Inputs!$L$9="Actual flat rate",L634*Inputs!$L$10,IF(Inputs!$C$9="Residential",IF(L634&lt;='Assumptions and Catalog'!$C$50,L634*'Assumptions and Catalog'!$H$50+'Assumptions and Catalog'!$E$50+'Assumptions and Catalog'!$F$50,IF(L634&lt;='Assumptions and Catalog'!$C$51,L634*'Assumptions and Catalog'!$H$51+'Assumptions and Catalog'!$E$51+'Assumptions and Catalog'!$F$51,IF(L634&lt;='Assumptions and Catalog'!$C$52,L634*'Assumptions and Catalog'!$H$52+'Assumptions and Catalog'!$E$52+'Assumptions and Catalog'!$F$52,IF(L634&lt;='Assumptions and Catalog'!$C$53,L634*'Assumptions and Catalog'!$H$53+'Assumptions and Catalog'!$E$53+'Assumptions and Catalog'!$F$53,IF(L634&lt;='Assumptions and Catalog'!$C$54,L634*'Assumptions and Catalog'!$H$54+'Assumptions and Catalog'!$E$54+'Assumptions and Catalog'!$F$54,IF(L634&lt;='Assumptions and Catalog'!$C$55,L634*'Assumptions and Catalog'!$H$55+'Assumptions and Catalog'!$E$55+'Assumptions and Catalog'!$F$55,IF(L634&lt;='Assumptions and Catalog'!$C$56,L634*'Assumptions and Catalog'!$H$56+'Assumptions and Catalog'!$E$56+'Assumptions and Catalog'!$F$56,IF(L634&lt;='Assumptions and Catalog'!$C$57,L634*'Assumptions and Catalog'!$H$57+'Assumptions and Catalog'!$E$57+'Assumptions and Catalog'!$F$57,"Out of range")))))))),IF(L634&lt;='Assumptions and Catalog'!$C$60,L634*'Assumptions and Catalog'!$H$60+'Assumptions and Catalog'!$E$60+'Assumptions and Catalog'!$F$60,IF(L634&lt;='Assumptions and Catalog'!$C$61,L634*'Assumptions and Catalog'!$H$61+'Assumptions and Catalog'!$E$61+'Assumptions and Catalog'!$F$61,IF(L634&lt;='Assumptions and Catalog'!$C$62,L634*'Assumptions and Catalog'!$H$62+'Assumptions and Catalog'!$E$62+'Assumptions and Catalog'!$F$62,IF(L634&lt;='Assumptions and Catalog'!$C$63,L634*'Assumptions and Catalog'!$H$63+'Assumptions and Catalog'!$E$63+'Assumptions and Catalog'!$F$63,IF(L634&lt;='Assumptions and Catalog'!$C$64,L634*'Assumptions and Catalog'!$H$64+'Assumptions and Catalog'!$E$64+'Assumptions and Catalog'!$F$64,IF(L634&lt;='Assumptions and Catalog'!$C$65,L634*'Assumptions and Catalog'!$H$65+'Assumptions and Catalog'!$E$65+'Assumptions and Catalog'!$F$65,"Out of range")))))))))*(1+'Assumptions and Catalog'!$C$8)^(A634-1),0)</f>
        <v>8554.9666666666672</v>
      </c>
      <c r="O634" s="5">
        <f t="shared" si="47"/>
        <v>0</v>
      </c>
      <c r="P634" s="5">
        <f>D$55*(1-K$14)*(1-'Assumptions and Catalog'!$C$23)^R634</f>
        <v>0</v>
      </c>
      <c r="Q634" s="5">
        <f>IF(ISNUMBER(Inputs!$L$5),(IF(Inputs!$L$9="Actual flat rate",((D634+E634)*C634-G634)*Inputs!$L$10,IF(Inputs!$C$9="Residential",IF(((D634+E634)*C634-G634)&lt;='Assumptions and Catalog'!$C$50,((D634+E634)*C634-G634)*'Assumptions and Catalog'!$H$50+'Assumptions and Catalog'!$E$50+'Assumptions and Catalog'!$F$50,IF(((D634+E634)*C634-G634)&lt;='Assumptions and Catalog'!$C$51,((D634+E634)*C634-G634)*'Assumptions and Catalog'!$H$51+'Assumptions and Catalog'!$E$51+'Assumptions and Catalog'!$F$51,IF(((D634+E634)*C634-G634)&lt;='Assumptions and Catalog'!$C$52,((D634+E634)*C634-G634)*'Assumptions and Catalog'!$H$52+'Assumptions and Catalog'!$E$52+'Assumptions and Catalog'!$F$52,IF(((D634+E634)*C634-G634)&lt;='Assumptions and Catalog'!$C$53,((D634+E634)*C634-G634)*'Assumptions and Catalog'!$H$53+'Assumptions and Catalog'!$E$53+'Assumptions and Catalog'!$F$53,IF(((D634+E634)*C634-G634)&lt;='Assumptions and Catalog'!$C$54,((D634+E634)*C634-G634)*'Assumptions and Catalog'!$H$54+'Assumptions and Catalog'!$E$54+'Assumptions and Catalog'!$F$54,IF(((D634+E634)*C634-G634)&lt;='Assumptions and Catalog'!$C$55,((D634+E634)*C634-G634)*'Assumptions and Catalog'!$H$55+'Assumptions and Catalog'!$E$55+'Assumptions and Catalog'!$F$55,IF(((D634+E634)*C634-G634)&lt;='Assumptions and Catalog'!$C$56,((D634+E634)*C634-G634)*'Assumptions and Catalog'!$H$56+'Assumptions and Catalog'!$E$56+'Assumptions and Catalog'!$F$56,IF(((D634+E634)*C634-G634)&lt;='Assumptions and Catalog'!$C$57,((D634+E634)*C634-G634)*'Assumptions and Catalog'!$H$57+'Assumptions and Catalog'!$E$57+'Assumptions and Catalog'!$F$57,"Out of range")))))))),IF(((D634+E634)*C634-G634)&lt;='Assumptions and Catalog'!$C$60,((D634+E634)*C634-G634)*'Assumptions and Catalog'!$H$60+'Assumptions and Catalog'!$E$60+'Assumptions and Catalog'!$F$60,IF(((D634+E634)*C634-G634)&lt;='Assumptions and Catalog'!$C$61,((D634+E634)*C634-G634)*'Assumptions and Catalog'!$H$61+'Assumptions and Catalog'!$E$61+'Assumptions and Catalog'!$F$61,IF(((D634+E634)*C634-G634)&lt;='Assumptions and Catalog'!$C$62,((D634+E634)*C634-G634)*'Assumptions and Catalog'!$H$62+'Assumptions and Catalog'!$E$62+'Assumptions and Catalog'!$F$62,IF(((D634+E634)*C634-G634)&lt;='Assumptions and Catalog'!$C$63,((D634+E634)*C634-G634)*'Assumptions and Catalog'!$H$63+'Assumptions and Catalog'!$E$63+'Assumptions and Catalog'!$F$63,IF(((D634+E634)*C634-G634)&lt;='Assumptions and Catalog'!$C$64,((D634+E634)*C634-G634)*'Assumptions and Catalog'!$H$64+'Assumptions and Catalog'!$E$64+'Assumptions and Catalog'!$F$64,IF(((D634+E634)*C634-G634)&lt;='Assumptions and Catalog'!$C$65,((D634+E634)*C634-G634)*'Assumptions and Catalog'!$H$65+'Assumptions and Catalog'!$E$65+'Assumptions and Catalog'!$F$65,"Out of range")))))))))*(1+'Assumptions and Catalog'!$C$8)^(A634-1),0)</f>
        <v>8554.9666666666672</v>
      </c>
      <c r="R634" s="5">
        <f>IF(AND('Assumptions and Catalog'!$C$19&gt;0,A634&gt;='Assumptions and Catalog'!$C$19),A634-'Assumptions and Catalog'!$C$19,A634-1)</f>
        <v>8</v>
      </c>
      <c r="S634" s="5">
        <f>F634+L634-(D634+E634)*C634-J634-K634-IF(D$52&gt;0,'Assumptions and Catalog'!$C$26*C634,0)</f>
        <v>0</v>
      </c>
      <c r="T634" s="5"/>
      <c r="U634" s="5"/>
    </row>
    <row r="635" spans="1:21" ht="23.1" customHeight="1" outlineLevel="1" x14ac:dyDescent="0.2">
      <c r="A635" s="5">
        <v>19</v>
      </c>
      <c r="B635" s="5">
        <v>9</v>
      </c>
      <c r="C635" s="5">
        <f>DAY(DATE('Assumptions and Catalog'!$C$24+A635-1,B635+1,0))</f>
        <v>30</v>
      </c>
      <c r="D635" s="5">
        <f>IF(ISNUMBER(Inputs!$L$5),Inputs!$L$5*Inputs!$L$6,0)</f>
        <v>40.35</v>
      </c>
      <c r="E635" s="5">
        <f>IF(ISNUMBER(Inputs!$L$5),Inputs!$L$5-D635,0)</f>
        <v>40.35</v>
      </c>
      <c r="F635" s="5">
        <f>D$51*'Assumptions and Catalog'!$C$31*C635*(1-'Assumptions and Catalog'!$C$10)^(A635-1)</f>
        <v>0</v>
      </c>
      <c r="G635" s="5">
        <f t="shared" si="44"/>
        <v>0</v>
      </c>
      <c r="H635" s="5">
        <f>I635/('Assumptions and Catalog'!$C$11*'Assumptions and Catalog'!$C$12)</f>
        <v>0</v>
      </c>
      <c r="I635" s="5">
        <f>IF(K$15="Grid cycle",MIN(K$16,D635+E635,P635*'Assumptions and Catalog'!$C$12,D$57*(24-'Assumptions and Catalog'!$C$15),D$56*'Assumptions and Catalog'!$C$15*'Assumptions and Catalog'!$C$11*'Assumptions and Catalog'!$C$12)*C635,0)</f>
        <v>0</v>
      </c>
      <c r="J635" s="5">
        <f t="shared" si="45"/>
        <v>0</v>
      </c>
      <c r="K635" s="5">
        <f t="shared" si="46"/>
        <v>0</v>
      </c>
      <c r="L635" s="5">
        <f>(D635+E635)*C635-G635-I635+H635+IF(D$52&gt;0,'Assumptions and Catalog'!$C$26*C635,0)</f>
        <v>2421</v>
      </c>
      <c r="M635" s="5">
        <f>IF(ISNUMBER(Inputs!$L$5),(IF(Inputs!$L$9="Actual flat rate",((D635+E635)*C635)*Inputs!$L$10,IF(Inputs!$C$9="Residential",IF(((D635+E635)*C635)&lt;='Assumptions and Catalog'!$C$50,((D635+E635)*C635)*'Assumptions and Catalog'!$H$50+'Assumptions and Catalog'!$E$50+'Assumptions and Catalog'!$F$50,IF(((D635+E635)*C635)&lt;='Assumptions and Catalog'!$C$51,((D635+E635)*C635)*'Assumptions and Catalog'!$H$51+'Assumptions and Catalog'!$E$51+'Assumptions and Catalog'!$F$51,IF(((D635+E635)*C635)&lt;='Assumptions and Catalog'!$C$52,((D635+E635)*C635)*'Assumptions and Catalog'!$H$52+'Assumptions and Catalog'!$E$52+'Assumptions and Catalog'!$F$52,IF(((D635+E635)*C635)&lt;='Assumptions and Catalog'!$C$53,((D635+E635)*C635)*'Assumptions and Catalog'!$H$53+'Assumptions and Catalog'!$E$53+'Assumptions and Catalog'!$F$53,IF(((D635+E635)*C635)&lt;='Assumptions and Catalog'!$C$54,((D635+E635)*C635)*'Assumptions and Catalog'!$H$54+'Assumptions and Catalog'!$E$54+'Assumptions and Catalog'!$F$54,IF(((D635+E635)*C635)&lt;='Assumptions and Catalog'!$C$55,((D635+E635)*C635)*'Assumptions and Catalog'!$H$55+'Assumptions and Catalog'!$E$55+'Assumptions and Catalog'!$F$55,IF(((D635+E635)*C635)&lt;='Assumptions and Catalog'!$C$56,((D635+E635)*C635)*'Assumptions and Catalog'!$H$56+'Assumptions and Catalog'!$E$56+'Assumptions and Catalog'!$F$56,IF(((D635+E635)*C635)&lt;='Assumptions and Catalog'!$C$57,((D635+E635)*C635)*'Assumptions and Catalog'!$H$57+'Assumptions and Catalog'!$E$57+'Assumptions and Catalog'!$F$57,"Out of range")))))))),IF(((D635+E635)*C635)&lt;='Assumptions and Catalog'!$C$60,((D635+E635)*C635)*'Assumptions and Catalog'!$H$60+'Assumptions and Catalog'!$E$60+'Assumptions and Catalog'!$F$60,IF(((D635+E635)*C635)&lt;='Assumptions and Catalog'!$C$61,((D635+E635)*C635)*'Assumptions and Catalog'!$H$61+'Assumptions and Catalog'!$E$61+'Assumptions and Catalog'!$F$61,IF(((D635+E635)*C635)&lt;='Assumptions and Catalog'!$C$62,((D635+E635)*C635)*'Assumptions and Catalog'!$H$62+'Assumptions and Catalog'!$E$62+'Assumptions and Catalog'!$F$62,IF(((D635+E635)*C635)&lt;='Assumptions and Catalog'!$C$63,((D635+E635)*C635)*'Assumptions and Catalog'!$H$63+'Assumptions and Catalog'!$E$63+'Assumptions and Catalog'!$F$63,IF(((D635+E635)*C635)&lt;='Assumptions and Catalog'!$C$64,((D635+E635)*C635)*'Assumptions and Catalog'!$H$64+'Assumptions and Catalog'!$E$64+'Assumptions and Catalog'!$F$64,IF(((D635+E635)*C635)&lt;='Assumptions and Catalog'!$C$65,((D635+E635)*C635)*'Assumptions and Catalog'!$H$65+'Assumptions and Catalog'!$E$65+'Assumptions and Catalog'!$F$65,"Out of range")))))))))*(1+'Assumptions and Catalog'!$C$8)^(A635-1),0)</f>
        <v>8279</v>
      </c>
      <c r="N635" s="5">
        <f>IF(ISNUMBER(Inputs!$L$5),(IF(Inputs!$L$9="Actual flat rate",L635*Inputs!$L$10,IF(Inputs!$C$9="Residential",IF(L635&lt;='Assumptions and Catalog'!$C$50,L635*'Assumptions and Catalog'!$H$50+'Assumptions and Catalog'!$E$50+'Assumptions and Catalog'!$F$50,IF(L635&lt;='Assumptions and Catalog'!$C$51,L635*'Assumptions and Catalog'!$H$51+'Assumptions and Catalog'!$E$51+'Assumptions and Catalog'!$F$51,IF(L635&lt;='Assumptions and Catalog'!$C$52,L635*'Assumptions and Catalog'!$H$52+'Assumptions and Catalog'!$E$52+'Assumptions and Catalog'!$F$52,IF(L635&lt;='Assumptions and Catalog'!$C$53,L635*'Assumptions and Catalog'!$H$53+'Assumptions and Catalog'!$E$53+'Assumptions and Catalog'!$F$53,IF(L635&lt;='Assumptions and Catalog'!$C$54,L635*'Assumptions and Catalog'!$H$54+'Assumptions and Catalog'!$E$54+'Assumptions and Catalog'!$F$54,IF(L635&lt;='Assumptions and Catalog'!$C$55,L635*'Assumptions and Catalog'!$H$55+'Assumptions and Catalog'!$E$55+'Assumptions and Catalog'!$F$55,IF(L635&lt;='Assumptions and Catalog'!$C$56,L635*'Assumptions and Catalog'!$H$56+'Assumptions and Catalog'!$E$56+'Assumptions and Catalog'!$F$56,IF(L635&lt;='Assumptions and Catalog'!$C$57,L635*'Assumptions and Catalog'!$H$57+'Assumptions and Catalog'!$E$57+'Assumptions and Catalog'!$F$57,"Out of range")))))))),IF(L635&lt;='Assumptions and Catalog'!$C$60,L635*'Assumptions and Catalog'!$H$60+'Assumptions and Catalog'!$E$60+'Assumptions and Catalog'!$F$60,IF(L635&lt;='Assumptions and Catalog'!$C$61,L635*'Assumptions and Catalog'!$H$61+'Assumptions and Catalog'!$E$61+'Assumptions and Catalog'!$F$61,IF(L635&lt;='Assumptions and Catalog'!$C$62,L635*'Assumptions and Catalog'!$H$62+'Assumptions and Catalog'!$E$62+'Assumptions and Catalog'!$F$62,IF(L635&lt;='Assumptions and Catalog'!$C$63,L635*'Assumptions and Catalog'!$H$63+'Assumptions and Catalog'!$E$63+'Assumptions and Catalog'!$F$63,IF(L635&lt;='Assumptions and Catalog'!$C$64,L635*'Assumptions and Catalog'!$H$64+'Assumptions and Catalog'!$E$64+'Assumptions and Catalog'!$F$64,IF(L635&lt;='Assumptions and Catalog'!$C$65,L635*'Assumptions and Catalog'!$H$65+'Assumptions and Catalog'!$E$65+'Assumptions and Catalog'!$F$65,"Out of range")))))))))*(1+'Assumptions and Catalog'!$C$8)^(A635-1),0)</f>
        <v>8279</v>
      </c>
      <c r="O635" s="5">
        <f t="shared" si="47"/>
        <v>0</v>
      </c>
      <c r="P635" s="5">
        <f>D$55*(1-K$14)*(1-'Assumptions and Catalog'!$C$23)^R635</f>
        <v>0</v>
      </c>
      <c r="Q635" s="5">
        <f>IF(ISNUMBER(Inputs!$L$5),(IF(Inputs!$L$9="Actual flat rate",((D635+E635)*C635-G635)*Inputs!$L$10,IF(Inputs!$C$9="Residential",IF(((D635+E635)*C635-G635)&lt;='Assumptions and Catalog'!$C$50,((D635+E635)*C635-G635)*'Assumptions and Catalog'!$H$50+'Assumptions and Catalog'!$E$50+'Assumptions and Catalog'!$F$50,IF(((D635+E635)*C635-G635)&lt;='Assumptions and Catalog'!$C$51,((D635+E635)*C635-G635)*'Assumptions and Catalog'!$H$51+'Assumptions and Catalog'!$E$51+'Assumptions and Catalog'!$F$51,IF(((D635+E635)*C635-G635)&lt;='Assumptions and Catalog'!$C$52,((D635+E635)*C635-G635)*'Assumptions and Catalog'!$H$52+'Assumptions and Catalog'!$E$52+'Assumptions and Catalog'!$F$52,IF(((D635+E635)*C635-G635)&lt;='Assumptions and Catalog'!$C$53,((D635+E635)*C635-G635)*'Assumptions and Catalog'!$H$53+'Assumptions and Catalog'!$E$53+'Assumptions and Catalog'!$F$53,IF(((D635+E635)*C635-G635)&lt;='Assumptions and Catalog'!$C$54,((D635+E635)*C635-G635)*'Assumptions and Catalog'!$H$54+'Assumptions and Catalog'!$E$54+'Assumptions and Catalog'!$F$54,IF(((D635+E635)*C635-G635)&lt;='Assumptions and Catalog'!$C$55,((D635+E635)*C635-G635)*'Assumptions and Catalog'!$H$55+'Assumptions and Catalog'!$E$55+'Assumptions and Catalog'!$F$55,IF(((D635+E635)*C635-G635)&lt;='Assumptions and Catalog'!$C$56,((D635+E635)*C635-G635)*'Assumptions and Catalog'!$H$56+'Assumptions and Catalog'!$E$56+'Assumptions and Catalog'!$F$56,IF(((D635+E635)*C635-G635)&lt;='Assumptions and Catalog'!$C$57,((D635+E635)*C635-G635)*'Assumptions and Catalog'!$H$57+'Assumptions and Catalog'!$E$57+'Assumptions and Catalog'!$F$57,"Out of range")))))))),IF(((D635+E635)*C635-G635)&lt;='Assumptions and Catalog'!$C$60,((D635+E635)*C635-G635)*'Assumptions and Catalog'!$H$60+'Assumptions and Catalog'!$E$60+'Assumptions and Catalog'!$F$60,IF(((D635+E635)*C635-G635)&lt;='Assumptions and Catalog'!$C$61,((D635+E635)*C635-G635)*'Assumptions and Catalog'!$H$61+'Assumptions and Catalog'!$E$61+'Assumptions and Catalog'!$F$61,IF(((D635+E635)*C635-G635)&lt;='Assumptions and Catalog'!$C$62,((D635+E635)*C635-G635)*'Assumptions and Catalog'!$H$62+'Assumptions and Catalog'!$E$62+'Assumptions and Catalog'!$F$62,IF(((D635+E635)*C635-G635)&lt;='Assumptions and Catalog'!$C$63,((D635+E635)*C635-G635)*'Assumptions and Catalog'!$H$63+'Assumptions and Catalog'!$E$63+'Assumptions and Catalog'!$F$63,IF(((D635+E635)*C635-G635)&lt;='Assumptions and Catalog'!$C$64,((D635+E635)*C635-G635)*'Assumptions and Catalog'!$H$64+'Assumptions and Catalog'!$E$64+'Assumptions and Catalog'!$F$64,IF(((D635+E635)*C635-G635)&lt;='Assumptions and Catalog'!$C$65,((D635+E635)*C635-G635)*'Assumptions and Catalog'!$H$65+'Assumptions and Catalog'!$E$65+'Assumptions and Catalog'!$F$65,"Out of range")))))))))*(1+'Assumptions and Catalog'!$C$8)^(A635-1),0)</f>
        <v>8279</v>
      </c>
      <c r="R635" s="5">
        <f>IF(AND('Assumptions and Catalog'!$C$19&gt;0,A635&gt;='Assumptions and Catalog'!$C$19),A635-'Assumptions and Catalog'!$C$19,A635-1)</f>
        <v>8</v>
      </c>
      <c r="S635" s="5">
        <f>F635+L635-(D635+E635)*C635-J635-K635-IF(D$52&gt;0,'Assumptions and Catalog'!$C$26*C635,0)</f>
        <v>0</v>
      </c>
      <c r="T635" s="5"/>
      <c r="U635" s="5"/>
    </row>
    <row r="636" spans="1:21" ht="23.1" customHeight="1" outlineLevel="1" x14ac:dyDescent="0.2">
      <c r="A636" s="5">
        <v>19</v>
      </c>
      <c r="B636" s="5">
        <v>10</v>
      </c>
      <c r="C636" s="5">
        <f>DAY(DATE('Assumptions and Catalog'!$C$24+A636-1,B636+1,0))</f>
        <v>31</v>
      </c>
      <c r="D636" s="5">
        <f>IF(ISNUMBER(Inputs!$L$5),Inputs!$L$5*Inputs!$L$6,0)</f>
        <v>40.35</v>
      </c>
      <c r="E636" s="5">
        <f>IF(ISNUMBER(Inputs!$L$5),Inputs!$L$5-D636,0)</f>
        <v>40.35</v>
      </c>
      <c r="F636" s="5">
        <f>D$51*'Assumptions and Catalog'!$C$31*C636*(1-'Assumptions and Catalog'!$C$10)^(A636-1)</f>
        <v>0</v>
      </c>
      <c r="G636" s="5">
        <f t="shared" si="44"/>
        <v>0</v>
      </c>
      <c r="H636" s="5">
        <f>I636/('Assumptions and Catalog'!$C$11*'Assumptions and Catalog'!$C$12)</f>
        <v>0</v>
      </c>
      <c r="I636" s="5">
        <f>IF(K$15="Grid cycle",MIN(K$16,D636+E636,P636*'Assumptions and Catalog'!$C$12,D$57*(24-'Assumptions and Catalog'!$C$15),D$56*'Assumptions and Catalog'!$C$15*'Assumptions and Catalog'!$C$11*'Assumptions and Catalog'!$C$12)*C636,0)</f>
        <v>0</v>
      </c>
      <c r="J636" s="5">
        <f t="shared" si="45"/>
        <v>0</v>
      </c>
      <c r="K636" s="5">
        <f t="shared" si="46"/>
        <v>0</v>
      </c>
      <c r="L636" s="5">
        <f>(D636+E636)*C636-G636-I636+H636+IF(D$52&gt;0,'Assumptions and Catalog'!$C$26*C636,0)</f>
        <v>2501.7000000000003</v>
      </c>
      <c r="M636" s="5">
        <f>IF(ISNUMBER(Inputs!$L$5),(IF(Inputs!$L$9="Actual flat rate",((D636+E636)*C636)*Inputs!$L$10,IF(Inputs!$C$9="Residential",IF(((D636+E636)*C636)&lt;='Assumptions and Catalog'!$C$50,((D636+E636)*C636)*'Assumptions and Catalog'!$H$50+'Assumptions and Catalog'!$E$50+'Assumptions and Catalog'!$F$50,IF(((D636+E636)*C636)&lt;='Assumptions and Catalog'!$C$51,((D636+E636)*C636)*'Assumptions and Catalog'!$H$51+'Assumptions and Catalog'!$E$51+'Assumptions and Catalog'!$F$51,IF(((D636+E636)*C636)&lt;='Assumptions and Catalog'!$C$52,((D636+E636)*C636)*'Assumptions and Catalog'!$H$52+'Assumptions and Catalog'!$E$52+'Assumptions and Catalog'!$F$52,IF(((D636+E636)*C636)&lt;='Assumptions and Catalog'!$C$53,((D636+E636)*C636)*'Assumptions and Catalog'!$H$53+'Assumptions and Catalog'!$E$53+'Assumptions and Catalog'!$F$53,IF(((D636+E636)*C636)&lt;='Assumptions and Catalog'!$C$54,((D636+E636)*C636)*'Assumptions and Catalog'!$H$54+'Assumptions and Catalog'!$E$54+'Assumptions and Catalog'!$F$54,IF(((D636+E636)*C636)&lt;='Assumptions and Catalog'!$C$55,((D636+E636)*C636)*'Assumptions and Catalog'!$H$55+'Assumptions and Catalog'!$E$55+'Assumptions and Catalog'!$F$55,IF(((D636+E636)*C636)&lt;='Assumptions and Catalog'!$C$56,((D636+E636)*C636)*'Assumptions and Catalog'!$H$56+'Assumptions and Catalog'!$E$56+'Assumptions and Catalog'!$F$56,IF(((D636+E636)*C636)&lt;='Assumptions and Catalog'!$C$57,((D636+E636)*C636)*'Assumptions and Catalog'!$H$57+'Assumptions and Catalog'!$E$57+'Assumptions and Catalog'!$F$57,"Out of range")))))))),IF(((D636+E636)*C636)&lt;='Assumptions and Catalog'!$C$60,((D636+E636)*C636)*'Assumptions and Catalog'!$H$60+'Assumptions and Catalog'!$E$60+'Assumptions and Catalog'!$F$60,IF(((D636+E636)*C636)&lt;='Assumptions and Catalog'!$C$61,((D636+E636)*C636)*'Assumptions and Catalog'!$H$61+'Assumptions and Catalog'!$E$61+'Assumptions and Catalog'!$F$61,IF(((D636+E636)*C636)&lt;='Assumptions and Catalog'!$C$62,((D636+E636)*C636)*'Assumptions and Catalog'!$H$62+'Assumptions and Catalog'!$E$62+'Assumptions and Catalog'!$F$62,IF(((D636+E636)*C636)&lt;='Assumptions and Catalog'!$C$63,((D636+E636)*C636)*'Assumptions and Catalog'!$H$63+'Assumptions and Catalog'!$E$63+'Assumptions and Catalog'!$F$63,IF(((D636+E636)*C636)&lt;='Assumptions and Catalog'!$C$64,((D636+E636)*C636)*'Assumptions and Catalog'!$H$64+'Assumptions and Catalog'!$E$64+'Assumptions and Catalog'!$F$64,IF(((D636+E636)*C636)&lt;='Assumptions and Catalog'!$C$65,((D636+E636)*C636)*'Assumptions and Catalog'!$H$65+'Assumptions and Catalog'!$E$65+'Assumptions and Catalog'!$F$65,"Out of range")))))))))*(1+'Assumptions and Catalog'!$C$8)^(A636-1),0)</f>
        <v>8554.9666666666672</v>
      </c>
      <c r="N636" s="5">
        <f>IF(ISNUMBER(Inputs!$L$5),(IF(Inputs!$L$9="Actual flat rate",L636*Inputs!$L$10,IF(Inputs!$C$9="Residential",IF(L636&lt;='Assumptions and Catalog'!$C$50,L636*'Assumptions and Catalog'!$H$50+'Assumptions and Catalog'!$E$50+'Assumptions and Catalog'!$F$50,IF(L636&lt;='Assumptions and Catalog'!$C$51,L636*'Assumptions and Catalog'!$H$51+'Assumptions and Catalog'!$E$51+'Assumptions and Catalog'!$F$51,IF(L636&lt;='Assumptions and Catalog'!$C$52,L636*'Assumptions and Catalog'!$H$52+'Assumptions and Catalog'!$E$52+'Assumptions and Catalog'!$F$52,IF(L636&lt;='Assumptions and Catalog'!$C$53,L636*'Assumptions and Catalog'!$H$53+'Assumptions and Catalog'!$E$53+'Assumptions and Catalog'!$F$53,IF(L636&lt;='Assumptions and Catalog'!$C$54,L636*'Assumptions and Catalog'!$H$54+'Assumptions and Catalog'!$E$54+'Assumptions and Catalog'!$F$54,IF(L636&lt;='Assumptions and Catalog'!$C$55,L636*'Assumptions and Catalog'!$H$55+'Assumptions and Catalog'!$E$55+'Assumptions and Catalog'!$F$55,IF(L636&lt;='Assumptions and Catalog'!$C$56,L636*'Assumptions and Catalog'!$H$56+'Assumptions and Catalog'!$E$56+'Assumptions and Catalog'!$F$56,IF(L636&lt;='Assumptions and Catalog'!$C$57,L636*'Assumptions and Catalog'!$H$57+'Assumptions and Catalog'!$E$57+'Assumptions and Catalog'!$F$57,"Out of range")))))))),IF(L636&lt;='Assumptions and Catalog'!$C$60,L636*'Assumptions and Catalog'!$H$60+'Assumptions and Catalog'!$E$60+'Assumptions and Catalog'!$F$60,IF(L636&lt;='Assumptions and Catalog'!$C$61,L636*'Assumptions and Catalog'!$H$61+'Assumptions and Catalog'!$E$61+'Assumptions and Catalog'!$F$61,IF(L636&lt;='Assumptions and Catalog'!$C$62,L636*'Assumptions and Catalog'!$H$62+'Assumptions and Catalog'!$E$62+'Assumptions and Catalog'!$F$62,IF(L636&lt;='Assumptions and Catalog'!$C$63,L636*'Assumptions and Catalog'!$H$63+'Assumptions and Catalog'!$E$63+'Assumptions and Catalog'!$F$63,IF(L636&lt;='Assumptions and Catalog'!$C$64,L636*'Assumptions and Catalog'!$H$64+'Assumptions and Catalog'!$E$64+'Assumptions and Catalog'!$F$64,IF(L636&lt;='Assumptions and Catalog'!$C$65,L636*'Assumptions and Catalog'!$H$65+'Assumptions and Catalog'!$E$65+'Assumptions and Catalog'!$F$65,"Out of range")))))))))*(1+'Assumptions and Catalog'!$C$8)^(A636-1),0)</f>
        <v>8554.9666666666672</v>
      </c>
      <c r="O636" s="5">
        <f t="shared" si="47"/>
        <v>0</v>
      </c>
      <c r="P636" s="5">
        <f>D$55*(1-K$14)*(1-'Assumptions and Catalog'!$C$23)^R636</f>
        <v>0</v>
      </c>
      <c r="Q636" s="5">
        <f>IF(ISNUMBER(Inputs!$L$5),(IF(Inputs!$L$9="Actual flat rate",((D636+E636)*C636-G636)*Inputs!$L$10,IF(Inputs!$C$9="Residential",IF(((D636+E636)*C636-G636)&lt;='Assumptions and Catalog'!$C$50,((D636+E636)*C636-G636)*'Assumptions and Catalog'!$H$50+'Assumptions and Catalog'!$E$50+'Assumptions and Catalog'!$F$50,IF(((D636+E636)*C636-G636)&lt;='Assumptions and Catalog'!$C$51,((D636+E636)*C636-G636)*'Assumptions and Catalog'!$H$51+'Assumptions and Catalog'!$E$51+'Assumptions and Catalog'!$F$51,IF(((D636+E636)*C636-G636)&lt;='Assumptions and Catalog'!$C$52,((D636+E636)*C636-G636)*'Assumptions and Catalog'!$H$52+'Assumptions and Catalog'!$E$52+'Assumptions and Catalog'!$F$52,IF(((D636+E636)*C636-G636)&lt;='Assumptions and Catalog'!$C$53,((D636+E636)*C636-G636)*'Assumptions and Catalog'!$H$53+'Assumptions and Catalog'!$E$53+'Assumptions and Catalog'!$F$53,IF(((D636+E636)*C636-G636)&lt;='Assumptions and Catalog'!$C$54,((D636+E636)*C636-G636)*'Assumptions and Catalog'!$H$54+'Assumptions and Catalog'!$E$54+'Assumptions and Catalog'!$F$54,IF(((D636+E636)*C636-G636)&lt;='Assumptions and Catalog'!$C$55,((D636+E636)*C636-G636)*'Assumptions and Catalog'!$H$55+'Assumptions and Catalog'!$E$55+'Assumptions and Catalog'!$F$55,IF(((D636+E636)*C636-G636)&lt;='Assumptions and Catalog'!$C$56,((D636+E636)*C636-G636)*'Assumptions and Catalog'!$H$56+'Assumptions and Catalog'!$E$56+'Assumptions and Catalog'!$F$56,IF(((D636+E636)*C636-G636)&lt;='Assumptions and Catalog'!$C$57,((D636+E636)*C636-G636)*'Assumptions and Catalog'!$H$57+'Assumptions and Catalog'!$E$57+'Assumptions and Catalog'!$F$57,"Out of range")))))))),IF(((D636+E636)*C636-G636)&lt;='Assumptions and Catalog'!$C$60,((D636+E636)*C636-G636)*'Assumptions and Catalog'!$H$60+'Assumptions and Catalog'!$E$60+'Assumptions and Catalog'!$F$60,IF(((D636+E636)*C636-G636)&lt;='Assumptions and Catalog'!$C$61,((D636+E636)*C636-G636)*'Assumptions and Catalog'!$H$61+'Assumptions and Catalog'!$E$61+'Assumptions and Catalog'!$F$61,IF(((D636+E636)*C636-G636)&lt;='Assumptions and Catalog'!$C$62,((D636+E636)*C636-G636)*'Assumptions and Catalog'!$H$62+'Assumptions and Catalog'!$E$62+'Assumptions and Catalog'!$F$62,IF(((D636+E636)*C636-G636)&lt;='Assumptions and Catalog'!$C$63,((D636+E636)*C636-G636)*'Assumptions and Catalog'!$H$63+'Assumptions and Catalog'!$E$63+'Assumptions and Catalog'!$F$63,IF(((D636+E636)*C636-G636)&lt;='Assumptions and Catalog'!$C$64,((D636+E636)*C636-G636)*'Assumptions and Catalog'!$H$64+'Assumptions and Catalog'!$E$64+'Assumptions and Catalog'!$F$64,IF(((D636+E636)*C636-G636)&lt;='Assumptions and Catalog'!$C$65,((D636+E636)*C636-G636)*'Assumptions and Catalog'!$H$65+'Assumptions and Catalog'!$E$65+'Assumptions and Catalog'!$F$65,"Out of range")))))))))*(1+'Assumptions and Catalog'!$C$8)^(A636-1),0)</f>
        <v>8554.9666666666672</v>
      </c>
      <c r="R636" s="5">
        <f>IF(AND('Assumptions and Catalog'!$C$19&gt;0,A636&gt;='Assumptions and Catalog'!$C$19),A636-'Assumptions and Catalog'!$C$19,A636-1)</f>
        <v>8</v>
      </c>
      <c r="S636" s="5">
        <f>F636+L636-(D636+E636)*C636-J636-K636-IF(D$52&gt;0,'Assumptions and Catalog'!$C$26*C636,0)</f>
        <v>0</v>
      </c>
      <c r="T636" s="5"/>
      <c r="U636" s="5"/>
    </row>
    <row r="637" spans="1:21" ht="23.1" customHeight="1" outlineLevel="1" x14ac:dyDescent="0.2">
      <c r="A637" s="5">
        <v>19</v>
      </c>
      <c r="B637" s="5">
        <v>11</v>
      </c>
      <c r="C637" s="5">
        <f>DAY(DATE('Assumptions and Catalog'!$C$24+A637-1,B637+1,0))</f>
        <v>30</v>
      </c>
      <c r="D637" s="5">
        <f>IF(ISNUMBER(Inputs!$L$5),Inputs!$L$5*Inputs!$L$6,0)</f>
        <v>40.35</v>
      </c>
      <c r="E637" s="5">
        <f>IF(ISNUMBER(Inputs!$L$5),Inputs!$L$5-D637,0)</f>
        <v>40.35</v>
      </c>
      <c r="F637" s="5">
        <f>D$51*'Assumptions and Catalog'!$C$31*C637*(1-'Assumptions and Catalog'!$C$10)^(A637-1)</f>
        <v>0</v>
      </c>
      <c r="G637" s="5">
        <f t="shared" si="44"/>
        <v>0</v>
      </c>
      <c r="H637" s="5">
        <f>I637/('Assumptions and Catalog'!$C$11*'Assumptions and Catalog'!$C$12)</f>
        <v>0</v>
      </c>
      <c r="I637" s="5">
        <f>IF(K$15="Grid cycle",MIN(K$16,D637+E637,P637*'Assumptions and Catalog'!$C$12,D$57*(24-'Assumptions and Catalog'!$C$15),D$56*'Assumptions and Catalog'!$C$15*'Assumptions and Catalog'!$C$11*'Assumptions and Catalog'!$C$12)*C637,0)</f>
        <v>0</v>
      </c>
      <c r="J637" s="5">
        <f t="shared" si="45"/>
        <v>0</v>
      </c>
      <c r="K637" s="5">
        <f t="shared" si="46"/>
        <v>0</v>
      </c>
      <c r="L637" s="5">
        <f>(D637+E637)*C637-G637-I637+H637+IF(D$52&gt;0,'Assumptions and Catalog'!$C$26*C637,0)</f>
        <v>2421</v>
      </c>
      <c r="M637" s="5">
        <f>IF(ISNUMBER(Inputs!$L$5),(IF(Inputs!$L$9="Actual flat rate",((D637+E637)*C637)*Inputs!$L$10,IF(Inputs!$C$9="Residential",IF(((D637+E637)*C637)&lt;='Assumptions and Catalog'!$C$50,((D637+E637)*C637)*'Assumptions and Catalog'!$H$50+'Assumptions and Catalog'!$E$50+'Assumptions and Catalog'!$F$50,IF(((D637+E637)*C637)&lt;='Assumptions and Catalog'!$C$51,((D637+E637)*C637)*'Assumptions and Catalog'!$H$51+'Assumptions and Catalog'!$E$51+'Assumptions and Catalog'!$F$51,IF(((D637+E637)*C637)&lt;='Assumptions and Catalog'!$C$52,((D637+E637)*C637)*'Assumptions and Catalog'!$H$52+'Assumptions and Catalog'!$E$52+'Assumptions and Catalog'!$F$52,IF(((D637+E637)*C637)&lt;='Assumptions and Catalog'!$C$53,((D637+E637)*C637)*'Assumptions and Catalog'!$H$53+'Assumptions and Catalog'!$E$53+'Assumptions and Catalog'!$F$53,IF(((D637+E637)*C637)&lt;='Assumptions and Catalog'!$C$54,((D637+E637)*C637)*'Assumptions and Catalog'!$H$54+'Assumptions and Catalog'!$E$54+'Assumptions and Catalog'!$F$54,IF(((D637+E637)*C637)&lt;='Assumptions and Catalog'!$C$55,((D637+E637)*C637)*'Assumptions and Catalog'!$H$55+'Assumptions and Catalog'!$E$55+'Assumptions and Catalog'!$F$55,IF(((D637+E637)*C637)&lt;='Assumptions and Catalog'!$C$56,((D637+E637)*C637)*'Assumptions and Catalog'!$H$56+'Assumptions and Catalog'!$E$56+'Assumptions and Catalog'!$F$56,IF(((D637+E637)*C637)&lt;='Assumptions and Catalog'!$C$57,((D637+E637)*C637)*'Assumptions and Catalog'!$H$57+'Assumptions and Catalog'!$E$57+'Assumptions and Catalog'!$F$57,"Out of range")))))))),IF(((D637+E637)*C637)&lt;='Assumptions and Catalog'!$C$60,((D637+E637)*C637)*'Assumptions and Catalog'!$H$60+'Assumptions and Catalog'!$E$60+'Assumptions and Catalog'!$F$60,IF(((D637+E637)*C637)&lt;='Assumptions and Catalog'!$C$61,((D637+E637)*C637)*'Assumptions and Catalog'!$H$61+'Assumptions and Catalog'!$E$61+'Assumptions and Catalog'!$F$61,IF(((D637+E637)*C637)&lt;='Assumptions and Catalog'!$C$62,((D637+E637)*C637)*'Assumptions and Catalog'!$H$62+'Assumptions and Catalog'!$E$62+'Assumptions and Catalog'!$F$62,IF(((D637+E637)*C637)&lt;='Assumptions and Catalog'!$C$63,((D637+E637)*C637)*'Assumptions and Catalog'!$H$63+'Assumptions and Catalog'!$E$63+'Assumptions and Catalog'!$F$63,IF(((D637+E637)*C637)&lt;='Assumptions and Catalog'!$C$64,((D637+E637)*C637)*'Assumptions and Catalog'!$H$64+'Assumptions and Catalog'!$E$64+'Assumptions and Catalog'!$F$64,IF(((D637+E637)*C637)&lt;='Assumptions and Catalog'!$C$65,((D637+E637)*C637)*'Assumptions and Catalog'!$H$65+'Assumptions and Catalog'!$E$65+'Assumptions and Catalog'!$F$65,"Out of range")))))))))*(1+'Assumptions and Catalog'!$C$8)^(A637-1),0)</f>
        <v>8279</v>
      </c>
      <c r="N637" s="5">
        <f>IF(ISNUMBER(Inputs!$L$5),(IF(Inputs!$L$9="Actual flat rate",L637*Inputs!$L$10,IF(Inputs!$C$9="Residential",IF(L637&lt;='Assumptions and Catalog'!$C$50,L637*'Assumptions and Catalog'!$H$50+'Assumptions and Catalog'!$E$50+'Assumptions and Catalog'!$F$50,IF(L637&lt;='Assumptions and Catalog'!$C$51,L637*'Assumptions and Catalog'!$H$51+'Assumptions and Catalog'!$E$51+'Assumptions and Catalog'!$F$51,IF(L637&lt;='Assumptions and Catalog'!$C$52,L637*'Assumptions and Catalog'!$H$52+'Assumptions and Catalog'!$E$52+'Assumptions and Catalog'!$F$52,IF(L637&lt;='Assumptions and Catalog'!$C$53,L637*'Assumptions and Catalog'!$H$53+'Assumptions and Catalog'!$E$53+'Assumptions and Catalog'!$F$53,IF(L637&lt;='Assumptions and Catalog'!$C$54,L637*'Assumptions and Catalog'!$H$54+'Assumptions and Catalog'!$E$54+'Assumptions and Catalog'!$F$54,IF(L637&lt;='Assumptions and Catalog'!$C$55,L637*'Assumptions and Catalog'!$H$55+'Assumptions and Catalog'!$E$55+'Assumptions and Catalog'!$F$55,IF(L637&lt;='Assumptions and Catalog'!$C$56,L637*'Assumptions and Catalog'!$H$56+'Assumptions and Catalog'!$E$56+'Assumptions and Catalog'!$F$56,IF(L637&lt;='Assumptions and Catalog'!$C$57,L637*'Assumptions and Catalog'!$H$57+'Assumptions and Catalog'!$E$57+'Assumptions and Catalog'!$F$57,"Out of range")))))))),IF(L637&lt;='Assumptions and Catalog'!$C$60,L637*'Assumptions and Catalog'!$H$60+'Assumptions and Catalog'!$E$60+'Assumptions and Catalog'!$F$60,IF(L637&lt;='Assumptions and Catalog'!$C$61,L637*'Assumptions and Catalog'!$H$61+'Assumptions and Catalog'!$E$61+'Assumptions and Catalog'!$F$61,IF(L637&lt;='Assumptions and Catalog'!$C$62,L637*'Assumptions and Catalog'!$H$62+'Assumptions and Catalog'!$E$62+'Assumptions and Catalog'!$F$62,IF(L637&lt;='Assumptions and Catalog'!$C$63,L637*'Assumptions and Catalog'!$H$63+'Assumptions and Catalog'!$E$63+'Assumptions and Catalog'!$F$63,IF(L637&lt;='Assumptions and Catalog'!$C$64,L637*'Assumptions and Catalog'!$H$64+'Assumptions and Catalog'!$E$64+'Assumptions and Catalog'!$F$64,IF(L637&lt;='Assumptions and Catalog'!$C$65,L637*'Assumptions and Catalog'!$H$65+'Assumptions and Catalog'!$E$65+'Assumptions and Catalog'!$F$65,"Out of range")))))))))*(1+'Assumptions and Catalog'!$C$8)^(A637-1),0)</f>
        <v>8279</v>
      </c>
      <c r="O637" s="5">
        <f t="shared" si="47"/>
        <v>0</v>
      </c>
      <c r="P637" s="5">
        <f>D$55*(1-K$14)*(1-'Assumptions and Catalog'!$C$23)^R637</f>
        <v>0</v>
      </c>
      <c r="Q637" s="5">
        <f>IF(ISNUMBER(Inputs!$L$5),(IF(Inputs!$L$9="Actual flat rate",((D637+E637)*C637-G637)*Inputs!$L$10,IF(Inputs!$C$9="Residential",IF(((D637+E637)*C637-G637)&lt;='Assumptions and Catalog'!$C$50,((D637+E637)*C637-G637)*'Assumptions and Catalog'!$H$50+'Assumptions and Catalog'!$E$50+'Assumptions and Catalog'!$F$50,IF(((D637+E637)*C637-G637)&lt;='Assumptions and Catalog'!$C$51,((D637+E637)*C637-G637)*'Assumptions and Catalog'!$H$51+'Assumptions and Catalog'!$E$51+'Assumptions and Catalog'!$F$51,IF(((D637+E637)*C637-G637)&lt;='Assumptions and Catalog'!$C$52,((D637+E637)*C637-G637)*'Assumptions and Catalog'!$H$52+'Assumptions and Catalog'!$E$52+'Assumptions and Catalog'!$F$52,IF(((D637+E637)*C637-G637)&lt;='Assumptions and Catalog'!$C$53,((D637+E637)*C637-G637)*'Assumptions and Catalog'!$H$53+'Assumptions and Catalog'!$E$53+'Assumptions and Catalog'!$F$53,IF(((D637+E637)*C637-G637)&lt;='Assumptions and Catalog'!$C$54,((D637+E637)*C637-G637)*'Assumptions and Catalog'!$H$54+'Assumptions and Catalog'!$E$54+'Assumptions and Catalog'!$F$54,IF(((D637+E637)*C637-G637)&lt;='Assumptions and Catalog'!$C$55,((D637+E637)*C637-G637)*'Assumptions and Catalog'!$H$55+'Assumptions and Catalog'!$E$55+'Assumptions and Catalog'!$F$55,IF(((D637+E637)*C637-G637)&lt;='Assumptions and Catalog'!$C$56,((D637+E637)*C637-G637)*'Assumptions and Catalog'!$H$56+'Assumptions and Catalog'!$E$56+'Assumptions and Catalog'!$F$56,IF(((D637+E637)*C637-G637)&lt;='Assumptions and Catalog'!$C$57,((D637+E637)*C637-G637)*'Assumptions and Catalog'!$H$57+'Assumptions and Catalog'!$E$57+'Assumptions and Catalog'!$F$57,"Out of range")))))))),IF(((D637+E637)*C637-G637)&lt;='Assumptions and Catalog'!$C$60,((D637+E637)*C637-G637)*'Assumptions and Catalog'!$H$60+'Assumptions and Catalog'!$E$60+'Assumptions and Catalog'!$F$60,IF(((D637+E637)*C637-G637)&lt;='Assumptions and Catalog'!$C$61,((D637+E637)*C637-G637)*'Assumptions and Catalog'!$H$61+'Assumptions and Catalog'!$E$61+'Assumptions and Catalog'!$F$61,IF(((D637+E637)*C637-G637)&lt;='Assumptions and Catalog'!$C$62,((D637+E637)*C637-G637)*'Assumptions and Catalog'!$H$62+'Assumptions and Catalog'!$E$62+'Assumptions and Catalog'!$F$62,IF(((D637+E637)*C637-G637)&lt;='Assumptions and Catalog'!$C$63,((D637+E637)*C637-G637)*'Assumptions and Catalog'!$H$63+'Assumptions and Catalog'!$E$63+'Assumptions and Catalog'!$F$63,IF(((D637+E637)*C637-G637)&lt;='Assumptions and Catalog'!$C$64,((D637+E637)*C637-G637)*'Assumptions and Catalog'!$H$64+'Assumptions and Catalog'!$E$64+'Assumptions and Catalog'!$F$64,IF(((D637+E637)*C637-G637)&lt;='Assumptions and Catalog'!$C$65,((D637+E637)*C637-G637)*'Assumptions and Catalog'!$H$65+'Assumptions and Catalog'!$E$65+'Assumptions and Catalog'!$F$65,"Out of range")))))))))*(1+'Assumptions and Catalog'!$C$8)^(A637-1),0)</f>
        <v>8279</v>
      </c>
      <c r="R637" s="5">
        <f>IF(AND('Assumptions and Catalog'!$C$19&gt;0,A637&gt;='Assumptions and Catalog'!$C$19),A637-'Assumptions and Catalog'!$C$19,A637-1)</f>
        <v>8</v>
      </c>
      <c r="S637" s="5">
        <f>F637+L637-(D637+E637)*C637-J637-K637-IF(D$52&gt;0,'Assumptions and Catalog'!$C$26*C637,0)</f>
        <v>0</v>
      </c>
      <c r="T637" s="5"/>
      <c r="U637" s="5"/>
    </row>
    <row r="638" spans="1:21" ht="23.1" customHeight="1" outlineLevel="1" x14ac:dyDescent="0.2">
      <c r="A638" s="5">
        <v>19</v>
      </c>
      <c r="B638" s="5">
        <v>12</v>
      </c>
      <c r="C638" s="5">
        <f>DAY(DATE('Assumptions and Catalog'!$C$24+A638-1,B638+1,0))</f>
        <v>31</v>
      </c>
      <c r="D638" s="5">
        <f>IF(ISNUMBER(Inputs!$L$5),Inputs!$L$5*Inputs!$L$6,0)</f>
        <v>40.35</v>
      </c>
      <c r="E638" s="5">
        <f>IF(ISNUMBER(Inputs!$L$5),Inputs!$L$5-D638,0)</f>
        <v>40.35</v>
      </c>
      <c r="F638" s="5">
        <f>D$51*'Assumptions and Catalog'!$C$31*C638*(1-'Assumptions and Catalog'!$C$10)^(A638-1)</f>
        <v>0</v>
      </c>
      <c r="G638" s="5">
        <f t="shared" si="44"/>
        <v>0</v>
      </c>
      <c r="H638" s="5">
        <f>I638/('Assumptions and Catalog'!$C$11*'Assumptions and Catalog'!$C$12)</f>
        <v>0</v>
      </c>
      <c r="I638" s="5">
        <f>IF(K$15="Grid cycle",MIN(K$16,D638+E638,P638*'Assumptions and Catalog'!$C$12,D$57*(24-'Assumptions and Catalog'!$C$15),D$56*'Assumptions and Catalog'!$C$15*'Assumptions and Catalog'!$C$11*'Assumptions and Catalog'!$C$12)*C638,0)</f>
        <v>0</v>
      </c>
      <c r="J638" s="5">
        <f t="shared" si="45"/>
        <v>0</v>
      </c>
      <c r="K638" s="5">
        <f t="shared" si="46"/>
        <v>0</v>
      </c>
      <c r="L638" s="5">
        <f>(D638+E638)*C638-G638-I638+H638+IF(D$52&gt;0,'Assumptions and Catalog'!$C$26*C638,0)</f>
        <v>2501.7000000000003</v>
      </c>
      <c r="M638" s="5">
        <f>IF(ISNUMBER(Inputs!$L$5),(IF(Inputs!$L$9="Actual flat rate",((D638+E638)*C638)*Inputs!$L$10,IF(Inputs!$C$9="Residential",IF(((D638+E638)*C638)&lt;='Assumptions and Catalog'!$C$50,((D638+E638)*C638)*'Assumptions and Catalog'!$H$50+'Assumptions and Catalog'!$E$50+'Assumptions and Catalog'!$F$50,IF(((D638+E638)*C638)&lt;='Assumptions and Catalog'!$C$51,((D638+E638)*C638)*'Assumptions and Catalog'!$H$51+'Assumptions and Catalog'!$E$51+'Assumptions and Catalog'!$F$51,IF(((D638+E638)*C638)&lt;='Assumptions and Catalog'!$C$52,((D638+E638)*C638)*'Assumptions and Catalog'!$H$52+'Assumptions and Catalog'!$E$52+'Assumptions and Catalog'!$F$52,IF(((D638+E638)*C638)&lt;='Assumptions and Catalog'!$C$53,((D638+E638)*C638)*'Assumptions and Catalog'!$H$53+'Assumptions and Catalog'!$E$53+'Assumptions and Catalog'!$F$53,IF(((D638+E638)*C638)&lt;='Assumptions and Catalog'!$C$54,((D638+E638)*C638)*'Assumptions and Catalog'!$H$54+'Assumptions and Catalog'!$E$54+'Assumptions and Catalog'!$F$54,IF(((D638+E638)*C638)&lt;='Assumptions and Catalog'!$C$55,((D638+E638)*C638)*'Assumptions and Catalog'!$H$55+'Assumptions and Catalog'!$E$55+'Assumptions and Catalog'!$F$55,IF(((D638+E638)*C638)&lt;='Assumptions and Catalog'!$C$56,((D638+E638)*C638)*'Assumptions and Catalog'!$H$56+'Assumptions and Catalog'!$E$56+'Assumptions and Catalog'!$F$56,IF(((D638+E638)*C638)&lt;='Assumptions and Catalog'!$C$57,((D638+E638)*C638)*'Assumptions and Catalog'!$H$57+'Assumptions and Catalog'!$E$57+'Assumptions and Catalog'!$F$57,"Out of range")))))))),IF(((D638+E638)*C638)&lt;='Assumptions and Catalog'!$C$60,((D638+E638)*C638)*'Assumptions and Catalog'!$H$60+'Assumptions and Catalog'!$E$60+'Assumptions and Catalog'!$F$60,IF(((D638+E638)*C638)&lt;='Assumptions and Catalog'!$C$61,((D638+E638)*C638)*'Assumptions and Catalog'!$H$61+'Assumptions and Catalog'!$E$61+'Assumptions and Catalog'!$F$61,IF(((D638+E638)*C638)&lt;='Assumptions and Catalog'!$C$62,((D638+E638)*C638)*'Assumptions and Catalog'!$H$62+'Assumptions and Catalog'!$E$62+'Assumptions and Catalog'!$F$62,IF(((D638+E638)*C638)&lt;='Assumptions and Catalog'!$C$63,((D638+E638)*C638)*'Assumptions and Catalog'!$H$63+'Assumptions and Catalog'!$E$63+'Assumptions and Catalog'!$F$63,IF(((D638+E638)*C638)&lt;='Assumptions and Catalog'!$C$64,((D638+E638)*C638)*'Assumptions and Catalog'!$H$64+'Assumptions and Catalog'!$E$64+'Assumptions and Catalog'!$F$64,IF(((D638+E638)*C638)&lt;='Assumptions and Catalog'!$C$65,((D638+E638)*C638)*'Assumptions and Catalog'!$H$65+'Assumptions and Catalog'!$E$65+'Assumptions and Catalog'!$F$65,"Out of range")))))))))*(1+'Assumptions and Catalog'!$C$8)^(A638-1),0)</f>
        <v>8554.9666666666672</v>
      </c>
      <c r="N638" s="5">
        <f>IF(ISNUMBER(Inputs!$L$5),(IF(Inputs!$L$9="Actual flat rate",L638*Inputs!$L$10,IF(Inputs!$C$9="Residential",IF(L638&lt;='Assumptions and Catalog'!$C$50,L638*'Assumptions and Catalog'!$H$50+'Assumptions and Catalog'!$E$50+'Assumptions and Catalog'!$F$50,IF(L638&lt;='Assumptions and Catalog'!$C$51,L638*'Assumptions and Catalog'!$H$51+'Assumptions and Catalog'!$E$51+'Assumptions and Catalog'!$F$51,IF(L638&lt;='Assumptions and Catalog'!$C$52,L638*'Assumptions and Catalog'!$H$52+'Assumptions and Catalog'!$E$52+'Assumptions and Catalog'!$F$52,IF(L638&lt;='Assumptions and Catalog'!$C$53,L638*'Assumptions and Catalog'!$H$53+'Assumptions and Catalog'!$E$53+'Assumptions and Catalog'!$F$53,IF(L638&lt;='Assumptions and Catalog'!$C$54,L638*'Assumptions and Catalog'!$H$54+'Assumptions and Catalog'!$E$54+'Assumptions and Catalog'!$F$54,IF(L638&lt;='Assumptions and Catalog'!$C$55,L638*'Assumptions and Catalog'!$H$55+'Assumptions and Catalog'!$E$55+'Assumptions and Catalog'!$F$55,IF(L638&lt;='Assumptions and Catalog'!$C$56,L638*'Assumptions and Catalog'!$H$56+'Assumptions and Catalog'!$E$56+'Assumptions and Catalog'!$F$56,IF(L638&lt;='Assumptions and Catalog'!$C$57,L638*'Assumptions and Catalog'!$H$57+'Assumptions and Catalog'!$E$57+'Assumptions and Catalog'!$F$57,"Out of range")))))))),IF(L638&lt;='Assumptions and Catalog'!$C$60,L638*'Assumptions and Catalog'!$H$60+'Assumptions and Catalog'!$E$60+'Assumptions and Catalog'!$F$60,IF(L638&lt;='Assumptions and Catalog'!$C$61,L638*'Assumptions and Catalog'!$H$61+'Assumptions and Catalog'!$E$61+'Assumptions and Catalog'!$F$61,IF(L638&lt;='Assumptions and Catalog'!$C$62,L638*'Assumptions and Catalog'!$H$62+'Assumptions and Catalog'!$E$62+'Assumptions and Catalog'!$F$62,IF(L638&lt;='Assumptions and Catalog'!$C$63,L638*'Assumptions and Catalog'!$H$63+'Assumptions and Catalog'!$E$63+'Assumptions and Catalog'!$F$63,IF(L638&lt;='Assumptions and Catalog'!$C$64,L638*'Assumptions and Catalog'!$H$64+'Assumptions and Catalog'!$E$64+'Assumptions and Catalog'!$F$64,IF(L638&lt;='Assumptions and Catalog'!$C$65,L638*'Assumptions and Catalog'!$H$65+'Assumptions and Catalog'!$E$65+'Assumptions and Catalog'!$F$65,"Out of range")))))))))*(1+'Assumptions and Catalog'!$C$8)^(A638-1),0)</f>
        <v>8554.9666666666672</v>
      </c>
      <c r="O638" s="5">
        <f t="shared" si="47"/>
        <v>0</v>
      </c>
      <c r="P638" s="5">
        <f>D$55*(1-K$14)*(1-'Assumptions and Catalog'!$C$23)^R638</f>
        <v>0</v>
      </c>
      <c r="Q638" s="5">
        <f>IF(ISNUMBER(Inputs!$L$5),(IF(Inputs!$L$9="Actual flat rate",((D638+E638)*C638-G638)*Inputs!$L$10,IF(Inputs!$C$9="Residential",IF(((D638+E638)*C638-G638)&lt;='Assumptions and Catalog'!$C$50,((D638+E638)*C638-G638)*'Assumptions and Catalog'!$H$50+'Assumptions and Catalog'!$E$50+'Assumptions and Catalog'!$F$50,IF(((D638+E638)*C638-G638)&lt;='Assumptions and Catalog'!$C$51,((D638+E638)*C638-G638)*'Assumptions and Catalog'!$H$51+'Assumptions and Catalog'!$E$51+'Assumptions and Catalog'!$F$51,IF(((D638+E638)*C638-G638)&lt;='Assumptions and Catalog'!$C$52,((D638+E638)*C638-G638)*'Assumptions and Catalog'!$H$52+'Assumptions and Catalog'!$E$52+'Assumptions and Catalog'!$F$52,IF(((D638+E638)*C638-G638)&lt;='Assumptions and Catalog'!$C$53,((D638+E638)*C638-G638)*'Assumptions and Catalog'!$H$53+'Assumptions and Catalog'!$E$53+'Assumptions and Catalog'!$F$53,IF(((D638+E638)*C638-G638)&lt;='Assumptions and Catalog'!$C$54,((D638+E638)*C638-G638)*'Assumptions and Catalog'!$H$54+'Assumptions and Catalog'!$E$54+'Assumptions and Catalog'!$F$54,IF(((D638+E638)*C638-G638)&lt;='Assumptions and Catalog'!$C$55,((D638+E638)*C638-G638)*'Assumptions and Catalog'!$H$55+'Assumptions and Catalog'!$E$55+'Assumptions and Catalog'!$F$55,IF(((D638+E638)*C638-G638)&lt;='Assumptions and Catalog'!$C$56,((D638+E638)*C638-G638)*'Assumptions and Catalog'!$H$56+'Assumptions and Catalog'!$E$56+'Assumptions and Catalog'!$F$56,IF(((D638+E638)*C638-G638)&lt;='Assumptions and Catalog'!$C$57,((D638+E638)*C638-G638)*'Assumptions and Catalog'!$H$57+'Assumptions and Catalog'!$E$57+'Assumptions and Catalog'!$F$57,"Out of range")))))))),IF(((D638+E638)*C638-G638)&lt;='Assumptions and Catalog'!$C$60,((D638+E638)*C638-G638)*'Assumptions and Catalog'!$H$60+'Assumptions and Catalog'!$E$60+'Assumptions and Catalog'!$F$60,IF(((D638+E638)*C638-G638)&lt;='Assumptions and Catalog'!$C$61,((D638+E638)*C638-G638)*'Assumptions and Catalog'!$H$61+'Assumptions and Catalog'!$E$61+'Assumptions and Catalog'!$F$61,IF(((D638+E638)*C638-G638)&lt;='Assumptions and Catalog'!$C$62,((D638+E638)*C638-G638)*'Assumptions and Catalog'!$H$62+'Assumptions and Catalog'!$E$62+'Assumptions and Catalog'!$F$62,IF(((D638+E638)*C638-G638)&lt;='Assumptions and Catalog'!$C$63,((D638+E638)*C638-G638)*'Assumptions and Catalog'!$H$63+'Assumptions and Catalog'!$E$63+'Assumptions and Catalog'!$F$63,IF(((D638+E638)*C638-G638)&lt;='Assumptions and Catalog'!$C$64,((D638+E638)*C638-G638)*'Assumptions and Catalog'!$H$64+'Assumptions and Catalog'!$E$64+'Assumptions and Catalog'!$F$64,IF(((D638+E638)*C638-G638)&lt;='Assumptions and Catalog'!$C$65,((D638+E638)*C638-G638)*'Assumptions and Catalog'!$H$65+'Assumptions and Catalog'!$E$65+'Assumptions and Catalog'!$F$65,"Out of range")))))))))*(1+'Assumptions and Catalog'!$C$8)^(A638-1),0)</f>
        <v>8554.9666666666672</v>
      </c>
      <c r="R638" s="5">
        <f>IF(AND('Assumptions and Catalog'!$C$19&gt;0,A638&gt;='Assumptions and Catalog'!$C$19),A638-'Assumptions and Catalog'!$C$19,A638-1)</f>
        <v>8</v>
      </c>
      <c r="S638" s="5">
        <f>F638+L638-(D638+E638)*C638-J638-K638-IF(D$52&gt;0,'Assumptions and Catalog'!$C$26*C638,0)</f>
        <v>0</v>
      </c>
      <c r="T638" s="5"/>
      <c r="U638" s="5"/>
    </row>
    <row r="639" spans="1:21" ht="23.1" customHeight="1" outlineLevel="1" x14ac:dyDescent="0.2">
      <c r="A639" s="5">
        <v>20</v>
      </c>
      <c r="B639" s="5">
        <v>1</v>
      </c>
      <c r="C639" s="5">
        <f>DAY(DATE('Assumptions and Catalog'!$C$24+A639-1,B639+1,0))</f>
        <v>31</v>
      </c>
      <c r="D639" s="5">
        <f>IF(ISNUMBER(Inputs!$L$5),Inputs!$L$5*Inputs!$L$6,0)</f>
        <v>40.35</v>
      </c>
      <c r="E639" s="5">
        <f>IF(ISNUMBER(Inputs!$L$5),Inputs!$L$5-D639,0)</f>
        <v>40.35</v>
      </c>
      <c r="F639" s="5">
        <f>D$51*'Assumptions and Catalog'!$C$31*C639*(1-'Assumptions and Catalog'!$C$10)^(A639-1)</f>
        <v>0</v>
      </c>
      <c r="G639" s="5">
        <f t="shared" si="44"/>
        <v>0</v>
      </c>
      <c r="H639" s="5">
        <f>I639/('Assumptions and Catalog'!$C$11*'Assumptions and Catalog'!$C$12)</f>
        <v>0</v>
      </c>
      <c r="I639" s="5">
        <f>IF(K$15="Grid cycle",MIN(K$16,D639+E639,P639*'Assumptions and Catalog'!$C$12,D$57*(24-'Assumptions and Catalog'!$C$15),D$56*'Assumptions and Catalog'!$C$15*'Assumptions and Catalog'!$C$11*'Assumptions and Catalog'!$C$12)*C639,0)</f>
        <v>0</v>
      </c>
      <c r="J639" s="5">
        <f t="shared" si="45"/>
        <v>0</v>
      </c>
      <c r="K639" s="5">
        <f t="shared" si="46"/>
        <v>0</v>
      </c>
      <c r="L639" s="5">
        <f>(D639+E639)*C639-G639-I639+H639+IF(D$52&gt;0,'Assumptions and Catalog'!$C$26*C639,0)</f>
        <v>2501.7000000000003</v>
      </c>
      <c r="M639" s="5">
        <f>IF(ISNUMBER(Inputs!$L$5),(IF(Inputs!$L$9="Actual flat rate",((D639+E639)*C639)*Inputs!$L$10,IF(Inputs!$C$9="Residential",IF(((D639+E639)*C639)&lt;='Assumptions and Catalog'!$C$50,((D639+E639)*C639)*'Assumptions and Catalog'!$H$50+'Assumptions and Catalog'!$E$50+'Assumptions and Catalog'!$F$50,IF(((D639+E639)*C639)&lt;='Assumptions and Catalog'!$C$51,((D639+E639)*C639)*'Assumptions and Catalog'!$H$51+'Assumptions and Catalog'!$E$51+'Assumptions and Catalog'!$F$51,IF(((D639+E639)*C639)&lt;='Assumptions and Catalog'!$C$52,((D639+E639)*C639)*'Assumptions and Catalog'!$H$52+'Assumptions and Catalog'!$E$52+'Assumptions and Catalog'!$F$52,IF(((D639+E639)*C639)&lt;='Assumptions and Catalog'!$C$53,((D639+E639)*C639)*'Assumptions and Catalog'!$H$53+'Assumptions and Catalog'!$E$53+'Assumptions and Catalog'!$F$53,IF(((D639+E639)*C639)&lt;='Assumptions and Catalog'!$C$54,((D639+E639)*C639)*'Assumptions and Catalog'!$H$54+'Assumptions and Catalog'!$E$54+'Assumptions and Catalog'!$F$54,IF(((D639+E639)*C639)&lt;='Assumptions and Catalog'!$C$55,((D639+E639)*C639)*'Assumptions and Catalog'!$H$55+'Assumptions and Catalog'!$E$55+'Assumptions and Catalog'!$F$55,IF(((D639+E639)*C639)&lt;='Assumptions and Catalog'!$C$56,((D639+E639)*C639)*'Assumptions and Catalog'!$H$56+'Assumptions and Catalog'!$E$56+'Assumptions and Catalog'!$F$56,IF(((D639+E639)*C639)&lt;='Assumptions and Catalog'!$C$57,((D639+E639)*C639)*'Assumptions and Catalog'!$H$57+'Assumptions and Catalog'!$E$57+'Assumptions and Catalog'!$F$57,"Out of range")))))))),IF(((D639+E639)*C639)&lt;='Assumptions and Catalog'!$C$60,((D639+E639)*C639)*'Assumptions and Catalog'!$H$60+'Assumptions and Catalog'!$E$60+'Assumptions and Catalog'!$F$60,IF(((D639+E639)*C639)&lt;='Assumptions and Catalog'!$C$61,((D639+E639)*C639)*'Assumptions and Catalog'!$H$61+'Assumptions and Catalog'!$E$61+'Assumptions and Catalog'!$F$61,IF(((D639+E639)*C639)&lt;='Assumptions and Catalog'!$C$62,((D639+E639)*C639)*'Assumptions and Catalog'!$H$62+'Assumptions and Catalog'!$E$62+'Assumptions and Catalog'!$F$62,IF(((D639+E639)*C639)&lt;='Assumptions and Catalog'!$C$63,((D639+E639)*C639)*'Assumptions and Catalog'!$H$63+'Assumptions and Catalog'!$E$63+'Assumptions and Catalog'!$F$63,IF(((D639+E639)*C639)&lt;='Assumptions and Catalog'!$C$64,((D639+E639)*C639)*'Assumptions and Catalog'!$H$64+'Assumptions and Catalog'!$E$64+'Assumptions and Catalog'!$F$64,IF(((D639+E639)*C639)&lt;='Assumptions and Catalog'!$C$65,((D639+E639)*C639)*'Assumptions and Catalog'!$H$65+'Assumptions and Catalog'!$E$65+'Assumptions and Catalog'!$F$65,"Out of range")))))))))*(1+'Assumptions and Catalog'!$C$8)^(A639-1),0)</f>
        <v>8554.9666666666672</v>
      </c>
      <c r="N639" s="5">
        <f>IF(ISNUMBER(Inputs!$L$5),(IF(Inputs!$L$9="Actual flat rate",L639*Inputs!$L$10,IF(Inputs!$C$9="Residential",IF(L639&lt;='Assumptions and Catalog'!$C$50,L639*'Assumptions and Catalog'!$H$50+'Assumptions and Catalog'!$E$50+'Assumptions and Catalog'!$F$50,IF(L639&lt;='Assumptions and Catalog'!$C$51,L639*'Assumptions and Catalog'!$H$51+'Assumptions and Catalog'!$E$51+'Assumptions and Catalog'!$F$51,IF(L639&lt;='Assumptions and Catalog'!$C$52,L639*'Assumptions and Catalog'!$H$52+'Assumptions and Catalog'!$E$52+'Assumptions and Catalog'!$F$52,IF(L639&lt;='Assumptions and Catalog'!$C$53,L639*'Assumptions and Catalog'!$H$53+'Assumptions and Catalog'!$E$53+'Assumptions and Catalog'!$F$53,IF(L639&lt;='Assumptions and Catalog'!$C$54,L639*'Assumptions and Catalog'!$H$54+'Assumptions and Catalog'!$E$54+'Assumptions and Catalog'!$F$54,IF(L639&lt;='Assumptions and Catalog'!$C$55,L639*'Assumptions and Catalog'!$H$55+'Assumptions and Catalog'!$E$55+'Assumptions and Catalog'!$F$55,IF(L639&lt;='Assumptions and Catalog'!$C$56,L639*'Assumptions and Catalog'!$H$56+'Assumptions and Catalog'!$E$56+'Assumptions and Catalog'!$F$56,IF(L639&lt;='Assumptions and Catalog'!$C$57,L639*'Assumptions and Catalog'!$H$57+'Assumptions and Catalog'!$E$57+'Assumptions and Catalog'!$F$57,"Out of range")))))))),IF(L639&lt;='Assumptions and Catalog'!$C$60,L639*'Assumptions and Catalog'!$H$60+'Assumptions and Catalog'!$E$60+'Assumptions and Catalog'!$F$60,IF(L639&lt;='Assumptions and Catalog'!$C$61,L639*'Assumptions and Catalog'!$H$61+'Assumptions and Catalog'!$E$61+'Assumptions and Catalog'!$F$61,IF(L639&lt;='Assumptions and Catalog'!$C$62,L639*'Assumptions and Catalog'!$H$62+'Assumptions and Catalog'!$E$62+'Assumptions and Catalog'!$F$62,IF(L639&lt;='Assumptions and Catalog'!$C$63,L639*'Assumptions and Catalog'!$H$63+'Assumptions and Catalog'!$E$63+'Assumptions and Catalog'!$F$63,IF(L639&lt;='Assumptions and Catalog'!$C$64,L639*'Assumptions and Catalog'!$H$64+'Assumptions and Catalog'!$E$64+'Assumptions and Catalog'!$F$64,IF(L639&lt;='Assumptions and Catalog'!$C$65,L639*'Assumptions and Catalog'!$H$65+'Assumptions and Catalog'!$E$65+'Assumptions and Catalog'!$F$65,"Out of range")))))))))*(1+'Assumptions and Catalog'!$C$8)^(A639-1),0)</f>
        <v>8554.9666666666672</v>
      </c>
      <c r="O639" s="5">
        <f t="shared" si="47"/>
        <v>0</v>
      </c>
      <c r="P639" s="5">
        <f>D$55*(1-K$14)*(1-'Assumptions and Catalog'!$C$23)^R639</f>
        <v>0</v>
      </c>
      <c r="Q639" s="5">
        <f>IF(ISNUMBER(Inputs!$L$5),(IF(Inputs!$L$9="Actual flat rate",((D639+E639)*C639-G639)*Inputs!$L$10,IF(Inputs!$C$9="Residential",IF(((D639+E639)*C639-G639)&lt;='Assumptions and Catalog'!$C$50,((D639+E639)*C639-G639)*'Assumptions and Catalog'!$H$50+'Assumptions and Catalog'!$E$50+'Assumptions and Catalog'!$F$50,IF(((D639+E639)*C639-G639)&lt;='Assumptions and Catalog'!$C$51,((D639+E639)*C639-G639)*'Assumptions and Catalog'!$H$51+'Assumptions and Catalog'!$E$51+'Assumptions and Catalog'!$F$51,IF(((D639+E639)*C639-G639)&lt;='Assumptions and Catalog'!$C$52,((D639+E639)*C639-G639)*'Assumptions and Catalog'!$H$52+'Assumptions and Catalog'!$E$52+'Assumptions and Catalog'!$F$52,IF(((D639+E639)*C639-G639)&lt;='Assumptions and Catalog'!$C$53,((D639+E639)*C639-G639)*'Assumptions and Catalog'!$H$53+'Assumptions and Catalog'!$E$53+'Assumptions and Catalog'!$F$53,IF(((D639+E639)*C639-G639)&lt;='Assumptions and Catalog'!$C$54,((D639+E639)*C639-G639)*'Assumptions and Catalog'!$H$54+'Assumptions and Catalog'!$E$54+'Assumptions and Catalog'!$F$54,IF(((D639+E639)*C639-G639)&lt;='Assumptions and Catalog'!$C$55,((D639+E639)*C639-G639)*'Assumptions and Catalog'!$H$55+'Assumptions and Catalog'!$E$55+'Assumptions and Catalog'!$F$55,IF(((D639+E639)*C639-G639)&lt;='Assumptions and Catalog'!$C$56,((D639+E639)*C639-G639)*'Assumptions and Catalog'!$H$56+'Assumptions and Catalog'!$E$56+'Assumptions and Catalog'!$F$56,IF(((D639+E639)*C639-G639)&lt;='Assumptions and Catalog'!$C$57,((D639+E639)*C639-G639)*'Assumptions and Catalog'!$H$57+'Assumptions and Catalog'!$E$57+'Assumptions and Catalog'!$F$57,"Out of range")))))))),IF(((D639+E639)*C639-G639)&lt;='Assumptions and Catalog'!$C$60,((D639+E639)*C639-G639)*'Assumptions and Catalog'!$H$60+'Assumptions and Catalog'!$E$60+'Assumptions and Catalog'!$F$60,IF(((D639+E639)*C639-G639)&lt;='Assumptions and Catalog'!$C$61,((D639+E639)*C639-G639)*'Assumptions and Catalog'!$H$61+'Assumptions and Catalog'!$E$61+'Assumptions and Catalog'!$F$61,IF(((D639+E639)*C639-G639)&lt;='Assumptions and Catalog'!$C$62,((D639+E639)*C639-G639)*'Assumptions and Catalog'!$H$62+'Assumptions and Catalog'!$E$62+'Assumptions and Catalog'!$F$62,IF(((D639+E639)*C639-G639)&lt;='Assumptions and Catalog'!$C$63,((D639+E639)*C639-G639)*'Assumptions and Catalog'!$H$63+'Assumptions and Catalog'!$E$63+'Assumptions and Catalog'!$F$63,IF(((D639+E639)*C639-G639)&lt;='Assumptions and Catalog'!$C$64,((D639+E639)*C639-G639)*'Assumptions and Catalog'!$H$64+'Assumptions and Catalog'!$E$64+'Assumptions and Catalog'!$F$64,IF(((D639+E639)*C639-G639)&lt;='Assumptions and Catalog'!$C$65,((D639+E639)*C639-G639)*'Assumptions and Catalog'!$H$65+'Assumptions and Catalog'!$E$65+'Assumptions and Catalog'!$F$65,"Out of range")))))))))*(1+'Assumptions and Catalog'!$C$8)^(A639-1),0)</f>
        <v>8554.9666666666672</v>
      </c>
      <c r="R639" s="5">
        <f>IF(AND('Assumptions and Catalog'!$C$19&gt;0,A639&gt;='Assumptions and Catalog'!$C$19),A639-'Assumptions and Catalog'!$C$19,A639-1)</f>
        <v>9</v>
      </c>
      <c r="S639" s="5">
        <f>F639+L639-(D639+E639)*C639-J639-K639-IF(D$52&gt;0,'Assumptions and Catalog'!$C$26*C639,0)</f>
        <v>0</v>
      </c>
      <c r="T639" s="5"/>
      <c r="U639" s="5"/>
    </row>
    <row r="640" spans="1:21" ht="23.1" customHeight="1" outlineLevel="1" x14ac:dyDescent="0.2">
      <c r="A640" s="5">
        <v>20</v>
      </c>
      <c r="B640" s="5">
        <v>2</v>
      </c>
      <c r="C640" s="5">
        <f>DAY(DATE('Assumptions and Catalog'!$C$24+A640-1,B640+1,0))</f>
        <v>28</v>
      </c>
      <c r="D640" s="5">
        <f>IF(ISNUMBER(Inputs!$L$5),Inputs!$L$5*Inputs!$L$6,0)</f>
        <v>40.35</v>
      </c>
      <c r="E640" s="5">
        <f>IF(ISNUMBER(Inputs!$L$5),Inputs!$L$5-D640,0)</f>
        <v>40.35</v>
      </c>
      <c r="F640" s="5">
        <f>D$51*'Assumptions and Catalog'!$C$31*C640*(1-'Assumptions and Catalog'!$C$10)^(A640-1)</f>
        <v>0</v>
      </c>
      <c r="G640" s="5">
        <f t="shared" si="44"/>
        <v>0</v>
      </c>
      <c r="H640" s="5">
        <f>I640/('Assumptions and Catalog'!$C$11*'Assumptions and Catalog'!$C$12)</f>
        <v>0</v>
      </c>
      <c r="I640" s="5">
        <f>IF(K$15="Grid cycle",MIN(K$16,D640+E640,P640*'Assumptions and Catalog'!$C$12,D$57*(24-'Assumptions and Catalog'!$C$15),D$56*'Assumptions and Catalog'!$C$15*'Assumptions and Catalog'!$C$11*'Assumptions and Catalog'!$C$12)*C640,0)</f>
        <v>0</v>
      </c>
      <c r="J640" s="5">
        <f t="shared" si="45"/>
        <v>0</v>
      </c>
      <c r="K640" s="5">
        <f t="shared" si="46"/>
        <v>0</v>
      </c>
      <c r="L640" s="5">
        <f>(D640+E640)*C640-G640-I640+H640+IF(D$52&gt;0,'Assumptions and Catalog'!$C$26*C640,0)</f>
        <v>2259.6</v>
      </c>
      <c r="M640" s="5">
        <f>IF(ISNUMBER(Inputs!$L$5),(IF(Inputs!$L$9="Actual flat rate",((D640+E640)*C640)*Inputs!$L$10,IF(Inputs!$C$9="Residential",IF(((D640+E640)*C640)&lt;='Assumptions and Catalog'!$C$50,((D640+E640)*C640)*'Assumptions and Catalog'!$H$50+'Assumptions and Catalog'!$E$50+'Assumptions and Catalog'!$F$50,IF(((D640+E640)*C640)&lt;='Assumptions and Catalog'!$C$51,((D640+E640)*C640)*'Assumptions and Catalog'!$H$51+'Assumptions and Catalog'!$E$51+'Assumptions and Catalog'!$F$51,IF(((D640+E640)*C640)&lt;='Assumptions and Catalog'!$C$52,((D640+E640)*C640)*'Assumptions and Catalog'!$H$52+'Assumptions and Catalog'!$E$52+'Assumptions and Catalog'!$F$52,IF(((D640+E640)*C640)&lt;='Assumptions and Catalog'!$C$53,((D640+E640)*C640)*'Assumptions and Catalog'!$H$53+'Assumptions and Catalog'!$E$53+'Assumptions and Catalog'!$F$53,IF(((D640+E640)*C640)&lt;='Assumptions and Catalog'!$C$54,((D640+E640)*C640)*'Assumptions and Catalog'!$H$54+'Assumptions and Catalog'!$E$54+'Assumptions and Catalog'!$F$54,IF(((D640+E640)*C640)&lt;='Assumptions and Catalog'!$C$55,((D640+E640)*C640)*'Assumptions and Catalog'!$H$55+'Assumptions and Catalog'!$E$55+'Assumptions and Catalog'!$F$55,IF(((D640+E640)*C640)&lt;='Assumptions and Catalog'!$C$56,((D640+E640)*C640)*'Assumptions and Catalog'!$H$56+'Assumptions and Catalog'!$E$56+'Assumptions and Catalog'!$F$56,IF(((D640+E640)*C640)&lt;='Assumptions and Catalog'!$C$57,((D640+E640)*C640)*'Assumptions and Catalog'!$H$57+'Assumptions and Catalog'!$E$57+'Assumptions and Catalog'!$F$57,"Out of range")))))))),IF(((D640+E640)*C640)&lt;='Assumptions and Catalog'!$C$60,((D640+E640)*C640)*'Assumptions and Catalog'!$H$60+'Assumptions and Catalog'!$E$60+'Assumptions and Catalog'!$F$60,IF(((D640+E640)*C640)&lt;='Assumptions and Catalog'!$C$61,((D640+E640)*C640)*'Assumptions and Catalog'!$H$61+'Assumptions and Catalog'!$E$61+'Assumptions and Catalog'!$F$61,IF(((D640+E640)*C640)&lt;='Assumptions and Catalog'!$C$62,((D640+E640)*C640)*'Assumptions and Catalog'!$H$62+'Assumptions and Catalog'!$E$62+'Assumptions and Catalog'!$F$62,IF(((D640+E640)*C640)&lt;='Assumptions and Catalog'!$C$63,((D640+E640)*C640)*'Assumptions and Catalog'!$H$63+'Assumptions and Catalog'!$E$63+'Assumptions and Catalog'!$F$63,IF(((D640+E640)*C640)&lt;='Assumptions and Catalog'!$C$64,((D640+E640)*C640)*'Assumptions and Catalog'!$H$64+'Assumptions and Catalog'!$E$64+'Assumptions and Catalog'!$F$64,IF(((D640+E640)*C640)&lt;='Assumptions and Catalog'!$C$65,((D640+E640)*C640)*'Assumptions and Catalog'!$H$65+'Assumptions and Catalog'!$E$65+'Assumptions and Catalog'!$F$65,"Out of range")))))))))*(1+'Assumptions and Catalog'!$C$8)^(A640-1),0)</f>
        <v>7727.0666666666657</v>
      </c>
      <c r="N640" s="5">
        <f>IF(ISNUMBER(Inputs!$L$5),(IF(Inputs!$L$9="Actual flat rate",L640*Inputs!$L$10,IF(Inputs!$C$9="Residential",IF(L640&lt;='Assumptions and Catalog'!$C$50,L640*'Assumptions and Catalog'!$H$50+'Assumptions and Catalog'!$E$50+'Assumptions and Catalog'!$F$50,IF(L640&lt;='Assumptions and Catalog'!$C$51,L640*'Assumptions and Catalog'!$H$51+'Assumptions and Catalog'!$E$51+'Assumptions and Catalog'!$F$51,IF(L640&lt;='Assumptions and Catalog'!$C$52,L640*'Assumptions and Catalog'!$H$52+'Assumptions and Catalog'!$E$52+'Assumptions and Catalog'!$F$52,IF(L640&lt;='Assumptions and Catalog'!$C$53,L640*'Assumptions and Catalog'!$H$53+'Assumptions and Catalog'!$E$53+'Assumptions and Catalog'!$F$53,IF(L640&lt;='Assumptions and Catalog'!$C$54,L640*'Assumptions and Catalog'!$H$54+'Assumptions and Catalog'!$E$54+'Assumptions and Catalog'!$F$54,IF(L640&lt;='Assumptions and Catalog'!$C$55,L640*'Assumptions and Catalog'!$H$55+'Assumptions and Catalog'!$E$55+'Assumptions and Catalog'!$F$55,IF(L640&lt;='Assumptions and Catalog'!$C$56,L640*'Assumptions and Catalog'!$H$56+'Assumptions and Catalog'!$E$56+'Assumptions and Catalog'!$F$56,IF(L640&lt;='Assumptions and Catalog'!$C$57,L640*'Assumptions and Catalog'!$H$57+'Assumptions and Catalog'!$E$57+'Assumptions and Catalog'!$F$57,"Out of range")))))))),IF(L640&lt;='Assumptions and Catalog'!$C$60,L640*'Assumptions and Catalog'!$H$60+'Assumptions and Catalog'!$E$60+'Assumptions and Catalog'!$F$60,IF(L640&lt;='Assumptions and Catalog'!$C$61,L640*'Assumptions and Catalog'!$H$61+'Assumptions and Catalog'!$E$61+'Assumptions and Catalog'!$F$61,IF(L640&lt;='Assumptions and Catalog'!$C$62,L640*'Assumptions and Catalog'!$H$62+'Assumptions and Catalog'!$E$62+'Assumptions and Catalog'!$F$62,IF(L640&lt;='Assumptions and Catalog'!$C$63,L640*'Assumptions and Catalog'!$H$63+'Assumptions and Catalog'!$E$63+'Assumptions and Catalog'!$F$63,IF(L640&lt;='Assumptions and Catalog'!$C$64,L640*'Assumptions and Catalog'!$H$64+'Assumptions and Catalog'!$E$64+'Assumptions and Catalog'!$F$64,IF(L640&lt;='Assumptions and Catalog'!$C$65,L640*'Assumptions and Catalog'!$H$65+'Assumptions and Catalog'!$E$65+'Assumptions and Catalog'!$F$65,"Out of range")))))))))*(1+'Assumptions and Catalog'!$C$8)^(A640-1),0)</f>
        <v>7727.0666666666657</v>
      </c>
      <c r="O640" s="5">
        <f t="shared" si="47"/>
        <v>0</v>
      </c>
      <c r="P640" s="5">
        <f>D$55*(1-K$14)*(1-'Assumptions and Catalog'!$C$23)^R640</f>
        <v>0</v>
      </c>
      <c r="Q640" s="5">
        <f>IF(ISNUMBER(Inputs!$L$5),(IF(Inputs!$L$9="Actual flat rate",((D640+E640)*C640-G640)*Inputs!$L$10,IF(Inputs!$C$9="Residential",IF(((D640+E640)*C640-G640)&lt;='Assumptions and Catalog'!$C$50,((D640+E640)*C640-G640)*'Assumptions and Catalog'!$H$50+'Assumptions and Catalog'!$E$50+'Assumptions and Catalog'!$F$50,IF(((D640+E640)*C640-G640)&lt;='Assumptions and Catalog'!$C$51,((D640+E640)*C640-G640)*'Assumptions and Catalog'!$H$51+'Assumptions and Catalog'!$E$51+'Assumptions and Catalog'!$F$51,IF(((D640+E640)*C640-G640)&lt;='Assumptions and Catalog'!$C$52,((D640+E640)*C640-G640)*'Assumptions and Catalog'!$H$52+'Assumptions and Catalog'!$E$52+'Assumptions and Catalog'!$F$52,IF(((D640+E640)*C640-G640)&lt;='Assumptions and Catalog'!$C$53,((D640+E640)*C640-G640)*'Assumptions and Catalog'!$H$53+'Assumptions and Catalog'!$E$53+'Assumptions and Catalog'!$F$53,IF(((D640+E640)*C640-G640)&lt;='Assumptions and Catalog'!$C$54,((D640+E640)*C640-G640)*'Assumptions and Catalog'!$H$54+'Assumptions and Catalog'!$E$54+'Assumptions and Catalog'!$F$54,IF(((D640+E640)*C640-G640)&lt;='Assumptions and Catalog'!$C$55,((D640+E640)*C640-G640)*'Assumptions and Catalog'!$H$55+'Assumptions and Catalog'!$E$55+'Assumptions and Catalog'!$F$55,IF(((D640+E640)*C640-G640)&lt;='Assumptions and Catalog'!$C$56,((D640+E640)*C640-G640)*'Assumptions and Catalog'!$H$56+'Assumptions and Catalog'!$E$56+'Assumptions and Catalog'!$F$56,IF(((D640+E640)*C640-G640)&lt;='Assumptions and Catalog'!$C$57,((D640+E640)*C640-G640)*'Assumptions and Catalog'!$H$57+'Assumptions and Catalog'!$E$57+'Assumptions and Catalog'!$F$57,"Out of range")))))))),IF(((D640+E640)*C640-G640)&lt;='Assumptions and Catalog'!$C$60,((D640+E640)*C640-G640)*'Assumptions and Catalog'!$H$60+'Assumptions and Catalog'!$E$60+'Assumptions and Catalog'!$F$60,IF(((D640+E640)*C640-G640)&lt;='Assumptions and Catalog'!$C$61,((D640+E640)*C640-G640)*'Assumptions and Catalog'!$H$61+'Assumptions and Catalog'!$E$61+'Assumptions and Catalog'!$F$61,IF(((D640+E640)*C640-G640)&lt;='Assumptions and Catalog'!$C$62,((D640+E640)*C640-G640)*'Assumptions and Catalog'!$H$62+'Assumptions and Catalog'!$E$62+'Assumptions and Catalog'!$F$62,IF(((D640+E640)*C640-G640)&lt;='Assumptions and Catalog'!$C$63,((D640+E640)*C640-G640)*'Assumptions and Catalog'!$H$63+'Assumptions and Catalog'!$E$63+'Assumptions and Catalog'!$F$63,IF(((D640+E640)*C640-G640)&lt;='Assumptions and Catalog'!$C$64,((D640+E640)*C640-G640)*'Assumptions and Catalog'!$H$64+'Assumptions and Catalog'!$E$64+'Assumptions and Catalog'!$F$64,IF(((D640+E640)*C640-G640)&lt;='Assumptions and Catalog'!$C$65,((D640+E640)*C640-G640)*'Assumptions and Catalog'!$H$65+'Assumptions and Catalog'!$E$65+'Assumptions and Catalog'!$F$65,"Out of range")))))))))*(1+'Assumptions and Catalog'!$C$8)^(A640-1),0)</f>
        <v>7727.0666666666657</v>
      </c>
      <c r="R640" s="5">
        <f>IF(AND('Assumptions and Catalog'!$C$19&gt;0,A640&gt;='Assumptions and Catalog'!$C$19),A640-'Assumptions and Catalog'!$C$19,A640-1)</f>
        <v>9</v>
      </c>
      <c r="S640" s="5">
        <f>F640+L640-(D640+E640)*C640-J640-K640-IF(D$52&gt;0,'Assumptions and Catalog'!$C$26*C640,0)</f>
        <v>0</v>
      </c>
      <c r="T640" s="5"/>
      <c r="U640" s="5"/>
    </row>
    <row r="641" spans="1:21" ht="23.1" customHeight="1" outlineLevel="1" x14ac:dyDescent="0.2">
      <c r="A641" s="5">
        <v>20</v>
      </c>
      <c r="B641" s="5">
        <v>3</v>
      </c>
      <c r="C641" s="5">
        <f>DAY(DATE('Assumptions and Catalog'!$C$24+A641-1,B641+1,0))</f>
        <v>31</v>
      </c>
      <c r="D641" s="5">
        <f>IF(ISNUMBER(Inputs!$L$5),Inputs!$L$5*Inputs!$L$6,0)</f>
        <v>40.35</v>
      </c>
      <c r="E641" s="5">
        <f>IF(ISNUMBER(Inputs!$L$5),Inputs!$L$5-D641,0)</f>
        <v>40.35</v>
      </c>
      <c r="F641" s="5">
        <f>D$51*'Assumptions and Catalog'!$C$31*C641*(1-'Assumptions and Catalog'!$C$10)^(A641-1)</f>
        <v>0</v>
      </c>
      <c r="G641" s="5">
        <f t="shared" si="44"/>
        <v>0</v>
      </c>
      <c r="H641" s="5">
        <f>I641/('Assumptions and Catalog'!$C$11*'Assumptions and Catalog'!$C$12)</f>
        <v>0</v>
      </c>
      <c r="I641" s="5">
        <f>IF(K$15="Grid cycle",MIN(K$16,D641+E641,P641*'Assumptions and Catalog'!$C$12,D$57*(24-'Assumptions and Catalog'!$C$15),D$56*'Assumptions and Catalog'!$C$15*'Assumptions and Catalog'!$C$11*'Assumptions and Catalog'!$C$12)*C641,0)</f>
        <v>0</v>
      </c>
      <c r="J641" s="5">
        <f t="shared" si="45"/>
        <v>0</v>
      </c>
      <c r="K641" s="5">
        <f t="shared" si="46"/>
        <v>0</v>
      </c>
      <c r="L641" s="5">
        <f>(D641+E641)*C641-G641-I641+H641+IF(D$52&gt;0,'Assumptions and Catalog'!$C$26*C641,0)</f>
        <v>2501.7000000000003</v>
      </c>
      <c r="M641" s="5">
        <f>IF(ISNUMBER(Inputs!$L$5),(IF(Inputs!$L$9="Actual flat rate",((D641+E641)*C641)*Inputs!$L$10,IF(Inputs!$C$9="Residential",IF(((D641+E641)*C641)&lt;='Assumptions and Catalog'!$C$50,((D641+E641)*C641)*'Assumptions and Catalog'!$H$50+'Assumptions and Catalog'!$E$50+'Assumptions and Catalog'!$F$50,IF(((D641+E641)*C641)&lt;='Assumptions and Catalog'!$C$51,((D641+E641)*C641)*'Assumptions and Catalog'!$H$51+'Assumptions and Catalog'!$E$51+'Assumptions and Catalog'!$F$51,IF(((D641+E641)*C641)&lt;='Assumptions and Catalog'!$C$52,((D641+E641)*C641)*'Assumptions and Catalog'!$H$52+'Assumptions and Catalog'!$E$52+'Assumptions and Catalog'!$F$52,IF(((D641+E641)*C641)&lt;='Assumptions and Catalog'!$C$53,((D641+E641)*C641)*'Assumptions and Catalog'!$H$53+'Assumptions and Catalog'!$E$53+'Assumptions and Catalog'!$F$53,IF(((D641+E641)*C641)&lt;='Assumptions and Catalog'!$C$54,((D641+E641)*C641)*'Assumptions and Catalog'!$H$54+'Assumptions and Catalog'!$E$54+'Assumptions and Catalog'!$F$54,IF(((D641+E641)*C641)&lt;='Assumptions and Catalog'!$C$55,((D641+E641)*C641)*'Assumptions and Catalog'!$H$55+'Assumptions and Catalog'!$E$55+'Assumptions and Catalog'!$F$55,IF(((D641+E641)*C641)&lt;='Assumptions and Catalog'!$C$56,((D641+E641)*C641)*'Assumptions and Catalog'!$H$56+'Assumptions and Catalog'!$E$56+'Assumptions and Catalog'!$F$56,IF(((D641+E641)*C641)&lt;='Assumptions and Catalog'!$C$57,((D641+E641)*C641)*'Assumptions and Catalog'!$H$57+'Assumptions and Catalog'!$E$57+'Assumptions and Catalog'!$F$57,"Out of range")))))))),IF(((D641+E641)*C641)&lt;='Assumptions and Catalog'!$C$60,((D641+E641)*C641)*'Assumptions and Catalog'!$H$60+'Assumptions and Catalog'!$E$60+'Assumptions and Catalog'!$F$60,IF(((D641+E641)*C641)&lt;='Assumptions and Catalog'!$C$61,((D641+E641)*C641)*'Assumptions and Catalog'!$H$61+'Assumptions and Catalog'!$E$61+'Assumptions and Catalog'!$F$61,IF(((D641+E641)*C641)&lt;='Assumptions and Catalog'!$C$62,((D641+E641)*C641)*'Assumptions and Catalog'!$H$62+'Assumptions and Catalog'!$E$62+'Assumptions and Catalog'!$F$62,IF(((D641+E641)*C641)&lt;='Assumptions and Catalog'!$C$63,((D641+E641)*C641)*'Assumptions and Catalog'!$H$63+'Assumptions and Catalog'!$E$63+'Assumptions and Catalog'!$F$63,IF(((D641+E641)*C641)&lt;='Assumptions and Catalog'!$C$64,((D641+E641)*C641)*'Assumptions and Catalog'!$H$64+'Assumptions and Catalog'!$E$64+'Assumptions and Catalog'!$F$64,IF(((D641+E641)*C641)&lt;='Assumptions and Catalog'!$C$65,((D641+E641)*C641)*'Assumptions and Catalog'!$H$65+'Assumptions and Catalog'!$E$65+'Assumptions and Catalog'!$F$65,"Out of range")))))))))*(1+'Assumptions and Catalog'!$C$8)^(A641-1),0)</f>
        <v>8554.9666666666672</v>
      </c>
      <c r="N641" s="5">
        <f>IF(ISNUMBER(Inputs!$L$5),(IF(Inputs!$L$9="Actual flat rate",L641*Inputs!$L$10,IF(Inputs!$C$9="Residential",IF(L641&lt;='Assumptions and Catalog'!$C$50,L641*'Assumptions and Catalog'!$H$50+'Assumptions and Catalog'!$E$50+'Assumptions and Catalog'!$F$50,IF(L641&lt;='Assumptions and Catalog'!$C$51,L641*'Assumptions and Catalog'!$H$51+'Assumptions and Catalog'!$E$51+'Assumptions and Catalog'!$F$51,IF(L641&lt;='Assumptions and Catalog'!$C$52,L641*'Assumptions and Catalog'!$H$52+'Assumptions and Catalog'!$E$52+'Assumptions and Catalog'!$F$52,IF(L641&lt;='Assumptions and Catalog'!$C$53,L641*'Assumptions and Catalog'!$H$53+'Assumptions and Catalog'!$E$53+'Assumptions and Catalog'!$F$53,IF(L641&lt;='Assumptions and Catalog'!$C$54,L641*'Assumptions and Catalog'!$H$54+'Assumptions and Catalog'!$E$54+'Assumptions and Catalog'!$F$54,IF(L641&lt;='Assumptions and Catalog'!$C$55,L641*'Assumptions and Catalog'!$H$55+'Assumptions and Catalog'!$E$55+'Assumptions and Catalog'!$F$55,IF(L641&lt;='Assumptions and Catalog'!$C$56,L641*'Assumptions and Catalog'!$H$56+'Assumptions and Catalog'!$E$56+'Assumptions and Catalog'!$F$56,IF(L641&lt;='Assumptions and Catalog'!$C$57,L641*'Assumptions and Catalog'!$H$57+'Assumptions and Catalog'!$E$57+'Assumptions and Catalog'!$F$57,"Out of range")))))))),IF(L641&lt;='Assumptions and Catalog'!$C$60,L641*'Assumptions and Catalog'!$H$60+'Assumptions and Catalog'!$E$60+'Assumptions and Catalog'!$F$60,IF(L641&lt;='Assumptions and Catalog'!$C$61,L641*'Assumptions and Catalog'!$H$61+'Assumptions and Catalog'!$E$61+'Assumptions and Catalog'!$F$61,IF(L641&lt;='Assumptions and Catalog'!$C$62,L641*'Assumptions and Catalog'!$H$62+'Assumptions and Catalog'!$E$62+'Assumptions and Catalog'!$F$62,IF(L641&lt;='Assumptions and Catalog'!$C$63,L641*'Assumptions and Catalog'!$H$63+'Assumptions and Catalog'!$E$63+'Assumptions and Catalog'!$F$63,IF(L641&lt;='Assumptions and Catalog'!$C$64,L641*'Assumptions and Catalog'!$H$64+'Assumptions and Catalog'!$E$64+'Assumptions and Catalog'!$F$64,IF(L641&lt;='Assumptions and Catalog'!$C$65,L641*'Assumptions and Catalog'!$H$65+'Assumptions and Catalog'!$E$65+'Assumptions and Catalog'!$F$65,"Out of range")))))))))*(1+'Assumptions and Catalog'!$C$8)^(A641-1),0)</f>
        <v>8554.9666666666672</v>
      </c>
      <c r="O641" s="5">
        <f t="shared" si="47"/>
        <v>0</v>
      </c>
      <c r="P641" s="5">
        <f>D$55*(1-K$14)*(1-'Assumptions and Catalog'!$C$23)^R641</f>
        <v>0</v>
      </c>
      <c r="Q641" s="5">
        <f>IF(ISNUMBER(Inputs!$L$5),(IF(Inputs!$L$9="Actual flat rate",((D641+E641)*C641-G641)*Inputs!$L$10,IF(Inputs!$C$9="Residential",IF(((D641+E641)*C641-G641)&lt;='Assumptions and Catalog'!$C$50,((D641+E641)*C641-G641)*'Assumptions and Catalog'!$H$50+'Assumptions and Catalog'!$E$50+'Assumptions and Catalog'!$F$50,IF(((D641+E641)*C641-G641)&lt;='Assumptions and Catalog'!$C$51,((D641+E641)*C641-G641)*'Assumptions and Catalog'!$H$51+'Assumptions and Catalog'!$E$51+'Assumptions and Catalog'!$F$51,IF(((D641+E641)*C641-G641)&lt;='Assumptions and Catalog'!$C$52,((D641+E641)*C641-G641)*'Assumptions and Catalog'!$H$52+'Assumptions and Catalog'!$E$52+'Assumptions and Catalog'!$F$52,IF(((D641+E641)*C641-G641)&lt;='Assumptions and Catalog'!$C$53,((D641+E641)*C641-G641)*'Assumptions and Catalog'!$H$53+'Assumptions and Catalog'!$E$53+'Assumptions and Catalog'!$F$53,IF(((D641+E641)*C641-G641)&lt;='Assumptions and Catalog'!$C$54,((D641+E641)*C641-G641)*'Assumptions and Catalog'!$H$54+'Assumptions and Catalog'!$E$54+'Assumptions and Catalog'!$F$54,IF(((D641+E641)*C641-G641)&lt;='Assumptions and Catalog'!$C$55,((D641+E641)*C641-G641)*'Assumptions and Catalog'!$H$55+'Assumptions and Catalog'!$E$55+'Assumptions and Catalog'!$F$55,IF(((D641+E641)*C641-G641)&lt;='Assumptions and Catalog'!$C$56,((D641+E641)*C641-G641)*'Assumptions and Catalog'!$H$56+'Assumptions and Catalog'!$E$56+'Assumptions and Catalog'!$F$56,IF(((D641+E641)*C641-G641)&lt;='Assumptions and Catalog'!$C$57,((D641+E641)*C641-G641)*'Assumptions and Catalog'!$H$57+'Assumptions and Catalog'!$E$57+'Assumptions and Catalog'!$F$57,"Out of range")))))))),IF(((D641+E641)*C641-G641)&lt;='Assumptions and Catalog'!$C$60,((D641+E641)*C641-G641)*'Assumptions and Catalog'!$H$60+'Assumptions and Catalog'!$E$60+'Assumptions and Catalog'!$F$60,IF(((D641+E641)*C641-G641)&lt;='Assumptions and Catalog'!$C$61,((D641+E641)*C641-G641)*'Assumptions and Catalog'!$H$61+'Assumptions and Catalog'!$E$61+'Assumptions and Catalog'!$F$61,IF(((D641+E641)*C641-G641)&lt;='Assumptions and Catalog'!$C$62,((D641+E641)*C641-G641)*'Assumptions and Catalog'!$H$62+'Assumptions and Catalog'!$E$62+'Assumptions and Catalog'!$F$62,IF(((D641+E641)*C641-G641)&lt;='Assumptions and Catalog'!$C$63,((D641+E641)*C641-G641)*'Assumptions and Catalog'!$H$63+'Assumptions and Catalog'!$E$63+'Assumptions and Catalog'!$F$63,IF(((D641+E641)*C641-G641)&lt;='Assumptions and Catalog'!$C$64,((D641+E641)*C641-G641)*'Assumptions and Catalog'!$H$64+'Assumptions and Catalog'!$E$64+'Assumptions and Catalog'!$F$64,IF(((D641+E641)*C641-G641)&lt;='Assumptions and Catalog'!$C$65,((D641+E641)*C641-G641)*'Assumptions and Catalog'!$H$65+'Assumptions and Catalog'!$E$65+'Assumptions and Catalog'!$F$65,"Out of range")))))))))*(1+'Assumptions and Catalog'!$C$8)^(A641-1),0)</f>
        <v>8554.9666666666672</v>
      </c>
      <c r="R641" s="5">
        <f>IF(AND('Assumptions and Catalog'!$C$19&gt;0,A641&gt;='Assumptions and Catalog'!$C$19),A641-'Assumptions and Catalog'!$C$19,A641-1)</f>
        <v>9</v>
      </c>
      <c r="S641" s="5">
        <f>F641+L641-(D641+E641)*C641-J641-K641-IF(D$52&gt;0,'Assumptions and Catalog'!$C$26*C641,0)</f>
        <v>0</v>
      </c>
      <c r="T641" s="5"/>
      <c r="U641" s="5"/>
    </row>
    <row r="642" spans="1:21" ht="23.1" customHeight="1" outlineLevel="1" x14ac:dyDescent="0.2">
      <c r="A642" s="5">
        <v>20</v>
      </c>
      <c r="B642" s="5">
        <v>4</v>
      </c>
      <c r="C642" s="5">
        <f>DAY(DATE('Assumptions and Catalog'!$C$24+A642-1,B642+1,0))</f>
        <v>30</v>
      </c>
      <c r="D642" s="5">
        <f>IF(ISNUMBER(Inputs!$L$5),Inputs!$L$5*Inputs!$L$6,0)</f>
        <v>40.35</v>
      </c>
      <c r="E642" s="5">
        <f>IF(ISNUMBER(Inputs!$L$5),Inputs!$L$5-D642,0)</f>
        <v>40.35</v>
      </c>
      <c r="F642" s="5">
        <f>D$51*'Assumptions and Catalog'!$C$31*C642*(1-'Assumptions and Catalog'!$C$10)^(A642-1)</f>
        <v>0</v>
      </c>
      <c r="G642" s="5">
        <f t="shared" si="44"/>
        <v>0</v>
      </c>
      <c r="H642" s="5">
        <f>I642/('Assumptions and Catalog'!$C$11*'Assumptions and Catalog'!$C$12)</f>
        <v>0</v>
      </c>
      <c r="I642" s="5">
        <f>IF(K$15="Grid cycle",MIN(K$16,D642+E642,P642*'Assumptions and Catalog'!$C$12,D$57*(24-'Assumptions and Catalog'!$C$15),D$56*'Assumptions and Catalog'!$C$15*'Assumptions and Catalog'!$C$11*'Assumptions and Catalog'!$C$12)*C642,0)</f>
        <v>0</v>
      </c>
      <c r="J642" s="5">
        <f t="shared" si="45"/>
        <v>0</v>
      </c>
      <c r="K642" s="5">
        <f t="shared" si="46"/>
        <v>0</v>
      </c>
      <c r="L642" s="5">
        <f>(D642+E642)*C642-G642-I642+H642+IF(D$52&gt;0,'Assumptions and Catalog'!$C$26*C642,0)</f>
        <v>2421</v>
      </c>
      <c r="M642" s="5">
        <f>IF(ISNUMBER(Inputs!$L$5),(IF(Inputs!$L$9="Actual flat rate",((D642+E642)*C642)*Inputs!$L$10,IF(Inputs!$C$9="Residential",IF(((D642+E642)*C642)&lt;='Assumptions and Catalog'!$C$50,((D642+E642)*C642)*'Assumptions and Catalog'!$H$50+'Assumptions and Catalog'!$E$50+'Assumptions and Catalog'!$F$50,IF(((D642+E642)*C642)&lt;='Assumptions and Catalog'!$C$51,((D642+E642)*C642)*'Assumptions and Catalog'!$H$51+'Assumptions and Catalog'!$E$51+'Assumptions and Catalog'!$F$51,IF(((D642+E642)*C642)&lt;='Assumptions and Catalog'!$C$52,((D642+E642)*C642)*'Assumptions and Catalog'!$H$52+'Assumptions and Catalog'!$E$52+'Assumptions and Catalog'!$F$52,IF(((D642+E642)*C642)&lt;='Assumptions and Catalog'!$C$53,((D642+E642)*C642)*'Assumptions and Catalog'!$H$53+'Assumptions and Catalog'!$E$53+'Assumptions and Catalog'!$F$53,IF(((D642+E642)*C642)&lt;='Assumptions and Catalog'!$C$54,((D642+E642)*C642)*'Assumptions and Catalog'!$H$54+'Assumptions and Catalog'!$E$54+'Assumptions and Catalog'!$F$54,IF(((D642+E642)*C642)&lt;='Assumptions and Catalog'!$C$55,((D642+E642)*C642)*'Assumptions and Catalog'!$H$55+'Assumptions and Catalog'!$E$55+'Assumptions and Catalog'!$F$55,IF(((D642+E642)*C642)&lt;='Assumptions and Catalog'!$C$56,((D642+E642)*C642)*'Assumptions and Catalog'!$H$56+'Assumptions and Catalog'!$E$56+'Assumptions and Catalog'!$F$56,IF(((D642+E642)*C642)&lt;='Assumptions and Catalog'!$C$57,((D642+E642)*C642)*'Assumptions and Catalog'!$H$57+'Assumptions and Catalog'!$E$57+'Assumptions and Catalog'!$F$57,"Out of range")))))))),IF(((D642+E642)*C642)&lt;='Assumptions and Catalog'!$C$60,((D642+E642)*C642)*'Assumptions and Catalog'!$H$60+'Assumptions and Catalog'!$E$60+'Assumptions and Catalog'!$F$60,IF(((D642+E642)*C642)&lt;='Assumptions and Catalog'!$C$61,((D642+E642)*C642)*'Assumptions and Catalog'!$H$61+'Assumptions and Catalog'!$E$61+'Assumptions and Catalog'!$F$61,IF(((D642+E642)*C642)&lt;='Assumptions and Catalog'!$C$62,((D642+E642)*C642)*'Assumptions and Catalog'!$H$62+'Assumptions and Catalog'!$E$62+'Assumptions and Catalog'!$F$62,IF(((D642+E642)*C642)&lt;='Assumptions and Catalog'!$C$63,((D642+E642)*C642)*'Assumptions and Catalog'!$H$63+'Assumptions and Catalog'!$E$63+'Assumptions and Catalog'!$F$63,IF(((D642+E642)*C642)&lt;='Assumptions and Catalog'!$C$64,((D642+E642)*C642)*'Assumptions and Catalog'!$H$64+'Assumptions and Catalog'!$E$64+'Assumptions and Catalog'!$F$64,IF(((D642+E642)*C642)&lt;='Assumptions and Catalog'!$C$65,((D642+E642)*C642)*'Assumptions and Catalog'!$H$65+'Assumptions and Catalog'!$E$65+'Assumptions and Catalog'!$F$65,"Out of range")))))))))*(1+'Assumptions and Catalog'!$C$8)^(A642-1),0)</f>
        <v>8279</v>
      </c>
      <c r="N642" s="5">
        <f>IF(ISNUMBER(Inputs!$L$5),(IF(Inputs!$L$9="Actual flat rate",L642*Inputs!$L$10,IF(Inputs!$C$9="Residential",IF(L642&lt;='Assumptions and Catalog'!$C$50,L642*'Assumptions and Catalog'!$H$50+'Assumptions and Catalog'!$E$50+'Assumptions and Catalog'!$F$50,IF(L642&lt;='Assumptions and Catalog'!$C$51,L642*'Assumptions and Catalog'!$H$51+'Assumptions and Catalog'!$E$51+'Assumptions and Catalog'!$F$51,IF(L642&lt;='Assumptions and Catalog'!$C$52,L642*'Assumptions and Catalog'!$H$52+'Assumptions and Catalog'!$E$52+'Assumptions and Catalog'!$F$52,IF(L642&lt;='Assumptions and Catalog'!$C$53,L642*'Assumptions and Catalog'!$H$53+'Assumptions and Catalog'!$E$53+'Assumptions and Catalog'!$F$53,IF(L642&lt;='Assumptions and Catalog'!$C$54,L642*'Assumptions and Catalog'!$H$54+'Assumptions and Catalog'!$E$54+'Assumptions and Catalog'!$F$54,IF(L642&lt;='Assumptions and Catalog'!$C$55,L642*'Assumptions and Catalog'!$H$55+'Assumptions and Catalog'!$E$55+'Assumptions and Catalog'!$F$55,IF(L642&lt;='Assumptions and Catalog'!$C$56,L642*'Assumptions and Catalog'!$H$56+'Assumptions and Catalog'!$E$56+'Assumptions and Catalog'!$F$56,IF(L642&lt;='Assumptions and Catalog'!$C$57,L642*'Assumptions and Catalog'!$H$57+'Assumptions and Catalog'!$E$57+'Assumptions and Catalog'!$F$57,"Out of range")))))))),IF(L642&lt;='Assumptions and Catalog'!$C$60,L642*'Assumptions and Catalog'!$H$60+'Assumptions and Catalog'!$E$60+'Assumptions and Catalog'!$F$60,IF(L642&lt;='Assumptions and Catalog'!$C$61,L642*'Assumptions and Catalog'!$H$61+'Assumptions and Catalog'!$E$61+'Assumptions and Catalog'!$F$61,IF(L642&lt;='Assumptions and Catalog'!$C$62,L642*'Assumptions and Catalog'!$H$62+'Assumptions and Catalog'!$E$62+'Assumptions and Catalog'!$F$62,IF(L642&lt;='Assumptions and Catalog'!$C$63,L642*'Assumptions and Catalog'!$H$63+'Assumptions and Catalog'!$E$63+'Assumptions and Catalog'!$F$63,IF(L642&lt;='Assumptions and Catalog'!$C$64,L642*'Assumptions and Catalog'!$H$64+'Assumptions and Catalog'!$E$64+'Assumptions and Catalog'!$F$64,IF(L642&lt;='Assumptions and Catalog'!$C$65,L642*'Assumptions and Catalog'!$H$65+'Assumptions and Catalog'!$E$65+'Assumptions and Catalog'!$F$65,"Out of range")))))))))*(1+'Assumptions and Catalog'!$C$8)^(A642-1),0)</f>
        <v>8279</v>
      </c>
      <c r="O642" s="5">
        <f t="shared" si="47"/>
        <v>0</v>
      </c>
      <c r="P642" s="5">
        <f>D$55*(1-K$14)*(1-'Assumptions and Catalog'!$C$23)^R642</f>
        <v>0</v>
      </c>
      <c r="Q642" s="5">
        <f>IF(ISNUMBER(Inputs!$L$5),(IF(Inputs!$L$9="Actual flat rate",((D642+E642)*C642-G642)*Inputs!$L$10,IF(Inputs!$C$9="Residential",IF(((D642+E642)*C642-G642)&lt;='Assumptions and Catalog'!$C$50,((D642+E642)*C642-G642)*'Assumptions and Catalog'!$H$50+'Assumptions and Catalog'!$E$50+'Assumptions and Catalog'!$F$50,IF(((D642+E642)*C642-G642)&lt;='Assumptions and Catalog'!$C$51,((D642+E642)*C642-G642)*'Assumptions and Catalog'!$H$51+'Assumptions and Catalog'!$E$51+'Assumptions and Catalog'!$F$51,IF(((D642+E642)*C642-G642)&lt;='Assumptions and Catalog'!$C$52,((D642+E642)*C642-G642)*'Assumptions and Catalog'!$H$52+'Assumptions and Catalog'!$E$52+'Assumptions and Catalog'!$F$52,IF(((D642+E642)*C642-G642)&lt;='Assumptions and Catalog'!$C$53,((D642+E642)*C642-G642)*'Assumptions and Catalog'!$H$53+'Assumptions and Catalog'!$E$53+'Assumptions and Catalog'!$F$53,IF(((D642+E642)*C642-G642)&lt;='Assumptions and Catalog'!$C$54,((D642+E642)*C642-G642)*'Assumptions and Catalog'!$H$54+'Assumptions and Catalog'!$E$54+'Assumptions and Catalog'!$F$54,IF(((D642+E642)*C642-G642)&lt;='Assumptions and Catalog'!$C$55,((D642+E642)*C642-G642)*'Assumptions and Catalog'!$H$55+'Assumptions and Catalog'!$E$55+'Assumptions and Catalog'!$F$55,IF(((D642+E642)*C642-G642)&lt;='Assumptions and Catalog'!$C$56,((D642+E642)*C642-G642)*'Assumptions and Catalog'!$H$56+'Assumptions and Catalog'!$E$56+'Assumptions and Catalog'!$F$56,IF(((D642+E642)*C642-G642)&lt;='Assumptions and Catalog'!$C$57,((D642+E642)*C642-G642)*'Assumptions and Catalog'!$H$57+'Assumptions and Catalog'!$E$57+'Assumptions and Catalog'!$F$57,"Out of range")))))))),IF(((D642+E642)*C642-G642)&lt;='Assumptions and Catalog'!$C$60,((D642+E642)*C642-G642)*'Assumptions and Catalog'!$H$60+'Assumptions and Catalog'!$E$60+'Assumptions and Catalog'!$F$60,IF(((D642+E642)*C642-G642)&lt;='Assumptions and Catalog'!$C$61,((D642+E642)*C642-G642)*'Assumptions and Catalog'!$H$61+'Assumptions and Catalog'!$E$61+'Assumptions and Catalog'!$F$61,IF(((D642+E642)*C642-G642)&lt;='Assumptions and Catalog'!$C$62,((D642+E642)*C642-G642)*'Assumptions and Catalog'!$H$62+'Assumptions and Catalog'!$E$62+'Assumptions and Catalog'!$F$62,IF(((D642+E642)*C642-G642)&lt;='Assumptions and Catalog'!$C$63,((D642+E642)*C642-G642)*'Assumptions and Catalog'!$H$63+'Assumptions and Catalog'!$E$63+'Assumptions and Catalog'!$F$63,IF(((D642+E642)*C642-G642)&lt;='Assumptions and Catalog'!$C$64,((D642+E642)*C642-G642)*'Assumptions and Catalog'!$H$64+'Assumptions and Catalog'!$E$64+'Assumptions and Catalog'!$F$64,IF(((D642+E642)*C642-G642)&lt;='Assumptions and Catalog'!$C$65,((D642+E642)*C642-G642)*'Assumptions and Catalog'!$H$65+'Assumptions and Catalog'!$E$65+'Assumptions and Catalog'!$F$65,"Out of range")))))))))*(1+'Assumptions and Catalog'!$C$8)^(A642-1),0)</f>
        <v>8279</v>
      </c>
      <c r="R642" s="5">
        <f>IF(AND('Assumptions and Catalog'!$C$19&gt;0,A642&gt;='Assumptions and Catalog'!$C$19),A642-'Assumptions and Catalog'!$C$19,A642-1)</f>
        <v>9</v>
      </c>
      <c r="S642" s="5">
        <f>F642+L642-(D642+E642)*C642-J642-K642-IF(D$52&gt;0,'Assumptions and Catalog'!$C$26*C642,0)</f>
        <v>0</v>
      </c>
      <c r="T642" s="5"/>
      <c r="U642" s="5"/>
    </row>
    <row r="643" spans="1:21" ht="23.1" customHeight="1" outlineLevel="1" x14ac:dyDescent="0.2">
      <c r="A643" s="5">
        <v>20</v>
      </c>
      <c r="B643" s="5">
        <v>5</v>
      </c>
      <c r="C643" s="5">
        <f>DAY(DATE('Assumptions and Catalog'!$C$24+A643-1,B643+1,0))</f>
        <v>31</v>
      </c>
      <c r="D643" s="5">
        <f>IF(ISNUMBER(Inputs!$L$5),Inputs!$L$5*Inputs!$L$6,0)</f>
        <v>40.35</v>
      </c>
      <c r="E643" s="5">
        <f>IF(ISNUMBER(Inputs!$L$5),Inputs!$L$5-D643,0)</f>
        <v>40.35</v>
      </c>
      <c r="F643" s="5">
        <f>D$51*'Assumptions and Catalog'!$C$31*C643*(1-'Assumptions and Catalog'!$C$10)^(A643-1)</f>
        <v>0</v>
      </c>
      <c r="G643" s="5">
        <f t="shared" si="44"/>
        <v>0</v>
      </c>
      <c r="H643" s="5">
        <f>I643/('Assumptions and Catalog'!$C$11*'Assumptions and Catalog'!$C$12)</f>
        <v>0</v>
      </c>
      <c r="I643" s="5">
        <f>IF(K$15="Grid cycle",MIN(K$16,D643+E643,P643*'Assumptions and Catalog'!$C$12,D$57*(24-'Assumptions and Catalog'!$C$15),D$56*'Assumptions and Catalog'!$C$15*'Assumptions and Catalog'!$C$11*'Assumptions and Catalog'!$C$12)*C643,0)</f>
        <v>0</v>
      </c>
      <c r="J643" s="5">
        <f t="shared" si="45"/>
        <v>0</v>
      </c>
      <c r="K643" s="5">
        <f t="shared" si="46"/>
        <v>0</v>
      </c>
      <c r="L643" s="5">
        <f>(D643+E643)*C643-G643-I643+H643+IF(D$52&gt;0,'Assumptions and Catalog'!$C$26*C643,0)</f>
        <v>2501.7000000000003</v>
      </c>
      <c r="M643" s="5">
        <f>IF(ISNUMBER(Inputs!$L$5),(IF(Inputs!$L$9="Actual flat rate",((D643+E643)*C643)*Inputs!$L$10,IF(Inputs!$C$9="Residential",IF(((D643+E643)*C643)&lt;='Assumptions and Catalog'!$C$50,((D643+E643)*C643)*'Assumptions and Catalog'!$H$50+'Assumptions and Catalog'!$E$50+'Assumptions and Catalog'!$F$50,IF(((D643+E643)*C643)&lt;='Assumptions and Catalog'!$C$51,((D643+E643)*C643)*'Assumptions and Catalog'!$H$51+'Assumptions and Catalog'!$E$51+'Assumptions and Catalog'!$F$51,IF(((D643+E643)*C643)&lt;='Assumptions and Catalog'!$C$52,((D643+E643)*C643)*'Assumptions and Catalog'!$H$52+'Assumptions and Catalog'!$E$52+'Assumptions and Catalog'!$F$52,IF(((D643+E643)*C643)&lt;='Assumptions and Catalog'!$C$53,((D643+E643)*C643)*'Assumptions and Catalog'!$H$53+'Assumptions and Catalog'!$E$53+'Assumptions and Catalog'!$F$53,IF(((D643+E643)*C643)&lt;='Assumptions and Catalog'!$C$54,((D643+E643)*C643)*'Assumptions and Catalog'!$H$54+'Assumptions and Catalog'!$E$54+'Assumptions and Catalog'!$F$54,IF(((D643+E643)*C643)&lt;='Assumptions and Catalog'!$C$55,((D643+E643)*C643)*'Assumptions and Catalog'!$H$55+'Assumptions and Catalog'!$E$55+'Assumptions and Catalog'!$F$55,IF(((D643+E643)*C643)&lt;='Assumptions and Catalog'!$C$56,((D643+E643)*C643)*'Assumptions and Catalog'!$H$56+'Assumptions and Catalog'!$E$56+'Assumptions and Catalog'!$F$56,IF(((D643+E643)*C643)&lt;='Assumptions and Catalog'!$C$57,((D643+E643)*C643)*'Assumptions and Catalog'!$H$57+'Assumptions and Catalog'!$E$57+'Assumptions and Catalog'!$F$57,"Out of range")))))))),IF(((D643+E643)*C643)&lt;='Assumptions and Catalog'!$C$60,((D643+E643)*C643)*'Assumptions and Catalog'!$H$60+'Assumptions and Catalog'!$E$60+'Assumptions and Catalog'!$F$60,IF(((D643+E643)*C643)&lt;='Assumptions and Catalog'!$C$61,((D643+E643)*C643)*'Assumptions and Catalog'!$H$61+'Assumptions and Catalog'!$E$61+'Assumptions and Catalog'!$F$61,IF(((D643+E643)*C643)&lt;='Assumptions and Catalog'!$C$62,((D643+E643)*C643)*'Assumptions and Catalog'!$H$62+'Assumptions and Catalog'!$E$62+'Assumptions and Catalog'!$F$62,IF(((D643+E643)*C643)&lt;='Assumptions and Catalog'!$C$63,((D643+E643)*C643)*'Assumptions and Catalog'!$H$63+'Assumptions and Catalog'!$E$63+'Assumptions and Catalog'!$F$63,IF(((D643+E643)*C643)&lt;='Assumptions and Catalog'!$C$64,((D643+E643)*C643)*'Assumptions and Catalog'!$H$64+'Assumptions and Catalog'!$E$64+'Assumptions and Catalog'!$F$64,IF(((D643+E643)*C643)&lt;='Assumptions and Catalog'!$C$65,((D643+E643)*C643)*'Assumptions and Catalog'!$H$65+'Assumptions and Catalog'!$E$65+'Assumptions and Catalog'!$F$65,"Out of range")))))))))*(1+'Assumptions and Catalog'!$C$8)^(A643-1),0)</f>
        <v>8554.9666666666672</v>
      </c>
      <c r="N643" s="5">
        <f>IF(ISNUMBER(Inputs!$L$5),(IF(Inputs!$L$9="Actual flat rate",L643*Inputs!$L$10,IF(Inputs!$C$9="Residential",IF(L643&lt;='Assumptions and Catalog'!$C$50,L643*'Assumptions and Catalog'!$H$50+'Assumptions and Catalog'!$E$50+'Assumptions and Catalog'!$F$50,IF(L643&lt;='Assumptions and Catalog'!$C$51,L643*'Assumptions and Catalog'!$H$51+'Assumptions and Catalog'!$E$51+'Assumptions and Catalog'!$F$51,IF(L643&lt;='Assumptions and Catalog'!$C$52,L643*'Assumptions and Catalog'!$H$52+'Assumptions and Catalog'!$E$52+'Assumptions and Catalog'!$F$52,IF(L643&lt;='Assumptions and Catalog'!$C$53,L643*'Assumptions and Catalog'!$H$53+'Assumptions and Catalog'!$E$53+'Assumptions and Catalog'!$F$53,IF(L643&lt;='Assumptions and Catalog'!$C$54,L643*'Assumptions and Catalog'!$H$54+'Assumptions and Catalog'!$E$54+'Assumptions and Catalog'!$F$54,IF(L643&lt;='Assumptions and Catalog'!$C$55,L643*'Assumptions and Catalog'!$H$55+'Assumptions and Catalog'!$E$55+'Assumptions and Catalog'!$F$55,IF(L643&lt;='Assumptions and Catalog'!$C$56,L643*'Assumptions and Catalog'!$H$56+'Assumptions and Catalog'!$E$56+'Assumptions and Catalog'!$F$56,IF(L643&lt;='Assumptions and Catalog'!$C$57,L643*'Assumptions and Catalog'!$H$57+'Assumptions and Catalog'!$E$57+'Assumptions and Catalog'!$F$57,"Out of range")))))))),IF(L643&lt;='Assumptions and Catalog'!$C$60,L643*'Assumptions and Catalog'!$H$60+'Assumptions and Catalog'!$E$60+'Assumptions and Catalog'!$F$60,IF(L643&lt;='Assumptions and Catalog'!$C$61,L643*'Assumptions and Catalog'!$H$61+'Assumptions and Catalog'!$E$61+'Assumptions and Catalog'!$F$61,IF(L643&lt;='Assumptions and Catalog'!$C$62,L643*'Assumptions and Catalog'!$H$62+'Assumptions and Catalog'!$E$62+'Assumptions and Catalog'!$F$62,IF(L643&lt;='Assumptions and Catalog'!$C$63,L643*'Assumptions and Catalog'!$H$63+'Assumptions and Catalog'!$E$63+'Assumptions and Catalog'!$F$63,IF(L643&lt;='Assumptions and Catalog'!$C$64,L643*'Assumptions and Catalog'!$H$64+'Assumptions and Catalog'!$E$64+'Assumptions and Catalog'!$F$64,IF(L643&lt;='Assumptions and Catalog'!$C$65,L643*'Assumptions and Catalog'!$H$65+'Assumptions and Catalog'!$E$65+'Assumptions and Catalog'!$F$65,"Out of range")))))))))*(1+'Assumptions and Catalog'!$C$8)^(A643-1),0)</f>
        <v>8554.9666666666672</v>
      </c>
      <c r="O643" s="5">
        <f t="shared" si="47"/>
        <v>0</v>
      </c>
      <c r="P643" s="5">
        <f>D$55*(1-K$14)*(1-'Assumptions and Catalog'!$C$23)^R643</f>
        <v>0</v>
      </c>
      <c r="Q643" s="5">
        <f>IF(ISNUMBER(Inputs!$L$5),(IF(Inputs!$L$9="Actual flat rate",((D643+E643)*C643-G643)*Inputs!$L$10,IF(Inputs!$C$9="Residential",IF(((D643+E643)*C643-G643)&lt;='Assumptions and Catalog'!$C$50,((D643+E643)*C643-G643)*'Assumptions and Catalog'!$H$50+'Assumptions and Catalog'!$E$50+'Assumptions and Catalog'!$F$50,IF(((D643+E643)*C643-G643)&lt;='Assumptions and Catalog'!$C$51,((D643+E643)*C643-G643)*'Assumptions and Catalog'!$H$51+'Assumptions and Catalog'!$E$51+'Assumptions and Catalog'!$F$51,IF(((D643+E643)*C643-G643)&lt;='Assumptions and Catalog'!$C$52,((D643+E643)*C643-G643)*'Assumptions and Catalog'!$H$52+'Assumptions and Catalog'!$E$52+'Assumptions and Catalog'!$F$52,IF(((D643+E643)*C643-G643)&lt;='Assumptions and Catalog'!$C$53,((D643+E643)*C643-G643)*'Assumptions and Catalog'!$H$53+'Assumptions and Catalog'!$E$53+'Assumptions and Catalog'!$F$53,IF(((D643+E643)*C643-G643)&lt;='Assumptions and Catalog'!$C$54,((D643+E643)*C643-G643)*'Assumptions and Catalog'!$H$54+'Assumptions and Catalog'!$E$54+'Assumptions and Catalog'!$F$54,IF(((D643+E643)*C643-G643)&lt;='Assumptions and Catalog'!$C$55,((D643+E643)*C643-G643)*'Assumptions and Catalog'!$H$55+'Assumptions and Catalog'!$E$55+'Assumptions and Catalog'!$F$55,IF(((D643+E643)*C643-G643)&lt;='Assumptions and Catalog'!$C$56,((D643+E643)*C643-G643)*'Assumptions and Catalog'!$H$56+'Assumptions and Catalog'!$E$56+'Assumptions and Catalog'!$F$56,IF(((D643+E643)*C643-G643)&lt;='Assumptions and Catalog'!$C$57,((D643+E643)*C643-G643)*'Assumptions and Catalog'!$H$57+'Assumptions and Catalog'!$E$57+'Assumptions and Catalog'!$F$57,"Out of range")))))))),IF(((D643+E643)*C643-G643)&lt;='Assumptions and Catalog'!$C$60,((D643+E643)*C643-G643)*'Assumptions and Catalog'!$H$60+'Assumptions and Catalog'!$E$60+'Assumptions and Catalog'!$F$60,IF(((D643+E643)*C643-G643)&lt;='Assumptions and Catalog'!$C$61,((D643+E643)*C643-G643)*'Assumptions and Catalog'!$H$61+'Assumptions and Catalog'!$E$61+'Assumptions and Catalog'!$F$61,IF(((D643+E643)*C643-G643)&lt;='Assumptions and Catalog'!$C$62,((D643+E643)*C643-G643)*'Assumptions and Catalog'!$H$62+'Assumptions and Catalog'!$E$62+'Assumptions and Catalog'!$F$62,IF(((D643+E643)*C643-G643)&lt;='Assumptions and Catalog'!$C$63,((D643+E643)*C643-G643)*'Assumptions and Catalog'!$H$63+'Assumptions and Catalog'!$E$63+'Assumptions and Catalog'!$F$63,IF(((D643+E643)*C643-G643)&lt;='Assumptions and Catalog'!$C$64,((D643+E643)*C643-G643)*'Assumptions and Catalog'!$H$64+'Assumptions and Catalog'!$E$64+'Assumptions and Catalog'!$F$64,IF(((D643+E643)*C643-G643)&lt;='Assumptions and Catalog'!$C$65,((D643+E643)*C643-G643)*'Assumptions and Catalog'!$H$65+'Assumptions and Catalog'!$E$65+'Assumptions and Catalog'!$F$65,"Out of range")))))))))*(1+'Assumptions and Catalog'!$C$8)^(A643-1),0)</f>
        <v>8554.9666666666672</v>
      </c>
      <c r="R643" s="5">
        <f>IF(AND('Assumptions and Catalog'!$C$19&gt;0,A643&gt;='Assumptions and Catalog'!$C$19),A643-'Assumptions and Catalog'!$C$19,A643-1)</f>
        <v>9</v>
      </c>
      <c r="S643" s="5">
        <f>F643+L643-(D643+E643)*C643-J643-K643-IF(D$52&gt;0,'Assumptions and Catalog'!$C$26*C643,0)</f>
        <v>0</v>
      </c>
      <c r="T643" s="5"/>
      <c r="U643" s="5"/>
    </row>
    <row r="644" spans="1:21" ht="23.1" customHeight="1" outlineLevel="1" x14ac:dyDescent="0.2">
      <c r="A644" s="5">
        <v>20</v>
      </c>
      <c r="B644" s="5">
        <v>6</v>
      </c>
      <c r="C644" s="5">
        <f>DAY(DATE('Assumptions and Catalog'!$C$24+A644-1,B644+1,0))</f>
        <v>30</v>
      </c>
      <c r="D644" s="5">
        <f>IF(ISNUMBER(Inputs!$L$5),Inputs!$L$5*Inputs!$L$6,0)</f>
        <v>40.35</v>
      </c>
      <c r="E644" s="5">
        <f>IF(ISNUMBER(Inputs!$L$5),Inputs!$L$5-D644,0)</f>
        <v>40.35</v>
      </c>
      <c r="F644" s="5">
        <f>D$51*'Assumptions and Catalog'!$C$31*C644*(1-'Assumptions and Catalog'!$C$10)^(A644-1)</f>
        <v>0</v>
      </c>
      <c r="G644" s="5">
        <f t="shared" si="44"/>
        <v>0</v>
      </c>
      <c r="H644" s="5">
        <f>I644/('Assumptions and Catalog'!$C$11*'Assumptions and Catalog'!$C$12)</f>
        <v>0</v>
      </c>
      <c r="I644" s="5">
        <f>IF(K$15="Grid cycle",MIN(K$16,D644+E644,P644*'Assumptions and Catalog'!$C$12,D$57*(24-'Assumptions and Catalog'!$C$15),D$56*'Assumptions and Catalog'!$C$15*'Assumptions and Catalog'!$C$11*'Assumptions and Catalog'!$C$12)*C644,0)</f>
        <v>0</v>
      </c>
      <c r="J644" s="5">
        <f t="shared" si="45"/>
        <v>0</v>
      </c>
      <c r="K644" s="5">
        <f t="shared" si="46"/>
        <v>0</v>
      </c>
      <c r="L644" s="5">
        <f>(D644+E644)*C644-G644-I644+H644+IF(D$52&gt;0,'Assumptions and Catalog'!$C$26*C644,0)</f>
        <v>2421</v>
      </c>
      <c r="M644" s="5">
        <f>IF(ISNUMBER(Inputs!$L$5),(IF(Inputs!$L$9="Actual flat rate",((D644+E644)*C644)*Inputs!$L$10,IF(Inputs!$C$9="Residential",IF(((D644+E644)*C644)&lt;='Assumptions and Catalog'!$C$50,((D644+E644)*C644)*'Assumptions and Catalog'!$H$50+'Assumptions and Catalog'!$E$50+'Assumptions and Catalog'!$F$50,IF(((D644+E644)*C644)&lt;='Assumptions and Catalog'!$C$51,((D644+E644)*C644)*'Assumptions and Catalog'!$H$51+'Assumptions and Catalog'!$E$51+'Assumptions and Catalog'!$F$51,IF(((D644+E644)*C644)&lt;='Assumptions and Catalog'!$C$52,((D644+E644)*C644)*'Assumptions and Catalog'!$H$52+'Assumptions and Catalog'!$E$52+'Assumptions and Catalog'!$F$52,IF(((D644+E644)*C644)&lt;='Assumptions and Catalog'!$C$53,((D644+E644)*C644)*'Assumptions and Catalog'!$H$53+'Assumptions and Catalog'!$E$53+'Assumptions and Catalog'!$F$53,IF(((D644+E644)*C644)&lt;='Assumptions and Catalog'!$C$54,((D644+E644)*C644)*'Assumptions and Catalog'!$H$54+'Assumptions and Catalog'!$E$54+'Assumptions and Catalog'!$F$54,IF(((D644+E644)*C644)&lt;='Assumptions and Catalog'!$C$55,((D644+E644)*C644)*'Assumptions and Catalog'!$H$55+'Assumptions and Catalog'!$E$55+'Assumptions and Catalog'!$F$55,IF(((D644+E644)*C644)&lt;='Assumptions and Catalog'!$C$56,((D644+E644)*C644)*'Assumptions and Catalog'!$H$56+'Assumptions and Catalog'!$E$56+'Assumptions and Catalog'!$F$56,IF(((D644+E644)*C644)&lt;='Assumptions and Catalog'!$C$57,((D644+E644)*C644)*'Assumptions and Catalog'!$H$57+'Assumptions and Catalog'!$E$57+'Assumptions and Catalog'!$F$57,"Out of range")))))))),IF(((D644+E644)*C644)&lt;='Assumptions and Catalog'!$C$60,((D644+E644)*C644)*'Assumptions and Catalog'!$H$60+'Assumptions and Catalog'!$E$60+'Assumptions and Catalog'!$F$60,IF(((D644+E644)*C644)&lt;='Assumptions and Catalog'!$C$61,((D644+E644)*C644)*'Assumptions and Catalog'!$H$61+'Assumptions and Catalog'!$E$61+'Assumptions and Catalog'!$F$61,IF(((D644+E644)*C644)&lt;='Assumptions and Catalog'!$C$62,((D644+E644)*C644)*'Assumptions and Catalog'!$H$62+'Assumptions and Catalog'!$E$62+'Assumptions and Catalog'!$F$62,IF(((D644+E644)*C644)&lt;='Assumptions and Catalog'!$C$63,((D644+E644)*C644)*'Assumptions and Catalog'!$H$63+'Assumptions and Catalog'!$E$63+'Assumptions and Catalog'!$F$63,IF(((D644+E644)*C644)&lt;='Assumptions and Catalog'!$C$64,((D644+E644)*C644)*'Assumptions and Catalog'!$H$64+'Assumptions and Catalog'!$E$64+'Assumptions and Catalog'!$F$64,IF(((D644+E644)*C644)&lt;='Assumptions and Catalog'!$C$65,((D644+E644)*C644)*'Assumptions and Catalog'!$H$65+'Assumptions and Catalog'!$E$65+'Assumptions and Catalog'!$F$65,"Out of range")))))))))*(1+'Assumptions and Catalog'!$C$8)^(A644-1),0)</f>
        <v>8279</v>
      </c>
      <c r="N644" s="5">
        <f>IF(ISNUMBER(Inputs!$L$5),(IF(Inputs!$L$9="Actual flat rate",L644*Inputs!$L$10,IF(Inputs!$C$9="Residential",IF(L644&lt;='Assumptions and Catalog'!$C$50,L644*'Assumptions and Catalog'!$H$50+'Assumptions and Catalog'!$E$50+'Assumptions and Catalog'!$F$50,IF(L644&lt;='Assumptions and Catalog'!$C$51,L644*'Assumptions and Catalog'!$H$51+'Assumptions and Catalog'!$E$51+'Assumptions and Catalog'!$F$51,IF(L644&lt;='Assumptions and Catalog'!$C$52,L644*'Assumptions and Catalog'!$H$52+'Assumptions and Catalog'!$E$52+'Assumptions and Catalog'!$F$52,IF(L644&lt;='Assumptions and Catalog'!$C$53,L644*'Assumptions and Catalog'!$H$53+'Assumptions and Catalog'!$E$53+'Assumptions and Catalog'!$F$53,IF(L644&lt;='Assumptions and Catalog'!$C$54,L644*'Assumptions and Catalog'!$H$54+'Assumptions and Catalog'!$E$54+'Assumptions and Catalog'!$F$54,IF(L644&lt;='Assumptions and Catalog'!$C$55,L644*'Assumptions and Catalog'!$H$55+'Assumptions and Catalog'!$E$55+'Assumptions and Catalog'!$F$55,IF(L644&lt;='Assumptions and Catalog'!$C$56,L644*'Assumptions and Catalog'!$H$56+'Assumptions and Catalog'!$E$56+'Assumptions and Catalog'!$F$56,IF(L644&lt;='Assumptions and Catalog'!$C$57,L644*'Assumptions and Catalog'!$H$57+'Assumptions and Catalog'!$E$57+'Assumptions and Catalog'!$F$57,"Out of range")))))))),IF(L644&lt;='Assumptions and Catalog'!$C$60,L644*'Assumptions and Catalog'!$H$60+'Assumptions and Catalog'!$E$60+'Assumptions and Catalog'!$F$60,IF(L644&lt;='Assumptions and Catalog'!$C$61,L644*'Assumptions and Catalog'!$H$61+'Assumptions and Catalog'!$E$61+'Assumptions and Catalog'!$F$61,IF(L644&lt;='Assumptions and Catalog'!$C$62,L644*'Assumptions and Catalog'!$H$62+'Assumptions and Catalog'!$E$62+'Assumptions and Catalog'!$F$62,IF(L644&lt;='Assumptions and Catalog'!$C$63,L644*'Assumptions and Catalog'!$H$63+'Assumptions and Catalog'!$E$63+'Assumptions and Catalog'!$F$63,IF(L644&lt;='Assumptions and Catalog'!$C$64,L644*'Assumptions and Catalog'!$H$64+'Assumptions and Catalog'!$E$64+'Assumptions and Catalog'!$F$64,IF(L644&lt;='Assumptions and Catalog'!$C$65,L644*'Assumptions and Catalog'!$H$65+'Assumptions and Catalog'!$E$65+'Assumptions and Catalog'!$F$65,"Out of range")))))))))*(1+'Assumptions and Catalog'!$C$8)^(A644-1),0)</f>
        <v>8279</v>
      </c>
      <c r="O644" s="5">
        <f t="shared" si="47"/>
        <v>0</v>
      </c>
      <c r="P644" s="5">
        <f>D$55*(1-K$14)*(1-'Assumptions and Catalog'!$C$23)^R644</f>
        <v>0</v>
      </c>
      <c r="Q644" s="5">
        <f>IF(ISNUMBER(Inputs!$L$5),(IF(Inputs!$L$9="Actual flat rate",((D644+E644)*C644-G644)*Inputs!$L$10,IF(Inputs!$C$9="Residential",IF(((D644+E644)*C644-G644)&lt;='Assumptions and Catalog'!$C$50,((D644+E644)*C644-G644)*'Assumptions and Catalog'!$H$50+'Assumptions and Catalog'!$E$50+'Assumptions and Catalog'!$F$50,IF(((D644+E644)*C644-G644)&lt;='Assumptions and Catalog'!$C$51,((D644+E644)*C644-G644)*'Assumptions and Catalog'!$H$51+'Assumptions and Catalog'!$E$51+'Assumptions and Catalog'!$F$51,IF(((D644+E644)*C644-G644)&lt;='Assumptions and Catalog'!$C$52,((D644+E644)*C644-G644)*'Assumptions and Catalog'!$H$52+'Assumptions and Catalog'!$E$52+'Assumptions and Catalog'!$F$52,IF(((D644+E644)*C644-G644)&lt;='Assumptions and Catalog'!$C$53,((D644+E644)*C644-G644)*'Assumptions and Catalog'!$H$53+'Assumptions and Catalog'!$E$53+'Assumptions and Catalog'!$F$53,IF(((D644+E644)*C644-G644)&lt;='Assumptions and Catalog'!$C$54,((D644+E644)*C644-G644)*'Assumptions and Catalog'!$H$54+'Assumptions and Catalog'!$E$54+'Assumptions and Catalog'!$F$54,IF(((D644+E644)*C644-G644)&lt;='Assumptions and Catalog'!$C$55,((D644+E644)*C644-G644)*'Assumptions and Catalog'!$H$55+'Assumptions and Catalog'!$E$55+'Assumptions and Catalog'!$F$55,IF(((D644+E644)*C644-G644)&lt;='Assumptions and Catalog'!$C$56,((D644+E644)*C644-G644)*'Assumptions and Catalog'!$H$56+'Assumptions and Catalog'!$E$56+'Assumptions and Catalog'!$F$56,IF(((D644+E644)*C644-G644)&lt;='Assumptions and Catalog'!$C$57,((D644+E644)*C644-G644)*'Assumptions and Catalog'!$H$57+'Assumptions and Catalog'!$E$57+'Assumptions and Catalog'!$F$57,"Out of range")))))))),IF(((D644+E644)*C644-G644)&lt;='Assumptions and Catalog'!$C$60,((D644+E644)*C644-G644)*'Assumptions and Catalog'!$H$60+'Assumptions and Catalog'!$E$60+'Assumptions and Catalog'!$F$60,IF(((D644+E644)*C644-G644)&lt;='Assumptions and Catalog'!$C$61,((D644+E644)*C644-G644)*'Assumptions and Catalog'!$H$61+'Assumptions and Catalog'!$E$61+'Assumptions and Catalog'!$F$61,IF(((D644+E644)*C644-G644)&lt;='Assumptions and Catalog'!$C$62,((D644+E644)*C644-G644)*'Assumptions and Catalog'!$H$62+'Assumptions and Catalog'!$E$62+'Assumptions and Catalog'!$F$62,IF(((D644+E644)*C644-G644)&lt;='Assumptions and Catalog'!$C$63,((D644+E644)*C644-G644)*'Assumptions and Catalog'!$H$63+'Assumptions and Catalog'!$E$63+'Assumptions and Catalog'!$F$63,IF(((D644+E644)*C644-G644)&lt;='Assumptions and Catalog'!$C$64,((D644+E644)*C644-G644)*'Assumptions and Catalog'!$H$64+'Assumptions and Catalog'!$E$64+'Assumptions and Catalog'!$F$64,IF(((D644+E644)*C644-G644)&lt;='Assumptions and Catalog'!$C$65,((D644+E644)*C644-G644)*'Assumptions and Catalog'!$H$65+'Assumptions and Catalog'!$E$65+'Assumptions and Catalog'!$F$65,"Out of range")))))))))*(1+'Assumptions and Catalog'!$C$8)^(A644-1),0)</f>
        <v>8279</v>
      </c>
      <c r="R644" s="5">
        <f>IF(AND('Assumptions and Catalog'!$C$19&gt;0,A644&gt;='Assumptions and Catalog'!$C$19),A644-'Assumptions and Catalog'!$C$19,A644-1)</f>
        <v>9</v>
      </c>
      <c r="S644" s="5">
        <f>F644+L644-(D644+E644)*C644-J644-K644-IF(D$52&gt;0,'Assumptions and Catalog'!$C$26*C644,0)</f>
        <v>0</v>
      </c>
      <c r="T644" s="5"/>
      <c r="U644" s="5"/>
    </row>
    <row r="645" spans="1:21" ht="23.1" customHeight="1" outlineLevel="1" x14ac:dyDescent="0.2">
      <c r="A645" s="5">
        <v>20</v>
      </c>
      <c r="B645" s="5">
        <v>7</v>
      </c>
      <c r="C645" s="5">
        <f>DAY(DATE('Assumptions and Catalog'!$C$24+A645-1,B645+1,0))</f>
        <v>31</v>
      </c>
      <c r="D645" s="5">
        <f>IF(ISNUMBER(Inputs!$L$5),Inputs!$L$5*Inputs!$L$6,0)</f>
        <v>40.35</v>
      </c>
      <c r="E645" s="5">
        <f>IF(ISNUMBER(Inputs!$L$5),Inputs!$L$5-D645,0)</f>
        <v>40.35</v>
      </c>
      <c r="F645" s="5">
        <f>D$51*'Assumptions and Catalog'!$C$31*C645*(1-'Assumptions and Catalog'!$C$10)^(A645-1)</f>
        <v>0</v>
      </c>
      <c r="G645" s="5">
        <f t="shared" si="44"/>
        <v>0</v>
      </c>
      <c r="H645" s="5">
        <f>I645/('Assumptions and Catalog'!$C$11*'Assumptions and Catalog'!$C$12)</f>
        <v>0</v>
      </c>
      <c r="I645" s="5">
        <f>IF(K$15="Grid cycle",MIN(K$16,D645+E645,P645*'Assumptions and Catalog'!$C$12,D$57*(24-'Assumptions and Catalog'!$C$15),D$56*'Assumptions and Catalog'!$C$15*'Assumptions and Catalog'!$C$11*'Assumptions and Catalog'!$C$12)*C645,0)</f>
        <v>0</v>
      </c>
      <c r="J645" s="5">
        <f t="shared" si="45"/>
        <v>0</v>
      </c>
      <c r="K645" s="5">
        <f t="shared" si="46"/>
        <v>0</v>
      </c>
      <c r="L645" s="5">
        <f>(D645+E645)*C645-G645-I645+H645+IF(D$52&gt;0,'Assumptions and Catalog'!$C$26*C645,0)</f>
        <v>2501.7000000000003</v>
      </c>
      <c r="M645" s="5">
        <f>IF(ISNUMBER(Inputs!$L$5),(IF(Inputs!$L$9="Actual flat rate",((D645+E645)*C645)*Inputs!$L$10,IF(Inputs!$C$9="Residential",IF(((D645+E645)*C645)&lt;='Assumptions and Catalog'!$C$50,((D645+E645)*C645)*'Assumptions and Catalog'!$H$50+'Assumptions and Catalog'!$E$50+'Assumptions and Catalog'!$F$50,IF(((D645+E645)*C645)&lt;='Assumptions and Catalog'!$C$51,((D645+E645)*C645)*'Assumptions and Catalog'!$H$51+'Assumptions and Catalog'!$E$51+'Assumptions and Catalog'!$F$51,IF(((D645+E645)*C645)&lt;='Assumptions and Catalog'!$C$52,((D645+E645)*C645)*'Assumptions and Catalog'!$H$52+'Assumptions and Catalog'!$E$52+'Assumptions and Catalog'!$F$52,IF(((D645+E645)*C645)&lt;='Assumptions and Catalog'!$C$53,((D645+E645)*C645)*'Assumptions and Catalog'!$H$53+'Assumptions and Catalog'!$E$53+'Assumptions and Catalog'!$F$53,IF(((D645+E645)*C645)&lt;='Assumptions and Catalog'!$C$54,((D645+E645)*C645)*'Assumptions and Catalog'!$H$54+'Assumptions and Catalog'!$E$54+'Assumptions and Catalog'!$F$54,IF(((D645+E645)*C645)&lt;='Assumptions and Catalog'!$C$55,((D645+E645)*C645)*'Assumptions and Catalog'!$H$55+'Assumptions and Catalog'!$E$55+'Assumptions and Catalog'!$F$55,IF(((D645+E645)*C645)&lt;='Assumptions and Catalog'!$C$56,((D645+E645)*C645)*'Assumptions and Catalog'!$H$56+'Assumptions and Catalog'!$E$56+'Assumptions and Catalog'!$F$56,IF(((D645+E645)*C645)&lt;='Assumptions and Catalog'!$C$57,((D645+E645)*C645)*'Assumptions and Catalog'!$H$57+'Assumptions and Catalog'!$E$57+'Assumptions and Catalog'!$F$57,"Out of range")))))))),IF(((D645+E645)*C645)&lt;='Assumptions and Catalog'!$C$60,((D645+E645)*C645)*'Assumptions and Catalog'!$H$60+'Assumptions and Catalog'!$E$60+'Assumptions and Catalog'!$F$60,IF(((D645+E645)*C645)&lt;='Assumptions and Catalog'!$C$61,((D645+E645)*C645)*'Assumptions and Catalog'!$H$61+'Assumptions and Catalog'!$E$61+'Assumptions and Catalog'!$F$61,IF(((D645+E645)*C645)&lt;='Assumptions and Catalog'!$C$62,((D645+E645)*C645)*'Assumptions and Catalog'!$H$62+'Assumptions and Catalog'!$E$62+'Assumptions and Catalog'!$F$62,IF(((D645+E645)*C645)&lt;='Assumptions and Catalog'!$C$63,((D645+E645)*C645)*'Assumptions and Catalog'!$H$63+'Assumptions and Catalog'!$E$63+'Assumptions and Catalog'!$F$63,IF(((D645+E645)*C645)&lt;='Assumptions and Catalog'!$C$64,((D645+E645)*C645)*'Assumptions and Catalog'!$H$64+'Assumptions and Catalog'!$E$64+'Assumptions and Catalog'!$F$64,IF(((D645+E645)*C645)&lt;='Assumptions and Catalog'!$C$65,((D645+E645)*C645)*'Assumptions and Catalog'!$H$65+'Assumptions and Catalog'!$E$65+'Assumptions and Catalog'!$F$65,"Out of range")))))))))*(1+'Assumptions and Catalog'!$C$8)^(A645-1),0)</f>
        <v>8554.9666666666672</v>
      </c>
      <c r="N645" s="5">
        <f>IF(ISNUMBER(Inputs!$L$5),(IF(Inputs!$L$9="Actual flat rate",L645*Inputs!$L$10,IF(Inputs!$C$9="Residential",IF(L645&lt;='Assumptions and Catalog'!$C$50,L645*'Assumptions and Catalog'!$H$50+'Assumptions and Catalog'!$E$50+'Assumptions and Catalog'!$F$50,IF(L645&lt;='Assumptions and Catalog'!$C$51,L645*'Assumptions and Catalog'!$H$51+'Assumptions and Catalog'!$E$51+'Assumptions and Catalog'!$F$51,IF(L645&lt;='Assumptions and Catalog'!$C$52,L645*'Assumptions and Catalog'!$H$52+'Assumptions and Catalog'!$E$52+'Assumptions and Catalog'!$F$52,IF(L645&lt;='Assumptions and Catalog'!$C$53,L645*'Assumptions and Catalog'!$H$53+'Assumptions and Catalog'!$E$53+'Assumptions and Catalog'!$F$53,IF(L645&lt;='Assumptions and Catalog'!$C$54,L645*'Assumptions and Catalog'!$H$54+'Assumptions and Catalog'!$E$54+'Assumptions and Catalog'!$F$54,IF(L645&lt;='Assumptions and Catalog'!$C$55,L645*'Assumptions and Catalog'!$H$55+'Assumptions and Catalog'!$E$55+'Assumptions and Catalog'!$F$55,IF(L645&lt;='Assumptions and Catalog'!$C$56,L645*'Assumptions and Catalog'!$H$56+'Assumptions and Catalog'!$E$56+'Assumptions and Catalog'!$F$56,IF(L645&lt;='Assumptions and Catalog'!$C$57,L645*'Assumptions and Catalog'!$H$57+'Assumptions and Catalog'!$E$57+'Assumptions and Catalog'!$F$57,"Out of range")))))))),IF(L645&lt;='Assumptions and Catalog'!$C$60,L645*'Assumptions and Catalog'!$H$60+'Assumptions and Catalog'!$E$60+'Assumptions and Catalog'!$F$60,IF(L645&lt;='Assumptions and Catalog'!$C$61,L645*'Assumptions and Catalog'!$H$61+'Assumptions and Catalog'!$E$61+'Assumptions and Catalog'!$F$61,IF(L645&lt;='Assumptions and Catalog'!$C$62,L645*'Assumptions and Catalog'!$H$62+'Assumptions and Catalog'!$E$62+'Assumptions and Catalog'!$F$62,IF(L645&lt;='Assumptions and Catalog'!$C$63,L645*'Assumptions and Catalog'!$H$63+'Assumptions and Catalog'!$E$63+'Assumptions and Catalog'!$F$63,IF(L645&lt;='Assumptions and Catalog'!$C$64,L645*'Assumptions and Catalog'!$H$64+'Assumptions and Catalog'!$E$64+'Assumptions and Catalog'!$F$64,IF(L645&lt;='Assumptions and Catalog'!$C$65,L645*'Assumptions and Catalog'!$H$65+'Assumptions and Catalog'!$E$65+'Assumptions and Catalog'!$F$65,"Out of range")))))))))*(1+'Assumptions and Catalog'!$C$8)^(A645-1),0)</f>
        <v>8554.9666666666672</v>
      </c>
      <c r="O645" s="5">
        <f t="shared" si="47"/>
        <v>0</v>
      </c>
      <c r="P645" s="5">
        <f>D$55*(1-K$14)*(1-'Assumptions and Catalog'!$C$23)^R645</f>
        <v>0</v>
      </c>
      <c r="Q645" s="5">
        <f>IF(ISNUMBER(Inputs!$L$5),(IF(Inputs!$L$9="Actual flat rate",((D645+E645)*C645-G645)*Inputs!$L$10,IF(Inputs!$C$9="Residential",IF(((D645+E645)*C645-G645)&lt;='Assumptions and Catalog'!$C$50,((D645+E645)*C645-G645)*'Assumptions and Catalog'!$H$50+'Assumptions and Catalog'!$E$50+'Assumptions and Catalog'!$F$50,IF(((D645+E645)*C645-G645)&lt;='Assumptions and Catalog'!$C$51,((D645+E645)*C645-G645)*'Assumptions and Catalog'!$H$51+'Assumptions and Catalog'!$E$51+'Assumptions and Catalog'!$F$51,IF(((D645+E645)*C645-G645)&lt;='Assumptions and Catalog'!$C$52,((D645+E645)*C645-G645)*'Assumptions and Catalog'!$H$52+'Assumptions and Catalog'!$E$52+'Assumptions and Catalog'!$F$52,IF(((D645+E645)*C645-G645)&lt;='Assumptions and Catalog'!$C$53,((D645+E645)*C645-G645)*'Assumptions and Catalog'!$H$53+'Assumptions and Catalog'!$E$53+'Assumptions and Catalog'!$F$53,IF(((D645+E645)*C645-G645)&lt;='Assumptions and Catalog'!$C$54,((D645+E645)*C645-G645)*'Assumptions and Catalog'!$H$54+'Assumptions and Catalog'!$E$54+'Assumptions and Catalog'!$F$54,IF(((D645+E645)*C645-G645)&lt;='Assumptions and Catalog'!$C$55,((D645+E645)*C645-G645)*'Assumptions and Catalog'!$H$55+'Assumptions and Catalog'!$E$55+'Assumptions and Catalog'!$F$55,IF(((D645+E645)*C645-G645)&lt;='Assumptions and Catalog'!$C$56,((D645+E645)*C645-G645)*'Assumptions and Catalog'!$H$56+'Assumptions and Catalog'!$E$56+'Assumptions and Catalog'!$F$56,IF(((D645+E645)*C645-G645)&lt;='Assumptions and Catalog'!$C$57,((D645+E645)*C645-G645)*'Assumptions and Catalog'!$H$57+'Assumptions and Catalog'!$E$57+'Assumptions and Catalog'!$F$57,"Out of range")))))))),IF(((D645+E645)*C645-G645)&lt;='Assumptions and Catalog'!$C$60,((D645+E645)*C645-G645)*'Assumptions and Catalog'!$H$60+'Assumptions and Catalog'!$E$60+'Assumptions and Catalog'!$F$60,IF(((D645+E645)*C645-G645)&lt;='Assumptions and Catalog'!$C$61,((D645+E645)*C645-G645)*'Assumptions and Catalog'!$H$61+'Assumptions and Catalog'!$E$61+'Assumptions and Catalog'!$F$61,IF(((D645+E645)*C645-G645)&lt;='Assumptions and Catalog'!$C$62,((D645+E645)*C645-G645)*'Assumptions and Catalog'!$H$62+'Assumptions and Catalog'!$E$62+'Assumptions and Catalog'!$F$62,IF(((D645+E645)*C645-G645)&lt;='Assumptions and Catalog'!$C$63,((D645+E645)*C645-G645)*'Assumptions and Catalog'!$H$63+'Assumptions and Catalog'!$E$63+'Assumptions and Catalog'!$F$63,IF(((D645+E645)*C645-G645)&lt;='Assumptions and Catalog'!$C$64,((D645+E645)*C645-G645)*'Assumptions and Catalog'!$H$64+'Assumptions and Catalog'!$E$64+'Assumptions and Catalog'!$F$64,IF(((D645+E645)*C645-G645)&lt;='Assumptions and Catalog'!$C$65,((D645+E645)*C645-G645)*'Assumptions and Catalog'!$H$65+'Assumptions and Catalog'!$E$65+'Assumptions and Catalog'!$F$65,"Out of range")))))))))*(1+'Assumptions and Catalog'!$C$8)^(A645-1),0)</f>
        <v>8554.9666666666672</v>
      </c>
      <c r="R645" s="5">
        <f>IF(AND('Assumptions and Catalog'!$C$19&gt;0,A645&gt;='Assumptions and Catalog'!$C$19),A645-'Assumptions and Catalog'!$C$19,A645-1)</f>
        <v>9</v>
      </c>
      <c r="S645" s="5">
        <f>F645+L645-(D645+E645)*C645-J645-K645-IF(D$52&gt;0,'Assumptions and Catalog'!$C$26*C645,0)</f>
        <v>0</v>
      </c>
      <c r="T645" s="5"/>
      <c r="U645" s="5"/>
    </row>
    <row r="646" spans="1:21" ht="23.1" customHeight="1" outlineLevel="1" x14ac:dyDescent="0.2">
      <c r="A646" s="5">
        <v>20</v>
      </c>
      <c r="B646" s="5">
        <v>8</v>
      </c>
      <c r="C646" s="5">
        <f>DAY(DATE('Assumptions and Catalog'!$C$24+A646-1,B646+1,0))</f>
        <v>31</v>
      </c>
      <c r="D646" s="5">
        <f>IF(ISNUMBER(Inputs!$L$5),Inputs!$L$5*Inputs!$L$6,0)</f>
        <v>40.35</v>
      </c>
      <c r="E646" s="5">
        <f>IF(ISNUMBER(Inputs!$L$5),Inputs!$L$5-D646,0)</f>
        <v>40.35</v>
      </c>
      <c r="F646" s="5">
        <f>D$51*'Assumptions and Catalog'!$C$31*C646*(1-'Assumptions and Catalog'!$C$10)^(A646-1)</f>
        <v>0</v>
      </c>
      <c r="G646" s="5">
        <f t="shared" si="44"/>
        <v>0</v>
      </c>
      <c r="H646" s="5">
        <f>I646/('Assumptions and Catalog'!$C$11*'Assumptions and Catalog'!$C$12)</f>
        <v>0</v>
      </c>
      <c r="I646" s="5">
        <f>IF(K$15="Grid cycle",MIN(K$16,D646+E646,P646*'Assumptions and Catalog'!$C$12,D$57*(24-'Assumptions and Catalog'!$C$15),D$56*'Assumptions and Catalog'!$C$15*'Assumptions and Catalog'!$C$11*'Assumptions and Catalog'!$C$12)*C646,0)</f>
        <v>0</v>
      </c>
      <c r="J646" s="5">
        <f t="shared" si="45"/>
        <v>0</v>
      </c>
      <c r="K646" s="5">
        <f t="shared" si="46"/>
        <v>0</v>
      </c>
      <c r="L646" s="5">
        <f>(D646+E646)*C646-G646-I646+H646+IF(D$52&gt;0,'Assumptions and Catalog'!$C$26*C646,0)</f>
        <v>2501.7000000000003</v>
      </c>
      <c r="M646" s="5">
        <f>IF(ISNUMBER(Inputs!$L$5),(IF(Inputs!$L$9="Actual flat rate",((D646+E646)*C646)*Inputs!$L$10,IF(Inputs!$C$9="Residential",IF(((D646+E646)*C646)&lt;='Assumptions and Catalog'!$C$50,((D646+E646)*C646)*'Assumptions and Catalog'!$H$50+'Assumptions and Catalog'!$E$50+'Assumptions and Catalog'!$F$50,IF(((D646+E646)*C646)&lt;='Assumptions and Catalog'!$C$51,((D646+E646)*C646)*'Assumptions and Catalog'!$H$51+'Assumptions and Catalog'!$E$51+'Assumptions and Catalog'!$F$51,IF(((D646+E646)*C646)&lt;='Assumptions and Catalog'!$C$52,((D646+E646)*C646)*'Assumptions and Catalog'!$H$52+'Assumptions and Catalog'!$E$52+'Assumptions and Catalog'!$F$52,IF(((D646+E646)*C646)&lt;='Assumptions and Catalog'!$C$53,((D646+E646)*C646)*'Assumptions and Catalog'!$H$53+'Assumptions and Catalog'!$E$53+'Assumptions and Catalog'!$F$53,IF(((D646+E646)*C646)&lt;='Assumptions and Catalog'!$C$54,((D646+E646)*C646)*'Assumptions and Catalog'!$H$54+'Assumptions and Catalog'!$E$54+'Assumptions and Catalog'!$F$54,IF(((D646+E646)*C646)&lt;='Assumptions and Catalog'!$C$55,((D646+E646)*C646)*'Assumptions and Catalog'!$H$55+'Assumptions and Catalog'!$E$55+'Assumptions and Catalog'!$F$55,IF(((D646+E646)*C646)&lt;='Assumptions and Catalog'!$C$56,((D646+E646)*C646)*'Assumptions and Catalog'!$H$56+'Assumptions and Catalog'!$E$56+'Assumptions and Catalog'!$F$56,IF(((D646+E646)*C646)&lt;='Assumptions and Catalog'!$C$57,((D646+E646)*C646)*'Assumptions and Catalog'!$H$57+'Assumptions and Catalog'!$E$57+'Assumptions and Catalog'!$F$57,"Out of range")))))))),IF(((D646+E646)*C646)&lt;='Assumptions and Catalog'!$C$60,((D646+E646)*C646)*'Assumptions and Catalog'!$H$60+'Assumptions and Catalog'!$E$60+'Assumptions and Catalog'!$F$60,IF(((D646+E646)*C646)&lt;='Assumptions and Catalog'!$C$61,((D646+E646)*C646)*'Assumptions and Catalog'!$H$61+'Assumptions and Catalog'!$E$61+'Assumptions and Catalog'!$F$61,IF(((D646+E646)*C646)&lt;='Assumptions and Catalog'!$C$62,((D646+E646)*C646)*'Assumptions and Catalog'!$H$62+'Assumptions and Catalog'!$E$62+'Assumptions and Catalog'!$F$62,IF(((D646+E646)*C646)&lt;='Assumptions and Catalog'!$C$63,((D646+E646)*C646)*'Assumptions and Catalog'!$H$63+'Assumptions and Catalog'!$E$63+'Assumptions and Catalog'!$F$63,IF(((D646+E646)*C646)&lt;='Assumptions and Catalog'!$C$64,((D646+E646)*C646)*'Assumptions and Catalog'!$H$64+'Assumptions and Catalog'!$E$64+'Assumptions and Catalog'!$F$64,IF(((D646+E646)*C646)&lt;='Assumptions and Catalog'!$C$65,((D646+E646)*C646)*'Assumptions and Catalog'!$H$65+'Assumptions and Catalog'!$E$65+'Assumptions and Catalog'!$F$65,"Out of range")))))))))*(1+'Assumptions and Catalog'!$C$8)^(A646-1),0)</f>
        <v>8554.9666666666672</v>
      </c>
      <c r="N646" s="5">
        <f>IF(ISNUMBER(Inputs!$L$5),(IF(Inputs!$L$9="Actual flat rate",L646*Inputs!$L$10,IF(Inputs!$C$9="Residential",IF(L646&lt;='Assumptions and Catalog'!$C$50,L646*'Assumptions and Catalog'!$H$50+'Assumptions and Catalog'!$E$50+'Assumptions and Catalog'!$F$50,IF(L646&lt;='Assumptions and Catalog'!$C$51,L646*'Assumptions and Catalog'!$H$51+'Assumptions and Catalog'!$E$51+'Assumptions and Catalog'!$F$51,IF(L646&lt;='Assumptions and Catalog'!$C$52,L646*'Assumptions and Catalog'!$H$52+'Assumptions and Catalog'!$E$52+'Assumptions and Catalog'!$F$52,IF(L646&lt;='Assumptions and Catalog'!$C$53,L646*'Assumptions and Catalog'!$H$53+'Assumptions and Catalog'!$E$53+'Assumptions and Catalog'!$F$53,IF(L646&lt;='Assumptions and Catalog'!$C$54,L646*'Assumptions and Catalog'!$H$54+'Assumptions and Catalog'!$E$54+'Assumptions and Catalog'!$F$54,IF(L646&lt;='Assumptions and Catalog'!$C$55,L646*'Assumptions and Catalog'!$H$55+'Assumptions and Catalog'!$E$55+'Assumptions and Catalog'!$F$55,IF(L646&lt;='Assumptions and Catalog'!$C$56,L646*'Assumptions and Catalog'!$H$56+'Assumptions and Catalog'!$E$56+'Assumptions and Catalog'!$F$56,IF(L646&lt;='Assumptions and Catalog'!$C$57,L646*'Assumptions and Catalog'!$H$57+'Assumptions and Catalog'!$E$57+'Assumptions and Catalog'!$F$57,"Out of range")))))))),IF(L646&lt;='Assumptions and Catalog'!$C$60,L646*'Assumptions and Catalog'!$H$60+'Assumptions and Catalog'!$E$60+'Assumptions and Catalog'!$F$60,IF(L646&lt;='Assumptions and Catalog'!$C$61,L646*'Assumptions and Catalog'!$H$61+'Assumptions and Catalog'!$E$61+'Assumptions and Catalog'!$F$61,IF(L646&lt;='Assumptions and Catalog'!$C$62,L646*'Assumptions and Catalog'!$H$62+'Assumptions and Catalog'!$E$62+'Assumptions and Catalog'!$F$62,IF(L646&lt;='Assumptions and Catalog'!$C$63,L646*'Assumptions and Catalog'!$H$63+'Assumptions and Catalog'!$E$63+'Assumptions and Catalog'!$F$63,IF(L646&lt;='Assumptions and Catalog'!$C$64,L646*'Assumptions and Catalog'!$H$64+'Assumptions and Catalog'!$E$64+'Assumptions and Catalog'!$F$64,IF(L646&lt;='Assumptions and Catalog'!$C$65,L646*'Assumptions and Catalog'!$H$65+'Assumptions and Catalog'!$E$65+'Assumptions and Catalog'!$F$65,"Out of range")))))))))*(1+'Assumptions and Catalog'!$C$8)^(A646-1),0)</f>
        <v>8554.9666666666672</v>
      </c>
      <c r="O646" s="5">
        <f t="shared" si="47"/>
        <v>0</v>
      </c>
      <c r="P646" s="5">
        <f>D$55*(1-K$14)*(1-'Assumptions and Catalog'!$C$23)^R646</f>
        <v>0</v>
      </c>
      <c r="Q646" s="5">
        <f>IF(ISNUMBER(Inputs!$L$5),(IF(Inputs!$L$9="Actual flat rate",((D646+E646)*C646-G646)*Inputs!$L$10,IF(Inputs!$C$9="Residential",IF(((D646+E646)*C646-G646)&lt;='Assumptions and Catalog'!$C$50,((D646+E646)*C646-G646)*'Assumptions and Catalog'!$H$50+'Assumptions and Catalog'!$E$50+'Assumptions and Catalog'!$F$50,IF(((D646+E646)*C646-G646)&lt;='Assumptions and Catalog'!$C$51,((D646+E646)*C646-G646)*'Assumptions and Catalog'!$H$51+'Assumptions and Catalog'!$E$51+'Assumptions and Catalog'!$F$51,IF(((D646+E646)*C646-G646)&lt;='Assumptions and Catalog'!$C$52,((D646+E646)*C646-G646)*'Assumptions and Catalog'!$H$52+'Assumptions and Catalog'!$E$52+'Assumptions and Catalog'!$F$52,IF(((D646+E646)*C646-G646)&lt;='Assumptions and Catalog'!$C$53,((D646+E646)*C646-G646)*'Assumptions and Catalog'!$H$53+'Assumptions and Catalog'!$E$53+'Assumptions and Catalog'!$F$53,IF(((D646+E646)*C646-G646)&lt;='Assumptions and Catalog'!$C$54,((D646+E646)*C646-G646)*'Assumptions and Catalog'!$H$54+'Assumptions and Catalog'!$E$54+'Assumptions and Catalog'!$F$54,IF(((D646+E646)*C646-G646)&lt;='Assumptions and Catalog'!$C$55,((D646+E646)*C646-G646)*'Assumptions and Catalog'!$H$55+'Assumptions and Catalog'!$E$55+'Assumptions and Catalog'!$F$55,IF(((D646+E646)*C646-G646)&lt;='Assumptions and Catalog'!$C$56,((D646+E646)*C646-G646)*'Assumptions and Catalog'!$H$56+'Assumptions and Catalog'!$E$56+'Assumptions and Catalog'!$F$56,IF(((D646+E646)*C646-G646)&lt;='Assumptions and Catalog'!$C$57,((D646+E646)*C646-G646)*'Assumptions and Catalog'!$H$57+'Assumptions and Catalog'!$E$57+'Assumptions and Catalog'!$F$57,"Out of range")))))))),IF(((D646+E646)*C646-G646)&lt;='Assumptions and Catalog'!$C$60,((D646+E646)*C646-G646)*'Assumptions and Catalog'!$H$60+'Assumptions and Catalog'!$E$60+'Assumptions and Catalog'!$F$60,IF(((D646+E646)*C646-G646)&lt;='Assumptions and Catalog'!$C$61,((D646+E646)*C646-G646)*'Assumptions and Catalog'!$H$61+'Assumptions and Catalog'!$E$61+'Assumptions and Catalog'!$F$61,IF(((D646+E646)*C646-G646)&lt;='Assumptions and Catalog'!$C$62,((D646+E646)*C646-G646)*'Assumptions and Catalog'!$H$62+'Assumptions and Catalog'!$E$62+'Assumptions and Catalog'!$F$62,IF(((D646+E646)*C646-G646)&lt;='Assumptions and Catalog'!$C$63,((D646+E646)*C646-G646)*'Assumptions and Catalog'!$H$63+'Assumptions and Catalog'!$E$63+'Assumptions and Catalog'!$F$63,IF(((D646+E646)*C646-G646)&lt;='Assumptions and Catalog'!$C$64,((D646+E646)*C646-G646)*'Assumptions and Catalog'!$H$64+'Assumptions and Catalog'!$E$64+'Assumptions and Catalog'!$F$64,IF(((D646+E646)*C646-G646)&lt;='Assumptions and Catalog'!$C$65,((D646+E646)*C646-G646)*'Assumptions and Catalog'!$H$65+'Assumptions and Catalog'!$E$65+'Assumptions and Catalog'!$F$65,"Out of range")))))))))*(1+'Assumptions and Catalog'!$C$8)^(A646-1),0)</f>
        <v>8554.9666666666672</v>
      </c>
      <c r="R646" s="5">
        <f>IF(AND('Assumptions and Catalog'!$C$19&gt;0,A646&gt;='Assumptions and Catalog'!$C$19),A646-'Assumptions and Catalog'!$C$19,A646-1)</f>
        <v>9</v>
      </c>
      <c r="S646" s="5">
        <f>F646+L646-(D646+E646)*C646-J646-K646-IF(D$52&gt;0,'Assumptions and Catalog'!$C$26*C646,0)</f>
        <v>0</v>
      </c>
      <c r="T646" s="5"/>
      <c r="U646" s="5"/>
    </row>
    <row r="647" spans="1:21" ht="23.1" customHeight="1" outlineLevel="1" x14ac:dyDescent="0.2">
      <c r="A647" s="5">
        <v>20</v>
      </c>
      <c r="B647" s="5">
        <v>9</v>
      </c>
      <c r="C647" s="5">
        <f>DAY(DATE('Assumptions and Catalog'!$C$24+A647-1,B647+1,0))</f>
        <v>30</v>
      </c>
      <c r="D647" s="5">
        <f>IF(ISNUMBER(Inputs!$L$5),Inputs!$L$5*Inputs!$L$6,0)</f>
        <v>40.35</v>
      </c>
      <c r="E647" s="5">
        <f>IF(ISNUMBER(Inputs!$L$5),Inputs!$L$5-D647,0)</f>
        <v>40.35</v>
      </c>
      <c r="F647" s="5">
        <f>D$51*'Assumptions and Catalog'!$C$31*C647*(1-'Assumptions and Catalog'!$C$10)^(A647-1)</f>
        <v>0</v>
      </c>
      <c r="G647" s="5">
        <f t="shared" si="44"/>
        <v>0</v>
      </c>
      <c r="H647" s="5">
        <f>I647/('Assumptions and Catalog'!$C$11*'Assumptions and Catalog'!$C$12)</f>
        <v>0</v>
      </c>
      <c r="I647" s="5">
        <f>IF(K$15="Grid cycle",MIN(K$16,D647+E647,P647*'Assumptions and Catalog'!$C$12,D$57*(24-'Assumptions and Catalog'!$C$15),D$56*'Assumptions and Catalog'!$C$15*'Assumptions and Catalog'!$C$11*'Assumptions and Catalog'!$C$12)*C647,0)</f>
        <v>0</v>
      </c>
      <c r="J647" s="5">
        <f t="shared" si="45"/>
        <v>0</v>
      </c>
      <c r="K647" s="5">
        <f t="shared" si="46"/>
        <v>0</v>
      </c>
      <c r="L647" s="5">
        <f>(D647+E647)*C647-G647-I647+H647+IF(D$52&gt;0,'Assumptions and Catalog'!$C$26*C647,0)</f>
        <v>2421</v>
      </c>
      <c r="M647" s="5">
        <f>IF(ISNUMBER(Inputs!$L$5),(IF(Inputs!$L$9="Actual flat rate",((D647+E647)*C647)*Inputs!$L$10,IF(Inputs!$C$9="Residential",IF(((D647+E647)*C647)&lt;='Assumptions and Catalog'!$C$50,((D647+E647)*C647)*'Assumptions and Catalog'!$H$50+'Assumptions and Catalog'!$E$50+'Assumptions and Catalog'!$F$50,IF(((D647+E647)*C647)&lt;='Assumptions and Catalog'!$C$51,((D647+E647)*C647)*'Assumptions and Catalog'!$H$51+'Assumptions and Catalog'!$E$51+'Assumptions and Catalog'!$F$51,IF(((D647+E647)*C647)&lt;='Assumptions and Catalog'!$C$52,((D647+E647)*C647)*'Assumptions and Catalog'!$H$52+'Assumptions and Catalog'!$E$52+'Assumptions and Catalog'!$F$52,IF(((D647+E647)*C647)&lt;='Assumptions and Catalog'!$C$53,((D647+E647)*C647)*'Assumptions and Catalog'!$H$53+'Assumptions and Catalog'!$E$53+'Assumptions and Catalog'!$F$53,IF(((D647+E647)*C647)&lt;='Assumptions and Catalog'!$C$54,((D647+E647)*C647)*'Assumptions and Catalog'!$H$54+'Assumptions and Catalog'!$E$54+'Assumptions and Catalog'!$F$54,IF(((D647+E647)*C647)&lt;='Assumptions and Catalog'!$C$55,((D647+E647)*C647)*'Assumptions and Catalog'!$H$55+'Assumptions and Catalog'!$E$55+'Assumptions and Catalog'!$F$55,IF(((D647+E647)*C647)&lt;='Assumptions and Catalog'!$C$56,((D647+E647)*C647)*'Assumptions and Catalog'!$H$56+'Assumptions and Catalog'!$E$56+'Assumptions and Catalog'!$F$56,IF(((D647+E647)*C647)&lt;='Assumptions and Catalog'!$C$57,((D647+E647)*C647)*'Assumptions and Catalog'!$H$57+'Assumptions and Catalog'!$E$57+'Assumptions and Catalog'!$F$57,"Out of range")))))))),IF(((D647+E647)*C647)&lt;='Assumptions and Catalog'!$C$60,((D647+E647)*C647)*'Assumptions and Catalog'!$H$60+'Assumptions and Catalog'!$E$60+'Assumptions and Catalog'!$F$60,IF(((D647+E647)*C647)&lt;='Assumptions and Catalog'!$C$61,((D647+E647)*C647)*'Assumptions and Catalog'!$H$61+'Assumptions and Catalog'!$E$61+'Assumptions and Catalog'!$F$61,IF(((D647+E647)*C647)&lt;='Assumptions and Catalog'!$C$62,((D647+E647)*C647)*'Assumptions and Catalog'!$H$62+'Assumptions and Catalog'!$E$62+'Assumptions and Catalog'!$F$62,IF(((D647+E647)*C647)&lt;='Assumptions and Catalog'!$C$63,((D647+E647)*C647)*'Assumptions and Catalog'!$H$63+'Assumptions and Catalog'!$E$63+'Assumptions and Catalog'!$F$63,IF(((D647+E647)*C647)&lt;='Assumptions and Catalog'!$C$64,((D647+E647)*C647)*'Assumptions and Catalog'!$H$64+'Assumptions and Catalog'!$E$64+'Assumptions and Catalog'!$F$64,IF(((D647+E647)*C647)&lt;='Assumptions and Catalog'!$C$65,((D647+E647)*C647)*'Assumptions and Catalog'!$H$65+'Assumptions and Catalog'!$E$65+'Assumptions and Catalog'!$F$65,"Out of range")))))))))*(1+'Assumptions and Catalog'!$C$8)^(A647-1),0)</f>
        <v>8279</v>
      </c>
      <c r="N647" s="5">
        <f>IF(ISNUMBER(Inputs!$L$5),(IF(Inputs!$L$9="Actual flat rate",L647*Inputs!$L$10,IF(Inputs!$C$9="Residential",IF(L647&lt;='Assumptions and Catalog'!$C$50,L647*'Assumptions and Catalog'!$H$50+'Assumptions and Catalog'!$E$50+'Assumptions and Catalog'!$F$50,IF(L647&lt;='Assumptions and Catalog'!$C$51,L647*'Assumptions and Catalog'!$H$51+'Assumptions and Catalog'!$E$51+'Assumptions and Catalog'!$F$51,IF(L647&lt;='Assumptions and Catalog'!$C$52,L647*'Assumptions and Catalog'!$H$52+'Assumptions and Catalog'!$E$52+'Assumptions and Catalog'!$F$52,IF(L647&lt;='Assumptions and Catalog'!$C$53,L647*'Assumptions and Catalog'!$H$53+'Assumptions and Catalog'!$E$53+'Assumptions and Catalog'!$F$53,IF(L647&lt;='Assumptions and Catalog'!$C$54,L647*'Assumptions and Catalog'!$H$54+'Assumptions and Catalog'!$E$54+'Assumptions and Catalog'!$F$54,IF(L647&lt;='Assumptions and Catalog'!$C$55,L647*'Assumptions and Catalog'!$H$55+'Assumptions and Catalog'!$E$55+'Assumptions and Catalog'!$F$55,IF(L647&lt;='Assumptions and Catalog'!$C$56,L647*'Assumptions and Catalog'!$H$56+'Assumptions and Catalog'!$E$56+'Assumptions and Catalog'!$F$56,IF(L647&lt;='Assumptions and Catalog'!$C$57,L647*'Assumptions and Catalog'!$H$57+'Assumptions and Catalog'!$E$57+'Assumptions and Catalog'!$F$57,"Out of range")))))))),IF(L647&lt;='Assumptions and Catalog'!$C$60,L647*'Assumptions and Catalog'!$H$60+'Assumptions and Catalog'!$E$60+'Assumptions and Catalog'!$F$60,IF(L647&lt;='Assumptions and Catalog'!$C$61,L647*'Assumptions and Catalog'!$H$61+'Assumptions and Catalog'!$E$61+'Assumptions and Catalog'!$F$61,IF(L647&lt;='Assumptions and Catalog'!$C$62,L647*'Assumptions and Catalog'!$H$62+'Assumptions and Catalog'!$E$62+'Assumptions and Catalog'!$F$62,IF(L647&lt;='Assumptions and Catalog'!$C$63,L647*'Assumptions and Catalog'!$H$63+'Assumptions and Catalog'!$E$63+'Assumptions and Catalog'!$F$63,IF(L647&lt;='Assumptions and Catalog'!$C$64,L647*'Assumptions and Catalog'!$H$64+'Assumptions and Catalog'!$E$64+'Assumptions and Catalog'!$F$64,IF(L647&lt;='Assumptions and Catalog'!$C$65,L647*'Assumptions and Catalog'!$H$65+'Assumptions and Catalog'!$E$65+'Assumptions and Catalog'!$F$65,"Out of range")))))))))*(1+'Assumptions and Catalog'!$C$8)^(A647-1),0)</f>
        <v>8279</v>
      </c>
      <c r="O647" s="5">
        <f t="shared" si="47"/>
        <v>0</v>
      </c>
      <c r="P647" s="5">
        <f>D$55*(1-K$14)*(1-'Assumptions and Catalog'!$C$23)^R647</f>
        <v>0</v>
      </c>
      <c r="Q647" s="5">
        <f>IF(ISNUMBER(Inputs!$L$5),(IF(Inputs!$L$9="Actual flat rate",((D647+E647)*C647-G647)*Inputs!$L$10,IF(Inputs!$C$9="Residential",IF(((D647+E647)*C647-G647)&lt;='Assumptions and Catalog'!$C$50,((D647+E647)*C647-G647)*'Assumptions and Catalog'!$H$50+'Assumptions and Catalog'!$E$50+'Assumptions and Catalog'!$F$50,IF(((D647+E647)*C647-G647)&lt;='Assumptions and Catalog'!$C$51,((D647+E647)*C647-G647)*'Assumptions and Catalog'!$H$51+'Assumptions and Catalog'!$E$51+'Assumptions and Catalog'!$F$51,IF(((D647+E647)*C647-G647)&lt;='Assumptions and Catalog'!$C$52,((D647+E647)*C647-G647)*'Assumptions and Catalog'!$H$52+'Assumptions and Catalog'!$E$52+'Assumptions and Catalog'!$F$52,IF(((D647+E647)*C647-G647)&lt;='Assumptions and Catalog'!$C$53,((D647+E647)*C647-G647)*'Assumptions and Catalog'!$H$53+'Assumptions and Catalog'!$E$53+'Assumptions and Catalog'!$F$53,IF(((D647+E647)*C647-G647)&lt;='Assumptions and Catalog'!$C$54,((D647+E647)*C647-G647)*'Assumptions and Catalog'!$H$54+'Assumptions and Catalog'!$E$54+'Assumptions and Catalog'!$F$54,IF(((D647+E647)*C647-G647)&lt;='Assumptions and Catalog'!$C$55,((D647+E647)*C647-G647)*'Assumptions and Catalog'!$H$55+'Assumptions and Catalog'!$E$55+'Assumptions and Catalog'!$F$55,IF(((D647+E647)*C647-G647)&lt;='Assumptions and Catalog'!$C$56,((D647+E647)*C647-G647)*'Assumptions and Catalog'!$H$56+'Assumptions and Catalog'!$E$56+'Assumptions and Catalog'!$F$56,IF(((D647+E647)*C647-G647)&lt;='Assumptions and Catalog'!$C$57,((D647+E647)*C647-G647)*'Assumptions and Catalog'!$H$57+'Assumptions and Catalog'!$E$57+'Assumptions and Catalog'!$F$57,"Out of range")))))))),IF(((D647+E647)*C647-G647)&lt;='Assumptions and Catalog'!$C$60,((D647+E647)*C647-G647)*'Assumptions and Catalog'!$H$60+'Assumptions and Catalog'!$E$60+'Assumptions and Catalog'!$F$60,IF(((D647+E647)*C647-G647)&lt;='Assumptions and Catalog'!$C$61,((D647+E647)*C647-G647)*'Assumptions and Catalog'!$H$61+'Assumptions and Catalog'!$E$61+'Assumptions and Catalog'!$F$61,IF(((D647+E647)*C647-G647)&lt;='Assumptions and Catalog'!$C$62,((D647+E647)*C647-G647)*'Assumptions and Catalog'!$H$62+'Assumptions and Catalog'!$E$62+'Assumptions and Catalog'!$F$62,IF(((D647+E647)*C647-G647)&lt;='Assumptions and Catalog'!$C$63,((D647+E647)*C647-G647)*'Assumptions and Catalog'!$H$63+'Assumptions and Catalog'!$E$63+'Assumptions and Catalog'!$F$63,IF(((D647+E647)*C647-G647)&lt;='Assumptions and Catalog'!$C$64,((D647+E647)*C647-G647)*'Assumptions and Catalog'!$H$64+'Assumptions and Catalog'!$E$64+'Assumptions and Catalog'!$F$64,IF(((D647+E647)*C647-G647)&lt;='Assumptions and Catalog'!$C$65,((D647+E647)*C647-G647)*'Assumptions and Catalog'!$H$65+'Assumptions and Catalog'!$E$65+'Assumptions and Catalog'!$F$65,"Out of range")))))))))*(1+'Assumptions and Catalog'!$C$8)^(A647-1),0)</f>
        <v>8279</v>
      </c>
      <c r="R647" s="5">
        <f>IF(AND('Assumptions and Catalog'!$C$19&gt;0,A647&gt;='Assumptions and Catalog'!$C$19),A647-'Assumptions and Catalog'!$C$19,A647-1)</f>
        <v>9</v>
      </c>
      <c r="S647" s="5">
        <f>F647+L647-(D647+E647)*C647-J647-K647-IF(D$52&gt;0,'Assumptions and Catalog'!$C$26*C647,0)</f>
        <v>0</v>
      </c>
      <c r="T647" s="5"/>
      <c r="U647" s="5"/>
    </row>
    <row r="648" spans="1:21" ht="23.1" customHeight="1" outlineLevel="1" x14ac:dyDescent="0.2">
      <c r="A648" s="5">
        <v>20</v>
      </c>
      <c r="B648" s="5">
        <v>10</v>
      </c>
      <c r="C648" s="5">
        <f>DAY(DATE('Assumptions and Catalog'!$C$24+A648-1,B648+1,0))</f>
        <v>31</v>
      </c>
      <c r="D648" s="5">
        <f>IF(ISNUMBER(Inputs!$L$5),Inputs!$L$5*Inputs!$L$6,0)</f>
        <v>40.35</v>
      </c>
      <c r="E648" s="5">
        <f>IF(ISNUMBER(Inputs!$L$5),Inputs!$L$5-D648,0)</f>
        <v>40.35</v>
      </c>
      <c r="F648" s="5">
        <f>D$51*'Assumptions and Catalog'!$C$31*C648*(1-'Assumptions and Catalog'!$C$10)^(A648-1)</f>
        <v>0</v>
      </c>
      <c r="G648" s="5">
        <f t="shared" si="44"/>
        <v>0</v>
      </c>
      <c r="H648" s="5">
        <f>I648/('Assumptions and Catalog'!$C$11*'Assumptions and Catalog'!$C$12)</f>
        <v>0</v>
      </c>
      <c r="I648" s="5">
        <f>IF(K$15="Grid cycle",MIN(K$16,D648+E648,P648*'Assumptions and Catalog'!$C$12,D$57*(24-'Assumptions and Catalog'!$C$15),D$56*'Assumptions and Catalog'!$C$15*'Assumptions and Catalog'!$C$11*'Assumptions and Catalog'!$C$12)*C648,0)</f>
        <v>0</v>
      </c>
      <c r="J648" s="5">
        <f t="shared" si="45"/>
        <v>0</v>
      </c>
      <c r="K648" s="5">
        <f t="shared" si="46"/>
        <v>0</v>
      </c>
      <c r="L648" s="5">
        <f>(D648+E648)*C648-G648-I648+H648+IF(D$52&gt;0,'Assumptions and Catalog'!$C$26*C648,0)</f>
        <v>2501.7000000000003</v>
      </c>
      <c r="M648" s="5">
        <f>IF(ISNUMBER(Inputs!$L$5),(IF(Inputs!$L$9="Actual flat rate",((D648+E648)*C648)*Inputs!$L$10,IF(Inputs!$C$9="Residential",IF(((D648+E648)*C648)&lt;='Assumptions and Catalog'!$C$50,((D648+E648)*C648)*'Assumptions and Catalog'!$H$50+'Assumptions and Catalog'!$E$50+'Assumptions and Catalog'!$F$50,IF(((D648+E648)*C648)&lt;='Assumptions and Catalog'!$C$51,((D648+E648)*C648)*'Assumptions and Catalog'!$H$51+'Assumptions and Catalog'!$E$51+'Assumptions and Catalog'!$F$51,IF(((D648+E648)*C648)&lt;='Assumptions and Catalog'!$C$52,((D648+E648)*C648)*'Assumptions and Catalog'!$H$52+'Assumptions and Catalog'!$E$52+'Assumptions and Catalog'!$F$52,IF(((D648+E648)*C648)&lt;='Assumptions and Catalog'!$C$53,((D648+E648)*C648)*'Assumptions and Catalog'!$H$53+'Assumptions and Catalog'!$E$53+'Assumptions and Catalog'!$F$53,IF(((D648+E648)*C648)&lt;='Assumptions and Catalog'!$C$54,((D648+E648)*C648)*'Assumptions and Catalog'!$H$54+'Assumptions and Catalog'!$E$54+'Assumptions and Catalog'!$F$54,IF(((D648+E648)*C648)&lt;='Assumptions and Catalog'!$C$55,((D648+E648)*C648)*'Assumptions and Catalog'!$H$55+'Assumptions and Catalog'!$E$55+'Assumptions and Catalog'!$F$55,IF(((D648+E648)*C648)&lt;='Assumptions and Catalog'!$C$56,((D648+E648)*C648)*'Assumptions and Catalog'!$H$56+'Assumptions and Catalog'!$E$56+'Assumptions and Catalog'!$F$56,IF(((D648+E648)*C648)&lt;='Assumptions and Catalog'!$C$57,((D648+E648)*C648)*'Assumptions and Catalog'!$H$57+'Assumptions and Catalog'!$E$57+'Assumptions and Catalog'!$F$57,"Out of range")))))))),IF(((D648+E648)*C648)&lt;='Assumptions and Catalog'!$C$60,((D648+E648)*C648)*'Assumptions and Catalog'!$H$60+'Assumptions and Catalog'!$E$60+'Assumptions and Catalog'!$F$60,IF(((D648+E648)*C648)&lt;='Assumptions and Catalog'!$C$61,((D648+E648)*C648)*'Assumptions and Catalog'!$H$61+'Assumptions and Catalog'!$E$61+'Assumptions and Catalog'!$F$61,IF(((D648+E648)*C648)&lt;='Assumptions and Catalog'!$C$62,((D648+E648)*C648)*'Assumptions and Catalog'!$H$62+'Assumptions and Catalog'!$E$62+'Assumptions and Catalog'!$F$62,IF(((D648+E648)*C648)&lt;='Assumptions and Catalog'!$C$63,((D648+E648)*C648)*'Assumptions and Catalog'!$H$63+'Assumptions and Catalog'!$E$63+'Assumptions and Catalog'!$F$63,IF(((D648+E648)*C648)&lt;='Assumptions and Catalog'!$C$64,((D648+E648)*C648)*'Assumptions and Catalog'!$H$64+'Assumptions and Catalog'!$E$64+'Assumptions and Catalog'!$F$64,IF(((D648+E648)*C648)&lt;='Assumptions and Catalog'!$C$65,((D648+E648)*C648)*'Assumptions and Catalog'!$H$65+'Assumptions and Catalog'!$E$65+'Assumptions and Catalog'!$F$65,"Out of range")))))))))*(1+'Assumptions and Catalog'!$C$8)^(A648-1),0)</f>
        <v>8554.9666666666672</v>
      </c>
      <c r="N648" s="5">
        <f>IF(ISNUMBER(Inputs!$L$5),(IF(Inputs!$L$9="Actual flat rate",L648*Inputs!$L$10,IF(Inputs!$C$9="Residential",IF(L648&lt;='Assumptions and Catalog'!$C$50,L648*'Assumptions and Catalog'!$H$50+'Assumptions and Catalog'!$E$50+'Assumptions and Catalog'!$F$50,IF(L648&lt;='Assumptions and Catalog'!$C$51,L648*'Assumptions and Catalog'!$H$51+'Assumptions and Catalog'!$E$51+'Assumptions and Catalog'!$F$51,IF(L648&lt;='Assumptions and Catalog'!$C$52,L648*'Assumptions and Catalog'!$H$52+'Assumptions and Catalog'!$E$52+'Assumptions and Catalog'!$F$52,IF(L648&lt;='Assumptions and Catalog'!$C$53,L648*'Assumptions and Catalog'!$H$53+'Assumptions and Catalog'!$E$53+'Assumptions and Catalog'!$F$53,IF(L648&lt;='Assumptions and Catalog'!$C$54,L648*'Assumptions and Catalog'!$H$54+'Assumptions and Catalog'!$E$54+'Assumptions and Catalog'!$F$54,IF(L648&lt;='Assumptions and Catalog'!$C$55,L648*'Assumptions and Catalog'!$H$55+'Assumptions and Catalog'!$E$55+'Assumptions and Catalog'!$F$55,IF(L648&lt;='Assumptions and Catalog'!$C$56,L648*'Assumptions and Catalog'!$H$56+'Assumptions and Catalog'!$E$56+'Assumptions and Catalog'!$F$56,IF(L648&lt;='Assumptions and Catalog'!$C$57,L648*'Assumptions and Catalog'!$H$57+'Assumptions and Catalog'!$E$57+'Assumptions and Catalog'!$F$57,"Out of range")))))))),IF(L648&lt;='Assumptions and Catalog'!$C$60,L648*'Assumptions and Catalog'!$H$60+'Assumptions and Catalog'!$E$60+'Assumptions and Catalog'!$F$60,IF(L648&lt;='Assumptions and Catalog'!$C$61,L648*'Assumptions and Catalog'!$H$61+'Assumptions and Catalog'!$E$61+'Assumptions and Catalog'!$F$61,IF(L648&lt;='Assumptions and Catalog'!$C$62,L648*'Assumptions and Catalog'!$H$62+'Assumptions and Catalog'!$E$62+'Assumptions and Catalog'!$F$62,IF(L648&lt;='Assumptions and Catalog'!$C$63,L648*'Assumptions and Catalog'!$H$63+'Assumptions and Catalog'!$E$63+'Assumptions and Catalog'!$F$63,IF(L648&lt;='Assumptions and Catalog'!$C$64,L648*'Assumptions and Catalog'!$H$64+'Assumptions and Catalog'!$E$64+'Assumptions and Catalog'!$F$64,IF(L648&lt;='Assumptions and Catalog'!$C$65,L648*'Assumptions and Catalog'!$H$65+'Assumptions and Catalog'!$E$65+'Assumptions and Catalog'!$F$65,"Out of range")))))))))*(1+'Assumptions and Catalog'!$C$8)^(A648-1),0)</f>
        <v>8554.9666666666672</v>
      </c>
      <c r="O648" s="5">
        <f t="shared" si="47"/>
        <v>0</v>
      </c>
      <c r="P648" s="5">
        <f>D$55*(1-K$14)*(1-'Assumptions and Catalog'!$C$23)^R648</f>
        <v>0</v>
      </c>
      <c r="Q648" s="5">
        <f>IF(ISNUMBER(Inputs!$L$5),(IF(Inputs!$L$9="Actual flat rate",((D648+E648)*C648-G648)*Inputs!$L$10,IF(Inputs!$C$9="Residential",IF(((D648+E648)*C648-G648)&lt;='Assumptions and Catalog'!$C$50,((D648+E648)*C648-G648)*'Assumptions and Catalog'!$H$50+'Assumptions and Catalog'!$E$50+'Assumptions and Catalog'!$F$50,IF(((D648+E648)*C648-G648)&lt;='Assumptions and Catalog'!$C$51,((D648+E648)*C648-G648)*'Assumptions and Catalog'!$H$51+'Assumptions and Catalog'!$E$51+'Assumptions and Catalog'!$F$51,IF(((D648+E648)*C648-G648)&lt;='Assumptions and Catalog'!$C$52,((D648+E648)*C648-G648)*'Assumptions and Catalog'!$H$52+'Assumptions and Catalog'!$E$52+'Assumptions and Catalog'!$F$52,IF(((D648+E648)*C648-G648)&lt;='Assumptions and Catalog'!$C$53,((D648+E648)*C648-G648)*'Assumptions and Catalog'!$H$53+'Assumptions and Catalog'!$E$53+'Assumptions and Catalog'!$F$53,IF(((D648+E648)*C648-G648)&lt;='Assumptions and Catalog'!$C$54,((D648+E648)*C648-G648)*'Assumptions and Catalog'!$H$54+'Assumptions and Catalog'!$E$54+'Assumptions and Catalog'!$F$54,IF(((D648+E648)*C648-G648)&lt;='Assumptions and Catalog'!$C$55,((D648+E648)*C648-G648)*'Assumptions and Catalog'!$H$55+'Assumptions and Catalog'!$E$55+'Assumptions and Catalog'!$F$55,IF(((D648+E648)*C648-G648)&lt;='Assumptions and Catalog'!$C$56,((D648+E648)*C648-G648)*'Assumptions and Catalog'!$H$56+'Assumptions and Catalog'!$E$56+'Assumptions and Catalog'!$F$56,IF(((D648+E648)*C648-G648)&lt;='Assumptions and Catalog'!$C$57,((D648+E648)*C648-G648)*'Assumptions and Catalog'!$H$57+'Assumptions and Catalog'!$E$57+'Assumptions and Catalog'!$F$57,"Out of range")))))))),IF(((D648+E648)*C648-G648)&lt;='Assumptions and Catalog'!$C$60,((D648+E648)*C648-G648)*'Assumptions and Catalog'!$H$60+'Assumptions and Catalog'!$E$60+'Assumptions and Catalog'!$F$60,IF(((D648+E648)*C648-G648)&lt;='Assumptions and Catalog'!$C$61,((D648+E648)*C648-G648)*'Assumptions and Catalog'!$H$61+'Assumptions and Catalog'!$E$61+'Assumptions and Catalog'!$F$61,IF(((D648+E648)*C648-G648)&lt;='Assumptions and Catalog'!$C$62,((D648+E648)*C648-G648)*'Assumptions and Catalog'!$H$62+'Assumptions and Catalog'!$E$62+'Assumptions and Catalog'!$F$62,IF(((D648+E648)*C648-G648)&lt;='Assumptions and Catalog'!$C$63,((D648+E648)*C648-G648)*'Assumptions and Catalog'!$H$63+'Assumptions and Catalog'!$E$63+'Assumptions and Catalog'!$F$63,IF(((D648+E648)*C648-G648)&lt;='Assumptions and Catalog'!$C$64,((D648+E648)*C648-G648)*'Assumptions and Catalog'!$H$64+'Assumptions and Catalog'!$E$64+'Assumptions and Catalog'!$F$64,IF(((D648+E648)*C648-G648)&lt;='Assumptions and Catalog'!$C$65,((D648+E648)*C648-G648)*'Assumptions and Catalog'!$H$65+'Assumptions and Catalog'!$E$65+'Assumptions and Catalog'!$F$65,"Out of range")))))))))*(1+'Assumptions and Catalog'!$C$8)^(A648-1),0)</f>
        <v>8554.9666666666672</v>
      </c>
      <c r="R648" s="5">
        <f>IF(AND('Assumptions and Catalog'!$C$19&gt;0,A648&gt;='Assumptions and Catalog'!$C$19),A648-'Assumptions and Catalog'!$C$19,A648-1)</f>
        <v>9</v>
      </c>
      <c r="S648" s="5">
        <f>F648+L648-(D648+E648)*C648-J648-K648-IF(D$52&gt;0,'Assumptions and Catalog'!$C$26*C648,0)</f>
        <v>0</v>
      </c>
      <c r="T648" s="5"/>
      <c r="U648" s="5"/>
    </row>
    <row r="649" spans="1:21" ht="23.1" customHeight="1" outlineLevel="1" x14ac:dyDescent="0.2">
      <c r="A649" s="5">
        <v>20</v>
      </c>
      <c r="B649" s="5">
        <v>11</v>
      </c>
      <c r="C649" s="5">
        <f>DAY(DATE('Assumptions and Catalog'!$C$24+A649-1,B649+1,0))</f>
        <v>30</v>
      </c>
      <c r="D649" s="5">
        <f>IF(ISNUMBER(Inputs!$L$5),Inputs!$L$5*Inputs!$L$6,0)</f>
        <v>40.35</v>
      </c>
      <c r="E649" s="5">
        <f>IF(ISNUMBER(Inputs!$L$5),Inputs!$L$5-D649,0)</f>
        <v>40.35</v>
      </c>
      <c r="F649" s="5">
        <f>D$51*'Assumptions and Catalog'!$C$31*C649*(1-'Assumptions and Catalog'!$C$10)^(A649-1)</f>
        <v>0</v>
      </c>
      <c r="G649" s="5">
        <f t="shared" si="44"/>
        <v>0</v>
      </c>
      <c r="H649" s="5">
        <f>I649/('Assumptions and Catalog'!$C$11*'Assumptions and Catalog'!$C$12)</f>
        <v>0</v>
      </c>
      <c r="I649" s="5">
        <f>IF(K$15="Grid cycle",MIN(K$16,D649+E649,P649*'Assumptions and Catalog'!$C$12,D$57*(24-'Assumptions and Catalog'!$C$15),D$56*'Assumptions and Catalog'!$C$15*'Assumptions and Catalog'!$C$11*'Assumptions and Catalog'!$C$12)*C649,0)</f>
        <v>0</v>
      </c>
      <c r="J649" s="5">
        <f t="shared" si="45"/>
        <v>0</v>
      </c>
      <c r="K649" s="5">
        <f t="shared" si="46"/>
        <v>0</v>
      </c>
      <c r="L649" s="5">
        <f>(D649+E649)*C649-G649-I649+H649+IF(D$52&gt;0,'Assumptions and Catalog'!$C$26*C649,0)</f>
        <v>2421</v>
      </c>
      <c r="M649" s="5">
        <f>IF(ISNUMBER(Inputs!$L$5),(IF(Inputs!$L$9="Actual flat rate",((D649+E649)*C649)*Inputs!$L$10,IF(Inputs!$C$9="Residential",IF(((D649+E649)*C649)&lt;='Assumptions and Catalog'!$C$50,((D649+E649)*C649)*'Assumptions and Catalog'!$H$50+'Assumptions and Catalog'!$E$50+'Assumptions and Catalog'!$F$50,IF(((D649+E649)*C649)&lt;='Assumptions and Catalog'!$C$51,((D649+E649)*C649)*'Assumptions and Catalog'!$H$51+'Assumptions and Catalog'!$E$51+'Assumptions and Catalog'!$F$51,IF(((D649+E649)*C649)&lt;='Assumptions and Catalog'!$C$52,((D649+E649)*C649)*'Assumptions and Catalog'!$H$52+'Assumptions and Catalog'!$E$52+'Assumptions and Catalog'!$F$52,IF(((D649+E649)*C649)&lt;='Assumptions and Catalog'!$C$53,((D649+E649)*C649)*'Assumptions and Catalog'!$H$53+'Assumptions and Catalog'!$E$53+'Assumptions and Catalog'!$F$53,IF(((D649+E649)*C649)&lt;='Assumptions and Catalog'!$C$54,((D649+E649)*C649)*'Assumptions and Catalog'!$H$54+'Assumptions and Catalog'!$E$54+'Assumptions and Catalog'!$F$54,IF(((D649+E649)*C649)&lt;='Assumptions and Catalog'!$C$55,((D649+E649)*C649)*'Assumptions and Catalog'!$H$55+'Assumptions and Catalog'!$E$55+'Assumptions and Catalog'!$F$55,IF(((D649+E649)*C649)&lt;='Assumptions and Catalog'!$C$56,((D649+E649)*C649)*'Assumptions and Catalog'!$H$56+'Assumptions and Catalog'!$E$56+'Assumptions and Catalog'!$F$56,IF(((D649+E649)*C649)&lt;='Assumptions and Catalog'!$C$57,((D649+E649)*C649)*'Assumptions and Catalog'!$H$57+'Assumptions and Catalog'!$E$57+'Assumptions and Catalog'!$F$57,"Out of range")))))))),IF(((D649+E649)*C649)&lt;='Assumptions and Catalog'!$C$60,((D649+E649)*C649)*'Assumptions and Catalog'!$H$60+'Assumptions and Catalog'!$E$60+'Assumptions and Catalog'!$F$60,IF(((D649+E649)*C649)&lt;='Assumptions and Catalog'!$C$61,((D649+E649)*C649)*'Assumptions and Catalog'!$H$61+'Assumptions and Catalog'!$E$61+'Assumptions and Catalog'!$F$61,IF(((D649+E649)*C649)&lt;='Assumptions and Catalog'!$C$62,((D649+E649)*C649)*'Assumptions and Catalog'!$H$62+'Assumptions and Catalog'!$E$62+'Assumptions and Catalog'!$F$62,IF(((D649+E649)*C649)&lt;='Assumptions and Catalog'!$C$63,((D649+E649)*C649)*'Assumptions and Catalog'!$H$63+'Assumptions and Catalog'!$E$63+'Assumptions and Catalog'!$F$63,IF(((D649+E649)*C649)&lt;='Assumptions and Catalog'!$C$64,((D649+E649)*C649)*'Assumptions and Catalog'!$H$64+'Assumptions and Catalog'!$E$64+'Assumptions and Catalog'!$F$64,IF(((D649+E649)*C649)&lt;='Assumptions and Catalog'!$C$65,((D649+E649)*C649)*'Assumptions and Catalog'!$H$65+'Assumptions and Catalog'!$E$65+'Assumptions and Catalog'!$F$65,"Out of range")))))))))*(1+'Assumptions and Catalog'!$C$8)^(A649-1),0)</f>
        <v>8279</v>
      </c>
      <c r="N649" s="5">
        <f>IF(ISNUMBER(Inputs!$L$5),(IF(Inputs!$L$9="Actual flat rate",L649*Inputs!$L$10,IF(Inputs!$C$9="Residential",IF(L649&lt;='Assumptions and Catalog'!$C$50,L649*'Assumptions and Catalog'!$H$50+'Assumptions and Catalog'!$E$50+'Assumptions and Catalog'!$F$50,IF(L649&lt;='Assumptions and Catalog'!$C$51,L649*'Assumptions and Catalog'!$H$51+'Assumptions and Catalog'!$E$51+'Assumptions and Catalog'!$F$51,IF(L649&lt;='Assumptions and Catalog'!$C$52,L649*'Assumptions and Catalog'!$H$52+'Assumptions and Catalog'!$E$52+'Assumptions and Catalog'!$F$52,IF(L649&lt;='Assumptions and Catalog'!$C$53,L649*'Assumptions and Catalog'!$H$53+'Assumptions and Catalog'!$E$53+'Assumptions and Catalog'!$F$53,IF(L649&lt;='Assumptions and Catalog'!$C$54,L649*'Assumptions and Catalog'!$H$54+'Assumptions and Catalog'!$E$54+'Assumptions and Catalog'!$F$54,IF(L649&lt;='Assumptions and Catalog'!$C$55,L649*'Assumptions and Catalog'!$H$55+'Assumptions and Catalog'!$E$55+'Assumptions and Catalog'!$F$55,IF(L649&lt;='Assumptions and Catalog'!$C$56,L649*'Assumptions and Catalog'!$H$56+'Assumptions and Catalog'!$E$56+'Assumptions and Catalog'!$F$56,IF(L649&lt;='Assumptions and Catalog'!$C$57,L649*'Assumptions and Catalog'!$H$57+'Assumptions and Catalog'!$E$57+'Assumptions and Catalog'!$F$57,"Out of range")))))))),IF(L649&lt;='Assumptions and Catalog'!$C$60,L649*'Assumptions and Catalog'!$H$60+'Assumptions and Catalog'!$E$60+'Assumptions and Catalog'!$F$60,IF(L649&lt;='Assumptions and Catalog'!$C$61,L649*'Assumptions and Catalog'!$H$61+'Assumptions and Catalog'!$E$61+'Assumptions and Catalog'!$F$61,IF(L649&lt;='Assumptions and Catalog'!$C$62,L649*'Assumptions and Catalog'!$H$62+'Assumptions and Catalog'!$E$62+'Assumptions and Catalog'!$F$62,IF(L649&lt;='Assumptions and Catalog'!$C$63,L649*'Assumptions and Catalog'!$H$63+'Assumptions and Catalog'!$E$63+'Assumptions and Catalog'!$F$63,IF(L649&lt;='Assumptions and Catalog'!$C$64,L649*'Assumptions and Catalog'!$H$64+'Assumptions and Catalog'!$E$64+'Assumptions and Catalog'!$F$64,IF(L649&lt;='Assumptions and Catalog'!$C$65,L649*'Assumptions and Catalog'!$H$65+'Assumptions and Catalog'!$E$65+'Assumptions and Catalog'!$F$65,"Out of range")))))))))*(1+'Assumptions and Catalog'!$C$8)^(A649-1),0)</f>
        <v>8279</v>
      </c>
      <c r="O649" s="5">
        <f t="shared" si="47"/>
        <v>0</v>
      </c>
      <c r="P649" s="5">
        <f>D$55*(1-K$14)*(1-'Assumptions and Catalog'!$C$23)^R649</f>
        <v>0</v>
      </c>
      <c r="Q649" s="5">
        <f>IF(ISNUMBER(Inputs!$L$5),(IF(Inputs!$L$9="Actual flat rate",((D649+E649)*C649-G649)*Inputs!$L$10,IF(Inputs!$C$9="Residential",IF(((D649+E649)*C649-G649)&lt;='Assumptions and Catalog'!$C$50,((D649+E649)*C649-G649)*'Assumptions and Catalog'!$H$50+'Assumptions and Catalog'!$E$50+'Assumptions and Catalog'!$F$50,IF(((D649+E649)*C649-G649)&lt;='Assumptions and Catalog'!$C$51,((D649+E649)*C649-G649)*'Assumptions and Catalog'!$H$51+'Assumptions and Catalog'!$E$51+'Assumptions and Catalog'!$F$51,IF(((D649+E649)*C649-G649)&lt;='Assumptions and Catalog'!$C$52,((D649+E649)*C649-G649)*'Assumptions and Catalog'!$H$52+'Assumptions and Catalog'!$E$52+'Assumptions and Catalog'!$F$52,IF(((D649+E649)*C649-G649)&lt;='Assumptions and Catalog'!$C$53,((D649+E649)*C649-G649)*'Assumptions and Catalog'!$H$53+'Assumptions and Catalog'!$E$53+'Assumptions and Catalog'!$F$53,IF(((D649+E649)*C649-G649)&lt;='Assumptions and Catalog'!$C$54,((D649+E649)*C649-G649)*'Assumptions and Catalog'!$H$54+'Assumptions and Catalog'!$E$54+'Assumptions and Catalog'!$F$54,IF(((D649+E649)*C649-G649)&lt;='Assumptions and Catalog'!$C$55,((D649+E649)*C649-G649)*'Assumptions and Catalog'!$H$55+'Assumptions and Catalog'!$E$55+'Assumptions and Catalog'!$F$55,IF(((D649+E649)*C649-G649)&lt;='Assumptions and Catalog'!$C$56,((D649+E649)*C649-G649)*'Assumptions and Catalog'!$H$56+'Assumptions and Catalog'!$E$56+'Assumptions and Catalog'!$F$56,IF(((D649+E649)*C649-G649)&lt;='Assumptions and Catalog'!$C$57,((D649+E649)*C649-G649)*'Assumptions and Catalog'!$H$57+'Assumptions and Catalog'!$E$57+'Assumptions and Catalog'!$F$57,"Out of range")))))))),IF(((D649+E649)*C649-G649)&lt;='Assumptions and Catalog'!$C$60,((D649+E649)*C649-G649)*'Assumptions and Catalog'!$H$60+'Assumptions and Catalog'!$E$60+'Assumptions and Catalog'!$F$60,IF(((D649+E649)*C649-G649)&lt;='Assumptions and Catalog'!$C$61,((D649+E649)*C649-G649)*'Assumptions and Catalog'!$H$61+'Assumptions and Catalog'!$E$61+'Assumptions and Catalog'!$F$61,IF(((D649+E649)*C649-G649)&lt;='Assumptions and Catalog'!$C$62,((D649+E649)*C649-G649)*'Assumptions and Catalog'!$H$62+'Assumptions and Catalog'!$E$62+'Assumptions and Catalog'!$F$62,IF(((D649+E649)*C649-G649)&lt;='Assumptions and Catalog'!$C$63,((D649+E649)*C649-G649)*'Assumptions and Catalog'!$H$63+'Assumptions and Catalog'!$E$63+'Assumptions and Catalog'!$F$63,IF(((D649+E649)*C649-G649)&lt;='Assumptions and Catalog'!$C$64,((D649+E649)*C649-G649)*'Assumptions and Catalog'!$H$64+'Assumptions and Catalog'!$E$64+'Assumptions and Catalog'!$F$64,IF(((D649+E649)*C649-G649)&lt;='Assumptions and Catalog'!$C$65,((D649+E649)*C649-G649)*'Assumptions and Catalog'!$H$65+'Assumptions and Catalog'!$E$65+'Assumptions and Catalog'!$F$65,"Out of range")))))))))*(1+'Assumptions and Catalog'!$C$8)^(A649-1),0)</f>
        <v>8279</v>
      </c>
      <c r="R649" s="5">
        <f>IF(AND('Assumptions and Catalog'!$C$19&gt;0,A649&gt;='Assumptions and Catalog'!$C$19),A649-'Assumptions and Catalog'!$C$19,A649-1)</f>
        <v>9</v>
      </c>
      <c r="S649" s="5">
        <f>F649+L649-(D649+E649)*C649-J649-K649-IF(D$52&gt;0,'Assumptions and Catalog'!$C$26*C649,0)</f>
        <v>0</v>
      </c>
      <c r="T649" s="5"/>
      <c r="U649" s="5"/>
    </row>
    <row r="650" spans="1:21" ht="23.1" customHeight="1" outlineLevel="1" x14ac:dyDescent="0.2">
      <c r="A650" s="5">
        <v>20</v>
      </c>
      <c r="B650" s="5">
        <v>12</v>
      </c>
      <c r="C650" s="5">
        <f>DAY(DATE('Assumptions and Catalog'!$C$24+A650-1,B650+1,0))</f>
        <v>31</v>
      </c>
      <c r="D650" s="5">
        <f>IF(ISNUMBER(Inputs!$L$5),Inputs!$L$5*Inputs!$L$6,0)</f>
        <v>40.35</v>
      </c>
      <c r="E650" s="5">
        <f>IF(ISNUMBER(Inputs!$L$5),Inputs!$L$5-D650,0)</f>
        <v>40.35</v>
      </c>
      <c r="F650" s="5">
        <f>D$51*'Assumptions and Catalog'!$C$31*C650*(1-'Assumptions and Catalog'!$C$10)^(A650-1)</f>
        <v>0</v>
      </c>
      <c r="G650" s="5">
        <f t="shared" si="44"/>
        <v>0</v>
      </c>
      <c r="H650" s="5">
        <f>I650/('Assumptions and Catalog'!$C$11*'Assumptions and Catalog'!$C$12)</f>
        <v>0</v>
      </c>
      <c r="I650" s="5">
        <f>IF(K$15="Grid cycle",MIN(K$16,D650+E650,P650*'Assumptions and Catalog'!$C$12,D$57*(24-'Assumptions and Catalog'!$C$15),D$56*'Assumptions and Catalog'!$C$15*'Assumptions and Catalog'!$C$11*'Assumptions and Catalog'!$C$12)*C650,0)</f>
        <v>0</v>
      </c>
      <c r="J650" s="5">
        <f t="shared" si="45"/>
        <v>0</v>
      </c>
      <c r="K650" s="5">
        <f t="shared" si="46"/>
        <v>0</v>
      </c>
      <c r="L650" s="5">
        <f>(D650+E650)*C650-G650-I650+H650+IF(D$52&gt;0,'Assumptions and Catalog'!$C$26*C650,0)</f>
        <v>2501.7000000000003</v>
      </c>
      <c r="M650" s="5">
        <f>IF(ISNUMBER(Inputs!$L$5),(IF(Inputs!$L$9="Actual flat rate",((D650+E650)*C650)*Inputs!$L$10,IF(Inputs!$C$9="Residential",IF(((D650+E650)*C650)&lt;='Assumptions and Catalog'!$C$50,((D650+E650)*C650)*'Assumptions and Catalog'!$H$50+'Assumptions and Catalog'!$E$50+'Assumptions and Catalog'!$F$50,IF(((D650+E650)*C650)&lt;='Assumptions and Catalog'!$C$51,((D650+E650)*C650)*'Assumptions and Catalog'!$H$51+'Assumptions and Catalog'!$E$51+'Assumptions and Catalog'!$F$51,IF(((D650+E650)*C650)&lt;='Assumptions and Catalog'!$C$52,((D650+E650)*C650)*'Assumptions and Catalog'!$H$52+'Assumptions and Catalog'!$E$52+'Assumptions and Catalog'!$F$52,IF(((D650+E650)*C650)&lt;='Assumptions and Catalog'!$C$53,((D650+E650)*C650)*'Assumptions and Catalog'!$H$53+'Assumptions and Catalog'!$E$53+'Assumptions and Catalog'!$F$53,IF(((D650+E650)*C650)&lt;='Assumptions and Catalog'!$C$54,((D650+E650)*C650)*'Assumptions and Catalog'!$H$54+'Assumptions and Catalog'!$E$54+'Assumptions and Catalog'!$F$54,IF(((D650+E650)*C650)&lt;='Assumptions and Catalog'!$C$55,((D650+E650)*C650)*'Assumptions and Catalog'!$H$55+'Assumptions and Catalog'!$E$55+'Assumptions and Catalog'!$F$55,IF(((D650+E650)*C650)&lt;='Assumptions and Catalog'!$C$56,((D650+E650)*C650)*'Assumptions and Catalog'!$H$56+'Assumptions and Catalog'!$E$56+'Assumptions and Catalog'!$F$56,IF(((D650+E650)*C650)&lt;='Assumptions and Catalog'!$C$57,((D650+E650)*C650)*'Assumptions and Catalog'!$H$57+'Assumptions and Catalog'!$E$57+'Assumptions and Catalog'!$F$57,"Out of range")))))))),IF(((D650+E650)*C650)&lt;='Assumptions and Catalog'!$C$60,((D650+E650)*C650)*'Assumptions and Catalog'!$H$60+'Assumptions and Catalog'!$E$60+'Assumptions and Catalog'!$F$60,IF(((D650+E650)*C650)&lt;='Assumptions and Catalog'!$C$61,((D650+E650)*C650)*'Assumptions and Catalog'!$H$61+'Assumptions and Catalog'!$E$61+'Assumptions and Catalog'!$F$61,IF(((D650+E650)*C650)&lt;='Assumptions and Catalog'!$C$62,((D650+E650)*C650)*'Assumptions and Catalog'!$H$62+'Assumptions and Catalog'!$E$62+'Assumptions and Catalog'!$F$62,IF(((D650+E650)*C650)&lt;='Assumptions and Catalog'!$C$63,((D650+E650)*C650)*'Assumptions and Catalog'!$H$63+'Assumptions and Catalog'!$E$63+'Assumptions and Catalog'!$F$63,IF(((D650+E650)*C650)&lt;='Assumptions and Catalog'!$C$64,((D650+E650)*C650)*'Assumptions and Catalog'!$H$64+'Assumptions and Catalog'!$E$64+'Assumptions and Catalog'!$F$64,IF(((D650+E650)*C650)&lt;='Assumptions and Catalog'!$C$65,((D650+E650)*C650)*'Assumptions and Catalog'!$H$65+'Assumptions and Catalog'!$E$65+'Assumptions and Catalog'!$F$65,"Out of range")))))))))*(1+'Assumptions and Catalog'!$C$8)^(A650-1),0)</f>
        <v>8554.9666666666672</v>
      </c>
      <c r="N650" s="5">
        <f>IF(ISNUMBER(Inputs!$L$5),(IF(Inputs!$L$9="Actual flat rate",L650*Inputs!$L$10,IF(Inputs!$C$9="Residential",IF(L650&lt;='Assumptions and Catalog'!$C$50,L650*'Assumptions and Catalog'!$H$50+'Assumptions and Catalog'!$E$50+'Assumptions and Catalog'!$F$50,IF(L650&lt;='Assumptions and Catalog'!$C$51,L650*'Assumptions and Catalog'!$H$51+'Assumptions and Catalog'!$E$51+'Assumptions and Catalog'!$F$51,IF(L650&lt;='Assumptions and Catalog'!$C$52,L650*'Assumptions and Catalog'!$H$52+'Assumptions and Catalog'!$E$52+'Assumptions and Catalog'!$F$52,IF(L650&lt;='Assumptions and Catalog'!$C$53,L650*'Assumptions and Catalog'!$H$53+'Assumptions and Catalog'!$E$53+'Assumptions and Catalog'!$F$53,IF(L650&lt;='Assumptions and Catalog'!$C$54,L650*'Assumptions and Catalog'!$H$54+'Assumptions and Catalog'!$E$54+'Assumptions and Catalog'!$F$54,IF(L650&lt;='Assumptions and Catalog'!$C$55,L650*'Assumptions and Catalog'!$H$55+'Assumptions and Catalog'!$E$55+'Assumptions and Catalog'!$F$55,IF(L650&lt;='Assumptions and Catalog'!$C$56,L650*'Assumptions and Catalog'!$H$56+'Assumptions and Catalog'!$E$56+'Assumptions and Catalog'!$F$56,IF(L650&lt;='Assumptions and Catalog'!$C$57,L650*'Assumptions and Catalog'!$H$57+'Assumptions and Catalog'!$E$57+'Assumptions and Catalog'!$F$57,"Out of range")))))))),IF(L650&lt;='Assumptions and Catalog'!$C$60,L650*'Assumptions and Catalog'!$H$60+'Assumptions and Catalog'!$E$60+'Assumptions and Catalog'!$F$60,IF(L650&lt;='Assumptions and Catalog'!$C$61,L650*'Assumptions and Catalog'!$H$61+'Assumptions and Catalog'!$E$61+'Assumptions and Catalog'!$F$61,IF(L650&lt;='Assumptions and Catalog'!$C$62,L650*'Assumptions and Catalog'!$H$62+'Assumptions and Catalog'!$E$62+'Assumptions and Catalog'!$F$62,IF(L650&lt;='Assumptions and Catalog'!$C$63,L650*'Assumptions and Catalog'!$H$63+'Assumptions and Catalog'!$E$63+'Assumptions and Catalog'!$F$63,IF(L650&lt;='Assumptions and Catalog'!$C$64,L650*'Assumptions and Catalog'!$H$64+'Assumptions and Catalog'!$E$64+'Assumptions and Catalog'!$F$64,IF(L650&lt;='Assumptions and Catalog'!$C$65,L650*'Assumptions and Catalog'!$H$65+'Assumptions and Catalog'!$E$65+'Assumptions and Catalog'!$F$65,"Out of range")))))))))*(1+'Assumptions and Catalog'!$C$8)^(A650-1),0)</f>
        <v>8554.9666666666672</v>
      </c>
      <c r="O650" s="5">
        <f t="shared" si="47"/>
        <v>0</v>
      </c>
      <c r="P650" s="5">
        <f>D$55*(1-K$14)*(1-'Assumptions and Catalog'!$C$23)^R650</f>
        <v>0</v>
      </c>
      <c r="Q650" s="5">
        <f>IF(ISNUMBER(Inputs!$L$5),(IF(Inputs!$L$9="Actual flat rate",((D650+E650)*C650-G650)*Inputs!$L$10,IF(Inputs!$C$9="Residential",IF(((D650+E650)*C650-G650)&lt;='Assumptions and Catalog'!$C$50,((D650+E650)*C650-G650)*'Assumptions and Catalog'!$H$50+'Assumptions and Catalog'!$E$50+'Assumptions and Catalog'!$F$50,IF(((D650+E650)*C650-G650)&lt;='Assumptions and Catalog'!$C$51,((D650+E650)*C650-G650)*'Assumptions and Catalog'!$H$51+'Assumptions and Catalog'!$E$51+'Assumptions and Catalog'!$F$51,IF(((D650+E650)*C650-G650)&lt;='Assumptions and Catalog'!$C$52,((D650+E650)*C650-G650)*'Assumptions and Catalog'!$H$52+'Assumptions and Catalog'!$E$52+'Assumptions and Catalog'!$F$52,IF(((D650+E650)*C650-G650)&lt;='Assumptions and Catalog'!$C$53,((D650+E650)*C650-G650)*'Assumptions and Catalog'!$H$53+'Assumptions and Catalog'!$E$53+'Assumptions and Catalog'!$F$53,IF(((D650+E650)*C650-G650)&lt;='Assumptions and Catalog'!$C$54,((D650+E650)*C650-G650)*'Assumptions and Catalog'!$H$54+'Assumptions and Catalog'!$E$54+'Assumptions and Catalog'!$F$54,IF(((D650+E650)*C650-G650)&lt;='Assumptions and Catalog'!$C$55,((D650+E650)*C650-G650)*'Assumptions and Catalog'!$H$55+'Assumptions and Catalog'!$E$55+'Assumptions and Catalog'!$F$55,IF(((D650+E650)*C650-G650)&lt;='Assumptions and Catalog'!$C$56,((D650+E650)*C650-G650)*'Assumptions and Catalog'!$H$56+'Assumptions and Catalog'!$E$56+'Assumptions and Catalog'!$F$56,IF(((D650+E650)*C650-G650)&lt;='Assumptions and Catalog'!$C$57,((D650+E650)*C650-G650)*'Assumptions and Catalog'!$H$57+'Assumptions and Catalog'!$E$57+'Assumptions and Catalog'!$F$57,"Out of range")))))))),IF(((D650+E650)*C650-G650)&lt;='Assumptions and Catalog'!$C$60,((D650+E650)*C650-G650)*'Assumptions and Catalog'!$H$60+'Assumptions and Catalog'!$E$60+'Assumptions and Catalog'!$F$60,IF(((D650+E650)*C650-G650)&lt;='Assumptions and Catalog'!$C$61,((D650+E650)*C650-G650)*'Assumptions and Catalog'!$H$61+'Assumptions and Catalog'!$E$61+'Assumptions and Catalog'!$F$61,IF(((D650+E650)*C650-G650)&lt;='Assumptions and Catalog'!$C$62,((D650+E650)*C650-G650)*'Assumptions and Catalog'!$H$62+'Assumptions and Catalog'!$E$62+'Assumptions and Catalog'!$F$62,IF(((D650+E650)*C650-G650)&lt;='Assumptions and Catalog'!$C$63,((D650+E650)*C650-G650)*'Assumptions and Catalog'!$H$63+'Assumptions and Catalog'!$E$63+'Assumptions and Catalog'!$F$63,IF(((D650+E650)*C650-G650)&lt;='Assumptions and Catalog'!$C$64,((D650+E650)*C650-G650)*'Assumptions and Catalog'!$H$64+'Assumptions and Catalog'!$E$64+'Assumptions and Catalog'!$F$64,IF(((D650+E650)*C650-G650)&lt;='Assumptions and Catalog'!$C$65,((D650+E650)*C650-G650)*'Assumptions and Catalog'!$H$65+'Assumptions and Catalog'!$E$65+'Assumptions and Catalog'!$F$65,"Out of range")))))))))*(1+'Assumptions and Catalog'!$C$8)^(A650-1),0)</f>
        <v>8554.9666666666672</v>
      </c>
      <c r="R650" s="5">
        <f>IF(AND('Assumptions and Catalog'!$C$19&gt;0,A650&gt;='Assumptions and Catalog'!$C$19),A650-'Assumptions and Catalog'!$C$19,A650-1)</f>
        <v>9</v>
      </c>
      <c r="S650" s="5">
        <f>F650+L650-(D650+E650)*C650-J650-K650-IF(D$52&gt;0,'Assumptions and Catalog'!$C$26*C650,0)</f>
        <v>0</v>
      </c>
      <c r="T650" s="5"/>
      <c r="U650" s="5"/>
    </row>
    <row r="651" spans="1:21" ht="23.1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23.1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23.1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23.1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23.1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23.1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23.1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30" customHeight="1" x14ac:dyDescent="0.2">
      <c r="A658" s="23" t="s">
        <v>280</v>
      </c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5"/>
      <c r="U658" s="5"/>
    </row>
    <row r="659" spans="1:21" ht="23.1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44.1" customHeight="1" x14ac:dyDescent="0.2">
      <c r="A660" s="14" t="s">
        <v>54</v>
      </c>
      <c r="B660" s="14" t="s">
        <v>262</v>
      </c>
      <c r="C660" s="14" t="s">
        <v>263</v>
      </c>
      <c r="D660" s="14" t="s">
        <v>264</v>
      </c>
      <c r="E660" s="14" t="s">
        <v>265</v>
      </c>
      <c r="F660" s="14" t="s">
        <v>266</v>
      </c>
      <c r="G660" s="14" t="s">
        <v>267</v>
      </c>
      <c r="H660" s="14" t="s">
        <v>268</v>
      </c>
      <c r="I660" s="14" t="s">
        <v>269</v>
      </c>
      <c r="J660" s="14" t="s">
        <v>270</v>
      </c>
      <c r="K660" s="14" t="s">
        <v>271</v>
      </c>
      <c r="L660" s="14" t="s">
        <v>272</v>
      </c>
      <c r="M660" s="14" t="s">
        <v>241</v>
      </c>
      <c r="N660" s="14" t="s">
        <v>273</v>
      </c>
      <c r="O660" s="14" t="s">
        <v>274</v>
      </c>
      <c r="P660" s="14" t="s">
        <v>275</v>
      </c>
      <c r="Q660" s="14" t="s">
        <v>276</v>
      </c>
      <c r="R660" s="14" t="s">
        <v>277</v>
      </c>
      <c r="S660" s="14" t="s">
        <v>278</v>
      </c>
      <c r="T660" s="5"/>
      <c r="U660" s="5"/>
    </row>
    <row r="661" spans="1:21" ht="23.1" customHeight="1" outlineLevel="1" x14ac:dyDescent="0.2">
      <c r="A661" s="5">
        <v>1</v>
      </c>
      <c r="B661" s="5">
        <v>1</v>
      </c>
      <c r="C661" s="5">
        <f>DAY(DATE('Assumptions and Catalog'!$C$24+A661-1,B661+1,0))</f>
        <v>31</v>
      </c>
      <c r="D661" s="5">
        <f>IF(ISNUMBER(Inputs!$L$5),Inputs!$L$5*Inputs!$L$6,0)</f>
        <v>40.35</v>
      </c>
      <c r="E661" s="5">
        <f>IF(ISNUMBER(Inputs!$L$5),Inputs!$L$5-D661,0)</f>
        <v>40.35</v>
      </c>
      <c r="F661" s="5">
        <f>E$51*'Assumptions and Catalog'!$C$31*C661*(1-'Assumptions and Catalog'!$C$10)^(A661-1)</f>
        <v>849.09</v>
      </c>
      <c r="G661" s="5">
        <f t="shared" ref="G661:G724" si="48">MIN(F661,D661*C661)</f>
        <v>849.09</v>
      </c>
      <c r="H661" s="5">
        <f>I661/('Assumptions and Catalog'!$C$11*'Assumptions and Catalog'!$C$12)</f>
        <v>0</v>
      </c>
      <c r="I661" s="5">
        <f>MIN(E661*C661,P661*'Assumptions and Catalog'!$C$12*C661,(F661-G661)*'Assumptions and Catalog'!$C$11*'Assumptions and Catalog'!$C$12,E$56*'Assumptions and Catalog'!$C$14*'Assumptions and Catalog'!$C$11*'Assumptions and Catalog'!$C$12*C661,E$57*(24-'Assumptions and Catalog'!$C$13)*C661)</f>
        <v>0</v>
      </c>
      <c r="J661" s="5">
        <f t="shared" ref="J661:J724" si="49">MAX(F661-G661-H661,0)</f>
        <v>0</v>
      </c>
      <c r="K661" s="5">
        <f t="shared" ref="K661:K724" si="50">H661-I661</f>
        <v>0</v>
      </c>
      <c r="L661" s="5">
        <f>(D661+E661)*C661-G661-I661+0+IF(E$52&gt;0,'Assumptions and Catalog'!$C$26*C661,0)</f>
        <v>1652.6100000000001</v>
      </c>
      <c r="M661" s="5">
        <f>IF(ISNUMBER(Inputs!$L$5),(IF(Inputs!$L$9="Actual flat rate",((D661+E661)*C661)*Inputs!$L$10,IF(Inputs!$C$9="Residential",IF(((D661+E661)*C661)&lt;='Assumptions and Catalog'!$C$50,((D661+E661)*C661)*'Assumptions and Catalog'!$H$50+'Assumptions and Catalog'!$E$50+'Assumptions and Catalog'!$F$50,IF(((D661+E661)*C661)&lt;='Assumptions and Catalog'!$C$51,((D661+E661)*C661)*'Assumptions and Catalog'!$H$51+'Assumptions and Catalog'!$E$51+'Assumptions and Catalog'!$F$51,IF(((D661+E661)*C661)&lt;='Assumptions and Catalog'!$C$52,((D661+E661)*C661)*'Assumptions and Catalog'!$H$52+'Assumptions and Catalog'!$E$52+'Assumptions and Catalog'!$F$52,IF(((D661+E661)*C661)&lt;='Assumptions and Catalog'!$C$53,((D661+E661)*C661)*'Assumptions and Catalog'!$H$53+'Assumptions and Catalog'!$E$53+'Assumptions and Catalog'!$F$53,IF(((D661+E661)*C661)&lt;='Assumptions and Catalog'!$C$54,((D661+E661)*C661)*'Assumptions and Catalog'!$H$54+'Assumptions and Catalog'!$E$54+'Assumptions and Catalog'!$F$54,IF(((D661+E661)*C661)&lt;='Assumptions and Catalog'!$C$55,((D661+E661)*C661)*'Assumptions and Catalog'!$H$55+'Assumptions and Catalog'!$E$55+'Assumptions and Catalog'!$F$55,IF(((D661+E661)*C661)&lt;='Assumptions and Catalog'!$C$56,((D661+E661)*C661)*'Assumptions and Catalog'!$H$56+'Assumptions and Catalog'!$E$56+'Assumptions and Catalog'!$F$56,IF(((D661+E661)*C661)&lt;='Assumptions and Catalog'!$C$57,((D661+E661)*C661)*'Assumptions and Catalog'!$H$57+'Assumptions and Catalog'!$E$57+'Assumptions and Catalog'!$F$57,"Out of range")))))))),IF(((D661+E661)*C661)&lt;='Assumptions and Catalog'!$C$60,((D661+E661)*C661)*'Assumptions and Catalog'!$H$60+'Assumptions and Catalog'!$E$60+'Assumptions and Catalog'!$F$60,IF(((D661+E661)*C661)&lt;='Assumptions and Catalog'!$C$61,((D661+E661)*C661)*'Assumptions and Catalog'!$H$61+'Assumptions and Catalog'!$E$61+'Assumptions and Catalog'!$F$61,IF(((D661+E661)*C661)&lt;='Assumptions and Catalog'!$C$62,((D661+E661)*C661)*'Assumptions and Catalog'!$H$62+'Assumptions and Catalog'!$E$62+'Assumptions and Catalog'!$F$62,IF(((D661+E661)*C661)&lt;='Assumptions and Catalog'!$C$63,((D661+E661)*C661)*'Assumptions and Catalog'!$H$63+'Assumptions and Catalog'!$E$63+'Assumptions and Catalog'!$F$63,IF(((D661+E661)*C661)&lt;='Assumptions and Catalog'!$C$64,((D661+E661)*C661)*'Assumptions and Catalog'!$H$64+'Assumptions and Catalog'!$E$64+'Assumptions and Catalog'!$F$64,IF(((D661+E661)*C661)&lt;='Assumptions and Catalog'!$C$65,((D661+E661)*C661)*'Assumptions and Catalog'!$H$65+'Assumptions and Catalog'!$E$65+'Assumptions and Catalog'!$F$65,"Out of range")))))))))*(1+'Assumptions and Catalog'!$C$8)^(A661-1),0)</f>
        <v>8554.9666666666672</v>
      </c>
      <c r="N661" s="5">
        <f>IF(ISNUMBER(Inputs!$L$5),(IF(Inputs!$L$9="Actual flat rate",L661*Inputs!$L$10,IF(Inputs!$C$9="Residential",IF(L661&lt;='Assumptions and Catalog'!$C$50,L661*'Assumptions and Catalog'!$H$50+'Assumptions and Catalog'!$E$50+'Assumptions and Catalog'!$F$50,IF(L661&lt;='Assumptions and Catalog'!$C$51,L661*'Assumptions and Catalog'!$H$51+'Assumptions and Catalog'!$E$51+'Assumptions and Catalog'!$F$51,IF(L661&lt;='Assumptions and Catalog'!$C$52,L661*'Assumptions and Catalog'!$H$52+'Assumptions and Catalog'!$E$52+'Assumptions and Catalog'!$F$52,IF(L661&lt;='Assumptions and Catalog'!$C$53,L661*'Assumptions and Catalog'!$H$53+'Assumptions and Catalog'!$E$53+'Assumptions and Catalog'!$F$53,IF(L661&lt;='Assumptions and Catalog'!$C$54,L661*'Assumptions and Catalog'!$H$54+'Assumptions and Catalog'!$E$54+'Assumptions and Catalog'!$F$54,IF(L661&lt;='Assumptions and Catalog'!$C$55,L661*'Assumptions and Catalog'!$H$55+'Assumptions and Catalog'!$E$55+'Assumptions and Catalog'!$F$55,IF(L661&lt;='Assumptions and Catalog'!$C$56,L661*'Assumptions and Catalog'!$H$56+'Assumptions and Catalog'!$E$56+'Assumptions and Catalog'!$F$56,IF(L661&lt;='Assumptions and Catalog'!$C$57,L661*'Assumptions and Catalog'!$H$57+'Assumptions and Catalog'!$E$57+'Assumptions and Catalog'!$F$57,"Out of range")))))))),IF(L661&lt;='Assumptions and Catalog'!$C$60,L661*'Assumptions and Catalog'!$H$60+'Assumptions and Catalog'!$E$60+'Assumptions and Catalog'!$F$60,IF(L661&lt;='Assumptions and Catalog'!$C$61,L661*'Assumptions and Catalog'!$H$61+'Assumptions and Catalog'!$E$61+'Assumptions and Catalog'!$F$61,IF(L661&lt;='Assumptions and Catalog'!$C$62,L661*'Assumptions and Catalog'!$H$62+'Assumptions and Catalog'!$E$62+'Assumptions and Catalog'!$F$62,IF(L661&lt;='Assumptions and Catalog'!$C$63,L661*'Assumptions and Catalog'!$H$63+'Assumptions and Catalog'!$E$63+'Assumptions and Catalog'!$F$63,IF(L661&lt;='Assumptions and Catalog'!$C$64,L661*'Assumptions and Catalog'!$H$64+'Assumptions and Catalog'!$E$64+'Assumptions and Catalog'!$F$64,IF(L661&lt;='Assumptions and Catalog'!$C$65,L661*'Assumptions and Catalog'!$H$65+'Assumptions and Catalog'!$E$65+'Assumptions and Catalog'!$F$65,"Out of range")))))))))*(1+'Assumptions and Catalog'!$C$8)^(A661-1),0)</f>
        <v>5651.3664560099132</v>
      </c>
      <c r="O661" s="5">
        <f t="shared" ref="O661:O724" si="51">M661-N661</f>
        <v>2903.6002106567539</v>
      </c>
      <c r="P661" s="5">
        <f>E$55*(1-L$14)*(1-'Assumptions and Catalog'!$C$23)^R661</f>
        <v>102.4</v>
      </c>
      <c r="Q661" s="5">
        <f>IF(ISNUMBER(Inputs!$L$5),(IF(Inputs!$L$9="Actual flat rate",((D661+E661)*C661-G661)*Inputs!$L$10,IF(Inputs!$C$9="Residential",IF(((D661+E661)*C661-G661)&lt;='Assumptions and Catalog'!$C$50,((D661+E661)*C661-G661)*'Assumptions and Catalog'!$H$50+'Assumptions and Catalog'!$E$50+'Assumptions and Catalog'!$F$50,IF(((D661+E661)*C661-G661)&lt;='Assumptions and Catalog'!$C$51,((D661+E661)*C661-G661)*'Assumptions and Catalog'!$H$51+'Assumptions and Catalog'!$E$51+'Assumptions and Catalog'!$F$51,IF(((D661+E661)*C661-G661)&lt;='Assumptions and Catalog'!$C$52,((D661+E661)*C661-G661)*'Assumptions and Catalog'!$H$52+'Assumptions and Catalog'!$E$52+'Assumptions and Catalog'!$F$52,IF(((D661+E661)*C661-G661)&lt;='Assumptions and Catalog'!$C$53,((D661+E661)*C661-G661)*'Assumptions and Catalog'!$H$53+'Assumptions and Catalog'!$E$53+'Assumptions and Catalog'!$F$53,IF(((D661+E661)*C661-G661)&lt;='Assumptions and Catalog'!$C$54,((D661+E661)*C661-G661)*'Assumptions and Catalog'!$H$54+'Assumptions and Catalog'!$E$54+'Assumptions and Catalog'!$F$54,IF(((D661+E661)*C661-G661)&lt;='Assumptions and Catalog'!$C$55,((D661+E661)*C661-G661)*'Assumptions and Catalog'!$H$55+'Assumptions and Catalog'!$E$55+'Assumptions and Catalog'!$F$55,IF(((D661+E661)*C661-G661)&lt;='Assumptions and Catalog'!$C$56,((D661+E661)*C661-G661)*'Assumptions and Catalog'!$H$56+'Assumptions and Catalog'!$E$56+'Assumptions and Catalog'!$F$56,IF(((D661+E661)*C661-G661)&lt;='Assumptions and Catalog'!$C$57,((D661+E661)*C661-G661)*'Assumptions and Catalog'!$H$57+'Assumptions and Catalog'!$E$57+'Assumptions and Catalog'!$F$57,"Out of range")))))))),IF(((D661+E661)*C661-G661)&lt;='Assumptions and Catalog'!$C$60,((D661+E661)*C661-G661)*'Assumptions and Catalog'!$H$60+'Assumptions and Catalog'!$E$60+'Assumptions and Catalog'!$F$60,IF(((D661+E661)*C661-G661)&lt;='Assumptions and Catalog'!$C$61,((D661+E661)*C661-G661)*'Assumptions and Catalog'!$H$61+'Assumptions and Catalog'!$E$61+'Assumptions and Catalog'!$F$61,IF(((D661+E661)*C661-G661)&lt;='Assumptions and Catalog'!$C$62,((D661+E661)*C661-G661)*'Assumptions and Catalog'!$H$62+'Assumptions and Catalog'!$E$62+'Assumptions and Catalog'!$F$62,IF(((D661+E661)*C661-G661)&lt;='Assumptions and Catalog'!$C$63,((D661+E661)*C661-G661)*'Assumptions and Catalog'!$H$63+'Assumptions and Catalog'!$E$63+'Assumptions and Catalog'!$F$63,IF(((D661+E661)*C661-G661)&lt;='Assumptions and Catalog'!$C$64,((D661+E661)*C661-G661)*'Assumptions and Catalog'!$H$64+'Assumptions and Catalog'!$E$64+'Assumptions and Catalog'!$F$64,IF(((D661+E661)*C661-G661)&lt;='Assumptions and Catalog'!$C$65,((D661+E661)*C661-G661)*'Assumptions and Catalog'!$H$65+'Assumptions and Catalog'!$E$65+'Assumptions and Catalog'!$F$65,"Out of range")))))))))*(1+'Assumptions and Catalog'!$C$8)^(A661-1),0)</f>
        <v>5651.3664560099132</v>
      </c>
      <c r="R661" s="5">
        <f>IF(AND('Assumptions and Catalog'!$C$19&gt;0,A661&gt;='Assumptions and Catalog'!$C$19),A661-'Assumptions and Catalog'!$C$19,A661-1)</f>
        <v>0</v>
      </c>
      <c r="S661" s="5">
        <f>F661+L661-(D661+E661)*C661-J661-K661-IF(E$52&gt;0,'Assumptions and Catalog'!$C$26*C661,0)</f>
        <v>0</v>
      </c>
      <c r="T661" s="5"/>
      <c r="U661" s="5"/>
    </row>
    <row r="662" spans="1:21" ht="23.1" customHeight="1" outlineLevel="1" x14ac:dyDescent="0.2">
      <c r="A662" s="5">
        <v>1</v>
      </c>
      <c r="B662" s="5">
        <v>2</v>
      </c>
      <c r="C662" s="5">
        <f>DAY(DATE('Assumptions and Catalog'!$C$24+A662-1,B662+1,0))</f>
        <v>28</v>
      </c>
      <c r="D662" s="5">
        <f>IF(ISNUMBER(Inputs!$L$5),Inputs!$L$5*Inputs!$L$6,0)</f>
        <v>40.35</v>
      </c>
      <c r="E662" s="5">
        <f>IF(ISNUMBER(Inputs!$L$5),Inputs!$L$5-D662,0)</f>
        <v>40.35</v>
      </c>
      <c r="F662" s="5">
        <f>E$51*'Assumptions and Catalog'!$C$31*C662*(1-'Assumptions and Catalog'!$C$10)^(A662-1)</f>
        <v>766.92000000000007</v>
      </c>
      <c r="G662" s="5">
        <f t="shared" si="48"/>
        <v>766.92000000000007</v>
      </c>
      <c r="H662" s="5">
        <f>I662/('Assumptions and Catalog'!$C$11*'Assumptions and Catalog'!$C$12)</f>
        <v>0</v>
      </c>
      <c r="I662" s="5">
        <f>MIN(E662*C662,P662*'Assumptions and Catalog'!$C$12*C662,(F662-G662)*'Assumptions and Catalog'!$C$11*'Assumptions and Catalog'!$C$12,E$56*'Assumptions and Catalog'!$C$14*'Assumptions and Catalog'!$C$11*'Assumptions and Catalog'!$C$12*C662,E$57*(24-'Assumptions and Catalog'!$C$13)*C662)</f>
        <v>0</v>
      </c>
      <c r="J662" s="5">
        <f t="shared" si="49"/>
        <v>0</v>
      </c>
      <c r="K662" s="5">
        <f t="shared" si="50"/>
        <v>0</v>
      </c>
      <c r="L662" s="5">
        <f>(D662+E662)*C662-G662-I662+0+IF(E$52&gt;0,'Assumptions and Catalog'!$C$26*C662,0)</f>
        <v>1492.6799999999998</v>
      </c>
      <c r="M662" s="5">
        <f>IF(ISNUMBER(Inputs!$L$5),(IF(Inputs!$L$9="Actual flat rate",((D662+E662)*C662)*Inputs!$L$10,IF(Inputs!$C$9="Residential",IF(((D662+E662)*C662)&lt;='Assumptions and Catalog'!$C$50,((D662+E662)*C662)*'Assumptions and Catalog'!$H$50+'Assumptions and Catalog'!$E$50+'Assumptions and Catalog'!$F$50,IF(((D662+E662)*C662)&lt;='Assumptions and Catalog'!$C$51,((D662+E662)*C662)*'Assumptions and Catalog'!$H$51+'Assumptions and Catalog'!$E$51+'Assumptions and Catalog'!$F$51,IF(((D662+E662)*C662)&lt;='Assumptions and Catalog'!$C$52,((D662+E662)*C662)*'Assumptions and Catalog'!$H$52+'Assumptions and Catalog'!$E$52+'Assumptions and Catalog'!$F$52,IF(((D662+E662)*C662)&lt;='Assumptions and Catalog'!$C$53,((D662+E662)*C662)*'Assumptions and Catalog'!$H$53+'Assumptions and Catalog'!$E$53+'Assumptions and Catalog'!$F$53,IF(((D662+E662)*C662)&lt;='Assumptions and Catalog'!$C$54,((D662+E662)*C662)*'Assumptions and Catalog'!$H$54+'Assumptions and Catalog'!$E$54+'Assumptions and Catalog'!$F$54,IF(((D662+E662)*C662)&lt;='Assumptions and Catalog'!$C$55,((D662+E662)*C662)*'Assumptions and Catalog'!$H$55+'Assumptions and Catalog'!$E$55+'Assumptions and Catalog'!$F$55,IF(((D662+E662)*C662)&lt;='Assumptions and Catalog'!$C$56,((D662+E662)*C662)*'Assumptions and Catalog'!$H$56+'Assumptions and Catalog'!$E$56+'Assumptions and Catalog'!$F$56,IF(((D662+E662)*C662)&lt;='Assumptions and Catalog'!$C$57,((D662+E662)*C662)*'Assumptions and Catalog'!$H$57+'Assumptions and Catalog'!$E$57+'Assumptions and Catalog'!$F$57,"Out of range")))))))),IF(((D662+E662)*C662)&lt;='Assumptions and Catalog'!$C$60,((D662+E662)*C662)*'Assumptions and Catalog'!$H$60+'Assumptions and Catalog'!$E$60+'Assumptions and Catalog'!$F$60,IF(((D662+E662)*C662)&lt;='Assumptions and Catalog'!$C$61,((D662+E662)*C662)*'Assumptions and Catalog'!$H$61+'Assumptions and Catalog'!$E$61+'Assumptions and Catalog'!$F$61,IF(((D662+E662)*C662)&lt;='Assumptions and Catalog'!$C$62,((D662+E662)*C662)*'Assumptions and Catalog'!$H$62+'Assumptions and Catalog'!$E$62+'Assumptions and Catalog'!$F$62,IF(((D662+E662)*C662)&lt;='Assumptions and Catalog'!$C$63,((D662+E662)*C662)*'Assumptions and Catalog'!$H$63+'Assumptions and Catalog'!$E$63+'Assumptions and Catalog'!$F$63,IF(((D662+E662)*C662)&lt;='Assumptions and Catalog'!$C$64,((D662+E662)*C662)*'Assumptions and Catalog'!$H$64+'Assumptions and Catalog'!$E$64+'Assumptions and Catalog'!$F$64,IF(((D662+E662)*C662)&lt;='Assumptions and Catalog'!$C$65,((D662+E662)*C662)*'Assumptions and Catalog'!$H$65+'Assumptions and Catalog'!$E$65+'Assumptions and Catalog'!$F$65,"Out of range")))))))))*(1+'Assumptions and Catalog'!$C$8)^(A662-1),0)</f>
        <v>7727.0666666666657</v>
      </c>
      <c r="N662" s="5">
        <f>IF(ISNUMBER(Inputs!$L$5),(IF(Inputs!$L$9="Actual flat rate",L662*Inputs!$L$10,IF(Inputs!$C$9="Residential",IF(L662&lt;='Assumptions and Catalog'!$C$50,L662*'Assumptions and Catalog'!$H$50+'Assumptions and Catalog'!$E$50+'Assumptions and Catalog'!$F$50,IF(L662&lt;='Assumptions and Catalog'!$C$51,L662*'Assumptions and Catalog'!$H$51+'Assumptions and Catalog'!$E$51+'Assumptions and Catalog'!$F$51,IF(L662&lt;='Assumptions and Catalog'!$C$52,L662*'Assumptions and Catalog'!$H$52+'Assumptions and Catalog'!$E$52+'Assumptions and Catalog'!$F$52,IF(L662&lt;='Assumptions and Catalog'!$C$53,L662*'Assumptions and Catalog'!$H$53+'Assumptions and Catalog'!$E$53+'Assumptions and Catalog'!$F$53,IF(L662&lt;='Assumptions and Catalog'!$C$54,L662*'Assumptions and Catalog'!$H$54+'Assumptions and Catalog'!$E$54+'Assumptions and Catalog'!$F$54,IF(L662&lt;='Assumptions and Catalog'!$C$55,L662*'Assumptions and Catalog'!$H$55+'Assumptions and Catalog'!$E$55+'Assumptions and Catalog'!$F$55,IF(L662&lt;='Assumptions and Catalog'!$C$56,L662*'Assumptions and Catalog'!$H$56+'Assumptions and Catalog'!$E$56+'Assumptions and Catalog'!$F$56,IF(L662&lt;='Assumptions and Catalog'!$C$57,L662*'Assumptions and Catalog'!$H$57+'Assumptions and Catalog'!$E$57+'Assumptions and Catalog'!$F$57,"Out of range")))))))),IF(L662&lt;='Assumptions and Catalog'!$C$60,L662*'Assumptions and Catalog'!$H$60+'Assumptions and Catalog'!$E$60+'Assumptions and Catalog'!$F$60,IF(L662&lt;='Assumptions and Catalog'!$C$61,L662*'Assumptions and Catalog'!$H$61+'Assumptions and Catalog'!$E$61+'Assumptions and Catalog'!$F$61,IF(L662&lt;='Assumptions and Catalog'!$C$62,L662*'Assumptions and Catalog'!$H$62+'Assumptions and Catalog'!$E$62+'Assumptions and Catalog'!$F$62,IF(L662&lt;='Assumptions and Catalog'!$C$63,L662*'Assumptions and Catalog'!$H$63+'Assumptions and Catalog'!$E$63+'Assumptions and Catalog'!$F$63,IF(L662&lt;='Assumptions and Catalog'!$C$64,L662*'Assumptions and Catalog'!$H$64+'Assumptions and Catalog'!$E$64+'Assumptions and Catalog'!$F$64,IF(L662&lt;='Assumptions and Catalog'!$C$65,L662*'Assumptions and Catalog'!$H$65+'Assumptions and Catalog'!$E$65+'Assumptions and Catalog'!$F$65,"Out of range")))))))))*(1+'Assumptions and Catalog'!$C$8)^(A662-1),0)</f>
        <v>5104.4600247831468</v>
      </c>
      <c r="O662" s="5">
        <f t="shared" si="51"/>
        <v>2622.6066418835189</v>
      </c>
      <c r="P662" s="5">
        <f>E$55*(1-L$14)*(1-'Assumptions and Catalog'!$C$23)^R662</f>
        <v>102.4</v>
      </c>
      <c r="Q662" s="5">
        <f>IF(ISNUMBER(Inputs!$L$5),(IF(Inputs!$L$9="Actual flat rate",((D662+E662)*C662-G662)*Inputs!$L$10,IF(Inputs!$C$9="Residential",IF(((D662+E662)*C662-G662)&lt;='Assumptions and Catalog'!$C$50,((D662+E662)*C662-G662)*'Assumptions and Catalog'!$H$50+'Assumptions and Catalog'!$E$50+'Assumptions and Catalog'!$F$50,IF(((D662+E662)*C662-G662)&lt;='Assumptions and Catalog'!$C$51,((D662+E662)*C662-G662)*'Assumptions and Catalog'!$H$51+'Assumptions and Catalog'!$E$51+'Assumptions and Catalog'!$F$51,IF(((D662+E662)*C662-G662)&lt;='Assumptions and Catalog'!$C$52,((D662+E662)*C662-G662)*'Assumptions and Catalog'!$H$52+'Assumptions and Catalog'!$E$52+'Assumptions and Catalog'!$F$52,IF(((D662+E662)*C662-G662)&lt;='Assumptions and Catalog'!$C$53,((D662+E662)*C662-G662)*'Assumptions and Catalog'!$H$53+'Assumptions and Catalog'!$E$53+'Assumptions and Catalog'!$F$53,IF(((D662+E662)*C662-G662)&lt;='Assumptions and Catalog'!$C$54,((D662+E662)*C662-G662)*'Assumptions and Catalog'!$H$54+'Assumptions and Catalog'!$E$54+'Assumptions and Catalog'!$F$54,IF(((D662+E662)*C662-G662)&lt;='Assumptions and Catalog'!$C$55,((D662+E662)*C662-G662)*'Assumptions and Catalog'!$H$55+'Assumptions and Catalog'!$E$55+'Assumptions and Catalog'!$F$55,IF(((D662+E662)*C662-G662)&lt;='Assumptions and Catalog'!$C$56,((D662+E662)*C662-G662)*'Assumptions and Catalog'!$H$56+'Assumptions and Catalog'!$E$56+'Assumptions and Catalog'!$F$56,IF(((D662+E662)*C662-G662)&lt;='Assumptions and Catalog'!$C$57,((D662+E662)*C662-G662)*'Assumptions and Catalog'!$H$57+'Assumptions and Catalog'!$E$57+'Assumptions and Catalog'!$F$57,"Out of range")))))))),IF(((D662+E662)*C662-G662)&lt;='Assumptions and Catalog'!$C$60,((D662+E662)*C662-G662)*'Assumptions and Catalog'!$H$60+'Assumptions and Catalog'!$E$60+'Assumptions and Catalog'!$F$60,IF(((D662+E662)*C662-G662)&lt;='Assumptions and Catalog'!$C$61,((D662+E662)*C662-G662)*'Assumptions and Catalog'!$H$61+'Assumptions and Catalog'!$E$61+'Assumptions and Catalog'!$F$61,IF(((D662+E662)*C662-G662)&lt;='Assumptions and Catalog'!$C$62,((D662+E662)*C662-G662)*'Assumptions and Catalog'!$H$62+'Assumptions and Catalog'!$E$62+'Assumptions and Catalog'!$F$62,IF(((D662+E662)*C662-G662)&lt;='Assumptions and Catalog'!$C$63,((D662+E662)*C662-G662)*'Assumptions and Catalog'!$H$63+'Assumptions and Catalog'!$E$63+'Assumptions and Catalog'!$F$63,IF(((D662+E662)*C662-G662)&lt;='Assumptions and Catalog'!$C$64,((D662+E662)*C662-G662)*'Assumptions and Catalog'!$H$64+'Assumptions and Catalog'!$E$64+'Assumptions and Catalog'!$F$64,IF(((D662+E662)*C662-G662)&lt;='Assumptions and Catalog'!$C$65,((D662+E662)*C662-G662)*'Assumptions and Catalog'!$H$65+'Assumptions and Catalog'!$E$65+'Assumptions and Catalog'!$F$65,"Out of range")))))))))*(1+'Assumptions and Catalog'!$C$8)^(A662-1),0)</f>
        <v>5104.4600247831468</v>
      </c>
      <c r="R662" s="5">
        <f>IF(AND('Assumptions and Catalog'!$C$19&gt;0,A662&gt;='Assumptions and Catalog'!$C$19),A662-'Assumptions and Catalog'!$C$19,A662-1)</f>
        <v>0</v>
      </c>
      <c r="S662" s="5">
        <f>F662+L662-(D662+E662)*C662-J662-K662-IF(E$52&gt;0,'Assumptions and Catalog'!$C$26*C662,0)</f>
        <v>0</v>
      </c>
      <c r="T662" s="5"/>
      <c r="U662" s="5"/>
    </row>
    <row r="663" spans="1:21" ht="23.1" customHeight="1" outlineLevel="1" x14ac:dyDescent="0.2">
      <c r="A663" s="5">
        <v>1</v>
      </c>
      <c r="B663" s="5">
        <v>3</v>
      </c>
      <c r="C663" s="5">
        <f>DAY(DATE('Assumptions and Catalog'!$C$24+A663-1,B663+1,0))</f>
        <v>31</v>
      </c>
      <c r="D663" s="5">
        <f>IF(ISNUMBER(Inputs!$L$5),Inputs!$L$5*Inputs!$L$6,0)</f>
        <v>40.35</v>
      </c>
      <c r="E663" s="5">
        <f>IF(ISNUMBER(Inputs!$L$5),Inputs!$L$5-D663,0)</f>
        <v>40.35</v>
      </c>
      <c r="F663" s="5">
        <f>E$51*'Assumptions and Catalog'!$C$31*C663*(1-'Assumptions and Catalog'!$C$10)^(A663-1)</f>
        <v>849.09</v>
      </c>
      <c r="G663" s="5">
        <f t="shared" si="48"/>
        <v>849.09</v>
      </c>
      <c r="H663" s="5">
        <f>I663/('Assumptions and Catalog'!$C$11*'Assumptions and Catalog'!$C$12)</f>
        <v>0</v>
      </c>
      <c r="I663" s="5">
        <f>MIN(E663*C663,P663*'Assumptions and Catalog'!$C$12*C663,(F663-G663)*'Assumptions and Catalog'!$C$11*'Assumptions and Catalog'!$C$12,E$56*'Assumptions and Catalog'!$C$14*'Assumptions and Catalog'!$C$11*'Assumptions and Catalog'!$C$12*C663,E$57*(24-'Assumptions and Catalog'!$C$13)*C663)</f>
        <v>0</v>
      </c>
      <c r="J663" s="5">
        <f t="shared" si="49"/>
        <v>0</v>
      </c>
      <c r="K663" s="5">
        <f t="shared" si="50"/>
        <v>0</v>
      </c>
      <c r="L663" s="5">
        <f>(D663+E663)*C663-G663-I663+0+IF(E$52&gt;0,'Assumptions and Catalog'!$C$26*C663,0)</f>
        <v>1652.6100000000001</v>
      </c>
      <c r="M663" s="5">
        <f>IF(ISNUMBER(Inputs!$L$5),(IF(Inputs!$L$9="Actual flat rate",((D663+E663)*C663)*Inputs!$L$10,IF(Inputs!$C$9="Residential",IF(((D663+E663)*C663)&lt;='Assumptions and Catalog'!$C$50,((D663+E663)*C663)*'Assumptions and Catalog'!$H$50+'Assumptions and Catalog'!$E$50+'Assumptions and Catalog'!$F$50,IF(((D663+E663)*C663)&lt;='Assumptions and Catalog'!$C$51,((D663+E663)*C663)*'Assumptions and Catalog'!$H$51+'Assumptions and Catalog'!$E$51+'Assumptions and Catalog'!$F$51,IF(((D663+E663)*C663)&lt;='Assumptions and Catalog'!$C$52,((D663+E663)*C663)*'Assumptions and Catalog'!$H$52+'Assumptions and Catalog'!$E$52+'Assumptions and Catalog'!$F$52,IF(((D663+E663)*C663)&lt;='Assumptions and Catalog'!$C$53,((D663+E663)*C663)*'Assumptions and Catalog'!$H$53+'Assumptions and Catalog'!$E$53+'Assumptions and Catalog'!$F$53,IF(((D663+E663)*C663)&lt;='Assumptions and Catalog'!$C$54,((D663+E663)*C663)*'Assumptions and Catalog'!$H$54+'Assumptions and Catalog'!$E$54+'Assumptions and Catalog'!$F$54,IF(((D663+E663)*C663)&lt;='Assumptions and Catalog'!$C$55,((D663+E663)*C663)*'Assumptions and Catalog'!$H$55+'Assumptions and Catalog'!$E$55+'Assumptions and Catalog'!$F$55,IF(((D663+E663)*C663)&lt;='Assumptions and Catalog'!$C$56,((D663+E663)*C663)*'Assumptions and Catalog'!$H$56+'Assumptions and Catalog'!$E$56+'Assumptions and Catalog'!$F$56,IF(((D663+E663)*C663)&lt;='Assumptions and Catalog'!$C$57,((D663+E663)*C663)*'Assumptions and Catalog'!$H$57+'Assumptions and Catalog'!$E$57+'Assumptions and Catalog'!$F$57,"Out of range")))))))),IF(((D663+E663)*C663)&lt;='Assumptions and Catalog'!$C$60,((D663+E663)*C663)*'Assumptions and Catalog'!$H$60+'Assumptions and Catalog'!$E$60+'Assumptions and Catalog'!$F$60,IF(((D663+E663)*C663)&lt;='Assumptions and Catalog'!$C$61,((D663+E663)*C663)*'Assumptions and Catalog'!$H$61+'Assumptions and Catalog'!$E$61+'Assumptions and Catalog'!$F$61,IF(((D663+E663)*C663)&lt;='Assumptions and Catalog'!$C$62,((D663+E663)*C663)*'Assumptions and Catalog'!$H$62+'Assumptions and Catalog'!$E$62+'Assumptions and Catalog'!$F$62,IF(((D663+E663)*C663)&lt;='Assumptions and Catalog'!$C$63,((D663+E663)*C663)*'Assumptions and Catalog'!$H$63+'Assumptions and Catalog'!$E$63+'Assumptions and Catalog'!$F$63,IF(((D663+E663)*C663)&lt;='Assumptions and Catalog'!$C$64,((D663+E663)*C663)*'Assumptions and Catalog'!$H$64+'Assumptions and Catalog'!$E$64+'Assumptions and Catalog'!$F$64,IF(((D663+E663)*C663)&lt;='Assumptions and Catalog'!$C$65,((D663+E663)*C663)*'Assumptions and Catalog'!$H$65+'Assumptions and Catalog'!$E$65+'Assumptions and Catalog'!$F$65,"Out of range")))))))))*(1+'Assumptions and Catalog'!$C$8)^(A663-1),0)</f>
        <v>8554.9666666666672</v>
      </c>
      <c r="N663" s="5">
        <f>IF(ISNUMBER(Inputs!$L$5),(IF(Inputs!$L$9="Actual flat rate",L663*Inputs!$L$10,IF(Inputs!$C$9="Residential",IF(L663&lt;='Assumptions and Catalog'!$C$50,L663*'Assumptions and Catalog'!$H$50+'Assumptions and Catalog'!$E$50+'Assumptions and Catalog'!$F$50,IF(L663&lt;='Assumptions and Catalog'!$C$51,L663*'Assumptions and Catalog'!$H$51+'Assumptions and Catalog'!$E$51+'Assumptions and Catalog'!$F$51,IF(L663&lt;='Assumptions and Catalog'!$C$52,L663*'Assumptions and Catalog'!$H$52+'Assumptions and Catalog'!$E$52+'Assumptions and Catalog'!$F$52,IF(L663&lt;='Assumptions and Catalog'!$C$53,L663*'Assumptions and Catalog'!$H$53+'Assumptions and Catalog'!$E$53+'Assumptions and Catalog'!$F$53,IF(L663&lt;='Assumptions and Catalog'!$C$54,L663*'Assumptions and Catalog'!$H$54+'Assumptions and Catalog'!$E$54+'Assumptions and Catalog'!$F$54,IF(L663&lt;='Assumptions and Catalog'!$C$55,L663*'Assumptions and Catalog'!$H$55+'Assumptions and Catalog'!$E$55+'Assumptions and Catalog'!$F$55,IF(L663&lt;='Assumptions and Catalog'!$C$56,L663*'Assumptions and Catalog'!$H$56+'Assumptions and Catalog'!$E$56+'Assumptions and Catalog'!$F$56,IF(L663&lt;='Assumptions and Catalog'!$C$57,L663*'Assumptions and Catalog'!$H$57+'Assumptions and Catalog'!$E$57+'Assumptions and Catalog'!$F$57,"Out of range")))))))),IF(L663&lt;='Assumptions and Catalog'!$C$60,L663*'Assumptions and Catalog'!$H$60+'Assumptions and Catalog'!$E$60+'Assumptions and Catalog'!$F$60,IF(L663&lt;='Assumptions and Catalog'!$C$61,L663*'Assumptions and Catalog'!$H$61+'Assumptions and Catalog'!$E$61+'Assumptions and Catalog'!$F$61,IF(L663&lt;='Assumptions and Catalog'!$C$62,L663*'Assumptions and Catalog'!$H$62+'Assumptions and Catalog'!$E$62+'Assumptions and Catalog'!$F$62,IF(L663&lt;='Assumptions and Catalog'!$C$63,L663*'Assumptions and Catalog'!$H$63+'Assumptions and Catalog'!$E$63+'Assumptions and Catalog'!$F$63,IF(L663&lt;='Assumptions and Catalog'!$C$64,L663*'Assumptions and Catalog'!$H$64+'Assumptions and Catalog'!$E$64+'Assumptions and Catalog'!$F$64,IF(L663&lt;='Assumptions and Catalog'!$C$65,L663*'Assumptions and Catalog'!$H$65+'Assumptions and Catalog'!$E$65+'Assumptions and Catalog'!$F$65,"Out of range")))))))))*(1+'Assumptions and Catalog'!$C$8)^(A663-1),0)</f>
        <v>5651.3664560099132</v>
      </c>
      <c r="O663" s="5">
        <f t="shared" si="51"/>
        <v>2903.6002106567539</v>
      </c>
      <c r="P663" s="5">
        <f>E$55*(1-L$14)*(1-'Assumptions and Catalog'!$C$23)^R663</f>
        <v>102.4</v>
      </c>
      <c r="Q663" s="5">
        <f>IF(ISNUMBER(Inputs!$L$5),(IF(Inputs!$L$9="Actual flat rate",((D663+E663)*C663-G663)*Inputs!$L$10,IF(Inputs!$C$9="Residential",IF(((D663+E663)*C663-G663)&lt;='Assumptions and Catalog'!$C$50,((D663+E663)*C663-G663)*'Assumptions and Catalog'!$H$50+'Assumptions and Catalog'!$E$50+'Assumptions and Catalog'!$F$50,IF(((D663+E663)*C663-G663)&lt;='Assumptions and Catalog'!$C$51,((D663+E663)*C663-G663)*'Assumptions and Catalog'!$H$51+'Assumptions and Catalog'!$E$51+'Assumptions and Catalog'!$F$51,IF(((D663+E663)*C663-G663)&lt;='Assumptions and Catalog'!$C$52,((D663+E663)*C663-G663)*'Assumptions and Catalog'!$H$52+'Assumptions and Catalog'!$E$52+'Assumptions and Catalog'!$F$52,IF(((D663+E663)*C663-G663)&lt;='Assumptions and Catalog'!$C$53,((D663+E663)*C663-G663)*'Assumptions and Catalog'!$H$53+'Assumptions and Catalog'!$E$53+'Assumptions and Catalog'!$F$53,IF(((D663+E663)*C663-G663)&lt;='Assumptions and Catalog'!$C$54,((D663+E663)*C663-G663)*'Assumptions and Catalog'!$H$54+'Assumptions and Catalog'!$E$54+'Assumptions and Catalog'!$F$54,IF(((D663+E663)*C663-G663)&lt;='Assumptions and Catalog'!$C$55,((D663+E663)*C663-G663)*'Assumptions and Catalog'!$H$55+'Assumptions and Catalog'!$E$55+'Assumptions and Catalog'!$F$55,IF(((D663+E663)*C663-G663)&lt;='Assumptions and Catalog'!$C$56,((D663+E663)*C663-G663)*'Assumptions and Catalog'!$H$56+'Assumptions and Catalog'!$E$56+'Assumptions and Catalog'!$F$56,IF(((D663+E663)*C663-G663)&lt;='Assumptions and Catalog'!$C$57,((D663+E663)*C663-G663)*'Assumptions and Catalog'!$H$57+'Assumptions and Catalog'!$E$57+'Assumptions and Catalog'!$F$57,"Out of range")))))))),IF(((D663+E663)*C663-G663)&lt;='Assumptions and Catalog'!$C$60,((D663+E663)*C663-G663)*'Assumptions and Catalog'!$H$60+'Assumptions and Catalog'!$E$60+'Assumptions and Catalog'!$F$60,IF(((D663+E663)*C663-G663)&lt;='Assumptions and Catalog'!$C$61,((D663+E663)*C663-G663)*'Assumptions and Catalog'!$H$61+'Assumptions and Catalog'!$E$61+'Assumptions and Catalog'!$F$61,IF(((D663+E663)*C663-G663)&lt;='Assumptions and Catalog'!$C$62,((D663+E663)*C663-G663)*'Assumptions and Catalog'!$H$62+'Assumptions and Catalog'!$E$62+'Assumptions and Catalog'!$F$62,IF(((D663+E663)*C663-G663)&lt;='Assumptions and Catalog'!$C$63,((D663+E663)*C663-G663)*'Assumptions and Catalog'!$H$63+'Assumptions and Catalog'!$E$63+'Assumptions and Catalog'!$F$63,IF(((D663+E663)*C663-G663)&lt;='Assumptions and Catalog'!$C$64,((D663+E663)*C663-G663)*'Assumptions and Catalog'!$H$64+'Assumptions and Catalog'!$E$64+'Assumptions and Catalog'!$F$64,IF(((D663+E663)*C663-G663)&lt;='Assumptions and Catalog'!$C$65,((D663+E663)*C663-G663)*'Assumptions and Catalog'!$H$65+'Assumptions and Catalog'!$E$65+'Assumptions and Catalog'!$F$65,"Out of range")))))))))*(1+'Assumptions and Catalog'!$C$8)^(A663-1),0)</f>
        <v>5651.3664560099132</v>
      </c>
      <c r="R663" s="5">
        <f>IF(AND('Assumptions and Catalog'!$C$19&gt;0,A663&gt;='Assumptions and Catalog'!$C$19),A663-'Assumptions and Catalog'!$C$19,A663-1)</f>
        <v>0</v>
      </c>
      <c r="S663" s="5">
        <f>F663+L663-(D663+E663)*C663-J663-K663-IF(E$52&gt;0,'Assumptions and Catalog'!$C$26*C663,0)</f>
        <v>0</v>
      </c>
      <c r="T663" s="5"/>
      <c r="U663" s="5"/>
    </row>
    <row r="664" spans="1:21" ht="23.1" customHeight="1" outlineLevel="1" x14ac:dyDescent="0.2">
      <c r="A664" s="5">
        <v>1</v>
      </c>
      <c r="B664" s="5">
        <v>4</v>
      </c>
      <c r="C664" s="5">
        <f>DAY(DATE('Assumptions and Catalog'!$C$24+A664-1,B664+1,0))</f>
        <v>30</v>
      </c>
      <c r="D664" s="5">
        <f>IF(ISNUMBER(Inputs!$L$5),Inputs!$L$5*Inputs!$L$6,0)</f>
        <v>40.35</v>
      </c>
      <c r="E664" s="5">
        <f>IF(ISNUMBER(Inputs!$L$5),Inputs!$L$5-D664,0)</f>
        <v>40.35</v>
      </c>
      <c r="F664" s="5">
        <f>E$51*'Assumptions and Catalog'!$C$31*C664*(1-'Assumptions and Catalog'!$C$10)^(A664-1)</f>
        <v>821.7</v>
      </c>
      <c r="G664" s="5">
        <f t="shared" si="48"/>
        <v>821.7</v>
      </c>
      <c r="H664" s="5">
        <f>I664/('Assumptions and Catalog'!$C$11*'Assumptions and Catalog'!$C$12)</f>
        <v>0</v>
      </c>
      <c r="I664" s="5">
        <f>MIN(E664*C664,P664*'Assumptions and Catalog'!$C$12*C664,(F664-G664)*'Assumptions and Catalog'!$C$11*'Assumptions and Catalog'!$C$12,E$56*'Assumptions and Catalog'!$C$14*'Assumptions and Catalog'!$C$11*'Assumptions and Catalog'!$C$12*C664,E$57*(24-'Assumptions and Catalog'!$C$13)*C664)</f>
        <v>0</v>
      </c>
      <c r="J664" s="5">
        <f t="shared" si="49"/>
        <v>0</v>
      </c>
      <c r="K664" s="5">
        <f t="shared" si="50"/>
        <v>0</v>
      </c>
      <c r="L664" s="5">
        <f>(D664+E664)*C664-G664-I664+0+IF(E$52&gt;0,'Assumptions and Catalog'!$C$26*C664,0)</f>
        <v>1599.3</v>
      </c>
      <c r="M664" s="5">
        <f>IF(ISNUMBER(Inputs!$L$5),(IF(Inputs!$L$9="Actual flat rate",((D664+E664)*C664)*Inputs!$L$10,IF(Inputs!$C$9="Residential",IF(((D664+E664)*C664)&lt;='Assumptions and Catalog'!$C$50,((D664+E664)*C664)*'Assumptions and Catalog'!$H$50+'Assumptions and Catalog'!$E$50+'Assumptions and Catalog'!$F$50,IF(((D664+E664)*C664)&lt;='Assumptions and Catalog'!$C$51,((D664+E664)*C664)*'Assumptions and Catalog'!$H$51+'Assumptions and Catalog'!$E$51+'Assumptions and Catalog'!$F$51,IF(((D664+E664)*C664)&lt;='Assumptions and Catalog'!$C$52,((D664+E664)*C664)*'Assumptions and Catalog'!$H$52+'Assumptions and Catalog'!$E$52+'Assumptions and Catalog'!$F$52,IF(((D664+E664)*C664)&lt;='Assumptions and Catalog'!$C$53,((D664+E664)*C664)*'Assumptions and Catalog'!$H$53+'Assumptions and Catalog'!$E$53+'Assumptions and Catalog'!$F$53,IF(((D664+E664)*C664)&lt;='Assumptions and Catalog'!$C$54,((D664+E664)*C664)*'Assumptions and Catalog'!$H$54+'Assumptions and Catalog'!$E$54+'Assumptions and Catalog'!$F$54,IF(((D664+E664)*C664)&lt;='Assumptions and Catalog'!$C$55,((D664+E664)*C664)*'Assumptions and Catalog'!$H$55+'Assumptions and Catalog'!$E$55+'Assumptions and Catalog'!$F$55,IF(((D664+E664)*C664)&lt;='Assumptions and Catalog'!$C$56,((D664+E664)*C664)*'Assumptions and Catalog'!$H$56+'Assumptions and Catalog'!$E$56+'Assumptions and Catalog'!$F$56,IF(((D664+E664)*C664)&lt;='Assumptions and Catalog'!$C$57,((D664+E664)*C664)*'Assumptions and Catalog'!$H$57+'Assumptions and Catalog'!$E$57+'Assumptions and Catalog'!$F$57,"Out of range")))))))),IF(((D664+E664)*C664)&lt;='Assumptions and Catalog'!$C$60,((D664+E664)*C664)*'Assumptions and Catalog'!$H$60+'Assumptions and Catalog'!$E$60+'Assumptions and Catalog'!$F$60,IF(((D664+E664)*C664)&lt;='Assumptions and Catalog'!$C$61,((D664+E664)*C664)*'Assumptions and Catalog'!$H$61+'Assumptions and Catalog'!$E$61+'Assumptions and Catalog'!$F$61,IF(((D664+E664)*C664)&lt;='Assumptions and Catalog'!$C$62,((D664+E664)*C664)*'Assumptions and Catalog'!$H$62+'Assumptions and Catalog'!$E$62+'Assumptions and Catalog'!$F$62,IF(((D664+E664)*C664)&lt;='Assumptions and Catalog'!$C$63,((D664+E664)*C664)*'Assumptions and Catalog'!$H$63+'Assumptions and Catalog'!$E$63+'Assumptions and Catalog'!$F$63,IF(((D664+E664)*C664)&lt;='Assumptions and Catalog'!$C$64,((D664+E664)*C664)*'Assumptions and Catalog'!$H$64+'Assumptions and Catalog'!$E$64+'Assumptions and Catalog'!$F$64,IF(((D664+E664)*C664)&lt;='Assumptions and Catalog'!$C$65,((D664+E664)*C664)*'Assumptions and Catalog'!$H$65+'Assumptions and Catalog'!$E$65+'Assumptions and Catalog'!$F$65,"Out of range")))))))))*(1+'Assumptions and Catalog'!$C$8)^(A664-1),0)</f>
        <v>8279</v>
      </c>
      <c r="N664" s="5">
        <f>IF(ISNUMBER(Inputs!$L$5),(IF(Inputs!$L$9="Actual flat rate",L664*Inputs!$L$10,IF(Inputs!$C$9="Residential",IF(L664&lt;='Assumptions and Catalog'!$C$50,L664*'Assumptions and Catalog'!$H$50+'Assumptions and Catalog'!$E$50+'Assumptions and Catalog'!$F$50,IF(L664&lt;='Assumptions and Catalog'!$C$51,L664*'Assumptions and Catalog'!$H$51+'Assumptions and Catalog'!$E$51+'Assumptions and Catalog'!$F$51,IF(L664&lt;='Assumptions and Catalog'!$C$52,L664*'Assumptions and Catalog'!$H$52+'Assumptions and Catalog'!$E$52+'Assumptions and Catalog'!$F$52,IF(L664&lt;='Assumptions and Catalog'!$C$53,L664*'Assumptions and Catalog'!$H$53+'Assumptions and Catalog'!$E$53+'Assumptions and Catalog'!$F$53,IF(L664&lt;='Assumptions and Catalog'!$C$54,L664*'Assumptions and Catalog'!$H$54+'Assumptions and Catalog'!$E$54+'Assumptions and Catalog'!$F$54,IF(L664&lt;='Assumptions and Catalog'!$C$55,L664*'Assumptions and Catalog'!$H$55+'Assumptions and Catalog'!$E$55+'Assumptions and Catalog'!$F$55,IF(L664&lt;='Assumptions and Catalog'!$C$56,L664*'Assumptions and Catalog'!$H$56+'Assumptions and Catalog'!$E$56+'Assumptions and Catalog'!$F$56,IF(L664&lt;='Assumptions and Catalog'!$C$57,L664*'Assumptions and Catalog'!$H$57+'Assumptions and Catalog'!$E$57+'Assumptions and Catalog'!$F$57,"Out of range")))))))),IF(L664&lt;='Assumptions and Catalog'!$C$60,L664*'Assumptions and Catalog'!$H$60+'Assumptions and Catalog'!$E$60+'Assumptions and Catalog'!$F$60,IF(L664&lt;='Assumptions and Catalog'!$C$61,L664*'Assumptions and Catalog'!$H$61+'Assumptions and Catalog'!$E$61+'Assumptions and Catalog'!$F$61,IF(L664&lt;='Assumptions and Catalog'!$C$62,L664*'Assumptions and Catalog'!$H$62+'Assumptions and Catalog'!$E$62+'Assumptions and Catalog'!$F$62,IF(L664&lt;='Assumptions and Catalog'!$C$63,L664*'Assumptions and Catalog'!$H$63+'Assumptions and Catalog'!$E$63+'Assumptions and Catalog'!$F$63,IF(L664&lt;='Assumptions and Catalog'!$C$64,L664*'Assumptions and Catalog'!$H$64+'Assumptions and Catalog'!$E$64+'Assumptions and Catalog'!$F$64,IF(L664&lt;='Assumptions and Catalog'!$C$65,L664*'Assumptions and Catalog'!$H$65+'Assumptions and Catalog'!$E$65+'Assumptions and Catalog'!$F$65,"Out of range")))))))))*(1+'Assumptions and Catalog'!$C$8)^(A664-1),0)</f>
        <v>5469.0643122676574</v>
      </c>
      <c r="O664" s="5">
        <f t="shared" si="51"/>
        <v>2809.9356877323426</v>
      </c>
      <c r="P664" s="5">
        <f>E$55*(1-L$14)*(1-'Assumptions and Catalog'!$C$23)^R664</f>
        <v>102.4</v>
      </c>
      <c r="Q664" s="5">
        <f>IF(ISNUMBER(Inputs!$L$5),(IF(Inputs!$L$9="Actual flat rate",((D664+E664)*C664-G664)*Inputs!$L$10,IF(Inputs!$C$9="Residential",IF(((D664+E664)*C664-G664)&lt;='Assumptions and Catalog'!$C$50,((D664+E664)*C664-G664)*'Assumptions and Catalog'!$H$50+'Assumptions and Catalog'!$E$50+'Assumptions and Catalog'!$F$50,IF(((D664+E664)*C664-G664)&lt;='Assumptions and Catalog'!$C$51,((D664+E664)*C664-G664)*'Assumptions and Catalog'!$H$51+'Assumptions and Catalog'!$E$51+'Assumptions and Catalog'!$F$51,IF(((D664+E664)*C664-G664)&lt;='Assumptions and Catalog'!$C$52,((D664+E664)*C664-G664)*'Assumptions and Catalog'!$H$52+'Assumptions and Catalog'!$E$52+'Assumptions and Catalog'!$F$52,IF(((D664+E664)*C664-G664)&lt;='Assumptions and Catalog'!$C$53,((D664+E664)*C664-G664)*'Assumptions and Catalog'!$H$53+'Assumptions and Catalog'!$E$53+'Assumptions and Catalog'!$F$53,IF(((D664+E664)*C664-G664)&lt;='Assumptions and Catalog'!$C$54,((D664+E664)*C664-G664)*'Assumptions and Catalog'!$H$54+'Assumptions and Catalog'!$E$54+'Assumptions and Catalog'!$F$54,IF(((D664+E664)*C664-G664)&lt;='Assumptions and Catalog'!$C$55,((D664+E664)*C664-G664)*'Assumptions and Catalog'!$H$55+'Assumptions and Catalog'!$E$55+'Assumptions and Catalog'!$F$55,IF(((D664+E664)*C664-G664)&lt;='Assumptions and Catalog'!$C$56,((D664+E664)*C664-G664)*'Assumptions and Catalog'!$H$56+'Assumptions and Catalog'!$E$56+'Assumptions and Catalog'!$F$56,IF(((D664+E664)*C664-G664)&lt;='Assumptions and Catalog'!$C$57,((D664+E664)*C664-G664)*'Assumptions and Catalog'!$H$57+'Assumptions and Catalog'!$E$57+'Assumptions and Catalog'!$F$57,"Out of range")))))))),IF(((D664+E664)*C664-G664)&lt;='Assumptions and Catalog'!$C$60,((D664+E664)*C664-G664)*'Assumptions and Catalog'!$H$60+'Assumptions and Catalog'!$E$60+'Assumptions and Catalog'!$F$60,IF(((D664+E664)*C664-G664)&lt;='Assumptions and Catalog'!$C$61,((D664+E664)*C664-G664)*'Assumptions and Catalog'!$H$61+'Assumptions and Catalog'!$E$61+'Assumptions and Catalog'!$F$61,IF(((D664+E664)*C664-G664)&lt;='Assumptions and Catalog'!$C$62,((D664+E664)*C664-G664)*'Assumptions and Catalog'!$H$62+'Assumptions and Catalog'!$E$62+'Assumptions and Catalog'!$F$62,IF(((D664+E664)*C664-G664)&lt;='Assumptions and Catalog'!$C$63,((D664+E664)*C664-G664)*'Assumptions and Catalog'!$H$63+'Assumptions and Catalog'!$E$63+'Assumptions and Catalog'!$F$63,IF(((D664+E664)*C664-G664)&lt;='Assumptions and Catalog'!$C$64,((D664+E664)*C664-G664)*'Assumptions and Catalog'!$H$64+'Assumptions and Catalog'!$E$64+'Assumptions and Catalog'!$F$64,IF(((D664+E664)*C664-G664)&lt;='Assumptions and Catalog'!$C$65,((D664+E664)*C664-G664)*'Assumptions and Catalog'!$H$65+'Assumptions and Catalog'!$E$65+'Assumptions and Catalog'!$F$65,"Out of range")))))))))*(1+'Assumptions and Catalog'!$C$8)^(A664-1),0)</f>
        <v>5469.0643122676574</v>
      </c>
      <c r="R664" s="5">
        <f>IF(AND('Assumptions and Catalog'!$C$19&gt;0,A664&gt;='Assumptions and Catalog'!$C$19),A664-'Assumptions and Catalog'!$C$19,A664-1)</f>
        <v>0</v>
      </c>
      <c r="S664" s="5">
        <f>F664+L664-(D664+E664)*C664-J664-K664-IF(E$52&gt;0,'Assumptions and Catalog'!$C$26*C664,0)</f>
        <v>0</v>
      </c>
      <c r="T664" s="5"/>
      <c r="U664" s="5"/>
    </row>
    <row r="665" spans="1:21" ht="23.1" customHeight="1" outlineLevel="1" x14ac:dyDescent="0.2">
      <c r="A665" s="5">
        <v>1</v>
      </c>
      <c r="B665" s="5">
        <v>5</v>
      </c>
      <c r="C665" s="5">
        <f>DAY(DATE('Assumptions and Catalog'!$C$24+A665-1,B665+1,0))</f>
        <v>31</v>
      </c>
      <c r="D665" s="5">
        <f>IF(ISNUMBER(Inputs!$L$5),Inputs!$L$5*Inputs!$L$6,0)</f>
        <v>40.35</v>
      </c>
      <c r="E665" s="5">
        <f>IF(ISNUMBER(Inputs!$L$5),Inputs!$L$5-D665,0)</f>
        <v>40.35</v>
      </c>
      <c r="F665" s="5">
        <f>E$51*'Assumptions and Catalog'!$C$31*C665*(1-'Assumptions and Catalog'!$C$10)^(A665-1)</f>
        <v>849.09</v>
      </c>
      <c r="G665" s="5">
        <f t="shared" si="48"/>
        <v>849.09</v>
      </c>
      <c r="H665" s="5">
        <f>I665/('Assumptions and Catalog'!$C$11*'Assumptions and Catalog'!$C$12)</f>
        <v>0</v>
      </c>
      <c r="I665" s="5">
        <f>MIN(E665*C665,P665*'Assumptions and Catalog'!$C$12*C665,(F665-G665)*'Assumptions and Catalog'!$C$11*'Assumptions and Catalog'!$C$12,E$56*'Assumptions and Catalog'!$C$14*'Assumptions and Catalog'!$C$11*'Assumptions and Catalog'!$C$12*C665,E$57*(24-'Assumptions and Catalog'!$C$13)*C665)</f>
        <v>0</v>
      </c>
      <c r="J665" s="5">
        <f t="shared" si="49"/>
        <v>0</v>
      </c>
      <c r="K665" s="5">
        <f t="shared" si="50"/>
        <v>0</v>
      </c>
      <c r="L665" s="5">
        <f>(D665+E665)*C665-G665-I665+0+IF(E$52&gt;0,'Assumptions and Catalog'!$C$26*C665,0)</f>
        <v>1652.6100000000001</v>
      </c>
      <c r="M665" s="5">
        <f>IF(ISNUMBER(Inputs!$L$5),(IF(Inputs!$L$9="Actual flat rate",((D665+E665)*C665)*Inputs!$L$10,IF(Inputs!$C$9="Residential",IF(((D665+E665)*C665)&lt;='Assumptions and Catalog'!$C$50,((D665+E665)*C665)*'Assumptions and Catalog'!$H$50+'Assumptions and Catalog'!$E$50+'Assumptions and Catalog'!$F$50,IF(((D665+E665)*C665)&lt;='Assumptions and Catalog'!$C$51,((D665+E665)*C665)*'Assumptions and Catalog'!$H$51+'Assumptions and Catalog'!$E$51+'Assumptions and Catalog'!$F$51,IF(((D665+E665)*C665)&lt;='Assumptions and Catalog'!$C$52,((D665+E665)*C665)*'Assumptions and Catalog'!$H$52+'Assumptions and Catalog'!$E$52+'Assumptions and Catalog'!$F$52,IF(((D665+E665)*C665)&lt;='Assumptions and Catalog'!$C$53,((D665+E665)*C665)*'Assumptions and Catalog'!$H$53+'Assumptions and Catalog'!$E$53+'Assumptions and Catalog'!$F$53,IF(((D665+E665)*C665)&lt;='Assumptions and Catalog'!$C$54,((D665+E665)*C665)*'Assumptions and Catalog'!$H$54+'Assumptions and Catalog'!$E$54+'Assumptions and Catalog'!$F$54,IF(((D665+E665)*C665)&lt;='Assumptions and Catalog'!$C$55,((D665+E665)*C665)*'Assumptions and Catalog'!$H$55+'Assumptions and Catalog'!$E$55+'Assumptions and Catalog'!$F$55,IF(((D665+E665)*C665)&lt;='Assumptions and Catalog'!$C$56,((D665+E665)*C665)*'Assumptions and Catalog'!$H$56+'Assumptions and Catalog'!$E$56+'Assumptions and Catalog'!$F$56,IF(((D665+E665)*C665)&lt;='Assumptions and Catalog'!$C$57,((D665+E665)*C665)*'Assumptions and Catalog'!$H$57+'Assumptions and Catalog'!$E$57+'Assumptions and Catalog'!$F$57,"Out of range")))))))),IF(((D665+E665)*C665)&lt;='Assumptions and Catalog'!$C$60,((D665+E665)*C665)*'Assumptions and Catalog'!$H$60+'Assumptions and Catalog'!$E$60+'Assumptions and Catalog'!$F$60,IF(((D665+E665)*C665)&lt;='Assumptions and Catalog'!$C$61,((D665+E665)*C665)*'Assumptions and Catalog'!$H$61+'Assumptions and Catalog'!$E$61+'Assumptions and Catalog'!$F$61,IF(((D665+E665)*C665)&lt;='Assumptions and Catalog'!$C$62,((D665+E665)*C665)*'Assumptions and Catalog'!$H$62+'Assumptions and Catalog'!$E$62+'Assumptions and Catalog'!$F$62,IF(((D665+E665)*C665)&lt;='Assumptions and Catalog'!$C$63,((D665+E665)*C665)*'Assumptions and Catalog'!$H$63+'Assumptions and Catalog'!$E$63+'Assumptions and Catalog'!$F$63,IF(((D665+E665)*C665)&lt;='Assumptions and Catalog'!$C$64,((D665+E665)*C665)*'Assumptions and Catalog'!$H$64+'Assumptions and Catalog'!$E$64+'Assumptions and Catalog'!$F$64,IF(((D665+E665)*C665)&lt;='Assumptions and Catalog'!$C$65,((D665+E665)*C665)*'Assumptions and Catalog'!$H$65+'Assumptions and Catalog'!$E$65+'Assumptions and Catalog'!$F$65,"Out of range")))))))))*(1+'Assumptions and Catalog'!$C$8)^(A665-1),0)</f>
        <v>8554.9666666666672</v>
      </c>
      <c r="N665" s="5">
        <f>IF(ISNUMBER(Inputs!$L$5),(IF(Inputs!$L$9="Actual flat rate",L665*Inputs!$L$10,IF(Inputs!$C$9="Residential",IF(L665&lt;='Assumptions and Catalog'!$C$50,L665*'Assumptions and Catalog'!$H$50+'Assumptions and Catalog'!$E$50+'Assumptions and Catalog'!$F$50,IF(L665&lt;='Assumptions and Catalog'!$C$51,L665*'Assumptions and Catalog'!$H$51+'Assumptions and Catalog'!$E$51+'Assumptions and Catalog'!$F$51,IF(L665&lt;='Assumptions and Catalog'!$C$52,L665*'Assumptions and Catalog'!$H$52+'Assumptions and Catalog'!$E$52+'Assumptions and Catalog'!$F$52,IF(L665&lt;='Assumptions and Catalog'!$C$53,L665*'Assumptions and Catalog'!$H$53+'Assumptions and Catalog'!$E$53+'Assumptions and Catalog'!$F$53,IF(L665&lt;='Assumptions and Catalog'!$C$54,L665*'Assumptions and Catalog'!$H$54+'Assumptions and Catalog'!$E$54+'Assumptions and Catalog'!$F$54,IF(L665&lt;='Assumptions and Catalog'!$C$55,L665*'Assumptions and Catalog'!$H$55+'Assumptions and Catalog'!$E$55+'Assumptions and Catalog'!$F$55,IF(L665&lt;='Assumptions and Catalog'!$C$56,L665*'Assumptions and Catalog'!$H$56+'Assumptions and Catalog'!$E$56+'Assumptions and Catalog'!$F$56,IF(L665&lt;='Assumptions and Catalog'!$C$57,L665*'Assumptions and Catalog'!$H$57+'Assumptions and Catalog'!$E$57+'Assumptions and Catalog'!$F$57,"Out of range")))))))),IF(L665&lt;='Assumptions and Catalog'!$C$60,L665*'Assumptions and Catalog'!$H$60+'Assumptions and Catalog'!$E$60+'Assumptions and Catalog'!$F$60,IF(L665&lt;='Assumptions and Catalog'!$C$61,L665*'Assumptions and Catalog'!$H$61+'Assumptions and Catalog'!$E$61+'Assumptions and Catalog'!$F$61,IF(L665&lt;='Assumptions and Catalog'!$C$62,L665*'Assumptions and Catalog'!$H$62+'Assumptions and Catalog'!$E$62+'Assumptions and Catalog'!$F$62,IF(L665&lt;='Assumptions and Catalog'!$C$63,L665*'Assumptions and Catalog'!$H$63+'Assumptions and Catalog'!$E$63+'Assumptions and Catalog'!$F$63,IF(L665&lt;='Assumptions and Catalog'!$C$64,L665*'Assumptions and Catalog'!$H$64+'Assumptions and Catalog'!$E$64+'Assumptions and Catalog'!$F$64,IF(L665&lt;='Assumptions and Catalog'!$C$65,L665*'Assumptions and Catalog'!$H$65+'Assumptions and Catalog'!$E$65+'Assumptions and Catalog'!$F$65,"Out of range")))))))))*(1+'Assumptions and Catalog'!$C$8)^(A665-1),0)</f>
        <v>5651.3664560099132</v>
      </c>
      <c r="O665" s="5">
        <f t="shared" si="51"/>
        <v>2903.6002106567539</v>
      </c>
      <c r="P665" s="5">
        <f>E$55*(1-L$14)*(1-'Assumptions and Catalog'!$C$23)^R665</f>
        <v>102.4</v>
      </c>
      <c r="Q665" s="5">
        <f>IF(ISNUMBER(Inputs!$L$5),(IF(Inputs!$L$9="Actual flat rate",((D665+E665)*C665-G665)*Inputs!$L$10,IF(Inputs!$C$9="Residential",IF(((D665+E665)*C665-G665)&lt;='Assumptions and Catalog'!$C$50,((D665+E665)*C665-G665)*'Assumptions and Catalog'!$H$50+'Assumptions and Catalog'!$E$50+'Assumptions and Catalog'!$F$50,IF(((D665+E665)*C665-G665)&lt;='Assumptions and Catalog'!$C$51,((D665+E665)*C665-G665)*'Assumptions and Catalog'!$H$51+'Assumptions and Catalog'!$E$51+'Assumptions and Catalog'!$F$51,IF(((D665+E665)*C665-G665)&lt;='Assumptions and Catalog'!$C$52,((D665+E665)*C665-G665)*'Assumptions and Catalog'!$H$52+'Assumptions and Catalog'!$E$52+'Assumptions and Catalog'!$F$52,IF(((D665+E665)*C665-G665)&lt;='Assumptions and Catalog'!$C$53,((D665+E665)*C665-G665)*'Assumptions and Catalog'!$H$53+'Assumptions and Catalog'!$E$53+'Assumptions and Catalog'!$F$53,IF(((D665+E665)*C665-G665)&lt;='Assumptions and Catalog'!$C$54,((D665+E665)*C665-G665)*'Assumptions and Catalog'!$H$54+'Assumptions and Catalog'!$E$54+'Assumptions and Catalog'!$F$54,IF(((D665+E665)*C665-G665)&lt;='Assumptions and Catalog'!$C$55,((D665+E665)*C665-G665)*'Assumptions and Catalog'!$H$55+'Assumptions and Catalog'!$E$55+'Assumptions and Catalog'!$F$55,IF(((D665+E665)*C665-G665)&lt;='Assumptions and Catalog'!$C$56,((D665+E665)*C665-G665)*'Assumptions and Catalog'!$H$56+'Assumptions and Catalog'!$E$56+'Assumptions and Catalog'!$F$56,IF(((D665+E665)*C665-G665)&lt;='Assumptions and Catalog'!$C$57,((D665+E665)*C665-G665)*'Assumptions and Catalog'!$H$57+'Assumptions and Catalog'!$E$57+'Assumptions and Catalog'!$F$57,"Out of range")))))))),IF(((D665+E665)*C665-G665)&lt;='Assumptions and Catalog'!$C$60,((D665+E665)*C665-G665)*'Assumptions and Catalog'!$H$60+'Assumptions and Catalog'!$E$60+'Assumptions and Catalog'!$F$60,IF(((D665+E665)*C665-G665)&lt;='Assumptions and Catalog'!$C$61,((D665+E665)*C665-G665)*'Assumptions and Catalog'!$H$61+'Assumptions and Catalog'!$E$61+'Assumptions and Catalog'!$F$61,IF(((D665+E665)*C665-G665)&lt;='Assumptions and Catalog'!$C$62,((D665+E665)*C665-G665)*'Assumptions and Catalog'!$H$62+'Assumptions and Catalog'!$E$62+'Assumptions and Catalog'!$F$62,IF(((D665+E665)*C665-G665)&lt;='Assumptions and Catalog'!$C$63,((D665+E665)*C665-G665)*'Assumptions and Catalog'!$H$63+'Assumptions and Catalog'!$E$63+'Assumptions and Catalog'!$F$63,IF(((D665+E665)*C665-G665)&lt;='Assumptions and Catalog'!$C$64,((D665+E665)*C665-G665)*'Assumptions and Catalog'!$H$64+'Assumptions and Catalog'!$E$64+'Assumptions and Catalog'!$F$64,IF(((D665+E665)*C665-G665)&lt;='Assumptions and Catalog'!$C$65,((D665+E665)*C665-G665)*'Assumptions and Catalog'!$H$65+'Assumptions and Catalog'!$E$65+'Assumptions and Catalog'!$F$65,"Out of range")))))))))*(1+'Assumptions and Catalog'!$C$8)^(A665-1),0)</f>
        <v>5651.3664560099132</v>
      </c>
      <c r="R665" s="5">
        <f>IF(AND('Assumptions and Catalog'!$C$19&gt;0,A665&gt;='Assumptions and Catalog'!$C$19),A665-'Assumptions and Catalog'!$C$19,A665-1)</f>
        <v>0</v>
      </c>
      <c r="S665" s="5">
        <f>F665+L665-(D665+E665)*C665-J665-K665-IF(E$52&gt;0,'Assumptions and Catalog'!$C$26*C665,0)</f>
        <v>0</v>
      </c>
      <c r="T665" s="5"/>
      <c r="U665" s="5"/>
    </row>
    <row r="666" spans="1:21" ht="23.1" customHeight="1" outlineLevel="1" x14ac:dyDescent="0.2">
      <c r="A666" s="5">
        <v>1</v>
      </c>
      <c r="B666" s="5">
        <v>6</v>
      </c>
      <c r="C666" s="5">
        <f>DAY(DATE('Assumptions and Catalog'!$C$24+A666-1,B666+1,0))</f>
        <v>30</v>
      </c>
      <c r="D666" s="5">
        <f>IF(ISNUMBER(Inputs!$L$5),Inputs!$L$5*Inputs!$L$6,0)</f>
        <v>40.35</v>
      </c>
      <c r="E666" s="5">
        <f>IF(ISNUMBER(Inputs!$L$5),Inputs!$L$5-D666,0)</f>
        <v>40.35</v>
      </c>
      <c r="F666" s="5">
        <f>E$51*'Assumptions and Catalog'!$C$31*C666*(1-'Assumptions and Catalog'!$C$10)^(A666-1)</f>
        <v>821.7</v>
      </c>
      <c r="G666" s="5">
        <f t="shared" si="48"/>
        <v>821.7</v>
      </c>
      <c r="H666" s="5">
        <f>I666/('Assumptions and Catalog'!$C$11*'Assumptions and Catalog'!$C$12)</f>
        <v>0</v>
      </c>
      <c r="I666" s="5">
        <f>MIN(E666*C666,P666*'Assumptions and Catalog'!$C$12*C666,(F666-G666)*'Assumptions and Catalog'!$C$11*'Assumptions and Catalog'!$C$12,E$56*'Assumptions and Catalog'!$C$14*'Assumptions and Catalog'!$C$11*'Assumptions and Catalog'!$C$12*C666,E$57*(24-'Assumptions and Catalog'!$C$13)*C666)</f>
        <v>0</v>
      </c>
      <c r="J666" s="5">
        <f t="shared" si="49"/>
        <v>0</v>
      </c>
      <c r="K666" s="5">
        <f t="shared" si="50"/>
        <v>0</v>
      </c>
      <c r="L666" s="5">
        <f>(D666+E666)*C666-G666-I666+0+IF(E$52&gt;0,'Assumptions and Catalog'!$C$26*C666,0)</f>
        <v>1599.3</v>
      </c>
      <c r="M666" s="5">
        <f>IF(ISNUMBER(Inputs!$L$5),(IF(Inputs!$L$9="Actual flat rate",((D666+E666)*C666)*Inputs!$L$10,IF(Inputs!$C$9="Residential",IF(((D666+E666)*C666)&lt;='Assumptions and Catalog'!$C$50,((D666+E666)*C666)*'Assumptions and Catalog'!$H$50+'Assumptions and Catalog'!$E$50+'Assumptions and Catalog'!$F$50,IF(((D666+E666)*C666)&lt;='Assumptions and Catalog'!$C$51,((D666+E666)*C666)*'Assumptions and Catalog'!$H$51+'Assumptions and Catalog'!$E$51+'Assumptions and Catalog'!$F$51,IF(((D666+E666)*C666)&lt;='Assumptions and Catalog'!$C$52,((D666+E666)*C666)*'Assumptions and Catalog'!$H$52+'Assumptions and Catalog'!$E$52+'Assumptions and Catalog'!$F$52,IF(((D666+E666)*C666)&lt;='Assumptions and Catalog'!$C$53,((D666+E666)*C666)*'Assumptions and Catalog'!$H$53+'Assumptions and Catalog'!$E$53+'Assumptions and Catalog'!$F$53,IF(((D666+E666)*C666)&lt;='Assumptions and Catalog'!$C$54,((D666+E666)*C666)*'Assumptions and Catalog'!$H$54+'Assumptions and Catalog'!$E$54+'Assumptions and Catalog'!$F$54,IF(((D666+E666)*C666)&lt;='Assumptions and Catalog'!$C$55,((D666+E666)*C666)*'Assumptions and Catalog'!$H$55+'Assumptions and Catalog'!$E$55+'Assumptions and Catalog'!$F$55,IF(((D666+E666)*C666)&lt;='Assumptions and Catalog'!$C$56,((D666+E666)*C666)*'Assumptions and Catalog'!$H$56+'Assumptions and Catalog'!$E$56+'Assumptions and Catalog'!$F$56,IF(((D666+E666)*C666)&lt;='Assumptions and Catalog'!$C$57,((D666+E666)*C666)*'Assumptions and Catalog'!$H$57+'Assumptions and Catalog'!$E$57+'Assumptions and Catalog'!$F$57,"Out of range")))))))),IF(((D666+E666)*C666)&lt;='Assumptions and Catalog'!$C$60,((D666+E666)*C666)*'Assumptions and Catalog'!$H$60+'Assumptions and Catalog'!$E$60+'Assumptions and Catalog'!$F$60,IF(((D666+E666)*C666)&lt;='Assumptions and Catalog'!$C$61,((D666+E666)*C666)*'Assumptions and Catalog'!$H$61+'Assumptions and Catalog'!$E$61+'Assumptions and Catalog'!$F$61,IF(((D666+E666)*C666)&lt;='Assumptions and Catalog'!$C$62,((D666+E666)*C666)*'Assumptions and Catalog'!$H$62+'Assumptions and Catalog'!$E$62+'Assumptions and Catalog'!$F$62,IF(((D666+E666)*C666)&lt;='Assumptions and Catalog'!$C$63,((D666+E666)*C666)*'Assumptions and Catalog'!$H$63+'Assumptions and Catalog'!$E$63+'Assumptions and Catalog'!$F$63,IF(((D666+E666)*C666)&lt;='Assumptions and Catalog'!$C$64,((D666+E666)*C666)*'Assumptions and Catalog'!$H$64+'Assumptions and Catalog'!$E$64+'Assumptions and Catalog'!$F$64,IF(((D666+E666)*C666)&lt;='Assumptions and Catalog'!$C$65,((D666+E666)*C666)*'Assumptions and Catalog'!$H$65+'Assumptions and Catalog'!$E$65+'Assumptions and Catalog'!$F$65,"Out of range")))))))))*(1+'Assumptions and Catalog'!$C$8)^(A666-1),0)</f>
        <v>8279</v>
      </c>
      <c r="N666" s="5">
        <f>IF(ISNUMBER(Inputs!$L$5),(IF(Inputs!$L$9="Actual flat rate",L666*Inputs!$L$10,IF(Inputs!$C$9="Residential",IF(L666&lt;='Assumptions and Catalog'!$C$50,L666*'Assumptions and Catalog'!$H$50+'Assumptions and Catalog'!$E$50+'Assumptions and Catalog'!$F$50,IF(L666&lt;='Assumptions and Catalog'!$C$51,L666*'Assumptions and Catalog'!$H$51+'Assumptions and Catalog'!$E$51+'Assumptions and Catalog'!$F$51,IF(L666&lt;='Assumptions and Catalog'!$C$52,L666*'Assumptions and Catalog'!$H$52+'Assumptions and Catalog'!$E$52+'Assumptions and Catalog'!$F$52,IF(L666&lt;='Assumptions and Catalog'!$C$53,L666*'Assumptions and Catalog'!$H$53+'Assumptions and Catalog'!$E$53+'Assumptions and Catalog'!$F$53,IF(L666&lt;='Assumptions and Catalog'!$C$54,L666*'Assumptions and Catalog'!$H$54+'Assumptions and Catalog'!$E$54+'Assumptions and Catalog'!$F$54,IF(L666&lt;='Assumptions and Catalog'!$C$55,L666*'Assumptions and Catalog'!$H$55+'Assumptions and Catalog'!$E$55+'Assumptions and Catalog'!$F$55,IF(L666&lt;='Assumptions and Catalog'!$C$56,L666*'Assumptions and Catalog'!$H$56+'Assumptions and Catalog'!$E$56+'Assumptions and Catalog'!$F$56,IF(L666&lt;='Assumptions and Catalog'!$C$57,L666*'Assumptions and Catalog'!$H$57+'Assumptions and Catalog'!$E$57+'Assumptions and Catalog'!$F$57,"Out of range")))))))),IF(L666&lt;='Assumptions and Catalog'!$C$60,L666*'Assumptions and Catalog'!$H$60+'Assumptions and Catalog'!$E$60+'Assumptions and Catalog'!$F$60,IF(L666&lt;='Assumptions and Catalog'!$C$61,L666*'Assumptions and Catalog'!$H$61+'Assumptions and Catalog'!$E$61+'Assumptions and Catalog'!$F$61,IF(L666&lt;='Assumptions and Catalog'!$C$62,L666*'Assumptions and Catalog'!$H$62+'Assumptions and Catalog'!$E$62+'Assumptions and Catalog'!$F$62,IF(L666&lt;='Assumptions and Catalog'!$C$63,L666*'Assumptions and Catalog'!$H$63+'Assumptions and Catalog'!$E$63+'Assumptions and Catalog'!$F$63,IF(L666&lt;='Assumptions and Catalog'!$C$64,L666*'Assumptions and Catalog'!$H$64+'Assumptions and Catalog'!$E$64+'Assumptions and Catalog'!$F$64,IF(L666&lt;='Assumptions and Catalog'!$C$65,L666*'Assumptions and Catalog'!$H$65+'Assumptions and Catalog'!$E$65+'Assumptions and Catalog'!$F$65,"Out of range")))))))))*(1+'Assumptions and Catalog'!$C$8)^(A666-1),0)</f>
        <v>5469.0643122676574</v>
      </c>
      <c r="O666" s="5">
        <f t="shared" si="51"/>
        <v>2809.9356877323426</v>
      </c>
      <c r="P666" s="5">
        <f>E$55*(1-L$14)*(1-'Assumptions and Catalog'!$C$23)^R666</f>
        <v>102.4</v>
      </c>
      <c r="Q666" s="5">
        <f>IF(ISNUMBER(Inputs!$L$5),(IF(Inputs!$L$9="Actual flat rate",((D666+E666)*C666-G666)*Inputs!$L$10,IF(Inputs!$C$9="Residential",IF(((D666+E666)*C666-G666)&lt;='Assumptions and Catalog'!$C$50,((D666+E666)*C666-G666)*'Assumptions and Catalog'!$H$50+'Assumptions and Catalog'!$E$50+'Assumptions and Catalog'!$F$50,IF(((D666+E666)*C666-G666)&lt;='Assumptions and Catalog'!$C$51,((D666+E666)*C666-G666)*'Assumptions and Catalog'!$H$51+'Assumptions and Catalog'!$E$51+'Assumptions and Catalog'!$F$51,IF(((D666+E666)*C666-G666)&lt;='Assumptions and Catalog'!$C$52,((D666+E666)*C666-G666)*'Assumptions and Catalog'!$H$52+'Assumptions and Catalog'!$E$52+'Assumptions and Catalog'!$F$52,IF(((D666+E666)*C666-G666)&lt;='Assumptions and Catalog'!$C$53,((D666+E666)*C666-G666)*'Assumptions and Catalog'!$H$53+'Assumptions and Catalog'!$E$53+'Assumptions and Catalog'!$F$53,IF(((D666+E666)*C666-G666)&lt;='Assumptions and Catalog'!$C$54,((D666+E666)*C666-G666)*'Assumptions and Catalog'!$H$54+'Assumptions and Catalog'!$E$54+'Assumptions and Catalog'!$F$54,IF(((D666+E666)*C666-G666)&lt;='Assumptions and Catalog'!$C$55,((D666+E666)*C666-G666)*'Assumptions and Catalog'!$H$55+'Assumptions and Catalog'!$E$55+'Assumptions and Catalog'!$F$55,IF(((D666+E666)*C666-G666)&lt;='Assumptions and Catalog'!$C$56,((D666+E666)*C666-G666)*'Assumptions and Catalog'!$H$56+'Assumptions and Catalog'!$E$56+'Assumptions and Catalog'!$F$56,IF(((D666+E666)*C666-G666)&lt;='Assumptions and Catalog'!$C$57,((D666+E666)*C666-G666)*'Assumptions and Catalog'!$H$57+'Assumptions and Catalog'!$E$57+'Assumptions and Catalog'!$F$57,"Out of range")))))))),IF(((D666+E666)*C666-G666)&lt;='Assumptions and Catalog'!$C$60,((D666+E666)*C666-G666)*'Assumptions and Catalog'!$H$60+'Assumptions and Catalog'!$E$60+'Assumptions and Catalog'!$F$60,IF(((D666+E666)*C666-G666)&lt;='Assumptions and Catalog'!$C$61,((D666+E666)*C666-G666)*'Assumptions and Catalog'!$H$61+'Assumptions and Catalog'!$E$61+'Assumptions and Catalog'!$F$61,IF(((D666+E666)*C666-G666)&lt;='Assumptions and Catalog'!$C$62,((D666+E666)*C666-G666)*'Assumptions and Catalog'!$H$62+'Assumptions and Catalog'!$E$62+'Assumptions and Catalog'!$F$62,IF(((D666+E666)*C666-G666)&lt;='Assumptions and Catalog'!$C$63,((D666+E666)*C666-G666)*'Assumptions and Catalog'!$H$63+'Assumptions and Catalog'!$E$63+'Assumptions and Catalog'!$F$63,IF(((D666+E666)*C666-G666)&lt;='Assumptions and Catalog'!$C$64,((D666+E666)*C666-G666)*'Assumptions and Catalog'!$H$64+'Assumptions and Catalog'!$E$64+'Assumptions and Catalog'!$F$64,IF(((D666+E666)*C666-G666)&lt;='Assumptions and Catalog'!$C$65,((D666+E666)*C666-G666)*'Assumptions and Catalog'!$H$65+'Assumptions and Catalog'!$E$65+'Assumptions and Catalog'!$F$65,"Out of range")))))))))*(1+'Assumptions and Catalog'!$C$8)^(A666-1),0)</f>
        <v>5469.0643122676574</v>
      </c>
      <c r="R666" s="5">
        <f>IF(AND('Assumptions and Catalog'!$C$19&gt;0,A666&gt;='Assumptions and Catalog'!$C$19),A666-'Assumptions and Catalog'!$C$19,A666-1)</f>
        <v>0</v>
      </c>
      <c r="S666" s="5">
        <f>F666+L666-(D666+E666)*C666-J666-K666-IF(E$52&gt;0,'Assumptions and Catalog'!$C$26*C666,0)</f>
        <v>0</v>
      </c>
      <c r="T666" s="5"/>
      <c r="U666" s="5"/>
    </row>
    <row r="667" spans="1:21" ht="23.1" customHeight="1" outlineLevel="1" x14ac:dyDescent="0.2">
      <c r="A667" s="5">
        <v>1</v>
      </c>
      <c r="B667" s="5">
        <v>7</v>
      </c>
      <c r="C667" s="5">
        <f>DAY(DATE('Assumptions and Catalog'!$C$24+A667-1,B667+1,0))</f>
        <v>31</v>
      </c>
      <c r="D667" s="5">
        <f>IF(ISNUMBER(Inputs!$L$5),Inputs!$L$5*Inputs!$L$6,0)</f>
        <v>40.35</v>
      </c>
      <c r="E667" s="5">
        <f>IF(ISNUMBER(Inputs!$L$5),Inputs!$L$5-D667,0)</f>
        <v>40.35</v>
      </c>
      <c r="F667" s="5">
        <f>E$51*'Assumptions and Catalog'!$C$31*C667*(1-'Assumptions and Catalog'!$C$10)^(A667-1)</f>
        <v>849.09</v>
      </c>
      <c r="G667" s="5">
        <f t="shared" si="48"/>
        <v>849.09</v>
      </c>
      <c r="H667" s="5">
        <f>I667/('Assumptions and Catalog'!$C$11*'Assumptions and Catalog'!$C$12)</f>
        <v>0</v>
      </c>
      <c r="I667" s="5">
        <f>MIN(E667*C667,P667*'Assumptions and Catalog'!$C$12*C667,(F667-G667)*'Assumptions and Catalog'!$C$11*'Assumptions and Catalog'!$C$12,E$56*'Assumptions and Catalog'!$C$14*'Assumptions and Catalog'!$C$11*'Assumptions and Catalog'!$C$12*C667,E$57*(24-'Assumptions and Catalog'!$C$13)*C667)</f>
        <v>0</v>
      </c>
      <c r="J667" s="5">
        <f t="shared" si="49"/>
        <v>0</v>
      </c>
      <c r="K667" s="5">
        <f t="shared" si="50"/>
        <v>0</v>
      </c>
      <c r="L667" s="5">
        <f>(D667+E667)*C667-G667-I667+0+IF(E$52&gt;0,'Assumptions and Catalog'!$C$26*C667,0)</f>
        <v>1652.6100000000001</v>
      </c>
      <c r="M667" s="5">
        <f>IF(ISNUMBER(Inputs!$L$5),(IF(Inputs!$L$9="Actual flat rate",((D667+E667)*C667)*Inputs!$L$10,IF(Inputs!$C$9="Residential",IF(((D667+E667)*C667)&lt;='Assumptions and Catalog'!$C$50,((D667+E667)*C667)*'Assumptions and Catalog'!$H$50+'Assumptions and Catalog'!$E$50+'Assumptions and Catalog'!$F$50,IF(((D667+E667)*C667)&lt;='Assumptions and Catalog'!$C$51,((D667+E667)*C667)*'Assumptions and Catalog'!$H$51+'Assumptions and Catalog'!$E$51+'Assumptions and Catalog'!$F$51,IF(((D667+E667)*C667)&lt;='Assumptions and Catalog'!$C$52,((D667+E667)*C667)*'Assumptions and Catalog'!$H$52+'Assumptions and Catalog'!$E$52+'Assumptions and Catalog'!$F$52,IF(((D667+E667)*C667)&lt;='Assumptions and Catalog'!$C$53,((D667+E667)*C667)*'Assumptions and Catalog'!$H$53+'Assumptions and Catalog'!$E$53+'Assumptions and Catalog'!$F$53,IF(((D667+E667)*C667)&lt;='Assumptions and Catalog'!$C$54,((D667+E667)*C667)*'Assumptions and Catalog'!$H$54+'Assumptions and Catalog'!$E$54+'Assumptions and Catalog'!$F$54,IF(((D667+E667)*C667)&lt;='Assumptions and Catalog'!$C$55,((D667+E667)*C667)*'Assumptions and Catalog'!$H$55+'Assumptions and Catalog'!$E$55+'Assumptions and Catalog'!$F$55,IF(((D667+E667)*C667)&lt;='Assumptions and Catalog'!$C$56,((D667+E667)*C667)*'Assumptions and Catalog'!$H$56+'Assumptions and Catalog'!$E$56+'Assumptions and Catalog'!$F$56,IF(((D667+E667)*C667)&lt;='Assumptions and Catalog'!$C$57,((D667+E667)*C667)*'Assumptions and Catalog'!$H$57+'Assumptions and Catalog'!$E$57+'Assumptions and Catalog'!$F$57,"Out of range")))))))),IF(((D667+E667)*C667)&lt;='Assumptions and Catalog'!$C$60,((D667+E667)*C667)*'Assumptions and Catalog'!$H$60+'Assumptions and Catalog'!$E$60+'Assumptions and Catalog'!$F$60,IF(((D667+E667)*C667)&lt;='Assumptions and Catalog'!$C$61,((D667+E667)*C667)*'Assumptions and Catalog'!$H$61+'Assumptions and Catalog'!$E$61+'Assumptions and Catalog'!$F$61,IF(((D667+E667)*C667)&lt;='Assumptions and Catalog'!$C$62,((D667+E667)*C667)*'Assumptions and Catalog'!$H$62+'Assumptions and Catalog'!$E$62+'Assumptions and Catalog'!$F$62,IF(((D667+E667)*C667)&lt;='Assumptions and Catalog'!$C$63,((D667+E667)*C667)*'Assumptions and Catalog'!$H$63+'Assumptions and Catalog'!$E$63+'Assumptions and Catalog'!$F$63,IF(((D667+E667)*C667)&lt;='Assumptions and Catalog'!$C$64,((D667+E667)*C667)*'Assumptions and Catalog'!$H$64+'Assumptions and Catalog'!$E$64+'Assumptions and Catalog'!$F$64,IF(((D667+E667)*C667)&lt;='Assumptions and Catalog'!$C$65,((D667+E667)*C667)*'Assumptions and Catalog'!$H$65+'Assumptions and Catalog'!$E$65+'Assumptions and Catalog'!$F$65,"Out of range")))))))))*(1+'Assumptions and Catalog'!$C$8)^(A667-1),0)</f>
        <v>8554.9666666666672</v>
      </c>
      <c r="N667" s="5">
        <f>IF(ISNUMBER(Inputs!$L$5),(IF(Inputs!$L$9="Actual flat rate",L667*Inputs!$L$10,IF(Inputs!$C$9="Residential",IF(L667&lt;='Assumptions and Catalog'!$C$50,L667*'Assumptions and Catalog'!$H$50+'Assumptions and Catalog'!$E$50+'Assumptions and Catalog'!$F$50,IF(L667&lt;='Assumptions and Catalog'!$C$51,L667*'Assumptions and Catalog'!$H$51+'Assumptions and Catalog'!$E$51+'Assumptions and Catalog'!$F$51,IF(L667&lt;='Assumptions and Catalog'!$C$52,L667*'Assumptions and Catalog'!$H$52+'Assumptions and Catalog'!$E$52+'Assumptions and Catalog'!$F$52,IF(L667&lt;='Assumptions and Catalog'!$C$53,L667*'Assumptions and Catalog'!$H$53+'Assumptions and Catalog'!$E$53+'Assumptions and Catalog'!$F$53,IF(L667&lt;='Assumptions and Catalog'!$C$54,L667*'Assumptions and Catalog'!$H$54+'Assumptions and Catalog'!$E$54+'Assumptions and Catalog'!$F$54,IF(L667&lt;='Assumptions and Catalog'!$C$55,L667*'Assumptions and Catalog'!$H$55+'Assumptions and Catalog'!$E$55+'Assumptions and Catalog'!$F$55,IF(L667&lt;='Assumptions and Catalog'!$C$56,L667*'Assumptions and Catalog'!$H$56+'Assumptions and Catalog'!$E$56+'Assumptions and Catalog'!$F$56,IF(L667&lt;='Assumptions and Catalog'!$C$57,L667*'Assumptions and Catalog'!$H$57+'Assumptions and Catalog'!$E$57+'Assumptions and Catalog'!$F$57,"Out of range")))))))),IF(L667&lt;='Assumptions and Catalog'!$C$60,L667*'Assumptions and Catalog'!$H$60+'Assumptions and Catalog'!$E$60+'Assumptions and Catalog'!$F$60,IF(L667&lt;='Assumptions and Catalog'!$C$61,L667*'Assumptions and Catalog'!$H$61+'Assumptions and Catalog'!$E$61+'Assumptions and Catalog'!$F$61,IF(L667&lt;='Assumptions and Catalog'!$C$62,L667*'Assumptions and Catalog'!$H$62+'Assumptions and Catalog'!$E$62+'Assumptions and Catalog'!$F$62,IF(L667&lt;='Assumptions and Catalog'!$C$63,L667*'Assumptions and Catalog'!$H$63+'Assumptions and Catalog'!$E$63+'Assumptions and Catalog'!$F$63,IF(L667&lt;='Assumptions and Catalog'!$C$64,L667*'Assumptions and Catalog'!$H$64+'Assumptions and Catalog'!$E$64+'Assumptions and Catalog'!$F$64,IF(L667&lt;='Assumptions and Catalog'!$C$65,L667*'Assumptions and Catalog'!$H$65+'Assumptions and Catalog'!$E$65+'Assumptions and Catalog'!$F$65,"Out of range")))))))))*(1+'Assumptions and Catalog'!$C$8)^(A667-1),0)</f>
        <v>5651.3664560099132</v>
      </c>
      <c r="O667" s="5">
        <f t="shared" si="51"/>
        <v>2903.6002106567539</v>
      </c>
      <c r="P667" s="5">
        <f>E$55*(1-L$14)*(1-'Assumptions and Catalog'!$C$23)^R667</f>
        <v>102.4</v>
      </c>
      <c r="Q667" s="5">
        <f>IF(ISNUMBER(Inputs!$L$5),(IF(Inputs!$L$9="Actual flat rate",((D667+E667)*C667-G667)*Inputs!$L$10,IF(Inputs!$C$9="Residential",IF(((D667+E667)*C667-G667)&lt;='Assumptions and Catalog'!$C$50,((D667+E667)*C667-G667)*'Assumptions and Catalog'!$H$50+'Assumptions and Catalog'!$E$50+'Assumptions and Catalog'!$F$50,IF(((D667+E667)*C667-G667)&lt;='Assumptions and Catalog'!$C$51,((D667+E667)*C667-G667)*'Assumptions and Catalog'!$H$51+'Assumptions and Catalog'!$E$51+'Assumptions and Catalog'!$F$51,IF(((D667+E667)*C667-G667)&lt;='Assumptions and Catalog'!$C$52,((D667+E667)*C667-G667)*'Assumptions and Catalog'!$H$52+'Assumptions and Catalog'!$E$52+'Assumptions and Catalog'!$F$52,IF(((D667+E667)*C667-G667)&lt;='Assumptions and Catalog'!$C$53,((D667+E667)*C667-G667)*'Assumptions and Catalog'!$H$53+'Assumptions and Catalog'!$E$53+'Assumptions and Catalog'!$F$53,IF(((D667+E667)*C667-G667)&lt;='Assumptions and Catalog'!$C$54,((D667+E667)*C667-G667)*'Assumptions and Catalog'!$H$54+'Assumptions and Catalog'!$E$54+'Assumptions and Catalog'!$F$54,IF(((D667+E667)*C667-G667)&lt;='Assumptions and Catalog'!$C$55,((D667+E667)*C667-G667)*'Assumptions and Catalog'!$H$55+'Assumptions and Catalog'!$E$55+'Assumptions and Catalog'!$F$55,IF(((D667+E667)*C667-G667)&lt;='Assumptions and Catalog'!$C$56,((D667+E667)*C667-G667)*'Assumptions and Catalog'!$H$56+'Assumptions and Catalog'!$E$56+'Assumptions and Catalog'!$F$56,IF(((D667+E667)*C667-G667)&lt;='Assumptions and Catalog'!$C$57,((D667+E667)*C667-G667)*'Assumptions and Catalog'!$H$57+'Assumptions and Catalog'!$E$57+'Assumptions and Catalog'!$F$57,"Out of range")))))))),IF(((D667+E667)*C667-G667)&lt;='Assumptions and Catalog'!$C$60,((D667+E667)*C667-G667)*'Assumptions and Catalog'!$H$60+'Assumptions and Catalog'!$E$60+'Assumptions and Catalog'!$F$60,IF(((D667+E667)*C667-G667)&lt;='Assumptions and Catalog'!$C$61,((D667+E667)*C667-G667)*'Assumptions and Catalog'!$H$61+'Assumptions and Catalog'!$E$61+'Assumptions and Catalog'!$F$61,IF(((D667+E667)*C667-G667)&lt;='Assumptions and Catalog'!$C$62,((D667+E667)*C667-G667)*'Assumptions and Catalog'!$H$62+'Assumptions and Catalog'!$E$62+'Assumptions and Catalog'!$F$62,IF(((D667+E667)*C667-G667)&lt;='Assumptions and Catalog'!$C$63,((D667+E667)*C667-G667)*'Assumptions and Catalog'!$H$63+'Assumptions and Catalog'!$E$63+'Assumptions and Catalog'!$F$63,IF(((D667+E667)*C667-G667)&lt;='Assumptions and Catalog'!$C$64,((D667+E667)*C667-G667)*'Assumptions and Catalog'!$H$64+'Assumptions and Catalog'!$E$64+'Assumptions and Catalog'!$F$64,IF(((D667+E667)*C667-G667)&lt;='Assumptions and Catalog'!$C$65,((D667+E667)*C667-G667)*'Assumptions and Catalog'!$H$65+'Assumptions and Catalog'!$E$65+'Assumptions and Catalog'!$F$65,"Out of range")))))))))*(1+'Assumptions and Catalog'!$C$8)^(A667-1),0)</f>
        <v>5651.3664560099132</v>
      </c>
      <c r="R667" s="5">
        <f>IF(AND('Assumptions and Catalog'!$C$19&gt;0,A667&gt;='Assumptions and Catalog'!$C$19),A667-'Assumptions and Catalog'!$C$19,A667-1)</f>
        <v>0</v>
      </c>
      <c r="S667" s="5">
        <f>F667+L667-(D667+E667)*C667-J667-K667-IF(E$52&gt;0,'Assumptions and Catalog'!$C$26*C667,0)</f>
        <v>0</v>
      </c>
      <c r="T667" s="5"/>
      <c r="U667" s="5"/>
    </row>
    <row r="668" spans="1:21" ht="23.1" customHeight="1" outlineLevel="1" x14ac:dyDescent="0.2">
      <c r="A668" s="5">
        <v>1</v>
      </c>
      <c r="B668" s="5">
        <v>8</v>
      </c>
      <c r="C668" s="5">
        <f>DAY(DATE('Assumptions and Catalog'!$C$24+A668-1,B668+1,0))</f>
        <v>31</v>
      </c>
      <c r="D668" s="5">
        <f>IF(ISNUMBER(Inputs!$L$5),Inputs!$L$5*Inputs!$L$6,0)</f>
        <v>40.35</v>
      </c>
      <c r="E668" s="5">
        <f>IF(ISNUMBER(Inputs!$L$5),Inputs!$L$5-D668,0)</f>
        <v>40.35</v>
      </c>
      <c r="F668" s="5">
        <f>E$51*'Assumptions and Catalog'!$C$31*C668*(1-'Assumptions and Catalog'!$C$10)^(A668-1)</f>
        <v>849.09</v>
      </c>
      <c r="G668" s="5">
        <f t="shared" si="48"/>
        <v>849.09</v>
      </c>
      <c r="H668" s="5">
        <f>I668/('Assumptions and Catalog'!$C$11*'Assumptions and Catalog'!$C$12)</f>
        <v>0</v>
      </c>
      <c r="I668" s="5">
        <f>MIN(E668*C668,P668*'Assumptions and Catalog'!$C$12*C668,(F668-G668)*'Assumptions and Catalog'!$C$11*'Assumptions and Catalog'!$C$12,E$56*'Assumptions and Catalog'!$C$14*'Assumptions and Catalog'!$C$11*'Assumptions and Catalog'!$C$12*C668,E$57*(24-'Assumptions and Catalog'!$C$13)*C668)</f>
        <v>0</v>
      </c>
      <c r="J668" s="5">
        <f t="shared" si="49"/>
        <v>0</v>
      </c>
      <c r="K668" s="5">
        <f t="shared" si="50"/>
        <v>0</v>
      </c>
      <c r="L668" s="5">
        <f>(D668+E668)*C668-G668-I668+0+IF(E$52&gt;0,'Assumptions and Catalog'!$C$26*C668,0)</f>
        <v>1652.6100000000001</v>
      </c>
      <c r="M668" s="5">
        <f>IF(ISNUMBER(Inputs!$L$5),(IF(Inputs!$L$9="Actual flat rate",((D668+E668)*C668)*Inputs!$L$10,IF(Inputs!$C$9="Residential",IF(((D668+E668)*C668)&lt;='Assumptions and Catalog'!$C$50,((D668+E668)*C668)*'Assumptions and Catalog'!$H$50+'Assumptions and Catalog'!$E$50+'Assumptions and Catalog'!$F$50,IF(((D668+E668)*C668)&lt;='Assumptions and Catalog'!$C$51,((D668+E668)*C668)*'Assumptions and Catalog'!$H$51+'Assumptions and Catalog'!$E$51+'Assumptions and Catalog'!$F$51,IF(((D668+E668)*C668)&lt;='Assumptions and Catalog'!$C$52,((D668+E668)*C668)*'Assumptions and Catalog'!$H$52+'Assumptions and Catalog'!$E$52+'Assumptions and Catalog'!$F$52,IF(((D668+E668)*C668)&lt;='Assumptions and Catalog'!$C$53,((D668+E668)*C668)*'Assumptions and Catalog'!$H$53+'Assumptions and Catalog'!$E$53+'Assumptions and Catalog'!$F$53,IF(((D668+E668)*C668)&lt;='Assumptions and Catalog'!$C$54,((D668+E668)*C668)*'Assumptions and Catalog'!$H$54+'Assumptions and Catalog'!$E$54+'Assumptions and Catalog'!$F$54,IF(((D668+E668)*C668)&lt;='Assumptions and Catalog'!$C$55,((D668+E668)*C668)*'Assumptions and Catalog'!$H$55+'Assumptions and Catalog'!$E$55+'Assumptions and Catalog'!$F$55,IF(((D668+E668)*C668)&lt;='Assumptions and Catalog'!$C$56,((D668+E668)*C668)*'Assumptions and Catalog'!$H$56+'Assumptions and Catalog'!$E$56+'Assumptions and Catalog'!$F$56,IF(((D668+E668)*C668)&lt;='Assumptions and Catalog'!$C$57,((D668+E668)*C668)*'Assumptions and Catalog'!$H$57+'Assumptions and Catalog'!$E$57+'Assumptions and Catalog'!$F$57,"Out of range")))))))),IF(((D668+E668)*C668)&lt;='Assumptions and Catalog'!$C$60,((D668+E668)*C668)*'Assumptions and Catalog'!$H$60+'Assumptions and Catalog'!$E$60+'Assumptions and Catalog'!$F$60,IF(((D668+E668)*C668)&lt;='Assumptions and Catalog'!$C$61,((D668+E668)*C668)*'Assumptions and Catalog'!$H$61+'Assumptions and Catalog'!$E$61+'Assumptions and Catalog'!$F$61,IF(((D668+E668)*C668)&lt;='Assumptions and Catalog'!$C$62,((D668+E668)*C668)*'Assumptions and Catalog'!$H$62+'Assumptions and Catalog'!$E$62+'Assumptions and Catalog'!$F$62,IF(((D668+E668)*C668)&lt;='Assumptions and Catalog'!$C$63,((D668+E668)*C668)*'Assumptions and Catalog'!$H$63+'Assumptions and Catalog'!$E$63+'Assumptions and Catalog'!$F$63,IF(((D668+E668)*C668)&lt;='Assumptions and Catalog'!$C$64,((D668+E668)*C668)*'Assumptions and Catalog'!$H$64+'Assumptions and Catalog'!$E$64+'Assumptions and Catalog'!$F$64,IF(((D668+E668)*C668)&lt;='Assumptions and Catalog'!$C$65,((D668+E668)*C668)*'Assumptions and Catalog'!$H$65+'Assumptions and Catalog'!$E$65+'Assumptions and Catalog'!$F$65,"Out of range")))))))))*(1+'Assumptions and Catalog'!$C$8)^(A668-1),0)</f>
        <v>8554.9666666666672</v>
      </c>
      <c r="N668" s="5">
        <f>IF(ISNUMBER(Inputs!$L$5),(IF(Inputs!$L$9="Actual flat rate",L668*Inputs!$L$10,IF(Inputs!$C$9="Residential",IF(L668&lt;='Assumptions and Catalog'!$C$50,L668*'Assumptions and Catalog'!$H$50+'Assumptions and Catalog'!$E$50+'Assumptions and Catalog'!$F$50,IF(L668&lt;='Assumptions and Catalog'!$C$51,L668*'Assumptions and Catalog'!$H$51+'Assumptions and Catalog'!$E$51+'Assumptions and Catalog'!$F$51,IF(L668&lt;='Assumptions and Catalog'!$C$52,L668*'Assumptions and Catalog'!$H$52+'Assumptions and Catalog'!$E$52+'Assumptions and Catalog'!$F$52,IF(L668&lt;='Assumptions and Catalog'!$C$53,L668*'Assumptions and Catalog'!$H$53+'Assumptions and Catalog'!$E$53+'Assumptions and Catalog'!$F$53,IF(L668&lt;='Assumptions and Catalog'!$C$54,L668*'Assumptions and Catalog'!$H$54+'Assumptions and Catalog'!$E$54+'Assumptions and Catalog'!$F$54,IF(L668&lt;='Assumptions and Catalog'!$C$55,L668*'Assumptions and Catalog'!$H$55+'Assumptions and Catalog'!$E$55+'Assumptions and Catalog'!$F$55,IF(L668&lt;='Assumptions and Catalog'!$C$56,L668*'Assumptions and Catalog'!$H$56+'Assumptions and Catalog'!$E$56+'Assumptions and Catalog'!$F$56,IF(L668&lt;='Assumptions and Catalog'!$C$57,L668*'Assumptions and Catalog'!$H$57+'Assumptions and Catalog'!$E$57+'Assumptions and Catalog'!$F$57,"Out of range")))))))),IF(L668&lt;='Assumptions and Catalog'!$C$60,L668*'Assumptions and Catalog'!$H$60+'Assumptions and Catalog'!$E$60+'Assumptions and Catalog'!$F$60,IF(L668&lt;='Assumptions and Catalog'!$C$61,L668*'Assumptions and Catalog'!$H$61+'Assumptions and Catalog'!$E$61+'Assumptions and Catalog'!$F$61,IF(L668&lt;='Assumptions and Catalog'!$C$62,L668*'Assumptions and Catalog'!$H$62+'Assumptions and Catalog'!$E$62+'Assumptions and Catalog'!$F$62,IF(L668&lt;='Assumptions and Catalog'!$C$63,L668*'Assumptions and Catalog'!$H$63+'Assumptions and Catalog'!$E$63+'Assumptions and Catalog'!$F$63,IF(L668&lt;='Assumptions and Catalog'!$C$64,L668*'Assumptions and Catalog'!$H$64+'Assumptions and Catalog'!$E$64+'Assumptions and Catalog'!$F$64,IF(L668&lt;='Assumptions and Catalog'!$C$65,L668*'Assumptions and Catalog'!$H$65+'Assumptions and Catalog'!$E$65+'Assumptions and Catalog'!$F$65,"Out of range")))))))))*(1+'Assumptions and Catalog'!$C$8)^(A668-1),0)</f>
        <v>5651.3664560099132</v>
      </c>
      <c r="O668" s="5">
        <f t="shared" si="51"/>
        <v>2903.6002106567539</v>
      </c>
      <c r="P668" s="5">
        <f>E$55*(1-L$14)*(1-'Assumptions and Catalog'!$C$23)^R668</f>
        <v>102.4</v>
      </c>
      <c r="Q668" s="5">
        <f>IF(ISNUMBER(Inputs!$L$5),(IF(Inputs!$L$9="Actual flat rate",((D668+E668)*C668-G668)*Inputs!$L$10,IF(Inputs!$C$9="Residential",IF(((D668+E668)*C668-G668)&lt;='Assumptions and Catalog'!$C$50,((D668+E668)*C668-G668)*'Assumptions and Catalog'!$H$50+'Assumptions and Catalog'!$E$50+'Assumptions and Catalog'!$F$50,IF(((D668+E668)*C668-G668)&lt;='Assumptions and Catalog'!$C$51,((D668+E668)*C668-G668)*'Assumptions and Catalog'!$H$51+'Assumptions and Catalog'!$E$51+'Assumptions and Catalog'!$F$51,IF(((D668+E668)*C668-G668)&lt;='Assumptions and Catalog'!$C$52,((D668+E668)*C668-G668)*'Assumptions and Catalog'!$H$52+'Assumptions and Catalog'!$E$52+'Assumptions and Catalog'!$F$52,IF(((D668+E668)*C668-G668)&lt;='Assumptions and Catalog'!$C$53,((D668+E668)*C668-G668)*'Assumptions and Catalog'!$H$53+'Assumptions and Catalog'!$E$53+'Assumptions and Catalog'!$F$53,IF(((D668+E668)*C668-G668)&lt;='Assumptions and Catalog'!$C$54,((D668+E668)*C668-G668)*'Assumptions and Catalog'!$H$54+'Assumptions and Catalog'!$E$54+'Assumptions and Catalog'!$F$54,IF(((D668+E668)*C668-G668)&lt;='Assumptions and Catalog'!$C$55,((D668+E668)*C668-G668)*'Assumptions and Catalog'!$H$55+'Assumptions and Catalog'!$E$55+'Assumptions and Catalog'!$F$55,IF(((D668+E668)*C668-G668)&lt;='Assumptions and Catalog'!$C$56,((D668+E668)*C668-G668)*'Assumptions and Catalog'!$H$56+'Assumptions and Catalog'!$E$56+'Assumptions and Catalog'!$F$56,IF(((D668+E668)*C668-G668)&lt;='Assumptions and Catalog'!$C$57,((D668+E668)*C668-G668)*'Assumptions and Catalog'!$H$57+'Assumptions and Catalog'!$E$57+'Assumptions and Catalog'!$F$57,"Out of range")))))))),IF(((D668+E668)*C668-G668)&lt;='Assumptions and Catalog'!$C$60,((D668+E668)*C668-G668)*'Assumptions and Catalog'!$H$60+'Assumptions and Catalog'!$E$60+'Assumptions and Catalog'!$F$60,IF(((D668+E668)*C668-G668)&lt;='Assumptions and Catalog'!$C$61,((D668+E668)*C668-G668)*'Assumptions and Catalog'!$H$61+'Assumptions and Catalog'!$E$61+'Assumptions and Catalog'!$F$61,IF(((D668+E668)*C668-G668)&lt;='Assumptions and Catalog'!$C$62,((D668+E668)*C668-G668)*'Assumptions and Catalog'!$H$62+'Assumptions and Catalog'!$E$62+'Assumptions and Catalog'!$F$62,IF(((D668+E668)*C668-G668)&lt;='Assumptions and Catalog'!$C$63,((D668+E668)*C668-G668)*'Assumptions and Catalog'!$H$63+'Assumptions and Catalog'!$E$63+'Assumptions and Catalog'!$F$63,IF(((D668+E668)*C668-G668)&lt;='Assumptions and Catalog'!$C$64,((D668+E668)*C668-G668)*'Assumptions and Catalog'!$H$64+'Assumptions and Catalog'!$E$64+'Assumptions and Catalog'!$F$64,IF(((D668+E668)*C668-G668)&lt;='Assumptions and Catalog'!$C$65,((D668+E668)*C668-G668)*'Assumptions and Catalog'!$H$65+'Assumptions and Catalog'!$E$65+'Assumptions and Catalog'!$F$65,"Out of range")))))))))*(1+'Assumptions and Catalog'!$C$8)^(A668-1),0)</f>
        <v>5651.3664560099132</v>
      </c>
      <c r="R668" s="5">
        <f>IF(AND('Assumptions and Catalog'!$C$19&gt;0,A668&gt;='Assumptions and Catalog'!$C$19),A668-'Assumptions and Catalog'!$C$19,A668-1)</f>
        <v>0</v>
      </c>
      <c r="S668" s="5">
        <f>F668+L668-(D668+E668)*C668-J668-K668-IF(E$52&gt;0,'Assumptions and Catalog'!$C$26*C668,0)</f>
        <v>0</v>
      </c>
      <c r="T668" s="5"/>
      <c r="U668" s="5"/>
    </row>
    <row r="669" spans="1:21" ht="23.1" customHeight="1" outlineLevel="1" x14ac:dyDescent="0.2">
      <c r="A669" s="5">
        <v>1</v>
      </c>
      <c r="B669" s="5">
        <v>9</v>
      </c>
      <c r="C669" s="5">
        <f>DAY(DATE('Assumptions and Catalog'!$C$24+A669-1,B669+1,0))</f>
        <v>30</v>
      </c>
      <c r="D669" s="5">
        <f>IF(ISNUMBER(Inputs!$L$5),Inputs!$L$5*Inputs!$L$6,0)</f>
        <v>40.35</v>
      </c>
      <c r="E669" s="5">
        <f>IF(ISNUMBER(Inputs!$L$5),Inputs!$L$5-D669,0)</f>
        <v>40.35</v>
      </c>
      <c r="F669" s="5">
        <f>E$51*'Assumptions and Catalog'!$C$31*C669*(1-'Assumptions and Catalog'!$C$10)^(A669-1)</f>
        <v>821.7</v>
      </c>
      <c r="G669" s="5">
        <f t="shared" si="48"/>
        <v>821.7</v>
      </c>
      <c r="H669" s="5">
        <f>I669/('Assumptions and Catalog'!$C$11*'Assumptions and Catalog'!$C$12)</f>
        <v>0</v>
      </c>
      <c r="I669" s="5">
        <f>MIN(E669*C669,P669*'Assumptions and Catalog'!$C$12*C669,(F669-G669)*'Assumptions and Catalog'!$C$11*'Assumptions and Catalog'!$C$12,E$56*'Assumptions and Catalog'!$C$14*'Assumptions and Catalog'!$C$11*'Assumptions and Catalog'!$C$12*C669,E$57*(24-'Assumptions and Catalog'!$C$13)*C669)</f>
        <v>0</v>
      </c>
      <c r="J669" s="5">
        <f t="shared" si="49"/>
        <v>0</v>
      </c>
      <c r="K669" s="5">
        <f t="shared" si="50"/>
        <v>0</v>
      </c>
      <c r="L669" s="5">
        <f>(D669+E669)*C669-G669-I669+0+IF(E$52&gt;0,'Assumptions and Catalog'!$C$26*C669,0)</f>
        <v>1599.3</v>
      </c>
      <c r="M669" s="5">
        <f>IF(ISNUMBER(Inputs!$L$5),(IF(Inputs!$L$9="Actual flat rate",((D669+E669)*C669)*Inputs!$L$10,IF(Inputs!$C$9="Residential",IF(((D669+E669)*C669)&lt;='Assumptions and Catalog'!$C$50,((D669+E669)*C669)*'Assumptions and Catalog'!$H$50+'Assumptions and Catalog'!$E$50+'Assumptions and Catalog'!$F$50,IF(((D669+E669)*C669)&lt;='Assumptions and Catalog'!$C$51,((D669+E669)*C669)*'Assumptions and Catalog'!$H$51+'Assumptions and Catalog'!$E$51+'Assumptions and Catalog'!$F$51,IF(((D669+E669)*C669)&lt;='Assumptions and Catalog'!$C$52,((D669+E669)*C669)*'Assumptions and Catalog'!$H$52+'Assumptions and Catalog'!$E$52+'Assumptions and Catalog'!$F$52,IF(((D669+E669)*C669)&lt;='Assumptions and Catalog'!$C$53,((D669+E669)*C669)*'Assumptions and Catalog'!$H$53+'Assumptions and Catalog'!$E$53+'Assumptions and Catalog'!$F$53,IF(((D669+E669)*C669)&lt;='Assumptions and Catalog'!$C$54,((D669+E669)*C669)*'Assumptions and Catalog'!$H$54+'Assumptions and Catalog'!$E$54+'Assumptions and Catalog'!$F$54,IF(((D669+E669)*C669)&lt;='Assumptions and Catalog'!$C$55,((D669+E669)*C669)*'Assumptions and Catalog'!$H$55+'Assumptions and Catalog'!$E$55+'Assumptions and Catalog'!$F$55,IF(((D669+E669)*C669)&lt;='Assumptions and Catalog'!$C$56,((D669+E669)*C669)*'Assumptions and Catalog'!$H$56+'Assumptions and Catalog'!$E$56+'Assumptions and Catalog'!$F$56,IF(((D669+E669)*C669)&lt;='Assumptions and Catalog'!$C$57,((D669+E669)*C669)*'Assumptions and Catalog'!$H$57+'Assumptions and Catalog'!$E$57+'Assumptions and Catalog'!$F$57,"Out of range")))))))),IF(((D669+E669)*C669)&lt;='Assumptions and Catalog'!$C$60,((D669+E669)*C669)*'Assumptions and Catalog'!$H$60+'Assumptions and Catalog'!$E$60+'Assumptions and Catalog'!$F$60,IF(((D669+E669)*C669)&lt;='Assumptions and Catalog'!$C$61,((D669+E669)*C669)*'Assumptions and Catalog'!$H$61+'Assumptions and Catalog'!$E$61+'Assumptions and Catalog'!$F$61,IF(((D669+E669)*C669)&lt;='Assumptions and Catalog'!$C$62,((D669+E669)*C669)*'Assumptions and Catalog'!$H$62+'Assumptions and Catalog'!$E$62+'Assumptions and Catalog'!$F$62,IF(((D669+E669)*C669)&lt;='Assumptions and Catalog'!$C$63,((D669+E669)*C669)*'Assumptions and Catalog'!$H$63+'Assumptions and Catalog'!$E$63+'Assumptions and Catalog'!$F$63,IF(((D669+E669)*C669)&lt;='Assumptions and Catalog'!$C$64,((D669+E669)*C669)*'Assumptions and Catalog'!$H$64+'Assumptions and Catalog'!$E$64+'Assumptions and Catalog'!$F$64,IF(((D669+E669)*C669)&lt;='Assumptions and Catalog'!$C$65,((D669+E669)*C669)*'Assumptions and Catalog'!$H$65+'Assumptions and Catalog'!$E$65+'Assumptions and Catalog'!$F$65,"Out of range")))))))))*(1+'Assumptions and Catalog'!$C$8)^(A669-1),0)</f>
        <v>8279</v>
      </c>
      <c r="N669" s="5">
        <f>IF(ISNUMBER(Inputs!$L$5),(IF(Inputs!$L$9="Actual flat rate",L669*Inputs!$L$10,IF(Inputs!$C$9="Residential",IF(L669&lt;='Assumptions and Catalog'!$C$50,L669*'Assumptions and Catalog'!$H$50+'Assumptions and Catalog'!$E$50+'Assumptions and Catalog'!$F$50,IF(L669&lt;='Assumptions and Catalog'!$C$51,L669*'Assumptions and Catalog'!$H$51+'Assumptions and Catalog'!$E$51+'Assumptions and Catalog'!$F$51,IF(L669&lt;='Assumptions and Catalog'!$C$52,L669*'Assumptions and Catalog'!$H$52+'Assumptions and Catalog'!$E$52+'Assumptions and Catalog'!$F$52,IF(L669&lt;='Assumptions and Catalog'!$C$53,L669*'Assumptions and Catalog'!$H$53+'Assumptions and Catalog'!$E$53+'Assumptions and Catalog'!$F$53,IF(L669&lt;='Assumptions and Catalog'!$C$54,L669*'Assumptions and Catalog'!$H$54+'Assumptions and Catalog'!$E$54+'Assumptions and Catalog'!$F$54,IF(L669&lt;='Assumptions and Catalog'!$C$55,L669*'Assumptions and Catalog'!$H$55+'Assumptions and Catalog'!$E$55+'Assumptions and Catalog'!$F$55,IF(L669&lt;='Assumptions and Catalog'!$C$56,L669*'Assumptions and Catalog'!$H$56+'Assumptions and Catalog'!$E$56+'Assumptions and Catalog'!$F$56,IF(L669&lt;='Assumptions and Catalog'!$C$57,L669*'Assumptions and Catalog'!$H$57+'Assumptions and Catalog'!$E$57+'Assumptions and Catalog'!$F$57,"Out of range")))))))),IF(L669&lt;='Assumptions and Catalog'!$C$60,L669*'Assumptions and Catalog'!$H$60+'Assumptions and Catalog'!$E$60+'Assumptions and Catalog'!$F$60,IF(L669&lt;='Assumptions and Catalog'!$C$61,L669*'Assumptions and Catalog'!$H$61+'Assumptions and Catalog'!$E$61+'Assumptions and Catalog'!$F$61,IF(L669&lt;='Assumptions and Catalog'!$C$62,L669*'Assumptions and Catalog'!$H$62+'Assumptions and Catalog'!$E$62+'Assumptions and Catalog'!$F$62,IF(L669&lt;='Assumptions and Catalog'!$C$63,L669*'Assumptions and Catalog'!$H$63+'Assumptions and Catalog'!$E$63+'Assumptions and Catalog'!$F$63,IF(L669&lt;='Assumptions and Catalog'!$C$64,L669*'Assumptions and Catalog'!$H$64+'Assumptions and Catalog'!$E$64+'Assumptions and Catalog'!$F$64,IF(L669&lt;='Assumptions and Catalog'!$C$65,L669*'Assumptions and Catalog'!$H$65+'Assumptions and Catalog'!$E$65+'Assumptions and Catalog'!$F$65,"Out of range")))))))))*(1+'Assumptions and Catalog'!$C$8)^(A669-1),0)</f>
        <v>5469.0643122676574</v>
      </c>
      <c r="O669" s="5">
        <f t="shared" si="51"/>
        <v>2809.9356877323426</v>
      </c>
      <c r="P669" s="5">
        <f>E$55*(1-L$14)*(1-'Assumptions and Catalog'!$C$23)^R669</f>
        <v>102.4</v>
      </c>
      <c r="Q669" s="5">
        <f>IF(ISNUMBER(Inputs!$L$5),(IF(Inputs!$L$9="Actual flat rate",((D669+E669)*C669-G669)*Inputs!$L$10,IF(Inputs!$C$9="Residential",IF(((D669+E669)*C669-G669)&lt;='Assumptions and Catalog'!$C$50,((D669+E669)*C669-G669)*'Assumptions and Catalog'!$H$50+'Assumptions and Catalog'!$E$50+'Assumptions and Catalog'!$F$50,IF(((D669+E669)*C669-G669)&lt;='Assumptions and Catalog'!$C$51,((D669+E669)*C669-G669)*'Assumptions and Catalog'!$H$51+'Assumptions and Catalog'!$E$51+'Assumptions and Catalog'!$F$51,IF(((D669+E669)*C669-G669)&lt;='Assumptions and Catalog'!$C$52,((D669+E669)*C669-G669)*'Assumptions and Catalog'!$H$52+'Assumptions and Catalog'!$E$52+'Assumptions and Catalog'!$F$52,IF(((D669+E669)*C669-G669)&lt;='Assumptions and Catalog'!$C$53,((D669+E669)*C669-G669)*'Assumptions and Catalog'!$H$53+'Assumptions and Catalog'!$E$53+'Assumptions and Catalog'!$F$53,IF(((D669+E669)*C669-G669)&lt;='Assumptions and Catalog'!$C$54,((D669+E669)*C669-G669)*'Assumptions and Catalog'!$H$54+'Assumptions and Catalog'!$E$54+'Assumptions and Catalog'!$F$54,IF(((D669+E669)*C669-G669)&lt;='Assumptions and Catalog'!$C$55,((D669+E669)*C669-G669)*'Assumptions and Catalog'!$H$55+'Assumptions and Catalog'!$E$55+'Assumptions and Catalog'!$F$55,IF(((D669+E669)*C669-G669)&lt;='Assumptions and Catalog'!$C$56,((D669+E669)*C669-G669)*'Assumptions and Catalog'!$H$56+'Assumptions and Catalog'!$E$56+'Assumptions and Catalog'!$F$56,IF(((D669+E669)*C669-G669)&lt;='Assumptions and Catalog'!$C$57,((D669+E669)*C669-G669)*'Assumptions and Catalog'!$H$57+'Assumptions and Catalog'!$E$57+'Assumptions and Catalog'!$F$57,"Out of range")))))))),IF(((D669+E669)*C669-G669)&lt;='Assumptions and Catalog'!$C$60,((D669+E669)*C669-G669)*'Assumptions and Catalog'!$H$60+'Assumptions and Catalog'!$E$60+'Assumptions and Catalog'!$F$60,IF(((D669+E669)*C669-G669)&lt;='Assumptions and Catalog'!$C$61,((D669+E669)*C669-G669)*'Assumptions and Catalog'!$H$61+'Assumptions and Catalog'!$E$61+'Assumptions and Catalog'!$F$61,IF(((D669+E669)*C669-G669)&lt;='Assumptions and Catalog'!$C$62,((D669+E669)*C669-G669)*'Assumptions and Catalog'!$H$62+'Assumptions and Catalog'!$E$62+'Assumptions and Catalog'!$F$62,IF(((D669+E669)*C669-G669)&lt;='Assumptions and Catalog'!$C$63,((D669+E669)*C669-G669)*'Assumptions and Catalog'!$H$63+'Assumptions and Catalog'!$E$63+'Assumptions and Catalog'!$F$63,IF(((D669+E669)*C669-G669)&lt;='Assumptions and Catalog'!$C$64,((D669+E669)*C669-G669)*'Assumptions and Catalog'!$H$64+'Assumptions and Catalog'!$E$64+'Assumptions and Catalog'!$F$64,IF(((D669+E669)*C669-G669)&lt;='Assumptions and Catalog'!$C$65,((D669+E669)*C669-G669)*'Assumptions and Catalog'!$H$65+'Assumptions and Catalog'!$E$65+'Assumptions and Catalog'!$F$65,"Out of range")))))))))*(1+'Assumptions and Catalog'!$C$8)^(A669-1),0)</f>
        <v>5469.0643122676574</v>
      </c>
      <c r="R669" s="5">
        <f>IF(AND('Assumptions and Catalog'!$C$19&gt;0,A669&gt;='Assumptions and Catalog'!$C$19),A669-'Assumptions and Catalog'!$C$19,A669-1)</f>
        <v>0</v>
      </c>
      <c r="S669" s="5">
        <f>F669+L669-(D669+E669)*C669-J669-K669-IF(E$52&gt;0,'Assumptions and Catalog'!$C$26*C669,0)</f>
        <v>0</v>
      </c>
      <c r="T669" s="5"/>
      <c r="U669" s="5"/>
    </row>
    <row r="670" spans="1:21" ht="23.1" customHeight="1" outlineLevel="1" x14ac:dyDescent="0.2">
      <c r="A670" s="5">
        <v>1</v>
      </c>
      <c r="B670" s="5">
        <v>10</v>
      </c>
      <c r="C670" s="5">
        <f>DAY(DATE('Assumptions and Catalog'!$C$24+A670-1,B670+1,0))</f>
        <v>31</v>
      </c>
      <c r="D670" s="5">
        <f>IF(ISNUMBER(Inputs!$L$5),Inputs!$L$5*Inputs!$L$6,0)</f>
        <v>40.35</v>
      </c>
      <c r="E670" s="5">
        <f>IF(ISNUMBER(Inputs!$L$5),Inputs!$L$5-D670,0)</f>
        <v>40.35</v>
      </c>
      <c r="F670" s="5">
        <f>E$51*'Assumptions and Catalog'!$C$31*C670*(1-'Assumptions and Catalog'!$C$10)^(A670-1)</f>
        <v>849.09</v>
      </c>
      <c r="G670" s="5">
        <f t="shared" si="48"/>
        <v>849.09</v>
      </c>
      <c r="H670" s="5">
        <f>I670/('Assumptions and Catalog'!$C$11*'Assumptions and Catalog'!$C$12)</f>
        <v>0</v>
      </c>
      <c r="I670" s="5">
        <f>MIN(E670*C670,P670*'Assumptions and Catalog'!$C$12*C670,(F670-G670)*'Assumptions and Catalog'!$C$11*'Assumptions and Catalog'!$C$12,E$56*'Assumptions and Catalog'!$C$14*'Assumptions and Catalog'!$C$11*'Assumptions and Catalog'!$C$12*C670,E$57*(24-'Assumptions and Catalog'!$C$13)*C670)</f>
        <v>0</v>
      </c>
      <c r="J670" s="5">
        <f t="shared" si="49"/>
        <v>0</v>
      </c>
      <c r="K670" s="5">
        <f t="shared" si="50"/>
        <v>0</v>
      </c>
      <c r="L670" s="5">
        <f>(D670+E670)*C670-G670-I670+0+IF(E$52&gt;0,'Assumptions and Catalog'!$C$26*C670,0)</f>
        <v>1652.6100000000001</v>
      </c>
      <c r="M670" s="5">
        <f>IF(ISNUMBER(Inputs!$L$5),(IF(Inputs!$L$9="Actual flat rate",((D670+E670)*C670)*Inputs!$L$10,IF(Inputs!$C$9="Residential",IF(((D670+E670)*C670)&lt;='Assumptions and Catalog'!$C$50,((D670+E670)*C670)*'Assumptions and Catalog'!$H$50+'Assumptions and Catalog'!$E$50+'Assumptions and Catalog'!$F$50,IF(((D670+E670)*C670)&lt;='Assumptions and Catalog'!$C$51,((D670+E670)*C670)*'Assumptions and Catalog'!$H$51+'Assumptions and Catalog'!$E$51+'Assumptions and Catalog'!$F$51,IF(((D670+E670)*C670)&lt;='Assumptions and Catalog'!$C$52,((D670+E670)*C670)*'Assumptions and Catalog'!$H$52+'Assumptions and Catalog'!$E$52+'Assumptions and Catalog'!$F$52,IF(((D670+E670)*C670)&lt;='Assumptions and Catalog'!$C$53,((D670+E670)*C670)*'Assumptions and Catalog'!$H$53+'Assumptions and Catalog'!$E$53+'Assumptions and Catalog'!$F$53,IF(((D670+E670)*C670)&lt;='Assumptions and Catalog'!$C$54,((D670+E670)*C670)*'Assumptions and Catalog'!$H$54+'Assumptions and Catalog'!$E$54+'Assumptions and Catalog'!$F$54,IF(((D670+E670)*C670)&lt;='Assumptions and Catalog'!$C$55,((D670+E670)*C670)*'Assumptions and Catalog'!$H$55+'Assumptions and Catalog'!$E$55+'Assumptions and Catalog'!$F$55,IF(((D670+E670)*C670)&lt;='Assumptions and Catalog'!$C$56,((D670+E670)*C670)*'Assumptions and Catalog'!$H$56+'Assumptions and Catalog'!$E$56+'Assumptions and Catalog'!$F$56,IF(((D670+E670)*C670)&lt;='Assumptions and Catalog'!$C$57,((D670+E670)*C670)*'Assumptions and Catalog'!$H$57+'Assumptions and Catalog'!$E$57+'Assumptions and Catalog'!$F$57,"Out of range")))))))),IF(((D670+E670)*C670)&lt;='Assumptions and Catalog'!$C$60,((D670+E670)*C670)*'Assumptions and Catalog'!$H$60+'Assumptions and Catalog'!$E$60+'Assumptions and Catalog'!$F$60,IF(((D670+E670)*C670)&lt;='Assumptions and Catalog'!$C$61,((D670+E670)*C670)*'Assumptions and Catalog'!$H$61+'Assumptions and Catalog'!$E$61+'Assumptions and Catalog'!$F$61,IF(((D670+E670)*C670)&lt;='Assumptions and Catalog'!$C$62,((D670+E670)*C670)*'Assumptions and Catalog'!$H$62+'Assumptions and Catalog'!$E$62+'Assumptions and Catalog'!$F$62,IF(((D670+E670)*C670)&lt;='Assumptions and Catalog'!$C$63,((D670+E670)*C670)*'Assumptions and Catalog'!$H$63+'Assumptions and Catalog'!$E$63+'Assumptions and Catalog'!$F$63,IF(((D670+E670)*C670)&lt;='Assumptions and Catalog'!$C$64,((D670+E670)*C670)*'Assumptions and Catalog'!$H$64+'Assumptions and Catalog'!$E$64+'Assumptions and Catalog'!$F$64,IF(((D670+E670)*C670)&lt;='Assumptions and Catalog'!$C$65,((D670+E670)*C670)*'Assumptions and Catalog'!$H$65+'Assumptions and Catalog'!$E$65+'Assumptions and Catalog'!$F$65,"Out of range")))))))))*(1+'Assumptions and Catalog'!$C$8)^(A670-1),0)</f>
        <v>8554.9666666666672</v>
      </c>
      <c r="N670" s="5">
        <f>IF(ISNUMBER(Inputs!$L$5),(IF(Inputs!$L$9="Actual flat rate",L670*Inputs!$L$10,IF(Inputs!$C$9="Residential",IF(L670&lt;='Assumptions and Catalog'!$C$50,L670*'Assumptions and Catalog'!$H$50+'Assumptions and Catalog'!$E$50+'Assumptions and Catalog'!$F$50,IF(L670&lt;='Assumptions and Catalog'!$C$51,L670*'Assumptions and Catalog'!$H$51+'Assumptions and Catalog'!$E$51+'Assumptions and Catalog'!$F$51,IF(L670&lt;='Assumptions and Catalog'!$C$52,L670*'Assumptions and Catalog'!$H$52+'Assumptions and Catalog'!$E$52+'Assumptions and Catalog'!$F$52,IF(L670&lt;='Assumptions and Catalog'!$C$53,L670*'Assumptions and Catalog'!$H$53+'Assumptions and Catalog'!$E$53+'Assumptions and Catalog'!$F$53,IF(L670&lt;='Assumptions and Catalog'!$C$54,L670*'Assumptions and Catalog'!$H$54+'Assumptions and Catalog'!$E$54+'Assumptions and Catalog'!$F$54,IF(L670&lt;='Assumptions and Catalog'!$C$55,L670*'Assumptions and Catalog'!$H$55+'Assumptions and Catalog'!$E$55+'Assumptions and Catalog'!$F$55,IF(L670&lt;='Assumptions and Catalog'!$C$56,L670*'Assumptions and Catalog'!$H$56+'Assumptions and Catalog'!$E$56+'Assumptions and Catalog'!$F$56,IF(L670&lt;='Assumptions and Catalog'!$C$57,L670*'Assumptions and Catalog'!$H$57+'Assumptions and Catalog'!$E$57+'Assumptions and Catalog'!$F$57,"Out of range")))))))),IF(L670&lt;='Assumptions and Catalog'!$C$60,L670*'Assumptions and Catalog'!$H$60+'Assumptions and Catalog'!$E$60+'Assumptions and Catalog'!$F$60,IF(L670&lt;='Assumptions and Catalog'!$C$61,L670*'Assumptions and Catalog'!$H$61+'Assumptions and Catalog'!$E$61+'Assumptions and Catalog'!$F$61,IF(L670&lt;='Assumptions and Catalog'!$C$62,L670*'Assumptions and Catalog'!$H$62+'Assumptions and Catalog'!$E$62+'Assumptions and Catalog'!$F$62,IF(L670&lt;='Assumptions and Catalog'!$C$63,L670*'Assumptions and Catalog'!$H$63+'Assumptions and Catalog'!$E$63+'Assumptions and Catalog'!$F$63,IF(L670&lt;='Assumptions and Catalog'!$C$64,L670*'Assumptions and Catalog'!$H$64+'Assumptions and Catalog'!$E$64+'Assumptions and Catalog'!$F$64,IF(L670&lt;='Assumptions and Catalog'!$C$65,L670*'Assumptions and Catalog'!$H$65+'Assumptions and Catalog'!$E$65+'Assumptions and Catalog'!$F$65,"Out of range")))))))))*(1+'Assumptions and Catalog'!$C$8)^(A670-1),0)</f>
        <v>5651.3664560099132</v>
      </c>
      <c r="O670" s="5">
        <f t="shared" si="51"/>
        <v>2903.6002106567539</v>
      </c>
      <c r="P670" s="5">
        <f>E$55*(1-L$14)*(1-'Assumptions and Catalog'!$C$23)^R670</f>
        <v>102.4</v>
      </c>
      <c r="Q670" s="5">
        <f>IF(ISNUMBER(Inputs!$L$5),(IF(Inputs!$L$9="Actual flat rate",((D670+E670)*C670-G670)*Inputs!$L$10,IF(Inputs!$C$9="Residential",IF(((D670+E670)*C670-G670)&lt;='Assumptions and Catalog'!$C$50,((D670+E670)*C670-G670)*'Assumptions and Catalog'!$H$50+'Assumptions and Catalog'!$E$50+'Assumptions and Catalog'!$F$50,IF(((D670+E670)*C670-G670)&lt;='Assumptions and Catalog'!$C$51,((D670+E670)*C670-G670)*'Assumptions and Catalog'!$H$51+'Assumptions and Catalog'!$E$51+'Assumptions and Catalog'!$F$51,IF(((D670+E670)*C670-G670)&lt;='Assumptions and Catalog'!$C$52,((D670+E670)*C670-G670)*'Assumptions and Catalog'!$H$52+'Assumptions and Catalog'!$E$52+'Assumptions and Catalog'!$F$52,IF(((D670+E670)*C670-G670)&lt;='Assumptions and Catalog'!$C$53,((D670+E670)*C670-G670)*'Assumptions and Catalog'!$H$53+'Assumptions and Catalog'!$E$53+'Assumptions and Catalog'!$F$53,IF(((D670+E670)*C670-G670)&lt;='Assumptions and Catalog'!$C$54,((D670+E670)*C670-G670)*'Assumptions and Catalog'!$H$54+'Assumptions and Catalog'!$E$54+'Assumptions and Catalog'!$F$54,IF(((D670+E670)*C670-G670)&lt;='Assumptions and Catalog'!$C$55,((D670+E670)*C670-G670)*'Assumptions and Catalog'!$H$55+'Assumptions and Catalog'!$E$55+'Assumptions and Catalog'!$F$55,IF(((D670+E670)*C670-G670)&lt;='Assumptions and Catalog'!$C$56,((D670+E670)*C670-G670)*'Assumptions and Catalog'!$H$56+'Assumptions and Catalog'!$E$56+'Assumptions and Catalog'!$F$56,IF(((D670+E670)*C670-G670)&lt;='Assumptions and Catalog'!$C$57,((D670+E670)*C670-G670)*'Assumptions and Catalog'!$H$57+'Assumptions and Catalog'!$E$57+'Assumptions and Catalog'!$F$57,"Out of range")))))))),IF(((D670+E670)*C670-G670)&lt;='Assumptions and Catalog'!$C$60,((D670+E670)*C670-G670)*'Assumptions and Catalog'!$H$60+'Assumptions and Catalog'!$E$60+'Assumptions and Catalog'!$F$60,IF(((D670+E670)*C670-G670)&lt;='Assumptions and Catalog'!$C$61,((D670+E670)*C670-G670)*'Assumptions and Catalog'!$H$61+'Assumptions and Catalog'!$E$61+'Assumptions and Catalog'!$F$61,IF(((D670+E670)*C670-G670)&lt;='Assumptions and Catalog'!$C$62,((D670+E670)*C670-G670)*'Assumptions and Catalog'!$H$62+'Assumptions and Catalog'!$E$62+'Assumptions and Catalog'!$F$62,IF(((D670+E670)*C670-G670)&lt;='Assumptions and Catalog'!$C$63,((D670+E670)*C670-G670)*'Assumptions and Catalog'!$H$63+'Assumptions and Catalog'!$E$63+'Assumptions and Catalog'!$F$63,IF(((D670+E670)*C670-G670)&lt;='Assumptions and Catalog'!$C$64,((D670+E670)*C670-G670)*'Assumptions and Catalog'!$H$64+'Assumptions and Catalog'!$E$64+'Assumptions and Catalog'!$F$64,IF(((D670+E670)*C670-G670)&lt;='Assumptions and Catalog'!$C$65,((D670+E670)*C670-G670)*'Assumptions and Catalog'!$H$65+'Assumptions and Catalog'!$E$65+'Assumptions and Catalog'!$F$65,"Out of range")))))))))*(1+'Assumptions and Catalog'!$C$8)^(A670-1),0)</f>
        <v>5651.3664560099132</v>
      </c>
      <c r="R670" s="5">
        <f>IF(AND('Assumptions and Catalog'!$C$19&gt;0,A670&gt;='Assumptions and Catalog'!$C$19),A670-'Assumptions and Catalog'!$C$19,A670-1)</f>
        <v>0</v>
      </c>
      <c r="S670" s="5">
        <f>F670+L670-(D670+E670)*C670-J670-K670-IF(E$52&gt;0,'Assumptions and Catalog'!$C$26*C670,0)</f>
        <v>0</v>
      </c>
      <c r="T670" s="5"/>
      <c r="U670" s="5"/>
    </row>
    <row r="671" spans="1:21" ht="23.1" customHeight="1" outlineLevel="1" x14ac:dyDescent="0.2">
      <c r="A671" s="5">
        <v>1</v>
      </c>
      <c r="B671" s="5">
        <v>11</v>
      </c>
      <c r="C671" s="5">
        <f>DAY(DATE('Assumptions and Catalog'!$C$24+A671-1,B671+1,0))</f>
        <v>30</v>
      </c>
      <c r="D671" s="5">
        <f>IF(ISNUMBER(Inputs!$L$5),Inputs!$L$5*Inputs!$L$6,0)</f>
        <v>40.35</v>
      </c>
      <c r="E671" s="5">
        <f>IF(ISNUMBER(Inputs!$L$5),Inputs!$L$5-D671,0)</f>
        <v>40.35</v>
      </c>
      <c r="F671" s="5">
        <f>E$51*'Assumptions and Catalog'!$C$31*C671*(1-'Assumptions and Catalog'!$C$10)^(A671-1)</f>
        <v>821.7</v>
      </c>
      <c r="G671" s="5">
        <f t="shared" si="48"/>
        <v>821.7</v>
      </c>
      <c r="H671" s="5">
        <f>I671/('Assumptions and Catalog'!$C$11*'Assumptions and Catalog'!$C$12)</f>
        <v>0</v>
      </c>
      <c r="I671" s="5">
        <f>MIN(E671*C671,P671*'Assumptions and Catalog'!$C$12*C671,(F671-G671)*'Assumptions and Catalog'!$C$11*'Assumptions and Catalog'!$C$12,E$56*'Assumptions and Catalog'!$C$14*'Assumptions and Catalog'!$C$11*'Assumptions and Catalog'!$C$12*C671,E$57*(24-'Assumptions and Catalog'!$C$13)*C671)</f>
        <v>0</v>
      </c>
      <c r="J671" s="5">
        <f t="shared" si="49"/>
        <v>0</v>
      </c>
      <c r="K671" s="5">
        <f t="shared" si="50"/>
        <v>0</v>
      </c>
      <c r="L671" s="5">
        <f>(D671+E671)*C671-G671-I671+0+IF(E$52&gt;0,'Assumptions and Catalog'!$C$26*C671,0)</f>
        <v>1599.3</v>
      </c>
      <c r="M671" s="5">
        <f>IF(ISNUMBER(Inputs!$L$5),(IF(Inputs!$L$9="Actual flat rate",((D671+E671)*C671)*Inputs!$L$10,IF(Inputs!$C$9="Residential",IF(((D671+E671)*C671)&lt;='Assumptions and Catalog'!$C$50,((D671+E671)*C671)*'Assumptions and Catalog'!$H$50+'Assumptions and Catalog'!$E$50+'Assumptions and Catalog'!$F$50,IF(((D671+E671)*C671)&lt;='Assumptions and Catalog'!$C$51,((D671+E671)*C671)*'Assumptions and Catalog'!$H$51+'Assumptions and Catalog'!$E$51+'Assumptions and Catalog'!$F$51,IF(((D671+E671)*C671)&lt;='Assumptions and Catalog'!$C$52,((D671+E671)*C671)*'Assumptions and Catalog'!$H$52+'Assumptions and Catalog'!$E$52+'Assumptions and Catalog'!$F$52,IF(((D671+E671)*C671)&lt;='Assumptions and Catalog'!$C$53,((D671+E671)*C671)*'Assumptions and Catalog'!$H$53+'Assumptions and Catalog'!$E$53+'Assumptions and Catalog'!$F$53,IF(((D671+E671)*C671)&lt;='Assumptions and Catalog'!$C$54,((D671+E671)*C671)*'Assumptions and Catalog'!$H$54+'Assumptions and Catalog'!$E$54+'Assumptions and Catalog'!$F$54,IF(((D671+E671)*C671)&lt;='Assumptions and Catalog'!$C$55,((D671+E671)*C671)*'Assumptions and Catalog'!$H$55+'Assumptions and Catalog'!$E$55+'Assumptions and Catalog'!$F$55,IF(((D671+E671)*C671)&lt;='Assumptions and Catalog'!$C$56,((D671+E671)*C671)*'Assumptions and Catalog'!$H$56+'Assumptions and Catalog'!$E$56+'Assumptions and Catalog'!$F$56,IF(((D671+E671)*C671)&lt;='Assumptions and Catalog'!$C$57,((D671+E671)*C671)*'Assumptions and Catalog'!$H$57+'Assumptions and Catalog'!$E$57+'Assumptions and Catalog'!$F$57,"Out of range")))))))),IF(((D671+E671)*C671)&lt;='Assumptions and Catalog'!$C$60,((D671+E671)*C671)*'Assumptions and Catalog'!$H$60+'Assumptions and Catalog'!$E$60+'Assumptions and Catalog'!$F$60,IF(((D671+E671)*C671)&lt;='Assumptions and Catalog'!$C$61,((D671+E671)*C671)*'Assumptions and Catalog'!$H$61+'Assumptions and Catalog'!$E$61+'Assumptions and Catalog'!$F$61,IF(((D671+E671)*C671)&lt;='Assumptions and Catalog'!$C$62,((D671+E671)*C671)*'Assumptions and Catalog'!$H$62+'Assumptions and Catalog'!$E$62+'Assumptions and Catalog'!$F$62,IF(((D671+E671)*C671)&lt;='Assumptions and Catalog'!$C$63,((D671+E671)*C671)*'Assumptions and Catalog'!$H$63+'Assumptions and Catalog'!$E$63+'Assumptions and Catalog'!$F$63,IF(((D671+E671)*C671)&lt;='Assumptions and Catalog'!$C$64,((D671+E671)*C671)*'Assumptions and Catalog'!$H$64+'Assumptions and Catalog'!$E$64+'Assumptions and Catalog'!$F$64,IF(((D671+E671)*C671)&lt;='Assumptions and Catalog'!$C$65,((D671+E671)*C671)*'Assumptions and Catalog'!$H$65+'Assumptions and Catalog'!$E$65+'Assumptions and Catalog'!$F$65,"Out of range")))))))))*(1+'Assumptions and Catalog'!$C$8)^(A671-1),0)</f>
        <v>8279</v>
      </c>
      <c r="N671" s="5">
        <f>IF(ISNUMBER(Inputs!$L$5),(IF(Inputs!$L$9="Actual flat rate",L671*Inputs!$L$10,IF(Inputs!$C$9="Residential",IF(L671&lt;='Assumptions and Catalog'!$C$50,L671*'Assumptions and Catalog'!$H$50+'Assumptions and Catalog'!$E$50+'Assumptions and Catalog'!$F$50,IF(L671&lt;='Assumptions and Catalog'!$C$51,L671*'Assumptions and Catalog'!$H$51+'Assumptions and Catalog'!$E$51+'Assumptions and Catalog'!$F$51,IF(L671&lt;='Assumptions and Catalog'!$C$52,L671*'Assumptions and Catalog'!$H$52+'Assumptions and Catalog'!$E$52+'Assumptions and Catalog'!$F$52,IF(L671&lt;='Assumptions and Catalog'!$C$53,L671*'Assumptions and Catalog'!$H$53+'Assumptions and Catalog'!$E$53+'Assumptions and Catalog'!$F$53,IF(L671&lt;='Assumptions and Catalog'!$C$54,L671*'Assumptions and Catalog'!$H$54+'Assumptions and Catalog'!$E$54+'Assumptions and Catalog'!$F$54,IF(L671&lt;='Assumptions and Catalog'!$C$55,L671*'Assumptions and Catalog'!$H$55+'Assumptions and Catalog'!$E$55+'Assumptions and Catalog'!$F$55,IF(L671&lt;='Assumptions and Catalog'!$C$56,L671*'Assumptions and Catalog'!$H$56+'Assumptions and Catalog'!$E$56+'Assumptions and Catalog'!$F$56,IF(L671&lt;='Assumptions and Catalog'!$C$57,L671*'Assumptions and Catalog'!$H$57+'Assumptions and Catalog'!$E$57+'Assumptions and Catalog'!$F$57,"Out of range")))))))),IF(L671&lt;='Assumptions and Catalog'!$C$60,L671*'Assumptions and Catalog'!$H$60+'Assumptions and Catalog'!$E$60+'Assumptions and Catalog'!$F$60,IF(L671&lt;='Assumptions and Catalog'!$C$61,L671*'Assumptions and Catalog'!$H$61+'Assumptions and Catalog'!$E$61+'Assumptions and Catalog'!$F$61,IF(L671&lt;='Assumptions and Catalog'!$C$62,L671*'Assumptions and Catalog'!$H$62+'Assumptions and Catalog'!$E$62+'Assumptions and Catalog'!$F$62,IF(L671&lt;='Assumptions and Catalog'!$C$63,L671*'Assumptions and Catalog'!$H$63+'Assumptions and Catalog'!$E$63+'Assumptions and Catalog'!$F$63,IF(L671&lt;='Assumptions and Catalog'!$C$64,L671*'Assumptions and Catalog'!$H$64+'Assumptions and Catalog'!$E$64+'Assumptions and Catalog'!$F$64,IF(L671&lt;='Assumptions and Catalog'!$C$65,L671*'Assumptions and Catalog'!$H$65+'Assumptions and Catalog'!$E$65+'Assumptions and Catalog'!$F$65,"Out of range")))))))))*(1+'Assumptions and Catalog'!$C$8)^(A671-1),0)</f>
        <v>5469.0643122676574</v>
      </c>
      <c r="O671" s="5">
        <f t="shared" si="51"/>
        <v>2809.9356877323426</v>
      </c>
      <c r="P671" s="5">
        <f>E$55*(1-L$14)*(1-'Assumptions and Catalog'!$C$23)^R671</f>
        <v>102.4</v>
      </c>
      <c r="Q671" s="5">
        <f>IF(ISNUMBER(Inputs!$L$5),(IF(Inputs!$L$9="Actual flat rate",((D671+E671)*C671-G671)*Inputs!$L$10,IF(Inputs!$C$9="Residential",IF(((D671+E671)*C671-G671)&lt;='Assumptions and Catalog'!$C$50,((D671+E671)*C671-G671)*'Assumptions and Catalog'!$H$50+'Assumptions and Catalog'!$E$50+'Assumptions and Catalog'!$F$50,IF(((D671+E671)*C671-G671)&lt;='Assumptions and Catalog'!$C$51,((D671+E671)*C671-G671)*'Assumptions and Catalog'!$H$51+'Assumptions and Catalog'!$E$51+'Assumptions and Catalog'!$F$51,IF(((D671+E671)*C671-G671)&lt;='Assumptions and Catalog'!$C$52,((D671+E671)*C671-G671)*'Assumptions and Catalog'!$H$52+'Assumptions and Catalog'!$E$52+'Assumptions and Catalog'!$F$52,IF(((D671+E671)*C671-G671)&lt;='Assumptions and Catalog'!$C$53,((D671+E671)*C671-G671)*'Assumptions and Catalog'!$H$53+'Assumptions and Catalog'!$E$53+'Assumptions and Catalog'!$F$53,IF(((D671+E671)*C671-G671)&lt;='Assumptions and Catalog'!$C$54,((D671+E671)*C671-G671)*'Assumptions and Catalog'!$H$54+'Assumptions and Catalog'!$E$54+'Assumptions and Catalog'!$F$54,IF(((D671+E671)*C671-G671)&lt;='Assumptions and Catalog'!$C$55,((D671+E671)*C671-G671)*'Assumptions and Catalog'!$H$55+'Assumptions and Catalog'!$E$55+'Assumptions and Catalog'!$F$55,IF(((D671+E671)*C671-G671)&lt;='Assumptions and Catalog'!$C$56,((D671+E671)*C671-G671)*'Assumptions and Catalog'!$H$56+'Assumptions and Catalog'!$E$56+'Assumptions and Catalog'!$F$56,IF(((D671+E671)*C671-G671)&lt;='Assumptions and Catalog'!$C$57,((D671+E671)*C671-G671)*'Assumptions and Catalog'!$H$57+'Assumptions and Catalog'!$E$57+'Assumptions and Catalog'!$F$57,"Out of range")))))))),IF(((D671+E671)*C671-G671)&lt;='Assumptions and Catalog'!$C$60,((D671+E671)*C671-G671)*'Assumptions and Catalog'!$H$60+'Assumptions and Catalog'!$E$60+'Assumptions and Catalog'!$F$60,IF(((D671+E671)*C671-G671)&lt;='Assumptions and Catalog'!$C$61,((D671+E671)*C671-G671)*'Assumptions and Catalog'!$H$61+'Assumptions and Catalog'!$E$61+'Assumptions and Catalog'!$F$61,IF(((D671+E671)*C671-G671)&lt;='Assumptions and Catalog'!$C$62,((D671+E671)*C671-G671)*'Assumptions and Catalog'!$H$62+'Assumptions and Catalog'!$E$62+'Assumptions and Catalog'!$F$62,IF(((D671+E671)*C671-G671)&lt;='Assumptions and Catalog'!$C$63,((D671+E671)*C671-G671)*'Assumptions and Catalog'!$H$63+'Assumptions and Catalog'!$E$63+'Assumptions and Catalog'!$F$63,IF(((D671+E671)*C671-G671)&lt;='Assumptions and Catalog'!$C$64,((D671+E671)*C671-G671)*'Assumptions and Catalog'!$H$64+'Assumptions and Catalog'!$E$64+'Assumptions and Catalog'!$F$64,IF(((D671+E671)*C671-G671)&lt;='Assumptions and Catalog'!$C$65,((D671+E671)*C671-G671)*'Assumptions and Catalog'!$H$65+'Assumptions and Catalog'!$E$65+'Assumptions and Catalog'!$F$65,"Out of range")))))))))*(1+'Assumptions and Catalog'!$C$8)^(A671-1),0)</f>
        <v>5469.0643122676574</v>
      </c>
      <c r="R671" s="5">
        <f>IF(AND('Assumptions and Catalog'!$C$19&gt;0,A671&gt;='Assumptions and Catalog'!$C$19),A671-'Assumptions and Catalog'!$C$19,A671-1)</f>
        <v>0</v>
      </c>
      <c r="S671" s="5">
        <f>F671+L671-(D671+E671)*C671-J671-K671-IF(E$52&gt;0,'Assumptions and Catalog'!$C$26*C671,0)</f>
        <v>0</v>
      </c>
      <c r="T671" s="5"/>
      <c r="U671" s="5"/>
    </row>
    <row r="672" spans="1:21" ht="23.1" customHeight="1" outlineLevel="1" x14ac:dyDescent="0.2">
      <c r="A672" s="5">
        <v>1</v>
      </c>
      <c r="B672" s="5">
        <v>12</v>
      </c>
      <c r="C672" s="5">
        <f>DAY(DATE('Assumptions and Catalog'!$C$24+A672-1,B672+1,0))</f>
        <v>31</v>
      </c>
      <c r="D672" s="5">
        <f>IF(ISNUMBER(Inputs!$L$5),Inputs!$L$5*Inputs!$L$6,0)</f>
        <v>40.35</v>
      </c>
      <c r="E672" s="5">
        <f>IF(ISNUMBER(Inputs!$L$5),Inputs!$L$5-D672,0)</f>
        <v>40.35</v>
      </c>
      <c r="F672" s="5">
        <f>E$51*'Assumptions and Catalog'!$C$31*C672*(1-'Assumptions and Catalog'!$C$10)^(A672-1)</f>
        <v>849.09</v>
      </c>
      <c r="G672" s="5">
        <f t="shared" si="48"/>
        <v>849.09</v>
      </c>
      <c r="H672" s="5">
        <f>I672/('Assumptions and Catalog'!$C$11*'Assumptions and Catalog'!$C$12)</f>
        <v>0</v>
      </c>
      <c r="I672" s="5">
        <f>MIN(E672*C672,P672*'Assumptions and Catalog'!$C$12*C672,(F672-G672)*'Assumptions and Catalog'!$C$11*'Assumptions and Catalog'!$C$12,E$56*'Assumptions and Catalog'!$C$14*'Assumptions and Catalog'!$C$11*'Assumptions and Catalog'!$C$12*C672,E$57*(24-'Assumptions and Catalog'!$C$13)*C672)</f>
        <v>0</v>
      </c>
      <c r="J672" s="5">
        <f t="shared" si="49"/>
        <v>0</v>
      </c>
      <c r="K672" s="5">
        <f t="shared" si="50"/>
        <v>0</v>
      </c>
      <c r="L672" s="5">
        <f>(D672+E672)*C672-G672-I672+0+IF(E$52&gt;0,'Assumptions and Catalog'!$C$26*C672,0)</f>
        <v>1652.6100000000001</v>
      </c>
      <c r="M672" s="5">
        <f>IF(ISNUMBER(Inputs!$L$5),(IF(Inputs!$L$9="Actual flat rate",((D672+E672)*C672)*Inputs!$L$10,IF(Inputs!$C$9="Residential",IF(((D672+E672)*C672)&lt;='Assumptions and Catalog'!$C$50,((D672+E672)*C672)*'Assumptions and Catalog'!$H$50+'Assumptions and Catalog'!$E$50+'Assumptions and Catalog'!$F$50,IF(((D672+E672)*C672)&lt;='Assumptions and Catalog'!$C$51,((D672+E672)*C672)*'Assumptions and Catalog'!$H$51+'Assumptions and Catalog'!$E$51+'Assumptions and Catalog'!$F$51,IF(((D672+E672)*C672)&lt;='Assumptions and Catalog'!$C$52,((D672+E672)*C672)*'Assumptions and Catalog'!$H$52+'Assumptions and Catalog'!$E$52+'Assumptions and Catalog'!$F$52,IF(((D672+E672)*C672)&lt;='Assumptions and Catalog'!$C$53,((D672+E672)*C672)*'Assumptions and Catalog'!$H$53+'Assumptions and Catalog'!$E$53+'Assumptions and Catalog'!$F$53,IF(((D672+E672)*C672)&lt;='Assumptions and Catalog'!$C$54,((D672+E672)*C672)*'Assumptions and Catalog'!$H$54+'Assumptions and Catalog'!$E$54+'Assumptions and Catalog'!$F$54,IF(((D672+E672)*C672)&lt;='Assumptions and Catalog'!$C$55,((D672+E672)*C672)*'Assumptions and Catalog'!$H$55+'Assumptions and Catalog'!$E$55+'Assumptions and Catalog'!$F$55,IF(((D672+E672)*C672)&lt;='Assumptions and Catalog'!$C$56,((D672+E672)*C672)*'Assumptions and Catalog'!$H$56+'Assumptions and Catalog'!$E$56+'Assumptions and Catalog'!$F$56,IF(((D672+E672)*C672)&lt;='Assumptions and Catalog'!$C$57,((D672+E672)*C672)*'Assumptions and Catalog'!$H$57+'Assumptions and Catalog'!$E$57+'Assumptions and Catalog'!$F$57,"Out of range")))))))),IF(((D672+E672)*C672)&lt;='Assumptions and Catalog'!$C$60,((D672+E672)*C672)*'Assumptions and Catalog'!$H$60+'Assumptions and Catalog'!$E$60+'Assumptions and Catalog'!$F$60,IF(((D672+E672)*C672)&lt;='Assumptions and Catalog'!$C$61,((D672+E672)*C672)*'Assumptions and Catalog'!$H$61+'Assumptions and Catalog'!$E$61+'Assumptions and Catalog'!$F$61,IF(((D672+E672)*C672)&lt;='Assumptions and Catalog'!$C$62,((D672+E672)*C672)*'Assumptions and Catalog'!$H$62+'Assumptions and Catalog'!$E$62+'Assumptions and Catalog'!$F$62,IF(((D672+E672)*C672)&lt;='Assumptions and Catalog'!$C$63,((D672+E672)*C672)*'Assumptions and Catalog'!$H$63+'Assumptions and Catalog'!$E$63+'Assumptions and Catalog'!$F$63,IF(((D672+E672)*C672)&lt;='Assumptions and Catalog'!$C$64,((D672+E672)*C672)*'Assumptions and Catalog'!$H$64+'Assumptions and Catalog'!$E$64+'Assumptions and Catalog'!$F$64,IF(((D672+E672)*C672)&lt;='Assumptions and Catalog'!$C$65,((D672+E672)*C672)*'Assumptions and Catalog'!$H$65+'Assumptions and Catalog'!$E$65+'Assumptions and Catalog'!$F$65,"Out of range")))))))))*(1+'Assumptions and Catalog'!$C$8)^(A672-1),0)</f>
        <v>8554.9666666666672</v>
      </c>
      <c r="N672" s="5">
        <f>IF(ISNUMBER(Inputs!$L$5),(IF(Inputs!$L$9="Actual flat rate",L672*Inputs!$L$10,IF(Inputs!$C$9="Residential",IF(L672&lt;='Assumptions and Catalog'!$C$50,L672*'Assumptions and Catalog'!$H$50+'Assumptions and Catalog'!$E$50+'Assumptions and Catalog'!$F$50,IF(L672&lt;='Assumptions and Catalog'!$C$51,L672*'Assumptions and Catalog'!$H$51+'Assumptions and Catalog'!$E$51+'Assumptions and Catalog'!$F$51,IF(L672&lt;='Assumptions and Catalog'!$C$52,L672*'Assumptions and Catalog'!$H$52+'Assumptions and Catalog'!$E$52+'Assumptions and Catalog'!$F$52,IF(L672&lt;='Assumptions and Catalog'!$C$53,L672*'Assumptions and Catalog'!$H$53+'Assumptions and Catalog'!$E$53+'Assumptions and Catalog'!$F$53,IF(L672&lt;='Assumptions and Catalog'!$C$54,L672*'Assumptions and Catalog'!$H$54+'Assumptions and Catalog'!$E$54+'Assumptions and Catalog'!$F$54,IF(L672&lt;='Assumptions and Catalog'!$C$55,L672*'Assumptions and Catalog'!$H$55+'Assumptions and Catalog'!$E$55+'Assumptions and Catalog'!$F$55,IF(L672&lt;='Assumptions and Catalog'!$C$56,L672*'Assumptions and Catalog'!$H$56+'Assumptions and Catalog'!$E$56+'Assumptions and Catalog'!$F$56,IF(L672&lt;='Assumptions and Catalog'!$C$57,L672*'Assumptions and Catalog'!$H$57+'Assumptions and Catalog'!$E$57+'Assumptions and Catalog'!$F$57,"Out of range")))))))),IF(L672&lt;='Assumptions and Catalog'!$C$60,L672*'Assumptions and Catalog'!$H$60+'Assumptions and Catalog'!$E$60+'Assumptions and Catalog'!$F$60,IF(L672&lt;='Assumptions and Catalog'!$C$61,L672*'Assumptions and Catalog'!$H$61+'Assumptions and Catalog'!$E$61+'Assumptions and Catalog'!$F$61,IF(L672&lt;='Assumptions and Catalog'!$C$62,L672*'Assumptions and Catalog'!$H$62+'Assumptions and Catalog'!$E$62+'Assumptions and Catalog'!$F$62,IF(L672&lt;='Assumptions and Catalog'!$C$63,L672*'Assumptions and Catalog'!$H$63+'Assumptions and Catalog'!$E$63+'Assumptions and Catalog'!$F$63,IF(L672&lt;='Assumptions and Catalog'!$C$64,L672*'Assumptions and Catalog'!$H$64+'Assumptions and Catalog'!$E$64+'Assumptions and Catalog'!$F$64,IF(L672&lt;='Assumptions and Catalog'!$C$65,L672*'Assumptions and Catalog'!$H$65+'Assumptions and Catalog'!$E$65+'Assumptions and Catalog'!$F$65,"Out of range")))))))))*(1+'Assumptions and Catalog'!$C$8)^(A672-1),0)</f>
        <v>5651.3664560099132</v>
      </c>
      <c r="O672" s="5">
        <f t="shared" si="51"/>
        <v>2903.6002106567539</v>
      </c>
      <c r="P672" s="5">
        <f>E$55*(1-L$14)*(1-'Assumptions and Catalog'!$C$23)^R672</f>
        <v>102.4</v>
      </c>
      <c r="Q672" s="5">
        <f>IF(ISNUMBER(Inputs!$L$5),(IF(Inputs!$L$9="Actual flat rate",((D672+E672)*C672-G672)*Inputs!$L$10,IF(Inputs!$C$9="Residential",IF(((D672+E672)*C672-G672)&lt;='Assumptions and Catalog'!$C$50,((D672+E672)*C672-G672)*'Assumptions and Catalog'!$H$50+'Assumptions and Catalog'!$E$50+'Assumptions and Catalog'!$F$50,IF(((D672+E672)*C672-G672)&lt;='Assumptions and Catalog'!$C$51,((D672+E672)*C672-G672)*'Assumptions and Catalog'!$H$51+'Assumptions and Catalog'!$E$51+'Assumptions and Catalog'!$F$51,IF(((D672+E672)*C672-G672)&lt;='Assumptions and Catalog'!$C$52,((D672+E672)*C672-G672)*'Assumptions and Catalog'!$H$52+'Assumptions and Catalog'!$E$52+'Assumptions and Catalog'!$F$52,IF(((D672+E672)*C672-G672)&lt;='Assumptions and Catalog'!$C$53,((D672+E672)*C672-G672)*'Assumptions and Catalog'!$H$53+'Assumptions and Catalog'!$E$53+'Assumptions and Catalog'!$F$53,IF(((D672+E672)*C672-G672)&lt;='Assumptions and Catalog'!$C$54,((D672+E672)*C672-G672)*'Assumptions and Catalog'!$H$54+'Assumptions and Catalog'!$E$54+'Assumptions and Catalog'!$F$54,IF(((D672+E672)*C672-G672)&lt;='Assumptions and Catalog'!$C$55,((D672+E672)*C672-G672)*'Assumptions and Catalog'!$H$55+'Assumptions and Catalog'!$E$55+'Assumptions and Catalog'!$F$55,IF(((D672+E672)*C672-G672)&lt;='Assumptions and Catalog'!$C$56,((D672+E672)*C672-G672)*'Assumptions and Catalog'!$H$56+'Assumptions and Catalog'!$E$56+'Assumptions and Catalog'!$F$56,IF(((D672+E672)*C672-G672)&lt;='Assumptions and Catalog'!$C$57,((D672+E672)*C672-G672)*'Assumptions and Catalog'!$H$57+'Assumptions and Catalog'!$E$57+'Assumptions and Catalog'!$F$57,"Out of range")))))))),IF(((D672+E672)*C672-G672)&lt;='Assumptions and Catalog'!$C$60,((D672+E672)*C672-G672)*'Assumptions and Catalog'!$H$60+'Assumptions and Catalog'!$E$60+'Assumptions and Catalog'!$F$60,IF(((D672+E672)*C672-G672)&lt;='Assumptions and Catalog'!$C$61,((D672+E672)*C672-G672)*'Assumptions and Catalog'!$H$61+'Assumptions and Catalog'!$E$61+'Assumptions and Catalog'!$F$61,IF(((D672+E672)*C672-G672)&lt;='Assumptions and Catalog'!$C$62,((D672+E672)*C672-G672)*'Assumptions and Catalog'!$H$62+'Assumptions and Catalog'!$E$62+'Assumptions and Catalog'!$F$62,IF(((D672+E672)*C672-G672)&lt;='Assumptions and Catalog'!$C$63,((D672+E672)*C672-G672)*'Assumptions and Catalog'!$H$63+'Assumptions and Catalog'!$E$63+'Assumptions and Catalog'!$F$63,IF(((D672+E672)*C672-G672)&lt;='Assumptions and Catalog'!$C$64,((D672+E672)*C672-G672)*'Assumptions and Catalog'!$H$64+'Assumptions and Catalog'!$E$64+'Assumptions and Catalog'!$F$64,IF(((D672+E672)*C672-G672)&lt;='Assumptions and Catalog'!$C$65,((D672+E672)*C672-G672)*'Assumptions and Catalog'!$H$65+'Assumptions and Catalog'!$E$65+'Assumptions and Catalog'!$F$65,"Out of range")))))))))*(1+'Assumptions and Catalog'!$C$8)^(A672-1),0)</f>
        <v>5651.3664560099132</v>
      </c>
      <c r="R672" s="5">
        <f>IF(AND('Assumptions and Catalog'!$C$19&gt;0,A672&gt;='Assumptions and Catalog'!$C$19),A672-'Assumptions and Catalog'!$C$19,A672-1)</f>
        <v>0</v>
      </c>
      <c r="S672" s="5">
        <f>F672+L672-(D672+E672)*C672-J672-K672-IF(E$52&gt;0,'Assumptions and Catalog'!$C$26*C672,0)</f>
        <v>0</v>
      </c>
      <c r="T672" s="5"/>
      <c r="U672" s="5"/>
    </row>
    <row r="673" spans="1:21" ht="23.1" customHeight="1" outlineLevel="1" x14ac:dyDescent="0.2">
      <c r="A673" s="5">
        <v>2</v>
      </c>
      <c r="B673" s="5">
        <v>1</v>
      </c>
      <c r="C673" s="5">
        <f>DAY(DATE('Assumptions and Catalog'!$C$24+A673-1,B673+1,0))</f>
        <v>31</v>
      </c>
      <c r="D673" s="5">
        <f>IF(ISNUMBER(Inputs!$L$5),Inputs!$L$5*Inputs!$L$6,0)</f>
        <v>40.35</v>
      </c>
      <c r="E673" s="5">
        <f>IF(ISNUMBER(Inputs!$L$5),Inputs!$L$5-D673,0)</f>
        <v>40.35</v>
      </c>
      <c r="F673" s="5">
        <f>E$51*'Assumptions and Catalog'!$C$31*C673*(1-'Assumptions and Catalog'!$C$10)^(A673-1)</f>
        <v>844.84455000000003</v>
      </c>
      <c r="G673" s="5">
        <f t="shared" si="48"/>
        <v>844.84455000000003</v>
      </c>
      <c r="H673" s="5">
        <f>I673/('Assumptions and Catalog'!$C$11*'Assumptions and Catalog'!$C$12)</f>
        <v>0</v>
      </c>
      <c r="I673" s="5">
        <f>MIN(E673*C673,P673*'Assumptions and Catalog'!$C$12*C673,(F673-G673)*'Assumptions and Catalog'!$C$11*'Assumptions and Catalog'!$C$12,E$56*'Assumptions and Catalog'!$C$14*'Assumptions and Catalog'!$C$11*'Assumptions and Catalog'!$C$12*C673,E$57*(24-'Assumptions and Catalog'!$C$13)*C673)</f>
        <v>0</v>
      </c>
      <c r="J673" s="5">
        <f t="shared" si="49"/>
        <v>0</v>
      </c>
      <c r="K673" s="5">
        <f t="shared" si="50"/>
        <v>0</v>
      </c>
      <c r="L673" s="5">
        <f>(D673+E673)*C673-G673-I673+0+IF(E$52&gt;0,'Assumptions and Catalog'!$C$26*C673,0)</f>
        <v>1656.8554500000002</v>
      </c>
      <c r="M673" s="5">
        <f>IF(ISNUMBER(Inputs!$L$5),(IF(Inputs!$L$9="Actual flat rate",((D673+E673)*C673)*Inputs!$L$10,IF(Inputs!$C$9="Residential",IF(((D673+E673)*C673)&lt;='Assumptions and Catalog'!$C$50,((D673+E673)*C673)*'Assumptions and Catalog'!$H$50+'Assumptions and Catalog'!$E$50+'Assumptions and Catalog'!$F$50,IF(((D673+E673)*C673)&lt;='Assumptions and Catalog'!$C$51,((D673+E673)*C673)*'Assumptions and Catalog'!$H$51+'Assumptions and Catalog'!$E$51+'Assumptions and Catalog'!$F$51,IF(((D673+E673)*C673)&lt;='Assumptions and Catalog'!$C$52,((D673+E673)*C673)*'Assumptions and Catalog'!$H$52+'Assumptions and Catalog'!$E$52+'Assumptions and Catalog'!$F$52,IF(((D673+E673)*C673)&lt;='Assumptions and Catalog'!$C$53,((D673+E673)*C673)*'Assumptions and Catalog'!$H$53+'Assumptions and Catalog'!$E$53+'Assumptions and Catalog'!$F$53,IF(((D673+E673)*C673)&lt;='Assumptions and Catalog'!$C$54,((D673+E673)*C673)*'Assumptions and Catalog'!$H$54+'Assumptions and Catalog'!$E$54+'Assumptions and Catalog'!$F$54,IF(((D673+E673)*C673)&lt;='Assumptions and Catalog'!$C$55,((D673+E673)*C673)*'Assumptions and Catalog'!$H$55+'Assumptions and Catalog'!$E$55+'Assumptions and Catalog'!$F$55,IF(((D673+E673)*C673)&lt;='Assumptions and Catalog'!$C$56,((D673+E673)*C673)*'Assumptions and Catalog'!$H$56+'Assumptions and Catalog'!$E$56+'Assumptions and Catalog'!$F$56,IF(((D673+E673)*C673)&lt;='Assumptions and Catalog'!$C$57,((D673+E673)*C673)*'Assumptions and Catalog'!$H$57+'Assumptions and Catalog'!$E$57+'Assumptions and Catalog'!$F$57,"Out of range")))))))),IF(((D673+E673)*C673)&lt;='Assumptions and Catalog'!$C$60,((D673+E673)*C673)*'Assumptions and Catalog'!$H$60+'Assumptions and Catalog'!$E$60+'Assumptions and Catalog'!$F$60,IF(((D673+E673)*C673)&lt;='Assumptions and Catalog'!$C$61,((D673+E673)*C673)*'Assumptions and Catalog'!$H$61+'Assumptions and Catalog'!$E$61+'Assumptions and Catalog'!$F$61,IF(((D673+E673)*C673)&lt;='Assumptions and Catalog'!$C$62,((D673+E673)*C673)*'Assumptions and Catalog'!$H$62+'Assumptions and Catalog'!$E$62+'Assumptions and Catalog'!$F$62,IF(((D673+E673)*C673)&lt;='Assumptions and Catalog'!$C$63,((D673+E673)*C673)*'Assumptions and Catalog'!$H$63+'Assumptions and Catalog'!$E$63+'Assumptions and Catalog'!$F$63,IF(((D673+E673)*C673)&lt;='Assumptions and Catalog'!$C$64,((D673+E673)*C673)*'Assumptions and Catalog'!$H$64+'Assumptions and Catalog'!$E$64+'Assumptions and Catalog'!$F$64,IF(((D673+E673)*C673)&lt;='Assumptions and Catalog'!$C$65,((D673+E673)*C673)*'Assumptions and Catalog'!$H$65+'Assumptions and Catalog'!$E$65+'Assumptions and Catalog'!$F$65,"Out of range")))))))))*(1+'Assumptions and Catalog'!$C$8)^(A673-1),0)</f>
        <v>8554.9666666666672</v>
      </c>
      <c r="N673" s="5">
        <f>IF(ISNUMBER(Inputs!$L$5),(IF(Inputs!$L$9="Actual flat rate",L673*Inputs!$L$10,IF(Inputs!$C$9="Residential",IF(L673&lt;='Assumptions and Catalog'!$C$50,L673*'Assumptions and Catalog'!$H$50+'Assumptions and Catalog'!$E$50+'Assumptions and Catalog'!$F$50,IF(L673&lt;='Assumptions and Catalog'!$C$51,L673*'Assumptions and Catalog'!$H$51+'Assumptions and Catalog'!$E$51+'Assumptions and Catalog'!$F$51,IF(L673&lt;='Assumptions and Catalog'!$C$52,L673*'Assumptions and Catalog'!$H$52+'Assumptions and Catalog'!$E$52+'Assumptions and Catalog'!$F$52,IF(L673&lt;='Assumptions and Catalog'!$C$53,L673*'Assumptions and Catalog'!$H$53+'Assumptions and Catalog'!$E$53+'Assumptions and Catalog'!$F$53,IF(L673&lt;='Assumptions and Catalog'!$C$54,L673*'Assumptions and Catalog'!$H$54+'Assumptions and Catalog'!$E$54+'Assumptions and Catalog'!$F$54,IF(L673&lt;='Assumptions and Catalog'!$C$55,L673*'Assumptions and Catalog'!$H$55+'Assumptions and Catalog'!$E$55+'Assumptions and Catalog'!$F$55,IF(L673&lt;='Assumptions and Catalog'!$C$56,L673*'Assumptions and Catalog'!$H$56+'Assumptions and Catalog'!$E$56+'Assumptions and Catalog'!$F$56,IF(L673&lt;='Assumptions and Catalog'!$C$57,L673*'Assumptions and Catalog'!$H$57+'Assumptions and Catalog'!$E$57+'Assumptions and Catalog'!$F$57,"Out of range")))))))),IF(L673&lt;='Assumptions and Catalog'!$C$60,L673*'Assumptions and Catalog'!$H$60+'Assumptions and Catalog'!$E$60+'Assumptions and Catalog'!$F$60,IF(L673&lt;='Assumptions and Catalog'!$C$61,L673*'Assumptions and Catalog'!$H$61+'Assumptions and Catalog'!$E$61+'Assumptions and Catalog'!$F$61,IF(L673&lt;='Assumptions and Catalog'!$C$62,L673*'Assumptions and Catalog'!$H$62+'Assumptions and Catalog'!$E$62+'Assumptions and Catalog'!$F$62,IF(L673&lt;='Assumptions and Catalog'!$C$63,L673*'Assumptions and Catalog'!$H$63+'Assumptions and Catalog'!$E$63+'Assumptions and Catalog'!$F$63,IF(L673&lt;='Assumptions and Catalog'!$C$64,L673*'Assumptions and Catalog'!$H$64+'Assumptions and Catalog'!$E$64+'Assumptions and Catalog'!$F$64,IF(L673&lt;='Assumptions and Catalog'!$C$65,L673*'Assumptions and Catalog'!$H$65+'Assumptions and Catalog'!$E$65+'Assumptions and Catalog'!$F$65,"Out of range")))))))))*(1+'Assumptions and Catalog'!$C$8)^(A673-1),0)</f>
        <v>5665.8844570631973</v>
      </c>
      <c r="O673" s="5">
        <f t="shared" si="51"/>
        <v>2889.0822096034699</v>
      </c>
      <c r="P673" s="5">
        <f>E$55*(1-L$14)*(1-'Assumptions and Catalog'!$C$23)^R673</f>
        <v>100.352</v>
      </c>
      <c r="Q673" s="5">
        <f>IF(ISNUMBER(Inputs!$L$5),(IF(Inputs!$L$9="Actual flat rate",((D673+E673)*C673-G673)*Inputs!$L$10,IF(Inputs!$C$9="Residential",IF(((D673+E673)*C673-G673)&lt;='Assumptions and Catalog'!$C$50,((D673+E673)*C673-G673)*'Assumptions and Catalog'!$H$50+'Assumptions and Catalog'!$E$50+'Assumptions and Catalog'!$F$50,IF(((D673+E673)*C673-G673)&lt;='Assumptions and Catalog'!$C$51,((D673+E673)*C673-G673)*'Assumptions and Catalog'!$H$51+'Assumptions and Catalog'!$E$51+'Assumptions and Catalog'!$F$51,IF(((D673+E673)*C673-G673)&lt;='Assumptions and Catalog'!$C$52,((D673+E673)*C673-G673)*'Assumptions and Catalog'!$H$52+'Assumptions and Catalog'!$E$52+'Assumptions and Catalog'!$F$52,IF(((D673+E673)*C673-G673)&lt;='Assumptions and Catalog'!$C$53,((D673+E673)*C673-G673)*'Assumptions and Catalog'!$H$53+'Assumptions and Catalog'!$E$53+'Assumptions and Catalog'!$F$53,IF(((D673+E673)*C673-G673)&lt;='Assumptions and Catalog'!$C$54,((D673+E673)*C673-G673)*'Assumptions and Catalog'!$H$54+'Assumptions and Catalog'!$E$54+'Assumptions and Catalog'!$F$54,IF(((D673+E673)*C673-G673)&lt;='Assumptions and Catalog'!$C$55,((D673+E673)*C673-G673)*'Assumptions and Catalog'!$H$55+'Assumptions and Catalog'!$E$55+'Assumptions and Catalog'!$F$55,IF(((D673+E673)*C673-G673)&lt;='Assumptions and Catalog'!$C$56,((D673+E673)*C673-G673)*'Assumptions and Catalog'!$H$56+'Assumptions and Catalog'!$E$56+'Assumptions and Catalog'!$F$56,IF(((D673+E673)*C673-G673)&lt;='Assumptions and Catalog'!$C$57,((D673+E673)*C673-G673)*'Assumptions and Catalog'!$H$57+'Assumptions and Catalog'!$E$57+'Assumptions and Catalog'!$F$57,"Out of range")))))))),IF(((D673+E673)*C673-G673)&lt;='Assumptions and Catalog'!$C$60,((D673+E673)*C673-G673)*'Assumptions and Catalog'!$H$60+'Assumptions and Catalog'!$E$60+'Assumptions and Catalog'!$F$60,IF(((D673+E673)*C673-G673)&lt;='Assumptions and Catalog'!$C$61,((D673+E673)*C673-G673)*'Assumptions and Catalog'!$H$61+'Assumptions and Catalog'!$E$61+'Assumptions and Catalog'!$F$61,IF(((D673+E673)*C673-G673)&lt;='Assumptions and Catalog'!$C$62,((D673+E673)*C673-G673)*'Assumptions and Catalog'!$H$62+'Assumptions and Catalog'!$E$62+'Assumptions and Catalog'!$F$62,IF(((D673+E673)*C673-G673)&lt;='Assumptions and Catalog'!$C$63,((D673+E673)*C673-G673)*'Assumptions and Catalog'!$H$63+'Assumptions and Catalog'!$E$63+'Assumptions and Catalog'!$F$63,IF(((D673+E673)*C673-G673)&lt;='Assumptions and Catalog'!$C$64,((D673+E673)*C673-G673)*'Assumptions and Catalog'!$H$64+'Assumptions and Catalog'!$E$64+'Assumptions and Catalog'!$F$64,IF(((D673+E673)*C673-G673)&lt;='Assumptions and Catalog'!$C$65,((D673+E673)*C673-G673)*'Assumptions and Catalog'!$H$65+'Assumptions and Catalog'!$E$65+'Assumptions and Catalog'!$F$65,"Out of range")))))))))*(1+'Assumptions and Catalog'!$C$8)^(A673-1),0)</f>
        <v>5665.8844570631973</v>
      </c>
      <c r="R673" s="5">
        <f>IF(AND('Assumptions and Catalog'!$C$19&gt;0,A673&gt;='Assumptions and Catalog'!$C$19),A673-'Assumptions and Catalog'!$C$19,A673-1)</f>
        <v>1</v>
      </c>
      <c r="S673" s="5">
        <f>F673+L673-(D673+E673)*C673-J673-K673-IF(E$52&gt;0,'Assumptions and Catalog'!$C$26*C673,0)</f>
        <v>0</v>
      </c>
      <c r="T673" s="5"/>
      <c r="U673" s="5"/>
    </row>
    <row r="674" spans="1:21" ht="23.1" customHeight="1" outlineLevel="1" x14ac:dyDescent="0.2">
      <c r="A674" s="5">
        <v>2</v>
      </c>
      <c r="B674" s="5">
        <v>2</v>
      </c>
      <c r="C674" s="5">
        <f>DAY(DATE('Assumptions and Catalog'!$C$24+A674-1,B674+1,0))</f>
        <v>29</v>
      </c>
      <c r="D674" s="5">
        <f>IF(ISNUMBER(Inputs!$L$5),Inputs!$L$5*Inputs!$L$6,0)</f>
        <v>40.35</v>
      </c>
      <c r="E674" s="5">
        <f>IF(ISNUMBER(Inputs!$L$5),Inputs!$L$5-D674,0)</f>
        <v>40.35</v>
      </c>
      <c r="F674" s="5">
        <f>E$51*'Assumptions and Catalog'!$C$31*C674*(1-'Assumptions and Catalog'!$C$10)^(A674-1)</f>
        <v>790.33845000000008</v>
      </c>
      <c r="G674" s="5">
        <f t="shared" si="48"/>
        <v>790.33845000000008</v>
      </c>
      <c r="H674" s="5">
        <f>I674/('Assumptions and Catalog'!$C$11*'Assumptions and Catalog'!$C$12)</f>
        <v>0</v>
      </c>
      <c r="I674" s="5">
        <f>MIN(E674*C674,P674*'Assumptions and Catalog'!$C$12*C674,(F674-G674)*'Assumptions and Catalog'!$C$11*'Assumptions and Catalog'!$C$12,E$56*'Assumptions and Catalog'!$C$14*'Assumptions and Catalog'!$C$11*'Assumptions and Catalog'!$C$12*C674,E$57*(24-'Assumptions and Catalog'!$C$13)*C674)</f>
        <v>0</v>
      </c>
      <c r="J674" s="5">
        <f t="shared" si="49"/>
        <v>0</v>
      </c>
      <c r="K674" s="5">
        <f t="shared" si="50"/>
        <v>0</v>
      </c>
      <c r="L674" s="5">
        <f>(D674+E674)*C674-G674-I674+0+IF(E$52&gt;0,'Assumptions and Catalog'!$C$26*C674,0)</f>
        <v>1549.96155</v>
      </c>
      <c r="M674" s="5">
        <f>IF(ISNUMBER(Inputs!$L$5),(IF(Inputs!$L$9="Actual flat rate",((D674+E674)*C674)*Inputs!$L$10,IF(Inputs!$C$9="Residential",IF(((D674+E674)*C674)&lt;='Assumptions and Catalog'!$C$50,((D674+E674)*C674)*'Assumptions and Catalog'!$H$50+'Assumptions and Catalog'!$E$50+'Assumptions and Catalog'!$F$50,IF(((D674+E674)*C674)&lt;='Assumptions and Catalog'!$C$51,((D674+E674)*C674)*'Assumptions and Catalog'!$H$51+'Assumptions and Catalog'!$E$51+'Assumptions and Catalog'!$F$51,IF(((D674+E674)*C674)&lt;='Assumptions and Catalog'!$C$52,((D674+E674)*C674)*'Assumptions and Catalog'!$H$52+'Assumptions and Catalog'!$E$52+'Assumptions and Catalog'!$F$52,IF(((D674+E674)*C674)&lt;='Assumptions and Catalog'!$C$53,((D674+E674)*C674)*'Assumptions and Catalog'!$H$53+'Assumptions and Catalog'!$E$53+'Assumptions and Catalog'!$F$53,IF(((D674+E674)*C674)&lt;='Assumptions and Catalog'!$C$54,((D674+E674)*C674)*'Assumptions and Catalog'!$H$54+'Assumptions and Catalog'!$E$54+'Assumptions and Catalog'!$F$54,IF(((D674+E674)*C674)&lt;='Assumptions and Catalog'!$C$55,((D674+E674)*C674)*'Assumptions and Catalog'!$H$55+'Assumptions and Catalog'!$E$55+'Assumptions and Catalog'!$F$55,IF(((D674+E674)*C674)&lt;='Assumptions and Catalog'!$C$56,((D674+E674)*C674)*'Assumptions and Catalog'!$H$56+'Assumptions and Catalog'!$E$56+'Assumptions and Catalog'!$F$56,IF(((D674+E674)*C674)&lt;='Assumptions and Catalog'!$C$57,((D674+E674)*C674)*'Assumptions and Catalog'!$H$57+'Assumptions and Catalog'!$E$57+'Assumptions and Catalog'!$F$57,"Out of range")))))))),IF(((D674+E674)*C674)&lt;='Assumptions and Catalog'!$C$60,((D674+E674)*C674)*'Assumptions and Catalog'!$H$60+'Assumptions and Catalog'!$E$60+'Assumptions and Catalog'!$F$60,IF(((D674+E674)*C674)&lt;='Assumptions and Catalog'!$C$61,((D674+E674)*C674)*'Assumptions and Catalog'!$H$61+'Assumptions and Catalog'!$E$61+'Assumptions and Catalog'!$F$61,IF(((D674+E674)*C674)&lt;='Assumptions and Catalog'!$C$62,((D674+E674)*C674)*'Assumptions and Catalog'!$H$62+'Assumptions and Catalog'!$E$62+'Assumptions and Catalog'!$F$62,IF(((D674+E674)*C674)&lt;='Assumptions and Catalog'!$C$63,((D674+E674)*C674)*'Assumptions and Catalog'!$H$63+'Assumptions and Catalog'!$E$63+'Assumptions and Catalog'!$F$63,IF(((D674+E674)*C674)&lt;='Assumptions and Catalog'!$C$64,((D674+E674)*C674)*'Assumptions and Catalog'!$H$64+'Assumptions and Catalog'!$E$64+'Assumptions and Catalog'!$F$64,IF(((D674+E674)*C674)&lt;='Assumptions and Catalog'!$C$65,((D674+E674)*C674)*'Assumptions and Catalog'!$H$65+'Assumptions and Catalog'!$E$65+'Assumptions and Catalog'!$F$65,"Out of range")))))))))*(1+'Assumptions and Catalog'!$C$8)^(A674-1),0)</f>
        <v>8003.0333333333338</v>
      </c>
      <c r="N674" s="5">
        <f>IF(ISNUMBER(Inputs!$L$5),(IF(Inputs!$L$9="Actual flat rate",L674*Inputs!$L$10,IF(Inputs!$C$9="Residential",IF(L674&lt;='Assumptions and Catalog'!$C$50,L674*'Assumptions and Catalog'!$H$50+'Assumptions and Catalog'!$E$50+'Assumptions and Catalog'!$F$50,IF(L674&lt;='Assumptions and Catalog'!$C$51,L674*'Assumptions and Catalog'!$H$51+'Assumptions and Catalog'!$E$51+'Assumptions and Catalog'!$F$51,IF(L674&lt;='Assumptions and Catalog'!$C$52,L674*'Assumptions and Catalog'!$H$52+'Assumptions and Catalog'!$E$52+'Assumptions and Catalog'!$F$52,IF(L674&lt;='Assumptions and Catalog'!$C$53,L674*'Assumptions and Catalog'!$H$53+'Assumptions and Catalog'!$E$53+'Assumptions and Catalog'!$F$53,IF(L674&lt;='Assumptions and Catalog'!$C$54,L674*'Assumptions and Catalog'!$H$54+'Assumptions and Catalog'!$E$54+'Assumptions and Catalog'!$F$54,IF(L674&lt;='Assumptions and Catalog'!$C$55,L674*'Assumptions and Catalog'!$H$55+'Assumptions and Catalog'!$E$55+'Assumptions and Catalog'!$F$55,IF(L674&lt;='Assumptions and Catalog'!$C$56,L674*'Assumptions and Catalog'!$H$56+'Assumptions and Catalog'!$E$56+'Assumptions and Catalog'!$F$56,IF(L674&lt;='Assumptions and Catalog'!$C$57,L674*'Assumptions and Catalog'!$H$57+'Assumptions and Catalog'!$E$57+'Assumptions and Catalog'!$F$57,"Out of range")))))))),IF(L674&lt;='Assumptions and Catalog'!$C$60,L674*'Assumptions and Catalog'!$H$60+'Assumptions and Catalog'!$E$60+'Assumptions and Catalog'!$F$60,IF(L674&lt;='Assumptions and Catalog'!$C$61,L674*'Assumptions and Catalog'!$H$61+'Assumptions and Catalog'!$E$61+'Assumptions and Catalog'!$F$61,IF(L674&lt;='Assumptions and Catalog'!$C$62,L674*'Assumptions and Catalog'!$H$62+'Assumptions and Catalog'!$E$62+'Assumptions and Catalog'!$F$62,IF(L674&lt;='Assumptions and Catalog'!$C$63,L674*'Assumptions and Catalog'!$H$63+'Assumptions and Catalog'!$E$63+'Assumptions and Catalog'!$F$63,IF(L674&lt;='Assumptions and Catalog'!$C$64,L674*'Assumptions and Catalog'!$H$64+'Assumptions and Catalog'!$E$64+'Assumptions and Catalog'!$F$64,IF(L674&lt;='Assumptions and Catalog'!$C$65,L674*'Assumptions and Catalog'!$H$65+'Assumptions and Catalog'!$E$65+'Assumptions and Catalog'!$F$65,"Out of range")))))))))*(1+'Assumptions and Catalog'!$C$8)^(A674-1),0)</f>
        <v>5300.3435243494423</v>
      </c>
      <c r="O674" s="5">
        <f t="shared" si="51"/>
        <v>2702.6898089838915</v>
      </c>
      <c r="P674" s="5">
        <f>E$55*(1-L$14)*(1-'Assumptions and Catalog'!$C$23)^R674</f>
        <v>100.352</v>
      </c>
      <c r="Q674" s="5">
        <f>IF(ISNUMBER(Inputs!$L$5),(IF(Inputs!$L$9="Actual flat rate",((D674+E674)*C674-G674)*Inputs!$L$10,IF(Inputs!$C$9="Residential",IF(((D674+E674)*C674-G674)&lt;='Assumptions and Catalog'!$C$50,((D674+E674)*C674-G674)*'Assumptions and Catalog'!$H$50+'Assumptions and Catalog'!$E$50+'Assumptions and Catalog'!$F$50,IF(((D674+E674)*C674-G674)&lt;='Assumptions and Catalog'!$C$51,((D674+E674)*C674-G674)*'Assumptions and Catalog'!$H$51+'Assumptions and Catalog'!$E$51+'Assumptions and Catalog'!$F$51,IF(((D674+E674)*C674-G674)&lt;='Assumptions and Catalog'!$C$52,((D674+E674)*C674-G674)*'Assumptions and Catalog'!$H$52+'Assumptions and Catalog'!$E$52+'Assumptions and Catalog'!$F$52,IF(((D674+E674)*C674-G674)&lt;='Assumptions and Catalog'!$C$53,((D674+E674)*C674-G674)*'Assumptions and Catalog'!$H$53+'Assumptions and Catalog'!$E$53+'Assumptions and Catalog'!$F$53,IF(((D674+E674)*C674-G674)&lt;='Assumptions and Catalog'!$C$54,((D674+E674)*C674-G674)*'Assumptions and Catalog'!$H$54+'Assumptions and Catalog'!$E$54+'Assumptions and Catalog'!$F$54,IF(((D674+E674)*C674-G674)&lt;='Assumptions and Catalog'!$C$55,((D674+E674)*C674-G674)*'Assumptions and Catalog'!$H$55+'Assumptions and Catalog'!$E$55+'Assumptions and Catalog'!$F$55,IF(((D674+E674)*C674-G674)&lt;='Assumptions and Catalog'!$C$56,((D674+E674)*C674-G674)*'Assumptions and Catalog'!$H$56+'Assumptions and Catalog'!$E$56+'Assumptions and Catalog'!$F$56,IF(((D674+E674)*C674-G674)&lt;='Assumptions and Catalog'!$C$57,((D674+E674)*C674-G674)*'Assumptions and Catalog'!$H$57+'Assumptions and Catalog'!$E$57+'Assumptions and Catalog'!$F$57,"Out of range")))))))),IF(((D674+E674)*C674-G674)&lt;='Assumptions and Catalog'!$C$60,((D674+E674)*C674-G674)*'Assumptions and Catalog'!$H$60+'Assumptions and Catalog'!$E$60+'Assumptions and Catalog'!$F$60,IF(((D674+E674)*C674-G674)&lt;='Assumptions and Catalog'!$C$61,((D674+E674)*C674-G674)*'Assumptions and Catalog'!$H$61+'Assumptions and Catalog'!$E$61+'Assumptions and Catalog'!$F$61,IF(((D674+E674)*C674-G674)&lt;='Assumptions and Catalog'!$C$62,((D674+E674)*C674-G674)*'Assumptions and Catalog'!$H$62+'Assumptions and Catalog'!$E$62+'Assumptions and Catalog'!$F$62,IF(((D674+E674)*C674-G674)&lt;='Assumptions and Catalog'!$C$63,((D674+E674)*C674-G674)*'Assumptions and Catalog'!$H$63+'Assumptions and Catalog'!$E$63+'Assumptions and Catalog'!$F$63,IF(((D674+E674)*C674-G674)&lt;='Assumptions and Catalog'!$C$64,((D674+E674)*C674-G674)*'Assumptions and Catalog'!$H$64+'Assumptions and Catalog'!$E$64+'Assumptions and Catalog'!$F$64,IF(((D674+E674)*C674-G674)&lt;='Assumptions and Catalog'!$C$65,((D674+E674)*C674-G674)*'Assumptions and Catalog'!$H$65+'Assumptions and Catalog'!$E$65+'Assumptions and Catalog'!$F$65,"Out of range")))))))))*(1+'Assumptions and Catalog'!$C$8)^(A674-1),0)</f>
        <v>5300.3435243494423</v>
      </c>
      <c r="R674" s="5">
        <f>IF(AND('Assumptions and Catalog'!$C$19&gt;0,A674&gt;='Assumptions and Catalog'!$C$19),A674-'Assumptions and Catalog'!$C$19,A674-1)</f>
        <v>1</v>
      </c>
      <c r="S674" s="5">
        <f>F674+L674-(D674+E674)*C674-J674-K674-IF(E$52&gt;0,'Assumptions and Catalog'!$C$26*C674,0)</f>
        <v>0</v>
      </c>
      <c r="T674" s="5"/>
      <c r="U674" s="5"/>
    </row>
    <row r="675" spans="1:21" ht="23.1" customHeight="1" outlineLevel="1" x14ac:dyDescent="0.2">
      <c r="A675" s="5">
        <v>2</v>
      </c>
      <c r="B675" s="5">
        <v>3</v>
      </c>
      <c r="C675" s="5">
        <f>DAY(DATE('Assumptions and Catalog'!$C$24+A675-1,B675+1,0))</f>
        <v>31</v>
      </c>
      <c r="D675" s="5">
        <f>IF(ISNUMBER(Inputs!$L$5),Inputs!$L$5*Inputs!$L$6,0)</f>
        <v>40.35</v>
      </c>
      <c r="E675" s="5">
        <f>IF(ISNUMBER(Inputs!$L$5),Inputs!$L$5-D675,0)</f>
        <v>40.35</v>
      </c>
      <c r="F675" s="5">
        <f>E$51*'Assumptions and Catalog'!$C$31*C675*(1-'Assumptions and Catalog'!$C$10)^(A675-1)</f>
        <v>844.84455000000003</v>
      </c>
      <c r="G675" s="5">
        <f t="shared" si="48"/>
        <v>844.84455000000003</v>
      </c>
      <c r="H675" s="5">
        <f>I675/('Assumptions and Catalog'!$C$11*'Assumptions and Catalog'!$C$12)</f>
        <v>0</v>
      </c>
      <c r="I675" s="5">
        <f>MIN(E675*C675,P675*'Assumptions and Catalog'!$C$12*C675,(F675-G675)*'Assumptions and Catalog'!$C$11*'Assumptions and Catalog'!$C$12,E$56*'Assumptions and Catalog'!$C$14*'Assumptions and Catalog'!$C$11*'Assumptions and Catalog'!$C$12*C675,E$57*(24-'Assumptions and Catalog'!$C$13)*C675)</f>
        <v>0</v>
      </c>
      <c r="J675" s="5">
        <f t="shared" si="49"/>
        <v>0</v>
      </c>
      <c r="K675" s="5">
        <f t="shared" si="50"/>
        <v>0</v>
      </c>
      <c r="L675" s="5">
        <f>(D675+E675)*C675-G675-I675+0+IF(E$52&gt;0,'Assumptions and Catalog'!$C$26*C675,0)</f>
        <v>1656.8554500000002</v>
      </c>
      <c r="M675" s="5">
        <f>IF(ISNUMBER(Inputs!$L$5),(IF(Inputs!$L$9="Actual flat rate",((D675+E675)*C675)*Inputs!$L$10,IF(Inputs!$C$9="Residential",IF(((D675+E675)*C675)&lt;='Assumptions and Catalog'!$C$50,((D675+E675)*C675)*'Assumptions and Catalog'!$H$50+'Assumptions and Catalog'!$E$50+'Assumptions and Catalog'!$F$50,IF(((D675+E675)*C675)&lt;='Assumptions and Catalog'!$C$51,((D675+E675)*C675)*'Assumptions and Catalog'!$H$51+'Assumptions and Catalog'!$E$51+'Assumptions and Catalog'!$F$51,IF(((D675+E675)*C675)&lt;='Assumptions and Catalog'!$C$52,((D675+E675)*C675)*'Assumptions and Catalog'!$H$52+'Assumptions and Catalog'!$E$52+'Assumptions and Catalog'!$F$52,IF(((D675+E675)*C675)&lt;='Assumptions and Catalog'!$C$53,((D675+E675)*C675)*'Assumptions and Catalog'!$H$53+'Assumptions and Catalog'!$E$53+'Assumptions and Catalog'!$F$53,IF(((D675+E675)*C675)&lt;='Assumptions and Catalog'!$C$54,((D675+E675)*C675)*'Assumptions and Catalog'!$H$54+'Assumptions and Catalog'!$E$54+'Assumptions and Catalog'!$F$54,IF(((D675+E675)*C675)&lt;='Assumptions and Catalog'!$C$55,((D675+E675)*C675)*'Assumptions and Catalog'!$H$55+'Assumptions and Catalog'!$E$55+'Assumptions and Catalog'!$F$55,IF(((D675+E675)*C675)&lt;='Assumptions and Catalog'!$C$56,((D675+E675)*C675)*'Assumptions and Catalog'!$H$56+'Assumptions and Catalog'!$E$56+'Assumptions and Catalog'!$F$56,IF(((D675+E675)*C675)&lt;='Assumptions and Catalog'!$C$57,((D675+E675)*C675)*'Assumptions and Catalog'!$H$57+'Assumptions and Catalog'!$E$57+'Assumptions and Catalog'!$F$57,"Out of range")))))))),IF(((D675+E675)*C675)&lt;='Assumptions and Catalog'!$C$60,((D675+E675)*C675)*'Assumptions and Catalog'!$H$60+'Assumptions and Catalog'!$E$60+'Assumptions and Catalog'!$F$60,IF(((D675+E675)*C675)&lt;='Assumptions and Catalog'!$C$61,((D675+E675)*C675)*'Assumptions and Catalog'!$H$61+'Assumptions and Catalog'!$E$61+'Assumptions and Catalog'!$F$61,IF(((D675+E675)*C675)&lt;='Assumptions and Catalog'!$C$62,((D675+E675)*C675)*'Assumptions and Catalog'!$H$62+'Assumptions and Catalog'!$E$62+'Assumptions and Catalog'!$F$62,IF(((D675+E675)*C675)&lt;='Assumptions and Catalog'!$C$63,((D675+E675)*C675)*'Assumptions and Catalog'!$H$63+'Assumptions and Catalog'!$E$63+'Assumptions and Catalog'!$F$63,IF(((D675+E675)*C675)&lt;='Assumptions and Catalog'!$C$64,((D675+E675)*C675)*'Assumptions and Catalog'!$H$64+'Assumptions and Catalog'!$E$64+'Assumptions and Catalog'!$F$64,IF(((D675+E675)*C675)&lt;='Assumptions and Catalog'!$C$65,((D675+E675)*C675)*'Assumptions and Catalog'!$H$65+'Assumptions and Catalog'!$E$65+'Assumptions and Catalog'!$F$65,"Out of range")))))))))*(1+'Assumptions and Catalog'!$C$8)^(A675-1),0)</f>
        <v>8554.9666666666672</v>
      </c>
      <c r="N675" s="5">
        <f>IF(ISNUMBER(Inputs!$L$5),(IF(Inputs!$L$9="Actual flat rate",L675*Inputs!$L$10,IF(Inputs!$C$9="Residential",IF(L675&lt;='Assumptions and Catalog'!$C$50,L675*'Assumptions and Catalog'!$H$50+'Assumptions and Catalog'!$E$50+'Assumptions and Catalog'!$F$50,IF(L675&lt;='Assumptions and Catalog'!$C$51,L675*'Assumptions and Catalog'!$H$51+'Assumptions and Catalog'!$E$51+'Assumptions and Catalog'!$F$51,IF(L675&lt;='Assumptions and Catalog'!$C$52,L675*'Assumptions and Catalog'!$H$52+'Assumptions and Catalog'!$E$52+'Assumptions and Catalog'!$F$52,IF(L675&lt;='Assumptions and Catalog'!$C$53,L675*'Assumptions and Catalog'!$H$53+'Assumptions and Catalog'!$E$53+'Assumptions and Catalog'!$F$53,IF(L675&lt;='Assumptions and Catalog'!$C$54,L675*'Assumptions and Catalog'!$H$54+'Assumptions and Catalog'!$E$54+'Assumptions and Catalog'!$F$54,IF(L675&lt;='Assumptions and Catalog'!$C$55,L675*'Assumptions and Catalog'!$H$55+'Assumptions and Catalog'!$E$55+'Assumptions and Catalog'!$F$55,IF(L675&lt;='Assumptions and Catalog'!$C$56,L675*'Assumptions and Catalog'!$H$56+'Assumptions and Catalog'!$E$56+'Assumptions and Catalog'!$F$56,IF(L675&lt;='Assumptions and Catalog'!$C$57,L675*'Assumptions and Catalog'!$H$57+'Assumptions and Catalog'!$E$57+'Assumptions and Catalog'!$F$57,"Out of range")))))))),IF(L675&lt;='Assumptions and Catalog'!$C$60,L675*'Assumptions and Catalog'!$H$60+'Assumptions and Catalog'!$E$60+'Assumptions and Catalog'!$F$60,IF(L675&lt;='Assumptions and Catalog'!$C$61,L675*'Assumptions and Catalog'!$H$61+'Assumptions and Catalog'!$E$61+'Assumptions and Catalog'!$F$61,IF(L675&lt;='Assumptions and Catalog'!$C$62,L675*'Assumptions and Catalog'!$H$62+'Assumptions and Catalog'!$E$62+'Assumptions and Catalog'!$F$62,IF(L675&lt;='Assumptions and Catalog'!$C$63,L675*'Assumptions and Catalog'!$H$63+'Assumptions and Catalog'!$E$63+'Assumptions and Catalog'!$F$63,IF(L675&lt;='Assumptions and Catalog'!$C$64,L675*'Assumptions and Catalog'!$H$64+'Assumptions and Catalog'!$E$64+'Assumptions and Catalog'!$F$64,IF(L675&lt;='Assumptions and Catalog'!$C$65,L675*'Assumptions and Catalog'!$H$65+'Assumptions and Catalog'!$E$65+'Assumptions and Catalog'!$F$65,"Out of range")))))))))*(1+'Assumptions and Catalog'!$C$8)^(A675-1),0)</f>
        <v>5665.8844570631973</v>
      </c>
      <c r="O675" s="5">
        <f t="shared" si="51"/>
        <v>2889.0822096034699</v>
      </c>
      <c r="P675" s="5">
        <f>E$55*(1-L$14)*(1-'Assumptions and Catalog'!$C$23)^R675</f>
        <v>100.352</v>
      </c>
      <c r="Q675" s="5">
        <f>IF(ISNUMBER(Inputs!$L$5),(IF(Inputs!$L$9="Actual flat rate",((D675+E675)*C675-G675)*Inputs!$L$10,IF(Inputs!$C$9="Residential",IF(((D675+E675)*C675-G675)&lt;='Assumptions and Catalog'!$C$50,((D675+E675)*C675-G675)*'Assumptions and Catalog'!$H$50+'Assumptions and Catalog'!$E$50+'Assumptions and Catalog'!$F$50,IF(((D675+E675)*C675-G675)&lt;='Assumptions and Catalog'!$C$51,((D675+E675)*C675-G675)*'Assumptions and Catalog'!$H$51+'Assumptions and Catalog'!$E$51+'Assumptions and Catalog'!$F$51,IF(((D675+E675)*C675-G675)&lt;='Assumptions and Catalog'!$C$52,((D675+E675)*C675-G675)*'Assumptions and Catalog'!$H$52+'Assumptions and Catalog'!$E$52+'Assumptions and Catalog'!$F$52,IF(((D675+E675)*C675-G675)&lt;='Assumptions and Catalog'!$C$53,((D675+E675)*C675-G675)*'Assumptions and Catalog'!$H$53+'Assumptions and Catalog'!$E$53+'Assumptions and Catalog'!$F$53,IF(((D675+E675)*C675-G675)&lt;='Assumptions and Catalog'!$C$54,((D675+E675)*C675-G675)*'Assumptions and Catalog'!$H$54+'Assumptions and Catalog'!$E$54+'Assumptions and Catalog'!$F$54,IF(((D675+E675)*C675-G675)&lt;='Assumptions and Catalog'!$C$55,((D675+E675)*C675-G675)*'Assumptions and Catalog'!$H$55+'Assumptions and Catalog'!$E$55+'Assumptions and Catalog'!$F$55,IF(((D675+E675)*C675-G675)&lt;='Assumptions and Catalog'!$C$56,((D675+E675)*C675-G675)*'Assumptions and Catalog'!$H$56+'Assumptions and Catalog'!$E$56+'Assumptions and Catalog'!$F$56,IF(((D675+E675)*C675-G675)&lt;='Assumptions and Catalog'!$C$57,((D675+E675)*C675-G675)*'Assumptions and Catalog'!$H$57+'Assumptions and Catalog'!$E$57+'Assumptions and Catalog'!$F$57,"Out of range")))))))),IF(((D675+E675)*C675-G675)&lt;='Assumptions and Catalog'!$C$60,((D675+E675)*C675-G675)*'Assumptions and Catalog'!$H$60+'Assumptions and Catalog'!$E$60+'Assumptions and Catalog'!$F$60,IF(((D675+E675)*C675-G675)&lt;='Assumptions and Catalog'!$C$61,((D675+E675)*C675-G675)*'Assumptions and Catalog'!$H$61+'Assumptions and Catalog'!$E$61+'Assumptions and Catalog'!$F$61,IF(((D675+E675)*C675-G675)&lt;='Assumptions and Catalog'!$C$62,((D675+E675)*C675-G675)*'Assumptions and Catalog'!$H$62+'Assumptions and Catalog'!$E$62+'Assumptions and Catalog'!$F$62,IF(((D675+E675)*C675-G675)&lt;='Assumptions and Catalog'!$C$63,((D675+E675)*C675-G675)*'Assumptions and Catalog'!$H$63+'Assumptions and Catalog'!$E$63+'Assumptions and Catalog'!$F$63,IF(((D675+E675)*C675-G675)&lt;='Assumptions and Catalog'!$C$64,((D675+E675)*C675-G675)*'Assumptions and Catalog'!$H$64+'Assumptions and Catalog'!$E$64+'Assumptions and Catalog'!$F$64,IF(((D675+E675)*C675-G675)&lt;='Assumptions and Catalog'!$C$65,((D675+E675)*C675-G675)*'Assumptions and Catalog'!$H$65+'Assumptions and Catalog'!$E$65+'Assumptions and Catalog'!$F$65,"Out of range")))))))))*(1+'Assumptions and Catalog'!$C$8)^(A675-1),0)</f>
        <v>5665.8844570631973</v>
      </c>
      <c r="R675" s="5">
        <f>IF(AND('Assumptions and Catalog'!$C$19&gt;0,A675&gt;='Assumptions and Catalog'!$C$19),A675-'Assumptions and Catalog'!$C$19,A675-1)</f>
        <v>1</v>
      </c>
      <c r="S675" s="5">
        <f>F675+L675-(D675+E675)*C675-J675-K675-IF(E$52&gt;0,'Assumptions and Catalog'!$C$26*C675,0)</f>
        <v>0</v>
      </c>
      <c r="T675" s="5"/>
      <c r="U675" s="5"/>
    </row>
    <row r="676" spans="1:21" ht="23.1" customHeight="1" outlineLevel="1" x14ac:dyDescent="0.2">
      <c r="A676" s="5">
        <v>2</v>
      </c>
      <c r="B676" s="5">
        <v>4</v>
      </c>
      <c r="C676" s="5">
        <f>DAY(DATE('Assumptions and Catalog'!$C$24+A676-1,B676+1,0))</f>
        <v>30</v>
      </c>
      <c r="D676" s="5">
        <f>IF(ISNUMBER(Inputs!$L$5),Inputs!$L$5*Inputs!$L$6,0)</f>
        <v>40.35</v>
      </c>
      <c r="E676" s="5">
        <f>IF(ISNUMBER(Inputs!$L$5),Inputs!$L$5-D676,0)</f>
        <v>40.35</v>
      </c>
      <c r="F676" s="5">
        <f>E$51*'Assumptions and Catalog'!$C$31*C676*(1-'Assumptions and Catalog'!$C$10)^(A676-1)</f>
        <v>817.5915</v>
      </c>
      <c r="G676" s="5">
        <f t="shared" si="48"/>
        <v>817.5915</v>
      </c>
      <c r="H676" s="5">
        <f>I676/('Assumptions and Catalog'!$C$11*'Assumptions and Catalog'!$C$12)</f>
        <v>0</v>
      </c>
      <c r="I676" s="5">
        <f>MIN(E676*C676,P676*'Assumptions and Catalog'!$C$12*C676,(F676-G676)*'Assumptions and Catalog'!$C$11*'Assumptions and Catalog'!$C$12,E$56*'Assumptions and Catalog'!$C$14*'Assumptions and Catalog'!$C$11*'Assumptions and Catalog'!$C$12*C676,E$57*(24-'Assumptions and Catalog'!$C$13)*C676)</f>
        <v>0</v>
      </c>
      <c r="J676" s="5">
        <f t="shared" si="49"/>
        <v>0</v>
      </c>
      <c r="K676" s="5">
        <f t="shared" si="50"/>
        <v>0</v>
      </c>
      <c r="L676" s="5">
        <f>(D676+E676)*C676-G676-I676+0+IF(E$52&gt;0,'Assumptions and Catalog'!$C$26*C676,0)</f>
        <v>1603.4085</v>
      </c>
      <c r="M676" s="5">
        <f>IF(ISNUMBER(Inputs!$L$5),(IF(Inputs!$L$9="Actual flat rate",((D676+E676)*C676)*Inputs!$L$10,IF(Inputs!$C$9="Residential",IF(((D676+E676)*C676)&lt;='Assumptions and Catalog'!$C$50,((D676+E676)*C676)*'Assumptions and Catalog'!$H$50+'Assumptions and Catalog'!$E$50+'Assumptions and Catalog'!$F$50,IF(((D676+E676)*C676)&lt;='Assumptions and Catalog'!$C$51,((D676+E676)*C676)*'Assumptions and Catalog'!$H$51+'Assumptions and Catalog'!$E$51+'Assumptions and Catalog'!$F$51,IF(((D676+E676)*C676)&lt;='Assumptions and Catalog'!$C$52,((D676+E676)*C676)*'Assumptions and Catalog'!$H$52+'Assumptions and Catalog'!$E$52+'Assumptions and Catalog'!$F$52,IF(((D676+E676)*C676)&lt;='Assumptions and Catalog'!$C$53,((D676+E676)*C676)*'Assumptions and Catalog'!$H$53+'Assumptions and Catalog'!$E$53+'Assumptions and Catalog'!$F$53,IF(((D676+E676)*C676)&lt;='Assumptions and Catalog'!$C$54,((D676+E676)*C676)*'Assumptions and Catalog'!$H$54+'Assumptions and Catalog'!$E$54+'Assumptions and Catalog'!$F$54,IF(((D676+E676)*C676)&lt;='Assumptions and Catalog'!$C$55,((D676+E676)*C676)*'Assumptions and Catalog'!$H$55+'Assumptions and Catalog'!$E$55+'Assumptions and Catalog'!$F$55,IF(((D676+E676)*C676)&lt;='Assumptions and Catalog'!$C$56,((D676+E676)*C676)*'Assumptions and Catalog'!$H$56+'Assumptions and Catalog'!$E$56+'Assumptions and Catalog'!$F$56,IF(((D676+E676)*C676)&lt;='Assumptions and Catalog'!$C$57,((D676+E676)*C676)*'Assumptions and Catalog'!$H$57+'Assumptions and Catalog'!$E$57+'Assumptions and Catalog'!$F$57,"Out of range")))))))),IF(((D676+E676)*C676)&lt;='Assumptions and Catalog'!$C$60,((D676+E676)*C676)*'Assumptions and Catalog'!$H$60+'Assumptions and Catalog'!$E$60+'Assumptions and Catalog'!$F$60,IF(((D676+E676)*C676)&lt;='Assumptions and Catalog'!$C$61,((D676+E676)*C676)*'Assumptions and Catalog'!$H$61+'Assumptions and Catalog'!$E$61+'Assumptions and Catalog'!$F$61,IF(((D676+E676)*C676)&lt;='Assumptions and Catalog'!$C$62,((D676+E676)*C676)*'Assumptions and Catalog'!$H$62+'Assumptions and Catalog'!$E$62+'Assumptions and Catalog'!$F$62,IF(((D676+E676)*C676)&lt;='Assumptions and Catalog'!$C$63,((D676+E676)*C676)*'Assumptions and Catalog'!$H$63+'Assumptions and Catalog'!$E$63+'Assumptions and Catalog'!$F$63,IF(((D676+E676)*C676)&lt;='Assumptions and Catalog'!$C$64,((D676+E676)*C676)*'Assumptions and Catalog'!$H$64+'Assumptions and Catalog'!$E$64+'Assumptions and Catalog'!$F$64,IF(((D676+E676)*C676)&lt;='Assumptions and Catalog'!$C$65,((D676+E676)*C676)*'Assumptions and Catalog'!$H$65+'Assumptions and Catalog'!$E$65+'Assumptions and Catalog'!$F$65,"Out of range")))))))))*(1+'Assumptions and Catalog'!$C$8)^(A676-1),0)</f>
        <v>8279</v>
      </c>
      <c r="N676" s="5">
        <f>IF(ISNUMBER(Inputs!$L$5),(IF(Inputs!$L$9="Actual flat rate",L676*Inputs!$L$10,IF(Inputs!$C$9="Residential",IF(L676&lt;='Assumptions and Catalog'!$C$50,L676*'Assumptions and Catalog'!$H$50+'Assumptions and Catalog'!$E$50+'Assumptions and Catalog'!$F$50,IF(L676&lt;='Assumptions and Catalog'!$C$51,L676*'Assumptions and Catalog'!$H$51+'Assumptions and Catalog'!$E$51+'Assumptions and Catalog'!$F$51,IF(L676&lt;='Assumptions and Catalog'!$C$52,L676*'Assumptions and Catalog'!$H$52+'Assumptions and Catalog'!$E$52+'Assumptions and Catalog'!$F$52,IF(L676&lt;='Assumptions and Catalog'!$C$53,L676*'Assumptions and Catalog'!$H$53+'Assumptions and Catalog'!$E$53+'Assumptions and Catalog'!$F$53,IF(L676&lt;='Assumptions and Catalog'!$C$54,L676*'Assumptions and Catalog'!$H$54+'Assumptions and Catalog'!$E$54+'Assumptions and Catalog'!$F$54,IF(L676&lt;='Assumptions and Catalog'!$C$55,L676*'Assumptions and Catalog'!$H$55+'Assumptions and Catalog'!$E$55+'Assumptions and Catalog'!$F$55,IF(L676&lt;='Assumptions and Catalog'!$C$56,L676*'Assumptions and Catalog'!$H$56+'Assumptions and Catalog'!$E$56+'Assumptions and Catalog'!$F$56,IF(L676&lt;='Assumptions and Catalog'!$C$57,L676*'Assumptions and Catalog'!$H$57+'Assumptions and Catalog'!$E$57+'Assumptions and Catalog'!$F$57,"Out of range")))))))),IF(L676&lt;='Assumptions and Catalog'!$C$60,L676*'Assumptions and Catalog'!$H$60+'Assumptions and Catalog'!$E$60+'Assumptions and Catalog'!$F$60,IF(L676&lt;='Assumptions and Catalog'!$C$61,L676*'Assumptions and Catalog'!$H$61+'Assumptions and Catalog'!$E$61+'Assumptions and Catalog'!$F$61,IF(L676&lt;='Assumptions and Catalog'!$C$62,L676*'Assumptions and Catalog'!$H$62+'Assumptions and Catalog'!$E$62+'Assumptions and Catalog'!$F$62,IF(L676&lt;='Assumptions and Catalog'!$C$63,L676*'Assumptions and Catalog'!$H$63+'Assumptions and Catalog'!$E$63+'Assumptions and Catalog'!$F$63,IF(L676&lt;='Assumptions and Catalog'!$C$64,L676*'Assumptions and Catalog'!$H$64+'Assumptions and Catalog'!$E$64+'Assumptions and Catalog'!$F$64,IF(L676&lt;='Assumptions and Catalog'!$C$65,L676*'Assumptions and Catalog'!$H$65+'Assumptions and Catalog'!$E$65+'Assumptions and Catalog'!$F$65,"Out of range")))))))))*(1+'Assumptions and Catalog'!$C$8)^(A676-1),0)</f>
        <v>5483.1139907063198</v>
      </c>
      <c r="O676" s="5">
        <f t="shared" si="51"/>
        <v>2795.8860092936802</v>
      </c>
      <c r="P676" s="5">
        <f>E$55*(1-L$14)*(1-'Assumptions and Catalog'!$C$23)^R676</f>
        <v>100.352</v>
      </c>
      <c r="Q676" s="5">
        <f>IF(ISNUMBER(Inputs!$L$5),(IF(Inputs!$L$9="Actual flat rate",((D676+E676)*C676-G676)*Inputs!$L$10,IF(Inputs!$C$9="Residential",IF(((D676+E676)*C676-G676)&lt;='Assumptions and Catalog'!$C$50,((D676+E676)*C676-G676)*'Assumptions and Catalog'!$H$50+'Assumptions and Catalog'!$E$50+'Assumptions and Catalog'!$F$50,IF(((D676+E676)*C676-G676)&lt;='Assumptions and Catalog'!$C$51,((D676+E676)*C676-G676)*'Assumptions and Catalog'!$H$51+'Assumptions and Catalog'!$E$51+'Assumptions and Catalog'!$F$51,IF(((D676+E676)*C676-G676)&lt;='Assumptions and Catalog'!$C$52,((D676+E676)*C676-G676)*'Assumptions and Catalog'!$H$52+'Assumptions and Catalog'!$E$52+'Assumptions and Catalog'!$F$52,IF(((D676+E676)*C676-G676)&lt;='Assumptions and Catalog'!$C$53,((D676+E676)*C676-G676)*'Assumptions and Catalog'!$H$53+'Assumptions and Catalog'!$E$53+'Assumptions and Catalog'!$F$53,IF(((D676+E676)*C676-G676)&lt;='Assumptions and Catalog'!$C$54,((D676+E676)*C676-G676)*'Assumptions and Catalog'!$H$54+'Assumptions and Catalog'!$E$54+'Assumptions and Catalog'!$F$54,IF(((D676+E676)*C676-G676)&lt;='Assumptions and Catalog'!$C$55,((D676+E676)*C676-G676)*'Assumptions and Catalog'!$H$55+'Assumptions and Catalog'!$E$55+'Assumptions and Catalog'!$F$55,IF(((D676+E676)*C676-G676)&lt;='Assumptions and Catalog'!$C$56,((D676+E676)*C676-G676)*'Assumptions and Catalog'!$H$56+'Assumptions and Catalog'!$E$56+'Assumptions and Catalog'!$F$56,IF(((D676+E676)*C676-G676)&lt;='Assumptions and Catalog'!$C$57,((D676+E676)*C676-G676)*'Assumptions and Catalog'!$H$57+'Assumptions and Catalog'!$E$57+'Assumptions and Catalog'!$F$57,"Out of range")))))))),IF(((D676+E676)*C676-G676)&lt;='Assumptions and Catalog'!$C$60,((D676+E676)*C676-G676)*'Assumptions and Catalog'!$H$60+'Assumptions and Catalog'!$E$60+'Assumptions and Catalog'!$F$60,IF(((D676+E676)*C676-G676)&lt;='Assumptions and Catalog'!$C$61,((D676+E676)*C676-G676)*'Assumptions and Catalog'!$H$61+'Assumptions and Catalog'!$E$61+'Assumptions and Catalog'!$F$61,IF(((D676+E676)*C676-G676)&lt;='Assumptions and Catalog'!$C$62,((D676+E676)*C676-G676)*'Assumptions and Catalog'!$H$62+'Assumptions and Catalog'!$E$62+'Assumptions and Catalog'!$F$62,IF(((D676+E676)*C676-G676)&lt;='Assumptions and Catalog'!$C$63,((D676+E676)*C676-G676)*'Assumptions and Catalog'!$H$63+'Assumptions and Catalog'!$E$63+'Assumptions and Catalog'!$F$63,IF(((D676+E676)*C676-G676)&lt;='Assumptions and Catalog'!$C$64,((D676+E676)*C676-G676)*'Assumptions and Catalog'!$H$64+'Assumptions and Catalog'!$E$64+'Assumptions and Catalog'!$F$64,IF(((D676+E676)*C676-G676)&lt;='Assumptions and Catalog'!$C$65,((D676+E676)*C676-G676)*'Assumptions and Catalog'!$H$65+'Assumptions and Catalog'!$E$65+'Assumptions and Catalog'!$F$65,"Out of range")))))))))*(1+'Assumptions and Catalog'!$C$8)^(A676-1),0)</f>
        <v>5483.1139907063198</v>
      </c>
      <c r="R676" s="5">
        <f>IF(AND('Assumptions and Catalog'!$C$19&gt;0,A676&gt;='Assumptions and Catalog'!$C$19),A676-'Assumptions and Catalog'!$C$19,A676-1)</f>
        <v>1</v>
      </c>
      <c r="S676" s="5">
        <f>F676+L676-(D676+E676)*C676-J676-K676-IF(E$52&gt;0,'Assumptions and Catalog'!$C$26*C676,0)</f>
        <v>0</v>
      </c>
      <c r="T676" s="5"/>
      <c r="U676" s="5"/>
    </row>
    <row r="677" spans="1:21" ht="23.1" customHeight="1" outlineLevel="1" x14ac:dyDescent="0.2">
      <c r="A677" s="5">
        <v>2</v>
      </c>
      <c r="B677" s="5">
        <v>5</v>
      </c>
      <c r="C677" s="5">
        <f>DAY(DATE('Assumptions and Catalog'!$C$24+A677-1,B677+1,0))</f>
        <v>31</v>
      </c>
      <c r="D677" s="5">
        <f>IF(ISNUMBER(Inputs!$L$5),Inputs!$L$5*Inputs!$L$6,0)</f>
        <v>40.35</v>
      </c>
      <c r="E677" s="5">
        <f>IF(ISNUMBER(Inputs!$L$5),Inputs!$L$5-D677,0)</f>
        <v>40.35</v>
      </c>
      <c r="F677" s="5">
        <f>E$51*'Assumptions and Catalog'!$C$31*C677*(1-'Assumptions and Catalog'!$C$10)^(A677-1)</f>
        <v>844.84455000000003</v>
      </c>
      <c r="G677" s="5">
        <f t="shared" si="48"/>
        <v>844.84455000000003</v>
      </c>
      <c r="H677" s="5">
        <f>I677/('Assumptions and Catalog'!$C$11*'Assumptions and Catalog'!$C$12)</f>
        <v>0</v>
      </c>
      <c r="I677" s="5">
        <f>MIN(E677*C677,P677*'Assumptions and Catalog'!$C$12*C677,(F677-G677)*'Assumptions and Catalog'!$C$11*'Assumptions and Catalog'!$C$12,E$56*'Assumptions and Catalog'!$C$14*'Assumptions and Catalog'!$C$11*'Assumptions and Catalog'!$C$12*C677,E$57*(24-'Assumptions and Catalog'!$C$13)*C677)</f>
        <v>0</v>
      </c>
      <c r="J677" s="5">
        <f t="shared" si="49"/>
        <v>0</v>
      </c>
      <c r="K677" s="5">
        <f t="shared" si="50"/>
        <v>0</v>
      </c>
      <c r="L677" s="5">
        <f>(D677+E677)*C677-G677-I677+0+IF(E$52&gt;0,'Assumptions and Catalog'!$C$26*C677,0)</f>
        <v>1656.8554500000002</v>
      </c>
      <c r="M677" s="5">
        <f>IF(ISNUMBER(Inputs!$L$5),(IF(Inputs!$L$9="Actual flat rate",((D677+E677)*C677)*Inputs!$L$10,IF(Inputs!$C$9="Residential",IF(((D677+E677)*C677)&lt;='Assumptions and Catalog'!$C$50,((D677+E677)*C677)*'Assumptions and Catalog'!$H$50+'Assumptions and Catalog'!$E$50+'Assumptions and Catalog'!$F$50,IF(((D677+E677)*C677)&lt;='Assumptions and Catalog'!$C$51,((D677+E677)*C677)*'Assumptions and Catalog'!$H$51+'Assumptions and Catalog'!$E$51+'Assumptions and Catalog'!$F$51,IF(((D677+E677)*C677)&lt;='Assumptions and Catalog'!$C$52,((D677+E677)*C677)*'Assumptions and Catalog'!$H$52+'Assumptions and Catalog'!$E$52+'Assumptions and Catalog'!$F$52,IF(((D677+E677)*C677)&lt;='Assumptions and Catalog'!$C$53,((D677+E677)*C677)*'Assumptions and Catalog'!$H$53+'Assumptions and Catalog'!$E$53+'Assumptions and Catalog'!$F$53,IF(((D677+E677)*C677)&lt;='Assumptions and Catalog'!$C$54,((D677+E677)*C677)*'Assumptions and Catalog'!$H$54+'Assumptions and Catalog'!$E$54+'Assumptions and Catalog'!$F$54,IF(((D677+E677)*C677)&lt;='Assumptions and Catalog'!$C$55,((D677+E677)*C677)*'Assumptions and Catalog'!$H$55+'Assumptions and Catalog'!$E$55+'Assumptions and Catalog'!$F$55,IF(((D677+E677)*C677)&lt;='Assumptions and Catalog'!$C$56,((D677+E677)*C677)*'Assumptions and Catalog'!$H$56+'Assumptions and Catalog'!$E$56+'Assumptions and Catalog'!$F$56,IF(((D677+E677)*C677)&lt;='Assumptions and Catalog'!$C$57,((D677+E677)*C677)*'Assumptions and Catalog'!$H$57+'Assumptions and Catalog'!$E$57+'Assumptions and Catalog'!$F$57,"Out of range")))))))),IF(((D677+E677)*C677)&lt;='Assumptions and Catalog'!$C$60,((D677+E677)*C677)*'Assumptions and Catalog'!$H$60+'Assumptions and Catalog'!$E$60+'Assumptions and Catalog'!$F$60,IF(((D677+E677)*C677)&lt;='Assumptions and Catalog'!$C$61,((D677+E677)*C677)*'Assumptions and Catalog'!$H$61+'Assumptions and Catalog'!$E$61+'Assumptions and Catalog'!$F$61,IF(((D677+E677)*C677)&lt;='Assumptions and Catalog'!$C$62,((D677+E677)*C677)*'Assumptions and Catalog'!$H$62+'Assumptions and Catalog'!$E$62+'Assumptions and Catalog'!$F$62,IF(((D677+E677)*C677)&lt;='Assumptions and Catalog'!$C$63,((D677+E677)*C677)*'Assumptions and Catalog'!$H$63+'Assumptions and Catalog'!$E$63+'Assumptions and Catalog'!$F$63,IF(((D677+E677)*C677)&lt;='Assumptions and Catalog'!$C$64,((D677+E677)*C677)*'Assumptions and Catalog'!$H$64+'Assumptions and Catalog'!$E$64+'Assumptions and Catalog'!$F$64,IF(((D677+E677)*C677)&lt;='Assumptions and Catalog'!$C$65,((D677+E677)*C677)*'Assumptions and Catalog'!$H$65+'Assumptions and Catalog'!$E$65+'Assumptions and Catalog'!$F$65,"Out of range")))))))))*(1+'Assumptions and Catalog'!$C$8)^(A677-1),0)</f>
        <v>8554.9666666666672</v>
      </c>
      <c r="N677" s="5">
        <f>IF(ISNUMBER(Inputs!$L$5),(IF(Inputs!$L$9="Actual flat rate",L677*Inputs!$L$10,IF(Inputs!$C$9="Residential",IF(L677&lt;='Assumptions and Catalog'!$C$50,L677*'Assumptions and Catalog'!$H$50+'Assumptions and Catalog'!$E$50+'Assumptions and Catalog'!$F$50,IF(L677&lt;='Assumptions and Catalog'!$C$51,L677*'Assumptions and Catalog'!$H$51+'Assumptions and Catalog'!$E$51+'Assumptions and Catalog'!$F$51,IF(L677&lt;='Assumptions and Catalog'!$C$52,L677*'Assumptions and Catalog'!$H$52+'Assumptions and Catalog'!$E$52+'Assumptions and Catalog'!$F$52,IF(L677&lt;='Assumptions and Catalog'!$C$53,L677*'Assumptions and Catalog'!$H$53+'Assumptions and Catalog'!$E$53+'Assumptions and Catalog'!$F$53,IF(L677&lt;='Assumptions and Catalog'!$C$54,L677*'Assumptions and Catalog'!$H$54+'Assumptions and Catalog'!$E$54+'Assumptions and Catalog'!$F$54,IF(L677&lt;='Assumptions and Catalog'!$C$55,L677*'Assumptions and Catalog'!$H$55+'Assumptions and Catalog'!$E$55+'Assumptions and Catalog'!$F$55,IF(L677&lt;='Assumptions and Catalog'!$C$56,L677*'Assumptions and Catalog'!$H$56+'Assumptions and Catalog'!$E$56+'Assumptions and Catalog'!$F$56,IF(L677&lt;='Assumptions and Catalog'!$C$57,L677*'Assumptions and Catalog'!$H$57+'Assumptions and Catalog'!$E$57+'Assumptions and Catalog'!$F$57,"Out of range")))))))),IF(L677&lt;='Assumptions and Catalog'!$C$60,L677*'Assumptions and Catalog'!$H$60+'Assumptions and Catalog'!$E$60+'Assumptions and Catalog'!$F$60,IF(L677&lt;='Assumptions and Catalog'!$C$61,L677*'Assumptions and Catalog'!$H$61+'Assumptions and Catalog'!$E$61+'Assumptions and Catalog'!$F$61,IF(L677&lt;='Assumptions and Catalog'!$C$62,L677*'Assumptions and Catalog'!$H$62+'Assumptions and Catalog'!$E$62+'Assumptions and Catalog'!$F$62,IF(L677&lt;='Assumptions and Catalog'!$C$63,L677*'Assumptions and Catalog'!$H$63+'Assumptions and Catalog'!$E$63+'Assumptions and Catalog'!$F$63,IF(L677&lt;='Assumptions and Catalog'!$C$64,L677*'Assumptions and Catalog'!$H$64+'Assumptions and Catalog'!$E$64+'Assumptions and Catalog'!$F$64,IF(L677&lt;='Assumptions and Catalog'!$C$65,L677*'Assumptions and Catalog'!$H$65+'Assumptions and Catalog'!$E$65+'Assumptions and Catalog'!$F$65,"Out of range")))))))))*(1+'Assumptions and Catalog'!$C$8)^(A677-1),0)</f>
        <v>5665.8844570631973</v>
      </c>
      <c r="O677" s="5">
        <f t="shared" si="51"/>
        <v>2889.0822096034699</v>
      </c>
      <c r="P677" s="5">
        <f>E$55*(1-L$14)*(1-'Assumptions and Catalog'!$C$23)^R677</f>
        <v>100.352</v>
      </c>
      <c r="Q677" s="5">
        <f>IF(ISNUMBER(Inputs!$L$5),(IF(Inputs!$L$9="Actual flat rate",((D677+E677)*C677-G677)*Inputs!$L$10,IF(Inputs!$C$9="Residential",IF(((D677+E677)*C677-G677)&lt;='Assumptions and Catalog'!$C$50,((D677+E677)*C677-G677)*'Assumptions and Catalog'!$H$50+'Assumptions and Catalog'!$E$50+'Assumptions and Catalog'!$F$50,IF(((D677+E677)*C677-G677)&lt;='Assumptions and Catalog'!$C$51,((D677+E677)*C677-G677)*'Assumptions and Catalog'!$H$51+'Assumptions and Catalog'!$E$51+'Assumptions and Catalog'!$F$51,IF(((D677+E677)*C677-G677)&lt;='Assumptions and Catalog'!$C$52,((D677+E677)*C677-G677)*'Assumptions and Catalog'!$H$52+'Assumptions and Catalog'!$E$52+'Assumptions and Catalog'!$F$52,IF(((D677+E677)*C677-G677)&lt;='Assumptions and Catalog'!$C$53,((D677+E677)*C677-G677)*'Assumptions and Catalog'!$H$53+'Assumptions and Catalog'!$E$53+'Assumptions and Catalog'!$F$53,IF(((D677+E677)*C677-G677)&lt;='Assumptions and Catalog'!$C$54,((D677+E677)*C677-G677)*'Assumptions and Catalog'!$H$54+'Assumptions and Catalog'!$E$54+'Assumptions and Catalog'!$F$54,IF(((D677+E677)*C677-G677)&lt;='Assumptions and Catalog'!$C$55,((D677+E677)*C677-G677)*'Assumptions and Catalog'!$H$55+'Assumptions and Catalog'!$E$55+'Assumptions and Catalog'!$F$55,IF(((D677+E677)*C677-G677)&lt;='Assumptions and Catalog'!$C$56,((D677+E677)*C677-G677)*'Assumptions and Catalog'!$H$56+'Assumptions and Catalog'!$E$56+'Assumptions and Catalog'!$F$56,IF(((D677+E677)*C677-G677)&lt;='Assumptions and Catalog'!$C$57,((D677+E677)*C677-G677)*'Assumptions and Catalog'!$H$57+'Assumptions and Catalog'!$E$57+'Assumptions and Catalog'!$F$57,"Out of range")))))))),IF(((D677+E677)*C677-G677)&lt;='Assumptions and Catalog'!$C$60,((D677+E677)*C677-G677)*'Assumptions and Catalog'!$H$60+'Assumptions and Catalog'!$E$60+'Assumptions and Catalog'!$F$60,IF(((D677+E677)*C677-G677)&lt;='Assumptions and Catalog'!$C$61,((D677+E677)*C677-G677)*'Assumptions and Catalog'!$H$61+'Assumptions and Catalog'!$E$61+'Assumptions and Catalog'!$F$61,IF(((D677+E677)*C677-G677)&lt;='Assumptions and Catalog'!$C$62,((D677+E677)*C677-G677)*'Assumptions and Catalog'!$H$62+'Assumptions and Catalog'!$E$62+'Assumptions and Catalog'!$F$62,IF(((D677+E677)*C677-G677)&lt;='Assumptions and Catalog'!$C$63,((D677+E677)*C677-G677)*'Assumptions and Catalog'!$H$63+'Assumptions and Catalog'!$E$63+'Assumptions and Catalog'!$F$63,IF(((D677+E677)*C677-G677)&lt;='Assumptions and Catalog'!$C$64,((D677+E677)*C677-G677)*'Assumptions and Catalog'!$H$64+'Assumptions and Catalog'!$E$64+'Assumptions and Catalog'!$F$64,IF(((D677+E677)*C677-G677)&lt;='Assumptions and Catalog'!$C$65,((D677+E677)*C677-G677)*'Assumptions and Catalog'!$H$65+'Assumptions and Catalog'!$E$65+'Assumptions and Catalog'!$F$65,"Out of range")))))))))*(1+'Assumptions and Catalog'!$C$8)^(A677-1),0)</f>
        <v>5665.8844570631973</v>
      </c>
      <c r="R677" s="5">
        <f>IF(AND('Assumptions and Catalog'!$C$19&gt;0,A677&gt;='Assumptions and Catalog'!$C$19),A677-'Assumptions and Catalog'!$C$19,A677-1)</f>
        <v>1</v>
      </c>
      <c r="S677" s="5">
        <f>F677+L677-(D677+E677)*C677-J677-K677-IF(E$52&gt;0,'Assumptions and Catalog'!$C$26*C677,0)</f>
        <v>0</v>
      </c>
      <c r="T677" s="5"/>
      <c r="U677" s="5"/>
    </row>
    <row r="678" spans="1:21" ht="23.1" customHeight="1" outlineLevel="1" x14ac:dyDescent="0.2">
      <c r="A678" s="5">
        <v>2</v>
      </c>
      <c r="B678" s="5">
        <v>6</v>
      </c>
      <c r="C678" s="5">
        <f>DAY(DATE('Assumptions and Catalog'!$C$24+A678-1,B678+1,0))</f>
        <v>30</v>
      </c>
      <c r="D678" s="5">
        <f>IF(ISNUMBER(Inputs!$L$5),Inputs!$L$5*Inputs!$L$6,0)</f>
        <v>40.35</v>
      </c>
      <c r="E678" s="5">
        <f>IF(ISNUMBER(Inputs!$L$5),Inputs!$L$5-D678,0)</f>
        <v>40.35</v>
      </c>
      <c r="F678" s="5">
        <f>E$51*'Assumptions and Catalog'!$C$31*C678*(1-'Assumptions and Catalog'!$C$10)^(A678-1)</f>
        <v>817.5915</v>
      </c>
      <c r="G678" s="5">
        <f t="shared" si="48"/>
        <v>817.5915</v>
      </c>
      <c r="H678" s="5">
        <f>I678/('Assumptions and Catalog'!$C$11*'Assumptions and Catalog'!$C$12)</f>
        <v>0</v>
      </c>
      <c r="I678" s="5">
        <f>MIN(E678*C678,P678*'Assumptions and Catalog'!$C$12*C678,(F678-G678)*'Assumptions and Catalog'!$C$11*'Assumptions and Catalog'!$C$12,E$56*'Assumptions and Catalog'!$C$14*'Assumptions and Catalog'!$C$11*'Assumptions and Catalog'!$C$12*C678,E$57*(24-'Assumptions and Catalog'!$C$13)*C678)</f>
        <v>0</v>
      </c>
      <c r="J678" s="5">
        <f t="shared" si="49"/>
        <v>0</v>
      </c>
      <c r="K678" s="5">
        <f t="shared" si="50"/>
        <v>0</v>
      </c>
      <c r="L678" s="5">
        <f>(D678+E678)*C678-G678-I678+0+IF(E$52&gt;0,'Assumptions and Catalog'!$C$26*C678,0)</f>
        <v>1603.4085</v>
      </c>
      <c r="M678" s="5">
        <f>IF(ISNUMBER(Inputs!$L$5),(IF(Inputs!$L$9="Actual flat rate",((D678+E678)*C678)*Inputs!$L$10,IF(Inputs!$C$9="Residential",IF(((D678+E678)*C678)&lt;='Assumptions and Catalog'!$C$50,((D678+E678)*C678)*'Assumptions and Catalog'!$H$50+'Assumptions and Catalog'!$E$50+'Assumptions and Catalog'!$F$50,IF(((D678+E678)*C678)&lt;='Assumptions and Catalog'!$C$51,((D678+E678)*C678)*'Assumptions and Catalog'!$H$51+'Assumptions and Catalog'!$E$51+'Assumptions and Catalog'!$F$51,IF(((D678+E678)*C678)&lt;='Assumptions and Catalog'!$C$52,((D678+E678)*C678)*'Assumptions and Catalog'!$H$52+'Assumptions and Catalog'!$E$52+'Assumptions and Catalog'!$F$52,IF(((D678+E678)*C678)&lt;='Assumptions and Catalog'!$C$53,((D678+E678)*C678)*'Assumptions and Catalog'!$H$53+'Assumptions and Catalog'!$E$53+'Assumptions and Catalog'!$F$53,IF(((D678+E678)*C678)&lt;='Assumptions and Catalog'!$C$54,((D678+E678)*C678)*'Assumptions and Catalog'!$H$54+'Assumptions and Catalog'!$E$54+'Assumptions and Catalog'!$F$54,IF(((D678+E678)*C678)&lt;='Assumptions and Catalog'!$C$55,((D678+E678)*C678)*'Assumptions and Catalog'!$H$55+'Assumptions and Catalog'!$E$55+'Assumptions and Catalog'!$F$55,IF(((D678+E678)*C678)&lt;='Assumptions and Catalog'!$C$56,((D678+E678)*C678)*'Assumptions and Catalog'!$H$56+'Assumptions and Catalog'!$E$56+'Assumptions and Catalog'!$F$56,IF(((D678+E678)*C678)&lt;='Assumptions and Catalog'!$C$57,((D678+E678)*C678)*'Assumptions and Catalog'!$H$57+'Assumptions and Catalog'!$E$57+'Assumptions and Catalog'!$F$57,"Out of range")))))))),IF(((D678+E678)*C678)&lt;='Assumptions and Catalog'!$C$60,((D678+E678)*C678)*'Assumptions and Catalog'!$H$60+'Assumptions and Catalog'!$E$60+'Assumptions and Catalog'!$F$60,IF(((D678+E678)*C678)&lt;='Assumptions and Catalog'!$C$61,((D678+E678)*C678)*'Assumptions and Catalog'!$H$61+'Assumptions and Catalog'!$E$61+'Assumptions and Catalog'!$F$61,IF(((D678+E678)*C678)&lt;='Assumptions and Catalog'!$C$62,((D678+E678)*C678)*'Assumptions and Catalog'!$H$62+'Assumptions and Catalog'!$E$62+'Assumptions and Catalog'!$F$62,IF(((D678+E678)*C678)&lt;='Assumptions and Catalog'!$C$63,((D678+E678)*C678)*'Assumptions and Catalog'!$H$63+'Assumptions and Catalog'!$E$63+'Assumptions and Catalog'!$F$63,IF(((D678+E678)*C678)&lt;='Assumptions and Catalog'!$C$64,((D678+E678)*C678)*'Assumptions and Catalog'!$H$64+'Assumptions and Catalog'!$E$64+'Assumptions and Catalog'!$F$64,IF(((D678+E678)*C678)&lt;='Assumptions and Catalog'!$C$65,((D678+E678)*C678)*'Assumptions and Catalog'!$H$65+'Assumptions and Catalog'!$E$65+'Assumptions and Catalog'!$F$65,"Out of range")))))))))*(1+'Assumptions and Catalog'!$C$8)^(A678-1),0)</f>
        <v>8279</v>
      </c>
      <c r="N678" s="5">
        <f>IF(ISNUMBER(Inputs!$L$5),(IF(Inputs!$L$9="Actual flat rate",L678*Inputs!$L$10,IF(Inputs!$C$9="Residential",IF(L678&lt;='Assumptions and Catalog'!$C$50,L678*'Assumptions and Catalog'!$H$50+'Assumptions and Catalog'!$E$50+'Assumptions and Catalog'!$F$50,IF(L678&lt;='Assumptions and Catalog'!$C$51,L678*'Assumptions and Catalog'!$H$51+'Assumptions and Catalog'!$E$51+'Assumptions and Catalog'!$F$51,IF(L678&lt;='Assumptions and Catalog'!$C$52,L678*'Assumptions and Catalog'!$H$52+'Assumptions and Catalog'!$E$52+'Assumptions and Catalog'!$F$52,IF(L678&lt;='Assumptions and Catalog'!$C$53,L678*'Assumptions and Catalog'!$H$53+'Assumptions and Catalog'!$E$53+'Assumptions and Catalog'!$F$53,IF(L678&lt;='Assumptions and Catalog'!$C$54,L678*'Assumptions and Catalog'!$H$54+'Assumptions and Catalog'!$E$54+'Assumptions and Catalog'!$F$54,IF(L678&lt;='Assumptions and Catalog'!$C$55,L678*'Assumptions and Catalog'!$H$55+'Assumptions and Catalog'!$E$55+'Assumptions and Catalog'!$F$55,IF(L678&lt;='Assumptions and Catalog'!$C$56,L678*'Assumptions and Catalog'!$H$56+'Assumptions and Catalog'!$E$56+'Assumptions and Catalog'!$F$56,IF(L678&lt;='Assumptions and Catalog'!$C$57,L678*'Assumptions and Catalog'!$H$57+'Assumptions and Catalog'!$E$57+'Assumptions and Catalog'!$F$57,"Out of range")))))))),IF(L678&lt;='Assumptions and Catalog'!$C$60,L678*'Assumptions and Catalog'!$H$60+'Assumptions and Catalog'!$E$60+'Assumptions and Catalog'!$F$60,IF(L678&lt;='Assumptions and Catalog'!$C$61,L678*'Assumptions and Catalog'!$H$61+'Assumptions and Catalog'!$E$61+'Assumptions and Catalog'!$F$61,IF(L678&lt;='Assumptions and Catalog'!$C$62,L678*'Assumptions and Catalog'!$H$62+'Assumptions and Catalog'!$E$62+'Assumptions and Catalog'!$F$62,IF(L678&lt;='Assumptions and Catalog'!$C$63,L678*'Assumptions and Catalog'!$H$63+'Assumptions and Catalog'!$E$63+'Assumptions and Catalog'!$F$63,IF(L678&lt;='Assumptions and Catalog'!$C$64,L678*'Assumptions and Catalog'!$H$64+'Assumptions and Catalog'!$E$64+'Assumptions and Catalog'!$F$64,IF(L678&lt;='Assumptions and Catalog'!$C$65,L678*'Assumptions and Catalog'!$H$65+'Assumptions and Catalog'!$E$65+'Assumptions and Catalog'!$F$65,"Out of range")))))))))*(1+'Assumptions and Catalog'!$C$8)^(A678-1),0)</f>
        <v>5483.1139907063198</v>
      </c>
      <c r="O678" s="5">
        <f t="shared" si="51"/>
        <v>2795.8860092936802</v>
      </c>
      <c r="P678" s="5">
        <f>E$55*(1-L$14)*(1-'Assumptions and Catalog'!$C$23)^R678</f>
        <v>100.352</v>
      </c>
      <c r="Q678" s="5">
        <f>IF(ISNUMBER(Inputs!$L$5),(IF(Inputs!$L$9="Actual flat rate",((D678+E678)*C678-G678)*Inputs!$L$10,IF(Inputs!$C$9="Residential",IF(((D678+E678)*C678-G678)&lt;='Assumptions and Catalog'!$C$50,((D678+E678)*C678-G678)*'Assumptions and Catalog'!$H$50+'Assumptions and Catalog'!$E$50+'Assumptions and Catalog'!$F$50,IF(((D678+E678)*C678-G678)&lt;='Assumptions and Catalog'!$C$51,((D678+E678)*C678-G678)*'Assumptions and Catalog'!$H$51+'Assumptions and Catalog'!$E$51+'Assumptions and Catalog'!$F$51,IF(((D678+E678)*C678-G678)&lt;='Assumptions and Catalog'!$C$52,((D678+E678)*C678-G678)*'Assumptions and Catalog'!$H$52+'Assumptions and Catalog'!$E$52+'Assumptions and Catalog'!$F$52,IF(((D678+E678)*C678-G678)&lt;='Assumptions and Catalog'!$C$53,((D678+E678)*C678-G678)*'Assumptions and Catalog'!$H$53+'Assumptions and Catalog'!$E$53+'Assumptions and Catalog'!$F$53,IF(((D678+E678)*C678-G678)&lt;='Assumptions and Catalog'!$C$54,((D678+E678)*C678-G678)*'Assumptions and Catalog'!$H$54+'Assumptions and Catalog'!$E$54+'Assumptions and Catalog'!$F$54,IF(((D678+E678)*C678-G678)&lt;='Assumptions and Catalog'!$C$55,((D678+E678)*C678-G678)*'Assumptions and Catalog'!$H$55+'Assumptions and Catalog'!$E$55+'Assumptions and Catalog'!$F$55,IF(((D678+E678)*C678-G678)&lt;='Assumptions and Catalog'!$C$56,((D678+E678)*C678-G678)*'Assumptions and Catalog'!$H$56+'Assumptions and Catalog'!$E$56+'Assumptions and Catalog'!$F$56,IF(((D678+E678)*C678-G678)&lt;='Assumptions and Catalog'!$C$57,((D678+E678)*C678-G678)*'Assumptions and Catalog'!$H$57+'Assumptions and Catalog'!$E$57+'Assumptions and Catalog'!$F$57,"Out of range")))))))),IF(((D678+E678)*C678-G678)&lt;='Assumptions and Catalog'!$C$60,((D678+E678)*C678-G678)*'Assumptions and Catalog'!$H$60+'Assumptions and Catalog'!$E$60+'Assumptions and Catalog'!$F$60,IF(((D678+E678)*C678-G678)&lt;='Assumptions and Catalog'!$C$61,((D678+E678)*C678-G678)*'Assumptions and Catalog'!$H$61+'Assumptions and Catalog'!$E$61+'Assumptions and Catalog'!$F$61,IF(((D678+E678)*C678-G678)&lt;='Assumptions and Catalog'!$C$62,((D678+E678)*C678-G678)*'Assumptions and Catalog'!$H$62+'Assumptions and Catalog'!$E$62+'Assumptions and Catalog'!$F$62,IF(((D678+E678)*C678-G678)&lt;='Assumptions and Catalog'!$C$63,((D678+E678)*C678-G678)*'Assumptions and Catalog'!$H$63+'Assumptions and Catalog'!$E$63+'Assumptions and Catalog'!$F$63,IF(((D678+E678)*C678-G678)&lt;='Assumptions and Catalog'!$C$64,((D678+E678)*C678-G678)*'Assumptions and Catalog'!$H$64+'Assumptions and Catalog'!$E$64+'Assumptions and Catalog'!$F$64,IF(((D678+E678)*C678-G678)&lt;='Assumptions and Catalog'!$C$65,((D678+E678)*C678-G678)*'Assumptions and Catalog'!$H$65+'Assumptions and Catalog'!$E$65+'Assumptions and Catalog'!$F$65,"Out of range")))))))))*(1+'Assumptions and Catalog'!$C$8)^(A678-1),0)</f>
        <v>5483.1139907063198</v>
      </c>
      <c r="R678" s="5">
        <f>IF(AND('Assumptions and Catalog'!$C$19&gt;0,A678&gt;='Assumptions and Catalog'!$C$19),A678-'Assumptions and Catalog'!$C$19,A678-1)</f>
        <v>1</v>
      </c>
      <c r="S678" s="5">
        <f>F678+L678-(D678+E678)*C678-J678-K678-IF(E$52&gt;0,'Assumptions and Catalog'!$C$26*C678,0)</f>
        <v>0</v>
      </c>
      <c r="T678" s="5"/>
      <c r="U678" s="5"/>
    </row>
    <row r="679" spans="1:21" ht="23.1" customHeight="1" outlineLevel="1" x14ac:dyDescent="0.2">
      <c r="A679" s="5">
        <v>2</v>
      </c>
      <c r="B679" s="5">
        <v>7</v>
      </c>
      <c r="C679" s="5">
        <f>DAY(DATE('Assumptions and Catalog'!$C$24+A679-1,B679+1,0))</f>
        <v>31</v>
      </c>
      <c r="D679" s="5">
        <f>IF(ISNUMBER(Inputs!$L$5),Inputs!$L$5*Inputs!$L$6,0)</f>
        <v>40.35</v>
      </c>
      <c r="E679" s="5">
        <f>IF(ISNUMBER(Inputs!$L$5),Inputs!$L$5-D679,0)</f>
        <v>40.35</v>
      </c>
      <c r="F679" s="5">
        <f>E$51*'Assumptions and Catalog'!$C$31*C679*(1-'Assumptions and Catalog'!$C$10)^(A679-1)</f>
        <v>844.84455000000003</v>
      </c>
      <c r="G679" s="5">
        <f t="shared" si="48"/>
        <v>844.84455000000003</v>
      </c>
      <c r="H679" s="5">
        <f>I679/('Assumptions and Catalog'!$C$11*'Assumptions and Catalog'!$C$12)</f>
        <v>0</v>
      </c>
      <c r="I679" s="5">
        <f>MIN(E679*C679,P679*'Assumptions and Catalog'!$C$12*C679,(F679-G679)*'Assumptions and Catalog'!$C$11*'Assumptions and Catalog'!$C$12,E$56*'Assumptions and Catalog'!$C$14*'Assumptions and Catalog'!$C$11*'Assumptions and Catalog'!$C$12*C679,E$57*(24-'Assumptions and Catalog'!$C$13)*C679)</f>
        <v>0</v>
      </c>
      <c r="J679" s="5">
        <f t="shared" si="49"/>
        <v>0</v>
      </c>
      <c r="K679" s="5">
        <f t="shared" si="50"/>
        <v>0</v>
      </c>
      <c r="L679" s="5">
        <f>(D679+E679)*C679-G679-I679+0+IF(E$52&gt;0,'Assumptions and Catalog'!$C$26*C679,0)</f>
        <v>1656.8554500000002</v>
      </c>
      <c r="M679" s="5">
        <f>IF(ISNUMBER(Inputs!$L$5),(IF(Inputs!$L$9="Actual flat rate",((D679+E679)*C679)*Inputs!$L$10,IF(Inputs!$C$9="Residential",IF(((D679+E679)*C679)&lt;='Assumptions and Catalog'!$C$50,((D679+E679)*C679)*'Assumptions and Catalog'!$H$50+'Assumptions and Catalog'!$E$50+'Assumptions and Catalog'!$F$50,IF(((D679+E679)*C679)&lt;='Assumptions and Catalog'!$C$51,((D679+E679)*C679)*'Assumptions and Catalog'!$H$51+'Assumptions and Catalog'!$E$51+'Assumptions and Catalog'!$F$51,IF(((D679+E679)*C679)&lt;='Assumptions and Catalog'!$C$52,((D679+E679)*C679)*'Assumptions and Catalog'!$H$52+'Assumptions and Catalog'!$E$52+'Assumptions and Catalog'!$F$52,IF(((D679+E679)*C679)&lt;='Assumptions and Catalog'!$C$53,((D679+E679)*C679)*'Assumptions and Catalog'!$H$53+'Assumptions and Catalog'!$E$53+'Assumptions and Catalog'!$F$53,IF(((D679+E679)*C679)&lt;='Assumptions and Catalog'!$C$54,((D679+E679)*C679)*'Assumptions and Catalog'!$H$54+'Assumptions and Catalog'!$E$54+'Assumptions and Catalog'!$F$54,IF(((D679+E679)*C679)&lt;='Assumptions and Catalog'!$C$55,((D679+E679)*C679)*'Assumptions and Catalog'!$H$55+'Assumptions and Catalog'!$E$55+'Assumptions and Catalog'!$F$55,IF(((D679+E679)*C679)&lt;='Assumptions and Catalog'!$C$56,((D679+E679)*C679)*'Assumptions and Catalog'!$H$56+'Assumptions and Catalog'!$E$56+'Assumptions and Catalog'!$F$56,IF(((D679+E679)*C679)&lt;='Assumptions and Catalog'!$C$57,((D679+E679)*C679)*'Assumptions and Catalog'!$H$57+'Assumptions and Catalog'!$E$57+'Assumptions and Catalog'!$F$57,"Out of range")))))))),IF(((D679+E679)*C679)&lt;='Assumptions and Catalog'!$C$60,((D679+E679)*C679)*'Assumptions and Catalog'!$H$60+'Assumptions and Catalog'!$E$60+'Assumptions and Catalog'!$F$60,IF(((D679+E679)*C679)&lt;='Assumptions and Catalog'!$C$61,((D679+E679)*C679)*'Assumptions and Catalog'!$H$61+'Assumptions and Catalog'!$E$61+'Assumptions and Catalog'!$F$61,IF(((D679+E679)*C679)&lt;='Assumptions and Catalog'!$C$62,((D679+E679)*C679)*'Assumptions and Catalog'!$H$62+'Assumptions and Catalog'!$E$62+'Assumptions and Catalog'!$F$62,IF(((D679+E679)*C679)&lt;='Assumptions and Catalog'!$C$63,((D679+E679)*C679)*'Assumptions and Catalog'!$H$63+'Assumptions and Catalog'!$E$63+'Assumptions and Catalog'!$F$63,IF(((D679+E679)*C679)&lt;='Assumptions and Catalog'!$C$64,((D679+E679)*C679)*'Assumptions and Catalog'!$H$64+'Assumptions and Catalog'!$E$64+'Assumptions and Catalog'!$F$64,IF(((D679+E679)*C679)&lt;='Assumptions and Catalog'!$C$65,((D679+E679)*C679)*'Assumptions and Catalog'!$H$65+'Assumptions and Catalog'!$E$65+'Assumptions and Catalog'!$F$65,"Out of range")))))))))*(1+'Assumptions and Catalog'!$C$8)^(A679-1),0)</f>
        <v>8554.9666666666672</v>
      </c>
      <c r="N679" s="5">
        <f>IF(ISNUMBER(Inputs!$L$5),(IF(Inputs!$L$9="Actual flat rate",L679*Inputs!$L$10,IF(Inputs!$C$9="Residential",IF(L679&lt;='Assumptions and Catalog'!$C$50,L679*'Assumptions and Catalog'!$H$50+'Assumptions and Catalog'!$E$50+'Assumptions and Catalog'!$F$50,IF(L679&lt;='Assumptions and Catalog'!$C$51,L679*'Assumptions and Catalog'!$H$51+'Assumptions and Catalog'!$E$51+'Assumptions and Catalog'!$F$51,IF(L679&lt;='Assumptions and Catalog'!$C$52,L679*'Assumptions and Catalog'!$H$52+'Assumptions and Catalog'!$E$52+'Assumptions and Catalog'!$F$52,IF(L679&lt;='Assumptions and Catalog'!$C$53,L679*'Assumptions and Catalog'!$H$53+'Assumptions and Catalog'!$E$53+'Assumptions and Catalog'!$F$53,IF(L679&lt;='Assumptions and Catalog'!$C$54,L679*'Assumptions and Catalog'!$H$54+'Assumptions and Catalog'!$E$54+'Assumptions and Catalog'!$F$54,IF(L679&lt;='Assumptions and Catalog'!$C$55,L679*'Assumptions and Catalog'!$H$55+'Assumptions and Catalog'!$E$55+'Assumptions and Catalog'!$F$55,IF(L679&lt;='Assumptions and Catalog'!$C$56,L679*'Assumptions and Catalog'!$H$56+'Assumptions and Catalog'!$E$56+'Assumptions and Catalog'!$F$56,IF(L679&lt;='Assumptions and Catalog'!$C$57,L679*'Assumptions and Catalog'!$H$57+'Assumptions and Catalog'!$E$57+'Assumptions and Catalog'!$F$57,"Out of range")))))))),IF(L679&lt;='Assumptions and Catalog'!$C$60,L679*'Assumptions and Catalog'!$H$60+'Assumptions and Catalog'!$E$60+'Assumptions and Catalog'!$F$60,IF(L679&lt;='Assumptions and Catalog'!$C$61,L679*'Assumptions and Catalog'!$H$61+'Assumptions and Catalog'!$E$61+'Assumptions and Catalog'!$F$61,IF(L679&lt;='Assumptions and Catalog'!$C$62,L679*'Assumptions and Catalog'!$H$62+'Assumptions and Catalog'!$E$62+'Assumptions and Catalog'!$F$62,IF(L679&lt;='Assumptions and Catalog'!$C$63,L679*'Assumptions and Catalog'!$H$63+'Assumptions and Catalog'!$E$63+'Assumptions and Catalog'!$F$63,IF(L679&lt;='Assumptions and Catalog'!$C$64,L679*'Assumptions and Catalog'!$H$64+'Assumptions and Catalog'!$E$64+'Assumptions and Catalog'!$F$64,IF(L679&lt;='Assumptions and Catalog'!$C$65,L679*'Assumptions and Catalog'!$H$65+'Assumptions and Catalog'!$E$65+'Assumptions and Catalog'!$F$65,"Out of range")))))))))*(1+'Assumptions and Catalog'!$C$8)^(A679-1),0)</f>
        <v>5665.8844570631973</v>
      </c>
      <c r="O679" s="5">
        <f t="shared" si="51"/>
        <v>2889.0822096034699</v>
      </c>
      <c r="P679" s="5">
        <f>E$55*(1-L$14)*(1-'Assumptions and Catalog'!$C$23)^R679</f>
        <v>100.352</v>
      </c>
      <c r="Q679" s="5">
        <f>IF(ISNUMBER(Inputs!$L$5),(IF(Inputs!$L$9="Actual flat rate",((D679+E679)*C679-G679)*Inputs!$L$10,IF(Inputs!$C$9="Residential",IF(((D679+E679)*C679-G679)&lt;='Assumptions and Catalog'!$C$50,((D679+E679)*C679-G679)*'Assumptions and Catalog'!$H$50+'Assumptions and Catalog'!$E$50+'Assumptions and Catalog'!$F$50,IF(((D679+E679)*C679-G679)&lt;='Assumptions and Catalog'!$C$51,((D679+E679)*C679-G679)*'Assumptions and Catalog'!$H$51+'Assumptions and Catalog'!$E$51+'Assumptions and Catalog'!$F$51,IF(((D679+E679)*C679-G679)&lt;='Assumptions and Catalog'!$C$52,((D679+E679)*C679-G679)*'Assumptions and Catalog'!$H$52+'Assumptions and Catalog'!$E$52+'Assumptions and Catalog'!$F$52,IF(((D679+E679)*C679-G679)&lt;='Assumptions and Catalog'!$C$53,((D679+E679)*C679-G679)*'Assumptions and Catalog'!$H$53+'Assumptions and Catalog'!$E$53+'Assumptions and Catalog'!$F$53,IF(((D679+E679)*C679-G679)&lt;='Assumptions and Catalog'!$C$54,((D679+E679)*C679-G679)*'Assumptions and Catalog'!$H$54+'Assumptions and Catalog'!$E$54+'Assumptions and Catalog'!$F$54,IF(((D679+E679)*C679-G679)&lt;='Assumptions and Catalog'!$C$55,((D679+E679)*C679-G679)*'Assumptions and Catalog'!$H$55+'Assumptions and Catalog'!$E$55+'Assumptions and Catalog'!$F$55,IF(((D679+E679)*C679-G679)&lt;='Assumptions and Catalog'!$C$56,((D679+E679)*C679-G679)*'Assumptions and Catalog'!$H$56+'Assumptions and Catalog'!$E$56+'Assumptions and Catalog'!$F$56,IF(((D679+E679)*C679-G679)&lt;='Assumptions and Catalog'!$C$57,((D679+E679)*C679-G679)*'Assumptions and Catalog'!$H$57+'Assumptions and Catalog'!$E$57+'Assumptions and Catalog'!$F$57,"Out of range")))))))),IF(((D679+E679)*C679-G679)&lt;='Assumptions and Catalog'!$C$60,((D679+E679)*C679-G679)*'Assumptions and Catalog'!$H$60+'Assumptions and Catalog'!$E$60+'Assumptions and Catalog'!$F$60,IF(((D679+E679)*C679-G679)&lt;='Assumptions and Catalog'!$C$61,((D679+E679)*C679-G679)*'Assumptions and Catalog'!$H$61+'Assumptions and Catalog'!$E$61+'Assumptions and Catalog'!$F$61,IF(((D679+E679)*C679-G679)&lt;='Assumptions and Catalog'!$C$62,((D679+E679)*C679-G679)*'Assumptions and Catalog'!$H$62+'Assumptions and Catalog'!$E$62+'Assumptions and Catalog'!$F$62,IF(((D679+E679)*C679-G679)&lt;='Assumptions and Catalog'!$C$63,((D679+E679)*C679-G679)*'Assumptions and Catalog'!$H$63+'Assumptions and Catalog'!$E$63+'Assumptions and Catalog'!$F$63,IF(((D679+E679)*C679-G679)&lt;='Assumptions and Catalog'!$C$64,((D679+E679)*C679-G679)*'Assumptions and Catalog'!$H$64+'Assumptions and Catalog'!$E$64+'Assumptions and Catalog'!$F$64,IF(((D679+E679)*C679-G679)&lt;='Assumptions and Catalog'!$C$65,((D679+E679)*C679-G679)*'Assumptions and Catalog'!$H$65+'Assumptions and Catalog'!$E$65+'Assumptions and Catalog'!$F$65,"Out of range")))))))))*(1+'Assumptions and Catalog'!$C$8)^(A679-1),0)</f>
        <v>5665.8844570631973</v>
      </c>
      <c r="R679" s="5">
        <f>IF(AND('Assumptions and Catalog'!$C$19&gt;0,A679&gt;='Assumptions and Catalog'!$C$19),A679-'Assumptions and Catalog'!$C$19,A679-1)</f>
        <v>1</v>
      </c>
      <c r="S679" s="5">
        <f>F679+L679-(D679+E679)*C679-J679-K679-IF(E$52&gt;0,'Assumptions and Catalog'!$C$26*C679,0)</f>
        <v>0</v>
      </c>
      <c r="T679" s="5"/>
      <c r="U679" s="5"/>
    </row>
    <row r="680" spans="1:21" ht="23.1" customHeight="1" outlineLevel="1" x14ac:dyDescent="0.2">
      <c r="A680" s="5">
        <v>2</v>
      </c>
      <c r="B680" s="5">
        <v>8</v>
      </c>
      <c r="C680" s="5">
        <f>DAY(DATE('Assumptions and Catalog'!$C$24+A680-1,B680+1,0))</f>
        <v>31</v>
      </c>
      <c r="D680" s="5">
        <f>IF(ISNUMBER(Inputs!$L$5),Inputs!$L$5*Inputs!$L$6,0)</f>
        <v>40.35</v>
      </c>
      <c r="E680" s="5">
        <f>IF(ISNUMBER(Inputs!$L$5),Inputs!$L$5-D680,0)</f>
        <v>40.35</v>
      </c>
      <c r="F680" s="5">
        <f>E$51*'Assumptions and Catalog'!$C$31*C680*(1-'Assumptions and Catalog'!$C$10)^(A680-1)</f>
        <v>844.84455000000003</v>
      </c>
      <c r="G680" s="5">
        <f t="shared" si="48"/>
        <v>844.84455000000003</v>
      </c>
      <c r="H680" s="5">
        <f>I680/('Assumptions and Catalog'!$C$11*'Assumptions and Catalog'!$C$12)</f>
        <v>0</v>
      </c>
      <c r="I680" s="5">
        <f>MIN(E680*C680,P680*'Assumptions and Catalog'!$C$12*C680,(F680-G680)*'Assumptions and Catalog'!$C$11*'Assumptions and Catalog'!$C$12,E$56*'Assumptions and Catalog'!$C$14*'Assumptions and Catalog'!$C$11*'Assumptions and Catalog'!$C$12*C680,E$57*(24-'Assumptions and Catalog'!$C$13)*C680)</f>
        <v>0</v>
      </c>
      <c r="J680" s="5">
        <f t="shared" si="49"/>
        <v>0</v>
      </c>
      <c r="K680" s="5">
        <f t="shared" si="50"/>
        <v>0</v>
      </c>
      <c r="L680" s="5">
        <f>(D680+E680)*C680-G680-I680+0+IF(E$52&gt;0,'Assumptions and Catalog'!$C$26*C680,0)</f>
        <v>1656.8554500000002</v>
      </c>
      <c r="M680" s="5">
        <f>IF(ISNUMBER(Inputs!$L$5),(IF(Inputs!$L$9="Actual flat rate",((D680+E680)*C680)*Inputs!$L$10,IF(Inputs!$C$9="Residential",IF(((D680+E680)*C680)&lt;='Assumptions and Catalog'!$C$50,((D680+E680)*C680)*'Assumptions and Catalog'!$H$50+'Assumptions and Catalog'!$E$50+'Assumptions and Catalog'!$F$50,IF(((D680+E680)*C680)&lt;='Assumptions and Catalog'!$C$51,((D680+E680)*C680)*'Assumptions and Catalog'!$H$51+'Assumptions and Catalog'!$E$51+'Assumptions and Catalog'!$F$51,IF(((D680+E680)*C680)&lt;='Assumptions and Catalog'!$C$52,((D680+E680)*C680)*'Assumptions and Catalog'!$H$52+'Assumptions and Catalog'!$E$52+'Assumptions and Catalog'!$F$52,IF(((D680+E680)*C680)&lt;='Assumptions and Catalog'!$C$53,((D680+E680)*C680)*'Assumptions and Catalog'!$H$53+'Assumptions and Catalog'!$E$53+'Assumptions and Catalog'!$F$53,IF(((D680+E680)*C680)&lt;='Assumptions and Catalog'!$C$54,((D680+E680)*C680)*'Assumptions and Catalog'!$H$54+'Assumptions and Catalog'!$E$54+'Assumptions and Catalog'!$F$54,IF(((D680+E680)*C680)&lt;='Assumptions and Catalog'!$C$55,((D680+E680)*C680)*'Assumptions and Catalog'!$H$55+'Assumptions and Catalog'!$E$55+'Assumptions and Catalog'!$F$55,IF(((D680+E680)*C680)&lt;='Assumptions and Catalog'!$C$56,((D680+E680)*C680)*'Assumptions and Catalog'!$H$56+'Assumptions and Catalog'!$E$56+'Assumptions and Catalog'!$F$56,IF(((D680+E680)*C680)&lt;='Assumptions and Catalog'!$C$57,((D680+E680)*C680)*'Assumptions and Catalog'!$H$57+'Assumptions and Catalog'!$E$57+'Assumptions and Catalog'!$F$57,"Out of range")))))))),IF(((D680+E680)*C680)&lt;='Assumptions and Catalog'!$C$60,((D680+E680)*C680)*'Assumptions and Catalog'!$H$60+'Assumptions and Catalog'!$E$60+'Assumptions and Catalog'!$F$60,IF(((D680+E680)*C680)&lt;='Assumptions and Catalog'!$C$61,((D680+E680)*C680)*'Assumptions and Catalog'!$H$61+'Assumptions and Catalog'!$E$61+'Assumptions and Catalog'!$F$61,IF(((D680+E680)*C680)&lt;='Assumptions and Catalog'!$C$62,((D680+E680)*C680)*'Assumptions and Catalog'!$H$62+'Assumptions and Catalog'!$E$62+'Assumptions and Catalog'!$F$62,IF(((D680+E680)*C680)&lt;='Assumptions and Catalog'!$C$63,((D680+E680)*C680)*'Assumptions and Catalog'!$H$63+'Assumptions and Catalog'!$E$63+'Assumptions and Catalog'!$F$63,IF(((D680+E680)*C680)&lt;='Assumptions and Catalog'!$C$64,((D680+E680)*C680)*'Assumptions and Catalog'!$H$64+'Assumptions and Catalog'!$E$64+'Assumptions and Catalog'!$F$64,IF(((D680+E680)*C680)&lt;='Assumptions and Catalog'!$C$65,((D680+E680)*C680)*'Assumptions and Catalog'!$H$65+'Assumptions and Catalog'!$E$65+'Assumptions and Catalog'!$F$65,"Out of range")))))))))*(1+'Assumptions and Catalog'!$C$8)^(A680-1),0)</f>
        <v>8554.9666666666672</v>
      </c>
      <c r="N680" s="5">
        <f>IF(ISNUMBER(Inputs!$L$5),(IF(Inputs!$L$9="Actual flat rate",L680*Inputs!$L$10,IF(Inputs!$C$9="Residential",IF(L680&lt;='Assumptions and Catalog'!$C$50,L680*'Assumptions and Catalog'!$H$50+'Assumptions and Catalog'!$E$50+'Assumptions and Catalog'!$F$50,IF(L680&lt;='Assumptions and Catalog'!$C$51,L680*'Assumptions and Catalog'!$H$51+'Assumptions and Catalog'!$E$51+'Assumptions and Catalog'!$F$51,IF(L680&lt;='Assumptions and Catalog'!$C$52,L680*'Assumptions and Catalog'!$H$52+'Assumptions and Catalog'!$E$52+'Assumptions and Catalog'!$F$52,IF(L680&lt;='Assumptions and Catalog'!$C$53,L680*'Assumptions and Catalog'!$H$53+'Assumptions and Catalog'!$E$53+'Assumptions and Catalog'!$F$53,IF(L680&lt;='Assumptions and Catalog'!$C$54,L680*'Assumptions and Catalog'!$H$54+'Assumptions and Catalog'!$E$54+'Assumptions and Catalog'!$F$54,IF(L680&lt;='Assumptions and Catalog'!$C$55,L680*'Assumptions and Catalog'!$H$55+'Assumptions and Catalog'!$E$55+'Assumptions and Catalog'!$F$55,IF(L680&lt;='Assumptions and Catalog'!$C$56,L680*'Assumptions and Catalog'!$H$56+'Assumptions and Catalog'!$E$56+'Assumptions and Catalog'!$F$56,IF(L680&lt;='Assumptions and Catalog'!$C$57,L680*'Assumptions and Catalog'!$H$57+'Assumptions and Catalog'!$E$57+'Assumptions and Catalog'!$F$57,"Out of range")))))))),IF(L680&lt;='Assumptions and Catalog'!$C$60,L680*'Assumptions and Catalog'!$H$60+'Assumptions and Catalog'!$E$60+'Assumptions and Catalog'!$F$60,IF(L680&lt;='Assumptions and Catalog'!$C$61,L680*'Assumptions and Catalog'!$H$61+'Assumptions and Catalog'!$E$61+'Assumptions and Catalog'!$F$61,IF(L680&lt;='Assumptions and Catalog'!$C$62,L680*'Assumptions and Catalog'!$H$62+'Assumptions and Catalog'!$E$62+'Assumptions and Catalog'!$F$62,IF(L680&lt;='Assumptions and Catalog'!$C$63,L680*'Assumptions and Catalog'!$H$63+'Assumptions and Catalog'!$E$63+'Assumptions and Catalog'!$F$63,IF(L680&lt;='Assumptions and Catalog'!$C$64,L680*'Assumptions and Catalog'!$H$64+'Assumptions and Catalog'!$E$64+'Assumptions and Catalog'!$F$64,IF(L680&lt;='Assumptions and Catalog'!$C$65,L680*'Assumptions and Catalog'!$H$65+'Assumptions and Catalog'!$E$65+'Assumptions and Catalog'!$F$65,"Out of range")))))))))*(1+'Assumptions and Catalog'!$C$8)^(A680-1),0)</f>
        <v>5665.8844570631973</v>
      </c>
      <c r="O680" s="5">
        <f t="shared" si="51"/>
        <v>2889.0822096034699</v>
      </c>
      <c r="P680" s="5">
        <f>E$55*(1-L$14)*(1-'Assumptions and Catalog'!$C$23)^R680</f>
        <v>100.352</v>
      </c>
      <c r="Q680" s="5">
        <f>IF(ISNUMBER(Inputs!$L$5),(IF(Inputs!$L$9="Actual flat rate",((D680+E680)*C680-G680)*Inputs!$L$10,IF(Inputs!$C$9="Residential",IF(((D680+E680)*C680-G680)&lt;='Assumptions and Catalog'!$C$50,((D680+E680)*C680-G680)*'Assumptions and Catalog'!$H$50+'Assumptions and Catalog'!$E$50+'Assumptions and Catalog'!$F$50,IF(((D680+E680)*C680-G680)&lt;='Assumptions and Catalog'!$C$51,((D680+E680)*C680-G680)*'Assumptions and Catalog'!$H$51+'Assumptions and Catalog'!$E$51+'Assumptions and Catalog'!$F$51,IF(((D680+E680)*C680-G680)&lt;='Assumptions and Catalog'!$C$52,((D680+E680)*C680-G680)*'Assumptions and Catalog'!$H$52+'Assumptions and Catalog'!$E$52+'Assumptions and Catalog'!$F$52,IF(((D680+E680)*C680-G680)&lt;='Assumptions and Catalog'!$C$53,((D680+E680)*C680-G680)*'Assumptions and Catalog'!$H$53+'Assumptions and Catalog'!$E$53+'Assumptions and Catalog'!$F$53,IF(((D680+E680)*C680-G680)&lt;='Assumptions and Catalog'!$C$54,((D680+E680)*C680-G680)*'Assumptions and Catalog'!$H$54+'Assumptions and Catalog'!$E$54+'Assumptions and Catalog'!$F$54,IF(((D680+E680)*C680-G680)&lt;='Assumptions and Catalog'!$C$55,((D680+E680)*C680-G680)*'Assumptions and Catalog'!$H$55+'Assumptions and Catalog'!$E$55+'Assumptions and Catalog'!$F$55,IF(((D680+E680)*C680-G680)&lt;='Assumptions and Catalog'!$C$56,((D680+E680)*C680-G680)*'Assumptions and Catalog'!$H$56+'Assumptions and Catalog'!$E$56+'Assumptions and Catalog'!$F$56,IF(((D680+E680)*C680-G680)&lt;='Assumptions and Catalog'!$C$57,((D680+E680)*C680-G680)*'Assumptions and Catalog'!$H$57+'Assumptions and Catalog'!$E$57+'Assumptions and Catalog'!$F$57,"Out of range")))))))),IF(((D680+E680)*C680-G680)&lt;='Assumptions and Catalog'!$C$60,((D680+E680)*C680-G680)*'Assumptions and Catalog'!$H$60+'Assumptions and Catalog'!$E$60+'Assumptions and Catalog'!$F$60,IF(((D680+E680)*C680-G680)&lt;='Assumptions and Catalog'!$C$61,((D680+E680)*C680-G680)*'Assumptions and Catalog'!$H$61+'Assumptions and Catalog'!$E$61+'Assumptions and Catalog'!$F$61,IF(((D680+E680)*C680-G680)&lt;='Assumptions and Catalog'!$C$62,((D680+E680)*C680-G680)*'Assumptions and Catalog'!$H$62+'Assumptions and Catalog'!$E$62+'Assumptions and Catalog'!$F$62,IF(((D680+E680)*C680-G680)&lt;='Assumptions and Catalog'!$C$63,((D680+E680)*C680-G680)*'Assumptions and Catalog'!$H$63+'Assumptions and Catalog'!$E$63+'Assumptions and Catalog'!$F$63,IF(((D680+E680)*C680-G680)&lt;='Assumptions and Catalog'!$C$64,((D680+E680)*C680-G680)*'Assumptions and Catalog'!$H$64+'Assumptions and Catalog'!$E$64+'Assumptions and Catalog'!$F$64,IF(((D680+E680)*C680-G680)&lt;='Assumptions and Catalog'!$C$65,((D680+E680)*C680-G680)*'Assumptions and Catalog'!$H$65+'Assumptions and Catalog'!$E$65+'Assumptions and Catalog'!$F$65,"Out of range")))))))))*(1+'Assumptions and Catalog'!$C$8)^(A680-1),0)</f>
        <v>5665.8844570631973</v>
      </c>
      <c r="R680" s="5">
        <f>IF(AND('Assumptions and Catalog'!$C$19&gt;0,A680&gt;='Assumptions and Catalog'!$C$19),A680-'Assumptions and Catalog'!$C$19,A680-1)</f>
        <v>1</v>
      </c>
      <c r="S680" s="5">
        <f>F680+L680-(D680+E680)*C680-J680-K680-IF(E$52&gt;0,'Assumptions and Catalog'!$C$26*C680,0)</f>
        <v>0</v>
      </c>
      <c r="T680" s="5"/>
      <c r="U680" s="5"/>
    </row>
    <row r="681" spans="1:21" ht="23.1" customHeight="1" outlineLevel="1" x14ac:dyDescent="0.2">
      <c r="A681" s="5">
        <v>2</v>
      </c>
      <c r="B681" s="5">
        <v>9</v>
      </c>
      <c r="C681" s="5">
        <f>DAY(DATE('Assumptions and Catalog'!$C$24+A681-1,B681+1,0))</f>
        <v>30</v>
      </c>
      <c r="D681" s="5">
        <f>IF(ISNUMBER(Inputs!$L$5),Inputs!$L$5*Inputs!$L$6,0)</f>
        <v>40.35</v>
      </c>
      <c r="E681" s="5">
        <f>IF(ISNUMBER(Inputs!$L$5),Inputs!$L$5-D681,0)</f>
        <v>40.35</v>
      </c>
      <c r="F681" s="5">
        <f>E$51*'Assumptions and Catalog'!$C$31*C681*(1-'Assumptions and Catalog'!$C$10)^(A681-1)</f>
        <v>817.5915</v>
      </c>
      <c r="G681" s="5">
        <f t="shared" si="48"/>
        <v>817.5915</v>
      </c>
      <c r="H681" s="5">
        <f>I681/('Assumptions and Catalog'!$C$11*'Assumptions and Catalog'!$C$12)</f>
        <v>0</v>
      </c>
      <c r="I681" s="5">
        <f>MIN(E681*C681,P681*'Assumptions and Catalog'!$C$12*C681,(F681-G681)*'Assumptions and Catalog'!$C$11*'Assumptions and Catalog'!$C$12,E$56*'Assumptions and Catalog'!$C$14*'Assumptions and Catalog'!$C$11*'Assumptions and Catalog'!$C$12*C681,E$57*(24-'Assumptions and Catalog'!$C$13)*C681)</f>
        <v>0</v>
      </c>
      <c r="J681" s="5">
        <f t="shared" si="49"/>
        <v>0</v>
      </c>
      <c r="K681" s="5">
        <f t="shared" si="50"/>
        <v>0</v>
      </c>
      <c r="L681" s="5">
        <f>(D681+E681)*C681-G681-I681+0+IF(E$52&gt;0,'Assumptions and Catalog'!$C$26*C681,0)</f>
        <v>1603.4085</v>
      </c>
      <c r="M681" s="5">
        <f>IF(ISNUMBER(Inputs!$L$5),(IF(Inputs!$L$9="Actual flat rate",((D681+E681)*C681)*Inputs!$L$10,IF(Inputs!$C$9="Residential",IF(((D681+E681)*C681)&lt;='Assumptions and Catalog'!$C$50,((D681+E681)*C681)*'Assumptions and Catalog'!$H$50+'Assumptions and Catalog'!$E$50+'Assumptions and Catalog'!$F$50,IF(((D681+E681)*C681)&lt;='Assumptions and Catalog'!$C$51,((D681+E681)*C681)*'Assumptions and Catalog'!$H$51+'Assumptions and Catalog'!$E$51+'Assumptions and Catalog'!$F$51,IF(((D681+E681)*C681)&lt;='Assumptions and Catalog'!$C$52,((D681+E681)*C681)*'Assumptions and Catalog'!$H$52+'Assumptions and Catalog'!$E$52+'Assumptions and Catalog'!$F$52,IF(((D681+E681)*C681)&lt;='Assumptions and Catalog'!$C$53,((D681+E681)*C681)*'Assumptions and Catalog'!$H$53+'Assumptions and Catalog'!$E$53+'Assumptions and Catalog'!$F$53,IF(((D681+E681)*C681)&lt;='Assumptions and Catalog'!$C$54,((D681+E681)*C681)*'Assumptions and Catalog'!$H$54+'Assumptions and Catalog'!$E$54+'Assumptions and Catalog'!$F$54,IF(((D681+E681)*C681)&lt;='Assumptions and Catalog'!$C$55,((D681+E681)*C681)*'Assumptions and Catalog'!$H$55+'Assumptions and Catalog'!$E$55+'Assumptions and Catalog'!$F$55,IF(((D681+E681)*C681)&lt;='Assumptions and Catalog'!$C$56,((D681+E681)*C681)*'Assumptions and Catalog'!$H$56+'Assumptions and Catalog'!$E$56+'Assumptions and Catalog'!$F$56,IF(((D681+E681)*C681)&lt;='Assumptions and Catalog'!$C$57,((D681+E681)*C681)*'Assumptions and Catalog'!$H$57+'Assumptions and Catalog'!$E$57+'Assumptions and Catalog'!$F$57,"Out of range")))))))),IF(((D681+E681)*C681)&lt;='Assumptions and Catalog'!$C$60,((D681+E681)*C681)*'Assumptions and Catalog'!$H$60+'Assumptions and Catalog'!$E$60+'Assumptions and Catalog'!$F$60,IF(((D681+E681)*C681)&lt;='Assumptions and Catalog'!$C$61,((D681+E681)*C681)*'Assumptions and Catalog'!$H$61+'Assumptions and Catalog'!$E$61+'Assumptions and Catalog'!$F$61,IF(((D681+E681)*C681)&lt;='Assumptions and Catalog'!$C$62,((D681+E681)*C681)*'Assumptions and Catalog'!$H$62+'Assumptions and Catalog'!$E$62+'Assumptions and Catalog'!$F$62,IF(((D681+E681)*C681)&lt;='Assumptions and Catalog'!$C$63,((D681+E681)*C681)*'Assumptions and Catalog'!$H$63+'Assumptions and Catalog'!$E$63+'Assumptions and Catalog'!$F$63,IF(((D681+E681)*C681)&lt;='Assumptions and Catalog'!$C$64,((D681+E681)*C681)*'Assumptions and Catalog'!$H$64+'Assumptions and Catalog'!$E$64+'Assumptions and Catalog'!$F$64,IF(((D681+E681)*C681)&lt;='Assumptions and Catalog'!$C$65,((D681+E681)*C681)*'Assumptions and Catalog'!$H$65+'Assumptions and Catalog'!$E$65+'Assumptions and Catalog'!$F$65,"Out of range")))))))))*(1+'Assumptions and Catalog'!$C$8)^(A681-1),0)</f>
        <v>8279</v>
      </c>
      <c r="N681" s="5">
        <f>IF(ISNUMBER(Inputs!$L$5),(IF(Inputs!$L$9="Actual flat rate",L681*Inputs!$L$10,IF(Inputs!$C$9="Residential",IF(L681&lt;='Assumptions and Catalog'!$C$50,L681*'Assumptions and Catalog'!$H$50+'Assumptions and Catalog'!$E$50+'Assumptions and Catalog'!$F$50,IF(L681&lt;='Assumptions and Catalog'!$C$51,L681*'Assumptions and Catalog'!$H$51+'Assumptions and Catalog'!$E$51+'Assumptions and Catalog'!$F$51,IF(L681&lt;='Assumptions and Catalog'!$C$52,L681*'Assumptions and Catalog'!$H$52+'Assumptions and Catalog'!$E$52+'Assumptions and Catalog'!$F$52,IF(L681&lt;='Assumptions and Catalog'!$C$53,L681*'Assumptions and Catalog'!$H$53+'Assumptions and Catalog'!$E$53+'Assumptions and Catalog'!$F$53,IF(L681&lt;='Assumptions and Catalog'!$C$54,L681*'Assumptions and Catalog'!$H$54+'Assumptions and Catalog'!$E$54+'Assumptions and Catalog'!$F$54,IF(L681&lt;='Assumptions and Catalog'!$C$55,L681*'Assumptions and Catalog'!$H$55+'Assumptions and Catalog'!$E$55+'Assumptions and Catalog'!$F$55,IF(L681&lt;='Assumptions and Catalog'!$C$56,L681*'Assumptions and Catalog'!$H$56+'Assumptions and Catalog'!$E$56+'Assumptions and Catalog'!$F$56,IF(L681&lt;='Assumptions and Catalog'!$C$57,L681*'Assumptions and Catalog'!$H$57+'Assumptions and Catalog'!$E$57+'Assumptions and Catalog'!$F$57,"Out of range")))))))),IF(L681&lt;='Assumptions and Catalog'!$C$60,L681*'Assumptions and Catalog'!$H$60+'Assumptions and Catalog'!$E$60+'Assumptions and Catalog'!$F$60,IF(L681&lt;='Assumptions and Catalog'!$C$61,L681*'Assumptions and Catalog'!$H$61+'Assumptions and Catalog'!$E$61+'Assumptions and Catalog'!$F$61,IF(L681&lt;='Assumptions and Catalog'!$C$62,L681*'Assumptions and Catalog'!$H$62+'Assumptions and Catalog'!$E$62+'Assumptions and Catalog'!$F$62,IF(L681&lt;='Assumptions and Catalog'!$C$63,L681*'Assumptions and Catalog'!$H$63+'Assumptions and Catalog'!$E$63+'Assumptions and Catalog'!$F$63,IF(L681&lt;='Assumptions and Catalog'!$C$64,L681*'Assumptions and Catalog'!$H$64+'Assumptions and Catalog'!$E$64+'Assumptions and Catalog'!$F$64,IF(L681&lt;='Assumptions and Catalog'!$C$65,L681*'Assumptions and Catalog'!$H$65+'Assumptions and Catalog'!$E$65+'Assumptions and Catalog'!$F$65,"Out of range")))))))))*(1+'Assumptions and Catalog'!$C$8)^(A681-1),0)</f>
        <v>5483.1139907063198</v>
      </c>
      <c r="O681" s="5">
        <f t="shared" si="51"/>
        <v>2795.8860092936802</v>
      </c>
      <c r="P681" s="5">
        <f>E$55*(1-L$14)*(1-'Assumptions and Catalog'!$C$23)^R681</f>
        <v>100.352</v>
      </c>
      <c r="Q681" s="5">
        <f>IF(ISNUMBER(Inputs!$L$5),(IF(Inputs!$L$9="Actual flat rate",((D681+E681)*C681-G681)*Inputs!$L$10,IF(Inputs!$C$9="Residential",IF(((D681+E681)*C681-G681)&lt;='Assumptions and Catalog'!$C$50,((D681+E681)*C681-G681)*'Assumptions and Catalog'!$H$50+'Assumptions and Catalog'!$E$50+'Assumptions and Catalog'!$F$50,IF(((D681+E681)*C681-G681)&lt;='Assumptions and Catalog'!$C$51,((D681+E681)*C681-G681)*'Assumptions and Catalog'!$H$51+'Assumptions and Catalog'!$E$51+'Assumptions and Catalog'!$F$51,IF(((D681+E681)*C681-G681)&lt;='Assumptions and Catalog'!$C$52,((D681+E681)*C681-G681)*'Assumptions and Catalog'!$H$52+'Assumptions and Catalog'!$E$52+'Assumptions and Catalog'!$F$52,IF(((D681+E681)*C681-G681)&lt;='Assumptions and Catalog'!$C$53,((D681+E681)*C681-G681)*'Assumptions and Catalog'!$H$53+'Assumptions and Catalog'!$E$53+'Assumptions and Catalog'!$F$53,IF(((D681+E681)*C681-G681)&lt;='Assumptions and Catalog'!$C$54,((D681+E681)*C681-G681)*'Assumptions and Catalog'!$H$54+'Assumptions and Catalog'!$E$54+'Assumptions and Catalog'!$F$54,IF(((D681+E681)*C681-G681)&lt;='Assumptions and Catalog'!$C$55,((D681+E681)*C681-G681)*'Assumptions and Catalog'!$H$55+'Assumptions and Catalog'!$E$55+'Assumptions and Catalog'!$F$55,IF(((D681+E681)*C681-G681)&lt;='Assumptions and Catalog'!$C$56,((D681+E681)*C681-G681)*'Assumptions and Catalog'!$H$56+'Assumptions and Catalog'!$E$56+'Assumptions and Catalog'!$F$56,IF(((D681+E681)*C681-G681)&lt;='Assumptions and Catalog'!$C$57,((D681+E681)*C681-G681)*'Assumptions and Catalog'!$H$57+'Assumptions and Catalog'!$E$57+'Assumptions and Catalog'!$F$57,"Out of range")))))))),IF(((D681+E681)*C681-G681)&lt;='Assumptions and Catalog'!$C$60,((D681+E681)*C681-G681)*'Assumptions and Catalog'!$H$60+'Assumptions and Catalog'!$E$60+'Assumptions and Catalog'!$F$60,IF(((D681+E681)*C681-G681)&lt;='Assumptions and Catalog'!$C$61,((D681+E681)*C681-G681)*'Assumptions and Catalog'!$H$61+'Assumptions and Catalog'!$E$61+'Assumptions and Catalog'!$F$61,IF(((D681+E681)*C681-G681)&lt;='Assumptions and Catalog'!$C$62,((D681+E681)*C681-G681)*'Assumptions and Catalog'!$H$62+'Assumptions and Catalog'!$E$62+'Assumptions and Catalog'!$F$62,IF(((D681+E681)*C681-G681)&lt;='Assumptions and Catalog'!$C$63,((D681+E681)*C681-G681)*'Assumptions and Catalog'!$H$63+'Assumptions and Catalog'!$E$63+'Assumptions and Catalog'!$F$63,IF(((D681+E681)*C681-G681)&lt;='Assumptions and Catalog'!$C$64,((D681+E681)*C681-G681)*'Assumptions and Catalog'!$H$64+'Assumptions and Catalog'!$E$64+'Assumptions and Catalog'!$F$64,IF(((D681+E681)*C681-G681)&lt;='Assumptions and Catalog'!$C$65,((D681+E681)*C681-G681)*'Assumptions and Catalog'!$H$65+'Assumptions and Catalog'!$E$65+'Assumptions and Catalog'!$F$65,"Out of range")))))))))*(1+'Assumptions and Catalog'!$C$8)^(A681-1),0)</f>
        <v>5483.1139907063198</v>
      </c>
      <c r="R681" s="5">
        <f>IF(AND('Assumptions and Catalog'!$C$19&gt;0,A681&gt;='Assumptions and Catalog'!$C$19),A681-'Assumptions and Catalog'!$C$19,A681-1)</f>
        <v>1</v>
      </c>
      <c r="S681" s="5">
        <f>F681+L681-(D681+E681)*C681-J681-K681-IF(E$52&gt;0,'Assumptions and Catalog'!$C$26*C681,0)</f>
        <v>0</v>
      </c>
      <c r="T681" s="5"/>
      <c r="U681" s="5"/>
    </row>
    <row r="682" spans="1:21" ht="23.1" customHeight="1" outlineLevel="1" x14ac:dyDescent="0.2">
      <c r="A682" s="5">
        <v>2</v>
      </c>
      <c r="B682" s="5">
        <v>10</v>
      </c>
      <c r="C682" s="5">
        <f>DAY(DATE('Assumptions and Catalog'!$C$24+A682-1,B682+1,0))</f>
        <v>31</v>
      </c>
      <c r="D682" s="5">
        <f>IF(ISNUMBER(Inputs!$L$5),Inputs!$L$5*Inputs!$L$6,0)</f>
        <v>40.35</v>
      </c>
      <c r="E682" s="5">
        <f>IF(ISNUMBER(Inputs!$L$5),Inputs!$L$5-D682,0)</f>
        <v>40.35</v>
      </c>
      <c r="F682" s="5">
        <f>E$51*'Assumptions and Catalog'!$C$31*C682*(1-'Assumptions and Catalog'!$C$10)^(A682-1)</f>
        <v>844.84455000000003</v>
      </c>
      <c r="G682" s="5">
        <f t="shared" si="48"/>
        <v>844.84455000000003</v>
      </c>
      <c r="H682" s="5">
        <f>I682/('Assumptions and Catalog'!$C$11*'Assumptions and Catalog'!$C$12)</f>
        <v>0</v>
      </c>
      <c r="I682" s="5">
        <f>MIN(E682*C682,P682*'Assumptions and Catalog'!$C$12*C682,(F682-G682)*'Assumptions and Catalog'!$C$11*'Assumptions and Catalog'!$C$12,E$56*'Assumptions and Catalog'!$C$14*'Assumptions and Catalog'!$C$11*'Assumptions and Catalog'!$C$12*C682,E$57*(24-'Assumptions and Catalog'!$C$13)*C682)</f>
        <v>0</v>
      </c>
      <c r="J682" s="5">
        <f t="shared" si="49"/>
        <v>0</v>
      </c>
      <c r="K682" s="5">
        <f t="shared" si="50"/>
        <v>0</v>
      </c>
      <c r="L682" s="5">
        <f>(D682+E682)*C682-G682-I682+0+IF(E$52&gt;0,'Assumptions and Catalog'!$C$26*C682,0)</f>
        <v>1656.8554500000002</v>
      </c>
      <c r="M682" s="5">
        <f>IF(ISNUMBER(Inputs!$L$5),(IF(Inputs!$L$9="Actual flat rate",((D682+E682)*C682)*Inputs!$L$10,IF(Inputs!$C$9="Residential",IF(((D682+E682)*C682)&lt;='Assumptions and Catalog'!$C$50,((D682+E682)*C682)*'Assumptions and Catalog'!$H$50+'Assumptions and Catalog'!$E$50+'Assumptions and Catalog'!$F$50,IF(((D682+E682)*C682)&lt;='Assumptions and Catalog'!$C$51,((D682+E682)*C682)*'Assumptions and Catalog'!$H$51+'Assumptions and Catalog'!$E$51+'Assumptions and Catalog'!$F$51,IF(((D682+E682)*C682)&lt;='Assumptions and Catalog'!$C$52,((D682+E682)*C682)*'Assumptions and Catalog'!$H$52+'Assumptions and Catalog'!$E$52+'Assumptions and Catalog'!$F$52,IF(((D682+E682)*C682)&lt;='Assumptions and Catalog'!$C$53,((D682+E682)*C682)*'Assumptions and Catalog'!$H$53+'Assumptions and Catalog'!$E$53+'Assumptions and Catalog'!$F$53,IF(((D682+E682)*C682)&lt;='Assumptions and Catalog'!$C$54,((D682+E682)*C682)*'Assumptions and Catalog'!$H$54+'Assumptions and Catalog'!$E$54+'Assumptions and Catalog'!$F$54,IF(((D682+E682)*C682)&lt;='Assumptions and Catalog'!$C$55,((D682+E682)*C682)*'Assumptions and Catalog'!$H$55+'Assumptions and Catalog'!$E$55+'Assumptions and Catalog'!$F$55,IF(((D682+E682)*C682)&lt;='Assumptions and Catalog'!$C$56,((D682+E682)*C682)*'Assumptions and Catalog'!$H$56+'Assumptions and Catalog'!$E$56+'Assumptions and Catalog'!$F$56,IF(((D682+E682)*C682)&lt;='Assumptions and Catalog'!$C$57,((D682+E682)*C682)*'Assumptions and Catalog'!$H$57+'Assumptions and Catalog'!$E$57+'Assumptions and Catalog'!$F$57,"Out of range")))))))),IF(((D682+E682)*C682)&lt;='Assumptions and Catalog'!$C$60,((D682+E682)*C682)*'Assumptions and Catalog'!$H$60+'Assumptions and Catalog'!$E$60+'Assumptions and Catalog'!$F$60,IF(((D682+E682)*C682)&lt;='Assumptions and Catalog'!$C$61,((D682+E682)*C682)*'Assumptions and Catalog'!$H$61+'Assumptions and Catalog'!$E$61+'Assumptions and Catalog'!$F$61,IF(((D682+E682)*C682)&lt;='Assumptions and Catalog'!$C$62,((D682+E682)*C682)*'Assumptions and Catalog'!$H$62+'Assumptions and Catalog'!$E$62+'Assumptions and Catalog'!$F$62,IF(((D682+E682)*C682)&lt;='Assumptions and Catalog'!$C$63,((D682+E682)*C682)*'Assumptions and Catalog'!$H$63+'Assumptions and Catalog'!$E$63+'Assumptions and Catalog'!$F$63,IF(((D682+E682)*C682)&lt;='Assumptions and Catalog'!$C$64,((D682+E682)*C682)*'Assumptions and Catalog'!$H$64+'Assumptions and Catalog'!$E$64+'Assumptions and Catalog'!$F$64,IF(((D682+E682)*C682)&lt;='Assumptions and Catalog'!$C$65,((D682+E682)*C682)*'Assumptions and Catalog'!$H$65+'Assumptions and Catalog'!$E$65+'Assumptions and Catalog'!$F$65,"Out of range")))))))))*(1+'Assumptions and Catalog'!$C$8)^(A682-1),0)</f>
        <v>8554.9666666666672</v>
      </c>
      <c r="N682" s="5">
        <f>IF(ISNUMBER(Inputs!$L$5),(IF(Inputs!$L$9="Actual flat rate",L682*Inputs!$L$10,IF(Inputs!$C$9="Residential",IF(L682&lt;='Assumptions and Catalog'!$C$50,L682*'Assumptions and Catalog'!$H$50+'Assumptions and Catalog'!$E$50+'Assumptions and Catalog'!$F$50,IF(L682&lt;='Assumptions and Catalog'!$C$51,L682*'Assumptions and Catalog'!$H$51+'Assumptions and Catalog'!$E$51+'Assumptions and Catalog'!$F$51,IF(L682&lt;='Assumptions and Catalog'!$C$52,L682*'Assumptions and Catalog'!$H$52+'Assumptions and Catalog'!$E$52+'Assumptions and Catalog'!$F$52,IF(L682&lt;='Assumptions and Catalog'!$C$53,L682*'Assumptions and Catalog'!$H$53+'Assumptions and Catalog'!$E$53+'Assumptions and Catalog'!$F$53,IF(L682&lt;='Assumptions and Catalog'!$C$54,L682*'Assumptions and Catalog'!$H$54+'Assumptions and Catalog'!$E$54+'Assumptions and Catalog'!$F$54,IF(L682&lt;='Assumptions and Catalog'!$C$55,L682*'Assumptions and Catalog'!$H$55+'Assumptions and Catalog'!$E$55+'Assumptions and Catalog'!$F$55,IF(L682&lt;='Assumptions and Catalog'!$C$56,L682*'Assumptions and Catalog'!$H$56+'Assumptions and Catalog'!$E$56+'Assumptions and Catalog'!$F$56,IF(L682&lt;='Assumptions and Catalog'!$C$57,L682*'Assumptions and Catalog'!$H$57+'Assumptions and Catalog'!$E$57+'Assumptions and Catalog'!$F$57,"Out of range")))))))),IF(L682&lt;='Assumptions and Catalog'!$C$60,L682*'Assumptions and Catalog'!$H$60+'Assumptions and Catalog'!$E$60+'Assumptions and Catalog'!$F$60,IF(L682&lt;='Assumptions and Catalog'!$C$61,L682*'Assumptions and Catalog'!$H$61+'Assumptions and Catalog'!$E$61+'Assumptions and Catalog'!$F$61,IF(L682&lt;='Assumptions and Catalog'!$C$62,L682*'Assumptions and Catalog'!$H$62+'Assumptions and Catalog'!$E$62+'Assumptions and Catalog'!$F$62,IF(L682&lt;='Assumptions and Catalog'!$C$63,L682*'Assumptions and Catalog'!$H$63+'Assumptions and Catalog'!$E$63+'Assumptions and Catalog'!$F$63,IF(L682&lt;='Assumptions and Catalog'!$C$64,L682*'Assumptions and Catalog'!$H$64+'Assumptions and Catalog'!$E$64+'Assumptions and Catalog'!$F$64,IF(L682&lt;='Assumptions and Catalog'!$C$65,L682*'Assumptions and Catalog'!$H$65+'Assumptions and Catalog'!$E$65+'Assumptions and Catalog'!$F$65,"Out of range")))))))))*(1+'Assumptions and Catalog'!$C$8)^(A682-1),0)</f>
        <v>5665.8844570631973</v>
      </c>
      <c r="O682" s="5">
        <f t="shared" si="51"/>
        <v>2889.0822096034699</v>
      </c>
      <c r="P682" s="5">
        <f>E$55*(1-L$14)*(1-'Assumptions and Catalog'!$C$23)^R682</f>
        <v>100.352</v>
      </c>
      <c r="Q682" s="5">
        <f>IF(ISNUMBER(Inputs!$L$5),(IF(Inputs!$L$9="Actual flat rate",((D682+E682)*C682-G682)*Inputs!$L$10,IF(Inputs!$C$9="Residential",IF(((D682+E682)*C682-G682)&lt;='Assumptions and Catalog'!$C$50,((D682+E682)*C682-G682)*'Assumptions and Catalog'!$H$50+'Assumptions and Catalog'!$E$50+'Assumptions and Catalog'!$F$50,IF(((D682+E682)*C682-G682)&lt;='Assumptions and Catalog'!$C$51,((D682+E682)*C682-G682)*'Assumptions and Catalog'!$H$51+'Assumptions and Catalog'!$E$51+'Assumptions and Catalog'!$F$51,IF(((D682+E682)*C682-G682)&lt;='Assumptions and Catalog'!$C$52,((D682+E682)*C682-G682)*'Assumptions and Catalog'!$H$52+'Assumptions and Catalog'!$E$52+'Assumptions and Catalog'!$F$52,IF(((D682+E682)*C682-G682)&lt;='Assumptions and Catalog'!$C$53,((D682+E682)*C682-G682)*'Assumptions and Catalog'!$H$53+'Assumptions and Catalog'!$E$53+'Assumptions and Catalog'!$F$53,IF(((D682+E682)*C682-G682)&lt;='Assumptions and Catalog'!$C$54,((D682+E682)*C682-G682)*'Assumptions and Catalog'!$H$54+'Assumptions and Catalog'!$E$54+'Assumptions and Catalog'!$F$54,IF(((D682+E682)*C682-G682)&lt;='Assumptions and Catalog'!$C$55,((D682+E682)*C682-G682)*'Assumptions and Catalog'!$H$55+'Assumptions and Catalog'!$E$55+'Assumptions and Catalog'!$F$55,IF(((D682+E682)*C682-G682)&lt;='Assumptions and Catalog'!$C$56,((D682+E682)*C682-G682)*'Assumptions and Catalog'!$H$56+'Assumptions and Catalog'!$E$56+'Assumptions and Catalog'!$F$56,IF(((D682+E682)*C682-G682)&lt;='Assumptions and Catalog'!$C$57,((D682+E682)*C682-G682)*'Assumptions and Catalog'!$H$57+'Assumptions and Catalog'!$E$57+'Assumptions and Catalog'!$F$57,"Out of range")))))))),IF(((D682+E682)*C682-G682)&lt;='Assumptions and Catalog'!$C$60,((D682+E682)*C682-G682)*'Assumptions and Catalog'!$H$60+'Assumptions and Catalog'!$E$60+'Assumptions and Catalog'!$F$60,IF(((D682+E682)*C682-G682)&lt;='Assumptions and Catalog'!$C$61,((D682+E682)*C682-G682)*'Assumptions and Catalog'!$H$61+'Assumptions and Catalog'!$E$61+'Assumptions and Catalog'!$F$61,IF(((D682+E682)*C682-G682)&lt;='Assumptions and Catalog'!$C$62,((D682+E682)*C682-G682)*'Assumptions and Catalog'!$H$62+'Assumptions and Catalog'!$E$62+'Assumptions and Catalog'!$F$62,IF(((D682+E682)*C682-G682)&lt;='Assumptions and Catalog'!$C$63,((D682+E682)*C682-G682)*'Assumptions and Catalog'!$H$63+'Assumptions and Catalog'!$E$63+'Assumptions and Catalog'!$F$63,IF(((D682+E682)*C682-G682)&lt;='Assumptions and Catalog'!$C$64,((D682+E682)*C682-G682)*'Assumptions and Catalog'!$H$64+'Assumptions and Catalog'!$E$64+'Assumptions and Catalog'!$F$64,IF(((D682+E682)*C682-G682)&lt;='Assumptions and Catalog'!$C$65,((D682+E682)*C682-G682)*'Assumptions and Catalog'!$H$65+'Assumptions and Catalog'!$E$65+'Assumptions and Catalog'!$F$65,"Out of range")))))))))*(1+'Assumptions and Catalog'!$C$8)^(A682-1),0)</f>
        <v>5665.8844570631973</v>
      </c>
      <c r="R682" s="5">
        <f>IF(AND('Assumptions and Catalog'!$C$19&gt;0,A682&gt;='Assumptions and Catalog'!$C$19),A682-'Assumptions and Catalog'!$C$19,A682-1)</f>
        <v>1</v>
      </c>
      <c r="S682" s="5">
        <f>F682+L682-(D682+E682)*C682-J682-K682-IF(E$52&gt;0,'Assumptions and Catalog'!$C$26*C682,0)</f>
        <v>0</v>
      </c>
      <c r="T682" s="5"/>
      <c r="U682" s="5"/>
    </row>
    <row r="683" spans="1:21" ht="23.1" customHeight="1" outlineLevel="1" x14ac:dyDescent="0.2">
      <c r="A683" s="5">
        <v>2</v>
      </c>
      <c r="B683" s="5">
        <v>11</v>
      </c>
      <c r="C683" s="5">
        <f>DAY(DATE('Assumptions and Catalog'!$C$24+A683-1,B683+1,0))</f>
        <v>30</v>
      </c>
      <c r="D683" s="5">
        <f>IF(ISNUMBER(Inputs!$L$5),Inputs!$L$5*Inputs!$L$6,0)</f>
        <v>40.35</v>
      </c>
      <c r="E683" s="5">
        <f>IF(ISNUMBER(Inputs!$L$5),Inputs!$L$5-D683,0)</f>
        <v>40.35</v>
      </c>
      <c r="F683" s="5">
        <f>E$51*'Assumptions and Catalog'!$C$31*C683*(1-'Assumptions and Catalog'!$C$10)^(A683-1)</f>
        <v>817.5915</v>
      </c>
      <c r="G683" s="5">
        <f t="shared" si="48"/>
        <v>817.5915</v>
      </c>
      <c r="H683" s="5">
        <f>I683/('Assumptions and Catalog'!$C$11*'Assumptions and Catalog'!$C$12)</f>
        <v>0</v>
      </c>
      <c r="I683" s="5">
        <f>MIN(E683*C683,P683*'Assumptions and Catalog'!$C$12*C683,(F683-G683)*'Assumptions and Catalog'!$C$11*'Assumptions and Catalog'!$C$12,E$56*'Assumptions and Catalog'!$C$14*'Assumptions and Catalog'!$C$11*'Assumptions and Catalog'!$C$12*C683,E$57*(24-'Assumptions and Catalog'!$C$13)*C683)</f>
        <v>0</v>
      </c>
      <c r="J683" s="5">
        <f t="shared" si="49"/>
        <v>0</v>
      </c>
      <c r="K683" s="5">
        <f t="shared" si="50"/>
        <v>0</v>
      </c>
      <c r="L683" s="5">
        <f>(D683+E683)*C683-G683-I683+0+IF(E$52&gt;0,'Assumptions and Catalog'!$C$26*C683,0)</f>
        <v>1603.4085</v>
      </c>
      <c r="M683" s="5">
        <f>IF(ISNUMBER(Inputs!$L$5),(IF(Inputs!$L$9="Actual flat rate",((D683+E683)*C683)*Inputs!$L$10,IF(Inputs!$C$9="Residential",IF(((D683+E683)*C683)&lt;='Assumptions and Catalog'!$C$50,((D683+E683)*C683)*'Assumptions and Catalog'!$H$50+'Assumptions and Catalog'!$E$50+'Assumptions and Catalog'!$F$50,IF(((D683+E683)*C683)&lt;='Assumptions and Catalog'!$C$51,((D683+E683)*C683)*'Assumptions and Catalog'!$H$51+'Assumptions and Catalog'!$E$51+'Assumptions and Catalog'!$F$51,IF(((D683+E683)*C683)&lt;='Assumptions and Catalog'!$C$52,((D683+E683)*C683)*'Assumptions and Catalog'!$H$52+'Assumptions and Catalog'!$E$52+'Assumptions and Catalog'!$F$52,IF(((D683+E683)*C683)&lt;='Assumptions and Catalog'!$C$53,((D683+E683)*C683)*'Assumptions and Catalog'!$H$53+'Assumptions and Catalog'!$E$53+'Assumptions and Catalog'!$F$53,IF(((D683+E683)*C683)&lt;='Assumptions and Catalog'!$C$54,((D683+E683)*C683)*'Assumptions and Catalog'!$H$54+'Assumptions and Catalog'!$E$54+'Assumptions and Catalog'!$F$54,IF(((D683+E683)*C683)&lt;='Assumptions and Catalog'!$C$55,((D683+E683)*C683)*'Assumptions and Catalog'!$H$55+'Assumptions and Catalog'!$E$55+'Assumptions and Catalog'!$F$55,IF(((D683+E683)*C683)&lt;='Assumptions and Catalog'!$C$56,((D683+E683)*C683)*'Assumptions and Catalog'!$H$56+'Assumptions and Catalog'!$E$56+'Assumptions and Catalog'!$F$56,IF(((D683+E683)*C683)&lt;='Assumptions and Catalog'!$C$57,((D683+E683)*C683)*'Assumptions and Catalog'!$H$57+'Assumptions and Catalog'!$E$57+'Assumptions and Catalog'!$F$57,"Out of range")))))))),IF(((D683+E683)*C683)&lt;='Assumptions and Catalog'!$C$60,((D683+E683)*C683)*'Assumptions and Catalog'!$H$60+'Assumptions and Catalog'!$E$60+'Assumptions and Catalog'!$F$60,IF(((D683+E683)*C683)&lt;='Assumptions and Catalog'!$C$61,((D683+E683)*C683)*'Assumptions and Catalog'!$H$61+'Assumptions and Catalog'!$E$61+'Assumptions and Catalog'!$F$61,IF(((D683+E683)*C683)&lt;='Assumptions and Catalog'!$C$62,((D683+E683)*C683)*'Assumptions and Catalog'!$H$62+'Assumptions and Catalog'!$E$62+'Assumptions and Catalog'!$F$62,IF(((D683+E683)*C683)&lt;='Assumptions and Catalog'!$C$63,((D683+E683)*C683)*'Assumptions and Catalog'!$H$63+'Assumptions and Catalog'!$E$63+'Assumptions and Catalog'!$F$63,IF(((D683+E683)*C683)&lt;='Assumptions and Catalog'!$C$64,((D683+E683)*C683)*'Assumptions and Catalog'!$H$64+'Assumptions and Catalog'!$E$64+'Assumptions and Catalog'!$F$64,IF(((D683+E683)*C683)&lt;='Assumptions and Catalog'!$C$65,((D683+E683)*C683)*'Assumptions and Catalog'!$H$65+'Assumptions and Catalog'!$E$65+'Assumptions and Catalog'!$F$65,"Out of range")))))))))*(1+'Assumptions and Catalog'!$C$8)^(A683-1),0)</f>
        <v>8279</v>
      </c>
      <c r="N683" s="5">
        <f>IF(ISNUMBER(Inputs!$L$5),(IF(Inputs!$L$9="Actual flat rate",L683*Inputs!$L$10,IF(Inputs!$C$9="Residential",IF(L683&lt;='Assumptions and Catalog'!$C$50,L683*'Assumptions and Catalog'!$H$50+'Assumptions and Catalog'!$E$50+'Assumptions and Catalog'!$F$50,IF(L683&lt;='Assumptions and Catalog'!$C$51,L683*'Assumptions and Catalog'!$H$51+'Assumptions and Catalog'!$E$51+'Assumptions and Catalog'!$F$51,IF(L683&lt;='Assumptions and Catalog'!$C$52,L683*'Assumptions and Catalog'!$H$52+'Assumptions and Catalog'!$E$52+'Assumptions and Catalog'!$F$52,IF(L683&lt;='Assumptions and Catalog'!$C$53,L683*'Assumptions and Catalog'!$H$53+'Assumptions and Catalog'!$E$53+'Assumptions and Catalog'!$F$53,IF(L683&lt;='Assumptions and Catalog'!$C$54,L683*'Assumptions and Catalog'!$H$54+'Assumptions and Catalog'!$E$54+'Assumptions and Catalog'!$F$54,IF(L683&lt;='Assumptions and Catalog'!$C$55,L683*'Assumptions and Catalog'!$H$55+'Assumptions and Catalog'!$E$55+'Assumptions and Catalog'!$F$55,IF(L683&lt;='Assumptions and Catalog'!$C$56,L683*'Assumptions and Catalog'!$H$56+'Assumptions and Catalog'!$E$56+'Assumptions and Catalog'!$F$56,IF(L683&lt;='Assumptions and Catalog'!$C$57,L683*'Assumptions and Catalog'!$H$57+'Assumptions and Catalog'!$E$57+'Assumptions and Catalog'!$F$57,"Out of range")))))))),IF(L683&lt;='Assumptions and Catalog'!$C$60,L683*'Assumptions and Catalog'!$H$60+'Assumptions and Catalog'!$E$60+'Assumptions and Catalog'!$F$60,IF(L683&lt;='Assumptions and Catalog'!$C$61,L683*'Assumptions and Catalog'!$H$61+'Assumptions and Catalog'!$E$61+'Assumptions and Catalog'!$F$61,IF(L683&lt;='Assumptions and Catalog'!$C$62,L683*'Assumptions and Catalog'!$H$62+'Assumptions and Catalog'!$E$62+'Assumptions and Catalog'!$F$62,IF(L683&lt;='Assumptions and Catalog'!$C$63,L683*'Assumptions and Catalog'!$H$63+'Assumptions and Catalog'!$E$63+'Assumptions and Catalog'!$F$63,IF(L683&lt;='Assumptions and Catalog'!$C$64,L683*'Assumptions and Catalog'!$H$64+'Assumptions and Catalog'!$E$64+'Assumptions and Catalog'!$F$64,IF(L683&lt;='Assumptions and Catalog'!$C$65,L683*'Assumptions and Catalog'!$H$65+'Assumptions and Catalog'!$E$65+'Assumptions and Catalog'!$F$65,"Out of range")))))))))*(1+'Assumptions and Catalog'!$C$8)^(A683-1),0)</f>
        <v>5483.1139907063198</v>
      </c>
      <c r="O683" s="5">
        <f t="shared" si="51"/>
        <v>2795.8860092936802</v>
      </c>
      <c r="P683" s="5">
        <f>E$55*(1-L$14)*(1-'Assumptions and Catalog'!$C$23)^R683</f>
        <v>100.352</v>
      </c>
      <c r="Q683" s="5">
        <f>IF(ISNUMBER(Inputs!$L$5),(IF(Inputs!$L$9="Actual flat rate",((D683+E683)*C683-G683)*Inputs!$L$10,IF(Inputs!$C$9="Residential",IF(((D683+E683)*C683-G683)&lt;='Assumptions and Catalog'!$C$50,((D683+E683)*C683-G683)*'Assumptions and Catalog'!$H$50+'Assumptions and Catalog'!$E$50+'Assumptions and Catalog'!$F$50,IF(((D683+E683)*C683-G683)&lt;='Assumptions and Catalog'!$C$51,((D683+E683)*C683-G683)*'Assumptions and Catalog'!$H$51+'Assumptions and Catalog'!$E$51+'Assumptions and Catalog'!$F$51,IF(((D683+E683)*C683-G683)&lt;='Assumptions and Catalog'!$C$52,((D683+E683)*C683-G683)*'Assumptions and Catalog'!$H$52+'Assumptions and Catalog'!$E$52+'Assumptions and Catalog'!$F$52,IF(((D683+E683)*C683-G683)&lt;='Assumptions and Catalog'!$C$53,((D683+E683)*C683-G683)*'Assumptions and Catalog'!$H$53+'Assumptions and Catalog'!$E$53+'Assumptions and Catalog'!$F$53,IF(((D683+E683)*C683-G683)&lt;='Assumptions and Catalog'!$C$54,((D683+E683)*C683-G683)*'Assumptions and Catalog'!$H$54+'Assumptions and Catalog'!$E$54+'Assumptions and Catalog'!$F$54,IF(((D683+E683)*C683-G683)&lt;='Assumptions and Catalog'!$C$55,((D683+E683)*C683-G683)*'Assumptions and Catalog'!$H$55+'Assumptions and Catalog'!$E$55+'Assumptions and Catalog'!$F$55,IF(((D683+E683)*C683-G683)&lt;='Assumptions and Catalog'!$C$56,((D683+E683)*C683-G683)*'Assumptions and Catalog'!$H$56+'Assumptions and Catalog'!$E$56+'Assumptions and Catalog'!$F$56,IF(((D683+E683)*C683-G683)&lt;='Assumptions and Catalog'!$C$57,((D683+E683)*C683-G683)*'Assumptions and Catalog'!$H$57+'Assumptions and Catalog'!$E$57+'Assumptions and Catalog'!$F$57,"Out of range")))))))),IF(((D683+E683)*C683-G683)&lt;='Assumptions and Catalog'!$C$60,((D683+E683)*C683-G683)*'Assumptions and Catalog'!$H$60+'Assumptions and Catalog'!$E$60+'Assumptions and Catalog'!$F$60,IF(((D683+E683)*C683-G683)&lt;='Assumptions and Catalog'!$C$61,((D683+E683)*C683-G683)*'Assumptions and Catalog'!$H$61+'Assumptions and Catalog'!$E$61+'Assumptions and Catalog'!$F$61,IF(((D683+E683)*C683-G683)&lt;='Assumptions and Catalog'!$C$62,((D683+E683)*C683-G683)*'Assumptions and Catalog'!$H$62+'Assumptions and Catalog'!$E$62+'Assumptions and Catalog'!$F$62,IF(((D683+E683)*C683-G683)&lt;='Assumptions and Catalog'!$C$63,((D683+E683)*C683-G683)*'Assumptions and Catalog'!$H$63+'Assumptions and Catalog'!$E$63+'Assumptions and Catalog'!$F$63,IF(((D683+E683)*C683-G683)&lt;='Assumptions and Catalog'!$C$64,((D683+E683)*C683-G683)*'Assumptions and Catalog'!$H$64+'Assumptions and Catalog'!$E$64+'Assumptions and Catalog'!$F$64,IF(((D683+E683)*C683-G683)&lt;='Assumptions and Catalog'!$C$65,((D683+E683)*C683-G683)*'Assumptions and Catalog'!$H$65+'Assumptions and Catalog'!$E$65+'Assumptions and Catalog'!$F$65,"Out of range")))))))))*(1+'Assumptions and Catalog'!$C$8)^(A683-1),0)</f>
        <v>5483.1139907063198</v>
      </c>
      <c r="R683" s="5">
        <f>IF(AND('Assumptions and Catalog'!$C$19&gt;0,A683&gt;='Assumptions and Catalog'!$C$19),A683-'Assumptions and Catalog'!$C$19,A683-1)</f>
        <v>1</v>
      </c>
      <c r="S683" s="5">
        <f>F683+L683-(D683+E683)*C683-J683-K683-IF(E$52&gt;0,'Assumptions and Catalog'!$C$26*C683,0)</f>
        <v>0</v>
      </c>
      <c r="T683" s="5"/>
      <c r="U683" s="5"/>
    </row>
    <row r="684" spans="1:21" ht="23.1" customHeight="1" outlineLevel="1" x14ac:dyDescent="0.2">
      <c r="A684" s="5">
        <v>2</v>
      </c>
      <c r="B684" s="5">
        <v>12</v>
      </c>
      <c r="C684" s="5">
        <f>DAY(DATE('Assumptions and Catalog'!$C$24+A684-1,B684+1,0))</f>
        <v>31</v>
      </c>
      <c r="D684" s="5">
        <f>IF(ISNUMBER(Inputs!$L$5),Inputs!$L$5*Inputs!$L$6,0)</f>
        <v>40.35</v>
      </c>
      <c r="E684" s="5">
        <f>IF(ISNUMBER(Inputs!$L$5),Inputs!$L$5-D684,0)</f>
        <v>40.35</v>
      </c>
      <c r="F684" s="5">
        <f>E$51*'Assumptions and Catalog'!$C$31*C684*(1-'Assumptions and Catalog'!$C$10)^(A684-1)</f>
        <v>844.84455000000003</v>
      </c>
      <c r="G684" s="5">
        <f t="shared" si="48"/>
        <v>844.84455000000003</v>
      </c>
      <c r="H684" s="5">
        <f>I684/('Assumptions and Catalog'!$C$11*'Assumptions and Catalog'!$C$12)</f>
        <v>0</v>
      </c>
      <c r="I684" s="5">
        <f>MIN(E684*C684,P684*'Assumptions and Catalog'!$C$12*C684,(F684-G684)*'Assumptions and Catalog'!$C$11*'Assumptions and Catalog'!$C$12,E$56*'Assumptions and Catalog'!$C$14*'Assumptions and Catalog'!$C$11*'Assumptions and Catalog'!$C$12*C684,E$57*(24-'Assumptions and Catalog'!$C$13)*C684)</f>
        <v>0</v>
      </c>
      <c r="J684" s="5">
        <f t="shared" si="49"/>
        <v>0</v>
      </c>
      <c r="K684" s="5">
        <f t="shared" si="50"/>
        <v>0</v>
      </c>
      <c r="L684" s="5">
        <f>(D684+E684)*C684-G684-I684+0+IF(E$52&gt;0,'Assumptions and Catalog'!$C$26*C684,0)</f>
        <v>1656.8554500000002</v>
      </c>
      <c r="M684" s="5">
        <f>IF(ISNUMBER(Inputs!$L$5),(IF(Inputs!$L$9="Actual flat rate",((D684+E684)*C684)*Inputs!$L$10,IF(Inputs!$C$9="Residential",IF(((D684+E684)*C684)&lt;='Assumptions and Catalog'!$C$50,((D684+E684)*C684)*'Assumptions and Catalog'!$H$50+'Assumptions and Catalog'!$E$50+'Assumptions and Catalog'!$F$50,IF(((D684+E684)*C684)&lt;='Assumptions and Catalog'!$C$51,((D684+E684)*C684)*'Assumptions and Catalog'!$H$51+'Assumptions and Catalog'!$E$51+'Assumptions and Catalog'!$F$51,IF(((D684+E684)*C684)&lt;='Assumptions and Catalog'!$C$52,((D684+E684)*C684)*'Assumptions and Catalog'!$H$52+'Assumptions and Catalog'!$E$52+'Assumptions and Catalog'!$F$52,IF(((D684+E684)*C684)&lt;='Assumptions and Catalog'!$C$53,((D684+E684)*C684)*'Assumptions and Catalog'!$H$53+'Assumptions and Catalog'!$E$53+'Assumptions and Catalog'!$F$53,IF(((D684+E684)*C684)&lt;='Assumptions and Catalog'!$C$54,((D684+E684)*C684)*'Assumptions and Catalog'!$H$54+'Assumptions and Catalog'!$E$54+'Assumptions and Catalog'!$F$54,IF(((D684+E684)*C684)&lt;='Assumptions and Catalog'!$C$55,((D684+E684)*C684)*'Assumptions and Catalog'!$H$55+'Assumptions and Catalog'!$E$55+'Assumptions and Catalog'!$F$55,IF(((D684+E684)*C684)&lt;='Assumptions and Catalog'!$C$56,((D684+E684)*C684)*'Assumptions and Catalog'!$H$56+'Assumptions and Catalog'!$E$56+'Assumptions and Catalog'!$F$56,IF(((D684+E684)*C684)&lt;='Assumptions and Catalog'!$C$57,((D684+E684)*C684)*'Assumptions and Catalog'!$H$57+'Assumptions and Catalog'!$E$57+'Assumptions and Catalog'!$F$57,"Out of range")))))))),IF(((D684+E684)*C684)&lt;='Assumptions and Catalog'!$C$60,((D684+E684)*C684)*'Assumptions and Catalog'!$H$60+'Assumptions and Catalog'!$E$60+'Assumptions and Catalog'!$F$60,IF(((D684+E684)*C684)&lt;='Assumptions and Catalog'!$C$61,((D684+E684)*C684)*'Assumptions and Catalog'!$H$61+'Assumptions and Catalog'!$E$61+'Assumptions and Catalog'!$F$61,IF(((D684+E684)*C684)&lt;='Assumptions and Catalog'!$C$62,((D684+E684)*C684)*'Assumptions and Catalog'!$H$62+'Assumptions and Catalog'!$E$62+'Assumptions and Catalog'!$F$62,IF(((D684+E684)*C684)&lt;='Assumptions and Catalog'!$C$63,((D684+E684)*C684)*'Assumptions and Catalog'!$H$63+'Assumptions and Catalog'!$E$63+'Assumptions and Catalog'!$F$63,IF(((D684+E684)*C684)&lt;='Assumptions and Catalog'!$C$64,((D684+E684)*C684)*'Assumptions and Catalog'!$H$64+'Assumptions and Catalog'!$E$64+'Assumptions and Catalog'!$F$64,IF(((D684+E684)*C684)&lt;='Assumptions and Catalog'!$C$65,((D684+E684)*C684)*'Assumptions and Catalog'!$H$65+'Assumptions and Catalog'!$E$65+'Assumptions and Catalog'!$F$65,"Out of range")))))))))*(1+'Assumptions and Catalog'!$C$8)^(A684-1),0)</f>
        <v>8554.9666666666672</v>
      </c>
      <c r="N684" s="5">
        <f>IF(ISNUMBER(Inputs!$L$5),(IF(Inputs!$L$9="Actual flat rate",L684*Inputs!$L$10,IF(Inputs!$C$9="Residential",IF(L684&lt;='Assumptions and Catalog'!$C$50,L684*'Assumptions and Catalog'!$H$50+'Assumptions and Catalog'!$E$50+'Assumptions and Catalog'!$F$50,IF(L684&lt;='Assumptions and Catalog'!$C$51,L684*'Assumptions and Catalog'!$H$51+'Assumptions and Catalog'!$E$51+'Assumptions and Catalog'!$F$51,IF(L684&lt;='Assumptions and Catalog'!$C$52,L684*'Assumptions and Catalog'!$H$52+'Assumptions and Catalog'!$E$52+'Assumptions and Catalog'!$F$52,IF(L684&lt;='Assumptions and Catalog'!$C$53,L684*'Assumptions and Catalog'!$H$53+'Assumptions and Catalog'!$E$53+'Assumptions and Catalog'!$F$53,IF(L684&lt;='Assumptions and Catalog'!$C$54,L684*'Assumptions and Catalog'!$H$54+'Assumptions and Catalog'!$E$54+'Assumptions and Catalog'!$F$54,IF(L684&lt;='Assumptions and Catalog'!$C$55,L684*'Assumptions and Catalog'!$H$55+'Assumptions and Catalog'!$E$55+'Assumptions and Catalog'!$F$55,IF(L684&lt;='Assumptions and Catalog'!$C$56,L684*'Assumptions and Catalog'!$H$56+'Assumptions and Catalog'!$E$56+'Assumptions and Catalog'!$F$56,IF(L684&lt;='Assumptions and Catalog'!$C$57,L684*'Assumptions and Catalog'!$H$57+'Assumptions and Catalog'!$E$57+'Assumptions and Catalog'!$F$57,"Out of range")))))))),IF(L684&lt;='Assumptions and Catalog'!$C$60,L684*'Assumptions and Catalog'!$H$60+'Assumptions and Catalog'!$E$60+'Assumptions and Catalog'!$F$60,IF(L684&lt;='Assumptions and Catalog'!$C$61,L684*'Assumptions and Catalog'!$H$61+'Assumptions and Catalog'!$E$61+'Assumptions and Catalog'!$F$61,IF(L684&lt;='Assumptions and Catalog'!$C$62,L684*'Assumptions and Catalog'!$H$62+'Assumptions and Catalog'!$E$62+'Assumptions and Catalog'!$F$62,IF(L684&lt;='Assumptions and Catalog'!$C$63,L684*'Assumptions and Catalog'!$H$63+'Assumptions and Catalog'!$E$63+'Assumptions and Catalog'!$F$63,IF(L684&lt;='Assumptions and Catalog'!$C$64,L684*'Assumptions and Catalog'!$H$64+'Assumptions and Catalog'!$E$64+'Assumptions and Catalog'!$F$64,IF(L684&lt;='Assumptions and Catalog'!$C$65,L684*'Assumptions and Catalog'!$H$65+'Assumptions and Catalog'!$E$65+'Assumptions and Catalog'!$F$65,"Out of range")))))))))*(1+'Assumptions and Catalog'!$C$8)^(A684-1),0)</f>
        <v>5665.8844570631973</v>
      </c>
      <c r="O684" s="5">
        <f t="shared" si="51"/>
        <v>2889.0822096034699</v>
      </c>
      <c r="P684" s="5">
        <f>E$55*(1-L$14)*(1-'Assumptions and Catalog'!$C$23)^R684</f>
        <v>100.352</v>
      </c>
      <c r="Q684" s="5">
        <f>IF(ISNUMBER(Inputs!$L$5),(IF(Inputs!$L$9="Actual flat rate",((D684+E684)*C684-G684)*Inputs!$L$10,IF(Inputs!$C$9="Residential",IF(((D684+E684)*C684-G684)&lt;='Assumptions and Catalog'!$C$50,((D684+E684)*C684-G684)*'Assumptions and Catalog'!$H$50+'Assumptions and Catalog'!$E$50+'Assumptions and Catalog'!$F$50,IF(((D684+E684)*C684-G684)&lt;='Assumptions and Catalog'!$C$51,((D684+E684)*C684-G684)*'Assumptions and Catalog'!$H$51+'Assumptions and Catalog'!$E$51+'Assumptions and Catalog'!$F$51,IF(((D684+E684)*C684-G684)&lt;='Assumptions and Catalog'!$C$52,((D684+E684)*C684-G684)*'Assumptions and Catalog'!$H$52+'Assumptions and Catalog'!$E$52+'Assumptions and Catalog'!$F$52,IF(((D684+E684)*C684-G684)&lt;='Assumptions and Catalog'!$C$53,((D684+E684)*C684-G684)*'Assumptions and Catalog'!$H$53+'Assumptions and Catalog'!$E$53+'Assumptions and Catalog'!$F$53,IF(((D684+E684)*C684-G684)&lt;='Assumptions and Catalog'!$C$54,((D684+E684)*C684-G684)*'Assumptions and Catalog'!$H$54+'Assumptions and Catalog'!$E$54+'Assumptions and Catalog'!$F$54,IF(((D684+E684)*C684-G684)&lt;='Assumptions and Catalog'!$C$55,((D684+E684)*C684-G684)*'Assumptions and Catalog'!$H$55+'Assumptions and Catalog'!$E$55+'Assumptions and Catalog'!$F$55,IF(((D684+E684)*C684-G684)&lt;='Assumptions and Catalog'!$C$56,((D684+E684)*C684-G684)*'Assumptions and Catalog'!$H$56+'Assumptions and Catalog'!$E$56+'Assumptions and Catalog'!$F$56,IF(((D684+E684)*C684-G684)&lt;='Assumptions and Catalog'!$C$57,((D684+E684)*C684-G684)*'Assumptions and Catalog'!$H$57+'Assumptions and Catalog'!$E$57+'Assumptions and Catalog'!$F$57,"Out of range")))))))),IF(((D684+E684)*C684-G684)&lt;='Assumptions and Catalog'!$C$60,((D684+E684)*C684-G684)*'Assumptions and Catalog'!$H$60+'Assumptions and Catalog'!$E$60+'Assumptions and Catalog'!$F$60,IF(((D684+E684)*C684-G684)&lt;='Assumptions and Catalog'!$C$61,((D684+E684)*C684-G684)*'Assumptions and Catalog'!$H$61+'Assumptions and Catalog'!$E$61+'Assumptions and Catalog'!$F$61,IF(((D684+E684)*C684-G684)&lt;='Assumptions and Catalog'!$C$62,((D684+E684)*C684-G684)*'Assumptions and Catalog'!$H$62+'Assumptions and Catalog'!$E$62+'Assumptions and Catalog'!$F$62,IF(((D684+E684)*C684-G684)&lt;='Assumptions and Catalog'!$C$63,((D684+E684)*C684-G684)*'Assumptions and Catalog'!$H$63+'Assumptions and Catalog'!$E$63+'Assumptions and Catalog'!$F$63,IF(((D684+E684)*C684-G684)&lt;='Assumptions and Catalog'!$C$64,((D684+E684)*C684-G684)*'Assumptions and Catalog'!$H$64+'Assumptions and Catalog'!$E$64+'Assumptions and Catalog'!$F$64,IF(((D684+E684)*C684-G684)&lt;='Assumptions and Catalog'!$C$65,((D684+E684)*C684-G684)*'Assumptions and Catalog'!$H$65+'Assumptions and Catalog'!$E$65+'Assumptions and Catalog'!$F$65,"Out of range")))))))))*(1+'Assumptions and Catalog'!$C$8)^(A684-1),0)</f>
        <v>5665.8844570631973</v>
      </c>
      <c r="R684" s="5">
        <f>IF(AND('Assumptions and Catalog'!$C$19&gt;0,A684&gt;='Assumptions and Catalog'!$C$19),A684-'Assumptions and Catalog'!$C$19,A684-1)</f>
        <v>1</v>
      </c>
      <c r="S684" s="5">
        <f>F684+L684-(D684+E684)*C684-J684-K684-IF(E$52&gt;0,'Assumptions and Catalog'!$C$26*C684,0)</f>
        <v>0</v>
      </c>
      <c r="T684" s="5"/>
      <c r="U684" s="5"/>
    </row>
    <row r="685" spans="1:21" ht="23.1" customHeight="1" outlineLevel="1" x14ac:dyDescent="0.2">
      <c r="A685" s="5">
        <v>3</v>
      </c>
      <c r="B685" s="5">
        <v>1</v>
      </c>
      <c r="C685" s="5">
        <f>DAY(DATE('Assumptions and Catalog'!$C$24+A685-1,B685+1,0))</f>
        <v>31</v>
      </c>
      <c r="D685" s="5">
        <f>IF(ISNUMBER(Inputs!$L$5),Inputs!$L$5*Inputs!$L$6,0)</f>
        <v>40.35</v>
      </c>
      <c r="E685" s="5">
        <f>IF(ISNUMBER(Inputs!$L$5),Inputs!$L$5-D685,0)</f>
        <v>40.35</v>
      </c>
      <c r="F685" s="5">
        <f>E$51*'Assumptions and Catalog'!$C$31*C685*(1-'Assumptions and Catalog'!$C$10)^(A685-1)</f>
        <v>840.62032725000006</v>
      </c>
      <c r="G685" s="5">
        <f t="shared" si="48"/>
        <v>840.62032725000006</v>
      </c>
      <c r="H685" s="5">
        <f>I685/('Assumptions and Catalog'!$C$11*'Assumptions and Catalog'!$C$12)</f>
        <v>0</v>
      </c>
      <c r="I685" s="5">
        <f>MIN(E685*C685,P685*'Assumptions and Catalog'!$C$12*C685,(F685-G685)*'Assumptions and Catalog'!$C$11*'Assumptions and Catalog'!$C$12,E$56*'Assumptions and Catalog'!$C$14*'Assumptions and Catalog'!$C$11*'Assumptions and Catalog'!$C$12*C685,E$57*(24-'Assumptions and Catalog'!$C$13)*C685)</f>
        <v>0</v>
      </c>
      <c r="J685" s="5">
        <f t="shared" si="49"/>
        <v>0</v>
      </c>
      <c r="K685" s="5">
        <f t="shared" si="50"/>
        <v>0</v>
      </c>
      <c r="L685" s="5">
        <f>(D685+E685)*C685-G685-I685+0+IF(E$52&gt;0,'Assumptions and Catalog'!$C$26*C685,0)</f>
        <v>1661.0796727500001</v>
      </c>
      <c r="M685" s="5">
        <f>IF(ISNUMBER(Inputs!$L$5),(IF(Inputs!$L$9="Actual flat rate",((D685+E685)*C685)*Inputs!$L$10,IF(Inputs!$C$9="Residential",IF(((D685+E685)*C685)&lt;='Assumptions and Catalog'!$C$50,((D685+E685)*C685)*'Assumptions and Catalog'!$H$50+'Assumptions and Catalog'!$E$50+'Assumptions and Catalog'!$F$50,IF(((D685+E685)*C685)&lt;='Assumptions and Catalog'!$C$51,((D685+E685)*C685)*'Assumptions and Catalog'!$H$51+'Assumptions and Catalog'!$E$51+'Assumptions and Catalog'!$F$51,IF(((D685+E685)*C685)&lt;='Assumptions and Catalog'!$C$52,((D685+E685)*C685)*'Assumptions and Catalog'!$H$52+'Assumptions and Catalog'!$E$52+'Assumptions and Catalog'!$F$52,IF(((D685+E685)*C685)&lt;='Assumptions and Catalog'!$C$53,((D685+E685)*C685)*'Assumptions and Catalog'!$H$53+'Assumptions and Catalog'!$E$53+'Assumptions and Catalog'!$F$53,IF(((D685+E685)*C685)&lt;='Assumptions and Catalog'!$C$54,((D685+E685)*C685)*'Assumptions and Catalog'!$H$54+'Assumptions and Catalog'!$E$54+'Assumptions and Catalog'!$F$54,IF(((D685+E685)*C685)&lt;='Assumptions and Catalog'!$C$55,((D685+E685)*C685)*'Assumptions and Catalog'!$H$55+'Assumptions and Catalog'!$E$55+'Assumptions and Catalog'!$F$55,IF(((D685+E685)*C685)&lt;='Assumptions and Catalog'!$C$56,((D685+E685)*C685)*'Assumptions and Catalog'!$H$56+'Assumptions and Catalog'!$E$56+'Assumptions and Catalog'!$F$56,IF(((D685+E685)*C685)&lt;='Assumptions and Catalog'!$C$57,((D685+E685)*C685)*'Assumptions and Catalog'!$H$57+'Assumptions and Catalog'!$E$57+'Assumptions and Catalog'!$F$57,"Out of range")))))))),IF(((D685+E685)*C685)&lt;='Assumptions and Catalog'!$C$60,((D685+E685)*C685)*'Assumptions and Catalog'!$H$60+'Assumptions and Catalog'!$E$60+'Assumptions and Catalog'!$F$60,IF(((D685+E685)*C685)&lt;='Assumptions and Catalog'!$C$61,((D685+E685)*C685)*'Assumptions and Catalog'!$H$61+'Assumptions and Catalog'!$E$61+'Assumptions and Catalog'!$F$61,IF(((D685+E685)*C685)&lt;='Assumptions and Catalog'!$C$62,((D685+E685)*C685)*'Assumptions and Catalog'!$H$62+'Assumptions and Catalog'!$E$62+'Assumptions and Catalog'!$F$62,IF(((D685+E685)*C685)&lt;='Assumptions and Catalog'!$C$63,((D685+E685)*C685)*'Assumptions and Catalog'!$H$63+'Assumptions and Catalog'!$E$63+'Assumptions and Catalog'!$F$63,IF(((D685+E685)*C685)&lt;='Assumptions and Catalog'!$C$64,((D685+E685)*C685)*'Assumptions and Catalog'!$H$64+'Assumptions and Catalog'!$E$64+'Assumptions and Catalog'!$F$64,IF(((D685+E685)*C685)&lt;='Assumptions and Catalog'!$C$65,((D685+E685)*C685)*'Assumptions and Catalog'!$H$65+'Assumptions and Catalog'!$E$65+'Assumptions and Catalog'!$F$65,"Out of range")))))))))*(1+'Assumptions and Catalog'!$C$8)^(A685-1),0)</f>
        <v>8554.9666666666672</v>
      </c>
      <c r="N685" s="5">
        <f>IF(ISNUMBER(Inputs!$L$5),(IF(Inputs!$L$9="Actual flat rate",L685*Inputs!$L$10,IF(Inputs!$C$9="Residential",IF(L685&lt;='Assumptions and Catalog'!$C$50,L685*'Assumptions and Catalog'!$H$50+'Assumptions and Catalog'!$E$50+'Assumptions and Catalog'!$F$50,IF(L685&lt;='Assumptions and Catalog'!$C$51,L685*'Assumptions and Catalog'!$H$51+'Assumptions and Catalog'!$E$51+'Assumptions and Catalog'!$F$51,IF(L685&lt;='Assumptions and Catalog'!$C$52,L685*'Assumptions and Catalog'!$H$52+'Assumptions and Catalog'!$E$52+'Assumptions and Catalog'!$F$52,IF(L685&lt;='Assumptions and Catalog'!$C$53,L685*'Assumptions and Catalog'!$H$53+'Assumptions and Catalog'!$E$53+'Assumptions and Catalog'!$F$53,IF(L685&lt;='Assumptions and Catalog'!$C$54,L685*'Assumptions and Catalog'!$H$54+'Assumptions and Catalog'!$E$54+'Assumptions and Catalog'!$F$54,IF(L685&lt;='Assumptions and Catalog'!$C$55,L685*'Assumptions and Catalog'!$H$55+'Assumptions and Catalog'!$E$55+'Assumptions and Catalog'!$F$55,IF(L685&lt;='Assumptions and Catalog'!$C$56,L685*'Assumptions and Catalog'!$H$56+'Assumptions and Catalog'!$E$56+'Assumptions and Catalog'!$F$56,IF(L685&lt;='Assumptions and Catalog'!$C$57,L685*'Assumptions and Catalog'!$H$57+'Assumptions and Catalog'!$E$57+'Assumptions and Catalog'!$F$57,"Out of range")))))))),IF(L685&lt;='Assumptions and Catalog'!$C$60,L685*'Assumptions and Catalog'!$H$60+'Assumptions and Catalog'!$E$60+'Assumptions and Catalog'!$F$60,IF(L685&lt;='Assumptions and Catalog'!$C$61,L685*'Assumptions and Catalog'!$H$61+'Assumptions and Catalog'!$E$61+'Assumptions and Catalog'!$F$61,IF(L685&lt;='Assumptions and Catalog'!$C$62,L685*'Assumptions and Catalog'!$H$62+'Assumptions and Catalog'!$E$62+'Assumptions and Catalog'!$F$62,IF(L685&lt;='Assumptions and Catalog'!$C$63,L685*'Assumptions and Catalog'!$H$63+'Assumptions and Catalog'!$E$63+'Assumptions and Catalog'!$F$63,IF(L685&lt;='Assumptions and Catalog'!$C$64,L685*'Assumptions and Catalog'!$H$64+'Assumptions and Catalog'!$E$64+'Assumptions and Catalog'!$F$64,IF(L685&lt;='Assumptions and Catalog'!$C$65,L685*'Assumptions and Catalog'!$H$65+'Assumptions and Catalog'!$E$65+'Assumptions and Catalog'!$F$65,"Out of range")))))))))*(1+'Assumptions and Catalog'!$C$8)^(A685-1),0)</f>
        <v>5680.3298681112146</v>
      </c>
      <c r="O685" s="5">
        <f t="shared" si="51"/>
        <v>2874.6367985554525</v>
      </c>
      <c r="P685" s="5">
        <f>E$55*(1-L$14)*(1-'Assumptions and Catalog'!$C$23)^R685</f>
        <v>98.34496</v>
      </c>
      <c r="Q685" s="5">
        <f>IF(ISNUMBER(Inputs!$L$5),(IF(Inputs!$L$9="Actual flat rate",((D685+E685)*C685-G685)*Inputs!$L$10,IF(Inputs!$C$9="Residential",IF(((D685+E685)*C685-G685)&lt;='Assumptions and Catalog'!$C$50,((D685+E685)*C685-G685)*'Assumptions and Catalog'!$H$50+'Assumptions and Catalog'!$E$50+'Assumptions and Catalog'!$F$50,IF(((D685+E685)*C685-G685)&lt;='Assumptions and Catalog'!$C$51,((D685+E685)*C685-G685)*'Assumptions and Catalog'!$H$51+'Assumptions and Catalog'!$E$51+'Assumptions and Catalog'!$F$51,IF(((D685+E685)*C685-G685)&lt;='Assumptions and Catalog'!$C$52,((D685+E685)*C685-G685)*'Assumptions and Catalog'!$H$52+'Assumptions and Catalog'!$E$52+'Assumptions and Catalog'!$F$52,IF(((D685+E685)*C685-G685)&lt;='Assumptions and Catalog'!$C$53,((D685+E685)*C685-G685)*'Assumptions and Catalog'!$H$53+'Assumptions and Catalog'!$E$53+'Assumptions and Catalog'!$F$53,IF(((D685+E685)*C685-G685)&lt;='Assumptions and Catalog'!$C$54,((D685+E685)*C685-G685)*'Assumptions and Catalog'!$H$54+'Assumptions and Catalog'!$E$54+'Assumptions and Catalog'!$F$54,IF(((D685+E685)*C685-G685)&lt;='Assumptions and Catalog'!$C$55,((D685+E685)*C685-G685)*'Assumptions and Catalog'!$H$55+'Assumptions and Catalog'!$E$55+'Assumptions and Catalog'!$F$55,IF(((D685+E685)*C685-G685)&lt;='Assumptions and Catalog'!$C$56,((D685+E685)*C685-G685)*'Assumptions and Catalog'!$H$56+'Assumptions and Catalog'!$E$56+'Assumptions and Catalog'!$F$56,IF(((D685+E685)*C685-G685)&lt;='Assumptions and Catalog'!$C$57,((D685+E685)*C685-G685)*'Assumptions and Catalog'!$H$57+'Assumptions and Catalog'!$E$57+'Assumptions and Catalog'!$F$57,"Out of range")))))))),IF(((D685+E685)*C685-G685)&lt;='Assumptions and Catalog'!$C$60,((D685+E685)*C685-G685)*'Assumptions and Catalog'!$H$60+'Assumptions and Catalog'!$E$60+'Assumptions and Catalog'!$F$60,IF(((D685+E685)*C685-G685)&lt;='Assumptions and Catalog'!$C$61,((D685+E685)*C685-G685)*'Assumptions and Catalog'!$H$61+'Assumptions and Catalog'!$E$61+'Assumptions and Catalog'!$F$61,IF(((D685+E685)*C685-G685)&lt;='Assumptions and Catalog'!$C$62,((D685+E685)*C685-G685)*'Assumptions and Catalog'!$H$62+'Assumptions and Catalog'!$E$62+'Assumptions and Catalog'!$F$62,IF(((D685+E685)*C685-G685)&lt;='Assumptions and Catalog'!$C$63,((D685+E685)*C685-G685)*'Assumptions and Catalog'!$H$63+'Assumptions and Catalog'!$E$63+'Assumptions and Catalog'!$F$63,IF(((D685+E685)*C685-G685)&lt;='Assumptions and Catalog'!$C$64,((D685+E685)*C685-G685)*'Assumptions and Catalog'!$H$64+'Assumptions and Catalog'!$E$64+'Assumptions and Catalog'!$F$64,IF(((D685+E685)*C685-G685)&lt;='Assumptions and Catalog'!$C$65,((D685+E685)*C685-G685)*'Assumptions and Catalog'!$H$65+'Assumptions and Catalog'!$E$65+'Assumptions and Catalog'!$F$65,"Out of range")))))))))*(1+'Assumptions and Catalog'!$C$8)^(A685-1),0)</f>
        <v>5680.3298681112146</v>
      </c>
      <c r="R685" s="5">
        <f>IF(AND('Assumptions and Catalog'!$C$19&gt;0,A685&gt;='Assumptions and Catalog'!$C$19),A685-'Assumptions and Catalog'!$C$19,A685-1)</f>
        <v>2</v>
      </c>
      <c r="S685" s="5">
        <f>F685+L685-(D685+E685)*C685-J685-K685-IF(E$52&gt;0,'Assumptions and Catalog'!$C$26*C685,0)</f>
        <v>0</v>
      </c>
      <c r="T685" s="5"/>
      <c r="U685" s="5"/>
    </row>
    <row r="686" spans="1:21" ht="23.1" customHeight="1" outlineLevel="1" x14ac:dyDescent="0.2">
      <c r="A686" s="5">
        <v>3</v>
      </c>
      <c r="B686" s="5">
        <v>2</v>
      </c>
      <c r="C686" s="5">
        <f>DAY(DATE('Assumptions and Catalog'!$C$24+A686-1,B686+1,0))</f>
        <v>28</v>
      </c>
      <c r="D686" s="5">
        <f>IF(ISNUMBER(Inputs!$L$5),Inputs!$L$5*Inputs!$L$6,0)</f>
        <v>40.35</v>
      </c>
      <c r="E686" s="5">
        <f>IF(ISNUMBER(Inputs!$L$5),Inputs!$L$5-D686,0)</f>
        <v>40.35</v>
      </c>
      <c r="F686" s="5">
        <f>E$51*'Assumptions and Catalog'!$C$31*C686*(1-'Assumptions and Catalog'!$C$10)^(A686-1)</f>
        <v>759.26997300000005</v>
      </c>
      <c r="G686" s="5">
        <f t="shared" si="48"/>
        <v>759.26997300000005</v>
      </c>
      <c r="H686" s="5">
        <f>I686/('Assumptions and Catalog'!$C$11*'Assumptions and Catalog'!$C$12)</f>
        <v>0</v>
      </c>
      <c r="I686" s="5">
        <f>MIN(E686*C686,P686*'Assumptions and Catalog'!$C$12*C686,(F686-G686)*'Assumptions and Catalog'!$C$11*'Assumptions and Catalog'!$C$12,E$56*'Assumptions and Catalog'!$C$14*'Assumptions and Catalog'!$C$11*'Assumptions and Catalog'!$C$12*C686,E$57*(24-'Assumptions and Catalog'!$C$13)*C686)</f>
        <v>0</v>
      </c>
      <c r="J686" s="5">
        <f t="shared" si="49"/>
        <v>0</v>
      </c>
      <c r="K686" s="5">
        <f t="shared" si="50"/>
        <v>0</v>
      </c>
      <c r="L686" s="5">
        <f>(D686+E686)*C686-G686-I686+0+IF(E$52&gt;0,'Assumptions and Catalog'!$C$26*C686,0)</f>
        <v>1500.330027</v>
      </c>
      <c r="M686" s="5">
        <f>IF(ISNUMBER(Inputs!$L$5),(IF(Inputs!$L$9="Actual flat rate",((D686+E686)*C686)*Inputs!$L$10,IF(Inputs!$C$9="Residential",IF(((D686+E686)*C686)&lt;='Assumptions and Catalog'!$C$50,((D686+E686)*C686)*'Assumptions and Catalog'!$H$50+'Assumptions and Catalog'!$E$50+'Assumptions and Catalog'!$F$50,IF(((D686+E686)*C686)&lt;='Assumptions and Catalog'!$C$51,((D686+E686)*C686)*'Assumptions and Catalog'!$H$51+'Assumptions and Catalog'!$E$51+'Assumptions and Catalog'!$F$51,IF(((D686+E686)*C686)&lt;='Assumptions and Catalog'!$C$52,((D686+E686)*C686)*'Assumptions and Catalog'!$H$52+'Assumptions and Catalog'!$E$52+'Assumptions and Catalog'!$F$52,IF(((D686+E686)*C686)&lt;='Assumptions and Catalog'!$C$53,((D686+E686)*C686)*'Assumptions and Catalog'!$H$53+'Assumptions and Catalog'!$E$53+'Assumptions and Catalog'!$F$53,IF(((D686+E686)*C686)&lt;='Assumptions and Catalog'!$C$54,((D686+E686)*C686)*'Assumptions and Catalog'!$H$54+'Assumptions and Catalog'!$E$54+'Assumptions and Catalog'!$F$54,IF(((D686+E686)*C686)&lt;='Assumptions and Catalog'!$C$55,((D686+E686)*C686)*'Assumptions and Catalog'!$H$55+'Assumptions and Catalog'!$E$55+'Assumptions and Catalog'!$F$55,IF(((D686+E686)*C686)&lt;='Assumptions and Catalog'!$C$56,((D686+E686)*C686)*'Assumptions and Catalog'!$H$56+'Assumptions and Catalog'!$E$56+'Assumptions and Catalog'!$F$56,IF(((D686+E686)*C686)&lt;='Assumptions and Catalog'!$C$57,((D686+E686)*C686)*'Assumptions and Catalog'!$H$57+'Assumptions and Catalog'!$E$57+'Assumptions and Catalog'!$F$57,"Out of range")))))))),IF(((D686+E686)*C686)&lt;='Assumptions and Catalog'!$C$60,((D686+E686)*C686)*'Assumptions and Catalog'!$H$60+'Assumptions and Catalog'!$E$60+'Assumptions and Catalog'!$F$60,IF(((D686+E686)*C686)&lt;='Assumptions and Catalog'!$C$61,((D686+E686)*C686)*'Assumptions and Catalog'!$H$61+'Assumptions and Catalog'!$E$61+'Assumptions and Catalog'!$F$61,IF(((D686+E686)*C686)&lt;='Assumptions and Catalog'!$C$62,((D686+E686)*C686)*'Assumptions and Catalog'!$H$62+'Assumptions and Catalog'!$E$62+'Assumptions and Catalog'!$F$62,IF(((D686+E686)*C686)&lt;='Assumptions and Catalog'!$C$63,((D686+E686)*C686)*'Assumptions and Catalog'!$H$63+'Assumptions and Catalog'!$E$63+'Assumptions and Catalog'!$F$63,IF(((D686+E686)*C686)&lt;='Assumptions and Catalog'!$C$64,((D686+E686)*C686)*'Assumptions and Catalog'!$H$64+'Assumptions and Catalog'!$E$64+'Assumptions and Catalog'!$F$64,IF(((D686+E686)*C686)&lt;='Assumptions and Catalog'!$C$65,((D686+E686)*C686)*'Assumptions and Catalog'!$H$65+'Assumptions and Catalog'!$E$65+'Assumptions and Catalog'!$F$65,"Out of range")))))))))*(1+'Assumptions and Catalog'!$C$8)^(A686-1),0)</f>
        <v>7727.0666666666657</v>
      </c>
      <c r="N686" s="5">
        <f>IF(ISNUMBER(Inputs!$L$5),(IF(Inputs!$L$9="Actual flat rate",L686*Inputs!$L$10,IF(Inputs!$C$9="Residential",IF(L686&lt;='Assumptions and Catalog'!$C$50,L686*'Assumptions and Catalog'!$H$50+'Assumptions and Catalog'!$E$50+'Assumptions and Catalog'!$F$50,IF(L686&lt;='Assumptions and Catalog'!$C$51,L686*'Assumptions and Catalog'!$H$51+'Assumptions and Catalog'!$E$51+'Assumptions and Catalog'!$F$51,IF(L686&lt;='Assumptions and Catalog'!$C$52,L686*'Assumptions and Catalog'!$H$52+'Assumptions and Catalog'!$E$52+'Assumptions and Catalog'!$F$52,IF(L686&lt;='Assumptions and Catalog'!$C$53,L686*'Assumptions and Catalog'!$H$53+'Assumptions and Catalog'!$E$53+'Assumptions and Catalog'!$F$53,IF(L686&lt;='Assumptions and Catalog'!$C$54,L686*'Assumptions and Catalog'!$H$54+'Assumptions and Catalog'!$E$54+'Assumptions and Catalog'!$F$54,IF(L686&lt;='Assumptions and Catalog'!$C$55,L686*'Assumptions and Catalog'!$H$55+'Assumptions and Catalog'!$E$55+'Assumptions and Catalog'!$F$55,IF(L686&lt;='Assumptions and Catalog'!$C$56,L686*'Assumptions and Catalog'!$H$56+'Assumptions and Catalog'!$E$56+'Assumptions and Catalog'!$F$56,IF(L686&lt;='Assumptions and Catalog'!$C$57,L686*'Assumptions and Catalog'!$H$57+'Assumptions and Catalog'!$E$57+'Assumptions and Catalog'!$F$57,"Out of range")))))))),IF(L686&lt;='Assumptions and Catalog'!$C$60,L686*'Assumptions and Catalog'!$H$60+'Assumptions and Catalog'!$E$60+'Assumptions and Catalog'!$F$60,IF(L686&lt;='Assumptions and Catalog'!$C$61,L686*'Assumptions and Catalog'!$H$61+'Assumptions and Catalog'!$E$61+'Assumptions and Catalog'!$F$61,IF(L686&lt;='Assumptions and Catalog'!$C$62,L686*'Assumptions and Catalog'!$H$62+'Assumptions and Catalog'!$E$62+'Assumptions and Catalog'!$F$62,IF(L686&lt;='Assumptions and Catalog'!$C$63,L686*'Assumptions and Catalog'!$H$63+'Assumptions and Catalog'!$E$63+'Assumptions and Catalog'!$F$63,IF(L686&lt;='Assumptions and Catalog'!$C$64,L686*'Assumptions and Catalog'!$H$64+'Assumptions and Catalog'!$E$64+'Assumptions and Catalog'!$F$64,IF(L686&lt;='Assumptions and Catalog'!$C$65,L686*'Assumptions and Catalog'!$H$65+'Assumptions and Catalog'!$E$65+'Assumptions and Catalog'!$F$65,"Out of range")))))))))*(1+'Assumptions and Catalog'!$C$8)^(A686-1),0)</f>
        <v>5130.6205260359357</v>
      </c>
      <c r="O686" s="5">
        <f t="shared" si="51"/>
        <v>2596.44614063073</v>
      </c>
      <c r="P686" s="5">
        <f>E$55*(1-L$14)*(1-'Assumptions and Catalog'!$C$23)^R686</f>
        <v>98.34496</v>
      </c>
      <c r="Q686" s="5">
        <f>IF(ISNUMBER(Inputs!$L$5),(IF(Inputs!$L$9="Actual flat rate",((D686+E686)*C686-G686)*Inputs!$L$10,IF(Inputs!$C$9="Residential",IF(((D686+E686)*C686-G686)&lt;='Assumptions and Catalog'!$C$50,((D686+E686)*C686-G686)*'Assumptions and Catalog'!$H$50+'Assumptions and Catalog'!$E$50+'Assumptions and Catalog'!$F$50,IF(((D686+E686)*C686-G686)&lt;='Assumptions and Catalog'!$C$51,((D686+E686)*C686-G686)*'Assumptions and Catalog'!$H$51+'Assumptions and Catalog'!$E$51+'Assumptions and Catalog'!$F$51,IF(((D686+E686)*C686-G686)&lt;='Assumptions and Catalog'!$C$52,((D686+E686)*C686-G686)*'Assumptions and Catalog'!$H$52+'Assumptions and Catalog'!$E$52+'Assumptions and Catalog'!$F$52,IF(((D686+E686)*C686-G686)&lt;='Assumptions and Catalog'!$C$53,((D686+E686)*C686-G686)*'Assumptions and Catalog'!$H$53+'Assumptions and Catalog'!$E$53+'Assumptions and Catalog'!$F$53,IF(((D686+E686)*C686-G686)&lt;='Assumptions and Catalog'!$C$54,((D686+E686)*C686-G686)*'Assumptions and Catalog'!$H$54+'Assumptions and Catalog'!$E$54+'Assumptions and Catalog'!$F$54,IF(((D686+E686)*C686-G686)&lt;='Assumptions and Catalog'!$C$55,((D686+E686)*C686-G686)*'Assumptions and Catalog'!$H$55+'Assumptions and Catalog'!$E$55+'Assumptions and Catalog'!$F$55,IF(((D686+E686)*C686-G686)&lt;='Assumptions and Catalog'!$C$56,((D686+E686)*C686-G686)*'Assumptions and Catalog'!$H$56+'Assumptions and Catalog'!$E$56+'Assumptions and Catalog'!$F$56,IF(((D686+E686)*C686-G686)&lt;='Assumptions and Catalog'!$C$57,((D686+E686)*C686-G686)*'Assumptions and Catalog'!$H$57+'Assumptions and Catalog'!$E$57+'Assumptions and Catalog'!$F$57,"Out of range")))))))),IF(((D686+E686)*C686-G686)&lt;='Assumptions and Catalog'!$C$60,((D686+E686)*C686-G686)*'Assumptions and Catalog'!$H$60+'Assumptions and Catalog'!$E$60+'Assumptions and Catalog'!$F$60,IF(((D686+E686)*C686-G686)&lt;='Assumptions and Catalog'!$C$61,((D686+E686)*C686-G686)*'Assumptions and Catalog'!$H$61+'Assumptions and Catalog'!$E$61+'Assumptions and Catalog'!$F$61,IF(((D686+E686)*C686-G686)&lt;='Assumptions and Catalog'!$C$62,((D686+E686)*C686-G686)*'Assumptions and Catalog'!$H$62+'Assumptions and Catalog'!$E$62+'Assumptions and Catalog'!$F$62,IF(((D686+E686)*C686-G686)&lt;='Assumptions and Catalog'!$C$63,((D686+E686)*C686-G686)*'Assumptions and Catalog'!$H$63+'Assumptions and Catalog'!$E$63+'Assumptions and Catalog'!$F$63,IF(((D686+E686)*C686-G686)&lt;='Assumptions and Catalog'!$C$64,((D686+E686)*C686-G686)*'Assumptions and Catalog'!$H$64+'Assumptions and Catalog'!$E$64+'Assumptions and Catalog'!$F$64,IF(((D686+E686)*C686-G686)&lt;='Assumptions and Catalog'!$C$65,((D686+E686)*C686-G686)*'Assumptions and Catalog'!$H$65+'Assumptions and Catalog'!$E$65+'Assumptions and Catalog'!$F$65,"Out of range")))))))))*(1+'Assumptions and Catalog'!$C$8)^(A686-1),0)</f>
        <v>5130.6205260359357</v>
      </c>
      <c r="R686" s="5">
        <f>IF(AND('Assumptions and Catalog'!$C$19&gt;0,A686&gt;='Assumptions and Catalog'!$C$19),A686-'Assumptions and Catalog'!$C$19,A686-1)</f>
        <v>2</v>
      </c>
      <c r="S686" s="5">
        <f>F686+L686-(D686+E686)*C686-J686-K686-IF(E$52&gt;0,'Assumptions and Catalog'!$C$26*C686,0)</f>
        <v>0</v>
      </c>
      <c r="T686" s="5"/>
      <c r="U686" s="5"/>
    </row>
    <row r="687" spans="1:21" ht="23.1" customHeight="1" outlineLevel="1" x14ac:dyDescent="0.2">
      <c r="A687" s="5">
        <v>3</v>
      </c>
      <c r="B687" s="5">
        <v>3</v>
      </c>
      <c r="C687" s="5">
        <f>DAY(DATE('Assumptions and Catalog'!$C$24+A687-1,B687+1,0))</f>
        <v>31</v>
      </c>
      <c r="D687" s="5">
        <f>IF(ISNUMBER(Inputs!$L$5),Inputs!$L$5*Inputs!$L$6,0)</f>
        <v>40.35</v>
      </c>
      <c r="E687" s="5">
        <f>IF(ISNUMBER(Inputs!$L$5),Inputs!$L$5-D687,0)</f>
        <v>40.35</v>
      </c>
      <c r="F687" s="5">
        <f>E$51*'Assumptions and Catalog'!$C$31*C687*(1-'Assumptions and Catalog'!$C$10)^(A687-1)</f>
        <v>840.62032725000006</v>
      </c>
      <c r="G687" s="5">
        <f t="shared" si="48"/>
        <v>840.62032725000006</v>
      </c>
      <c r="H687" s="5">
        <f>I687/('Assumptions and Catalog'!$C$11*'Assumptions and Catalog'!$C$12)</f>
        <v>0</v>
      </c>
      <c r="I687" s="5">
        <f>MIN(E687*C687,P687*'Assumptions and Catalog'!$C$12*C687,(F687-G687)*'Assumptions and Catalog'!$C$11*'Assumptions and Catalog'!$C$12,E$56*'Assumptions and Catalog'!$C$14*'Assumptions and Catalog'!$C$11*'Assumptions and Catalog'!$C$12*C687,E$57*(24-'Assumptions and Catalog'!$C$13)*C687)</f>
        <v>0</v>
      </c>
      <c r="J687" s="5">
        <f t="shared" si="49"/>
        <v>0</v>
      </c>
      <c r="K687" s="5">
        <f t="shared" si="50"/>
        <v>0</v>
      </c>
      <c r="L687" s="5">
        <f>(D687+E687)*C687-G687-I687+0+IF(E$52&gt;0,'Assumptions and Catalog'!$C$26*C687,0)</f>
        <v>1661.0796727500001</v>
      </c>
      <c r="M687" s="5">
        <f>IF(ISNUMBER(Inputs!$L$5),(IF(Inputs!$L$9="Actual flat rate",((D687+E687)*C687)*Inputs!$L$10,IF(Inputs!$C$9="Residential",IF(((D687+E687)*C687)&lt;='Assumptions and Catalog'!$C$50,((D687+E687)*C687)*'Assumptions and Catalog'!$H$50+'Assumptions and Catalog'!$E$50+'Assumptions and Catalog'!$F$50,IF(((D687+E687)*C687)&lt;='Assumptions and Catalog'!$C$51,((D687+E687)*C687)*'Assumptions and Catalog'!$H$51+'Assumptions and Catalog'!$E$51+'Assumptions and Catalog'!$F$51,IF(((D687+E687)*C687)&lt;='Assumptions and Catalog'!$C$52,((D687+E687)*C687)*'Assumptions and Catalog'!$H$52+'Assumptions and Catalog'!$E$52+'Assumptions and Catalog'!$F$52,IF(((D687+E687)*C687)&lt;='Assumptions and Catalog'!$C$53,((D687+E687)*C687)*'Assumptions and Catalog'!$H$53+'Assumptions and Catalog'!$E$53+'Assumptions and Catalog'!$F$53,IF(((D687+E687)*C687)&lt;='Assumptions and Catalog'!$C$54,((D687+E687)*C687)*'Assumptions and Catalog'!$H$54+'Assumptions and Catalog'!$E$54+'Assumptions and Catalog'!$F$54,IF(((D687+E687)*C687)&lt;='Assumptions and Catalog'!$C$55,((D687+E687)*C687)*'Assumptions and Catalog'!$H$55+'Assumptions and Catalog'!$E$55+'Assumptions and Catalog'!$F$55,IF(((D687+E687)*C687)&lt;='Assumptions and Catalog'!$C$56,((D687+E687)*C687)*'Assumptions and Catalog'!$H$56+'Assumptions and Catalog'!$E$56+'Assumptions and Catalog'!$F$56,IF(((D687+E687)*C687)&lt;='Assumptions and Catalog'!$C$57,((D687+E687)*C687)*'Assumptions and Catalog'!$H$57+'Assumptions and Catalog'!$E$57+'Assumptions and Catalog'!$F$57,"Out of range")))))))),IF(((D687+E687)*C687)&lt;='Assumptions and Catalog'!$C$60,((D687+E687)*C687)*'Assumptions and Catalog'!$H$60+'Assumptions and Catalog'!$E$60+'Assumptions and Catalog'!$F$60,IF(((D687+E687)*C687)&lt;='Assumptions and Catalog'!$C$61,((D687+E687)*C687)*'Assumptions and Catalog'!$H$61+'Assumptions and Catalog'!$E$61+'Assumptions and Catalog'!$F$61,IF(((D687+E687)*C687)&lt;='Assumptions and Catalog'!$C$62,((D687+E687)*C687)*'Assumptions and Catalog'!$H$62+'Assumptions and Catalog'!$E$62+'Assumptions and Catalog'!$F$62,IF(((D687+E687)*C687)&lt;='Assumptions and Catalog'!$C$63,((D687+E687)*C687)*'Assumptions and Catalog'!$H$63+'Assumptions and Catalog'!$E$63+'Assumptions and Catalog'!$F$63,IF(((D687+E687)*C687)&lt;='Assumptions and Catalog'!$C$64,((D687+E687)*C687)*'Assumptions and Catalog'!$H$64+'Assumptions and Catalog'!$E$64+'Assumptions and Catalog'!$F$64,IF(((D687+E687)*C687)&lt;='Assumptions and Catalog'!$C$65,((D687+E687)*C687)*'Assumptions and Catalog'!$H$65+'Assumptions and Catalog'!$E$65+'Assumptions and Catalog'!$F$65,"Out of range")))))))))*(1+'Assumptions and Catalog'!$C$8)^(A687-1),0)</f>
        <v>8554.9666666666672</v>
      </c>
      <c r="N687" s="5">
        <f>IF(ISNUMBER(Inputs!$L$5),(IF(Inputs!$L$9="Actual flat rate",L687*Inputs!$L$10,IF(Inputs!$C$9="Residential",IF(L687&lt;='Assumptions and Catalog'!$C$50,L687*'Assumptions and Catalog'!$H$50+'Assumptions and Catalog'!$E$50+'Assumptions and Catalog'!$F$50,IF(L687&lt;='Assumptions and Catalog'!$C$51,L687*'Assumptions and Catalog'!$H$51+'Assumptions and Catalog'!$E$51+'Assumptions and Catalog'!$F$51,IF(L687&lt;='Assumptions and Catalog'!$C$52,L687*'Assumptions and Catalog'!$H$52+'Assumptions and Catalog'!$E$52+'Assumptions and Catalog'!$F$52,IF(L687&lt;='Assumptions and Catalog'!$C$53,L687*'Assumptions and Catalog'!$H$53+'Assumptions and Catalog'!$E$53+'Assumptions and Catalog'!$F$53,IF(L687&lt;='Assumptions and Catalog'!$C$54,L687*'Assumptions and Catalog'!$H$54+'Assumptions and Catalog'!$E$54+'Assumptions and Catalog'!$F$54,IF(L687&lt;='Assumptions and Catalog'!$C$55,L687*'Assumptions and Catalog'!$H$55+'Assumptions and Catalog'!$E$55+'Assumptions and Catalog'!$F$55,IF(L687&lt;='Assumptions and Catalog'!$C$56,L687*'Assumptions and Catalog'!$H$56+'Assumptions and Catalog'!$E$56+'Assumptions and Catalog'!$F$56,IF(L687&lt;='Assumptions and Catalog'!$C$57,L687*'Assumptions and Catalog'!$H$57+'Assumptions and Catalog'!$E$57+'Assumptions and Catalog'!$F$57,"Out of range")))))))),IF(L687&lt;='Assumptions and Catalog'!$C$60,L687*'Assumptions and Catalog'!$H$60+'Assumptions and Catalog'!$E$60+'Assumptions and Catalog'!$F$60,IF(L687&lt;='Assumptions and Catalog'!$C$61,L687*'Assumptions and Catalog'!$H$61+'Assumptions and Catalog'!$E$61+'Assumptions and Catalog'!$F$61,IF(L687&lt;='Assumptions and Catalog'!$C$62,L687*'Assumptions and Catalog'!$H$62+'Assumptions and Catalog'!$E$62+'Assumptions and Catalog'!$F$62,IF(L687&lt;='Assumptions and Catalog'!$C$63,L687*'Assumptions and Catalog'!$H$63+'Assumptions and Catalog'!$E$63+'Assumptions and Catalog'!$F$63,IF(L687&lt;='Assumptions and Catalog'!$C$64,L687*'Assumptions and Catalog'!$H$64+'Assumptions and Catalog'!$E$64+'Assumptions and Catalog'!$F$64,IF(L687&lt;='Assumptions and Catalog'!$C$65,L687*'Assumptions and Catalog'!$H$65+'Assumptions and Catalog'!$E$65+'Assumptions and Catalog'!$F$65,"Out of range")))))))))*(1+'Assumptions and Catalog'!$C$8)^(A687-1),0)</f>
        <v>5680.3298681112146</v>
      </c>
      <c r="O687" s="5">
        <f t="shared" si="51"/>
        <v>2874.6367985554525</v>
      </c>
      <c r="P687" s="5">
        <f>E$55*(1-L$14)*(1-'Assumptions and Catalog'!$C$23)^R687</f>
        <v>98.34496</v>
      </c>
      <c r="Q687" s="5">
        <f>IF(ISNUMBER(Inputs!$L$5),(IF(Inputs!$L$9="Actual flat rate",((D687+E687)*C687-G687)*Inputs!$L$10,IF(Inputs!$C$9="Residential",IF(((D687+E687)*C687-G687)&lt;='Assumptions and Catalog'!$C$50,((D687+E687)*C687-G687)*'Assumptions and Catalog'!$H$50+'Assumptions and Catalog'!$E$50+'Assumptions and Catalog'!$F$50,IF(((D687+E687)*C687-G687)&lt;='Assumptions and Catalog'!$C$51,((D687+E687)*C687-G687)*'Assumptions and Catalog'!$H$51+'Assumptions and Catalog'!$E$51+'Assumptions and Catalog'!$F$51,IF(((D687+E687)*C687-G687)&lt;='Assumptions and Catalog'!$C$52,((D687+E687)*C687-G687)*'Assumptions and Catalog'!$H$52+'Assumptions and Catalog'!$E$52+'Assumptions and Catalog'!$F$52,IF(((D687+E687)*C687-G687)&lt;='Assumptions and Catalog'!$C$53,((D687+E687)*C687-G687)*'Assumptions and Catalog'!$H$53+'Assumptions and Catalog'!$E$53+'Assumptions and Catalog'!$F$53,IF(((D687+E687)*C687-G687)&lt;='Assumptions and Catalog'!$C$54,((D687+E687)*C687-G687)*'Assumptions and Catalog'!$H$54+'Assumptions and Catalog'!$E$54+'Assumptions and Catalog'!$F$54,IF(((D687+E687)*C687-G687)&lt;='Assumptions and Catalog'!$C$55,((D687+E687)*C687-G687)*'Assumptions and Catalog'!$H$55+'Assumptions and Catalog'!$E$55+'Assumptions and Catalog'!$F$55,IF(((D687+E687)*C687-G687)&lt;='Assumptions and Catalog'!$C$56,((D687+E687)*C687-G687)*'Assumptions and Catalog'!$H$56+'Assumptions and Catalog'!$E$56+'Assumptions and Catalog'!$F$56,IF(((D687+E687)*C687-G687)&lt;='Assumptions and Catalog'!$C$57,((D687+E687)*C687-G687)*'Assumptions and Catalog'!$H$57+'Assumptions and Catalog'!$E$57+'Assumptions and Catalog'!$F$57,"Out of range")))))))),IF(((D687+E687)*C687-G687)&lt;='Assumptions and Catalog'!$C$60,((D687+E687)*C687-G687)*'Assumptions and Catalog'!$H$60+'Assumptions and Catalog'!$E$60+'Assumptions and Catalog'!$F$60,IF(((D687+E687)*C687-G687)&lt;='Assumptions and Catalog'!$C$61,((D687+E687)*C687-G687)*'Assumptions and Catalog'!$H$61+'Assumptions and Catalog'!$E$61+'Assumptions and Catalog'!$F$61,IF(((D687+E687)*C687-G687)&lt;='Assumptions and Catalog'!$C$62,((D687+E687)*C687-G687)*'Assumptions and Catalog'!$H$62+'Assumptions and Catalog'!$E$62+'Assumptions and Catalog'!$F$62,IF(((D687+E687)*C687-G687)&lt;='Assumptions and Catalog'!$C$63,((D687+E687)*C687-G687)*'Assumptions and Catalog'!$H$63+'Assumptions and Catalog'!$E$63+'Assumptions and Catalog'!$F$63,IF(((D687+E687)*C687-G687)&lt;='Assumptions and Catalog'!$C$64,((D687+E687)*C687-G687)*'Assumptions and Catalog'!$H$64+'Assumptions and Catalog'!$E$64+'Assumptions and Catalog'!$F$64,IF(((D687+E687)*C687-G687)&lt;='Assumptions and Catalog'!$C$65,((D687+E687)*C687-G687)*'Assumptions and Catalog'!$H$65+'Assumptions and Catalog'!$E$65+'Assumptions and Catalog'!$F$65,"Out of range")))))))))*(1+'Assumptions and Catalog'!$C$8)^(A687-1),0)</f>
        <v>5680.3298681112146</v>
      </c>
      <c r="R687" s="5">
        <f>IF(AND('Assumptions and Catalog'!$C$19&gt;0,A687&gt;='Assumptions and Catalog'!$C$19),A687-'Assumptions and Catalog'!$C$19,A687-1)</f>
        <v>2</v>
      </c>
      <c r="S687" s="5">
        <f>F687+L687-(D687+E687)*C687-J687-K687-IF(E$52&gt;0,'Assumptions and Catalog'!$C$26*C687,0)</f>
        <v>0</v>
      </c>
      <c r="T687" s="5"/>
      <c r="U687" s="5"/>
    </row>
    <row r="688" spans="1:21" ht="23.1" customHeight="1" outlineLevel="1" x14ac:dyDescent="0.2">
      <c r="A688" s="5">
        <v>3</v>
      </c>
      <c r="B688" s="5">
        <v>4</v>
      </c>
      <c r="C688" s="5">
        <f>DAY(DATE('Assumptions and Catalog'!$C$24+A688-1,B688+1,0))</f>
        <v>30</v>
      </c>
      <c r="D688" s="5">
        <f>IF(ISNUMBER(Inputs!$L$5),Inputs!$L$5*Inputs!$L$6,0)</f>
        <v>40.35</v>
      </c>
      <c r="E688" s="5">
        <f>IF(ISNUMBER(Inputs!$L$5),Inputs!$L$5-D688,0)</f>
        <v>40.35</v>
      </c>
      <c r="F688" s="5">
        <f>E$51*'Assumptions and Catalog'!$C$31*C688*(1-'Assumptions and Catalog'!$C$10)^(A688-1)</f>
        <v>813.50354250000009</v>
      </c>
      <c r="G688" s="5">
        <f t="shared" si="48"/>
        <v>813.50354250000009</v>
      </c>
      <c r="H688" s="5">
        <f>I688/('Assumptions and Catalog'!$C$11*'Assumptions and Catalog'!$C$12)</f>
        <v>0</v>
      </c>
      <c r="I688" s="5">
        <f>MIN(E688*C688,P688*'Assumptions and Catalog'!$C$12*C688,(F688-G688)*'Assumptions and Catalog'!$C$11*'Assumptions and Catalog'!$C$12,E$56*'Assumptions and Catalog'!$C$14*'Assumptions and Catalog'!$C$11*'Assumptions and Catalog'!$C$12*C688,E$57*(24-'Assumptions and Catalog'!$C$13)*C688)</f>
        <v>0</v>
      </c>
      <c r="J688" s="5">
        <f t="shared" si="49"/>
        <v>0</v>
      </c>
      <c r="K688" s="5">
        <f t="shared" si="50"/>
        <v>0</v>
      </c>
      <c r="L688" s="5">
        <f>(D688+E688)*C688-G688-I688+0+IF(E$52&gt;0,'Assumptions and Catalog'!$C$26*C688,0)</f>
        <v>1607.4964574999999</v>
      </c>
      <c r="M688" s="5">
        <f>IF(ISNUMBER(Inputs!$L$5),(IF(Inputs!$L$9="Actual flat rate",((D688+E688)*C688)*Inputs!$L$10,IF(Inputs!$C$9="Residential",IF(((D688+E688)*C688)&lt;='Assumptions and Catalog'!$C$50,((D688+E688)*C688)*'Assumptions and Catalog'!$H$50+'Assumptions and Catalog'!$E$50+'Assumptions and Catalog'!$F$50,IF(((D688+E688)*C688)&lt;='Assumptions and Catalog'!$C$51,((D688+E688)*C688)*'Assumptions and Catalog'!$H$51+'Assumptions and Catalog'!$E$51+'Assumptions and Catalog'!$F$51,IF(((D688+E688)*C688)&lt;='Assumptions and Catalog'!$C$52,((D688+E688)*C688)*'Assumptions and Catalog'!$H$52+'Assumptions and Catalog'!$E$52+'Assumptions and Catalog'!$F$52,IF(((D688+E688)*C688)&lt;='Assumptions and Catalog'!$C$53,((D688+E688)*C688)*'Assumptions and Catalog'!$H$53+'Assumptions and Catalog'!$E$53+'Assumptions and Catalog'!$F$53,IF(((D688+E688)*C688)&lt;='Assumptions and Catalog'!$C$54,((D688+E688)*C688)*'Assumptions and Catalog'!$H$54+'Assumptions and Catalog'!$E$54+'Assumptions and Catalog'!$F$54,IF(((D688+E688)*C688)&lt;='Assumptions and Catalog'!$C$55,((D688+E688)*C688)*'Assumptions and Catalog'!$H$55+'Assumptions and Catalog'!$E$55+'Assumptions and Catalog'!$F$55,IF(((D688+E688)*C688)&lt;='Assumptions and Catalog'!$C$56,((D688+E688)*C688)*'Assumptions and Catalog'!$H$56+'Assumptions and Catalog'!$E$56+'Assumptions and Catalog'!$F$56,IF(((D688+E688)*C688)&lt;='Assumptions and Catalog'!$C$57,((D688+E688)*C688)*'Assumptions and Catalog'!$H$57+'Assumptions and Catalog'!$E$57+'Assumptions and Catalog'!$F$57,"Out of range")))))))),IF(((D688+E688)*C688)&lt;='Assumptions and Catalog'!$C$60,((D688+E688)*C688)*'Assumptions and Catalog'!$H$60+'Assumptions and Catalog'!$E$60+'Assumptions and Catalog'!$F$60,IF(((D688+E688)*C688)&lt;='Assumptions and Catalog'!$C$61,((D688+E688)*C688)*'Assumptions and Catalog'!$H$61+'Assumptions and Catalog'!$E$61+'Assumptions and Catalog'!$F$61,IF(((D688+E688)*C688)&lt;='Assumptions and Catalog'!$C$62,((D688+E688)*C688)*'Assumptions and Catalog'!$H$62+'Assumptions and Catalog'!$E$62+'Assumptions and Catalog'!$F$62,IF(((D688+E688)*C688)&lt;='Assumptions and Catalog'!$C$63,((D688+E688)*C688)*'Assumptions and Catalog'!$H$63+'Assumptions and Catalog'!$E$63+'Assumptions and Catalog'!$F$63,IF(((D688+E688)*C688)&lt;='Assumptions and Catalog'!$C$64,((D688+E688)*C688)*'Assumptions and Catalog'!$H$64+'Assumptions and Catalog'!$E$64+'Assumptions and Catalog'!$F$64,IF(((D688+E688)*C688)&lt;='Assumptions and Catalog'!$C$65,((D688+E688)*C688)*'Assumptions and Catalog'!$H$65+'Assumptions and Catalog'!$E$65+'Assumptions and Catalog'!$F$65,"Out of range")))))))))*(1+'Assumptions and Catalog'!$C$8)^(A688-1),0)</f>
        <v>8279</v>
      </c>
      <c r="N688" s="5">
        <f>IF(ISNUMBER(Inputs!$L$5),(IF(Inputs!$L$9="Actual flat rate",L688*Inputs!$L$10,IF(Inputs!$C$9="Residential",IF(L688&lt;='Assumptions and Catalog'!$C$50,L688*'Assumptions and Catalog'!$H$50+'Assumptions and Catalog'!$E$50+'Assumptions and Catalog'!$F$50,IF(L688&lt;='Assumptions and Catalog'!$C$51,L688*'Assumptions and Catalog'!$H$51+'Assumptions and Catalog'!$E$51+'Assumptions and Catalog'!$F$51,IF(L688&lt;='Assumptions and Catalog'!$C$52,L688*'Assumptions and Catalog'!$H$52+'Assumptions and Catalog'!$E$52+'Assumptions and Catalog'!$F$52,IF(L688&lt;='Assumptions and Catalog'!$C$53,L688*'Assumptions and Catalog'!$H$53+'Assumptions and Catalog'!$E$53+'Assumptions and Catalog'!$F$53,IF(L688&lt;='Assumptions and Catalog'!$C$54,L688*'Assumptions and Catalog'!$H$54+'Assumptions and Catalog'!$E$54+'Assumptions and Catalog'!$F$54,IF(L688&lt;='Assumptions and Catalog'!$C$55,L688*'Assumptions and Catalog'!$H$55+'Assumptions and Catalog'!$E$55+'Assumptions and Catalog'!$F$55,IF(L688&lt;='Assumptions and Catalog'!$C$56,L688*'Assumptions and Catalog'!$H$56+'Assumptions and Catalog'!$E$56+'Assumptions and Catalog'!$F$56,IF(L688&lt;='Assumptions and Catalog'!$C$57,L688*'Assumptions and Catalog'!$H$57+'Assumptions and Catalog'!$E$57+'Assumptions and Catalog'!$F$57,"Out of range")))))))),IF(L688&lt;='Assumptions and Catalog'!$C$60,L688*'Assumptions and Catalog'!$H$60+'Assumptions and Catalog'!$E$60+'Assumptions and Catalog'!$F$60,IF(L688&lt;='Assumptions and Catalog'!$C$61,L688*'Assumptions and Catalog'!$H$61+'Assumptions and Catalog'!$E$61+'Assumptions and Catalog'!$F$61,IF(L688&lt;='Assumptions and Catalog'!$C$62,L688*'Assumptions and Catalog'!$H$62+'Assumptions and Catalog'!$E$62+'Assumptions and Catalog'!$F$62,IF(L688&lt;='Assumptions and Catalog'!$C$63,L688*'Assumptions and Catalog'!$H$63+'Assumptions and Catalog'!$E$63+'Assumptions and Catalog'!$F$63,IF(L688&lt;='Assumptions and Catalog'!$C$64,L688*'Assumptions and Catalog'!$H$64+'Assumptions and Catalog'!$E$64+'Assumptions and Catalog'!$F$64,IF(L688&lt;='Assumptions and Catalog'!$C$65,L688*'Assumptions and Catalog'!$H$65+'Assumptions and Catalog'!$E$65+'Assumptions and Catalog'!$F$65,"Out of range")))))))))*(1+'Assumptions and Catalog'!$C$8)^(A688-1),0)</f>
        <v>5497.0934207527871</v>
      </c>
      <c r="O688" s="5">
        <f t="shared" si="51"/>
        <v>2781.9065792472129</v>
      </c>
      <c r="P688" s="5">
        <f>E$55*(1-L$14)*(1-'Assumptions and Catalog'!$C$23)^R688</f>
        <v>98.34496</v>
      </c>
      <c r="Q688" s="5">
        <f>IF(ISNUMBER(Inputs!$L$5),(IF(Inputs!$L$9="Actual flat rate",((D688+E688)*C688-G688)*Inputs!$L$10,IF(Inputs!$C$9="Residential",IF(((D688+E688)*C688-G688)&lt;='Assumptions and Catalog'!$C$50,((D688+E688)*C688-G688)*'Assumptions and Catalog'!$H$50+'Assumptions and Catalog'!$E$50+'Assumptions and Catalog'!$F$50,IF(((D688+E688)*C688-G688)&lt;='Assumptions and Catalog'!$C$51,((D688+E688)*C688-G688)*'Assumptions and Catalog'!$H$51+'Assumptions and Catalog'!$E$51+'Assumptions and Catalog'!$F$51,IF(((D688+E688)*C688-G688)&lt;='Assumptions and Catalog'!$C$52,((D688+E688)*C688-G688)*'Assumptions and Catalog'!$H$52+'Assumptions and Catalog'!$E$52+'Assumptions and Catalog'!$F$52,IF(((D688+E688)*C688-G688)&lt;='Assumptions and Catalog'!$C$53,((D688+E688)*C688-G688)*'Assumptions and Catalog'!$H$53+'Assumptions and Catalog'!$E$53+'Assumptions and Catalog'!$F$53,IF(((D688+E688)*C688-G688)&lt;='Assumptions and Catalog'!$C$54,((D688+E688)*C688-G688)*'Assumptions and Catalog'!$H$54+'Assumptions and Catalog'!$E$54+'Assumptions and Catalog'!$F$54,IF(((D688+E688)*C688-G688)&lt;='Assumptions and Catalog'!$C$55,((D688+E688)*C688-G688)*'Assumptions and Catalog'!$H$55+'Assumptions and Catalog'!$E$55+'Assumptions and Catalog'!$F$55,IF(((D688+E688)*C688-G688)&lt;='Assumptions and Catalog'!$C$56,((D688+E688)*C688-G688)*'Assumptions and Catalog'!$H$56+'Assumptions and Catalog'!$E$56+'Assumptions and Catalog'!$F$56,IF(((D688+E688)*C688-G688)&lt;='Assumptions and Catalog'!$C$57,((D688+E688)*C688-G688)*'Assumptions and Catalog'!$H$57+'Assumptions and Catalog'!$E$57+'Assumptions and Catalog'!$F$57,"Out of range")))))))),IF(((D688+E688)*C688-G688)&lt;='Assumptions and Catalog'!$C$60,((D688+E688)*C688-G688)*'Assumptions and Catalog'!$H$60+'Assumptions and Catalog'!$E$60+'Assumptions and Catalog'!$F$60,IF(((D688+E688)*C688-G688)&lt;='Assumptions and Catalog'!$C$61,((D688+E688)*C688-G688)*'Assumptions and Catalog'!$H$61+'Assumptions and Catalog'!$E$61+'Assumptions and Catalog'!$F$61,IF(((D688+E688)*C688-G688)&lt;='Assumptions and Catalog'!$C$62,((D688+E688)*C688-G688)*'Assumptions and Catalog'!$H$62+'Assumptions and Catalog'!$E$62+'Assumptions and Catalog'!$F$62,IF(((D688+E688)*C688-G688)&lt;='Assumptions and Catalog'!$C$63,((D688+E688)*C688-G688)*'Assumptions and Catalog'!$H$63+'Assumptions and Catalog'!$E$63+'Assumptions and Catalog'!$F$63,IF(((D688+E688)*C688-G688)&lt;='Assumptions and Catalog'!$C$64,((D688+E688)*C688-G688)*'Assumptions and Catalog'!$H$64+'Assumptions and Catalog'!$E$64+'Assumptions and Catalog'!$F$64,IF(((D688+E688)*C688-G688)&lt;='Assumptions and Catalog'!$C$65,((D688+E688)*C688-G688)*'Assumptions and Catalog'!$H$65+'Assumptions and Catalog'!$E$65+'Assumptions and Catalog'!$F$65,"Out of range")))))))))*(1+'Assumptions and Catalog'!$C$8)^(A688-1),0)</f>
        <v>5497.0934207527871</v>
      </c>
      <c r="R688" s="5">
        <f>IF(AND('Assumptions and Catalog'!$C$19&gt;0,A688&gt;='Assumptions and Catalog'!$C$19),A688-'Assumptions and Catalog'!$C$19,A688-1)</f>
        <v>2</v>
      </c>
      <c r="S688" s="5">
        <f>F688+L688-(D688+E688)*C688-J688-K688-IF(E$52&gt;0,'Assumptions and Catalog'!$C$26*C688,0)</f>
        <v>0</v>
      </c>
      <c r="T688" s="5"/>
      <c r="U688" s="5"/>
    </row>
    <row r="689" spans="1:21" ht="23.1" customHeight="1" outlineLevel="1" x14ac:dyDescent="0.2">
      <c r="A689" s="5">
        <v>3</v>
      </c>
      <c r="B689" s="5">
        <v>5</v>
      </c>
      <c r="C689" s="5">
        <f>DAY(DATE('Assumptions and Catalog'!$C$24+A689-1,B689+1,0))</f>
        <v>31</v>
      </c>
      <c r="D689" s="5">
        <f>IF(ISNUMBER(Inputs!$L$5),Inputs!$L$5*Inputs!$L$6,0)</f>
        <v>40.35</v>
      </c>
      <c r="E689" s="5">
        <f>IF(ISNUMBER(Inputs!$L$5),Inputs!$L$5-D689,0)</f>
        <v>40.35</v>
      </c>
      <c r="F689" s="5">
        <f>E$51*'Assumptions and Catalog'!$C$31*C689*(1-'Assumptions and Catalog'!$C$10)^(A689-1)</f>
        <v>840.62032725000006</v>
      </c>
      <c r="G689" s="5">
        <f t="shared" si="48"/>
        <v>840.62032725000006</v>
      </c>
      <c r="H689" s="5">
        <f>I689/('Assumptions and Catalog'!$C$11*'Assumptions and Catalog'!$C$12)</f>
        <v>0</v>
      </c>
      <c r="I689" s="5">
        <f>MIN(E689*C689,P689*'Assumptions and Catalog'!$C$12*C689,(F689-G689)*'Assumptions and Catalog'!$C$11*'Assumptions and Catalog'!$C$12,E$56*'Assumptions and Catalog'!$C$14*'Assumptions and Catalog'!$C$11*'Assumptions and Catalog'!$C$12*C689,E$57*(24-'Assumptions and Catalog'!$C$13)*C689)</f>
        <v>0</v>
      </c>
      <c r="J689" s="5">
        <f t="shared" si="49"/>
        <v>0</v>
      </c>
      <c r="K689" s="5">
        <f t="shared" si="50"/>
        <v>0</v>
      </c>
      <c r="L689" s="5">
        <f>(D689+E689)*C689-G689-I689+0+IF(E$52&gt;0,'Assumptions and Catalog'!$C$26*C689,0)</f>
        <v>1661.0796727500001</v>
      </c>
      <c r="M689" s="5">
        <f>IF(ISNUMBER(Inputs!$L$5),(IF(Inputs!$L$9="Actual flat rate",((D689+E689)*C689)*Inputs!$L$10,IF(Inputs!$C$9="Residential",IF(((D689+E689)*C689)&lt;='Assumptions and Catalog'!$C$50,((D689+E689)*C689)*'Assumptions and Catalog'!$H$50+'Assumptions and Catalog'!$E$50+'Assumptions and Catalog'!$F$50,IF(((D689+E689)*C689)&lt;='Assumptions and Catalog'!$C$51,((D689+E689)*C689)*'Assumptions and Catalog'!$H$51+'Assumptions and Catalog'!$E$51+'Assumptions and Catalog'!$F$51,IF(((D689+E689)*C689)&lt;='Assumptions and Catalog'!$C$52,((D689+E689)*C689)*'Assumptions and Catalog'!$H$52+'Assumptions and Catalog'!$E$52+'Assumptions and Catalog'!$F$52,IF(((D689+E689)*C689)&lt;='Assumptions and Catalog'!$C$53,((D689+E689)*C689)*'Assumptions and Catalog'!$H$53+'Assumptions and Catalog'!$E$53+'Assumptions and Catalog'!$F$53,IF(((D689+E689)*C689)&lt;='Assumptions and Catalog'!$C$54,((D689+E689)*C689)*'Assumptions and Catalog'!$H$54+'Assumptions and Catalog'!$E$54+'Assumptions and Catalog'!$F$54,IF(((D689+E689)*C689)&lt;='Assumptions and Catalog'!$C$55,((D689+E689)*C689)*'Assumptions and Catalog'!$H$55+'Assumptions and Catalog'!$E$55+'Assumptions and Catalog'!$F$55,IF(((D689+E689)*C689)&lt;='Assumptions and Catalog'!$C$56,((D689+E689)*C689)*'Assumptions and Catalog'!$H$56+'Assumptions and Catalog'!$E$56+'Assumptions and Catalog'!$F$56,IF(((D689+E689)*C689)&lt;='Assumptions and Catalog'!$C$57,((D689+E689)*C689)*'Assumptions and Catalog'!$H$57+'Assumptions and Catalog'!$E$57+'Assumptions and Catalog'!$F$57,"Out of range")))))))),IF(((D689+E689)*C689)&lt;='Assumptions and Catalog'!$C$60,((D689+E689)*C689)*'Assumptions and Catalog'!$H$60+'Assumptions and Catalog'!$E$60+'Assumptions and Catalog'!$F$60,IF(((D689+E689)*C689)&lt;='Assumptions and Catalog'!$C$61,((D689+E689)*C689)*'Assumptions and Catalog'!$H$61+'Assumptions and Catalog'!$E$61+'Assumptions and Catalog'!$F$61,IF(((D689+E689)*C689)&lt;='Assumptions and Catalog'!$C$62,((D689+E689)*C689)*'Assumptions and Catalog'!$H$62+'Assumptions and Catalog'!$E$62+'Assumptions and Catalog'!$F$62,IF(((D689+E689)*C689)&lt;='Assumptions and Catalog'!$C$63,((D689+E689)*C689)*'Assumptions and Catalog'!$H$63+'Assumptions and Catalog'!$E$63+'Assumptions and Catalog'!$F$63,IF(((D689+E689)*C689)&lt;='Assumptions and Catalog'!$C$64,((D689+E689)*C689)*'Assumptions and Catalog'!$H$64+'Assumptions and Catalog'!$E$64+'Assumptions and Catalog'!$F$64,IF(((D689+E689)*C689)&lt;='Assumptions and Catalog'!$C$65,((D689+E689)*C689)*'Assumptions and Catalog'!$H$65+'Assumptions and Catalog'!$E$65+'Assumptions and Catalog'!$F$65,"Out of range")))))))))*(1+'Assumptions and Catalog'!$C$8)^(A689-1),0)</f>
        <v>8554.9666666666672</v>
      </c>
      <c r="N689" s="5">
        <f>IF(ISNUMBER(Inputs!$L$5),(IF(Inputs!$L$9="Actual flat rate",L689*Inputs!$L$10,IF(Inputs!$C$9="Residential",IF(L689&lt;='Assumptions and Catalog'!$C$50,L689*'Assumptions and Catalog'!$H$50+'Assumptions and Catalog'!$E$50+'Assumptions and Catalog'!$F$50,IF(L689&lt;='Assumptions and Catalog'!$C$51,L689*'Assumptions and Catalog'!$H$51+'Assumptions and Catalog'!$E$51+'Assumptions and Catalog'!$F$51,IF(L689&lt;='Assumptions and Catalog'!$C$52,L689*'Assumptions and Catalog'!$H$52+'Assumptions and Catalog'!$E$52+'Assumptions and Catalog'!$F$52,IF(L689&lt;='Assumptions and Catalog'!$C$53,L689*'Assumptions and Catalog'!$H$53+'Assumptions and Catalog'!$E$53+'Assumptions and Catalog'!$F$53,IF(L689&lt;='Assumptions and Catalog'!$C$54,L689*'Assumptions and Catalog'!$H$54+'Assumptions and Catalog'!$E$54+'Assumptions and Catalog'!$F$54,IF(L689&lt;='Assumptions and Catalog'!$C$55,L689*'Assumptions and Catalog'!$H$55+'Assumptions and Catalog'!$E$55+'Assumptions and Catalog'!$F$55,IF(L689&lt;='Assumptions and Catalog'!$C$56,L689*'Assumptions and Catalog'!$H$56+'Assumptions and Catalog'!$E$56+'Assumptions and Catalog'!$F$56,IF(L689&lt;='Assumptions and Catalog'!$C$57,L689*'Assumptions and Catalog'!$H$57+'Assumptions and Catalog'!$E$57+'Assumptions and Catalog'!$F$57,"Out of range")))))))),IF(L689&lt;='Assumptions and Catalog'!$C$60,L689*'Assumptions and Catalog'!$H$60+'Assumptions and Catalog'!$E$60+'Assumptions and Catalog'!$F$60,IF(L689&lt;='Assumptions and Catalog'!$C$61,L689*'Assumptions and Catalog'!$H$61+'Assumptions and Catalog'!$E$61+'Assumptions and Catalog'!$F$61,IF(L689&lt;='Assumptions and Catalog'!$C$62,L689*'Assumptions and Catalog'!$H$62+'Assumptions and Catalog'!$E$62+'Assumptions and Catalog'!$F$62,IF(L689&lt;='Assumptions and Catalog'!$C$63,L689*'Assumptions and Catalog'!$H$63+'Assumptions and Catalog'!$E$63+'Assumptions and Catalog'!$F$63,IF(L689&lt;='Assumptions and Catalog'!$C$64,L689*'Assumptions and Catalog'!$H$64+'Assumptions and Catalog'!$E$64+'Assumptions and Catalog'!$F$64,IF(L689&lt;='Assumptions and Catalog'!$C$65,L689*'Assumptions and Catalog'!$H$65+'Assumptions and Catalog'!$E$65+'Assumptions and Catalog'!$F$65,"Out of range")))))))))*(1+'Assumptions and Catalog'!$C$8)^(A689-1),0)</f>
        <v>5680.3298681112146</v>
      </c>
      <c r="O689" s="5">
        <f t="shared" si="51"/>
        <v>2874.6367985554525</v>
      </c>
      <c r="P689" s="5">
        <f>E$55*(1-L$14)*(1-'Assumptions and Catalog'!$C$23)^R689</f>
        <v>98.34496</v>
      </c>
      <c r="Q689" s="5">
        <f>IF(ISNUMBER(Inputs!$L$5),(IF(Inputs!$L$9="Actual flat rate",((D689+E689)*C689-G689)*Inputs!$L$10,IF(Inputs!$C$9="Residential",IF(((D689+E689)*C689-G689)&lt;='Assumptions and Catalog'!$C$50,((D689+E689)*C689-G689)*'Assumptions and Catalog'!$H$50+'Assumptions and Catalog'!$E$50+'Assumptions and Catalog'!$F$50,IF(((D689+E689)*C689-G689)&lt;='Assumptions and Catalog'!$C$51,((D689+E689)*C689-G689)*'Assumptions and Catalog'!$H$51+'Assumptions and Catalog'!$E$51+'Assumptions and Catalog'!$F$51,IF(((D689+E689)*C689-G689)&lt;='Assumptions and Catalog'!$C$52,((D689+E689)*C689-G689)*'Assumptions and Catalog'!$H$52+'Assumptions and Catalog'!$E$52+'Assumptions and Catalog'!$F$52,IF(((D689+E689)*C689-G689)&lt;='Assumptions and Catalog'!$C$53,((D689+E689)*C689-G689)*'Assumptions and Catalog'!$H$53+'Assumptions and Catalog'!$E$53+'Assumptions and Catalog'!$F$53,IF(((D689+E689)*C689-G689)&lt;='Assumptions and Catalog'!$C$54,((D689+E689)*C689-G689)*'Assumptions and Catalog'!$H$54+'Assumptions and Catalog'!$E$54+'Assumptions and Catalog'!$F$54,IF(((D689+E689)*C689-G689)&lt;='Assumptions and Catalog'!$C$55,((D689+E689)*C689-G689)*'Assumptions and Catalog'!$H$55+'Assumptions and Catalog'!$E$55+'Assumptions and Catalog'!$F$55,IF(((D689+E689)*C689-G689)&lt;='Assumptions and Catalog'!$C$56,((D689+E689)*C689-G689)*'Assumptions and Catalog'!$H$56+'Assumptions and Catalog'!$E$56+'Assumptions and Catalog'!$F$56,IF(((D689+E689)*C689-G689)&lt;='Assumptions and Catalog'!$C$57,((D689+E689)*C689-G689)*'Assumptions and Catalog'!$H$57+'Assumptions and Catalog'!$E$57+'Assumptions and Catalog'!$F$57,"Out of range")))))))),IF(((D689+E689)*C689-G689)&lt;='Assumptions and Catalog'!$C$60,((D689+E689)*C689-G689)*'Assumptions and Catalog'!$H$60+'Assumptions and Catalog'!$E$60+'Assumptions and Catalog'!$F$60,IF(((D689+E689)*C689-G689)&lt;='Assumptions and Catalog'!$C$61,((D689+E689)*C689-G689)*'Assumptions and Catalog'!$H$61+'Assumptions and Catalog'!$E$61+'Assumptions and Catalog'!$F$61,IF(((D689+E689)*C689-G689)&lt;='Assumptions and Catalog'!$C$62,((D689+E689)*C689-G689)*'Assumptions and Catalog'!$H$62+'Assumptions and Catalog'!$E$62+'Assumptions and Catalog'!$F$62,IF(((D689+E689)*C689-G689)&lt;='Assumptions and Catalog'!$C$63,((D689+E689)*C689-G689)*'Assumptions and Catalog'!$H$63+'Assumptions and Catalog'!$E$63+'Assumptions and Catalog'!$F$63,IF(((D689+E689)*C689-G689)&lt;='Assumptions and Catalog'!$C$64,((D689+E689)*C689-G689)*'Assumptions and Catalog'!$H$64+'Assumptions and Catalog'!$E$64+'Assumptions and Catalog'!$F$64,IF(((D689+E689)*C689-G689)&lt;='Assumptions and Catalog'!$C$65,((D689+E689)*C689-G689)*'Assumptions and Catalog'!$H$65+'Assumptions and Catalog'!$E$65+'Assumptions and Catalog'!$F$65,"Out of range")))))))))*(1+'Assumptions and Catalog'!$C$8)^(A689-1),0)</f>
        <v>5680.3298681112146</v>
      </c>
      <c r="R689" s="5">
        <f>IF(AND('Assumptions and Catalog'!$C$19&gt;0,A689&gt;='Assumptions and Catalog'!$C$19),A689-'Assumptions and Catalog'!$C$19,A689-1)</f>
        <v>2</v>
      </c>
      <c r="S689" s="5">
        <f>F689+L689-(D689+E689)*C689-J689-K689-IF(E$52&gt;0,'Assumptions and Catalog'!$C$26*C689,0)</f>
        <v>0</v>
      </c>
      <c r="T689" s="5"/>
      <c r="U689" s="5"/>
    </row>
    <row r="690" spans="1:21" ht="23.1" customHeight="1" outlineLevel="1" x14ac:dyDescent="0.2">
      <c r="A690" s="5">
        <v>3</v>
      </c>
      <c r="B690" s="5">
        <v>6</v>
      </c>
      <c r="C690" s="5">
        <f>DAY(DATE('Assumptions and Catalog'!$C$24+A690-1,B690+1,0))</f>
        <v>30</v>
      </c>
      <c r="D690" s="5">
        <f>IF(ISNUMBER(Inputs!$L$5),Inputs!$L$5*Inputs!$L$6,0)</f>
        <v>40.35</v>
      </c>
      <c r="E690" s="5">
        <f>IF(ISNUMBER(Inputs!$L$5),Inputs!$L$5-D690,0)</f>
        <v>40.35</v>
      </c>
      <c r="F690" s="5">
        <f>E$51*'Assumptions and Catalog'!$C$31*C690*(1-'Assumptions and Catalog'!$C$10)^(A690-1)</f>
        <v>813.50354250000009</v>
      </c>
      <c r="G690" s="5">
        <f t="shared" si="48"/>
        <v>813.50354250000009</v>
      </c>
      <c r="H690" s="5">
        <f>I690/('Assumptions and Catalog'!$C$11*'Assumptions and Catalog'!$C$12)</f>
        <v>0</v>
      </c>
      <c r="I690" s="5">
        <f>MIN(E690*C690,P690*'Assumptions and Catalog'!$C$12*C690,(F690-G690)*'Assumptions and Catalog'!$C$11*'Assumptions and Catalog'!$C$12,E$56*'Assumptions and Catalog'!$C$14*'Assumptions and Catalog'!$C$11*'Assumptions and Catalog'!$C$12*C690,E$57*(24-'Assumptions and Catalog'!$C$13)*C690)</f>
        <v>0</v>
      </c>
      <c r="J690" s="5">
        <f t="shared" si="49"/>
        <v>0</v>
      </c>
      <c r="K690" s="5">
        <f t="shared" si="50"/>
        <v>0</v>
      </c>
      <c r="L690" s="5">
        <f>(D690+E690)*C690-G690-I690+0+IF(E$52&gt;0,'Assumptions and Catalog'!$C$26*C690,0)</f>
        <v>1607.4964574999999</v>
      </c>
      <c r="M690" s="5">
        <f>IF(ISNUMBER(Inputs!$L$5),(IF(Inputs!$L$9="Actual flat rate",((D690+E690)*C690)*Inputs!$L$10,IF(Inputs!$C$9="Residential",IF(((D690+E690)*C690)&lt;='Assumptions and Catalog'!$C$50,((D690+E690)*C690)*'Assumptions and Catalog'!$H$50+'Assumptions and Catalog'!$E$50+'Assumptions and Catalog'!$F$50,IF(((D690+E690)*C690)&lt;='Assumptions and Catalog'!$C$51,((D690+E690)*C690)*'Assumptions and Catalog'!$H$51+'Assumptions and Catalog'!$E$51+'Assumptions and Catalog'!$F$51,IF(((D690+E690)*C690)&lt;='Assumptions and Catalog'!$C$52,((D690+E690)*C690)*'Assumptions and Catalog'!$H$52+'Assumptions and Catalog'!$E$52+'Assumptions and Catalog'!$F$52,IF(((D690+E690)*C690)&lt;='Assumptions and Catalog'!$C$53,((D690+E690)*C690)*'Assumptions and Catalog'!$H$53+'Assumptions and Catalog'!$E$53+'Assumptions and Catalog'!$F$53,IF(((D690+E690)*C690)&lt;='Assumptions and Catalog'!$C$54,((D690+E690)*C690)*'Assumptions and Catalog'!$H$54+'Assumptions and Catalog'!$E$54+'Assumptions and Catalog'!$F$54,IF(((D690+E690)*C690)&lt;='Assumptions and Catalog'!$C$55,((D690+E690)*C690)*'Assumptions and Catalog'!$H$55+'Assumptions and Catalog'!$E$55+'Assumptions and Catalog'!$F$55,IF(((D690+E690)*C690)&lt;='Assumptions and Catalog'!$C$56,((D690+E690)*C690)*'Assumptions and Catalog'!$H$56+'Assumptions and Catalog'!$E$56+'Assumptions and Catalog'!$F$56,IF(((D690+E690)*C690)&lt;='Assumptions and Catalog'!$C$57,((D690+E690)*C690)*'Assumptions and Catalog'!$H$57+'Assumptions and Catalog'!$E$57+'Assumptions and Catalog'!$F$57,"Out of range")))))))),IF(((D690+E690)*C690)&lt;='Assumptions and Catalog'!$C$60,((D690+E690)*C690)*'Assumptions and Catalog'!$H$60+'Assumptions and Catalog'!$E$60+'Assumptions and Catalog'!$F$60,IF(((D690+E690)*C690)&lt;='Assumptions and Catalog'!$C$61,((D690+E690)*C690)*'Assumptions and Catalog'!$H$61+'Assumptions and Catalog'!$E$61+'Assumptions and Catalog'!$F$61,IF(((D690+E690)*C690)&lt;='Assumptions and Catalog'!$C$62,((D690+E690)*C690)*'Assumptions and Catalog'!$H$62+'Assumptions and Catalog'!$E$62+'Assumptions and Catalog'!$F$62,IF(((D690+E690)*C690)&lt;='Assumptions and Catalog'!$C$63,((D690+E690)*C690)*'Assumptions and Catalog'!$H$63+'Assumptions and Catalog'!$E$63+'Assumptions and Catalog'!$F$63,IF(((D690+E690)*C690)&lt;='Assumptions and Catalog'!$C$64,((D690+E690)*C690)*'Assumptions and Catalog'!$H$64+'Assumptions and Catalog'!$E$64+'Assumptions and Catalog'!$F$64,IF(((D690+E690)*C690)&lt;='Assumptions and Catalog'!$C$65,((D690+E690)*C690)*'Assumptions and Catalog'!$H$65+'Assumptions and Catalog'!$E$65+'Assumptions and Catalog'!$F$65,"Out of range")))))))))*(1+'Assumptions and Catalog'!$C$8)^(A690-1),0)</f>
        <v>8279</v>
      </c>
      <c r="N690" s="5">
        <f>IF(ISNUMBER(Inputs!$L$5),(IF(Inputs!$L$9="Actual flat rate",L690*Inputs!$L$10,IF(Inputs!$C$9="Residential",IF(L690&lt;='Assumptions and Catalog'!$C$50,L690*'Assumptions and Catalog'!$H$50+'Assumptions and Catalog'!$E$50+'Assumptions and Catalog'!$F$50,IF(L690&lt;='Assumptions and Catalog'!$C$51,L690*'Assumptions and Catalog'!$H$51+'Assumptions and Catalog'!$E$51+'Assumptions and Catalog'!$F$51,IF(L690&lt;='Assumptions and Catalog'!$C$52,L690*'Assumptions and Catalog'!$H$52+'Assumptions and Catalog'!$E$52+'Assumptions and Catalog'!$F$52,IF(L690&lt;='Assumptions and Catalog'!$C$53,L690*'Assumptions and Catalog'!$H$53+'Assumptions and Catalog'!$E$53+'Assumptions and Catalog'!$F$53,IF(L690&lt;='Assumptions and Catalog'!$C$54,L690*'Assumptions and Catalog'!$H$54+'Assumptions and Catalog'!$E$54+'Assumptions and Catalog'!$F$54,IF(L690&lt;='Assumptions and Catalog'!$C$55,L690*'Assumptions and Catalog'!$H$55+'Assumptions and Catalog'!$E$55+'Assumptions and Catalog'!$F$55,IF(L690&lt;='Assumptions and Catalog'!$C$56,L690*'Assumptions and Catalog'!$H$56+'Assumptions and Catalog'!$E$56+'Assumptions and Catalog'!$F$56,IF(L690&lt;='Assumptions and Catalog'!$C$57,L690*'Assumptions and Catalog'!$H$57+'Assumptions and Catalog'!$E$57+'Assumptions and Catalog'!$F$57,"Out of range")))))))),IF(L690&lt;='Assumptions and Catalog'!$C$60,L690*'Assumptions and Catalog'!$H$60+'Assumptions and Catalog'!$E$60+'Assumptions and Catalog'!$F$60,IF(L690&lt;='Assumptions and Catalog'!$C$61,L690*'Assumptions and Catalog'!$H$61+'Assumptions and Catalog'!$E$61+'Assumptions and Catalog'!$F$61,IF(L690&lt;='Assumptions and Catalog'!$C$62,L690*'Assumptions and Catalog'!$H$62+'Assumptions and Catalog'!$E$62+'Assumptions and Catalog'!$F$62,IF(L690&lt;='Assumptions and Catalog'!$C$63,L690*'Assumptions and Catalog'!$H$63+'Assumptions and Catalog'!$E$63+'Assumptions and Catalog'!$F$63,IF(L690&lt;='Assumptions and Catalog'!$C$64,L690*'Assumptions and Catalog'!$H$64+'Assumptions and Catalog'!$E$64+'Assumptions and Catalog'!$F$64,IF(L690&lt;='Assumptions and Catalog'!$C$65,L690*'Assumptions and Catalog'!$H$65+'Assumptions and Catalog'!$E$65+'Assumptions and Catalog'!$F$65,"Out of range")))))))))*(1+'Assumptions and Catalog'!$C$8)^(A690-1),0)</f>
        <v>5497.0934207527871</v>
      </c>
      <c r="O690" s="5">
        <f t="shared" si="51"/>
        <v>2781.9065792472129</v>
      </c>
      <c r="P690" s="5">
        <f>E$55*(1-L$14)*(1-'Assumptions and Catalog'!$C$23)^R690</f>
        <v>98.34496</v>
      </c>
      <c r="Q690" s="5">
        <f>IF(ISNUMBER(Inputs!$L$5),(IF(Inputs!$L$9="Actual flat rate",((D690+E690)*C690-G690)*Inputs!$L$10,IF(Inputs!$C$9="Residential",IF(((D690+E690)*C690-G690)&lt;='Assumptions and Catalog'!$C$50,((D690+E690)*C690-G690)*'Assumptions and Catalog'!$H$50+'Assumptions and Catalog'!$E$50+'Assumptions and Catalog'!$F$50,IF(((D690+E690)*C690-G690)&lt;='Assumptions and Catalog'!$C$51,((D690+E690)*C690-G690)*'Assumptions and Catalog'!$H$51+'Assumptions and Catalog'!$E$51+'Assumptions and Catalog'!$F$51,IF(((D690+E690)*C690-G690)&lt;='Assumptions and Catalog'!$C$52,((D690+E690)*C690-G690)*'Assumptions and Catalog'!$H$52+'Assumptions and Catalog'!$E$52+'Assumptions and Catalog'!$F$52,IF(((D690+E690)*C690-G690)&lt;='Assumptions and Catalog'!$C$53,((D690+E690)*C690-G690)*'Assumptions and Catalog'!$H$53+'Assumptions and Catalog'!$E$53+'Assumptions and Catalog'!$F$53,IF(((D690+E690)*C690-G690)&lt;='Assumptions and Catalog'!$C$54,((D690+E690)*C690-G690)*'Assumptions and Catalog'!$H$54+'Assumptions and Catalog'!$E$54+'Assumptions and Catalog'!$F$54,IF(((D690+E690)*C690-G690)&lt;='Assumptions and Catalog'!$C$55,((D690+E690)*C690-G690)*'Assumptions and Catalog'!$H$55+'Assumptions and Catalog'!$E$55+'Assumptions and Catalog'!$F$55,IF(((D690+E690)*C690-G690)&lt;='Assumptions and Catalog'!$C$56,((D690+E690)*C690-G690)*'Assumptions and Catalog'!$H$56+'Assumptions and Catalog'!$E$56+'Assumptions and Catalog'!$F$56,IF(((D690+E690)*C690-G690)&lt;='Assumptions and Catalog'!$C$57,((D690+E690)*C690-G690)*'Assumptions and Catalog'!$H$57+'Assumptions and Catalog'!$E$57+'Assumptions and Catalog'!$F$57,"Out of range")))))))),IF(((D690+E690)*C690-G690)&lt;='Assumptions and Catalog'!$C$60,((D690+E690)*C690-G690)*'Assumptions and Catalog'!$H$60+'Assumptions and Catalog'!$E$60+'Assumptions and Catalog'!$F$60,IF(((D690+E690)*C690-G690)&lt;='Assumptions and Catalog'!$C$61,((D690+E690)*C690-G690)*'Assumptions and Catalog'!$H$61+'Assumptions and Catalog'!$E$61+'Assumptions and Catalog'!$F$61,IF(((D690+E690)*C690-G690)&lt;='Assumptions and Catalog'!$C$62,((D690+E690)*C690-G690)*'Assumptions and Catalog'!$H$62+'Assumptions and Catalog'!$E$62+'Assumptions and Catalog'!$F$62,IF(((D690+E690)*C690-G690)&lt;='Assumptions and Catalog'!$C$63,((D690+E690)*C690-G690)*'Assumptions and Catalog'!$H$63+'Assumptions and Catalog'!$E$63+'Assumptions and Catalog'!$F$63,IF(((D690+E690)*C690-G690)&lt;='Assumptions and Catalog'!$C$64,((D690+E690)*C690-G690)*'Assumptions and Catalog'!$H$64+'Assumptions and Catalog'!$E$64+'Assumptions and Catalog'!$F$64,IF(((D690+E690)*C690-G690)&lt;='Assumptions and Catalog'!$C$65,((D690+E690)*C690-G690)*'Assumptions and Catalog'!$H$65+'Assumptions and Catalog'!$E$65+'Assumptions and Catalog'!$F$65,"Out of range")))))))))*(1+'Assumptions and Catalog'!$C$8)^(A690-1),0)</f>
        <v>5497.0934207527871</v>
      </c>
      <c r="R690" s="5">
        <f>IF(AND('Assumptions and Catalog'!$C$19&gt;0,A690&gt;='Assumptions and Catalog'!$C$19),A690-'Assumptions and Catalog'!$C$19,A690-1)</f>
        <v>2</v>
      </c>
      <c r="S690" s="5">
        <f>F690+L690-(D690+E690)*C690-J690-K690-IF(E$52&gt;0,'Assumptions and Catalog'!$C$26*C690,0)</f>
        <v>0</v>
      </c>
      <c r="T690" s="5"/>
      <c r="U690" s="5"/>
    </row>
    <row r="691" spans="1:21" ht="23.1" customHeight="1" outlineLevel="1" x14ac:dyDescent="0.2">
      <c r="A691" s="5">
        <v>3</v>
      </c>
      <c r="B691" s="5">
        <v>7</v>
      </c>
      <c r="C691" s="5">
        <f>DAY(DATE('Assumptions and Catalog'!$C$24+A691-1,B691+1,0))</f>
        <v>31</v>
      </c>
      <c r="D691" s="5">
        <f>IF(ISNUMBER(Inputs!$L$5),Inputs!$L$5*Inputs!$L$6,0)</f>
        <v>40.35</v>
      </c>
      <c r="E691" s="5">
        <f>IF(ISNUMBER(Inputs!$L$5),Inputs!$L$5-D691,0)</f>
        <v>40.35</v>
      </c>
      <c r="F691" s="5">
        <f>E$51*'Assumptions and Catalog'!$C$31*C691*(1-'Assumptions and Catalog'!$C$10)^(A691-1)</f>
        <v>840.62032725000006</v>
      </c>
      <c r="G691" s="5">
        <f t="shared" si="48"/>
        <v>840.62032725000006</v>
      </c>
      <c r="H691" s="5">
        <f>I691/('Assumptions and Catalog'!$C$11*'Assumptions and Catalog'!$C$12)</f>
        <v>0</v>
      </c>
      <c r="I691" s="5">
        <f>MIN(E691*C691,P691*'Assumptions and Catalog'!$C$12*C691,(F691-G691)*'Assumptions and Catalog'!$C$11*'Assumptions and Catalog'!$C$12,E$56*'Assumptions and Catalog'!$C$14*'Assumptions and Catalog'!$C$11*'Assumptions and Catalog'!$C$12*C691,E$57*(24-'Assumptions and Catalog'!$C$13)*C691)</f>
        <v>0</v>
      </c>
      <c r="J691" s="5">
        <f t="shared" si="49"/>
        <v>0</v>
      </c>
      <c r="K691" s="5">
        <f t="shared" si="50"/>
        <v>0</v>
      </c>
      <c r="L691" s="5">
        <f>(D691+E691)*C691-G691-I691+0+IF(E$52&gt;0,'Assumptions and Catalog'!$C$26*C691,0)</f>
        <v>1661.0796727500001</v>
      </c>
      <c r="M691" s="5">
        <f>IF(ISNUMBER(Inputs!$L$5),(IF(Inputs!$L$9="Actual flat rate",((D691+E691)*C691)*Inputs!$L$10,IF(Inputs!$C$9="Residential",IF(((D691+E691)*C691)&lt;='Assumptions and Catalog'!$C$50,((D691+E691)*C691)*'Assumptions and Catalog'!$H$50+'Assumptions and Catalog'!$E$50+'Assumptions and Catalog'!$F$50,IF(((D691+E691)*C691)&lt;='Assumptions and Catalog'!$C$51,((D691+E691)*C691)*'Assumptions and Catalog'!$H$51+'Assumptions and Catalog'!$E$51+'Assumptions and Catalog'!$F$51,IF(((D691+E691)*C691)&lt;='Assumptions and Catalog'!$C$52,((D691+E691)*C691)*'Assumptions and Catalog'!$H$52+'Assumptions and Catalog'!$E$52+'Assumptions and Catalog'!$F$52,IF(((D691+E691)*C691)&lt;='Assumptions and Catalog'!$C$53,((D691+E691)*C691)*'Assumptions and Catalog'!$H$53+'Assumptions and Catalog'!$E$53+'Assumptions and Catalog'!$F$53,IF(((D691+E691)*C691)&lt;='Assumptions and Catalog'!$C$54,((D691+E691)*C691)*'Assumptions and Catalog'!$H$54+'Assumptions and Catalog'!$E$54+'Assumptions and Catalog'!$F$54,IF(((D691+E691)*C691)&lt;='Assumptions and Catalog'!$C$55,((D691+E691)*C691)*'Assumptions and Catalog'!$H$55+'Assumptions and Catalog'!$E$55+'Assumptions and Catalog'!$F$55,IF(((D691+E691)*C691)&lt;='Assumptions and Catalog'!$C$56,((D691+E691)*C691)*'Assumptions and Catalog'!$H$56+'Assumptions and Catalog'!$E$56+'Assumptions and Catalog'!$F$56,IF(((D691+E691)*C691)&lt;='Assumptions and Catalog'!$C$57,((D691+E691)*C691)*'Assumptions and Catalog'!$H$57+'Assumptions and Catalog'!$E$57+'Assumptions and Catalog'!$F$57,"Out of range")))))))),IF(((D691+E691)*C691)&lt;='Assumptions and Catalog'!$C$60,((D691+E691)*C691)*'Assumptions and Catalog'!$H$60+'Assumptions and Catalog'!$E$60+'Assumptions and Catalog'!$F$60,IF(((D691+E691)*C691)&lt;='Assumptions and Catalog'!$C$61,((D691+E691)*C691)*'Assumptions and Catalog'!$H$61+'Assumptions and Catalog'!$E$61+'Assumptions and Catalog'!$F$61,IF(((D691+E691)*C691)&lt;='Assumptions and Catalog'!$C$62,((D691+E691)*C691)*'Assumptions and Catalog'!$H$62+'Assumptions and Catalog'!$E$62+'Assumptions and Catalog'!$F$62,IF(((D691+E691)*C691)&lt;='Assumptions and Catalog'!$C$63,((D691+E691)*C691)*'Assumptions and Catalog'!$H$63+'Assumptions and Catalog'!$E$63+'Assumptions and Catalog'!$F$63,IF(((D691+E691)*C691)&lt;='Assumptions and Catalog'!$C$64,((D691+E691)*C691)*'Assumptions and Catalog'!$H$64+'Assumptions and Catalog'!$E$64+'Assumptions and Catalog'!$F$64,IF(((D691+E691)*C691)&lt;='Assumptions and Catalog'!$C$65,((D691+E691)*C691)*'Assumptions and Catalog'!$H$65+'Assumptions and Catalog'!$E$65+'Assumptions and Catalog'!$F$65,"Out of range")))))))))*(1+'Assumptions and Catalog'!$C$8)^(A691-1),0)</f>
        <v>8554.9666666666672</v>
      </c>
      <c r="N691" s="5">
        <f>IF(ISNUMBER(Inputs!$L$5),(IF(Inputs!$L$9="Actual flat rate",L691*Inputs!$L$10,IF(Inputs!$C$9="Residential",IF(L691&lt;='Assumptions and Catalog'!$C$50,L691*'Assumptions and Catalog'!$H$50+'Assumptions and Catalog'!$E$50+'Assumptions and Catalog'!$F$50,IF(L691&lt;='Assumptions and Catalog'!$C$51,L691*'Assumptions and Catalog'!$H$51+'Assumptions and Catalog'!$E$51+'Assumptions and Catalog'!$F$51,IF(L691&lt;='Assumptions and Catalog'!$C$52,L691*'Assumptions and Catalog'!$H$52+'Assumptions and Catalog'!$E$52+'Assumptions and Catalog'!$F$52,IF(L691&lt;='Assumptions and Catalog'!$C$53,L691*'Assumptions and Catalog'!$H$53+'Assumptions and Catalog'!$E$53+'Assumptions and Catalog'!$F$53,IF(L691&lt;='Assumptions and Catalog'!$C$54,L691*'Assumptions and Catalog'!$H$54+'Assumptions and Catalog'!$E$54+'Assumptions and Catalog'!$F$54,IF(L691&lt;='Assumptions and Catalog'!$C$55,L691*'Assumptions and Catalog'!$H$55+'Assumptions and Catalog'!$E$55+'Assumptions and Catalog'!$F$55,IF(L691&lt;='Assumptions and Catalog'!$C$56,L691*'Assumptions and Catalog'!$H$56+'Assumptions and Catalog'!$E$56+'Assumptions and Catalog'!$F$56,IF(L691&lt;='Assumptions and Catalog'!$C$57,L691*'Assumptions and Catalog'!$H$57+'Assumptions and Catalog'!$E$57+'Assumptions and Catalog'!$F$57,"Out of range")))))))),IF(L691&lt;='Assumptions and Catalog'!$C$60,L691*'Assumptions and Catalog'!$H$60+'Assumptions and Catalog'!$E$60+'Assumptions and Catalog'!$F$60,IF(L691&lt;='Assumptions and Catalog'!$C$61,L691*'Assumptions and Catalog'!$H$61+'Assumptions and Catalog'!$E$61+'Assumptions and Catalog'!$F$61,IF(L691&lt;='Assumptions and Catalog'!$C$62,L691*'Assumptions and Catalog'!$H$62+'Assumptions and Catalog'!$E$62+'Assumptions and Catalog'!$F$62,IF(L691&lt;='Assumptions and Catalog'!$C$63,L691*'Assumptions and Catalog'!$H$63+'Assumptions and Catalog'!$E$63+'Assumptions and Catalog'!$F$63,IF(L691&lt;='Assumptions and Catalog'!$C$64,L691*'Assumptions and Catalog'!$H$64+'Assumptions and Catalog'!$E$64+'Assumptions and Catalog'!$F$64,IF(L691&lt;='Assumptions and Catalog'!$C$65,L691*'Assumptions and Catalog'!$H$65+'Assumptions and Catalog'!$E$65+'Assumptions and Catalog'!$F$65,"Out of range")))))))))*(1+'Assumptions and Catalog'!$C$8)^(A691-1),0)</f>
        <v>5680.3298681112146</v>
      </c>
      <c r="O691" s="5">
        <f t="shared" si="51"/>
        <v>2874.6367985554525</v>
      </c>
      <c r="P691" s="5">
        <f>E$55*(1-L$14)*(1-'Assumptions and Catalog'!$C$23)^R691</f>
        <v>98.34496</v>
      </c>
      <c r="Q691" s="5">
        <f>IF(ISNUMBER(Inputs!$L$5),(IF(Inputs!$L$9="Actual flat rate",((D691+E691)*C691-G691)*Inputs!$L$10,IF(Inputs!$C$9="Residential",IF(((D691+E691)*C691-G691)&lt;='Assumptions and Catalog'!$C$50,((D691+E691)*C691-G691)*'Assumptions and Catalog'!$H$50+'Assumptions and Catalog'!$E$50+'Assumptions and Catalog'!$F$50,IF(((D691+E691)*C691-G691)&lt;='Assumptions and Catalog'!$C$51,((D691+E691)*C691-G691)*'Assumptions and Catalog'!$H$51+'Assumptions and Catalog'!$E$51+'Assumptions and Catalog'!$F$51,IF(((D691+E691)*C691-G691)&lt;='Assumptions and Catalog'!$C$52,((D691+E691)*C691-G691)*'Assumptions and Catalog'!$H$52+'Assumptions and Catalog'!$E$52+'Assumptions and Catalog'!$F$52,IF(((D691+E691)*C691-G691)&lt;='Assumptions and Catalog'!$C$53,((D691+E691)*C691-G691)*'Assumptions and Catalog'!$H$53+'Assumptions and Catalog'!$E$53+'Assumptions and Catalog'!$F$53,IF(((D691+E691)*C691-G691)&lt;='Assumptions and Catalog'!$C$54,((D691+E691)*C691-G691)*'Assumptions and Catalog'!$H$54+'Assumptions and Catalog'!$E$54+'Assumptions and Catalog'!$F$54,IF(((D691+E691)*C691-G691)&lt;='Assumptions and Catalog'!$C$55,((D691+E691)*C691-G691)*'Assumptions and Catalog'!$H$55+'Assumptions and Catalog'!$E$55+'Assumptions and Catalog'!$F$55,IF(((D691+E691)*C691-G691)&lt;='Assumptions and Catalog'!$C$56,((D691+E691)*C691-G691)*'Assumptions and Catalog'!$H$56+'Assumptions and Catalog'!$E$56+'Assumptions and Catalog'!$F$56,IF(((D691+E691)*C691-G691)&lt;='Assumptions and Catalog'!$C$57,((D691+E691)*C691-G691)*'Assumptions and Catalog'!$H$57+'Assumptions and Catalog'!$E$57+'Assumptions and Catalog'!$F$57,"Out of range")))))))),IF(((D691+E691)*C691-G691)&lt;='Assumptions and Catalog'!$C$60,((D691+E691)*C691-G691)*'Assumptions and Catalog'!$H$60+'Assumptions and Catalog'!$E$60+'Assumptions and Catalog'!$F$60,IF(((D691+E691)*C691-G691)&lt;='Assumptions and Catalog'!$C$61,((D691+E691)*C691-G691)*'Assumptions and Catalog'!$H$61+'Assumptions and Catalog'!$E$61+'Assumptions and Catalog'!$F$61,IF(((D691+E691)*C691-G691)&lt;='Assumptions and Catalog'!$C$62,((D691+E691)*C691-G691)*'Assumptions and Catalog'!$H$62+'Assumptions and Catalog'!$E$62+'Assumptions and Catalog'!$F$62,IF(((D691+E691)*C691-G691)&lt;='Assumptions and Catalog'!$C$63,((D691+E691)*C691-G691)*'Assumptions and Catalog'!$H$63+'Assumptions and Catalog'!$E$63+'Assumptions and Catalog'!$F$63,IF(((D691+E691)*C691-G691)&lt;='Assumptions and Catalog'!$C$64,((D691+E691)*C691-G691)*'Assumptions and Catalog'!$H$64+'Assumptions and Catalog'!$E$64+'Assumptions and Catalog'!$F$64,IF(((D691+E691)*C691-G691)&lt;='Assumptions and Catalog'!$C$65,((D691+E691)*C691-G691)*'Assumptions and Catalog'!$H$65+'Assumptions and Catalog'!$E$65+'Assumptions and Catalog'!$F$65,"Out of range")))))))))*(1+'Assumptions and Catalog'!$C$8)^(A691-1),0)</f>
        <v>5680.3298681112146</v>
      </c>
      <c r="R691" s="5">
        <f>IF(AND('Assumptions and Catalog'!$C$19&gt;0,A691&gt;='Assumptions and Catalog'!$C$19),A691-'Assumptions and Catalog'!$C$19,A691-1)</f>
        <v>2</v>
      </c>
      <c r="S691" s="5">
        <f>F691+L691-(D691+E691)*C691-J691-K691-IF(E$52&gt;0,'Assumptions and Catalog'!$C$26*C691,0)</f>
        <v>0</v>
      </c>
      <c r="T691" s="5"/>
      <c r="U691" s="5"/>
    </row>
    <row r="692" spans="1:21" ht="23.1" customHeight="1" outlineLevel="1" x14ac:dyDescent="0.2">
      <c r="A692" s="5">
        <v>3</v>
      </c>
      <c r="B692" s="5">
        <v>8</v>
      </c>
      <c r="C692" s="5">
        <f>DAY(DATE('Assumptions and Catalog'!$C$24+A692-1,B692+1,0))</f>
        <v>31</v>
      </c>
      <c r="D692" s="5">
        <f>IF(ISNUMBER(Inputs!$L$5),Inputs!$L$5*Inputs!$L$6,0)</f>
        <v>40.35</v>
      </c>
      <c r="E692" s="5">
        <f>IF(ISNUMBER(Inputs!$L$5),Inputs!$L$5-D692,0)</f>
        <v>40.35</v>
      </c>
      <c r="F692" s="5">
        <f>E$51*'Assumptions and Catalog'!$C$31*C692*(1-'Assumptions and Catalog'!$C$10)^(A692-1)</f>
        <v>840.62032725000006</v>
      </c>
      <c r="G692" s="5">
        <f t="shared" si="48"/>
        <v>840.62032725000006</v>
      </c>
      <c r="H692" s="5">
        <f>I692/('Assumptions and Catalog'!$C$11*'Assumptions and Catalog'!$C$12)</f>
        <v>0</v>
      </c>
      <c r="I692" s="5">
        <f>MIN(E692*C692,P692*'Assumptions and Catalog'!$C$12*C692,(F692-G692)*'Assumptions and Catalog'!$C$11*'Assumptions and Catalog'!$C$12,E$56*'Assumptions and Catalog'!$C$14*'Assumptions and Catalog'!$C$11*'Assumptions and Catalog'!$C$12*C692,E$57*(24-'Assumptions and Catalog'!$C$13)*C692)</f>
        <v>0</v>
      </c>
      <c r="J692" s="5">
        <f t="shared" si="49"/>
        <v>0</v>
      </c>
      <c r="K692" s="5">
        <f t="shared" si="50"/>
        <v>0</v>
      </c>
      <c r="L692" s="5">
        <f>(D692+E692)*C692-G692-I692+0+IF(E$52&gt;0,'Assumptions and Catalog'!$C$26*C692,0)</f>
        <v>1661.0796727500001</v>
      </c>
      <c r="M692" s="5">
        <f>IF(ISNUMBER(Inputs!$L$5),(IF(Inputs!$L$9="Actual flat rate",((D692+E692)*C692)*Inputs!$L$10,IF(Inputs!$C$9="Residential",IF(((D692+E692)*C692)&lt;='Assumptions and Catalog'!$C$50,((D692+E692)*C692)*'Assumptions and Catalog'!$H$50+'Assumptions and Catalog'!$E$50+'Assumptions and Catalog'!$F$50,IF(((D692+E692)*C692)&lt;='Assumptions and Catalog'!$C$51,((D692+E692)*C692)*'Assumptions and Catalog'!$H$51+'Assumptions and Catalog'!$E$51+'Assumptions and Catalog'!$F$51,IF(((D692+E692)*C692)&lt;='Assumptions and Catalog'!$C$52,((D692+E692)*C692)*'Assumptions and Catalog'!$H$52+'Assumptions and Catalog'!$E$52+'Assumptions and Catalog'!$F$52,IF(((D692+E692)*C692)&lt;='Assumptions and Catalog'!$C$53,((D692+E692)*C692)*'Assumptions and Catalog'!$H$53+'Assumptions and Catalog'!$E$53+'Assumptions and Catalog'!$F$53,IF(((D692+E692)*C692)&lt;='Assumptions and Catalog'!$C$54,((D692+E692)*C692)*'Assumptions and Catalog'!$H$54+'Assumptions and Catalog'!$E$54+'Assumptions and Catalog'!$F$54,IF(((D692+E692)*C692)&lt;='Assumptions and Catalog'!$C$55,((D692+E692)*C692)*'Assumptions and Catalog'!$H$55+'Assumptions and Catalog'!$E$55+'Assumptions and Catalog'!$F$55,IF(((D692+E692)*C692)&lt;='Assumptions and Catalog'!$C$56,((D692+E692)*C692)*'Assumptions and Catalog'!$H$56+'Assumptions and Catalog'!$E$56+'Assumptions and Catalog'!$F$56,IF(((D692+E692)*C692)&lt;='Assumptions and Catalog'!$C$57,((D692+E692)*C692)*'Assumptions and Catalog'!$H$57+'Assumptions and Catalog'!$E$57+'Assumptions and Catalog'!$F$57,"Out of range")))))))),IF(((D692+E692)*C692)&lt;='Assumptions and Catalog'!$C$60,((D692+E692)*C692)*'Assumptions and Catalog'!$H$60+'Assumptions and Catalog'!$E$60+'Assumptions and Catalog'!$F$60,IF(((D692+E692)*C692)&lt;='Assumptions and Catalog'!$C$61,((D692+E692)*C692)*'Assumptions and Catalog'!$H$61+'Assumptions and Catalog'!$E$61+'Assumptions and Catalog'!$F$61,IF(((D692+E692)*C692)&lt;='Assumptions and Catalog'!$C$62,((D692+E692)*C692)*'Assumptions and Catalog'!$H$62+'Assumptions and Catalog'!$E$62+'Assumptions and Catalog'!$F$62,IF(((D692+E692)*C692)&lt;='Assumptions and Catalog'!$C$63,((D692+E692)*C692)*'Assumptions and Catalog'!$H$63+'Assumptions and Catalog'!$E$63+'Assumptions and Catalog'!$F$63,IF(((D692+E692)*C692)&lt;='Assumptions and Catalog'!$C$64,((D692+E692)*C692)*'Assumptions and Catalog'!$H$64+'Assumptions and Catalog'!$E$64+'Assumptions and Catalog'!$F$64,IF(((D692+E692)*C692)&lt;='Assumptions and Catalog'!$C$65,((D692+E692)*C692)*'Assumptions and Catalog'!$H$65+'Assumptions and Catalog'!$E$65+'Assumptions and Catalog'!$F$65,"Out of range")))))))))*(1+'Assumptions and Catalog'!$C$8)^(A692-1),0)</f>
        <v>8554.9666666666672</v>
      </c>
      <c r="N692" s="5">
        <f>IF(ISNUMBER(Inputs!$L$5),(IF(Inputs!$L$9="Actual flat rate",L692*Inputs!$L$10,IF(Inputs!$C$9="Residential",IF(L692&lt;='Assumptions and Catalog'!$C$50,L692*'Assumptions and Catalog'!$H$50+'Assumptions and Catalog'!$E$50+'Assumptions and Catalog'!$F$50,IF(L692&lt;='Assumptions and Catalog'!$C$51,L692*'Assumptions and Catalog'!$H$51+'Assumptions and Catalog'!$E$51+'Assumptions and Catalog'!$F$51,IF(L692&lt;='Assumptions and Catalog'!$C$52,L692*'Assumptions and Catalog'!$H$52+'Assumptions and Catalog'!$E$52+'Assumptions and Catalog'!$F$52,IF(L692&lt;='Assumptions and Catalog'!$C$53,L692*'Assumptions and Catalog'!$H$53+'Assumptions and Catalog'!$E$53+'Assumptions and Catalog'!$F$53,IF(L692&lt;='Assumptions and Catalog'!$C$54,L692*'Assumptions and Catalog'!$H$54+'Assumptions and Catalog'!$E$54+'Assumptions and Catalog'!$F$54,IF(L692&lt;='Assumptions and Catalog'!$C$55,L692*'Assumptions and Catalog'!$H$55+'Assumptions and Catalog'!$E$55+'Assumptions and Catalog'!$F$55,IF(L692&lt;='Assumptions and Catalog'!$C$56,L692*'Assumptions and Catalog'!$H$56+'Assumptions and Catalog'!$E$56+'Assumptions and Catalog'!$F$56,IF(L692&lt;='Assumptions and Catalog'!$C$57,L692*'Assumptions and Catalog'!$H$57+'Assumptions and Catalog'!$E$57+'Assumptions and Catalog'!$F$57,"Out of range")))))))),IF(L692&lt;='Assumptions and Catalog'!$C$60,L692*'Assumptions and Catalog'!$H$60+'Assumptions and Catalog'!$E$60+'Assumptions and Catalog'!$F$60,IF(L692&lt;='Assumptions and Catalog'!$C$61,L692*'Assumptions and Catalog'!$H$61+'Assumptions and Catalog'!$E$61+'Assumptions and Catalog'!$F$61,IF(L692&lt;='Assumptions and Catalog'!$C$62,L692*'Assumptions and Catalog'!$H$62+'Assumptions and Catalog'!$E$62+'Assumptions and Catalog'!$F$62,IF(L692&lt;='Assumptions and Catalog'!$C$63,L692*'Assumptions and Catalog'!$H$63+'Assumptions and Catalog'!$E$63+'Assumptions and Catalog'!$F$63,IF(L692&lt;='Assumptions and Catalog'!$C$64,L692*'Assumptions and Catalog'!$H$64+'Assumptions and Catalog'!$E$64+'Assumptions and Catalog'!$F$64,IF(L692&lt;='Assumptions and Catalog'!$C$65,L692*'Assumptions and Catalog'!$H$65+'Assumptions and Catalog'!$E$65+'Assumptions and Catalog'!$F$65,"Out of range")))))))))*(1+'Assumptions and Catalog'!$C$8)^(A692-1),0)</f>
        <v>5680.3298681112146</v>
      </c>
      <c r="O692" s="5">
        <f t="shared" si="51"/>
        <v>2874.6367985554525</v>
      </c>
      <c r="P692" s="5">
        <f>E$55*(1-L$14)*(1-'Assumptions and Catalog'!$C$23)^R692</f>
        <v>98.34496</v>
      </c>
      <c r="Q692" s="5">
        <f>IF(ISNUMBER(Inputs!$L$5),(IF(Inputs!$L$9="Actual flat rate",((D692+E692)*C692-G692)*Inputs!$L$10,IF(Inputs!$C$9="Residential",IF(((D692+E692)*C692-G692)&lt;='Assumptions and Catalog'!$C$50,((D692+E692)*C692-G692)*'Assumptions and Catalog'!$H$50+'Assumptions and Catalog'!$E$50+'Assumptions and Catalog'!$F$50,IF(((D692+E692)*C692-G692)&lt;='Assumptions and Catalog'!$C$51,((D692+E692)*C692-G692)*'Assumptions and Catalog'!$H$51+'Assumptions and Catalog'!$E$51+'Assumptions and Catalog'!$F$51,IF(((D692+E692)*C692-G692)&lt;='Assumptions and Catalog'!$C$52,((D692+E692)*C692-G692)*'Assumptions and Catalog'!$H$52+'Assumptions and Catalog'!$E$52+'Assumptions and Catalog'!$F$52,IF(((D692+E692)*C692-G692)&lt;='Assumptions and Catalog'!$C$53,((D692+E692)*C692-G692)*'Assumptions and Catalog'!$H$53+'Assumptions and Catalog'!$E$53+'Assumptions and Catalog'!$F$53,IF(((D692+E692)*C692-G692)&lt;='Assumptions and Catalog'!$C$54,((D692+E692)*C692-G692)*'Assumptions and Catalog'!$H$54+'Assumptions and Catalog'!$E$54+'Assumptions and Catalog'!$F$54,IF(((D692+E692)*C692-G692)&lt;='Assumptions and Catalog'!$C$55,((D692+E692)*C692-G692)*'Assumptions and Catalog'!$H$55+'Assumptions and Catalog'!$E$55+'Assumptions and Catalog'!$F$55,IF(((D692+E692)*C692-G692)&lt;='Assumptions and Catalog'!$C$56,((D692+E692)*C692-G692)*'Assumptions and Catalog'!$H$56+'Assumptions and Catalog'!$E$56+'Assumptions and Catalog'!$F$56,IF(((D692+E692)*C692-G692)&lt;='Assumptions and Catalog'!$C$57,((D692+E692)*C692-G692)*'Assumptions and Catalog'!$H$57+'Assumptions and Catalog'!$E$57+'Assumptions and Catalog'!$F$57,"Out of range")))))))),IF(((D692+E692)*C692-G692)&lt;='Assumptions and Catalog'!$C$60,((D692+E692)*C692-G692)*'Assumptions and Catalog'!$H$60+'Assumptions and Catalog'!$E$60+'Assumptions and Catalog'!$F$60,IF(((D692+E692)*C692-G692)&lt;='Assumptions and Catalog'!$C$61,((D692+E692)*C692-G692)*'Assumptions and Catalog'!$H$61+'Assumptions and Catalog'!$E$61+'Assumptions and Catalog'!$F$61,IF(((D692+E692)*C692-G692)&lt;='Assumptions and Catalog'!$C$62,((D692+E692)*C692-G692)*'Assumptions and Catalog'!$H$62+'Assumptions and Catalog'!$E$62+'Assumptions and Catalog'!$F$62,IF(((D692+E692)*C692-G692)&lt;='Assumptions and Catalog'!$C$63,((D692+E692)*C692-G692)*'Assumptions and Catalog'!$H$63+'Assumptions and Catalog'!$E$63+'Assumptions and Catalog'!$F$63,IF(((D692+E692)*C692-G692)&lt;='Assumptions and Catalog'!$C$64,((D692+E692)*C692-G692)*'Assumptions and Catalog'!$H$64+'Assumptions and Catalog'!$E$64+'Assumptions and Catalog'!$F$64,IF(((D692+E692)*C692-G692)&lt;='Assumptions and Catalog'!$C$65,((D692+E692)*C692-G692)*'Assumptions and Catalog'!$H$65+'Assumptions and Catalog'!$E$65+'Assumptions and Catalog'!$F$65,"Out of range")))))))))*(1+'Assumptions and Catalog'!$C$8)^(A692-1),0)</f>
        <v>5680.3298681112146</v>
      </c>
      <c r="R692" s="5">
        <f>IF(AND('Assumptions and Catalog'!$C$19&gt;0,A692&gt;='Assumptions and Catalog'!$C$19),A692-'Assumptions and Catalog'!$C$19,A692-1)</f>
        <v>2</v>
      </c>
      <c r="S692" s="5">
        <f>F692+L692-(D692+E692)*C692-J692-K692-IF(E$52&gt;0,'Assumptions and Catalog'!$C$26*C692,0)</f>
        <v>0</v>
      </c>
      <c r="T692" s="5"/>
      <c r="U692" s="5"/>
    </row>
    <row r="693" spans="1:21" ht="23.1" customHeight="1" outlineLevel="1" x14ac:dyDescent="0.2">
      <c r="A693" s="5">
        <v>3</v>
      </c>
      <c r="B693" s="5">
        <v>9</v>
      </c>
      <c r="C693" s="5">
        <f>DAY(DATE('Assumptions and Catalog'!$C$24+A693-1,B693+1,0))</f>
        <v>30</v>
      </c>
      <c r="D693" s="5">
        <f>IF(ISNUMBER(Inputs!$L$5),Inputs!$L$5*Inputs!$L$6,0)</f>
        <v>40.35</v>
      </c>
      <c r="E693" s="5">
        <f>IF(ISNUMBER(Inputs!$L$5),Inputs!$L$5-D693,0)</f>
        <v>40.35</v>
      </c>
      <c r="F693" s="5">
        <f>E$51*'Assumptions and Catalog'!$C$31*C693*(1-'Assumptions and Catalog'!$C$10)^(A693-1)</f>
        <v>813.50354250000009</v>
      </c>
      <c r="G693" s="5">
        <f t="shared" si="48"/>
        <v>813.50354250000009</v>
      </c>
      <c r="H693" s="5">
        <f>I693/('Assumptions and Catalog'!$C$11*'Assumptions and Catalog'!$C$12)</f>
        <v>0</v>
      </c>
      <c r="I693" s="5">
        <f>MIN(E693*C693,P693*'Assumptions and Catalog'!$C$12*C693,(F693-G693)*'Assumptions and Catalog'!$C$11*'Assumptions and Catalog'!$C$12,E$56*'Assumptions and Catalog'!$C$14*'Assumptions and Catalog'!$C$11*'Assumptions and Catalog'!$C$12*C693,E$57*(24-'Assumptions and Catalog'!$C$13)*C693)</f>
        <v>0</v>
      </c>
      <c r="J693" s="5">
        <f t="shared" si="49"/>
        <v>0</v>
      </c>
      <c r="K693" s="5">
        <f t="shared" si="50"/>
        <v>0</v>
      </c>
      <c r="L693" s="5">
        <f>(D693+E693)*C693-G693-I693+0+IF(E$52&gt;0,'Assumptions and Catalog'!$C$26*C693,0)</f>
        <v>1607.4964574999999</v>
      </c>
      <c r="M693" s="5">
        <f>IF(ISNUMBER(Inputs!$L$5),(IF(Inputs!$L$9="Actual flat rate",((D693+E693)*C693)*Inputs!$L$10,IF(Inputs!$C$9="Residential",IF(((D693+E693)*C693)&lt;='Assumptions and Catalog'!$C$50,((D693+E693)*C693)*'Assumptions and Catalog'!$H$50+'Assumptions and Catalog'!$E$50+'Assumptions and Catalog'!$F$50,IF(((D693+E693)*C693)&lt;='Assumptions and Catalog'!$C$51,((D693+E693)*C693)*'Assumptions and Catalog'!$H$51+'Assumptions and Catalog'!$E$51+'Assumptions and Catalog'!$F$51,IF(((D693+E693)*C693)&lt;='Assumptions and Catalog'!$C$52,((D693+E693)*C693)*'Assumptions and Catalog'!$H$52+'Assumptions and Catalog'!$E$52+'Assumptions and Catalog'!$F$52,IF(((D693+E693)*C693)&lt;='Assumptions and Catalog'!$C$53,((D693+E693)*C693)*'Assumptions and Catalog'!$H$53+'Assumptions and Catalog'!$E$53+'Assumptions and Catalog'!$F$53,IF(((D693+E693)*C693)&lt;='Assumptions and Catalog'!$C$54,((D693+E693)*C693)*'Assumptions and Catalog'!$H$54+'Assumptions and Catalog'!$E$54+'Assumptions and Catalog'!$F$54,IF(((D693+E693)*C693)&lt;='Assumptions and Catalog'!$C$55,((D693+E693)*C693)*'Assumptions and Catalog'!$H$55+'Assumptions and Catalog'!$E$55+'Assumptions and Catalog'!$F$55,IF(((D693+E693)*C693)&lt;='Assumptions and Catalog'!$C$56,((D693+E693)*C693)*'Assumptions and Catalog'!$H$56+'Assumptions and Catalog'!$E$56+'Assumptions and Catalog'!$F$56,IF(((D693+E693)*C693)&lt;='Assumptions and Catalog'!$C$57,((D693+E693)*C693)*'Assumptions and Catalog'!$H$57+'Assumptions and Catalog'!$E$57+'Assumptions and Catalog'!$F$57,"Out of range")))))))),IF(((D693+E693)*C693)&lt;='Assumptions and Catalog'!$C$60,((D693+E693)*C693)*'Assumptions and Catalog'!$H$60+'Assumptions and Catalog'!$E$60+'Assumptions and Catalog'!$F$60,IF(((D693+E693)*C693)&lt;='Assumptions and Catalog'!$C$61,((D693+E693)*C693)*'Assumptions and Catalog'!$H$61+'Assumptions and Catalog'!$E$61+'Assumptions and Catalog'!$F$61,IF(((D693+E693)*C693)&lt;='Assumptions and Catalog'!$C$62,((D693+E693)*C693)*'Assumptions and Catalog'!$H$62+'Assumptions and Catalog'!$E$62+'Assumptions and Catalog'!$F$62,IF(((D693+E693)*C693)&lt;='Assumptions and Catalog'!$C$63,((D693+E693)*C693)*'Assumptions and Catalog'!$H$63+'Assumptions and Catalog'!$E$63+'Assumptions and Catalog'!$F$63,IF(((D693+E693)*C693)&lt;='Assumptions and Catalog'!$C$64,((D693+E693)*C693)*'Assumptions and Catalog'!$H$64+'Assumptions and Catalog'!$E$64+'Assumptions and Catalog'!$F$64,IF(((D693+E693)*C693)&lt;='Assumptions and Catalog'!$C$65,((D693+E693)*C693)*'Assumptions and Catalog'!$H$65+'Assumptions and Catalog'!$E$65+'Assumptions and Catalog'!$F$65,"Out of range")))))))))*(1+'Assumptions and Catalog'!$C$8)^(A693-1),0)</f>
        <v>8279</v>
      </c>
      <c r="N693" s="5">
        <f>IF(ISNUMBER(Inputs!$L$5),(IF(Inputs!$L$9="Actual flat rate",L693*Inputs!$L$10,IF(Inputs!$C$9="Residential",IF(L693&lt;='Assumptions and Catalog'!$C$50,L693*'Assumptions and Catalog'!$H$50+'Assumptions and Catalog'!$E$50+'Assumptions and Catalog'!$F$50,IF(L693&lt;='Assumptions and Catalog'!$C$51,L693*'Assumptions and Catalog'!$H$51+'Assumptions and Catalog'!$E$51+'Assumptions and Catalog'!$F$51,IF(L693&lt;='Assumptions and Catalog'!$C$52,L693*'Assumptions and Catalog'!$H$52+'Assumptions and Catalog'!$E$52+'Assumptions and Catalog'!$F$52,IF(L693&lt;='Assumptions and Catalog'!$C$53,L693*'Assumptions and Catalog'!$H$53+'Assumptions and Catalog'!$E$53+'Assumptions and Catalog'!$F$53,IF(L693&lt;='Assumptions and Catalog'!$C$54,L693*'Assumptions and Catalog'!$H$54+'Assumptions and Catalog'!$E$54+'Assumptions and Catalog'!$F$54,IF(L693&lt;='Assumptions and Catalog'!$C$55,L693*'Assumptions and Catalog'!$H$55+'Assumptions and Catalog'!$E$55+'Assumptions and Catalog'!$F$55,IF(L693&lt;='Assumptions and Catalog'!$C$56,L693*'Assumptions and Catalog'!$H$56+'Assumptions and Catalog'!$E$56+'Assumptions and Catalog'!$F$56,IF(L693&lt;='Assumptions and Catalog'!$C$57,L693*'Assumptions and Catalog'!$H$57+'Assumptions and Catalog'!$E$57+'Assumptions and Catalog'!$F$57,"Out of range")))))))),IF(L693&lt;='Assumptions and Catalog'!$C$60,L693*'Assumptions and Catalog'!$H$60+'Assumptions and Catalog'!$E$60+'Assumptions and Catalog'!$F$60,IF(L693&lt;='Assumptions and Catalog'!$C$61,L693*'Assumptions and Catalog'!$H$61+'Assumptions and Catalog'!$E$61+'Assumptions and Catalog'!$F$61,IF(L693&lt;='Assumptions and Catalog'!$C$62,L693*'Assumptions and Catalog'!$H$62+'Assumptions and Catalog'!$E$62+'Assumptions and Catalog'!$F$62,IF(L693&lt;='Assumptions and Catalog'!$C$63,L693*'Assumptions and Catalog'!$H$63+'Assumptions and Catalog'!$E$63+'Assumptions and Catalog'!$F$63,IF(L693&lt;='Assumptions and Catalog'!$C$64,L693*'Assumptions and Catalog'!$H$64+'Assumptions and Catalog'!$E$64+'Assumptions and Catalog'!$F$64,IF(L693&lt;='Assumptions and Catalog'!$C$65,L693*'Assumptions and Catalog'!$H$65+'Assumptions and Catalog'!$E$65+'Assumptions and Catalog'!$F$65,"Out of range")))))))))*(1+'Assumptions and Catalog'!$C$8)^(A693-1),0)</f>
        <v>5497.0934207527871</v>
      </c>
      <c r="O693" s="5">
        <f t="shared" si="51"/>
        <v>2781.9065792472129</v>
      </c>
      <c r="P693" s="5">
        <f>E$55*(1-L$14)*(1-'Assumptions and Catalog'!$C$23)^R693</f>
        <v>98.34496</v>
      </c>
      <c r="Q693" s="5">
        <f>IF(ISNUMBER(Inputs!$L$5),(IF(Inputs!$L$9="Actual flat rate",((D693+E693)*C693-G693)*Inputs!$L$10,IF(Inputs!$C$9="Residential",IF(((D693+E693)*C693-G693)&lt;='Assumptions and Catalog'!$C$50,((D693+E693)*C693-G693)*'Assumptions and Catalog'!$H$50+'Assumptions and Catalog'!$E$50+'Assumptions and Catalog'!$F$50,IF(((D693+E693)*C693-G693)&lt;='Assumptions and Catalog'!$C$51,((D693+E693)*C693-G693)*'Assumptions and Catalog'!$H$51+'Assumptions and Catalog'!$E$51+'Assumptions and Catalog'!$F$51,IF(((D693+E693)*C693-G693)&lt;='Assumptions and Catalog'!$C$52,((D693+E693)*C693-G693)*'Assumptions and Catalog'!$H$52+'Assumptions and Catalog'!$E$52+'Assumptions and Catalog'!$F$52,IF(((D693+E693)*C693-G693)&lt;='Assumptions and Catalog'!$C$53,((D693+E693)*C693-G693)*'Assumptions and Catalog'!$H$53+'Assumptions and Catalog'!$E$53+'Assumptions and Catalog'!$F$53,IF(((D693+E693)*C693-G693)&lt;='Assumptions and Catalog'!$C$54,((D693+E693)*C693-G693)*'Assumptions and Catalog'!$H$54+'Assumptions and Catalog'!$E$54+'Assumptions and Catalog'!$F$54,IF(((D693+E693)*C693-G693)&lt;='Assumptions and Catalog'!$C$55,((D693+E693)*C693-G693)*'Assumptions and Catalog'!$H$55+'Assumptions and Catalog'!$E$55+'Assumptions and Catalog'!$F$55,IF(((D693+E693)*C693-G693)&lt;='Assumptions and Catalog'!$C$56,((D693+E693)*C693-G693)*'Assumptions and Catalog'!$H$56+'Assumptions and Catalog'!$E$56+'Assumptions and Catalog'!$F$56,IF(((D693+E693)*C693-G693)&lt;='Assumptions and Catalog'!$C$57,((D693+E693)*C693-G693)*'Assumptions and Catalog'!$H$57+'Assumptions and Catalog'!$E$57+'Assumptions and Catalog'!$F$57,"Out of range")))))))),IF(((D693+E693)*C693-G693)&lt;='Assumptions and Catalog'!$C$60,((D693+E693)*C693-G693)*'Assumptions and Catalog'!$H$60+'Assumptions and Catalog'!$E$60+'Assumptions and Catalog'!$F$60,IF(((D693+E693)*C693-G693)&lt;='Assumptions and Catalog'!$C$61,((D693+E693)*C693-G693)*'Assumptions and Catalog'!$H$61+'Assumptions and Catalog'!$E$61+'Assumptions and Catalog'!$F$61,IF(((D693+E693)*C693-G693)&lt;='Assumptions and Catalog'!$C$62,((D693+E693)*C693-G693)*'Assumptions and Catalog'!$H$62+'Assumptions and Catalog'!$E$62+'Assumptions and Catalog'!$F$62,IF(((D693+E693)*C693-G693)&lt;='Assumptions and Catalog'!$C$63,((D693+E693)*C693-G693)*'Assumptions and Catalog'!$H$63+'Assumptions and Catalog'!$E$63+'Assumptions and Catalog'!$F$63,IF(((D693+E693)*C693-G693)&lt;='Assumptions and Catalog'!$C$64,((D693+E693)*C693-G693)*'Assumptions and Catalog'!$H$64+'Assumptions and Catalog'!$E$64+'Assumptions and Catalog'!$F$64,IF(((D693+E693)*C693-G693)&lt;='Assumptions and Catalog'!$C$65,((D693+E693)*C693-G693)*'Assumptions and Catalog'!$H$65+'Assumptions and Catalog'!$E$65+'Assumptions and Catalog'!$F$65,"Out of range")))))))))*(1+'Assumptions and Catalog'!$C$8)^(A693-1),0)</f>
        <v>5497.0934207527871</v>
      </c>
      <c r="R693" s="5">
        <f>IF(AND('Assumptions and Catalog'!$C$19&gt;0,A693&gt;='Assumptions and Catalog'!$C$19),A693-'Assumptions and Catalog'!$C$19,A693-1)</f>
        <v>2</v>
      </c>
      <c r="S693" s="5">
        <f>F693+L693-(D693+E693)*C693-J693-K693-IF(E$52&gt;0,'Assumptions and Catalog'!$C$26*C693,0)</f>
        <v>0</v>
      </c>
      <c r="T693" s="5"/>
      <c r="U693" s="5"/>
    </row>
    <row r="694" spans="1:21" ht="23.1" customHeight="1" outlineLevel="1" x14ac:dyDescent="0.2">
      <c r="A694" s="5">
        <v>3</v>
      </c>
      <c r="B694" s="5">
        <v>10</v>
      </c>
      <c r="C694" s="5">
        <f>DAY(DATE('Assumptions and Catalog'!$C$24+A694-1,B694+1,0))</f>
        <v>31</v>
      </c>
      <c r="D694" s="5">
        <f>IF(ISNUMBER(Inputs!$L$5),Inputs!$L$5*Inputs!$L$6,0)</f>
        <v>40.35</v>
      </c>
      <c r="E694" s="5">
        <f>IF(ISNUMBER(Inputs!$L$5),Inputs!$L$5-D694,0)</f>
        <v>40.35</v>
      </c>
      <c r="F694" s="5">
        <f>E$51*'Assumptions and Catalog'!$C$31*C694*(1-'Assumptions and Catalog'!$C$10)^(A694-1)</f>
        <v>840.62032725000006</v>
      </c>
      <c r="G694" s="5">
        <f t="shared" si="48"/>
        <v>840.62032725000006</v>
      </c>
      <c r="H694" s="5">
        <f>I694/('Assumptions and Catalog'!$C$11*'Assumptions and Catalog'!$C$12)</f>
        <v>0</v>
      </c>
      <c r="I694" s="5">
        <f>MIN(E694*C694,P694*'Assumptions and Catalog'!$C$12*C694,(F694-G694)*'Assumptions and Catalog'!$C$11*'Assumptions and Catalog'!$C$12,E$56*'Assumptions and Catalog'!$C$14*'Assumptions and Catalog'!$C$11*'Assumptions and Catalog'!$C$12*C694,E$57*(24-'Assumptions and Catalog'!$C$13)*C694)</f>
        <v>0</v>
      </c>
      <c r="J694" s="5">
        <f t="shared" si="49"/>
        <v>0</v>
      </c>
      <c r="K694" s="5">
        <f t="shared" si="50"/>
        <v>0</v>
      </c>
      <c r="L694" s="5">
        <f>(D694+E694)*C694-G694-I694+0+IF(E$52&gt;0,'Assumptions and Catalog'!$C$26*C694,0)</f>
        <v>1661.0796727500001</v>
      </c>
      <c r="M694" s="5">
        <f>IF(ISNUMBER(Inputs!$L$5),(IF(Inputs!$L$9="Actual flat rate",((D694+E694)*C694)*Inputs!$L$10,IF(Inputs!$C$9="Residential",IF(((D694+E694)*C694)&lt;='Assumptions and Catalog'!$C$50,((D694+E694)*C694)*'Assumptions and Catalog'!$H$50+'Assumptions and Catalog'!$E$50+'Assumptions and Catalog'!$F$50,IF(((D694+E694)*C694)&lt;='Assumptions and Catalog'!$C$51,((D694+E694)*C694)*'Assumptions and Catalog'!$H$51+'Assumptions and Catalog'!$E$51+'Assumptions and Catalog'!$F$51,IF(((D694+E694)*C694)&lt;='Assumptions and Catalog'!$C$52,((D694+E694)*C694)*'Assumptions and Catalog'!$H$52+'Assumptions and Catalog'!$E$52+'Assumptions and Catalog'!$F$52,IF(((D694+E694)*C694)&lt;='Assumptions and Catalog'!$C$53,((D694+E694)*C694)*'Assumptions and Catalog'!$H$53+'Assumptions and Catalog'!$E$53+'Assumptions and Catalog'!$F$53,IF(((D694+E694)*C694)&lt;='Assumptions and Catalog'!$C$54,((D694+E694)*C694)*'Assumptions and Catalog'!$H$54+'Assumptions and Catalog'!$E$54+'Assumptions and Catalog'!$F$54,IF(((D694+E694)*C694)&lt;='Assumptions and Catalog'!$C$55,((D694+E694)*C694)*'Assumptions and Catalog'!$H$55+'Assumptions and Catalog'!$E$55+'Assumptions and Catalog'!$F$55,IF(((D694+E694)*C694)&lt;='Assumptions and Catalog'!$C$56,((D694+E694)*C694)*'Assumptions and Catalog'!$H$56+'Assumptions and Catalog'!$E$56+'Assumptions and Catalog'!$F$56,IF(((D694+E694)*C694)&lt;='Assumptions and Catalog'!$C$57,((D694+E694)*C694)*'Assumptions and Catalog'!$H$57+'Assumptions and Catalog'!$E$57+'Assumptions and Catalog'!$F$57,"Out of range")))))))),IF(((D694+E694)*C694)&lt;='Assumptions and Catalog'!$C$60,((D694+E694)*C694)*'Assumptions and Catalog'!$H$60+'Assumptions and Catalog'!$E$60+'Assumptions and Catalog'!$F$60,IF(((D694+E694)*C694)&lt;='Assumptions and Catalog'!$C$61,((D694+E694)*C694)*'Assumptions and Catalog'!$H$61+'Assumptions and Catalog'!$E$61+'Assumptions and Catalog'!$F$61,IF(((D694+E694)*C694)&lt;='Assumptions and Catalog'!$C$62,((D694+E694)*C694)*'Assumptions and Catalog'!$H$62+'Assumptions and Catalog'!$E$62+'Assumptions and Catalog'!$F$62,IF(((D694+E694)*C694)&lt;='Assumptions and Catalog'!$C$63,((D694+E694)*C694)*'Assumptions and Catalog'!$H$63+'Assumptions and Catalog'!$E$63+'Assumptions and Catalog'!$F$63,IF(((D694+E694)*C694)&lt;='Assumptions and Catalog'!$C$64,((D694+E694)*C694)*'Assumptions and Catalog'!$H$64+'Assumptions and Catalog'!$E$64+'Assumptions and Catalog'!$F$64,IF(((D694+E694)*C694)&lt;='Assumptions and Catalog'!$C$65,((D694+E694)*C694)*'Assumptions and Catalog'!$H$65+'Assumptions and Catalog'!$E$65+'Assumptions and Catalog'!$F$65,"Out of range")))))))))*(1+'Assumptions and Catalog'!$C$8)^(A694-1),0)</f>
        <v>8554.9666666666672</v>
      </c>
      <c r="N694" s="5">
        <f>IF(ISNUMBER(Inputs!$L$5),(IF(Inputs!$L$9="Actual flat rate",L694*Inputs!$L$10,IF(Inputs!$C$9="Residential",IF(L694&lt;='Assumptions and Catalog'!$C$50,L694*'Assumptions and Catalog'!$H$50+'Assumptions and Catalog'!$E$50+'Assumptions and Catalog'!$F$50,IF(L694&lt;='Assumptions and Catalog'!$C$51,L694*'Assumptions and Catalog'!$H$51+'Assumptions and Catalog'!$E$51+'Assumptions and Catalog'!$F$51,IF(L694&lt;='Assumptions and Catalog'!$C$52,L694*'Assumptions and Catalog'!$H$52+'Assumptions and Catalog'!$E$52+'Assumptions and Catalog'!$F$52,IF(L694&lt;='Assumptions and Catalog'!$C$53,L694*'Assumptions and Catalog'!$H$53+'Assumptions and Catalog'!$E$53+'Assumptions and Catalog'!$F$53,IF(L694&lt;='Assumptions and Catalog'!$C$54,L694*'Assumptions and Catalog'!$H$54+'Assumptions and Catalog'!$E$54+'Assumptions and Catalog'!$F$54,IF(L694&lt;='Assumptions and Catalog'!$C$55,L694*'Assumptions and Catalog'!$H$55+'Assumptions and Catalog'!$E$55+'Assumptions and Catalog'!$F$55,IF(L694&lt;='Assumptions and Catalog'!$C$56,L694*'Assumptions and Catalog'!$H$56+'Assumptions and Catalog'!$E$56+'Assumptions and Catalog'!$F$56,IF(L694&lt;='Assumptions and Catalog'!$C$57,L694*'Assumptions and Catalog'!$H$57+'Assumptions and Catalog'!$E$57+'Assumptions and Catalog'!$F$57,"Out of range")))))))),IF(L694&lt;='Assumptions and Catalog'!$C$60,L694*'Assumptions and Catalog'!$H$60+'Assumptions and Catalog'!$E$60+'Assumptions and Catalog'!$F$60,IF(L694&lt;='Assumptions and Catalog'!$C$61,L694*'Assumptions and Catalog'!$H$61+'Assumptions and Catalog'!$E$61+'Assumptions and Catalog'!$F$61,IF(L694&lt;='Assumptions and Catalog'!$C$62,L694*'Assumptions and Catalog'!$H$62+'Assumptions and Catalog'!$E$62+'Assumptions and Catalog'!$F$62,IF(L694&lt;='Assumptions and Catalog'!$C$63,L694*'Assumptions and Catalog'!$H$63+'Assumptions and Catalog'!$E$63+'Assumptions and Catalog'!$F$63,IF(L694&lt;='Assumptions and Catalog'!$C$64,L694*'Assumptions and Catalog'!$H$64+'Assumptions and Catalog'!$E$64+'Assumptions and Catalog'!$F$64,IF(L694&lt;='Assumptions and Catalog'!$C$65,L694*'Assumptions and Catalog'!$H$65+'Assumptions and Catalog'!$E$65+'Assumptions and Catalog'!$F$65,"Out of range")))))))))*(1+'Assumptions and Catalog'!$C$8)^(A694-1),0)</f>
        <v>5680.3298681112146</v>
      </c>
      <c r="O694" s="5">
        <f t="shared" si="51"/>
        <v>2874.6367985554525</v>
      </c>
      <c r="P694" s="5">
        <f>E$55*(1-L$14)*(1-'Assumptions and Catalog'!$C$23)^R694</f>
        <v>98.34496</v>
      </c>
      <c r="Q694" s="5">
        <f>IF(ISNUMBER(Inputs!$L$5),(IF(Inputs!$L$9="Actual flat rate",((D694+E694)*C694-G694)*Inputs!$L$10,IF(Inputs!$C$9="Residential",IF(((D694+E694)*C694-G694)&lt;='Assumptions and Catalog'!$C$50,((D694+E694)*C694-G694)*'Assumptions and Catalog'!$H$50+'Assumptions and Catalog'!$E$50+'Assumptions and Catalog'!$F$50,IF(((D694+E694)*C694-G694)&lt;='Assumptions and Catalog'!$C$51,((D694+E694)*C694-G694)*'Assumptions and Catalog'!$H$51+'Assumptions and Catalog'!$E$51+'Assumptions and Catalog'!$F$51,IF(((D694+E694)*C694-G694)&lt;='Assumptions and Catalog'!$C$52,((D694+E694)*C694-G694)*'Assumptions and Catalog'!$H$52+'Assumptions and Catalog'!$E$52+'Assumptions and Catalog'!$F$52,IF(((D694+E694)*C694-G694)&lt;='Assumptions and Catalog'!$C$53,((D694+E694)*C694-G694)*'Assumptions and Catalog'!$H$53+'Assumptions and Catalog'!$E$53+'Assumptions and Catalog'!$F$53,IF(((D694+E694)*C694-G694)&lt;='Assumptions and Catalog'!$C$54,((D694+E694)*C694-G694)*'Assumptions and Catalog'!$H$54+'Assumptions and Catalog'!$E$54+'Assumptions and Catalog'!$F$54,IF(((D694+E694)*C694-G694)&lt;='Assumptions and Catalog'!$C$55,((D694+E694)*C694-G694)*'Assumptions and Catalog'!$H$55+'Assumptions and Catalog'!$E$55+'Assumptions and Catalog'!$F$55,IF(((D694+E694)*C694-G694)&lt;='Assumptions and Catalog'!$C$56,((D694+E694)*C694-G694)*'Assumptions and Catalog'!$H$56+'Assumptions and Catalog'!$E$56+'Assumptions and Catalog'!$F$56,IF(((D694+E694)*C694-G694)&lt;='Assumptions and Catalog'!$C$57,((D694+E694)*C694-G694)*'Assumptions and Catalog'!$H$57+'Assumptions and Catalog'!$E$57+'Assumptions and Catalog'!$F$57,"Out of range")))))))),IF(((D694+E694)*C694-G694)&lt;='Assumptions and Catalog'!$C$60,((D694+E694)*C694-G694)*'Assumptions and Catalog'!$H$60+'Assumptions and Catalog'!$E$60+'Assumptions and Catalog'!$F$60,IF(((D694+E694)*C694-G694)&lt;='Assumptions and Catalog'!$C$61,((D694+E694)*C694-G694)*'Assumptions and Catalog'!$H$61+'Assumptions and Catalog'!$E$61+'Assumptions and Catalog'!$F$61,IF(((D694+E694)*C694-G694)&lt;='Assumptions and Catalog'!$C$62,((D694+E694)*C694-G694)*'Assumptions and Catalog'!$H$62+'Assumptions and Catalog'!$E$62+'Assumptions and Catalog'!$F$62,IF(((D694+E694)*C694-G694)&lt;='Assumptions and Catalog'!$C$63,((D694+E694)*C694-G694)*'Assumptions and Catalog'!$H$63+'Assumptions and Catalog'!$E$63+'Assumptions and Catalog'!$F$63,IF(((D694+E694)*C694-G694)&lt;='Assumptions and Catalog'!$C$64,((D694+E694)*C694-G694)*'Assumptions and Catalog'!$H$64+'Assumptions and Catalog'!$E$64+'Assumptions and Catalog'!$F$64,IF(((D694+E694)*C694-G694)&lt;='Assumptions and Catalog'!$C$65,((D694+E694)*C694-G694)*'Assumptions and Catalog'!$H$65+'Assumptions and Catalog'!$E$65+'Assumptions and Catalog'!$F$65,"Out of range")))))))))*(1+'Assumptions and Catalog'!$C$8)^(A694-1),0)</f>
        <v>5680.3298681112146</v>
      </c>
      <c r="R694" s="5">
        <f>IF(AND('Assumptions and Catalog'!$C$19&gt;0,A694&gt;='Assumptions and Catalog'!$C$19),A694-'Assumptions and Catalog'!$C$19,A694-1)</f>
        <v>2</v>
      </c>
      <c r="S694" s="5">
        <f>F694+L694-(D694+E694)*C694-J694-K694-IF(E$52&gt;0,'Assumptions and Catalog'!$C$26*C694,0)</f>
        <v>0</v>
      </c>
      <c r="T694" s="5"/>
      <c r="U694" s="5"/>
    </row>
    <row r="695" spans="1:21" ht="23.1" customHeight="1" outlineLevel="1" x14ac:dyDescent="0.2">
      <c r="A695" s="5">
        <v>3</v>
      </c>
      <c r="B695" s="5">
        <v>11</v>
      </c>
      <c r="C695" s="5">
        <f>DAY(DATE('Assumptions and Catalog'!$C$24+A695-1,B695+1,0))</f>
        <v>30</v>
      </c>
      <c r="D695" s="5">
        <f>IF(ISNUMBER(Inputs!$L$5),Inputs!$L$5*Inputs!$L$6,0)</f>
        <v>40.35</v>
      </c>
      <c r="E695" s="5">
        <f>IF(ISNUMBER(Inputs!$L$5),Inputs!$L$5-D695,0)</f>
        <v>40.35</v>
      </c>
      <c r="F695" s="5">
        <f>E$51*'Assumptions and Catalog'!$C$31*C695*(1-'Assumptions and Catalog'!$C$10)^(A695-1)</f>
        <v>813.50354250000009</v>
      </c>
      <c r="G695" s="5">
        <f t="shared" si="48"/>
        <v>813.50354250000009</v>
      </c>
      <c r="H695" s="5">
        <f>I695/('Assumptions and Catalog'!$C$11*'Assumptions and Catalog'!$C$12)</f>
        <v>0</v>
      </c>
      <c r="I695" s="5">
        <f>MIN(E695*C695,P695*'Assumptions and Catalog'!$C$12*C695,(F695-G695)*'Assumptions and Catalog'!$C$11*'Assumptions and Catalog'!$C$12,E$56*'Assumptions and Catalog'!$C$14*'Assumptions and Catalog'!$C$11*'Assumptions and Catalog'!$C$12*C695,E$57*(24-'Assumptions and Catalog'!$C$13)*C695)</f>
        <v>0</v>
      </c>
      <c r="J695" s="5">
        <f t="shared" si="49"/>
        <v>0</v>
      </c>
      <c r="K695" s="5">
        <f t="shared" si="50"/>
        <v>0</v>
      </c>
      <c r="L695" s="5">
        <f>(D695+E695)*C695-G695-I695+0+IF(E$52&gt;0,'Assumptions and Catalog'!$C$26*C695,0)</f>
        <v>1607.4964574999999</v>
      </c>
      <c r="M695" s="5">
        <f>IF(ISNUMBER(Inputs!$L$5),(IF(Inputs!$L$9="Actual flat rate",((D695+E695)*C695)*Inputs!$L$10,IF(Inputs!$C$9="Residential",IF(((D695+E695)*C695)&lt;='Assumptions and Catalog'!$C$50,((D695+E695)*C695)*'Assumptions and Catalog'!$H$50+'Assumptions and Catalog'!$E$50+'Assumptions and Catalog'!$F$50,IF(((D695+E695)*C695)&lt;='Assumptions and Catalog'!$C$51,((D695+E695)*C695)*'Assumptions and Catalog'!$H$51+'Assumptions and Catalog'!$E$51+'Assumptions and Catalog'!$F$51,IF(((D695+E695)*C695)&lt;='Assumptions and Catalog'!$C$52,((D695+E695)*C695)*'Assumptions and Catalog'!$H$52+'Assumptions and Catalog'!$E$52+'Assumptions and Catalog'!$F$52,IF(((D695+E695)*C695)&lt;='Assumptions and Catalog'!$C$53,((D695+E695)*C695)*'Assumptions and Catalog'!$H$53+'Assumptions and Catalog'!$E$53+'Assumptions and Catalog'!$F$53,IF(((D695+E695)*C695)&lt;='Assumptions and Catalog'!$C$54,((D695+E695)*C695)*'Assumptions and Catalog'!$H$54+'Assumptions and Catalog'!$E$54+'Assumptions and Catalog'!$F$54,IF(((D695+E695)*C695)&lt;='Assumptions and Catalog'!$C$55,((D695+E695)*C695)*'Assumptions and Catalog'!$H$55+'Assumptions and Catalog'!$E$55+'Assumptions and Catalog'!$F$55,IF(((D695+E695)*C695)&lt;='Assumptions and Catalog'!$C$56,((D695+E695)*C695)*'Assumptions and Catalog'!$H$56+'Assumptions and Catalog'!$E$56+'Assumptions and Catalog'!$F$56,IF(((D695+E695)*C695)&lt;='Assumptions and Catalog'!$C$57,((D695+E695)*C695)*'Assumptions and Catalog'!$H$57+'Assumptions and Catalog'!$E$57+'Assumptions and Catalog'!$F$57,"Out of range")))))))),IF(((D695+E695)*C695)&lt;='Assumptions and Catalog'!$C$60,((D695+E695)*C695)*'Assumptions and Catalog'!$H$60+'Assumptions and Catalog'!$E$60+'Assumptions and Catalog'!$F$60,IF(((D695+E695)*C695)&lt;='Assumptions and Catalog'!$C$61,((D695+E695)*C695)*'Assumptions and Catalog'!$H$61+'Assumptions and Catalog'!$E$61+'Assumptions and Catalog'!$F$61,IF(((D695+E695)*C695)&lt;='Assumptions and Catalog'!$C$62,((D695+E695)*C695)*'Assumptions and Catalog'!$H$62+'Assumptions and Catalog'!$E$62+'Assumptions and Catalog'!$F$62,IF(((D695+E695)*C695)&lt;='Assumptions and Catalog'!$C$63,((D695+E695)*C695)*'Assumptions and Catalog'!$H$63+'Assumptions and Catalog'!$E$63+'Assumptions and Catalog'!$F$63,IF(((D695+E695)*C695)&lt;='Assumptions and Catalog'!$C$64,((D695+E695)*C695)*'Assumptions and Catalog'!$H$64+'Assumptions and Catalog'!$E$64+'Assumptions and Catalog'!$F$64,IF(((D695+E695)*C695)&lt;='Assumptions and Catalog'!$C$65,((D695+E695)*C695)*'Assumptions and Catalog'!$H$65+'Assumptions and Catalog'!$E$65+'Assumptions and Catalog'!$F$65,"Out of range")))))))))*(1+'Assumptions and Catalog'!$C$8)^(A695-1),0)</f>
        <v>8279</v>
      </c>
      <c r="N695" s="5">
        <f>IF(ISNUMBER(Inputs!$L$5),(IF(Inputs!$L$9="Actual flat rate",L695*Inputs!$L$10,IF(Inputs!$C$9="Residential",IF(L695&lt;='Assumptions and Catalog'!$C$50,L695*'Assumptions and Catalog'!$H$50+'Assumptions and Catalog'!$E$50+'Assumptions and Catalog'!$F$50,IF(L695&lt;='Assumptions and Catalog'!$C$51,L695*'Assumptions and Catalog'!$H$51+'Assumptions and Catalog'!$E$51+'Assumptions and Catalog'!$F$51,IF(L695&lt;='Assumptions and Catalog'!$C$52,L695*'Assumptions and Catalog'!$H$52+'Assumptions and Catalog'!$E$52+'Assumptions and Catalog'!$F$52,IF(L695&lt;='Assumptions and Catalog'!$C$53,L695*'Assumptions and Catalog'!$H$53+'Assumptions and Catalog'!$E$53+'Assumptions and Catalog'!$F$53,IF(L695&lt;='Assumptions and Catalog'!$C$54,L695*'Assumptions and Catalog'!$H$54+'Assumptions and Catalog'!$E$54+'Assumptions and Catalog'!$F$54,IF(L695&lt;='Assumptions and Catalog'!$C$55,L695*'Assumptions and Catalog'!$H$55+'Assumptions and Catalog'!$E$55+'Assumptions and Catalog'!$F$55,IF(L695&lt;='Assumptions and Catalog'!$C$56,L695*'Assumptions and Catalog'!$H$56+'Assumptions and Catalog'!$E$56+'Assumptions and Catalog'!$F$56,IF(L695&lt;='Assumptions and Catalog'!$C$57,L695*'Assumptions and Catalog'!$H$57+'Assumptions and Catalog'!$E$57+'Assumptions and Catalog'!$F$57,"Out of range")))))))),IF(L695&lt;='Assumptions and Catalog'!$C$60,L695*'Assumptions and Catalog'!$H$60+'Assumptions and Catalog'!$E$60+'Assumptions and Catalog'!$F$60,IF(L695&lt;='Assumptions and Catalog'!$C$61,L695*'Assumptions and Catalog'!$H$61+'Assumptions and Catalog'!$E$61+'Assumptions and Catalog'!$F$61,IF(L695&lt;='Assumptions and Catalog'!$C$62,L695*'Assumptions and Catalog'!$H$62+'Assumptions and Catalog'!$E$62+'Assumptions and Catalog'!$F$62,IF(L695&lt;='Assumptions and Catalog'!$C$63,L695*'Assumptions and Catalog'!$H$63+'Assumptions and Catalog'!$E$63+'Assumptions and Catalog'!$F$63,IF(L695&lt;='Assumptions and Catalog'!$C$64,L695*'Assumptions and Catalog'!$H$64+'Assumptions and Catalog'!$E$64+'Assumptions and Catalog'!$F$64,IF(L695&lt;='Assumptions and Catalog'!$C$65,L695*'Assumptions and Catalog'!$H$65+'Assumptions and Catalog'!$E$65+'Assumptions and Catalog'!$F$65,"Out of range")))))))))*(1+'Assumptions and Catalog'!$C$8)^(A695-1),0)</f>
        <v>5497.0934207527871</v>
      </c>
      <c r="O695" s="5">
        <f t="shared" si="51"/>
        <v>2781.9065792472129</v>
      </c>
      <c r="P695" s="5">
        <f>E$55*(1-L$14)*(1-'Assumptions and Catalog'!$C$23)^R695</f>
        <v>98.34496</v>
      </c>
      <c r="Q695" s="5">
        <f>IF(ISNUMBER(Inputs!$L$5),(IF(Inputs!$L$9="Actual flat rate",((D695+E695)*C695-G695)*Inputs!$L$10,IF(Inputs!$C$9="Residential",IF(((D695+E695)*C695-G695)&lt;='Assumptions and Catalog'!$C$50,((D695+E695)*C695-G695)*'Assumptions and Catalog'!$H$50+'Assumptions and Catalog'!$E$50+'Assumptions and Catalog'!$F$50,IF(((D695+E695)*C695-G695)&lt;='Assumptions and Catalog'!$C$51,((D695+E695)*C695-G695)*'Assumptions and Catalog'!$H$51+'Assumptions and Catalog'!$E$51+'Assumptions and Catalog'!$F$51,IF(((D695+E695)*C695-G695)&lt;='Assumptions and Catalog'!$C$52,((D695+E695)*C695-G695)*'Assumptions and Catalog'!$H$52+'Assumptions and Catalog'!$E$52+'Assumptions and Catalog'!$F$52,IF(((D695+E695)*C695-G695)&lt;='Assumptions and Catalog'!$C$53,((D695+E695)*C695-G695)*'Assumptions and Catalog'!$H$53+'Assumptions and Catalog'!$E$53+'Assumptions and Catalog'!$F$53,IF(((D695+E695)*C695-G695)&lt;='Assumptions and Catalog'!$C$54,((D695+E695)*C695-G695)*'Assumptions and Catalog'!$H$54+'Assumptions and Catalog'!$E$54+'Assumptions and Catalog'!$F$54,IF(((D695+E695)*C695-G695)&lt;='Assumptions and Catalog'!$C$55,((D695+E695)*C695-G695)*'Assumptions and Catalog'!$H$55+'Assumptions and Catalog'!$E$55+'Assumptions and Catalog'!$F$55,IF(((D695+E695)*C695-G695)&lt;='Assumptions and Catalog'!$C$56,((D695+E695)*C695-G695)*'Assumptions and Catalog'!$H$56+'Assumptions and Catalog'!$E$56+'Assumptions and Catalog'!$F$56,IF(((D695+E695)*C695-G695)&lt;='Assumptions and Catalog'!$C$57,((D695+E695)*C695-G695)*'Assumptions and Catalog'!$H$57+'Assumptions and Catalog'!$E$57+'Assumptions and Catalog'!$F$57,"Out of range")))))))),IF(((D695+E695)*C695-G695)&lt;='Assumptions and Catalog'!$C$60,((D695+E695)*C695-G695)*'Assumptions and Catalog'!$H$60+'Assumptions and Catalog'!$E$60+'Assumptions and Catalog'!$F$60,IF(((D695+E695)*C695-G695)&lt;='Assumptions and Catalog'!$C$61,((D695+E695)*C695-G695)*'Assumptions and Catalog'!$H$61+'Assumptions and Catalog'!$E$61+'Assumptions and Catalog'!$F$61,IF(((D695+E695)*C695-G695)&lt;='Assumptions and Catalog'!$C$62,((D695+E695)*C695-G695)*'Assumptions and Catalog'!$H$62+'Assumptions and Catalog'!$E$62+'Assumptions and Catalog'!$F$62,IF(((D695+E695)*C695-G695)&lt;='Assumptions and Catalog'!$C$63,((D695+E695)*C695-G695)*'Assumptions and Catalog'!$H$63+'Assumptions and Catalog'!$E$63+'Assumptions and Catalog'!$F$63,IF(((D695+E695)*C695-G695)&lt;='Assumptions and Catalog'!$C$64,((D695+E695)*C695-G695)*'Assumptions and Catalog'!$H$64+'Assumptions and Catalog'!$E$64+'Assumptions and Catalog'!$F$64,IF(((D695+E695)*C695-G695)&lt;='Assumptions and Catalog'!$C$65,((D695+E695)*C695-G695)*'Assumptions and Catalog'!$H$65+'Assumptions and Catalog'!$E$65+'Assumptions and Catalog'!$F$65,"Out of range")))))))))*(1+'Assumptions and Catalog'!$C$8)^(A695-1),0)</f>
        <v>5497.0934207527871</v>
      </c>
      <c r="R695" s="5">
        <f>IF(AND('Assumptions and Catalog'!$C$19&gt;0,A695&gt;='Assumptions and Catalog'!$C$19),A695-'Assumptions and Catalog'!$C$19,A695-1)</f>
        <v>2</v>
      </c>
      <c r="S695" s="5">
        <f>F695+L695-(D695+E695)*C695-J695-K695-IF(E$52&gt;0,'Assumptions and Catalog'!$C$26*C695,0)</f>
        <v>0</v>
      </c>
      <c r="T695" s="5"/>
      <c r="U695" s="5"/>
    </row>
    <row r="696" spans="1:21" ht="23.1" customHeight="1" outlineLevel="1" x14ac:dyDescent="0.2">
      <c r="A696" s="5">
        <v>3</v>
      </c>
      <c r="B696" s="5">
        <v>12</v>
      </c>
      <c r="C696" s="5">
        <f>DAY(DATE('Assumptions and Catalog'!$C$24+A696-1,B696+1,0))</f>
        <v>31</v>
      </c>
      <c r="D696" s="5">
        <f>IF(ISNUMBER(Inputs!$L$5),Inputs!$L$5*Inputs!$L$6,0)</f>
        <v>40.35</v>
      </c>
      <c r="E696" s="5">
        <f>IF(ISNUMBER(Inputs!$L$5),Inputs!$L$5-D696,0)</f>
        <v>40.35</v>
      </c>
      <c r="F696" s="5">
        <f>E$51*'Assumptions and Catalog'!$C$31*C696*(1-'Assumptions and Catalog'!$C$10)^(A696-1)</f>
        <v>840.62032725000006</v>
      </c>
      <c r="G696" s="5">
        <f t="shared" si="48"/>
        <v>840.62032725000006</v>
      </c>
      <c r="H696" s="5">
        <f>I696/('Assumptions and Catalog'!$C$11*'Assumptions and Catalog'!$C$12)</f>
        <v>0</v>
      </c>
      <c r="I696" s="5">
        <f>MIN(E696*C696,P696*'Assumptions and Catalog'!$C$12*C696,(F696-G696)*'Assumptions and Catalog'!$C$11*'Assumptions and Catalog'!$C$12,E$56*'Assumptions and Catalog'!$C$14*'Assumptions and Catalog'!$C$11*'Assumptions and Catalog'!$C$12*C696,E$57*(24-'Assumptions and Catalog'!$C$13)*C696)</f>
        <v>0</v>
      </c>
      <c r="J696" s="5">
        <f t="shared" si="49"/>
        <v>0</v>
      </c>
      <c r="K696" s="5">
        <f t="shared" si="50"/>
        <v>0</v>
      </c>
      <c r="L696" s="5">
        <f>(D696+E696)*C696-G696-I696+0+IF(E$52&gt;0,'Assumptions and Catalog'!$C$26*C696,0)</f>
        <v>1661.0796727500001</v>
      </c>
      <c r="M696" s="5">
        <f>IF(ISNUMBER(Inputs!$L$5),(IF(Inputs!$L$9="Actual flat rate",((D696+E696)*C696)*Inputs!$L$10,IF(Inputs!$C$9="Residential",IF(((D696+E696)*C696)&lt;='Assumptions and Catalog'!$C$50,((D696+E696)*C696)*'Assumptions and Catalog'!$H$50+'Assumptions and Catalog'!$E$50+'Assumptions and Catalog'!$F$50,IF(((D696+E696)*C696)&lt;='Assumptions and Catalog'!$C$51,((D696+E696)*C696)*'Assumptions and Catalog'!$H$51+'Assumptions and Catalog'!$E$51+'Assumptions and Catalog'!$F$51,IF(((D696+E696)*C696)&lt;='Assumptions and Catalog'!$C$52,((D696+E696)*C696)*'Assumptions and Catalog'!$H$52+'Assumptions and Catalog'!$E$52+'Assumptions and Catalog'!$F$52,IF(((D696+E696)*C696)&lt;='Assumptions and Catalog'!$C$53,((D696+E696)*C696)*'Assumptions and Catalog'!$H$53+'Assumptions and Catalog'!$E$53+'Assumptions and Catalog'!$F$53,IF(((D696+E696)*C696)&lt;='Assumptions and Catalog'!$C$54,((D696+E696)*C696)*'Assumptions and Catalog'!$H$54+'Assumptions and Catalog'!$E$54+'Assumptions and Catalog'!$F$54,IF(((D696+E696)*C696)&lt;='Assumptions and Catalog'!$C$55,((D696+E696)*C696)*'Assumptions and Catalog'!$H$55+'Assumptions and Catalog'!$E$55+'Assumptions and Catalog'!$F$55,IF(((D696+E696)*C696)&lt;='Assumptions and Catalog'!$C$56,((D696+E696)*C696)*'Assumptions and Catalog'!$H$56+'Assumptions and Catalog'!$E$56+'Assumptions and Catalog'!$F$56,IF(((D696+E696)*C696)&lt;='Assumptions and Catalog'!$C$57,((D696+E696)*C696)*'Assumptions and Catalog'!$H$57+'Assumptions and Catalog'!$E$57+'Assumptions and Catalog'!$F$57,"Out of range")))))))),IF(((D696+E696)*C696)&lt;='Assumptions and Catalog'!$C$60,((D696+E696)*C696)*'Assumptions and Catalog'!$H$60+'Assumptions and Catalog'!$E$60+'Assumptions and Catalog'!$F$60,IF(((D696+E696)*C696)&lt;='Assumptions and Catalog'!$C$61,((D696+E696)*C696)*'Assumptions and Catalog'!$H$61+'Assumptions and Catalog'!$E$61+'Assumptions and Catalog'!$F$61,IF(((D696+E696)*C696)&lt;='Assumptions and Catalog'!$C$62,((D696+E696)*C696)*'Assumptions and Catalog'!$H$62+'Assumptions and Catalog'!$E$62+'Assumptions and Catalog'!$F$62,IF(((D696+E696)*C696)&lt;='Assumptions and Catalog'!$C$63,((D696+E696)*C696)*'Assumptions and Catalog'!$H$63+'Assumptions and Catalog'!$E$63+'Assumptions and Catalog'!$F$63,IF(((D696+E696)*C696)&lt;='Assumptions and Catalog'!$C$64,((D696+E696)*C696)*'Assumptions and Catalog'!$H$64+'Assumptions and Catalog'!$E$64+'Assumptions and Catalog'!$F$64,IF(((D696+E696)*C696)&lt;='Assumptions and Catalog'!$C$65,((D696+E696)*C696)*'Assumptions and Catalog'!$H$65+'Assumptions and Catalog'!$E$65+'Assumptions and Catalog'!$F$65,"Out of range")))))))))*(1+'Assumptions and Catalog'!$C$8)^(A696-1),0)</f>
        <v>8554.9666666666672</v>
      </c>
      <c r="N696" s="5">
        <f>IF(ISNUMBER(Inputs!$L$5),(IF(Inputs!$L$9="Actual flat rate",L696*Inputs!$L$10,IF(Inputs!$C$9="Residential",IF(L696&lt;='Assumptions and Catalog'!$C$50,L696*'Assumptions and Catalog'!$H$50+'Assumptions and Catalog'!$E$50+'Assumptions and Catalog'!$F$50,IF(L696&lt;='Assumptions and Catalog'!$C$51,L696*'Assumptions and Catalog'!$H$51+'Assumptions and Catalog'!$E$51+'Assumptions and Catalog'!$F$51,IF(L696&lt;='Assumptions and Catalog'!$C$52,L696*'Assumptions and Catalog'!$H$52+'Assumptions and Catalog'!$E$52+'Assumptions and Catalog'!$F$52,IF(L696&lt;='Assumptions and Catalog'!$C$53,L696*'Assumptions and Catalog'!$H$53+'Assumptions and Catalog'!$E$53+'Assumptions and Catalog'!$F$53,IF(L696&lt;='Assumptions and Catalog'!$C$54,L696*'Assumptions and Catalog'!$H$54+'Assumptions and Catalog'!$E$54+'Assumptions and Catalog'!$F$54,IF(L696&lt;='Assumptions and Catalog'!$C$55,L696*'Assumptions and Catalog'!$H$55+'Assumptions and Catalog'!$E$55+'Assumptions and Catalog'!$F$55,IF(L696&lt;='Assumptions and Catalog'!$C$56,L696*'Assumptions and Catalog'!$H$56+'Assumptions and Catalog'!$E$56+'Assumptions and Catalog'!$F$56,IF(L696&lt;='Assumptions and Catalog'!$C$57,L696*'Assumptions and Catalog'!$H$57+'Assumptions and Catalog'!$E$57+'Assumptions and Catalog'!$F$57,"Out of range")))))))),IF(L696&lt;='Assumptions and Catalog'!$C$60,L696*'Assumptions and Catalog'!$H$60+'Assumptions and Catalog'!$E$60+'Assumptions and Catalog'!$F$60,IF(L696&lt;='Assumptions and Catalog'!$C$61,L696*'Assumptions and Catalog'!$H$61+'Assumptions and Catalog'!$E$61+'Assumptions and Catalog'!$F$61,IF(L696&lt;='Assumptions and Catalog'!$C$62,L696*'Assumptions and Catalog'!$H$62+'Assumptions and Catalog'!$E$62+'Assumptions and Catalog'!$F$62,IF(L696&lt;='Assumptions and Catalog'!$C$63,L696*'Assumptions and Catalog'!$H$63+'Assumptions and Catalog'!$E$63+'Assumptions and Catalog'!$F$63,IF(L696&lt;='Assumptions and Catalog'!$C$64,L696*'Assumptions and Catalog'!$H$64+'Assumptions and Catalog'!$E$64+'Assumptions and Catalog'!$F$64,IF(L696&lt;='Assumptions and Catalog'!$C$65,L696*'Assumptions and Catalog'!$H$65+'Assumptions and Catalog'!$E$65+'Assumptions and Catalog'!$F$65,"Out of range")))))))))*(1+'Assumptions and Catalog'!$C$8)^(A696-1),0)</f>
        <v>5680.3298681112146</v>
      </c>
      <c r="O696" s="5">
        <f t="shared" si="51"/>
        <v>2874.6367985554525</v>
      </c>
      <c r="P696" s="5">
        <f>E$55*(1-L$14)*(1-'Assumptions and Catalog'!$C$23)^R696</f>
        <v>98.34496</v>
      </c>
      <c r="Q696" s="5">
        <f>IF(ISNUMBER(Inputs!$L$5),(IF(Inputs!$L$9="Actual flat rate",((D696+E696)*C696-G696)*Inputs!$L$10,IF(Inputs!$C$9="Residential",IF(((D696+E696)*C696-G696)&lt;='Assumptions and Catalog'!$C$50,((D696+E696)*C696-G696)*'Assumptions and Catalog'!$H$50+'Assumptions and Catalog'!$E$50+'Assumptions and Catalog'!$F$50,IF(((D696+E696)*C696-G696)&lt;='Assumptions and Catalog'!$C$51,((D696+E696)*C696-G696)*'Assumptions and Catalog'!$H$51+'Assumptions and Catalog'!$E$51+'Assumptions and Catalog'!$F$51,IF(((D696+E696)*C696-G696)&lt;='Assumptions and Catalog'!$C$52,((D696+E696)*C696-G696)*'Assumptions and Catalog'!$H$52+'Assumptions and Catalog'!$E$52+'Assumptions and Catalog'!$F$52,IF(((D696+E696)*C696-G696)&lt;='Assumptions and Catalog'!$C$53,((D696+E696)*C696-G696)*'Assumptions and Catalog'!$H$53+'Assumptions and Catalog'!$E$53+'Assumptions and Catalog'!$F$53,IF(((D696+E696)*C696-G696)&lt;='Assumptions and Catalog'!$C$54,((D696+E696)*C696-G696)*'Assumptions and Catalog'!$H$54+'Assumptions and Catalog'!$E$54+'Assumptions and Catalog'!$F$54,IF(((D696+E696)*C696-G696)&lt;='Assumptions and Catalog'!$C$55,((D696+E696)*C696-G696)*'Assumptions and Catalog'!$H$55+'Assumptions and Catalog'!$E$55+'Assumptions and Catalog'!$F$55,IF(((D696+E696)*C696-G696)&lt;='Assumptions and Catalog'!$C$56,((D696+E696)*C696-G696)*'Assumptions and Catalog'!$H$56+'Assumptions and Catalog'!$E$56+'Assumptions and Catalog'!$F$56,IF(((D696+E696)*C696-G696)&lt;='Assumptions and Catalog'!$C$57,((D696+E696)*C696-G696)*'Assumptions and Catalog'!$H$57+'Assumptions and Catalog'!$E$57+'Assumptions and Catalog'!$F$57,"Out of range")))))))),IF(((D696+E696)*C696-G696)&lt;='Assumptions and Catalog'!$C$60,((D696+E696)*C696-G696)*'Assumptions and Catalog'!$H$60+'Assumptions and Catalog'!$E$60+'Assumptions and Catalog'!$F$60,IF(((D696+E696)*C696-G696)&lt;='Assumptions and Catalog'!$C$61,((D696+E696)*C696-G696)*'Assumptions and Catalog'!$H$61+'Assumptions and Catalog'!$E$61+'Assumptions and Catalog'!$F$61,IF(((D696+E696)*C696-G696)&lt;='Assumptions and Catalog'!$C$62,((D696+E696)*C696-G696)*'Assumptions and Catalog'!$H$62+'Assumptions and Catalog'!$E$62+'Assumptions and Catalog'!$F$62,IF(((D696+E696)*C696-G696)&lt;='Assumptions and Catalog'!$C$63,((D696+E696)*C696-G696)*'Assumptions and Catalog'!$H$63+'Assumptions and Catalog'!$E$63+'Assumptions and Catalog'!$F$63,IF(((D696+E696)*C696-G696)&lt;='Assumptions and Catalog'!$C$64,((D696+E696)*C696-G696)*'Assumptions and Catalog'!$H$64+'Assumptions and Catalog'!$E$64+'Assumptions and Catalog'!$F$64,IF(((D696+E696)*C696-G696)&lt;='Assumptions and Catalog'!$C$65,((D696+E696)*C696-G696)*'Assumptions and Catalog'!$H$65+'Assumptions and Catalog'!$E$65+'Assumptions and Catalog'!$F$65,"Out of range")))))))))*(1+'Assumptions and Catalog'!$C$8)^(A696-1),0)</f>
        <v>5680.3298681112146</v>
      </c>
      <c r="R696" s="5">
        <f>IF(AND('Assumptions and Catalog'!$C$19&gt;0,A696&gt;='Assumptions and Catalog'!$C$19),A696-'Assumptions and Catalog'!$C$19,A696-1)</f>
        <v>2</v>
      </c>
      <c r="S696" s="5">
        <f>F696+L696-(D696+E696)*C696-J696-K696-IF(E$52&gt;0,'Assumptions and Catalog'!$C$26*C696,0)</f>
        <v>0</v>
      </c>
      <c r="T696" s="5"/>
      <c r="U696" s="5"/>
    </row>
    <row r="697" spans="1:21" ht="23.1" customHeight="1" outlineLevel="1" x14ac:dyDescent="0.2">
      <c r="A697" s="5">
        <v>4</v>
      </c>
      <c r="B697" s="5">
        <v>1</v>
      </c>
      <c r="C697" s="5">
        <f>DAY(DATE('Assumptions and Catalog'!$C$24+A697-1,B697+1,0))</f>
        <v>31</v>
      </c>
      <c r="D697" s="5">
        <f>IF(ISNUMBER(Inputs!$L$5),Inputs!$L$5*Inputs!$L$6,0)</f>
        <v>40.35</v>
      </c>
      <c r="E697" s="5">
        <f>IF(ISNUMBER(Inputs!$L$5),Inputs!$L$5-D697,0)</f>
        <v>40.35</v>
      </c>
      <c r="F697" s="5">
        <f>E$51*'Assumptions and Catalog'!$C$31*C697*(1-'Assumptions and Catalog'!$C$10)^(A697-1)</f>
        <v>836.41722561375002</v>
      </c>
      <c r="G697" s="5">
        <f t="shared" si="48"/>
        <v>836.41722561375002</v>
      </c>
      <c r="H697" s="5">
        <f>I697/('Assumptions and Catalog'!$C$11*'Assumptions and Catalog'!$C$12)</f>
        <v>0</v>
      </c>
      <c r="I697" s="5">
        <f>MIN(E697*C697,P697*'Assumptions and Catalog'!$C$12*C697,(F697-G697)*'Assumptions and Catalog'!$C$11*'Assumptions and Catalog'!$C$12,E$56*'Assumptions and Catalog'!$C$14*'Assumptions and Catalog'!$C$11*'Assumptions and Catalog'!$C$12*C697,E$57*(24-'Assumptions and Catalog'!$C$13)*C697)</f>
        <v>0</v>
      </c>
      <c r="J697" s="5">
        <f t="shared" si="49"/>
        <v>0</v>
      </c>
      <c r="K697" s="5">
        <f t="shared" si="50"/>
        <v>0</v>
      </c>
      <c r="L697" s="5">
        <f>(D697+E697)*C697-G697-I697+0+IF(E$52&gt;0,'Assumptions and Catalog'!$C$26*C697,0)</f>
        <v>1665.2827743862504</v>
      </c>
      <c r="M697" s="5">
        <f>IF(ISNUMBER(Inputs!$L$5),(IF(Inputs!$L$9="Actual flat rate",((D697+E697)*C697)*Inputs!$L$10,IF(Inputs!$C$9="Residential",IF(((D697+E697)*C697)&lt;='Assumptions and Catalog'!$C$50,((D697+E697)*C697)*'Assumptions and Catalog'!$H$50+'Assumptions and Catalog'!$E$50+'Assumptions and Catalog'!$F$50,IF(((D697+E697)*C697)&lt;='Assumptions and Catalog'!$C$51,((D697+E697)*C697)*'Assumptions and Catalog'!$H$51+'Assumptions and Catalog'!$E$51+'Assumptions and Catalog'!$F$51,IF(((D697+E697)*C697)&lt;='Assumptions and Catalog'!$C$52,((D697+E697)*C697)*'Assumptions and Catalog'!$H$52+'Assumptions and Catalog'!$E$52+'Assumptions and Catalog'!$F$52,IF(((D697+E697)*C697)&lt;='Assumptions and Catalog'!$C$53,((D697+E697)*C697)*'Assumptions and Catalog'!$H$53+'Assumptions and Catalog'!$E$53+'Assumptions and Catalog'!$F$53,IF(((D697+E697)*C697)&lt;='Assumptions and Catalog'!$C$54,((D697+E697)*C697)*'Assumptions and Catalog'!$H$54+'Assumptions and Catalog'!$E$54+'Assumptions and Catalog'!$F$54,IF(((D697+E697)*C697)&lt;='Assumptions and Catalog'!$C$55,((D697+E697)*C697)*'Assumptions and Catalog'!$H$55+'Assumptions and Catalog'!$E$55+'Assumptions and Catalog'!$F$55,IF(((D697+E697)*C697)&lt;='Assumptions and Catalog'!$C$56,((D697+E697)*C697)*'Assumptions and Catalog'!$H$56+'Assumptions and Catalog'!$E$56+'Assumptions and Catalog'!$F$56,IF(((D697+E697)*C697)&lt;='Assumptions and Catalog'!$C$57,((D697+E697)*C697)*'Assumptions and Catalog'!$H$57+'Assumptions and Catalog'!$E$57+'Assumptions and Catalog'!$F$57,"Out of range")))))))),IF(((D697+E697)*C697)&lt;='Assumptions and Catalog'!$C$60,((D697+E697)*C697)*'Assumptions and Catalog'!$H$60+'Assumptions and Catalog'!$E$60+'Assumptions and Catalog'!$F$60,IF(((D697+E697)*C697)&lt;='Assumptions and Catalog'!$C$61,((D697+E697)*C697)*'Assumptions and Catalog'!$H$61+'Assumptions and Catalog'!$E$61+'Assumptions and Catalog'!$F$61,IF(((D697+E697)*C697)&lt;='Assumptions and Catalog'!$C$62,((D697+E697)*C697)*'Assumptions and Catalog'!$H$62+'Assumptions and Catalog'!$E$62+'Assumptions and Catalog'!$F$62,IF(((D697+E697)*C697)&lt;='Assumptions and Catalog'!$C$63,((D697+E697)*C697)*'Assumptions and Catalog'!$H$63+'Assumptions and Catalog'!$E$63+'Assumptions and Catalog'!$F$63,IF(((D697+E697)*C697)&lt;='Assumptions and Catalog'!$C$64,((D697+E697)*C697)*'Assumptions and Catalog'!$H$64+'Assumptions and Catalog'!$E$64+'Assumptions and Catalog'!$F$64,IF(((D697+E697)*C697)&lt;='Assumptions and Catalog'!$C$65,((D697+E697)*C697)*'Assumptions and Catalog'!$H$65+'Assumptions and Catalog'!$E$65+'Assumptions and Catalog'!$F$65,"Out of range")))))))))*(1+'Assumptions and Catalog'!$C$8)^(A697-1),0)</f>
        <v>8554.9666666666672</v>
      </c>
      <c r="N697" s="5">
        <f>IF(ISNUMBER(Inputs!$L$5),(IF(Inputs!$L$9="Actual flat rate",L697*Inputs!$L$10,IF(Inputs!$C$9="Residential",IF(L697&lt;='Assumptions and Catalog'!$C$50,L697*'Assumptions and Catalog'!$H$50+'Assumptions and Catalog'!$E$50+'Assumptions and Catalog'!$F$50,IF(L697&lt;='Assumptions and Catalog'!$C$51,L697*'Assumptions and Catalog'!$H$51+'Assumptions and Catalog'!$E$51+'Assumptions and Catalog'!$F$51,IF(L697&lt;='Assumptions and Catalog'!$C$52,L697*'Assumptions and Catalog'!$H$52+'Assumptions and Catalog'!$E$52+'Assumptions and Catalog'!$F$52,IF(L697&lt;='Assumptions and Catalog'!$C$53,L697*'Assumptions and Catalog'!$H$53+'Assumptions and Catalog'!$E$53+'Assumptions and Catalog'!$F$53,IF(L697&lt;='Assumptions and Catalog'!$C$54,L697*'Assumptions and Catalog'!$H$54+'Assumptions and Catalog'!$E$54+'Assumptions and Catalog'!$F$54,IF(L697&lt;='Assumptions and Catalog'!$C$55,L697*'Assumptions and Catalog'!$H$55+'Assumptions and Catalog'!$E$55+'Assumptions and Catalog'!$F$55,IF(L697&lt;='Assumptions and Catalog'!$C$56,L697*'Assumptions and Catalog'!$H$56+'Assumptions and Catalog'!$E$56+'Assumptions and Catalog'!$F$56,IF(L697&lt;='Assumptions and Catalog'!$C$57,L697*'Assumptions and Catalog'!$H$57+'Assumptions and Catalog'!$E$57+'Assumptions and Catalog'!$F$57,"Out of range")))))))),IF(L697&lt;='Assumptions and Catalog'!$C$60,L697*'Assumptions and Catalog'!$H$60+'Assumptions and Catalog'!$E$60+'Assumptions and Catalog'!$F$60,IF(L697&lt;='Assumptions and Catalog'!$C$61,L697*'Assumptions and Catalog'!$H$61+'Assumptions and Catalog'!$E$61+'Assumptions and Catalog'!$F$61,IF(L697&lt;='Assumptions and Catalog'!$C$62,L697*'Assumptions and Catalog'!$H$62+'Assumptions and Catalog'!$E$62+'Assumptions and Catalog'!$F$62,IF(L697&lt;='Assumptions and Catalog'!$C$63,L697*'Assumptions and Catalog'!$H$63+'Assumptions and Catalog'!$E$63+'Assumptions and Catalog'!$F$63,IF(L697&lt;='Assumptions and Catalog'!$C$64,L697*'Assumptions and Catalog'!$H$64+'Assumptions and Catalog'!$E$64+'Assumptions and Catalog'!$F$64,IF(L697&lt;='Assumptions and Catalog'!$C$65,L697*'Assumptions and Catalog'!$H$65+'Assumptions and Catalog'!$E$65+'Assumptions and Catalog'!$F$65,"Out of range")))))))))*(1+'Assumptions and Catalog'!$C$8)^(A697-1),0)</f>
        <v>5694.7030521039924</v>
      </c>
      <c r="O697" s="5">
        <f t="shared" si="51"/>
        <v>2860.2636145626748</v>
      </c>
      <c r="P697" s="5">
        <f>E$55*(1-L$14)*(1-'Assumptions and Catalog'!$C$23)^R697</f>
        <v>96.3780608</v>
      </c>
      <c r="Q697" s="5">
        <f>IF(ISNUMBER(Inputs!$L$5),(IF(Inputs!$L$9="Actual flat rate",((D697+E697)*C697-G697)*Inputs!$L$10,IF(Inputs!$C$9="Residential",IF(((D697+E697)*C697-G697)&lt;='Assumptions and Catalog'!$C$50,((D697+E697)*C697-G697)*'Assumptions and Catalog'!$H$50+'Assumptions and Catalog'!$E$50+'Assumptions and Catalog'!$F$50,IF(((D697+E697)*C697-G697)&lt;='Assumptions and Catalog'!$C$51,((D697+E697)*C697-G697)*'Assumptions and Catalog'!$H$51+'Assumptions and Catalog'!$E$51+'Assumptions and Catalog'!$F$51,IF(((D697+E697)*C697-G697)&lt;='Assumptions and Catalog'!$C$52,((D697+E697)*C697-G697)*'Assumptions and Catalog'!$H$52+'Assumptions and Catalog'!$E$52+'Assumptions and Catalog'!$F$52,IF(((D697+E697)*C697-G697)&lt;='Assumptions and Catalog'!$C$53,((D697+E697)*C697-G697)*'Assumptions and Catalog'!$H$53+'Assumptions and Catalog'!$E$53+'Assumptions and Catalog'!$F$53,IF(((D697+E697)*C697-G697)&lt;='Assumptions and Catalog'!$C$54,((D697+E697)*C697-G697)*'Assumptions and Catalog'!$H$54+'Assumptions and Catalog'!$E$54+'Assumptions and Catalog'!$F$54,IF(((D697+E697)*C697-G697)&lt;='Assumptions and Catalog'!$C$55,((D697+E697)*C697-G697)*'Assumptions and Catalog'!$H$55+'Assumptions and Catalog'!$E$55+'Assumptions and Catalog'!$F$55,IF(((D697+E697)*C697-G697)&lt;='Assumptions and Catalog'!$C$56,((D697+E697)*C697-G697)*'Assumptions and Catalog'!$H$56+'Assumptions and Catalog'!$E$56+'Assumptions and Catalog'!$F$56,IF(((D697+E697)*C697-G697)&lt;='Assumptions and Catalog'!$C$57,((D697+E697)*C697-G697)*'Assumptions and Catalog'!$H$57+'Assumptions and Catalog'!$E$57+'Assumptions and Catalog'!$F$57,"Out of range")))))))),IF(((D697+E697)*C697-G697)&lt;='Assumptions and Catalog'!$C$60,((D697+E697)*C697-G697)*'Assumptions and Catalog'!$H$60+'Assumptions and Catalog'!$E$60+'Assumptions and Catalog'!$F$60,IF(((D697+E697)*C697-G697)&lt;='Assumptions and Catalog'!$C$61,((D697+E697)*C697-G697)*'Assumptions and Catalog'!$H$61+'Assumptions and Catalog'!$E$61+'Assumptions and Catalog'!$F$61,IF(((D697+E697)*C697-G697)&lt;='Assumptions and Catalog'!$C$62,((D697+E697)*C697-G697)*'Assumptions and Catalog'!$H$62+'Assumptions and Catalog'!$E$62+'Assumptions and Catalog'!$F$62,IF(((D697+E697)*C697-G697)&lt;='Assumptions and Catalog'!$C$63,((D697+E697)*C697-G697)*'Assumptions and Catalog'!$H$63+'Assumptions and Catalog'!$E$63+'Assumptions and Catalog'!$F$63,IF(((D697+E697)*C697-G697)&lt;='Assumptions and Catalog'!$C$64,((D697+E697)*C697-G697)*'Assumptions and Catalog'!$H$64+'Assumptions and Catalog'!$E$64+'Assumptions and Catalog'!$F$64,IF(((D697+E697)*C697-G697)&lt;='Assumptions and Catalog'!$C$65,((D697+E697)*C697-G697)*'Assumptions and Catalog'!$H$65+'Assumptions and Catalog'!$E$65+'Assumptions and Catalog'!$F$65,"Out of range")))))))))*(1+'Assumptions and Catalog'!$C$8)^(A697-1),0)</f>
        <v>5694.7030521039924</v>
      </c>
      <c r="R697" s="5">
        <f>IF(AND('Assumptions and Catalog'!$C$19&gt;0,A697&gt;='Assumptions and Catalog'!$C$19),A697-'Assumptions and Catalog'!$C$19,A697-1)</f>
        <v>3</v>
      </c>
      <c r="S697" s="5">
        <f>F697+L697-(D697+E697)*C697-J697-K697-IF(E$52&gt;0,'Assumptions and Catalog'!$C$26*C697,0)</f>
        <v>0</v>
      </c>
      <c r="T697" s="5"/>
      <c r="U697" s="5"/>
    </row>
    <row r="698" spans="1:21" ht="23.1" customHeight="1" outlineLevel="1" x14ac:dyDescent="0.2">
      <c r="A698" s="5">
        <v>4</v>
      </c>
      <c r="B698" s="5">
        <v>2</v>
      </c>
      <c r="C698" s="5">
        <f>DAY(DATE('Assumptions and Catalog'!$C$24+A698-1,B698+1,0))</f>
        <v>28</v>
      </c>
      <c r="D698" s="5">
        <f>IF(ISNUMBER(Inputs!$L$5),Inputs!$L$5*Inputs!$L$6,0)</f>
        <v>40.35</v>
      </c>
      <c r="E698" s="5">
        <f>IF(ISNUMBER(Inputs!$L$5),Inputs!$L$5-D698,0)</f>
        <v>40.35</v>
      </c>
      <c r="F698" s="5">
        <f>E$51*'Assumptions and Catalog'!$C$31*C698*(1-'Assumptions and Catalog'!$C$10)^(A698-1)</f>
        <v>755.47362313500014</v>
      </c>
      <c r="G698" s="5">
        <f t="shared" si="48"/>
        <v>755.47362313500014</v>
      </c>
      <c r="H698" s="5">
        <f>I698/('Assumptions and Catalog'!$C$11*'Assumptions and Catalog'!$C$12)</f>
        <v>0</v>
      </c>
      <c r="I698" s="5">
        <f>MIN(E698*C698,P698*'Assumptions and Catalog'!$C$12*C698,(F698-G698)*'Assumptions and Catalog'!$C$11*'Assumptions and Catalog'!$C$12,E$56*'Assumptions and Catalog'!$C$14*'Assumptions and Catalog'!$C$11*'Assumptions and Catalog'!$C$12*C698,E$57*(24-'Assumptions and Catalog'!$C$13)*C698)</f>
        <v>0</v>
      </c>
      <c r="J698" s="5">
        <f t="shared" si="49"/>
        <v>0</v>
      </c>
      <c r="K698" s="5">
        <f t="shared" si="50"/>
        <v>0</v>
      </c>
      <c r="L698" s="5">
        <f>(D698+E698)*C698-G698-I698+0+IF(E$52&gt;0,'Assumptions and Catalog'!$C$26*C698,0)</f>
        <v>1504.1263768649997</v>
      </c>
      <c r="M698" s="5">
        <f>IF(ISNUMBER(Inputs!$L$5),(IF(Inputs!$L$9="Actual flat rate",((D698+E698)*C698)*Inputs!$L$10,IF(Inputs!$C$9="Residential",IF(((D698+E698)*C698)&lt;='Assumptions and Catalog'!$C$50,((D698+E698)*C698)*'Assumptions and Catalog'!$H$50+'Assumptions and Catalog'!$E$50+'Assumptions and Catalog'!$F$50,IF(((D698+E698)*C698)&lt;='Assumptions and Catalog'!$C$51,((D698+E698)*C698)*'Assumptions and Catalog'!$H$51+'Assumptions and Catalog'!$E$51+'Assumptions and Catalog'!$F$51,IF(((D698+E698)*C698)&lt;='Assumptions and Catalog'!$C$52,((D698+E698)*C698)*'Assumptions and Catalog'!$H$52+'Assumptions and Catalog'!$E$52+'Assumptions and Catalog'!$F$52,IF(((D698+E698)*C698)&lt;='Assumptions and Catalog'!$C$53,((D698+E698)*C698)*'Assumptions and Catalog'!$H$53+'Assumptions and Catalog'!$E$53+'Assumptions and Catalog'!$F$53,IF(((D698+E698)*C698)&lt;='Assumptions and Catalog'!$C$54,((D698+E698)*C698)*'Assumptions and Catalog'!$H$54+'Assumptions and Catalog'!$E$54+'Assumptions and Catalog'!$F$54,IF(((D698+E698)*C698)&lt;='Assumptions and Catalog'!$C$55,((D698+E698)*C698)*'Assumptions and Catalog'!$H$55+'Assumptions and Catalog'!$E$55+'Assumptions and Catalog'!$F$55,IF(((D698+E698)*C698)&lt;='Assumptions and Catalog'!$C$56,((D698+E698)*C698)*'Assumptions and Catalog'!$H$56+'Assumptions and Catalog'!$E$56+'Assumptions and Catalog'!$F$56,IF(((D698+E698)*C698)&lt;='Assumptions and Catalog'!$C$57,((D698+E698)*C698)*'Assumptions and Catalog'!$H$57+'Assumptions and Catalog'!$E$57+'Assumptions and Catalog'!$F$57,"Out of range")))))))),IF(((D698+E698)*C698)&lt;='Assumptions and Catalog'!$C$60,((D698+E698)*C698)*'Assumptions and Catalog'!$H$60+'Assumptions and Catalog'!$E$60+'Assumptions and Catalog'!$F$60,IF(((D698+E698)*C698)&lt;='Assumptions and Catalog'!$C$61,((D698+E698)*C698)*'Assumptions and Catalog'!$H$61+'Assumptions and Catalog'!$E$61+'Assumptions and Catalog'!$F$61,IF(((D698+E698)*C698)&lt;='Assumptions and Catalog'!$C$62,((D698+E698)*C698)*'Assumptions and Catalog'!$H$62+'Assumptions and Catalog'!$E$62+'Assumptions and Catalog'!$F$62,IF(((D698+E698)*C698)&lt;='Assumptions and Catalog'!$C$63,((D698+E698)*C698)*'Assumptions and Catalog'!$H$63+'Assumptions and Catalog'!$E$63+'Assumptions and Catalog'!$F$63,IF(((D698+E698)*C698)&lt;='Assumptions and Catalog'!$C$64,((D698+E698)*C698)*'Assumptions and Catalog'!$H$64+'Assumptions and Catalog'!$E$64+'Assumptions and Catalog'!$F$64,IF(((D698+E698)*C698)&lt;='Assumptions and Catalog'!$C$65,((D698+E698)*C698)*'Assumptions and Catalog'!$H$65+'Assumptions and Catalog'!$E$65+'Assumptions and Catalog'!$F$65,"Out of range")))))))))*(1+'Assumptions and Catalog'!$C$8)^(A698-1),0)</f>
        <v>7727.0666666666657</v>
      </c>
      <c r="N698" s="5">
        <f>IF(ISNUMBER(Inputs!$L$5),(IF(Inputs!$L$9="Actual flat rate",L698*Inputs!$L$10,IF(Inputs!$C$9="Residential",IF(L698&lt;='Assumptions and Catalog'!$C$50,L698*'Assumptions and Catalog'!$H$50+'Assumptions and Catalog'!$E$50+'Assumptions and Catalog'!$F$50,IF(L698&lt;='Assumptions and Catalog'!$C$51,L698*'Assumptions and Catalog'!$H$51+'Assumptions and Catalog'!$E$51+'Assumptions and Catalog'!$F$51,IF(L698&lt;='Assumptions and Catalog'!$C$52,L698*'Assumptions and Catalog'!$H$52+'Assumptions and Catalog'!$E$52+'Assumptions and Catalog'!$F$52,IF(L698&lt;='Assumptions and Catalog'!$C$53,L698*'Assumptions and Catalog'!$H$53+'Assumptions and Catalog'!$E$53+'Assumptions and Catalog'!$F$53,IF(L698&lt;='Assumptions and Catalog'!$C$54,L698*'Assumptions and Catalog'!$H$54+'Assumptions and Catalog'!$E$54+'Assumptions and Catalog'!$F$54,IF(L698&lt;='Assumptions and Catalog'!$C$55,L698*'Assumptions and Catalog'!$H$55+'Assumptions and Catalog'!$E$55+'Assumptions and Catalog'!$F$55,IF(L698&lt;='Assumptions and Catalog'!$C$56,L698*'Assumptions and Catalog'!$H$56+'Assumptions and Catalog'!$E$56+'Assumptions and Catalog'!$F$56,IF(L698&lt;='Assumptions and Catalog'!$C$57,L698*'Assumptions and Catalog'!$H$57+'Assumptions and Catalog'!$E$57+'Assumptions and Catalog'!$F$57,"Out of range")))))))),IF(L698&lt;='Assumptions and Catalog'!$C$60,L698*'Assumptions and Catalog'!$H$60+'Assumptions and Catalog'!$E$60+'Assumptions and Catalog'!$F$60,IF(L698&lt;='Assumptions and Catalog'!$C$61,L698*'Assumptions and Catalog'!$H$61+'Assumptions and Catalog'!$E$61+'Assumptions and Catalog'!$F$61,IF(L698&lt;='Assumptions and Catalog'!$C$62,L698*'Assumptions and Catalog'!$H$62+'Assumptions and Catalog'!$E$62+'Assumptions and Catalog'!$F$62,IF(L698&lt;='Assumptions and Catalog'!$C$63,L698*'Assumptions and Catalog'!$H$63+'Assumptions and Catalog'!$E$63+'Assumptions and Catalog'!$F$63,IF(L698&lt;='Assumptions and Catalog'!$C$64,L698*'Assumptions and Catalog'!$H$64+'Assumptions and Catalog'!$E$64+'Assumptions and Catalog'!$F$64,IF(L698&lt;='Assumptions and Catalog'!$C$65,L698*'Assumptions and Catalog'!$H$65+'Assumptions and Catalog'!$E$65+'Assumptions and Catalog'!$F$65,"Out of range")))))))))*(1+'Assumptions and Catalog'!$C$8)^(A698-1),0)</f>
        <v>5143.6027567390875</v>
      </c>
      <c r="O698" s="5">
        <f t="shared" si="51"/>
        <v>2583.4639099275782</v>
      </c>
      <c r="P698" s="5">
        <f>E$55*(1-L$14)*(1-'Assumptions and Catalog'!$C$23)^R698</f>
        <v>96.3780608</v>
      </c>
      <c r="Q698" s="5">
        <f>IF(ISNUMBER(Inputs!$L$5),(IF(Inputs!$L$9="Actual flat rate",((D698+E698)*C698-G698)*Inputs!$L$10,IF(Inputs!$C$9="Residential",IF(((D698+E698)*C698-G698)&lt;='Assumptions and Catalog'!$C$50,((D698+E698)*C698-G698)*'Assumptions and Catalog'!$H$50+'Assumptions and Catalog'!$E$50+'Assumptions and Catalog'!$F$50,IF(((D698+E698)*C698-G698)&lt;='Assumptions and Catalog'!$C$51,((D698+E698)*C698-G698)*'Assumptions and Catalog'!$H$51+'Assumptions and Catalog'!$E$51+'Assumptions and Catalog'!$F$51,IF(((D698+E698)*C698-G698)&lt;='Assumptions and Catalog'!$C$52,((D698+E698)*C698-G698)*'Assumptions and Catalog'!$H$52+'Assumptions and Catalog'!$E$52+'Assumptions and Catalog'!$F$52,IF(((D698+E698)*C698-G698)&lt;='Assumptions and Catalog'!$C$53,((D698+E698)*C698-G698)*'Assumptions and Catalog'!$H$53+'Assumptions and Catalog'!$E$53+'Assumptions and Catalog'!$F$53,IF(((D698+E698)*C698-G698)&lt;='Assumptions and Catalog'!$C$54,((D698+E698)*C698-G698)*'Assumptions and Catalog'!$H$54+'Assumptions and Catalog'!$E$54+'Assumptions and Catalog'!$F$54,IF(((D698+E698)*C698-G698)&lt;='Assumptions and Catalog'!$C$55,((D698+E698)*C698-G698)*'Assumptions and Catalog'!$H$55+'Assumptions and Catalog'!$E$55+'Assumptions and Catalog'!$F$55,IF(((D698+E698)*C698-G698)&lt;='Assumptions and Catalog'!$C$56,((D698+E698)*C698-G698)*'Assumptions and Catalog'!$H$56+'Assumptions and Catalog'!$E$56+'Assumptions and Catalog'!$F$56,IF(((D698+E698)*C698-G698)&lt;='Assumptions and Catalog'!$C$57,((D698+E698)*C698-G698)*'Assumptions and Catalog'!$H$57+'Assumptions and Catalog'!$E$57+'Assumptions and Catalog'!$F$57,"Out of range")))))))),IF(((D698+E698)*C698-G698)&lt;='Assumptions and Catalog'!$C$60,((D698+E698)*C698-G698)*'Assumptions and Catalog'!$H$60+'Assumptions and Catalog'!$E$60+'Assumptions and Catalog'!$F$60,IF(((D698+E698)*C698-G698)&lt;='Assumptions and Catalog'!$C$61,((D698+E698)*C698-G698)*'Assumptions and Catalog'!$H$61+'Assumptions and Catalog'!$E$61+'Assumptions and Catalog'!$F$61,IF(((D698+E698)*C698-G698)&lt;='Assumptions and Catalog'!$C$62,((D698+E698)*C698-G698)*'Assumptions and Catalog'!$H$62+'Assumptions and Catalog'!$E$62+'Assumptions and Catalog'!$F$62,IF(((D698+E698)*C698-G698)&lt;='Assumptions and Catalog'!$C$63,((D698+E698)*C698-G698)*'Assumptions and Catalog'!$H$63+'Assumptions and Catalog'!$E$63+'Assumptions and Catalog'!$F$63,IF(((D698+E698)*C698-G698)&lt;='Assumptions and Catalog'!$C$64,((D698+E698)*C698-G698)*'Assumptions and Catalog'!$H$64+'Assumptions and Catalog'!$E$64+'Assumptions and Catalog'!$F$64,IF(((D698+E698)*C698-G698)&lt;='Assumptions and Catalog'!$C$65,((D698+E698)*C698-G698)*'Assumptions and Catalog'!$H$65+'Assumptions and Catalog'!$E$65+'Assumptions and Catalog'!$F$65,"Out of range")))))))))*(1+'Assumptions and Catalog'!$C$8)^(A698-1),0)</f>
        <v>5143.6027567390875</v>
      </c>
      <c r="R698" s="5">
        <f>IF(AND('Assumptions and Catalog'!$C$19&gt;0,A698&gt;='Assumptions and Catalog'!$C$19),A698-'Assumptions and Catalog'!$C$19,A698-1)</f>
        <v>3</v>
      </c>
      <c r="S698" s="5">
        <f>F698+L698-(D698+E698)*C698-J698-K698-IF(E$52&gt;0,'Assumptions and Catalog'!$C$26*C698,0)</f>
        <v>0</v>
      </c>
      <c r="T698" s="5"/>
      <c r="U698" s="5"/>
    </row>
    <row r="699" spans="1:21" ht="23.1" customHeight="1" outlineLevel="1" x14ac:dyDescent="0.2">
      <c r="A699" s="5">
        <v>4</v>
      </c>
      <c r="B699" s="5">
        <v>3</v>
      </c>
      <c r="C699" s="5">
        <f>DAY(DATE('Assumptions and Catalog'!$C$24+A699-1,B699+1,0))</f>
        <v>31</v>
      </c>
      <c r="D699" s="5">
        <f>IF(ISNUMBER(Inputs!$L$5),Inputs!$L$5*Inputs!$L$6,0)</f>
        <v>40.35</v>
      </c>
      <c r="E699" s="5">
        <f>IF(ISNUMBER(Inputs!$L$5),Inputs!$L$5-D699,0)</f>
        <v>40.35</v>
      </c>
      <c r="F699" s="5">
        <f>E$51*'Assumptions and Catalog'!$C$31*C699*(1-'Assumptions and Catalog'!$C$10)^(A699-1)</f>
        <v>836.41722561375002</v>
      </c>
      <c r="G699" s="5">
        <f t="shared" si="48"/>
        <v>836.41722561375002</v>
      </c>
      <c r="H699" s="5">
        <f>I699/('Assumptions and Catalog'!$C$11*'Assumptions and Catalog'!$C$12)</f>
        <v>0</v>
      </c>
      <c r="I699" s="5">
        <f>MIN(E699*C699,P699*'Assumptions and Catalog'!$C$12*C699,(F699-G699)*'Assumptions and Catalog'!$C$11*'Assumptions and Catalog'!$C$12,E$56*'Assumptions and Catalog'!$C$14*'Assumptions and Catalog'!$C$11*'Assumptions and Catalog'!$C$12*C699,E$57*(24-'Assumptions and Catalog'!$C$13)*C699)</f>
        <v>0</v>
      </c>
      <c r="J699" s="5">
        <f t="shared" si="49"/>
        <v>0</v>
      </c>
      <c r="K699" s="5">
        <f t="shared" si="50"/>
        <v>0</v>
      </c>
      <c r="L699" s="5">
        <f>(D699+E699)*C699-G699-I699+0+IF(E$52&gt;0,'Assumptions and Catalog'!$C$26*C699,0)</f>
        <v>1665.2827743862504</v>
      </c>
      <c r="M699" s="5">
        <f>IF(ISNUMBER(Inputs!$L$5),(IF(Inputs!$L$9="Actual flat rate",((D699+E699)*C699)*Inputs!$L$10,IF(Inputs!$C$9="Residential",IF(((D699+E699)*C699)&lt;='Assumptions and Catalog'!$C$50,((D699+E699)*C699)*'Assumptions and Catalog'!$H$50+'Assumptions and Catalog'!$E$50+'Assumptions and Catalog'!$F$50,IF(((D699+E699)*C699)&lt;='Assumptions and Catalog'!$C$51,((D699+E699)*C699)*'Assumptions and Catalog'!$H$51+'Assumptions and Catalog'!$E$51+'Assumptions and Catalog'!$F$51,IF(((D699+E699)*C699)&lt;='Assumptions and Catalog'!$C$52,((D699+E699)*C699)*'Assumptions and Catalog'!$H$52+'Assumptions and Catalog'!$E$52+'Assumptions and Catalog'!$F$52,IF(((D699+E699)*C699)&lt;='Assumptions and Catalog'!$C$53,((D699+E699)*C699)*'Assumptions and Catalog'!$H$53+'Assumptions and Catalog'!$E$53+'Assumptions and Catalog'!$F$53,IF(((D699+E699)*C699)&lt;='Assumptions and Catalog'!$C$54,((D699+E699)*C699)*'Assumptions and Catalog'!$H$54+'Assumptions and Catalog'!$E$54+'Assumptions and Catalog'!$F$54,IF(((D699+E699)*C699)&lt;='Assumptions and Catalog'!$C$55,((D699+E699)*C699)*'Assumptions and Catalog'!$H$55+'Assumptions and Catalog'!$E$55+'Assumptions and Catalog'!$F$55,IF(((D699+E699)*C699)&lt;='Assumptions and Catalog'!$C$56,((D699+E699)*C699)*'Assumptions and Catalog'!$H$56+'Assumptions and Catalog'!$E$56+'Assumptions and Catalog'!$F$56,IF(((D699+E699)*C699)&lt;='Assumptions and Catalog'!$C$57,((D699+E699)*C699)*'Assumptions and Catalog'!$H$57+'Assumptions and Catalog'!$E$57+'Assumptions and Catalog'!$F$57,"Out of range")))))))),IF(((D699+E699)*C699)&lt;='Assumptions and Catalog'!$C$60,((D699+E699)*C699)*'Assumptions and Catalog'!$H$60+'Assumptions and Catalog'!$E$60+'Assumptions and Catalog'!$F$60,IF(((D699+E699)*C699)&lt;='Assumptions and Catalog'!$C$61,((D699+E699)*C699)*'Assumptions and Catalog'!$H$61+'Assumptions and Catalog'!$E$61+'Assumptions and Catalog'!$F$61,IF(((D699+E699)*C699)&lt;='Assumptions and Catalog'!$C$62,((D699+E699)*C699)*'Assumptions and Catalog'!$H$62+'Assumptions and Catalog'!$E$62+'Assumptions and Catalog'!$F$62,IF(((D699+E699)*C699)&lt;='Assumptions and Catalog'!$C$63,((D699+E699)*C699)*'Assumptions and Catalog'!$H$63+'Assumptions and Catalog'!$E$63+'Assumptions and Catalog'!$F$63,IF(((D699+E699)*C699)&lt;='Assumptions and Catalog'!$C$64,((D699+E699)*C699)*'Assumptions and Catalog'!$H$64+'Assumptions and Catalog'!$E$64+'Assumptions and Catalog'!$F$64,IF(((D699+E699)*C699)&lt;='Assumptions and Catalog'!$C$65,((D699+E699)*C699)*'Assumptions and Catalog'!$H$65+'Assumptions and Catalog'!$E$65+'Assumptions and Catalog'!$F$65,"Out of range")))))))))*(1+'Assumptions and Catalog'!$C$8)^(A699-1),0)</f>
        <v>8554.9666666666672</v>
      </c>
      <c r="N699" s="5">
        <f>IF(ISNUMBER(Inputs!$L$5),(IF(Inputs!$L$9="Actual flat rate",L699*Inputs!$L$10,IF(Inputs!$C$9="Residential",IF(L699&lt;='Assumptions and Catalog'!$C$50,L699*'Assumptions and Catalog'!$H$50+'Assumptions and Catalog'!$E$50+'Assumptions and Catalog'!$F$50,IF(L699&lt;='Assumptions and Catalog'!$C$51,L699*'Assumptions and Catalog'!$H$51+'Assumptions and Catalog'!$E$51+'Assumptions and Catalog'!$F$51,IF(L699&lt;='Assumptions and Catalog'!$C$52,L699*'Assumptions and Catalog'!$H$52+'Assumptions and Catalog'!$E$52+'Assumptions and Catalog'!$F$52,IF(L699&lt;='Assumptions and Catalog'!$C$53,L699*'Assumptions and Catalog'!$H$53+'Assumptions and Catalog'!$E$53+'Assumptions and Catalog'!$F$53,IF(L699&lt;='Assumptions and Catalog'!$C$54,L699*'Assumptions and Catalog'!$H$54+'Assumptions and Catalog'!$E$54+'Assumptions and Catalog'!$F$54,IF(L699&lt;='Assumptions and Catalog'!$C$55,L699*'Assumptions and Catalog'!$H$55+'Assumptions and Catalog'!$E$55+'Assumptions and Catalog'!$F$55,IF(L699&lt;='Assumptions and Catalog'!$C$56,L699*'Assumptions and Catalog'!$H$56+'Assumptions and Catalog'!$E$56+'Assumptions and Catalog'!$F$56,IF(L699&lt;='Assumptions and Catalog'!$C$57,L699*'Assumptions and Catalog'!$H$57+'Assumptions and Catalog'!$E$57+'Assumptions and Catalog'!$F$57,"Out of range")))))))),IF(L699&lt;='Assumptions and Catalog'!$C$60,L699*'Assumptions and Catalog'!$H$60+'Assumptions and Catalog'!$E$60+'Assumptions and Catalog'!$F$60,IF(L699&lt;='Assumptions and Catalog'!$C$61,L699*'Assumptions and Catalog'!$H$61+'Assumptions and Catalog'!$E$61+'Assumptions and Catalog'!$F$61,IF(L699&lt;='Assumptions and Catalog'!$C$62,L699*'Assumptions and Catalog'!$H$62+'Assumptions and Catalog'!$E$62+'Assumptions and Catalog'!$F$62,IF(L699&lt;='Assumptions and Catalog'!$C$63,L699*'Assumptions and Catalog'!$H$63+'Assumptions and Catalog'!$E$63+'Assumptions and Catalog'!$F$63,IF(L699&lt;='Assumptions and Catalog'!$C$64,L699*'Assumptions and Catalog'!$H$64+'Assumptions and Catalog'!$E$64+'Assumptions and Catalog'!$F$64,IF(L699&lt;='Assumptions and Catalog'!$C$65,L699*'Assumptions and Catalog'!$H$65+'Assumptions and Catalog'!$E$65+'Assumptions and Catalog'!$F$65,"Out of range")))))))))*(1+'Assumptions and Catalog'!$C$8)^(A699-1),0)</f>
        <v>5694.7030521039924</v>
      </c>
      <c r="O699" s="5">
        <f t="shared" si="51"/>
        <v>2860.2636145626748</v>
      </c>
      <c r="P699" s="5">
        <f>E$55*(1-L$14)*(1-'Assumptions and Catalog'!$C$23)^R699</f>
        <v>96.3780608</v>
      </c>
      <c r="Q699" s="5">
        <f>IF(ISNUMBER(Inputs!$L$5),(IF(Inputs!$L$9="Actual flat rate",((D699+E699)*C699-G699)*Inputs!$L$10,IF(Inputs!$C$9="Residential",IF(((D699+E699)*C699-G699)&lt;='Assumptions and Catalog'!$C$50,((D699+E699)*C699-G699)*'Assumptions and Catalog'!$H$50+'Assumptions and Catalog'!$E$50+'Assumptions and Catalog'!$F$50,IF(((D699+E699)*C699-G699)&lt;='Assumptions and Catalog'!$C$51,((D699+E699)*C699-G699)*'Assumptions and Catalog'!$H$51+'Assumptions and Catalog'!$E$51+'Assumptions and Catalog'!$F$51,IF(((D699+E699)*C699-G699)&lt;='Assumptions and Catalog'!$C$52,((D699+E699)*C699-G699)*'Assumptions and Catalog'!$H$52+'Assumptions and Catalog'!$E$52+'Assumptions and Catalog'!$F$52,IF(((D699+E699)*C699-G699)&lt;='Assumptions and Catalog'!$C$53,((D699+E699)*C699-G699)*'Assumptions and Catalog'!$H$53+'Assumptions and Catalog'!$E$53+'Assumptions and Catalog'!$F$53,IF(((D699+E699)*C699-G699)&lt;='Assumptions and Catalog'!$C$54,((D699+E699)*C699-G699)*'Assumptions and Catalog'!$H$54+'Assumptions and Catalog'!$E$54+'Assumptions and Catalog'!$F$54,IF(((D699+E699)*C699-G699)&lt;='Assumptions and Catalog'!$C$55,((D699+E699)*C699-G699)*'Assumptions and Catalog'!$H$55+'Assumptions and Catalog'!$E$55+'Assumptions and Catalog'!$F$55,IF(((D699+E699)*C699-G699)&lt;='Assumptions and Catalog'!$C$56,((D699+E699)*C699-G699)*'Assumptions and Catalog'!$H$56+'Assumptions and Catalog'!$E$56+'Assumptions and Catalog'!$F$56,IF(((D699+E699)*C699-G699)&lt;='Assumptions and Catalog'!$C$57,((D699+E699)*C699-G699)*'Assumptions and Catalog'!$H$57+'Assumptions and Catalog'!$E$57+'Assumptions and Catalog'!$F$57,"Out of range")))))))),IF(((D699+E699)*C699-G699)&lt;='Assumptions and Catalog'!$C$60,((D699+E699)*C699-G699)*'Assumptions and Catalog'!$H$60+'Assumptions and Catalog'!$E$60+'Assumptions and Catalog'!$F$60,IF(((D699+E699)*C699-G699)&lt;='Assumptions and Catalog'!$C$61,((D699+E699)*C699-G699)*'Assumptions and Catalog'!$H$61+'Assumptions and Catalog'!$E$61+'Assumptions and Catalog'!$F$61,IF(((D699+E699)*C699-G699)&lt;='Assumptions and Catalog'!$C$62,((D699+E699)*C699-G699)*'Assumptions and Catalog'!$H$62+'Assumptions and Catalog'!$E$62+'Assumptions and Catalog'!$F$62,IF(((D699+E699)*C699-G699)&lt;='Assumptions and Catalog'!$C$63,((D699+E699)*C699-G699)*'Assumptions and Catalog'!$H$63+'Assumptions and Catalog'!$E$63+'Assumptions and Catalog'!$F$63,IF(((D699+E699)*C699-G699)&lt;='Assumptions and Catalog'!$C$64,((D699+E699)*C699-G699)*'Assumptions and Catalog'!$H$64+'Assumptions and Catalog'!$E$64+'Assumptions and Catalog'!$F$64,IF(((D699+E699)*C699-G699)&lt;='Assumptions and Catalog'!$C$65,((D699+E699)*C699-G699)*'Assumptions and Catalog'!$H$65+'Assumptions and Catalog'!$E$65+'Assumptions and Catalog'!$F$65,"Out of range")))))))))*(1+'Assumptions and Catalog'!$C$8)^(A699-1),0)</f>
        <v>5694.7030521039924</v>
      </c>
      <c r="R699" s="5">
        <f>IF(AND('Assumptions and Catalog'!$C$19&gt;0,A699&gt;='Assumptions and Catalog'!$C$19),A699-'Assumptions and Catalog'!$C$19,A699-1)</f>
        <v>3</v>
      </c>
      <c r="S699" s="5">
        <f>F699+L699-(D699+E699)*C699-J699-K699-IF(E$52&gt;0,'Assumptions and Catalog'!$C$26*C699,0)</f>
        <v>0</v>
      </c>
      <c r="T699" s="5"/>
      <c r="U699" s="5"/>
    </row>
    <row r="700" spans="1:21" ht="23.1" customHeight="1" outlineLevel="1" x14ac:dyDescent="0.2">
      <c r="A700" s="5">
        <v>4</v>
      </c>
      <c r="B700" s="5">
        <v>4</v>
      </c>
      <c r="C700" s="5">
        <f>DAY(DATE('Assumptions and Catalog'!$C$24+A700-1,B700+1,0))</f>
        <v>30</v>
      </c>
      <c r="D700" s="5">
        <f>IF(ISNUMBER(Inputs!$L$5),Inputs!$L$5*Inputs!$L$6,0)</f>
        <v>40.35</v>
      </c>
      <c r="E700" s="5">
        <f>IF(ISNUMBER(Inputs!$L$5),Inputs!$L$5-D700,0)</f>
        <v>40.35</v>
      </c>
      <c r="F700" s="5">
        <f>E$51*'Assumptions and Catalog'!$C$31*C700*(1-'Assumptions and Catalog'!$C$10)^(A700-1)</f>
        <v>809.43602478750006</v>
      </c>
      <c r="G700" s="5">
        <f t="shared" si="48"/>
        <v>809.43602478750006</v>
      </c>
      <c r="H700" s="5">
        <f>I700/('Assumptions and Catalog'!$C$11*'Assumptions and Catalog'!$C$12)</f>
        <v>0</v>
      </c>
      <c r="I700" s="5">
        <f>MIN(E700*C700,P700*'Assumptions and Catalog'!$C$12*C700,(F700-G700)*'Assumptions and Catalog'!$C$11*'Assumptions and Catalog'!$C$12,E$56*'Assumptions and Catalog'!$C$14*'Assumptions and Catalog'!$C$11*'Assumptions and Catalog'!$C$12*C700,E$57*(24-'Assumptions and Catalog'!$C$13)*C700)</f>
        <v>0</v>
      </c>
      <c r="J700" s="5">
        <f t="shared" si="49"/>
        <v>0</v>
      </c>
      <c r="K700" s="5">
        <f t="shared" si="50"/>
        <v>0</v>
      </c>
      <c r="L700" s="5">
        <f>(D700+E700)*C700-G700-I700+0+IF(E$52&gt;0,'Assumptions and Catalog'!$C$26*C700,0)</f>
        <v>1611.5639752124998</v>
      </c>
      <c r="M700" s="5">
        <f>IF(ISNUMBER(Inputs!$L$5),(IF(Inputs!$L$9="Actual flat rate",((D700+E700)*C700)*Inputs!$L$10,IF(Inputs!$C$9="Residential",IF(((D700+E700)*C700)&lt;='Assumptions and Catalog'!$C$50,((D700+E700)*C700)*'Assumptions and Catalog'!$H$50+'Assumptions and Catalog'!$E$50+'Assumptions and Catalog'!$F$50,IF(((D700+E700)*C700)&lt;='Assumptions and Catalog'!$C$51,((D700+E700)*C700)*'Assumptions and Catalog'!$H$51+'Assumptions and Catalog'!$E$51+'Assumptions and Catalog'!$F$51,IF(((D700+E700)*C700)&lt;='Assumptions and Catalog'!$C$52,((D700+E700)*C700)*'Assumptions and Catalog'!$H$52+'Assumptions and Catalog'!$E$52+'Assumptions and Catalog'!$F$52,IF(((D700+E700)*C700)&lt;='Assumptions and Catalog'!$C$53,((D700+E700)*C700)*'Assumptions and Catalog'!$H$53+'Assumptions and Catalog'!$E$53+'Assumptions and Catalog'!$F$53,IF(((D700+E700)*C700)&lt;='Assumptions and Catalog'!$C$54,((D700+E700)*C700)*'Assumptions and Catalog'!$H$54+'Assumptions and Catalog'!$E$54+'Assumptions and Catalog'!$F$54,IF(((D700+E700)*C700)&lt;='Assumptions and Catalog'!$C$55,((D700+E700)*C700)*'Assumptions and Catalog'!$H$55+'Assumptions and Catalog'!$E$55+'Assumptions and Catalog'!$F$55,IF(((D700+E700)*C700)&lt;='Assumptions and Catalog'!$C$56,((D700+E700)*C700)*'Assumptions and Catalog'!$H$56+'Assumptions and Catalog'!$E$56+'Assumptions and Catalog'!$F$56,IF(((D700+E700)*C700)&lt;='Assumptions and Catalog'!$C$57,((D700+E700)*C700)*'Assumptions and Catalog'!$H$57+'Assumptions and Catalog'!$E$57+'Assumptions and Catalog'!$F$57,"Out of range")))))))),IF(((D700+E700)*C700)&lt;='Assumptions and Catalog'!$C$60,((D700+E700)*C700)*'Assumptions and Catalog'!$H$60+'Assumptions and Catalog'!$E$60+'Assumptions and Catalog'!$F$60,IF(((D700+E700)*C700)&lt;='Assumptions and Catalog'!$C$61,((D700+E700)*C700)*'Assumptions and Catalog'!$H$61+'Assumptions and Catalog'!$E$61+'Assumptions and Catalog'!$F$61,IF(((D700+E700)*C700)&lt;='Assumptions and Catalog'!$C$62,((D700+E700)*C700)*'Assumptions and Catalog'!$H$62+'Assumptions and Catalog'!$E$62+'Assumptions and Catalog'!$F$62,IF(((D700+E700)*C700)&lt;='Assumptions and Catalog'!$C$63,((D700+E700)*C700)*'Assumptions and Catalog'!$H$63+'Assumptions and Catalog'!$E$63+'Assumptions and Catalog'!$F$63,IF(((D700+E700)*C700)&lt;='Assumptions and Catalog'!$C$64,((D700+E700)*C700)*'Assumptions and Catalog'!$H$64+'Assumptions and Catalog'!$E$64+'Assumptions and Catalog'!$F$64,IF(((D700+E700)*C700)&lt;='Assumptions and Catalog'!$C$65,((D700+E700)*C700)*'Assumptions and Catalog'!$H$65+'Assumptions and Catalog'!$E$65+'Assumptions and Catalog'!$F$65,"Out of range")))))))))*(1+'Assumptions and Catalog'!$C$8)^(A700-1),0)</f>
        <v>8279</v>
      </c>
      <c r="N700" s="5">
        <f>IF(ISNUMBER(Inputs!$L$5),(IF(Inputs!$L$9="Actual flat rate",L700*Inputs!$L$10,IF(Inputs!$C$9="Residential",IF(L700&lt;='Assumptions and Catalog'!$C$50,L700*'Assumptions and Catalog'!$H$50+'Assumptions and Catalog'!$E$50+'Assumptions and Catalog'!$F$50,IF(L700&lt;='Assumptions and Catalog'!$C$51,L700*'Assumptions and Catalog'!$H$51+'Assumptions and Catalog'!$E$51+'Assumptions and Catalog'!$F$51,IF(L700&lt;='Assumptions and Catalog'!$C$52,L700*'Assumptions and Catalog'!$H$52+'Assumptions and Catalog'!$E$52+'Assumptions and Catalog'!$F$52,IF(L700&lt;='Assumptions and Catalog'!$C$53,L700*'Assumptions and Catalog'!$H$53+'Assumptions and Catalog'!$E$53+'Assumptions and Catalog'!$F$53,IF(L700&lt;='Assumptions and Catalog'!$C$54,L700*'Assumptions and Catalog'!$H$54+'Assumptions and Catalog'!$E$54+'Assumptions and Catalog'!$F$54,IF(L700&lt;='Assumptions and Catalog'!$C$55,L700*'Assumptions and Catalog'!$H$55+'Assumptions and Catalog'!$E$55+'Assumptions and Catalog'!$F$55,IF(L700&lt;='Assumptions and Catalog'!$C$56,L700*'Assumptions and Catalog'!$H$56+'Assumptions and Catalog'!$E$56+'Assumptions and Catalog'!$F$56,IF(L700&lt;='Assumptions and Catalog'!$C$57,L700*'Assumptions and Catalog'!$H$57+'Assumptions and Catalog'!$E$57+'Assumptions and Catalog'!$F$57,"Out of range")))))))),IF(L700&lt;='Assumptions and Catalog'!$C$60,L700*'Assumptions and Catalog'!$H$60+'Assumptions and Catalog'!$E$60+'Assumptions and Catalog'!$F$60,IF(L700&lt;='Assumptions and Catalog'!$C$61,L700*'Assumptions and Catalog'!$H$61+'Assumptions and Catalog'!$E$61+'Assumptions and Catalog'!$F$61,IF(L700&lt;='Assumptions and Catalog'!$C$62,L700*'Assumptions and Catalog'!$H$62+'Assumptions and Catalog'!$E$62+'Assumptions and Catalog'!$F$62,IF(L700&lt;='Assumptions and Catalog'!$C$63,L700*'Assumptions and Catalog'!$H$63+'Assumptions and Catalog'!$E$63+'Assumptions and Catalog'!$F$63,IF(L700&lt;='Assumptions and Catalog'!$C$64,L700*'Assumptions and Catalog'!$H$64+'Assumptions and Catalog'!$E$64+'Assumptions and Catalog'!$F$64,IF(L700&lt;='Assumptions and Catalog'!$C$65,L700*'Assumptions and Catalog'!$H$65+'Assumptions and Catalog'!$E$65+'Assumptions and Catalog'!$F$65,"Out of range")))))))))*(1+'Assumptions and Catalog'!$C$8)^(A700-1),0)</f>
        <v>5511.0029536490229</v>
      </c>
      <c r="O700" s="5">
        <f t="shared" si="51"/>
        <v>2767.9970463509771</v>
      </c>
      <c r="P700" s="5">
        <f>E$55*(1-L$14)*(1-'Assumptions and Catalog'!$C$23)^R700</f>
        <v>96.3780608</v>
      </c>
      <c r="Q700" s="5">
        <f>IF(ISNUMBER(Inputs!$L$5),(IF(Inputs!$L$9="Actual flat rate",((D700+E700)*C700-G700)*Inputs!$L$10,IF(Inputs!$C$9="Residential",IF(((D700+E700)*C700-G700)&lt;='Assumptions and Catalog'!$C$50,((D700+E700)*C700-G700)*'Assumptions and Catalog'!$H$50+'Assumptions and Catalog'!$E$50+'Assumptions and Catalog'!$F$50,IF(((D700+E700)*C700-G700)&lt;='Assumptions and Catalog'!$C$51,((D700+E700)*C700-G700)*'Assumptions and Catalog'!$H$51+'Assumptions and Catalog'!$E$51+'Assumptions and Catalog'!$F$51,IF(((D700+E700)*C700-G700)&lt;='Assumptions and Catalog'!$C$52,((D700+E700)*C700-G700)*'Assumptions and Catalog'!$H$52+'Assumptions and Catalog'!$E$52+'Assumptions and Catalog'!$F$52,IF(((D700+E700)*C700-G700)&lt;='Assumptions and Catalog'!$C$53,((D700+E700)*C700-G700)*'Assumptions and Catalog'!$H$53+'Assumptions and Catalog'!$E$53+'Assumptions and Catalog'!$F$53,IF(((D700+E700)*C700-G700)&lt;='Assumptions and Catalog'!$C$54,((D700+E700)*C700-G700)*'Assumptions and Catalog'!$H$54+'Assumptions and Catalog'!$E$54+'Assumptions and Catalog'!$F$54,IF(((D700+E700)*C700-G700)&lt;='Assumptions and Catalog'!$C$55,((D700+E700)*C700-G700)*'Assumptions and Catalog'!$H$55+'Assumptions and Catalog'!$E$55+'Assumptions and Catalog'!$F$55,IF(((D700+E700)*C700-G700)&lt;='Assumptions and Catalog'!$C$56,((D700+E700)*C700-G700)*'Assumptions and Catalog'!$H$56+'Assumptions and Catalog'!$E$56+'Assumptions and Catalog'!$F$56,IF(((D700+E700)*C700-G700)&lt;='Assumptions and Catalog'!$C$57,((D700+E700)*C700-G700)*'Assumptions and Catalog'!$H$57+'Assumptions and Catalog'!$E$57+'Assumptions and Catalog'!$F$57,"Out of range")))))))),IF(((D700+E700)*C700-G700)&lt;='Assumptions and Catalog'!$C$60,((D700+E700)*C700-G700)*'Assumptions and Catalog'!$H$60+'Assumptions and Catalog'!$E$60+'Assumptions and Catalog'!$F$60,IF(((D700+E700)*C700-G700)&lt;='Assumptions and Catalog'!$C$61,((D700+E700)*C700-G700)*'Assumptions and Catalog'!$H$61+'Assumptions and Catalog'!$E$61+'Assumptions and Catalog'!$F$61,IF(((D700+E700)*C700-G700)&lt;='Assumptions and Catalog'!$C$62,((D700+E700)*C700-G700)*'Assumptions and Catalog'!$H$62+'Assumptions and Catalog'!$E$62+'Assumptions and Catalog'!$F$62,IF(((D700+E700)*C700-G700)&lt;='Assumptions and Catalog'!$C$63,((D700+E700)*C700-G700)*'Assumptions and Catalog'!$H$63+'Assumptions and Catalog'!$E$63+'Assumptions and Catalog'!$F$63,IF(((D700+E700)*C700-G700)&lt;='Assumptions and Catalog'!$C$64,((D700+E700)*C700-G700)*'Assumptions and Catalog'!$H$64+'Assumptions and Catalog'!$E$64+'Assumptions and Catalog'!$F$64,IF(((D700+E700)*C700-G700)&lt;='Assumptions and Catalog'!$C$65,((D700+E700)*C700-G700)*'Assumptions and Catalog'!$H$65+'Assumptions and Catalog'!$E$65+'Assumptions and Catalog'!$F$65,"Out of range")))))))))*(1+'Assumptions and Catalog'!$C$8)^(A700-1),0)</f>
        <v>5511.0029536490229</v>
      </c>
      <c r="R700" s="5">
        <f>IF(AND('Assumptions and Catalog'!$C$19&gt;0,A700&gt;='Assumptions and Catalog'!$C$19),A700-'Assumptions and Catalog'!$C$19,A700-1)</f>
        <v>3</v>
      </c>
      <c r="S700" s="5">
        <f>F700+L700-(D700+E700)*C700-J700-K700-IF(E$52&gt;0,'Assumptions and Catalog'!$C$26*C700,0)</f>
        <v>0</v>
      </c>
      <c r="T700" s="5"/>
      <c r="U700" s="5"/>
    </row>
    <row r="701" spans="1:21" ht="23.1" customHeight="1" outlineLevel="1" x14ac:dyDescent="0.2">
      <c r="A701" s="5">
        <v>4</v>
      </c>
      <c r="B701" s="5">
        <v>5</v>
      </c>
      <c r="C701" s="5">
        <f>DAY(DATE('Assumptions and Catalog'!$C$24+A701-1,B701+1,0))</f>
        <v>31</v>
      </c>
      <c r="D701" s="5">
        <f>IF(ISNUMBER(Inputs!$L$5),Inputs!$L$5*Inputs!$L$6,0)</f>
        <v>40.35</v>
      </c>
      <c r="E701" s="5">
        <f>IF(ISNUMBER(Inputs!$L$5),Inputs!$L$5-D701,0)</f>
        <v>40.35</v>
      </c>
      <c r="F701" s="5">
        <f>E$51*'Assumptions and Catalog'!$C$31*C701*(1-'Assumptions and Catalog'!$C$10)^(A701-1)</f>
        <v>836.41722561375002</v>
      </c>
      <c r="G701" s="5">
        <f t="shared" si="48"/>
        <v>836.41722561375002</v>
      </c>
      <c r="H701" s="5">
        <f>I701/('Assumptions and Catalog'!$C$11*'Assumptions and Catalog'!$C$12)</f>
        <v>0</v>
      </c>
      <c r="I701" s="5">
        <f>MIN(E701*C701,P701*'Assumptions and Catalog'!$C$12*C701,(F701-G701)*'Assumptions and Catalog'!$C$11*'Assumptions and Catalog'!$C$12,E$56*'Assumptions and Catalog'!$C$14*'Assumptions and Catalog'!$C$11*'Assumptions and Catalog'!$C$12*C701,E$57*(24-'Assumptions and Catalog'!$C$13)*C701)</f>
        <v>0</v>
      </c>
      <c r="J701" s="5">
        <f t="shared" si="49"/>
        <v>0</v>
      </c>
      <c r="K701" s="5">
        <f t="shared" si="50"/>
        <v>0</v>
      </c>
      <c r="L701" s="5">
        <f>(D701+E701)*C701-G701-I701+0+IF(E$52&gt;0,'Assumptions and Catalog'!$C$26*C701,0)</f>
        <v>1665.2827743862504</v>
      </c>
      <c r="M701" s="5">
        <f>IF(ISNUMBER(Inputs!$L$5),(IF(Inputs!$L$9="Actual flat rate",((D701+E701)*C701)*Inputs!$L$10,IF(Inputs!$C$9="Residential",IF(((D701+E701)*C701)&lt;='Assumptions and Catalog'!$C$50,((D701+E701)*C701)*'Assumptions and Catalog'!$H$50+'Assumptions and Catalog'!$E$50+'Assumptions and Catalog'!$F$50,IF(((D701+E701)*C701)&lt;='Assumptions and Catalog'!$C$51,((D701+E701)*C701)*'Assumptions and Catalog'!$H$51+'Assumptions and Catalog'!$E$51+'Assumptions and Catalog'!$F$51,IF(((D701+E701)*C701)&lt;='Assumptions and Catalog'!$C$52,((D701+E701)*C701)*'Assumptions and Catalog'!$H$52+'Assumptions and Catalog'!$E$52+'Assumptions and Catalog'!$F$52,IF(((D701+E701)*C701)&lt;='Assumptions and Catalog'!$C$53,((D701+E701)*C701)*'Assumptions and Catalog'!$H$53+'Assumptions and Catalog'!$E$53+'Assumptions and Catalog'!$F$53,IF(((D701+E701)*C701)&lt;='Assumptions and Catalog'!$C$54,((D701+E701)*C701)*'Assumptions and Catalog'!$H$54+'Assumptions and Catalog'!$E$54+'Assumptions and Catalog'!$F$54,IF(((D701+E701)*C701)&lt;='Assumptions and Catalog'!$C$55,((D701+E701)*C701)*'Assumptions and Catalog'!$H$55+'Assumptions and Catalog'!$E$55+'Assumptions and Catalog'!$F$55,IF(((D701+E701)*C701)&lt;='Assumptions and Catalog'!$C$56,((D701+E701)*C701)*'Assumptions and Catalog'!$H$56+'Assumptions and Catalog'!$E$56+'Assumptions and Catalog'!$F$56,IF(((D701+E701)*C701)&lt;='Assumptions and Catalog'!$C$57,((D701+E701)*C701)*'Assumptions and Catalog'!$H$57+'Assumptions and Catalog'!$E$57+'Assumptions and Catalog'!$F$57,"Out of range")))))))),IF(((D701+E701)*C701)&lt;='Assumptions and Catalog'!$C$60,((D701+E701)*C701)*'Assumptions and Catalog'!$H$60+'Assumptions and Catalog'!$E$60+'Assumptions and Catalog'!$F$60,IF(((D701+E701)*C701)&lt;='Assumptions and Catalog'!$C$61,((D701+E701)*C701)*'Assumptions and Catalog'!$H$61+'Assumptions and Catalog'!$E$61+'Assumptions and Catalog'!$F$61,IF(((D701+E701)*C701)&lt;='Assumptions and Catalog'!$C$62,((D701+E701)*C701)*'Assumptions and Catalog'!$H$62+'Assumptions and Catalog'!$E$62+'Assumptions and Catalog'!$F$62,IF(((D701+E701)*C701)&lt;='Assumptions and Catalog'!$C$63,((D701+E701)*C701)*'Assumptions and Catalog'!$H$63+'Assumptions and Catalog'!$E$63+'Assumptions and Catalog'!$F$63,IF(((D701+E701)*C701)&lt;='Assumptions and Catalog'!$C$64,((D701+E701)*C701)*'Assumptions and Catalog'!$H$64+'Assumptions and Catalog'!$E$64+'Assumptions and Catalog'!$F$64,IF(((D701+E701)*C701)&lt;='Assumptions and Catalog'!$C$65,((D701+E701)*C701)*'Assumptions and Catalog'!$H$65+'Assumptions and Catalog'!$E$65+'Assumptions and Catalog'!$F$65,"Out of range")))))))))*(1+'Assumptions and Catalog'!$C$8)^(A701-1),0)</f>
        <v>8554.9666666666672</v>
      </c>
      <c r="N701" s="5">
        <f>IF(ISNUMBER(Inputs!$L$5),(IF(Inputs!$L$9="Actual flat rate",L701*Inputs!$L$10,IF(Inputs!$C$9="Residential",IF(L701&lt;='Assumptions and Catalog'!$C$50,L701*'Assumptions and Catalog'!$H$50+'Assumptions and Catalog'!$E$50+'Assumptions and Catalog'!$F$50,IF(L701&lt;='Assumptions and Catalog'!$C$51,L701*'Assumptions and Catalog'!$H$51+'Assumptions and Catalog'!$E$51+'Assumptions and Catalog'!$F$51,IF(L701&lt;='Assumptions and Catalog'!$C$52,L701*'Assumptions and Catalog'!$H$52+'Assumptions and Catalog'!$E$52+'Assumptions and Catalog'!$F$52,IF(L701&lt;='Assumptions and Catalog'!$C$53,L701*'Assumptions and Catalog'!$H$53+'Assumptions and Catalog'!$E$53+'Assumptions and Catalog'!$F$53,IF(L701&lt;='Assumptions and Catalog'!$C$54,L701*'Assumptions and Catalog'!$H$54+'Assumptions and Catalog'!$E$54+'Assumptions and Catalog'!$F$54,IF(L701&lt;='Assumptions and Catalog'!$C$55,L701*'Assumptions and Catalog'!$H$55+'Assumptions and Catalog'!$E$55+'Assumptions and Catalog'!$F$55,IF(L701&lt;='Assumptions and Catalog'!$C$56,L701*'Assumptions and Catalog'!$H$56+'Assumptions and Catalog'!$E$56+'Assumptions and Catalog'!$F$56,IF(L701&lt;='Assumptions and Catalog'!$C$57,L701*'Assumptions and Catalog'!$H$57+'Assumptions and Catalog'!$E$57+'Assumptions and Catalog'!$F$57,"Out of range")))))))),IF(L701&lt;='Assumptions and Catalog'!$C$60,L701*'Assumptions and Catalog'!$H$60+'Assumptions and Catalog'!$E$60+'Assumptions and Catalog'!$F$60,IF(L701&lt;='Assumptions and Catalog'!$C$61,L701*'Assumptions and Catalog'!$H$61+'Assumptions and Catalog'!$E$61+'Assumptions and Catalog'!$F$61,IF(L701&lt;='Assumptions and Catalog'!$C$62,L701*'Assumptions and Catalog'!$H$62+'Assumptions and Catalog'!$E$62+'Assumptions and Catalog'!$F$62,IF(L701&lt;='Assumptions and Catalog'!$C$63,L701*'Assumptions and Catalog'!$H$63+'Assumptions and Catalog'!$E$63+'Assumptions and Catalog'!$F$63,IF(L701&lt;='Assumptions and Catalog'!$C$64,L701*'Assumptions and Catalog'!$H$64+'Assumptions and Catalog'!$E$64+'Assumptions and Catalog'!$F$64,IF(L701&lt;='Assumptions and Catalog'!$C$65,L701*'Assumptions and Catalog'!$H$65+'Assumptions and Catalog'!$E$65+'Assumptions and Catalog'!$F$65,"Out of range")))))))))*(1+'Assumptions and Catalog'!$C$8)^(A701-1),0)</f>
        <v>5694.7030521039924</v>
      </c>
      <c r="O701" s="5">
        <f t="shared" si="51"/>
        <v>2860.2636145626748</v>
      </c>
      <c r="P701" s="5">
        <f>E$55*(1-L$14)*(1-'Assumptions and Catalog'!$C$23)^R701</f>
        <v>96.3780608</v>
      </c>
      <c r="Q701" s="5">
        <f>IF(ISNUMBER(Inputs!$L$5),(IF(Inputs!$L$9="Actual flat rate",((D701+E701)*C701-G701)*Inputs!$L$10,IF(Inputs!$C$9="Residential",IF(((D701+E701)*C701-G701)&lt;='Assumptions and Catalog'!$C$50,((D701+E701)*C701-G701)*'Assumptions and Catalog'!$H$50+'Assumptions and Catalog'!$E$50+'Assumptions and Catalog'!$F$50,IF(((D701+E701)*C701-G701)&lt;='Assumptions and Catalog'!$C$51,((D701+E701)*C701-G701)*'Assumptions and Catalog'!$H$51+'Assumptions and Catalog'!$E$51+'Assumptions and Catalog'!$F$51,IF(((D701+E701)*C701-G701)&lt;='Assumptions and Catalog'!$C$52,((D701+E701)*C701-G701)*'Assumptions and Catalog'!$H$52+'Assumptions and Catalog'!$E$52+'Assumptions and Catalog'!$F$52,IF(((D701+E701)*C701-G701)&lt;='Assumptions and Catalog'!$C$53,((D701+E701)*C701-G701)*'Assumptions and Catalog'!$H$53+'Assumptions and Catalog'!$E$53+'Assumptions and Catalog'!$F$53,IF(((D701+E701)*C701-G701)&lt;='Assumptions and Catalog'!$C$54,((D701+E701)*C701-G701)*'Assumptions and Catalog'!$H$54+'Assumptions and Catalog'!$E$54+'Assumptions and Catalog'!$F$54,IF(((D701+E701)*C701-G701)&lt;='Assumptions and Catalog'!$C$55,((D701+E701)*C701-G701)*'Assumptions and Catalog'!$H$55+'Assumptions and Catalog'!$E$55+'Assumptions and Catalog'!$F$55,IF(((D701+E701)*C701-G701)&lt;='Assumptions and Catalog'!$C$56,((D701+E701)*C701-G701)*'Assumptions and Catalog'!$H$56+'Assumptions and Catalog'!$E$56+'Assumptions and Catalog'!$F$56,IF(((D701+E701)*C701-G701)&lt;='Assumptions and Catalog'!$C$57,((D701+E701)*C701-G701)*'Assumptions and Catalog'!$H$57+'Assumptions and Catalog'!$E$57+'Assumptions and Catalog'!$F$57,"Out of range")))))))),IF(((D701+E701)*C701-G701)&lt;='Assumptions and Catalog'!$C$60,((D701+E701)*C701-G701)*'Assumptions and Catalog'!$H$60+'Assumptions and Catalog'!$E$60+'Assumptions and Catalog'!$F$60,IF(((D701+E701)*C701-G701)&lt;='Assumptions and Catalog'!$C$61,((D701+E701)*C701-G701)*'Assumptions and Catalog'!$H$61+'Assumptions and Catalog'!$E$61+'Assumptions and Catalog'!$F$61,IF(((D701+E701)*C701-G701)&lt;='Assumptions and Catalog'!$C$62,((D701+E701)*C701-G701)*'Assumptions and Catalog'!$H$62+'Assumptions and Catalog'!$E$62+'Assumptions and Catalog'!$F$62,IF(((D701+E701)*C701-G701)&lt;='Assumptions and Catalog'!$C$63,((D701+E701)*C701-G701)*'Assumptions and Catalog'!$H$63+'Assumptions and Catalog'!$E$63+'Assumptions and Catalog'!$F$63,IF(((D701+E701)*C701-G701)&lt;='Assumptions and Catalog'!$C$64,((D701+E701)*C701-G701)*'Assumptions and Catalog'!$H$64+'Assumptions and Catalog'!$E$64+'Assumptions and Catalog'!$F$64,IF(((D701+E701)*C701-G701)&lt;='Assumptions and Catalog'!$C$65,((D701+E701)*C701-G701)*'Assumptions and Catalog'!$H$65+'Assumptions and Catalog'!$E$65+'Assumptions and Catalog'!$F$65,"Out of range")))))))))*(1+'Assumptions and Catalog'!$C$8)^(A701-1),0)</f>
        <v>5694.7030521039924</v>
      </c>
      <c r="R701" s="5">
        <f>IF(AND('Assumptions and Catalog'!$C$19&gt;0,A701&gt;='Assumptions and Catalog'!$C$19),A701-'Assumptions and Catalog'!$C$19,A701-1)</f>
        <v>3</v>
      </c>
      <c r="S701" s="5">
        <f>F701+L701-(D701+E701)*C701-J701-K701-IF(E$52&gt;0,'Assumptions and Catalog'!$C$26*C701,0)</f>
        <v>0</v>
      </c>
      <c r="T701" s="5"/>
      <c r="U701" s="5"/>
    </row>
    <row r="702" spans="1:21" ht="23.1" customHeight="1" outlineLevel="1" x14ac:dyDescent="0.2">
      <c r="A702" s="5">
        <v>4</v>
      </c>
      <c r="B702" s="5">
        <v>6</v>
      </c>
      <c r="C702" s="5">
        <f>DAY(DATE('Assumptions and Catalog'!$C$24+A702-1,B702+1,0))</f>
        <v>30</v>
      </c>
      <c r="D702" s="5">
        <f>IF(ISNUMBER(Inputs!$L$5),Inputs!$L$5*Inputs!$L$6,0)</f>
        <v>40.35</v>
      </c>
      <c r="E702" s="5">
        <f>IF(ISNUMBER(Inputs!$L$5),Inputs!$L$5-D702,0)</f>
        <v>40.35</v>
      </c>
      <c r="F702" s="5">
        <f>E$51*'Assumptions and Catalog'!$C$31*C702*(1-'Assumptions and Catalog'!$C$10)^(A702-1)</f>
        <v>809.43602478750006</v>
      </c>
      <c r="G702" s="5">
        <f t="shared" si="48"/>
        <v>809.43602478750006</v>
      </c>
      <c r="H702" s="5">
        <f>I702/('Assumptions and Catalog'!$C$11*'Assumptions and Catalog'!$C$12)</f>
        <v>0</v>
      </c>
      <c r="I702" s="5">
        <f>MIN(E702*C702,P702*'Assumptions and Catalog'!$C$12*C702,(F702-G702)*'Assumptions and Catalog'!$C$11*'Assumptions and Catalog'!$C$12,E$56*'Assumptions and Catalog'!$C$14*'Assumptions and Catalog'!$C$11*'Assumptions and Catalog'!$C$12*C702,E$57*(24-'Assumptions and Catalog'!$C$13)*C702)</f>
        <v>0</v>
      </c>
      <c r="J702" s="5">
        <f t="shared" si="49"/>
        <v>0</v>
      </c>
      <c r="K702" s="5">
        <f t="shared" si="50"/>
        <v>0</v>
      </c>
      <c r="L702" s="5">
        <f>(D702+E702)*C702-G702-I702+0+IF(E$52&gt;0,'Assumptions and Catalog'!$C$26*C702,0)</f>
        <v>1611.5639752124998</v>
      </c>
      <c r="M702" s="5">
        <f>IF(ISNUMBER(Inputs!$L$5),(IF(Inputs!$L$9="Actual flat rate",((D702+E702)*C702)*Inputs!$L$10,IF(Inputs!$C$9="Residential",IF(((D702+E702)*C702)&lt;='Assumptions and Catalog'!$C$50,((D702+E702)*C702)*'Assumptions and Catalog'!$H$50+'Assumptions and Catalog'!$E$50+'Assumptions and Catalog'!$F$50,IF(((D702+E702)*C702)&lt;='Assumptions and Catalog'!$C$51,((D702+E702)*C702)*'Assumptions and Catalog'!$H$51+'Assumptions and Catalog'!$E$51+'Assumptions and Catalog'!$F$51,IF(((D702+E702)*C702)&lt;='Assumptions and Catalog'!$C$52,((D702+E702)*C702)*'Assumptions and Catalog'!$H$52+'Assumptions and Catalog'!$E$52+'Assumptions and Catalog'!$F$52,IF(((D702+E702)*C702)&lt;='Assumptions and Catalog'!$C$53,((D702+E702)*C702)*'Assumptions and Catalog'!$H$53+'Assumptions and Catalog'!$E$53+'Assumptions and Catalog'!$F$53,IF(((D702+E702)*C702)&lt;='Assumptions and Catalog'!$C$54,((D702+E702)*C702)*'Assumptions and Catalog'!$H$54+'Assumptions and Catalog'!$E$54+'Assumptions and Catalog'!$F$54,IF(((D702+E702)*C702)&lt;='Assumptions and Catalog'!$C$55,((D702+E702)*C702)*'Assumptions and Catalog'!$H$55+'Assumptions and Catalog'!$E$55+'Assumptions and Catalog'!$F$55,IF(((D702+E702)*C702)&lt;='Assumptions and Catalog'!$C$56,((D702+E702)*C702)*'Assumptions and Catalog'!$H$56+'Assumptions and Catalog'!$E$56+'Assumptions and Catalog'!$F$56,IF(((D702+E702)*C702)&lt;='Assumptions and Catalog'!$C$57,((D702+E702)*C702)*'Assumptions and Catalog'!$H$57+'Assumptions and Catalog'!$E$57+'Assumptions and Catalog'!$F$57,"Out of range")))))))),IF(((D702+E702)*C702)&lt;='Assumptions and Catalog'!$C$60,((D702+E702)*C702)*'Assumptions and Catalog'!$H$60+'Assumptions and Catalog'!$E$60+'Assumptions and Catalog'!$F$60,IF(((D702+E702)*C702)&lt;='Assumptions and Catalog'!$C$61,((D702+E702)*C702)*'Assumptions and Catalog'!$H$61+'Assumptions and Catalog'!$E$61+'Assumptions and Catalog'!$F$61,IF(((D702+E702)*C702)&lt;='Assumptions and Catalog'!$C$62,((D702+E702)*C702)*'Assumptions and Catalog'!$H$62+'Assumptions and Catalog'!$E$62+'Assumptions and Catalog'!$F$62,IF(((D702+E702)*C702)&lt;='Assumptions and Catalog'!$C$63,((D702+E702)*C702)*'Assumptions and Catalog'!$H$63+'Assumptions and Catalog'!$E$63+'Assumptions and Catalog'!$F$63,IF(((D702+E702)*C702)&lt;='Assumptions and Catalog'!$C$64,((D702+E702)*C702)*'Assumptions and Catalog'!$H$64+'Assumptions and Catalog'!$E$64+'Assumptions and Catalog'!$F$64,IF(((D702+E702)*C702)&lt;='Assumptions and Catalog'!$C$65,((D702+E702)*C702)*'Assumptions and Catalog'!$H$65+'Assumptions and Catalog'!$E$65+'Assumptions and Catalog'!$F$65,"Out of range")))))))))*(1+'Assumptions and Catalog'!$C$8)^(A702-1),0)</f>
        <v>8279</v>
      </c>
      <c r="N702" s="5">
        <f>IF(ISNUMBER(Inputs!$L$5),(IF(Inputs!$L$9="Actual flat rate",L702*Inputs!$L$10,IF(Inputs!$C$9="Residential",IF(L702&lt;='Assumptions and Catalog'!$C$50,L702*'Assumptions and Catalog'!$H$50+'Assumptions and Catalog'!$E$50+'Assumptions and Catalog'!$F$50,IF(L702&lt;='Assumptions and Catalog'!$C$51,L702*'Assumptions and Catalog'!$H$51+'Assumptions and Catalog'!$E$51+'Assumptions and Catalog'!$F$51,IF(L702&lt;='Assumptions and Catalog'!$C$52,L702*'Assumptions and Catalog'!$H$52+'Assumptions and Catalog'!$E$52+'Assumptions and Catalog'!$F$52,IF(L702&lt;='Assumptions and Catalog'!$C$53,L702*'Assumptions and Catalog'!$H$53+'Assumptions and Catalog'!$E$53+'Assumptions and Catalog'!$F$53,IF(L702&lt;='Assumptions and Catalog'!$C$54,L702*'Assumptions and Catalog'!$H$54+'Assumptions and Catalog'!$E$54+'Assumptions and Catalog'!$F$54,IF(L702&lt;='Assumptions and Catalog'!$C$55,L702*'Assumptions and Catalog'!$H$55+'Assumptions and Catalog'!$E$55+'Assumptions and Catalog'!$F$55,IF(L702&lt;='Assumptions and Catalog'!$C$56,L702*'Assumptions and Catalog'!$H$56+'Assumptions and Catalog'!$E$56+'Assumptions and Catalog'!$F$56,IF(L702&lt;='Assumptions and Catalog'!$C$57,L702*'Assumptions and Catalog'!$H$57+'Assumptions and Catalog'!$E$57+'Assumptions and Catalog'!$F$57,"Out of range")))))))),IF(L702&lt;='Assumptions and Catalog'!$C$60,L702*'Assumptions and Catalog'!$H$60+'Assumptions and Catalog'!$E$60+'Assumptions and Catalog'!$F$60,IF(L702&lt;='Assumptions and Catalog'!$C$61,L702*'Assumptions and Catalog'!$H$61+'Assumptions and Catalog'!$E$61+'Assumptions and Catalog'!$F$61,IF(L702&lt;='Assumptions and Catalog'!$C$62,L702*'Assumptions and Catalog'!$H$62+'Assumptions and Catalog'!$E$62+'Assumptions and Catalog'!$F$62,IF(L702&lt;='Assumptions and Catalog'!$C$63,L702*'Assumptions and Catalog'!$H$63+'Assumptions and Catalog'!$E$63+'Assumptions and Catalog'!$F$63,IF(L702&lt;='Assumptions and Catalog'!$C$64,L702*'Assumptions and Catalog'!$H$64+'Assumptions and Catalog'!$E$64+'Assumptions and Catalog'!$F$64,IF(L702&lt;='Assumptions and Catalog'!$C$65,L702*'Assumptions and Catalog'!$H$65+'Assumptions and Catalog'!$E$65+'Assumptions and Catalog'!$F$65,"Out of range")))))))))*(1+'Assumptions and Catalog'!$C$8)^(A702-1),0)</f>
        <v>5511.0029536490229</v>
      </c>
      <c r="O702" s="5">
        <f t="shared" si="51"/>
        <v>2767.9970463509771</v>
      </c>
      <c r="P702" s="5">
        <f>E$55*(1-L$14)*(1-'Assumptions and Catalog'!$C$23)^R702</f>
        <v>96.3780608</v>
      </c>
      <c r="Q702" s="5">
        <f>IF(ISNUMBER(Inputs!$L$5),(IF(Inputs!$L$9="Actual flat rate",((D702+E702)*C702-G702)*Inputs!$L$10,IF(Inputs!$C$9="Residential",IF(((D702+E702)*C702-G702)&lt;='Assumptions and Catalog'!$C$50,((D702+E702)*C702-G702)*'Assumptions and Catalog'!$H$50+'Assumptions and Catalog'!$E$50+'Assumptions and Catalog'!$F$50,IF(((D702+E702)*C702-G702)&lt;='Assumptions and Catalog'!$C$51,((D702+E702)*C702-G702)*'Assumptions and Catalog'!$H$51+'Assumptions and Catalog'!$E$51+'Assumptions and Catalog'!$F$51,IF(((D702+E702)*C702-G702)&lt;='Assumptions and Catalog'!$C$52,((D702+E702)*C702-G702)*'Assumptions and Catalog'!$H$52+'Assumptions and Catalog'!$E$52+'Assumptions and Catalog'!$F$52,IF(((D702+E702)*C702-G702)&lt;='Assumptions and Catalog'!$C$53,((D702+E702)*C702-G702)*'Assumptions and Catalog'!$H$53+'Assumptions and Catalog'!$E$53+'Assumptions and Catalog'!$F$53,IF(((D702+E702)*C702-G702)&lt;='Assumptions and Catalog'!$C$54,((D702+E702)*C702-G702)*'Assumptions and Catalog'!$H$54+'Assumptions and Catalog'!$E$54+'Assumptions and Catalog'!$F$54,IF(((D702+E702)*C702-G702)&lt;='Assumptions and Catalog'!$C$55,((D702+E702)*C702-G702)*'Assumptions and Catalog'!$H$55+'Assumptions and Catalog'!$E$55+'Assumptions and Catalog'!$F$55,IF(((D702+E702)*C702-G702)&lt;='Assumptions and Catalog'!$C$56,((D702+E702)*C702-G702)*'Assumptions and Catalog'!$H$56+'Assumptions and Catalog'!$E$56+'Assumptions and Catalog'!$F$56,IF(((D702+E702)*C702-G702)&lt;='Assumptions and Catalog'!$C$57,((D702+E702)*C702-G702)*'Assumptions and Catalog'!$H$57+'Assumptions and Catalog'!$E$57+'Assumptions and Catalog'!$F$57,"Out of range")))))))),IF(((D702+E702)*C702-G702)&lt;='Assumptions and Catalog'!$C$60,((D702+E702)*C702-G702)*'Assumptions and Catalog'!$H$60+'Assumptions and Catalog'!$E$60+'Assumptions and Catalog'!$F$60,IF(((D702+E702)*C702-G702)&lt;='Assumptions and Catalog'!$C$61,((D702+E702)*C702-G702)*'Assumptions and Catalog'!$H$61+'Assumptions and Catalog'!$E$61+'Assumptions and Catalog'!$F$61,IF(((D702+E702)*C702-G702)&lt;='Assumptions and Catalog'!$C$62,((D702+E702)*C702-G702)*'Assumptions and Catalog'!$H$62+'Assumptions and Catalog'!$E$62+'Assumptions and Catalog'!$F$62,IF(((D702+E702)*C702-G702)&lt;='Assumptions and Catalog'!$C$63,((D702+E702)*C702-G702)*'Assumptions and Catalog'!$H$63+'Assumptions and Catalog'!$E$63+'Assumptions and Catalog'!$F$63,IF(((D702+E702)*C702-G702)&lt;='Assumptions and Catalog'!$C$64,((D702+E702)*C702-G702)*'Assumptions and Catalog'!$H$64+'Assumptions and Catalog'!$E$64+'Assumptions and Catalog'!$F$64,IF(((D702+E702)*C702-G702)&lt;='Assumptions and Catalog'!$C$65,((D702+E702)*C702-G702)*'Assumptions and Catalog'!$H$65+'Assumptions and Catalog'!$E$65+'Assumptions and Catalog'!$F$65,"Out of range")))))))))*(1+'Assumptions and Catalog'!$C$8)^(A702-1),0)</f>
        <v>5511.0029536490229</v>
      </c>
      <c r="R702" s="5">
        <f>IF(AND('Assumptions and Catalog'!$C$19&gt;0,A702&gt;='Assumptions and Catalog'!$C$19),A702-'Assumptions and Catalog'!$C$19,A702-1)</f>
        <v>3</v>
      </c>
      <c r="S702" s="5">
        <f>F702+L702-(D702+E702)*C702-J702-K702-IF(E$52&gt;0,'Assumptions and Catalog'!$C$26*C702,0)</f>
        <v>0</v>
      </c>
      <c r="T702" s="5"/>
      <c r="U702" s="5"/>
    </row>
    <row r="703" spans="1:21" ht="23.1" customHeight="1" outlineLevel="1" x14ac:dyDescent="0.2">
      <c r="A703" s="5">
        <v>4</v>
      </c>
      <c r="B703" s="5">
        <v>7</v>
      </c>
      <c r="C703" s="5">
        <f>DAY(DATE('Assumptions and Catalog'!$C$24+A703-1,B703+1,0))</f>
        <v>31</v>
      </c>
      <c r="D703" s="5">
        <f>IF(ISNUMBER(Inputs!$L$5),Inputs!$L$5*Inputs!$L$6,0)</f>
        <v>40.35</v>
      </c>
      <c r="E703" s="5">
        <f>IF(ISNUMBER(Inputs!$L$5),Inputs!$L$5-D703,0)</f>
        <v>40.35</v>
      </c>
      <c r="F703" s="5">
        <f>E$51*'Assumptions and Catalog'!$C$31*C703*(1-'Assumptions and Catalog'!$C$10)^(A703-1)</f>
        <v>836.41722561375002</v>
      </c>
      <c r="G703" s="5">
        <f t="shared" si="48"/>
        <v>836.41722561375002</v>
      </c>
      <c r="H703" s="5">
        <f>I703/('Assumptions and Catalog'!$C$11*'Assumptions and Catalog'!$C$12)</f>
        <v>0</v>
      </c>
      <c r="I703" s="5">
        <f>MIN(E703*C703,P703*'Assumptions and Catalog'!$C$12*C703,(F703-G703)*'Assumptions and Catalog'!$C$11*'Assumptions and Catalog'!$C$12,E$56*'Assumptions and Catalog'!$C$14*'Assumptions and Catalog'!$C$11*'Assumptions and Catalog'!$C$12*C703,E$57*(24-'Assumptions and Catalog'!$C$13)*C703)</f>
        <v>0</v>
      </c>
      <c r="J703" s="5">
        <f t="shared" si="49"/>
        <v>0</v>
      </c>
      <c r="K703" s="5">
        <f t="shared" si="50"/>
        <v>0</v>
      </c>
      <c r="L703" s="5">
        <f>(D703+E703)*C703-G703-I703+0+IF(E$52&gt;0,'Assumptions and Catalog'!$C$26*C703,0)</f>
        <v>1665.2827743862504</v>
      </c>
      <c r="M703" s="5">
        <f>IF(ISNUMBER(Inputs!$L$5),(IF(Inputs!$L$9="Actual flat rate",((D703+E703)*C703)*Inputs!$L$10,IF(Inputs!$C$9="Residential",IF(((D703+E703)*C703)&lt;='Assumptions and Catalog'!$C$50,((D703+E703)*C703)*'Assumptions and Catalog'!$H$50+'Assumptions and Catalog'!$E$50+'Assumptions and Catalog'!$F$50,IF(((D703+E703)*C703)&lt;='Assumptions and Catalog'!$C$51,((D703+E703)*C703)*'Assumptions and Catalog'!$H$51+'Assumptions and Catalog'!$E$51+'Assumptions and Catalog'!$F$51,IF(((D703+E703)*C703)&lt;='Assumptions and Catalog'!$C$52,((D703+E703)*C703)*'Assumptions and Catalog'!$H$52+'Assumptions and Catalog'!$E$52+'Assumptions and Catalog'!$F$52,IF(((D703+E703)*C703)&lt;='Assumptions and Catalog'!$C$53,((D703+E703)*C703)*'Assumptions and Catalog'!$H$53+'Assumptions and Catalog'!$E$53+'Assumptions and Catalog'!$F$53,IF(((D703+E703)*C703)&lt;='Assumptions and Catalog'!$C$54,((D703+E703)*C703)*'Assumptions and Catalog'!$H$54+'Assumptions and Catalog'!$E$54+'Assumptions and Catalog'!$F$54,IF(((D703+E703)*C703)&lt;='Assumptions and Catalog'!$C$55,((D703+E703)*C703)*'Assumptions and Catalog'!$H$55+'Assumptions and Catalog'!$E$55+'Assumptions and Catalog'!$F$55,IF(((D703+E703)*C703)&lt;='Assumptions and Catalog'!$C$56,((D703+E703)*C703)*'Assumptions and Catalog'!$H$56+'Assumptions and Catalog'!$E$56+'Assumptions and Catalog'!$F$56,IF(((D703+E703)*C703)&lt;='Assumptions and Catalog'!$C$57,((D703+E703)*C703)*'Assumptions and Catalog'!$H$57+'Assumptions and Catalog'!$E$57+'Assumptions and Catalog'!$F$57,"Out of range")))))))),IF(((D703+E703)*C703)&lt;='Assumptions and Catalog'!$C$60,((D703+E703)*C703)*'Assumptions and Catalog'!$H$60+'Assumptions and Catalog'!$E$60+'Assumptions and Catalog'!$F$60,IF(((D703+E703)*C703)&lt;='Assumptions and Catalog'!$C$61,((D703+E703)*C703)*'Assumptions and Catalog'!$H$61+'Assumptions and Catalog'!$E$61+'Assumptions and Catalog'!$F$61,IF(((D703+E703)*C703)&lt;='Assumptions and Catalog'!$C$62,((D703+E703)*C703)*'Assumptions and Catalog'!$H$62+'Assumptions and Catalog'!$E$62+'Assumptions and Catalog'!$F$62,IF(((D703+E703)*C703)&lt;='Assumptions and Catalog'!$C$63,((D703+E703)*C703)*'Assumptions and Catalog'!$H$63+'Assumptions and Catalog'!$E$63+'Assumptions and Catalog'!$F$63,IF(((D703+E703)*C703)&lt;='Assumptions and Catalog'!$C$64,((D703+E703)*C703)*'Assumptions and Catalog'!$H$64+'Assumptions and Catalog'!$E$64+'Assumptions and Catalog'!$F$64,IF(((D703+E703)*C703)&lt;='Assumptions and Catalog'!$C$65,((D703+E703)*C703)*'Assumptions and Catalog'!$H$65+'Assumptions and Catalog'!$E$65+'Assumptions and Catalog'!$F$65,"Out of range")))))))))*(1+'Assumptions and Catalog'!$C$8)^(A703-1),0)</f>
        <v>8554.9666666666672</v>
      </c>
      <c r="N703" s="5">
        <f>IF(ISNUMBER(Inputs!$L$5),(IF(Inputs!$L$9="Actual flat rate",L703*Inputs!$L$10,IF(Inputs!$C$9="Residential",IF(L703&lt;='Assumptions and Catalog'!$C$50,L703*'Assumptions and Catalog'!$H$50+'Assumptions and Catalog'!$E$50+'Assumptions and Catalog'!$F$50,IF(L703&lt;='Assumptions and Catalog'!$C$51,L703*'Assumptions and Catalog'!$H$51+'Assumptions and Catalog'!$E$51+'Assumptions and Catalog'!$F$51,IF(L703&lt;='Assumptions and Catalog'!$C$52,L703*'Assumptions and Catalog'!$H$52+'Assumptions and Catalog'!$E$52+'Assumptions and Catalog'!$F$52,IF(L703&lt;='Assumptions and Catalog'!$C$53,L703*'Assumptions and Catalog'!$H$53+'Assumptions and Catalog'!$E$53+'Assumptions and Catalog'!$F$53,IF(L703&lt;='Assumptions and Catalog'!$C$54,L703*'Assumptions and Catalog'!$H$54+'Assumptions and Catalog'!$E$54+'Assumptions and Catalog'!$F$54,IF(L703&lt;='Assumptions and Catalog'!$C$55,L703*'Assumptions and Catalog'!$H$55+'Assumptions and Catalog'!$E$55+'Assumptions and Catalog'!$F$55,IF(L703&lt;='Assumptions and Catalog'!$C$56,L703*'Assumptions and Catalog'!$H$56+'Assumptions and Catalog'!$E$56+'Assumptions and Catalog'!$F$56,IF(L703&lt;='Assumptions and Catalog'!$C$57,L703*'Assumptions and Catalog'!$H$57+'Assumptions and Catalog'!$E$57+'Assumptions and Catalog'!$F$57,"Out of range")))))))),IF(L703&lt;='Assumptions and Catalog'!$C$60,L703*'Assumptions and Catalog'!$H$60+'Assumptions and Catalog'!$E$60+'Assumptions and Catalog'!$F$60,IF(L703&lt;='Assumptions and Catalog'!$C$61,L703*'Assumptions and Catalog'!$H$61+'Assumptions and Catalog'!$E$61+'Assumptions and Catalog'!$F$61,IF(L703&lt;='Assumptions and Catalog'!$C$62,L703*'Assumptions and Catalog'!$H$62+'Assumptions and Catalog'!$E$62+'Assumptions and Catalog'!$F$62,IF(L703&lt;='Assumptions and Catalog'!$C$63,L703*'Assumptions and Catalog'!$H$63+'Assumptions and Catalog'!$E$63+'Assumptions and Catalog'!$F$63,IF(L703&lt;='Assumptions and Catalog'!$C$64,L703*'Assumptions and Catalog'!$H$64+'Assumptions and Catalog'!$E$64+'Assumptions and Catalog'!$F$64,IF(L703&lt;='Assumptions and Catalog'!$C$65,L703*'Assumptions and Catalog'!$H$65+'Assumptions and Catalog'!$E$65+'Assumptions and Catalog'!$F$65,"Out of range")))))))))*(1+'Assumptions and Catalog'!$C$8)^(A703-1),0)</f>
        <v>5694.7030521039924</v>
      </c>
      <c r="O703" s="5">
        <f t="shared" si="51"/>
        <v>2860.2636145626748</v>
      </c>
      <c r="P703" s="5">
        <f>E$55*(1-L$14)*(1-'Assumptions and Catalog'!$C$23)^R703</f>
        <v>96.3780608</v>
      </c>
      <c r="Q703" s="5">
        <f>IF(ISNUMBER(Inputs!$L$5),(IF(Inputs!$L$9="Actual flat rate",((D703+E703)*C703-G703)*Inputs!$L$10,IF(Inputs!$C$9="Residential",IF(((D703+E703)*C703-G703)&lt;='Assumptions and Catalog'!$C$50,((D703+E703)*C703-G703)*'Assumptions and Catalog'!$H$50+'Assumptions and Catalog'!$E$50+'Assumptions and Catalog'!$F$50,IF(((D703+E703)*C703-G703)&lt;='Assumptions and Catalog'!$C$51,((D703+E703)*C703-G703)*'Assumptions and Catalog'!$H$51+'Assumptions and Catalog'!$E$51+'Assumptions and Catalog'!$F$51,IF(((D703+E703)*C703-G703)&lt;='Assumptions and Catalog'!$C$52,((D703+E703)*C703-G703)*'Assumptions and Catalog'!$H$52+'Assumptions and Catalog'!$E$52+'Assumptions and Catalog'!$F$52,IF(((D703+E703)*C703-G703)&lt;='Assumptions and Catalog'!$C$53,((D703+E703)*C703-G703)*'Assumptions and Catalog'!$H$53+'Assumptions and Catalog'!$E$53+'Assumptions and Catalog'!$F$53,IF(((D703+E703)*C703-G703)&lt;='Assumptions and Catalog'!$C$54,((D703+E703)*C703-G703)*'Assumptions and Catalog'!$H$54+'Assumptions and Catalog'!$E$54+'Assumptions and Catalog'!$F$54,IF(((D703+E703)*C703-G703)&lt;='Assumptions and Catalog'!$C$55,((D703+E703)*C703-G703)*'Assumptions and Catalog'!$H$55+'Assumptions and Catalog'!$E$55+'Assumptions and Catalog'!$F$55,IF(((D703+E703)*C703-G703)&lt;='Assumptions and Catalog'!$C$56,((D703+E703)*C703-G703)*'Assumptions and Catalog'!$H$56+'Assumptions and Catalog'!$E$56+'Assumptions and Catalog'!$F$56,IF(((D703+E703)*C703-G703)&lt;='Assumptions and Catalog'!$C$57,((D703+E703)*C703-G703)*'Assumptions and Catalog'!$H$57+'Assumptions and Catalog'!$E$57+'Assumptions and Catalog'!$F$57,"Out of range")))))))),IF(((D703+E703)*C703-G703)&lt;='Assumptions and Catalog'!$C$60,((D703+E703)*C703-G703)*'Assumptions and Catalog'!$H$60+'Assumptions and Catalog'!$E$60+'Assumptions and Catalog'!$F$60,IF(((D703+E703)*C703-G703)&lt;='Assumptions and Catalog'!$C$61,((D703+E703)*C703-G703)*'Assumptions and Catalog'!$H$61+'Assumptions and Catalog'!$E$61+'Assumptions and Catalog'!$F$61,IF(((D703+E703)*C703-G703)&lt;='Assumptions and Catalog'!$C$62,((D703+E703)*C703-G703)*'Assumptions and Catalog'!$H$62+'Assumptions and Catalog'!$E$62+'Assumptions and Catalog'!$F$62,IF(((D703+E703)*C703-G703)&lt;='Assumptions and Catalog'!$C$63,((D703+E703)*C703-G703)*'Assumptions and Catalog'!$H$63+'Assumptions and Catalog'!$E$63+'Assumptions and Catalog'!$F$63,IF(((D703+E703)*C703-G703)&lt;='Assumptions and Catalog'!$C$64,((D703+E703)*C703-G703)*'Assumptions and Catalog'!$H$64+'Assumptions and Catalog'!$E$64+'Assumptions and Catalog'!$F$64,IF(((D703+E703)*C703-G703)&lt;='Assumptions and Catalog'!$C$65,((D703+E703)*C703-G703)*'Assumptions and Catalog'!$H$65+'Assumptions and Catalog'!$E$65+'Assumptions and Catalog'!$F$65,"Out of range")))))))))*(1+'Assumptions and Catalog'!$C$8)^(A703-1),0)</f>
        <v>5694.7030521039924</v>
      </c>
      <c r="R703" s="5">
        <f>IF(AND('Assumptions and Catalog'!$C$19&gt;0,A703&gt;='Assumptions and Catalog'!$C$19),A703-'Assumptions and Catalog'!$C$19,A703-1)</f>
        <v>3</v>
      </c>
      <c r="S703" s="5">
        <f>F703+L703-(D703+E703)*C703-J703-K703-IF(E$52&gt;0,'Assumptions and Catalog'!$C$26*C703,0)</f>
        <v>0</v>
      </c>
      <c r="T703" s="5"/>
      <c r="U703" s="5"/>
    </row>
    <row r="704" spans="1:21" ht="23.1" customHeight="1" outlineLevel="1" x14ac:dyDescent="0.2">
      <c r="A704" s="5">
        <v>4</v>
      </c>
      <c r="B704" s="5">
        <v>8</v>
      </c>
      <c r="C704" s="5">
        <f>DAY(DATE('Assumptions and Catalog'!$C$24+A704-1,B704+1,0))</f>
        <v>31</v>
      </c>
      <c r="D704" s="5">
        <f>IF(ISNUMBER(Inputs!$L$5),Inputs!$L$5*Inputs!$L$6,0)</f>
        <v>40.35</v>
      </c>
      <c r="E704" s="5">
        <f>IF(ISNUMBER(Inputs!$L$5),Inputs!$L$5-D704,0)</f>
        <v>40.35</v>
      </c>
      <c r="F704" s="5">
        <f>E$51*'Assumptions and Catalog'!$C$31*C704*(1-'Assumptions and Catalog'!$C$10)^(A704-1)</f>
        <v>836.41722561375002</v>
      </c>
      <c r="G704" s="5">
        <f t="shared" si="48"/>
        <v>836.41722561375002</v>
      </c>
      <c r="H704" s="5">
        <f>I704/('Assumptions and Catalog'!$C$11*'Assumptions and Catalog'!$C$12)</f>
        <v>0</v>
      </c>
      <c r="I704" s="5">
        <f>MIN(E704*C704,P704*'Assumptions and Catalog'!$C$12*C704,(F704-G704)*'Assumptions and Catalog'!$C$11*'Assumptions and Catalog'!$C$12,E$56*'Assumptions and Catalog'!$C$14*'Assumptions and Catalog'!$C$11*'Assumptions and Catalog'!$C$12*C704,E$57*(24-'Assumptions and Catalog'!$C$13)*C704)</f>
        <v>0</v>
      </c>
      <c r="J704" s="5">
        <f t="shared" si="49"/>
        <v>0</v>
      </c>
      <c r="K704" s="5">
        <f t="shared" si="50"/>
        <v>0</v>
      </c>
      <c r="L704" s="5">
        <f>(D704+E704)*C704-G704-I704+0+IF(E$52&gt;0,'Assumptions and Catalog'!$C$26*C704,0)</f>
        <v>1665.2827743862504</v>
      </c>
      <c r="M704" s="5">
        <f>IF(ISNUMBER(Inputs!$L$5),(IF(Inputs!$L$9="Actual flat rate",((D704+E704)*C704)*Inputs!$L$10,IF(Inputs!$C$9="Residential",IF(((D704+E704)*C704)&lt;='Assumptions and Catalog'!$C$50,((D704+E704)*C704)*'Assumptions and Catalog'!$H$50+'Assumptions and Catalog'!$E$50+'Assumptions and Catalog'!$F$50,IF(((D704+E704)*C704)&lt;='Assumptions and Catalog'!$C$51,((D704+E704)*C704)*'Assumptions and Catalog'!$H$51+'Assumptions and Catalog'!$E$51+'Assumptions and Catalog'!$F$51,IF(((D704+E704)*C704)&lt;='Assumptions and Catalog'!$C$52,((D704+E704)*C704)*'Assumptions and Catalog'!$H$52+'Assumptions and Catalog'!$E$52+'Assumptions and Catalog'!$F$52,IF(((D704+E704)*C704)&lt;='Assumptions and Catalog'!$C$53,((D704+E704)*C704)*'Assumptions and Catalog'!$H$53+'Assumptions and Catalog'!$E$53+'Assumptions and Catalog'!$F$53,IF(((D704+E704)*C704)&lt;='Assumptions and Catalog'!$C$54,((D704+E704)*C704)*'Assumptions and Catalog'!$H$54+'Assumptions and Catalog'!$E$54+'Assumptions and Catalog'!$F$54,IF(((D704+E704)*C704)&lt;='Assumptions and Catalog'!$C$55,((D704+E704)*C704)*'Assumptions and Catalog'!$H$55+'Assumptions and Catalog'!$E$55+'Assumptions and Catalog'!$F$55,IF(((D704+E704)*C704)&lt;='Assumptions and Catalog'!$C$56,((D704+E704)*C704)*'Assumptions and Catalog'!$H$56+'Assumptions and Catalog'!$E$56+'Assumptions and Catalog'!$F$56,IF(((D704+E704)*C704)&lt;='Assumptions and Catalog'!$C$57,((D704+E704)*C704)*'Assumptions and Catalog'!$H$57+'Assumptions and Catalog'!$E$57+'Assumptions and Catalog'!$F$57,"Out of range")))))))),IF(((D704+E704)*C704)&lt;='Assumptions and Catalog'!$C$60,((D704+E704)*C704)*'Assumptions and Catalog'!$H$60+'Assumptions and Catalog'!$E$60+'Assumptions and Catalog'!$F$60,IF(((D704+E704)*C704)&lt;='Assumptions and Catalog'!$C$61,((D704+E704)*C704)*'Assumptions and Catalog'!$H$61+'Assumptions and Catalog'!$E$61+'Assumptions and Catalog'!$F$61,IF(((D704+E704)*C704)&lt;='Assumptions and Catalog'!$C$62,((D704+E704)*C704)*'Assumptions and Catalog'!$H$62+'Assumptions and Catalog'!$E$62+'Assumptions and Catalog'!$F$62,IF(((D704+E704)*C704)&lt;='Assumptions and Catalog'!$C$63,((D704+E704)*C704)*'Assumptions and Catalog'!$H$63+'Assumptions and Catalog'!$E$63+'Assumptions and Catalog'!$F$63,IF(((D704+E704)*C704)&lt;='Assumptions and Catalog'!$C$64,((D704+E704)*C704)*'Assumptions and Catalog'!$H$64+'Assumptions and Catalog'!$E$64+'Assumptions and Catalog'!$F$64,IF(((D704+E704)*C704)&lt;='Assumptions and Catalog'!$C$65,((D704+E704)*C704)*'Assumptions and Catalog'!$H$65+'Assumptions and Catalog'!$E$65+'Assumptions and Catalog'!$F$65,"Out of range")))))))))*(1+'Assumptions and Catalog'!$C$8)^(A704-1),0)</f>
        <v>8554.9666666666672</v>
      </c>
      <c r="N704" s="5">
        <f>IF(ISNUMBER(Inputs!$L$5),(IF(Inputs!$L$9="Actual flat rate",L704*Inputs!$L$10,IF(Inputs!$C$9="Residential",IF(L704&lt;='Assumptions and Catalog'!$C$50,L704*'Assumptions and Catalog'!$H$50+'Assumptions and Catalog'!$E$50+'Assumptions and Catalog'!$F$50,IF(L704&lt;='Assumptions and Catalog'!$C$51,L704*'Assumptions and Catalog'!$H$51+'Assumptions and Catalog'!$E$51+'Assumptions and Catalog'!$F$51,IF(L704&lt;='Assumptions and Catalog'!$C$52,L704*'Assumptions and Catalog'!$H$52+'Assumptions and Catalog'!$E$52+'Assumptions and Catalog'!$F$52,IF(L704&lt;='Assumptions and Catalog'!$C$53,L704*'Assumptions and Catalog'!$H$53+'Assumptions and Catalog'!$E$53+'Assumptions and Catalog'!$F$53,IF(L704&lt;='Assumptions and Catalog'!$C$54,L704*'Assumptions and Catalog'!$H$54+'Assumptions and Catalog'!$E$54+'Assumptions and Catalog'!$F$54,IF(L704&lt;='Assumptions and Catalog'!$C$55,L704*'Assumptions and Catalog'!$H$55+'Assumptions and Catalog'!$E$55+'Assumptions and Catalog'!$F$55,IF(L704&lt;='Assumptions and Catalog'!$C$56,L704*'Assumptions and Catalog'!$H$56+'Assumptions and Catalog'!$E$56+'Assumptions and Catalog'!$F$56,IF(L704&lt;='Assumptions and Catalog'!$C$57,L704*'Assumptions and Catalog'!$H$57+'Assumptions and Catalog'!$E$57+'Assumptions and Catalog'!$F$57,"Out of range")))))))),IF(L704&lt;='Assumptions and Catalog'!$C$60,L704*'Assumptions and Catalog'!$H$60+'Assumptions and Catalog'!$E$60+'Assumptions and Catalog'!$F$60,IF(L704&lt;='Assumptions and Catalog'!$C$61,L704*'Assumptions and Catalog'!$H$61+'Assumptions and Catalog'!$E$61+'Assumptions and Catalog'!$F$61,IF(L704&lt;='Assumptions and Catalog'!$C$62,L704*'Assumptions and Catalog'!$H$62+'Assumptions and Catalog'!$E$62+'Assumptions and Catalog'!$F$62,IF(L704&lt;='Assumptions and Catalog'!$C$63,L704*'Assumptions and Catalog'!$H$63+'Assumptions and Catalog'!$E$63+'Assumptions and Catalog'!$F$63,IF(L704&lt;='Assumptions and Catalog'!$C$64,L704*'Assumptions and Catalog'!$H$64+'Assumptions and Catalog'!$E$64+'Assumptions and Catalog'!$F$64,IF(L704&lt;='Assumptions and Catalog'!$C$65,L704*'Assumptions and Catalog'!$H$65+'Assumptions and Catalog'!$E$65+'Assumptions and Catalog'!$F$65,"Out of range")))))))))*(1+'Assumptions and Catalog'!$C$8)^(A704-1),0)</f>
        <v>5694.7030521039924</v>
      </c>
      <c r="O704" s="5">
        <f t="shared" si="51"/>
        <v>2860.2636145626748</v>
      </c>
      <c r="P704" s="5">
        <f>E$55*(1-L$14)*(1-'Assumptions and Catalog'!$C$23)^R704</f>
        <v>96.3780608</v>
      </c>
      <c r="Q704" s="5">
        <f>IF(ISNUMBER(Inputs!$L$5),(IF(Inputs!$L$9="Actual flat rate",((D704+E704)*C704-G704)*Inputs!$L$10,IF(Inputs!$C$9="Residential",IF(((D704+E704)*C704-G704)&lt;='Assumptions and Catalog'!$C$50,((D704+E704)*C704-G704)*'Assumptions and Catalog'!$H$50+'Assumptions and Catalog'!$E$50+'Assumptions and Catalog'!$F$50,IF(((D704+E704)*C704-G704)&lt;='Assumptions and Catalog'!$C$51,((D704+E704)*C704-G704)*'Assumptions and Catalog'!$H$51+'Assumptions and Catalog'!$E$51+'Assumptions and Catalog'!$F$51,IF(((D704+E704)*C704-G704)&lt;='Assumptions and Catalog'!$C$52,((D704+E704)*C704-G704)*'Assumptions and Catalog'!$H$52+'Assumptions and Catalog'!$E$52+'Assumptions and Catalog'!$F$52,IF(((D704+E704)*C704-G704)&lt;='Assumptions and Catalog'!$C$53,((D704+E704)*C704-G704)*'Assumptions and Catalog'!$H$53+'Assumptions and Catalog'!$E$53+'Assumptions and Catalog'!$F$53,IF(((D704+E704)*C704-G704)&lt;='Assumptions and Catalog'!$C$54,((D704+E704)*C704-G704)*'Assumptions and Catalog'!$H$54+'Assumptions and Catalog'!$E$54+'Assumptions and Catalog'!$F$54,IF(((D704+E704)*C704-G704)&lt;='Assumptions and Catalog'!$C$55,((D704+E704)*C704-G704)*'Assumptions and Catalog'!$H$55+'Assumptions and Catalog'!$E$55+'Assumptions and Catalog'!$F$55,IF(((D704+E704)*C704-G704)&lt;='Assumptions and Catalog'!$C$56,((D704+E704)*C704-G704)*'Assumptions and Catalog'!$H$56+'Assumptions and Catalog'!$E$56+'Assumptions and Catalog'!$F$56,IF(((D704+E704)*C704-G704)&lt;='Assumptions and Catalog'!$C$57,((D704+E704)*C704-G704)*'Assumptions and Catalog'!$H$57+'Assumptions and Catalog'!$E$57+'Assumptions and Catalog'!$F$57,"Out of range")))))))),IF(((D704+E704)*C704-G704)&lt;='Assumptions and Catalog'!$C$60,((D704+E704)*C704-G704)*'Assumptions and Catalog'!$H$60+'Assumptions and Catalog'!$E$60+'Assumptions and Catalog'!$F$60,IF(((D704+E704)*C704-G704)&lt;='Assumptions and Catalog'!$C$61,((D704+E704)*C704-G704)*'Assumptions and Catalog'!$H$61+'Assumptions and Catalog'!$E$61+'Assumptions and Catalog'!$F$61,IF(((D704+E704)*C704-G704)&lt;='Assumptions and Catalog'!$C$62,((D704+E704)*C704-G704)*'Assumptions and Catalog'!$H$62+'Assumptions and Catalog'!$E$62+'Assumptions and Catalog'!$F$62,IF(((D704+E704)*C704-G704)&lt;='Assumptions and Catalog'!$C$63,((D704+E704)*C704-G704)*'Assumptions and Catalog'!$H$63+'Assumptions and Catalog'!$E$63+'Assumptions and Catalog'!$F$63,IF(((D704+E704)*C704-G704)&lt;='Assumptions and Catalog'!$C$64,((D704+E704)*C704-G704)*'Assumptions and Catalog'!$H$64+'Assumptions and Catalog'!$E$64+'Assumptions and Catalog'!$F$64,IF(((D704+E704)*C704-G704)&lt;='Assumptions and Catalog'!$C$65,((D704+E704)*C704-G704)*'Assumptions and Catalog'!$H$65+'Assumptions and Catalog'!$E$65+'Assumptions and Catalog'!$F$65,"Out of range")))))))))*(1+'Assumptions and Catalog'!$C$8)^(A704-1),0)</f>
        <v>5694.7030521039924</v>
      </c>
      <c r="R704" s="5">
        <f>IF(AND('Assumptions and Catalog'!$C$19&gt;0,A704&gt;='Assumptions and Catalog'!$C$19),A704-'Assumptions and Catalog'!$C$19,A704-1)</f>
        <v>3</v>
      </c>
      <c r="S704" s="5">
        <f>F704+L704-(D704+E704)*C704-J704-K704-IF(E$52&gt;0,'Assumptions and Catalog'!$C$26*C704,0)</f>
        <v>0</v>
      </c>
      <c r="T704" s="5"/>
      <c r="U704" s="5"/>
    </row>
    <row r="705" spans="1:21" ht="23.1" customHeight="1" outlineLevel="1" x14ac:dyDescent="0.2">
      <c r="A705" s="5">
        <v>4</v>
      </c>
      <c r="B705" s="5">
        <v>9</v>
      </c>
      <c r="C705" s="5">
        <f>DAY(DATE('Assumptions and Catalog'!$C$24+A705-1,B705+1,0))</f>
        <v>30</v>
      </c>
      <c r="D705" s="5">
        <f>IF(ISNUMBER(Inputs!$L$5),Inputs!$L$5*Inputs!$L$6,0)</f>
        <v>40.35</v>
      </c>
      <c r="E705" s="5">
        <f>IF(ISNUMBER(Inputs!$L$5),Inputs!$L$5-D705,0)</f>
        <v>40.35</v>
      </c>
      <c r="F705" s="5">
        <f>E$51*'Assumptions and Catalog'!$C$31*C705*(1-'Assumptions and Catalog'!$C$10)^(A705-1)</f>
        <v>809.43602478750006</v>
      </c>
      <c r="G705" s="5">
        <f t="shared" si="48"/>
        <v>809.43602478750006</v>
      </c>
      <c r="H705" s="5">
        <f>I705/('Assumptions and Catalog'!$C$11*'Assumptions and Catalog'!$C$12)</f>
        <v>0</v>
      </c>
      <c r="I705" s="5">
        <f>MIN(E705*C705,P705*'Assumptions and Catalog'!$C$12*C705,(F705-G705)*'Assumptions and Catalog'!$C$11*'Assumptions and Catalog'!$C$12,E$56*'Assumptions and Catalog'!$C$14*'Assumptions and Catalog'!$C$11*'Assumptions and Catalog'!$C$12*C705,E$57*(24-'Assumptions and Catalog'!$C$13)*C705)</f>
        <v>0</v>
      </c>
      <c r="J705" s="5">
        <f t="shared" si="49"/>
        <v>0</v>
      </c>
      <c r="K705" s="5">
        <f t="shared" si="50"/>
        <v>0</v>
      </c>
      <c r="L705" s="5">
        <f>(D705+E705)*C705-G705-I705+0+IF(E$52&gt;0,'Assumptions and Catalog'!$C$26*C705,0)</f>
        <v>1611.5639752124998</v>
      </c>
      <c r="M705" s="5">
        <f>IF(ISNUMBER(Inputs!$L$5),(IF(Inputs!$L$9="Actual flat rate",((D705+E705)*C705)*Inputs!$L$10,IF(Inputs!$C$9="Residential",IF(((D705+E705)*C705)&lt;='Assumptions and Catalog'!$C$50,((D705+E705)*C705)*'Assumptions and Catalog'!$H$50+'Assumptions and Catalog'!$E$50+'Assumptions and Catalog'!$F$50,IF(((D705+E705)*C705)&lt;='Assumptions and Catalog'!$C$51,((D705+E705)*C705)*'Assumptions and Catalog'!$H$51+'Assumptions and Catalog'!$E$51+'Assumptions and Catalog'!$F$51,IF(((D705+E705)*C705)&lt;='Assumptions and Catalog'!$C$52,((D705+E705)*C705)*'Assumptions and Catalog'!$H$52+'Assumptions and Catalog'!$E$52+'Assumptions and Catalog'!$F$52,IF(((D705+E705)*C705)&lt;='Assumptions and Catalog'!$C$53,((D705+E705)*C705)*'Assumptions and Catalog'!$H$53+'Assumptions and Catalog'!$E$53+'Assumptions and Catalog'!$F$53,IF(((D705+E705)*C705)&lt;='Assumptions and Catalog'!$C$54,((D705+E705)*C705)*'Assumptions and Catalog'!$H$54+'Assumptions and Catalog'!$E$54+'Assumptions and Catalog'!$F$54,IF(((D705+E705)*C705)&lt;='Assumptions and Catalog'!$C$55,((D705+E705)*C705)*'Assumptions and Catalog'!$H$55+'Assumptions and Catalog'!$E$55+'Assumptions and Catalog'!$F$55,IF(((D705+E705)*C705)&lt;='Assumptions and Catalog'!$C$56,((D705+E705)*C705)*'Assumptions and Catalog'!$H$56+'Assumptions and Catalog'!$E$56+'Assumptions and Catalog'!$F$56,IF(((D705+E705)*C705)&lt;='Assumptions and Catalog'!$C$57,((D705+E705)*C705)*'Assumptions and Catalog'!$H$57+'Assumptions and Catalog'!$E$57+'Assumptions and Catalog'!$F$57,"Out of range")))))))),IF(((D705+E705)*C705)&lt;='Assumptions and Catalog'!$C$60,((D705+E705)*C705)*'Assumptions and Catalog'!$H$60+'Assumptions and Catalog'!$E$60+'Assumptions and Catalog'!$F$60,IF(((D705+E705)*C705)&lt;='Assumptions and Catalog'!$C$61,((D705+E705)*C705)*'Assumptions and Catalog'!$H$61+'Assumptions and Catalog'!$E$61+'Assumptions and Catalog'!$F$61,IF(((D705+E705)*C705)&lt;='Assumptions and Catalog'!$C$62,((D705+E705)*C705)*'Assumptions and Catalog'!$H$62+'Assumptions and Catalog'!$E$62+'Assumptions and Catalog'!$F$62,IF(((D705+E705)*C705)&lt;='Assumptions and Catalog'!$C$63,((D705+E705)*C705)*'Assumptions and Catalog'!$H$63+'Assumptions and Catalog'!$E$63+'Assumptions and Catalog'!$F$63,IF(((D705+E705)*C705)&lt;='Assumptions and Catalog'!$C$64,((D705+E705)*C705)*'Assumptions and Catalog'!$H$64+'Assumptions and Catalog'!$E$64+'Assumptions and Catalog'!$F$64,IF(((D705+E705)*C705)&lt;='Assumptions and Catalog'!$C$65,((D705+E705)*C705)*'Assumptions and Catalog'!$H$65+'Assumptions and Catalog'!$E$65+'Assumptions and Catalog'!$F$65,"Out of range")))))))))*(1+'Assumptions and Catalog'!$C$8)^(A705-1),0)</f>
        <v>8279</v>
      </c>
      <c r="N705" s="5">
        <f>IF(ISNUMBER(Inputs!$L$5),(IF(Inputs!$L$9="Actual flat rate",L705*Inputs!$L$10,IF(Inputs!$C$9="Residential",IF(L705&lt;='Assumptions and Catalog'!$C$50,L705*'Assumptions and Catalog'!$H$50+'Assumptions and Catalog'!$E$50+'Assumptions and Catalog'!$F$50,IF(L705&lt;='Assumptions and Catalog'!$C$51,L705*'Assumptions and Catalog'!$H$51+'Assumptions and Catalog'!$E$51+'Assumptions and Catalog'!$F$51,IF(L705&lt;='Assumptions and Catalog'!$C$52,L705*'Assumptions and Catalog'!$H$52+'Assumptions and Catalog'!$E$52+'Assumptions and Catalog'!$F$52,IF(L705&lt;='Assumptions and Catalog'!$C$53,L705*'Assumptions and Catalog'!$H$53+'Assumptions and Catalog'!$E$53+'Assumptions and Catalog'!$F$53,IF(L705&lt;='Assumptions and Catalog'!$C$54,L705*'Assumptions and Catalog'!$H$54+'Assumptions and Catalog'!$E$54+'Assumptions and Catalog'!$F$54,IF(L705&lt;='Assumptions and Catalog'!$C$55,L705*'Assumptions and Catalog'!$H$55+'Assumptions and Catalog'!$E$55+'Assumptions and Catalog'!$F$55,IF(L705&lt;='Assumptions and Catalog'!$C$56,L705*'Assumptions and Catalog'!$H$56+'Assumptions and Catalog'!$E$56+'Assumptions and Catalog'!$F$56,IF(L705&lt;='Assumptions and Catalog'!$C$57,L705*'Assumptions and Catalog'!$H$57+'Assumptions and Catalog'!$E$57+'Assumptions and Catalog'!$F$57,"Out of range")))))))),IF(L705&lt;='Assumptions and Catalog'!$C$60,L705*'Assumptions and Catalog'!$H$60+'Assumptions and Catalog'!$E$60+'Assumptions and Catalog'!$F$60,IF(L705&lt;='Assumptions and Catalog'!$C$61,L705*'Assumptions and Catalog'!$H$61+'Assumptions and Catalog'!$E$61+'Assumptions and Catalog'!$F$61,IF(L705&lt;='Assumptions and Catalog'!$C$62,L705*'Assumptions and Catalog'!$H$62+'Assumptions and Catalog'!$E$62+'Assumptions and Catalog'!$F$62,IF(L705&lt;='Assumptions and Catalog'!$C$63,L705*'Assumptions and Catalog'!$H$63+'Assumptions and Catalog'!$E$63+'Assumptions and Catalog'!$F$63,IF(L705&lt;='Assumptions and Catalog'!$C$64,L705*'Assumptions and Catalog'!$H$64+'Assumptions and Catalog'!$E$64+'Assumptions and Catalog'!$F$64,IF(L705&lt;='Assumptions and Catalog'!$C$65,L705*'Assumptions and Catalog'!$H$65+'Assumptions and Catalog'!$E$65+'Assumptions and Catalog'!$F$65,"Out of range")))))))))*(1+'Assumptions and Catalog'!$C$8)^(A705-1),0)</f>
        <v>5511.0029536490229</v>
      </c>
      <c r="O705" s="5">
        <f t="shared" si="51"/>
        <v>2767.9970463509771</v>
      </c>
      <c r="P705" s="5">
        <f>E$55*(1-L$14)*(1-'Assumptions and Catalog'!$C$23)^R705</f>
        <v>96.3780608</v>
      </c>
      <c r="Q705" s="5">
        <f>IF(ISNUMBER(Inputs!$L$5),(IF(Inputs!$L$9="Actual flat rate",((D705+E705)*C705-G705)*Inputs!$L$10,IF(Inputs!$C$9="Residential",IF(((D705+E705)*C705-G705)&lt;='Assumptions and Catalog'!$C$50,((D705+E705)*C705-G705)*'Assumptions and Catalog'!$H$50+'Assumptions and Catalog'!$E$50+'Assumptions and Catalog'!$F$50,IF(((D705+E705)*C705-G705)&lt;='Assumptions and Catalog'!$C$51,((D705+E705)*C705-G705)*'Assumptions and Catalog'!$H$51+'Assumptions and Catalog'!$E$51+'Assumptions and Catalog'!$F$51,IF(((D705+E705)*C705-G705)&lt;='Assumptions and Catalog'!$C$52,((D705+E705)*C705-G705)*'Assumptions and Catalog'!$H$52+'Assumptions and Catalog'!$E$52+'Assumptions and Catalog'!$F$52,IF(((D705+E705)*C705-G705)&lt;='Assumptions and Catalog'!$C$53,((D705+E705)*C705-G705)*'Assumptions and Catalog'!$H$53+'Assumptions and Catalog'!$E$53+'Assumptions and Catalog'!$F$53,IF(((D705+E705)*C705-G705)&lt;='Assumptions and Catalog'!$C$54,((D705+E705)*C705-G705)*'Assumptions and Catalog'!$H$54+'Assumptions and Catalog'!$E$54+'Assumptions and Catalog'!$F$54,IF(((D705+E705)*C705-G705)&lt;='Assumptions and Catalog'!$C$55,((D705+E705)*C705-G705)*'Assumptions and Catalog'!$H$55+'Assumptions and Catalog'!$E$55+'Assumptions and Catalog'!$F$55,IF(((D705+E705)*C705-G705)&lt;='Assumptions and Catalog'!$C$56,((D705+E705)*C705-G705)*'Assumptions and Catalog'!$H$56+'Assumptions and Catalog'!$E$56+'Assumptions and Catalog'!$F$56,IF(((D705+E705)*C705-G705)&lt;='Assumptions and Catalog'!$C$57,((D705+E705)*C705-G705)*'Assumptions and Catalog'!$H$57+'Assumptions and Catalog'!$E$57+'Assumptions and Catalog'!$F$57,"Out of range")))))))),IF(((D705+E705)*C705-G705)&lt;='Assumptions and Catalog'!$C$60,((D705+E705)*C705-G705)*'Assumptions and Catalog'!$H$60+'Assumptions and Catalog'!$E$60+'Assumptions and Catalog'!$F$60,IF(((D705+E705)*C705-G705)&lt;='Assumptions and Catalog'!$C$61,((D705+E705)*C705-G705)*'Assumptions and Catalog'!$H$61+'Assumptions and Catalog'!$E$61+'Assumptions and Catalog'!$F$61,IF(((D705+E705)*C705-G705)&lt;='Assumptions and Catalog'!$C$62,((D705+E705)*C705-G705)*'Assumptions and Catalog'!$H$62+'Assumptions and Catalog'!$E$62+'Assumptions and Catalog'!$F$62,IF(((D705+E705)*C705-G705)&lt;='Assumptions and Catalog'!$C$63,((D705+E705)*C705-G705)*'Assumptions and Catalog'!$H$63+'Assumptions and Catalog'!$E$63+'Assumptions and Catalog'!$F$63,IF(((D705+E705)*C705-G705)&lt;='Assumptions and Catalog'!$C$64,((D705+E705)*C705-G705)*'Assumptions and Catalog'!$H$64+'Assumptions and Catalog'!$E$64+'Assumptions and Catalog'!$F$64,IF(((D705+E705)*C705-G705)&lt;='Assumptions and Catalog'!$C$65,((D705+E705)*C705-G705)*'Assumptions and Catalog'!$H$65+'Assumptions and Catalog'!$E$65+'Assumptions and Catalog'!$F$65,"Out of range")))))))))*(1+'Assumptions and Catalog'!$C$8)^(A705-1),0)</f>
        <v>5511.0029536490229</v>
      </c>
      <c r="R705" s="5">
        <f>IF(AND('Assumptions and Catalog'!$C$19&gt;0,A705&gt;='Assumptions and Catalog'!$C$19),A705-'Assumptions and Catalog'!$C$19,A705-1)</f>
        <v>3</v>
      </c>
      <c r="S705" s="5">
        <f>F705+L705-(D705+E705)*C705-J705-K705-IF(E$52&gt;0,'Assumptions and Catalog'!$C$26*C705,0)</f>
        <v>0</v>
      </c>
      <c r="T705" s="5"/>
      <c r="U705" s="5"/>
    </row>
    <row r="706" spans="1:21" ht="23.1" customHeight="1" outlineLevel="1" x14ac:dyDescent="0.2">
      <c r="A706" s="5">
        <v>4</v>
      </c>
      <c r="B706" s="5">
        <v>10</v>
      </c>
      <c r="C706" s="5">
        <f>DAY(DATE('Assumptions and Catalog'!$C$24+A706-1,B706+1,0))</f>
        <v>31</v>
      </c>
      <c r="D706" s="5">
        <f>IF(ISNUMBER(Inputs!$L$5),Inputs!$L$5*Inputs!$L$6,0)</f>
        <v>40.35</v>
      </c>
      <c r="E706" s="5">
        <f>IF(ISNUMBER(Inputs!$L$5),Inputs!$L$5-D706,0)</f>
        <v>40.35</v>
      </c>
      <c r="F706" s="5">
        <f>E$51*'Assumptions and Catalog'!$C$31*C706*(1-'Assumptions and Catalog'!$C$10)^(A706-1)</f>
        <v>836.41722561375002</v>
      </c>
      <c r="G706" s="5">
        <f t="shared" si="48"/>
        <v>836.41722561375002</v>
      </c>
      <c r="H706" s="5">
        <f>I706/('Assumptions and Catalog'!$C$11*'Assumptions and Catalog'!$C$12)</f>
        <v>0</v>
      </c>
      <c r="I706" s="5">
        <f>MIN(E706*C706,P706*'Assumptions and Catalog'!$C$12*C706,(F706-G706)*'Assumptions and Catalog'!$C$11*'Assumptions and Catalog'!$C$12,E$56*'Assumptions and Catalog'!$C$14*'Assumptions and Catalog'!$C$11*'Assumptions and Catalog'!$C$12*C706,E$57*(24-'Assumptions and Catalog'!$C$13)*C706)</f>
        <v>0</v>
      </c>
      <c r="J706" s="5">
        <f t="shared" si="49"/>
        <v>0</v>
      </c>
      <c r="K706" s="5">
        <f t="shared" si="50"/>
        <v>0</v>
      </c>
      <c r="L706" s="5">
        <f>(D706+E706)*C706-G706-I706+0+IF(E$52&gt;0,'Assumptions and Catalog'!$C$26*C706,0)</f>
        <v>1665.2827743862504</v>
      </c>
      <c r="M706" s="5">
        <f>IF(ISNUMBER(Inputs!$L$5),(IF(Inputs!$L$9="Actual flat rate",((D706+E706)*C706)*Inputs!$L$10,IF(Inputs!$C$9="Residential",IF(((D706+E706)*C706)&lt;='Assumptions and Catalog'!$C$50,((D706+E706)*C706)*'Assumptions and Catalog'!$H$50+'Assumptions and Catalog'!$E$50+'Assumptions and Catalog'!$F$50,IF(((D706+E706)*C706)&lt;='Assumptions and Catalog'!$C$51,((D706+E706)*C706)*'Assumptions and Catalog'!$H$51+'Assumptions and Catalog'!$E$51+'Assumptions and Catalog'!$F$51,IF(((D706+E706)*C706)&lt;='Assumptions and Catalog'!$C$52,((D706+E706)*C706)*'Assumptions and Catalog'!$H$52+'Assumptions and Catalog'!$E$52+'Assumptions and Catalog'!$F$52,IF(((D706+E706)*C706)&lt;='Assumptions and Catalog'!$C$53,((D706+E706)*C706)*'Assumptions and Catalog'!$H$53+'Assumptions and Catalog'!$E$53+'Assumptions and Catalog'!$F$53,IF(((D706+E706)*C706)&lt;='Assumptions and Catalog'!$C$54,((D706+E706)*C706)*'Assumptions and Catalog'!$H$54+'Assumptions and Catalog'!$E$54+'Assumptions and Catalog'!$F$54,IF(((D706+E706)*C706)&lt;='Assumptions and Catalog'!$C$55,((D706+E706)*C706)*'Assumptions and Catalog'!$H$55+'Assumptions and Catalog'!$E$55+'Assumptions and Catalog'!$F$55,IF(((D706+E706)*C706)&lt;='Assumptions and Catalog'!$C$56,((D706+E706)*C706)*'Assumptions and Catalog'!$H$56+'Assumptions and Catalog'!$E$56+'Assumptions and Catalog'!$F$56,IF(((D706+E706)*C706)&lt;='Assumptions and Catalog'!$C$57,((D706+E706)*C706)*'Assumptions and Catalog'!$H$57+'Assumptions and Catalog'!$E$57+'Assumptions and Catalog'!$F$57,"Out of range")))))))),IF(((D706+E706)*C706)&lt;='Assumptions and Catalog'!$C$60,((D706+E706)*C706)*'Assumptions and Catalog'!$H$60+'Assumptions and Catalog'!$E$60+'Assumptions and Catalog'!$F$60,IF(((D706+E706)*C706)&lt;='Assumptions and Catalog'!$C$61,((D706+E706)*C706)*'Assumptions and Catalog'!$H$61+'Assumptions and Catalog'!$E$61+'Assumptions and Catalog'!$F$61,IF(((D706+E706)*C706)&lt;='Assumptions and Catalog'!$C$62,((D706+E706)*C706)*'Assumptions and Catalog'!$H$62+'Assumptions and Catalog'!$E$62+'Assumptions and Catalog'!$F$62,IF(((D706+E706)*C706)&lt;='Assumptions and Catalog'!$C$63,((D706+E706)*C706)*'Assumptions and Catalog'!$H$63+'Assumptions and Catalog'!$E$63+'Assumptions and Catalog'!$F$63,IF(((D706+E706)*C706)&lt;='Assumptions and Catalog'!$C$64,((D706+E706)*C706)*'Assumptions and Catalog'!$H$64+'Assumptions and Catalog'!$E$64+'Assumptions and Catalog'!$F$64,IF(((D706+E706)*C706)&lt;='Assumptions and Catalog'!$C$65,((D706+E706)*C706)*'Assumptions and Catalog'!$H$65+'Assumptions and Catalog'!$E$65+'Assumptions and Catalog'!$F$65,"Out of range")))))))))*(1+'Assumptions and Catalog'!$C$8)^(A706-1),0)</f>
        <v>8554.9666666666672</v>
      </c>
      <c r="N706" s="5">
        <f>IF(ISNUMBER(Inputs!$L$5),(IF(Inputs!$L$9="Actual flat rate",L706*Inputs!$L$10,IF(Inputs!$C$9="Residential",IF(L706&lt;='Assumptions and Catalog'!$C$50,L706*'Assumptions and Catalog'!$H$50+'Assumptions and Catalog'!$E$50+'Assumptions and Catalog'!$F$50,IF(L706&lt;='Assumptions and Catalog'!$C$51,L706*'Assumptions and Catalog'!$H$51+'Assumptions and Catalog'!$E$51+'Assumptions and Catalog'!$F$51,IF(L706&lt;='Assumptions and Catalog'!$C$52,L706*'Assumptions and Catalog'!$H$52+'Assumptions and Catalog'!$E$52+'Assumptions and Catalog'!$F$52,IF(L706&lt;='Assumptions and Catalog'!$C$53,L706*'Assumptions and Catalog'!$H$53+'Assumptions and Catalog'!$E$53+'Assumptions and Catalog'!$F$53,IF(L706&lt;='Assumptions and Catalog'!$C$54,L706*'Assumptions and Catalog'!$H$54+'Assumptions and Catalog'!$E$54+'Assumptions and Catalog'!$F$54,IF(L706&lt;='Assumptions and Catalog'!$C$55,L706*'Assumptions and Catalog'!$H$55+'Assumptions and Catalog'!$E$55+'Assumptions and Catalog'!$F$55,IF(L706&lt;='Assumptions and Catalog'!$C$56,L706*'Assumptions and Catalog'!$H$56+'Assumptions and Catalog'!$E$56+'Assumptions and Catalog'!$F$56,IF(L706&lt;='Assumptions and Catalog'!$C$57,L706*'Assumptions and Catalog'!$H$57+'Assumptions and Catalog'!$E$57+'Assumptions and Catalog'!$F$57,"Out of range")))))))),IF(L706&lt;='Assumptions and Catalog'!$C$60,L706*'Assumptions and Catalog'!$H$60+'Assumptions and Catalog'!$E$60+'Assumptions and Catalog'!$F$60,IF(L706&lt;='Assumptions and Catalog'!$C$61,L706*'Assumptions and Catalog'!$H$61+'Assumptions and Catalog'!$E$61+'Assumptions and Catalog'!$F$61,IF(L706&lt;='Assumptions and Catalog'!$C$62,L706*'Assumptions and Catalog'!$H$62+'Assumptions and Catalog'!$E$62+'Assumptions and Catalog'!$F$62,IF(L706&lt;='Assumptions and Catalog'!$C$63,L706*'Assumptions and Catalog'!$H$63+'Assumptions and Catalog'!$E$63+'Assumptions and Catalog'!$F$63,IF(L706&lt;='Assumptions and Catalog'!$C$64,L706*'Assumptions and Catalog'!$H$64+'Assumptions and Catalog'!$E$64+'Assumptions and Catalog'!$F$64,IF(L706&lt;='Assumptions and Catalog'!$C$65,L706*'Assumptions and Catalog'!$H$65+'Assumptions and Catalog'!$E$65+'Assumptions and Catalog'!$F$65,"Out of range")))))))))*(1+'Assumptions and Catalog'!$C$8)^(A706-1),0)</f>
        <v>5694.7030521039924</v>
      </c>
      <c r="O706" s="5">
        <f t="shared" si="51"/>
        <v>2860.2636145626748</v>
      </c>
      <c r="P706" s="5">
        <f>E$55*(1-L$14)*(1-'Assumptions and Catalog'!$C$23)^R706</f>
        <v>96.3780608</v>
      </c>
      <c r="Q706" s="5">
        <f>IF(ISNUMBER(Inputs!$L$5),(IF(Inputs!$L$9="Actual flat rate",((D706+E706)*C706-G706)*Inputs!$L$10,IF(Inputs!$C$9="Residential",IF(((D706+E706)*C706-G706)&lt;='Assumptions and Catalog'!$C$50,((D706+E706)*C706-G706)*'Assumptions and Catalog'!$H$50+'Assumptions and Catalog'!$E$50+'Assumptions and Catalog'!$F$50,IF(((D706+E706)*C706-G706)&lt;='Assumptions and Catalog'!$C$51,((D706+E706)*C706-G706)*'Assumptions and Catalog'!$H$51+'Assumptions and Catalog'!$E$51+'Assumptions and Catalog'!$F$51,IF(((D706+E706)*C706-G706)&lt;='Assumptions and Catalog'!$C$52,((D706+E706)*C706-G706)*'Assumptions and Catalog'!$H$52+'Assumptions and Catalog'!$E$52+'Assumptions and Catalog'!$F$52,IF(((D706+E706)*C706-G706)&lt;='Assumptions and Catalog'!$C$53,((D706+E706)*C706-G706)*'Assumptions and Catalog'!$H$53+'Assumptions and Catalog'!$E$53+'Assumptions and Catalog'!$F$53,IF(((D706+E706)*C706-G706)&lt;='Assumptions and Catalog'!$C$54,((D706+E706)*C706-G706)*'Assumptions and Catalog'!$H$54+'Assumptions and Catalog'!$E$54+'Assumptions and Catalog'!$F$54,IF(((D706+E706)*C706-G706)&lt;='Assumptions and Catalog'!$C$55,((D706+E706)*C706-G706)*'Assumptions and Catalog'!$H$55+'Assumptions and Catalog'!$E$55+'Assumptions and Catalog'!$F$55,IF(((D706+E706)*C706-G706)&lt;='Assumptions and Catalog'!$C$56,((D706+E706)*C706-G706)*'Assumptions and Catalog'!$H$56+'Assumptions and Catalog'!$E$56+'Assumptions and Catalog'!$F$56,IF(((D706+E706)*C706-G706)&lt;='Assumptions and Catalog'!$C$57,((D706+E706)*C706-G706)*'Assumptions and Catalog'!$H$57+'Assumptions and Catalog'!$E$57+'Assumptions and Catalog'!$F$57,"Out of range")))))))),IF(((D706+E706)*C706-G706)&lt;='Assumptions and Catalog'!$C$60,((D706+E706)*C706-G706)*'Assumptions and Catalog'!$H$60+'Assumptions and Catalog'!$E$60+'Assumptions and Catalog'!$F$60,IF(((D706+E706)*C706-G706)&lt;='Assumptions and Catalog'!$C$61,((D706+E706)*C706-G706)*'Assumptions and Catalog'!$H$61+'Assumptions and Catalog'!$E$61+'Assumptions and Catalog'!$F$61,IF(((D706+E706)*C706-G706)&lt;='Assumptions and Catalog'!$C$62,((D706+E706)*C706-G706)*'Assumptions and Catalog'!$H$62+'Assumptions and Catalog'!$E$62+'Assumptions and Catalog'!$F$62,IF(((D706+E706)*C706-G706)&lt;='Assumptions and Catalog'!$C$63,((D706+E706)*C706-G706)*'Assumptions and Catalog'!$H$63+'Assumptions and Catalog'!$E$63+'Assumptions and Catalog'!$F$63,IF(((D706+E706)*C706-G706)&lt;='Assumptions and Catalog'!$C$64,((D706+E706)*C706-G706)*'Assumptions and Catalog'!$H$64+'Assumptions and Catalog'!$E$64+'Assumptions and Catalog'!$F$64,IF(((D706+E706)*C706-G706)&lt;='Assumptions and Catalog'!$C$65,((D706+E706)*C706-G706)*'Assumptions and Catalog'!$H$65+'Assumptions and Catalog'!$E$65+'Assumptions and Catalog'!$F$65,"Out of range")))))))))*(1+'Assumptions and Catalog'!$C$8)^(A706-1),0)</f>
        <v>5694.7030521039924</v>
      </c>
      <c r="R706" s="5">
        <f>IF(AND('Assumptions and Catalog'!$C$19&gt;0,A706&gt;='Assumptions and Catalog'!$C$19),A706-'Assumptions and Catalog'!$C$19,A706-1)</f>
        <v>3</v>
      </c>
      <c r="S706" s="5">
        <f>F706+L706-(D706+E706)*C706-J706-K706-IF(E$52&gt;0,'Assumptions and Catalog'!$C$26*C706,0)</f>
        <v>0</v>
      </c>
      <c r="T706" s="5"/>
      <c r="U706" s="5"/>
    </row>
    <row r="707" spans="1:21" ht="23.1" customHeight="1" outlineLevel="1" x14ac:dyDescent="0.2">
      <c r="A707" s="5">
        <v>4</v>
      </c>
      <c r="B707" s="5">
        <v>11</v>
      </c>
      <c r="C707" s="5">
        <f>DAY(DATE('Assumptions and Catalog'!$C$24+A707-1,B707+1,0))</f>
        <v>30</v>
      </c>
      <c r="D707" s="5">
        <f>IF(ISNUMBER(Inputs!$L$5),Inputs!$L$5*Inputs!$L$6,0)</f>
        <v>40.35</v>
      </c>
      <c r="E707" s="5">
        <f>IF(ISNUMBER(Inputs!$L$5),Inputs!$L$5-D707,0)</f>
        <v>40.35</v>
      </c>
      <c r="F707" s="5">
        <f>E$51*'Assumptions and Catalog'!$C$31*C707*(1-'Assumptions and Catalog'!$C$10)^(A707-1)</f>
        <v>809.43602478750006</v>
      </c>
      <c r="G707" s="5">
        <f t="shared" si="48"/>
        <v>809.43602478750006</v>
      </c>
      <c r="H707" s="5">
        <f>I707/('Assumptions and Catalog'!$C$11*'Assumptions and Catalog'!$C$12)</f>
        <v>0</v>
      </c>
      <c r="I707" s="5">
        <f>MIN(E707*C707,P707*'Assumptions and Catalog'!$C$12*C707,(F707-G707)*'Assumptions and Catalog'!$C$11*'Assumptions and Catalog'!$C$12,E$56*'Assumptions and Catalog'!$C$14*'Assumptions and Catalog'!$C$11*'Assumptions and Catalog'!$C$12*C707,E$57*(24-'Assumptions and Catalog'!$C$13)*C707)</f>
        <v>0</v>
      </c>
      <c r="J707" s="5">
        <f t="shared" si="49"/>
        <v>0</v>
      </c>
      <c r="K707" s="5">
        <f t="shared" si="50"/>
        <v>0</v>
      </c>
      <c r="L707" s="5">
        <f>(D707+E707)*C707-G707-I707+0+IF(E$52&gt;0,'Assumptions and Catalog'!$C$26*C707,0)</f>
        <v>1611.5639752124998</v>
      </c>
      <c r="M707" s="5">
        <f>IF(ISNUMBER(Inputs!$L$5),(IF(Inputs!$L$9="Actual flat rate",((D707+E707)*C707)*Inputs!$L$10,IF(Inputs!$C$9="Residential",IF(((D707+E707)*C707)&lt;='Assumptions and Catalog'!$C$50,((D707+E707)*C707)*'Assumptions and Catalog'!$H$50+'Assumptions and Catalog'!$E$50+'Assumptions and Catalog'!$F$50,IF(((D707+E707)*C707)&lt;='Assumptions and Catalog'!$C$51,((D707+E707)*C707)*'Assumptions and Catalog'!$H$51+'Assumptions and Catalog'!$E$51+'Assumptions and Catalog'!$F$51,IF(((D707+E707)*C707)&lt;='Assumptions and Catalog'!$C$52,((D707+E707)*C707)*'Assumptions and Catalog'!$H$52+'Assumptions and Catalog'!$E$52+'Assumptions and Catalog'!$F$52,IF(((D707+E707)*C707)&lt;='Assumptions and Catalog'!$C$53,((D707+E707)*C707)*'Assumptions and Catalog'!$H$53+'Assumptions and Catalog'!$E$53+'Assumptions and Catalog'!$F$53,IF(((D707+E707)*C707)&lt;='Assumptions and Catalog'!$C$54,((D707+E707)*C707)*'Assumptions and Catalog'!$H$54+'Assumptions and Catalog'!$E$54+'Assumptions and Catalog'!$F$54,IF(((D707+E707)*C707)&lt;='Assumptions and Catalog'!$C$55,((D707+E707)*C707)*'Assumptions and Catalog'!$H$55+'Assumptions and Catalog'!$E$55+'Assumptions and Catalog'!$F$55,IF(((D707+E707)*C707)&lt;='Assumptions and Catalog'!$C$56,((D707+E707)*C707)*'Assumptions and Catalog'!$H$56+'Assumptions and Catalog'!$E$56+'Assumptions and Catalog'!$F$56,IF(((D707+E707)*C707)&lt;='Assumptions and Catalog'!$C$57,((D707+E707)*C707)*'Assumptions and Catalog'!$H$57+'Assumptions and Catalog'!$E$57+'Assumptions and Catalog'!$F$57,"Out of range")))))))),IF(((D707+E707)*C707)&lt;='Assumptions and Catalog'!$C$60,((D707+E707)*C707)*'Assumptions and Catalog'!$H$60+'Assumptions and Catalog'!$E$60+'Assumptions and Catalog'!$F$60,IF(((D707+E707)*C707)&lt;='Assumptions and Catalog'!$C$61,((D707+E707)*C707)*'Assumptions and Catalog'!$H$61+'Assumptions and Catalog'!$E$61+'Assumptions and Catalog'!$F$61,IF(((D707+E707)*C707)&lt;='Assumptions and Catalog'!$C$62,((D707+E707)*C707)*'Assumptions and Catalog'!$H$62+'Assumptions and Catalog'!$E$62+'Assumptions and Catalog'!$F$62,IF(((D707+E707)*C707)&lt;='Assumptions and Catalog'!$C$63,((D707+E707)*C707)*'Assumptions and Catalog'!$H$63+'Assumptions and Catalog'!$E$63+'Assumptions and Catalog'!$F$63,IF(((D707+E707)*C707)&lt;='Assumptions and Catalog'!$C$64,((D707+E707)*C707)*'Assumptions and Catalog'!$H$64+'Assumptions and Catalog'!$E$64+'Assumptions and Catalog'!$F$64,IF(((D707+E707)*C707)&lt;='Assumptions and Catalog'!$C$65,((D707+E707)*C707)*'Assumptions and Catalog'!$H$65+'Assumptions and Catalog'!$E$65+'Assumptions and Catalog'!$F$65,"Out of range")))))))))*(1+'Assumptions and Catalog'!$C$8)^(A707-1),0)</f>
        <v>8279</v>
      </c>
      <c r="N707" s="5">
        <f>IF(ISNUMBER(Inputs!$L$5),(IF(Inputs!$L$9="Actual flat rate",L707*Inputs!$L$10,IF(Inputs!$C$9="Residential",IF(L707&lt;='Assumptions and Catalog'!$C$50,L707*'Assumptions and Catalog'!$H$50+'Assumptions and Catalog'!$E$50+'Assumptions and Catalog'!$F$50,IF(L707&lt;='Assumptions and Catalog'!$C$51,L707*'Assumptions and Catalog'!$H$51+'Assumptions and Catalog'!$E$51+'Assumptions and Catalog'!$F$51,IF(L707&lt;='Assumptions and Catalog'!$C$52,L707*'Assumptions and Catalog'!$H$52+'Assumptions and Catalog'!$E$52+'Assumptions and Catalog'!$F$52,IF(L707&lt;='Assumptions and Catalog'!$C$53,L707*'Assumptions and Catalog'!$H$53+'Assumptions and Catalog'!$E$53+'Assumptions and Catalog'!$F$53,IF(L707&lt;='Assumptions and Catalog'!$C$54,L707*'Assumptions and Catalog'!$H$54+'Assumptions and Catalog'!$E$54+'Assumptions and Catalog'!$F$54,IF(L707&lt;='Assumptions and Catalog'!$C$55,L707*'Assumptions and Catalog'!$H$55+'Assumptions and Catalog'!$E$55+'Assumptions and Catalog'!$F$55,IF(L707&lt;='Assumptions and Catalog'!$C$56,L707*'Assumptions and Catalog'!$H$56+'Assumptions and Catalog'!$E$56+'Assumptions and Catalog'!$F$56,IF(L707&lt;='Assumptions and Catalog'!$C$57,L707*'Assumptions and Catalog'!$H$57+'Assumptions and Catalog'!$E$57+'Assumptions and Catalog'!$F$57,"Out of range")))))))),IF(L707&lt;='Assumptions and Catalog'!$C$60,L707*'Assumptions and Catalog'!$H$60+'Assumptions and Catalog'!$E$60+'Assumptions and Catalog'!$F$60,IF(L707&lt;='Assumptions and Catalog'!$C$61,L707*'Assumptions and Catalog'!$H$61+'Assumptions and Catalog'!$E$61+'Assumptions and Catalog'!$F$61,IF(L707&lt;='Assumptions and Catalog'!$C$62,L707*'Assumptions and Catalog'!$H$62+'Assumptions and Catalog'!$E$62+'Assumptions and Catalog'!$F$62,IF(L707&lt;='Assumptions and Catalog'!$C$63,L707*'Assumptions and Catalog'!$H$63+'Assumptions and Catalog'!$E$63+'Assumptions and Catalog'!$F$63,IF(L707&lt;='Assumptions and Catalog'!$C$64,L707*'Assumptions and Catalog'!$H$64+'Assumptions and Catalog'!$E$64+'Assumptions and Catalog'!$F$64,IF(L707&lt;='Assumptions and Catalog'!$C$65,L707*'Assumptions and Catalog'!$H$65+'Assumptions and Catalog'!$E$65+'Assumptions and Catalog'!$F$65,"Out of range")))))))))*(1+'Assumptions and Catalog'!$C$8)^(A707-1),0)</f>
        <v>5511.0029536490229</v>
      </c>
      <c r="O707" s="5">
        <f t="shared" si="51"/>
        <v>2767.9970463509771</v>
      </c>
      <c r="P707" s="5">
        <f>E$55*(1-L$14)*(1-'Assumptions and Catalog'!$C$23)^R707</f>
        <v>96.3780608</v>
      </c>
      <c r="Q707" s="5">
        <f>IF(ISNUMBER(Inputs!$L$5),(IF(Inputs!$L$9="Actual flat rate",((D707+E707)*C707-G707)*Inputs!$L$10,IF(Inputs!$C$9="Residential",IF(((D707+E707)*C707-G707)&lt;='Assumptions and Catalog'!$C$50,((D707+E707)*C707-G707)*'Assumptions and Catalog'!$H$50+'Assumptions and Catalog'!$E$50+'Assumptions and Catalog'!$F$50,IF(((D707+E707)*C707-G707)&lt;='Assumptions and Catalog'!$C$51,((D707+E707)*C707-G707)*'Assumptions and Catalog'!$H$51+'Assumptions and Catalog'!$E$51+'Assumptions and Catalog'!$F$51,IF(((D707+E707)*C707-G707)&lt;='Assumptions and Catalog'!$C$52,((D707+E707)*C707-G707)*'Assumptions and Catalog'!$H$52+'Assumptions and Catalog'!$E$52+'Assumptions and Catalog'!$F$52,IF(((D707+E707)*C707-G707)&lt;='Assumptions and Catalog'!$C$53,((D707+E707)*C707-G707)*'Assumptions and Catalog'!$H$53+'Assumptions and Catalog'!$E$53+'Assumptions and Catalog'!$F$53,IF(((D707+E707)*C707-G707)&lt;='Assumptions and Catalog'!$C$54,((D707+E707)*C707-G707)*'Assumptions and Catalog'!$H$54+'Assumptions and Catalog'!$E$54+'Assumptions and Catalog'!$F$54,IF(((D707+E707)*C707-G707)&lt;='Assumptions and Catalog'!$C$55,((D707+E707)*C707-G707)*'Assumptions and Catalog'!$H$55+'Assumptions and Catalog'!$E$55+'Assumptions and Catalog'!$F$55,IF(((D707+E707)*C707-G707)&lt;='Assumptions and Catalog'!$C$56,((D707+E707)*C707-G707)*'Assumptions and Catalog'!$H$56+'Assumptions and Catalog'!$E$56+'Assumptions and Catalog'!$F$56,IF(((D707+E707)*C707-G707)&lt;='Assumptions and Catalog'!$C$57,((D707+E707)*C707-G707)*'Assumptions and Catalog'!$H$57+'Assumptions and Catalog'!$E$57+'Assumptions and Catalog'!$F$57,"Out of range")))))))),IF(((D707+E707)*C707-G707)&lt;='Assumptions and Catalog'!$C$60,((D707+E707)*C707-G707)*'Assumptions and Catalog'!$H$60+'Assumptions and Catalog'!$E$60+'Assumptions and Catalog'!$F$60,IF(((D707+E707)*C707-G707)&lt;='Assumptions and Catalog'!$C$61,((D707+E707)*C707-G707)*'Assumptions and Catalog'!$H$61+'Assumptions and Catalog'!$E$61+'Assumptions and Catalog'!$F$61,IF(((D707+E707)*C707-G707)&lt;='Assumptions and Catalog'!$C$62,((D707+E707)*C707-G707)*'Assumptions and Catalog'!$H$62+'Assumptions and Catalog'!$E$62+'Assumptions and Catalog'!$F$62,IF(((D707+E707)*C707-G707)&lt;='Assumptions and Catalog'!$C$63,((D707+E707)*C707-G707)*'Assumptions and Catalog'!$H$63+'Assumptions and Catalog'!$E$63+'Assumptions and Catalog'!$F$63,IF(((D707+E707)*C707-G707)&lt;='Assumptions and Catalog'!$C$64,((D707+E707)*C707-G707)*'Assumptions and Catalog'!$H$64+'Assumptions and Catalog'!$E$64+'Assumptions and Catalog'!$F$64,IF(((D707+E707)*C707-G707)&lt;='Assumptions and Catalog'!$C$65,((D707+E707)*C707-G707)*'Assumptions and Catalog'!$H$65+'Assumptions and Catalog'!$E$65+'Assumptions and Catalog'!$F$65,"Out of range")))))))))*(1+'Assumptions and Catalog'!$C$8)^(A707-1),0)</f>
        <v>5511.0029536490229</v>
      </c>
      <c r="R707" s="5">
        <f>IF(AND('Assumptions and Catalog'!$C$19&gt;0,A707&gt;='Assumptions and Catalog'!$C$19),A707-'Assumptions and Catalog'!$C$19,A707-1)</f>
        <v>3</v>
      </c>
      <c r="S707" s="5">
        <f>F707+L707-(D707+E707)*C707-J707-K707-IF(E$52&gt;0,'Assumptions and Catalog'!$C$26*C707,0)</f>
        <v>0</v>
      </c>
      <c r="T707" s="5"/>
      <c r="U707" s="5"/>
    </row>
    <row r="708" spans="1:21" ht="23.1" customHeight="1" outlineLevel="1" x14ac:dyDescent="0.2">
      <c r="A708" s="5">
        <v>4</v>
      </c>
      <c r="B708" s="5">
        <v>12</v>
      </c>
      <c r="C708" s="5">
        <f>DAY(DATE('Assumptions and Catalog'!$C$24+A708-1,B708+1,0))</f>
        <v>31</v>
      </c>
      <c r="D708" s="5">
        <f>IF(ISNUMBER(Inputs!$L$5),Inputs!$L$5*Inputs!$L$6,0)</f>
        <v>40.35</v>
      </c>
      <c r="E708" s="5">
        <f>IF(ISNUMBER(Inputs!$L$5),Inputs!$L$5-D708,0)</f>
        <v>40.35</v>
      </c>
      <c r="F708" s="5">
        <f>E$51*'Assumptions and Catalog'!$C$31*C708*(1-'Assumptions and Catalog'!$C$10)^(A708-1)</f>
        <v>836.41722561375002</v>
      </c>
      <c r="G708" s="5">
        <f t="shared" si="48"/>
        <v>836.41722561375002</v>
      </c>
      <c r="H708" s="5">
        <f>I708/('Assumptions and Catalog'!$C$11*'Assumptions and Catalog'!$C$12)</f>
        <v>0</v>
      </c>
      <c r="I708" s="5">
        <f>MIN(E708*C708,P708*'Assumptions and Catalog'!$C$12*C708,(F708-G708)*'Assumptions and Catalog'!$C$11*'Assumptions and Catalog'!$C$12,E$56*'Assumptions and Catalog'!$C$14*'Assumptions and Catalog'!$C$11*'Assumptions and Catalog'!$C$12*C708,E$57*(24-'Assumptions and Catalog'!$C$13)*C708)</f>
        <v>0</v>
      </c>
      <c r="J708" s="5">
        <f t="shared" si="49"/>
        <v>0</v>
      </c>
      <c r="K708" s="5">
        <f t="shared" si="50"/>
        <v>0</v>
      </c>
      <c r="L708" s="5">
        <f>(D708+E708)*C708-G708-I708+0+IF(E$52&gt;0,'Assumptions and Catalog'!$C$26*C708,0)</f>
        <v>1665.2827743862504</v>
      </c>
      <c r="M708" s="5">
        <f>IF(ISNUMBER(Inputs!$L$5),(IF(Inputs!$L$9="Actual flat rate",((D708+E708)*C708)*Inputs!$L$10,IF(Inputs!$C$9="Residential",IF(((D708+E708)*C708)&lt;='Assumptions and Catalog'!$C$50,((D708+E708)*C708)*'Assumptions and Catalog'!$H$50+'Assumptions and Catalog'!$E$50+'Assumptions and Catalog'!$F$50,IF(((D708+E708)*C708)&lt;='Assumptions and Catalog'!$C$51,((D708+E708)*C708)*'Assumptions and Catalog'!$H$51+'Assumptions and Catalog'!$E$51+'Assumptions and Catalog'!$F$51,IF(((D708+E708)*C708)&lt;='Assumptions and Catalog'!$C$52,((D708+E708)*C708)*'Assumptions and Catalog'!$H$52+'Assumptions and Catalog'!$E$52+'Assumptions and Catalog'!$F$52,IF(((D708+E708)*C708)&lt;='Assumptions and Catalog'!$C$53,((D708+E708)*C708)*'Assumptions and Catalog'!$H$53+'Assumptions and Catalog'!$E$53+'Assumptions and Catalog'!$F$53,IF(((D708+E708)*C708)&lt;='Assumptions and Catalog'!$C$54,((D708+E708)*C708)*'Assumptions and Catalog'!$H$54+'Assumptions and Catalog'!$E$54+'Assumptions and Catalog'!$F$54,IF(((D708+E708)*C708)&lt;='Assumptions and Catalog'!$C$55,((D708+E708)*C708)*'Assumptions and Catalog'!$H$55+'Assumptions and Catalog'!$E$55+'Assumptions and Catalog'!$F$55,IF(((D708+E708)*C708)&lt;='Assumptions and Catalog'!$C$56,((D708+E708)*C708)*'Assumptions and Catalog'!$H$56+'Assumptions and Catalog'!$E$56+'Assumptions and Catalog'!$F$56,IF(((D708+E708)*C708)&lt;='Assumptions and Catalog'!$C$57,((D708+E708)*C708)*'Assumptions and Catalog'!$H$57+'Assumptions and Catalog'!$E$57+'Assumptions and Catalog'!$F$57,"Out of range")))))))),IF(((D708+E708)*C708)&lt;='Assumptions and Catalog'!$C$60,((D708+E708)*C708)*'Assumptions and Catalog'!$H$60+'Assumptions and Catalog'!$E$60+'Assumptions and Catalog'!$F$60,IF(((D708+E708)*C708)&lt;='Assumptions and Catalog'!$C$61,((D708+E708)*C708)*'Assumptions and Catalog'!$H$61+'Assumptions and Catalog'!$E$61+'Assumptions and Catalog'!$F$61,IF(((D708+E708)*C708)&lt;='Assumptions and Catalog'!$C$62,((D708+E708)*C708)*'Assumptions and Catalog'!$H$62+'Assumptions and Catalog'!$E$62+'Assumptions and Catalog'!$F$62,IF(((D708+E708)*C708)&lt;='Assumptions and Catalog'!$C$63,((D708+E708)*C708)*'Assumptions and Catalog'!$H$63+'Assumptions and Catalog'!$E$63+'Assumptions and Catalog'!$F$63,IF(((D708+E708)*C708)&lt;='Assumptions and Catalog'!$C$64,((D708+E708)*C708)*'Assumptions and Catalog'!$H$64+'Assumptions and Catalog'!$E$64+'Assumptions and Catalog'!$F$64,IF(((D708+E708)*C708)&lt;='Assumptions and Catalog'!$C$65,((D708+E708)*C708)*'Assumptions and Catalog'!$H$65+'Assumptions and Catalog'!$E$65+'Assumptions and Catalog'!$F$65,"Out of range")))))))))*(1+'Assumptions and Catalog'!$C$8)^(A708-1),0)</f>
        <v>8554.9666666666672</v>
      </c>
      <c r="N708" s="5">
        <f>IF(ISNUMBER(Inputs!$L$5),(IF(Inputs!$L$9="Actual flat rate",L708*Inputs!$L$10,IF(Inputs!$C$9="Residential",IF(L708&lt;='Assumptions and Catalog'!$C$50,L708*'Assumptions and Catalog'!$H$50+'Assumptions and Catalog'!$E$50+'Assumptions and Catalog'!$F$50,IF(L708&lt;='Assumptions and Catalog'!$C$51,L708*'Assumptions and Catalog'!$H$51+'Assumptions and Catalog'!$E$51+'Assumptions and Catalog'!$F$51,IF(L708&lt;='Assumptions and Catalog'!$C$52,L708*'Assumptions and Catalog'!$H$52+'Assumptions and Catalog'!$E$52+'Assumptions and Catalog'!$F$52,IF(L708&lt;='Assumptions and Catalog'!$C$53,L708*'Assumptions and Catalog'!$H$53+'Assumptions and Catalog'!$E$53+'Assumptions and Catalog'!$F$53,IF(L708&lt;='Assumptions and Catalog'!$C$54,L708*'Assumptions and Catalog'!$H$54+'Assumptions and Catalog'!$E$54+'Assumptions and Catalog'!$F$54,IF(L708&lt;='Assumptions and Catalog'!$C$55,L708*'Assumptions and Catalog'!$H$55+'Assumptions and Catalog'!$E$55+'Assumptions and Catalog'!$F$55,IF(L708&lt;='Assumptions and Catalog'!$C$56,L708*'Assumptions and Catalog'!$H$56+'Assumptions and Catalog'!$E$56+'Assumptions and Catalog'!$F$56,IF(L708&lt;='Assumptions and Catalog'!$C$57,L708*'Assumptions and Catalog'!$H$57+'Assumptions and Catalog'!$E$57+'Assumptions and Catalog'!$F$57,"Out of range")))))))),IF(L708&lt;='Assumptions and Catalog'!$C$60,L708*'Assumptions and Catalog'!$H$60+'Assumptions and Catalog'!$E$60+'Assumptions and Catalog'!$F$60,IF(L708&lt;='Assumptions and Catalog'!$C$61,L708*'Assumptions and Catalog'!$H$61+'Assumptions and Catalog'!$E$61+'Assumptions and Catalog'!$F$61,IF(L708&lt;='Assumptions and Catalog'!$C$62,L708*'Assumptions and Catalog'!$H$62+'Assumptions and Catalog'!$E$62+'Assumptions and Catalog'!$F$62,IF(L708&lt;='Assumptions and Catalog'!$C$63,L708*'Assumptions and Catalog'!$H$63+'Assumptions and Catalog'!$E$63+'Assumptions and Catalog'!$F$63,IF(L708&lt;='Assumptions and Catalog'!$C$64,L708*'Assumptions and Catalog'!$H$64+'Assumptions and Catalog'!$E$64+'Assumptions and Catalog'!$F$64,IF(L708&lt;='Assumptions and Catalog'!$C$65,L708*'Assumptions and Catalog'!$H$65+'Assumptions and Catalog'!$E$65+'Assumptions and Catalog'!$F$65,"Out of range")))))))))*(1+'Assumptions and Catalog'!$C$8)^(A708-1),0)</f>
        <v>5694.7030521039924</v>
      </c>
      <c r="O708" s="5">
        <f t="shared" si="51"/>
        <v>2860.2636145626748</v>
      </c>
      <c r="P708" s="5">
        <f>E$55*(1-L$14)*(1-'Assumptions and Catalog'!$C$23)^R708</f>
        <v>96.3780608</v>
      </c>
      <c r="Q708" s="5">
        <f>IF(ISNUMBER(Inputs!$L$5),(IF(Inputs!$L$9="Actual flat rate",((D708+E708)*C708-G708)*Inputs!$L$10,IF(Inputs!$C$9="Residential",IF(((D708+E708)*C708-G708)&lt;='Assumptions and Catalog'!$C$50,((D708+E708)*C708-G708)*'Assumptions and Catalog'!$H$50+'Assumptions and Catalog'!$E$50+'Assumptions and Catalog'!$F$50,IF(((D708+E708)*C708-G708)&lt;='Assumptions and Catalog'!$C$51,((D708+E708)*C708-G708)*'Assumptions and Catalog'!$H$51+'Assumptions and Catalog'!$E$51+'Assumptions and Catalog'!$F$51,IF(((D708+E708)*C708-G708)&lt;='Assumptions and Catalog'!$C$52,((D708+E708)*C708-G708)*'Assumptions and Catalog'!$H$52+'Assumptions and Catalog'!$E$52+'Assumptions and Catalog'!$F$52,IF(((D708+E708)*C708-G708)&lt;='Assumptions and Catalog'!$C$53,((D708+E708)*C708-G708)*'Assumptions and Catalog'!$H$53+'Assumptions and Catalog'!$E$53+'Assumptions and Catalog'!$F$53,IF(((D708+E708)*C708-G708)&lt;='Assumptions and Catalog'!$C$54,((D708+E708)*C708-G708)*'Assumptions and Catalog'!$H$54+'Assumptions and Catalog'!$E$54+'Assumptions and Catalog'!$F$54,IF(((D708+E708)*C708-G708)&lt;='Assumptions and Catalog'!$C$55,((D708+E708)*C708-G708)*'Assumptions and Catalog'!$H$55+'Assumptions and Catalog'!$E$55+'Assumptions and Catalog'!$F$55,IF(((D708+E708)*C708-G708)&lt;='Assumptions and Catalog'!$C$56,((D708+E708)*C708-G708)*'Assumptions and Catalog'!$H$56+'Assumptions and Catalog'!$E$56+'Assumptions and Catalog'!$F$56,IF(((D708+E708)*C708-G708)&lt;='Assumptions and Catalog'!$C$57,((D708+E708)*C708-G708)*'Assumptions and Catalog'!$H$57+'Assumptions and Catalog'!$E$57+'Assumptions and Catalog'!$F$57,"Out of range")))))))),IF(((D708+E708)*C708-G708)&lt;='Assumptions and Catalog'!$C$60,((D708+E708)*C708-G708)*'Assumptions and Catalog'!$H$60+'Assumptions and Catalog'!$E$60+'Assumptions and Catalog'!$F$60,IF(((D708+E708)*C708-G708)&lt;='Assumptions and Catalog'!$C$61,((D708+E708)*C708-G708)*'Assumptions and Catalog'!$H$61+'Assumptions and Catalog'!$E$61+'Assumptions and Catalog'!$F$61,IF(((D708+E708)*C708-G708)&lt;='Assumptions and Catalog'!$C$62,((D708+E708)*C708-G708)*'Assumptions and Catalog'!$H$62+'Assumptions and Catalog'!$E$62+'Assumptions and Catalog'!$F$62,IF(((D708+E708)*C708-G708)&lt;='Assumptions and Catalog'!$C$63,((D708+E708)*C708-G708)*'Assumptions and Catalog'!$H$63+'Assumptions and Catalog'!$E$63+'Assumptions and Catalog'!$F$63,IF(((D708+E708)*C708-G708)&lt;='Assumptions and Catalog'!$C$64,((D708+E708)*C708-G708)*'Assumptions and Catalog'!$H$64+'Assumptions and Catalog'!$E$64+'Assumptions and Catalog'!$F$64,IF(((D708+E708)*C708-G708)&lt;='Assumptions and Catalog'!$C$65,((D708+E708)*C708-G708)*'Assumptions and Catalog'!$H$65+'Assumptions and Catalog'!$E$65+'Assumptions and Catalog'!$F$65,"Out of range")))))))))*(1+'Assumptions and Catalog'!$C$8)^(A708-1),0)</f>
        <v>5694.7030521039924</v>
      </c>
      <c r="R708" s="5">
        <f>IF(AND('Assumptions and Catalog'!$C$19&gt;0,A708&gt;='Assumptions and Catalog'!$C$19),A708-'Assumptions and Catalog'!$C$19,A708-1)</f>
        <v>3</v>
      </c>
      <c r="S708" s="5">
        <f>F708+L708-(D708+E708)*C708-J708-K708-IF(E$52&gt;0,'Assumptions and Catalog'!$C$26*C708,0)</f>
        <v>0</v>
      </c>
      <c r="T708" s="5"/>
      <c r="U708" s="5"/>
    </row>
    <row r="709" spans="1:21" ht="23.1" customHeight="1" outlineLevel="1" x14ac:dyDescent="0.2">
      <c r="A709" s="5">
        <v>5</v>
      </c>
      <c r="B709" s="5">
        <v>1</v>
      </c>
      <c r="C709" s="5">
        <f>DAY(DATE('Assumptions and Catalog'!$C$24+A709-1,B709+1,0))</f>
        <v>31</v>
      </c>
      <c r="D709" s="5">
        <f>IF(ISNUMBER(Inputs!$L$5),Inputs!$L$5*Inputs!$L$6,0)</f>
        <v>40.35</v>
      </c>
      <c r="E709" s="5">
        <f>IF(ISNUMBER(Inputs!$L$5),Inputs!$L$5-D709,0)</f>
        <v>40.35</v>
      </c>
      <c r="F709" s="5">
        <f>E$51*'Assumptions and Catalog'!$C$31*C709*(1-'Assumptions and Catalog'!$C$10)^(A709-1)</f>
        <v>832.23513948568132</v>
      </c>
      <c r="G709" s="5">
        <f t="shared" si="48"/>
        <v>832.23513948568132</v>
      </c>
      <c r="H709" s="5">
        <f>I709/('Assumptions and Catalog'!$C$11*'Assumptions and Catalog'!$C$12)</f>
        <v>0</v>
      </c>
      <c r="I709" s="5">
        <f>MIN(E709*C709,P709*'Assumptions and Catalog'!$C$12*C709,(F709-G709)*'Assumptions and Catalog'!$C$11*'Assumptions and Catalog'!$C$12,E$56*'Assumptions and Catalog'!$C$14*'Assumptions and Catalog'!$C$11*'Assumptions and Catalog'!$C$12*C709,E$57*(24-'Assumptions and Catalog'!$C$13)*C709)</f>
        <v>0</v>
      </c>
      <c r="J709" s="5">
        <f t="shared" si="49"/>
        <v>0</v>
      </c>
      <c r="K709" s="5">
        <f t="shared" si="50"/>
        <v>0</v>
      </c>
      <c r="L709" s="5">
        <f>(D709+E709)*C709-G709-I709+0+IF(E$52&gt;0,'Assumptions and Catalog'!$C$26*C709,0)</f>
        <v>1669.4648605143188</v>
      </c>
      <c r="M709" s="5">
        <f>IF(ISNUMBER(Inputs!$L$5),(IF(Inputs!$L$9="Actual flat rate",((D709+E709)*C709)*Inputs!$L$10,IF(Inputs!$C$9="Residential",IF(((D709+E709)*C709)&lt;='Assumptions and Catalog'!$C$50,((D709+E709)*C709)*'Assumptions and Catalog'!$H$50+'Assumptions and Catalog'!$E$50+'Assumptions and Catalog'!$F$50,IF(((D709+E709)*C709)&lt;='Assumptions and Catalog'!$C$51,((D709+E709)*C709)*'Assumptions and Catalog'!$H$51+'Assumptions and Catalog'!$E$51+'Assumptions and Catalog'!$F$51,IF(((D709+E709)*C709)&lt;='Assumptions and Catalog'!$C$52,((D709+E709)*C709)*'Assumptions and Catalog'!$H$52+'Assumptions and Catalog'!$E$52+'Assumptions and Catalog'!$F$52,IF(((D709+E709)*C709)&lt;='Assumptions and Catalog'!$C$53,((D709+E709)*C709)*'Assumptions and Catalog'!$H$53+'Assumptions and Catalog'!$E$53+'Assumptions and Catalog'!$F$53,IF(((D709+E709)*C709)&lt;='Assumptions and Catalog'!$C$54,((D709+E709)*C709)*'Assumptions and Catalog'!$H$54+'Assumptions and Catalog'!$E$54+'Assumptions and Catalog'!$F$54,IF(((D709+E709)*C709)&lt;='Assumptions and Catalog'!$C$55,((D709+E709)*C709)*'Assumptions and Catalog'!$H$55+'Assumptions and Catalog'!$E$55+'Assumptions and Catalog'!$F$55,IF(((D709+E709)*C709)&lt;='Assumptions and Catalog'!$C$56,((D709+E709)*C709)*'Assumptions and Catalog'!$H$56+'Assumptions and Catalog'!$E$56+'Assumptions and Catalog'!$F$56,IF(((D709+E709)*C709)&lt;='Assumptions and Catalog'!$C$57,((D709+E709)*C709)*'Assumptions and Catalog'!$H$57+'Assumptions and Catalog'!$E$57+'Assumptions and Catalog'!$F$57,"Out of range")))))))),IF(((D709+E709)*C709)&lt;='Assumptions and Catalog'!$C$60,((D709+E709)*C709)*'Assumptions and Catalog'!$H$60+'Assumptions and Catalog'!$E$60+'Assumptions and Catalog'!$F$60,IF(((D709+E709)*C709)&lt;='Assumptions and Catalog'!$C$61,((D709+E709)*C709)*'Assumptions and Catalog'!$H$61+'Assumptions and Catalog'!$E$61+'Assumptions and Catalog'!$F$61,IF(((D709+E709)*C709)&lt;='Assumptions and Catalog'!$C$62,((D709+E709)*C709)*'Assumptions and Catalog'!$H$62+'Assumptions and Catalog'!$E$62+'Assumptions and Catalog'!$F$62,IF(((D709+E709)*C709)&lt;='Assumptions and Catalog'!$C$63,((D709+E709)*C709)*'Assumptions and Catalog'!$H$63+'Assumptions and Catalog'!$E$63+'Assumptions and Catalog'!$F$63,IF(((D709+E709)*C709)&lt;='Assumptions and Catalog'!$C$64,((D709+E709)*C709)*'Assumptions and Catalog'!$H$64+'Assumptions and Catalog'!$E$64+'Assumptions and Catalog'!$F$64,IF(((D709+E709)*C709)&lt;='Assumptions and Catalog'!$C$65,((D709+E709)*C709)*'Assumptions and Catalog'!$H$65+'Assumptions and Catalog'!$E$65+'Assumptions and Catalog'!$F$65,"Out of range")))))))))*(1+'Assumptions and Catalog'!$C$8)^(A709-1),0)</f>
        <v>8554.9666666666672</v>
      </c>
      <c r="N709" s="5">
        <f>IF(ISNUMBER(Inputs!$L$5),(IF(Inputs!$L$9="Actual flat rate",L709*Inputs!$L$10,IF(Inputs!$C$9="Residential",IF(L709&lt;='Assumptions and Catalog'!$C$50,L709*'Assumptions and Catalog'!$H$50+'Assumptions and Catalog'!$E$50+'Assumptions and Catalog'!$F$50,IF(L709&lt;='Assumptions and Catalog'!$C$51,L709*'Assumptions and Catalog'!$H$51+'Assumptions and Catalog'!$E$51+'Assumptions and Catalog'!$F$51,IF(L709&lt;='Assumptions and Catalog'!$C$52,L709*'Assumptions and Catalog'!$H$52+'Assumptions and Catalog'!$E$52+'Assumptions and Catalog'!$F$52,IF(L709&lt;='Assumptions and Catalog'!$C$53,L709*'Assumptions and Catalog'!$H$53+'Assumptions and Catalog'!$E$53+'Assumptions and Catalog'!$F$53,IF(L709&lt;='Assumptions and Catalog'!$C$54,L709*'Assumptions and Catalog'!$H$54+'Assumptions and Catalog'!$E$54+'Assumptions and Catalog'!$F$54,IF(L709&lt;='Assumptions and Catalog'!$C$55,L709*'Assumptions and Catalog'!$H$55+'Assumptions and Catalog'!$E$55+'Assumptions and Catalog'!$F$55,IF(L709&lt;='Assumptions and Catalog'!$C$56,L709*'Assumptions and Catalog'!$H$56+'Assumptions and Catalog'!$E$56+'Assumptions and Catalog'!$F$56,IF(L709&lt;='Assumptions and Catalog'!$C$57,L709*'Assumptions and Catalog'!$H$57+'Assumptions and Catalog'!$E$57+'Assumptions and Catalog'!$F$57,"Out of range")))))))),IF(L709&lt;='Assumptions and Catalog'!$C$60,L709*'Assumptions and Catalog'!$H$60+'Assumptions and Catalog'!$E$60+'Assumptions and Catalog'!$F$60,IF(L709&lt;='Assumptions and Catalog'!$C$61,L709*'Assumptions and Catalog'!$H$61+'Assumptions and Catalog'!$E$61+'Assumptions and Catalog'!$F$61,IF(L709&lt;='Assumptions and Catalog'!$C$62,L709*'Assumptions and Catalog'!$H$62+'Assumptions and Catalog'!$E$62+'Assumptions and Catalog'!$F$62,IF(L709&lt;='Assumptions and Catalog'!$C$63,L709*'Assumptions and Catalog'!$H$63+'Assumptions and Catalog'!$E$63+'Assumptions and Catalog'!$F$63,IF(L709&lt;='Assumptions and Catalog'!$C$64,L709*'Assumptions and Catalog'!$H$64+'Assumptions and Catalog'!$E$64+'Assumptions and Catalog'!$F$64,IF(L709&lt;='Assumptions and Catalog'!$C$65,L709*'Assumptions and Catalog'!$H$65+'Assumptions and Catalog'!$E$65+'Assumptions and Catalog'!$F$65,"Out of range")))))))))*(1+'Assumptions and Catalog'!$C$8)^(A709-1),0)</f>
        <v>5709.0043701768054</v>
      </c>
      <c r="O709" s="5">
        <f t="shared" si="51"/>
        <v>2845.9622964898617</v>
      </c>
      <c r="P709" s="5">
        <f>E$55*(1-L$14)*(1-'Assumptions and Catalog'!$C$23)^R709</f>
        <v>94.450499583999999</v>
      </c>
      <c r="Q709" s="5">
        <f>IF(ISNUMBER(Inputs!$L$5),(IF(Inputs!$L$9="Actual flat rate",((D709+E709)*C709-G709)*Inputs!$L$10,IF(Inputs!$C$9="Residential",IF(((D709+E709)*C709-G709)&lt;='Assumptions and Catalog'!$C$50,((D709+E709)*C709-G709)*'Assumptions and Catalog'!$H$50+'Assumptions and Catalog'!$E$50+'Assumptions and Catalog'!$F$50,IF(((D709+E709)*C709-G709)&lt;='Assumptions and Catalog'!$C$51,((D709+E709)*C709-G709)*'Assumptions and Catalog'!$H$51+'Assumptions and Catalog'!$E$51+'Assumptions and Catalog'!$F$51,IF(((D709+E709)*C709-G709)&lt;='Assumptions and Catalog'!$C$52,((D709+E709)*C709-G709)*'Assumptions and Catalog'!$H$52+'Assumptions and Catalog'!$E$52+'Assumptions and Catalog'!$F$52,IF(((D709+E709)*C709-G709)&lt;='Assumptions and Catalog'!$C$53,((D709+E709)*C709-G709)*'Assumptions and Catalog'!$H$53+'Assumptions and Catalog'!$E$53+'Assumptions and Catalog'!$F$53,IF(((D709+E709)*C709-G709)&lt;='Assumptions and Catalog'!$C$54,((D709+E709)*C709-G709)*'Assumptions and Catalog'!$H$54+'Assumptions and Catalog'!$E$54+'Assumptions and Catalog'!$F$54,IF(((D709+E709)*C709-G709)&lt;='Assumptions and Catalog'!$C$55,((D709+E709)*C709-G709)*'Assumptions and Catalog'!$H$55+'Assumptions and Catalog'!$E$55+'Assumptions and Catalog'!$F$55,IF(((D709+E709)*C709-G709)&lt;='Assumptions and Catalog'!$C$56,((D709+E709)*C709-G709)*'Assumptions and Catalog'!$H$56+'Assumptions and Catalog'!$E$56+'Assumptions and Catalog'!$F$56,IF(((D709+E709)*C709-G709)&lt;='Assumptions and Catalog'!$C$57,((D709+E709)*C709-G709)*'Assumptions and Catalog'!$H$57+'Assumptions and Catalog'!$E$57+'Assumptions and Catalog'!$F$57,"Out of range")))))))),IF(((D709+E709)*C709-G709)&lt;='Assumptions and Catalog'!$C$60,((D709+E709)*C709-G709)*'Assumptions and Catalog'!$H$60+'Assumptions and Catalog'!$E$60+'Assumptions and Catalog'!$F$60,IF(((D709+E709)*C709-G709)&lt;='Assumptions and Catalog'!$C$61,((D709+E709)*C709-G709)*'Assumptions and Catalog'!$H$61+'Assumptions and Catalog'!$E$61+'Assumptions and Catalog'!$F$61,IF(((D709+E709)*C709-G709)&lt;='Assumptions and Catalog'!$C$62,((D709+E709)*C709-G709)*'Assumptions and Catalog'!$H$62+'Assumptions and Catalog'!$E$62+'Assumptions and Catalog'!$F$62,IF(((D709+E709)*C709-G709)&lt;='Assumptions and Catalog'!$C$63,((D709+E709)*C709-G709)*'Assumptions and Catalog'!$H$63+'Assumptions and Catalog'!$E$63+'Assumptions and Catalog'!$F$63,IF(((D709+E709)*C709-G709)&lt;='Assumptions and Catalog'!$C$64,((D709+E709)*C709-G709)*'Assumptions and Catalog'!$H$64+'Assumptions and Catalog'!$E$64+'Assumptions and Catalog'!$F$64,IF(((D709+E709)*C709-G709)&lt;='Assumptions and Catalog'!$C$65,((D709+E709)*C709-G709)*'Assumptions and Catalog'!$H$65+'Assumptions and Catalog'!$E$65+'Assumptions and Catalog'!$F$65,"Out of range")))))))))*(1+'Assumptions and Catalog'!$C$8)^(A709-1),0)</f>
        <v>5709.0043701768054</v>
      </c>
      <c r="R709" s="5">
        <f>IF(AND('Assumptions and Catalog'!$C$19&gt;0,A709&gt;='Assumptions and Catalog'!$C$19),A709-'Assumptions and Catalog'!$C$19,A709-1)</f>
        <v>4</v>
      </c>
      <c r="S709" s="5">
        <f>F709+L709-(D709+E709)*C709-J709-K709-IF(E$52&gt;0,'Assumptions and Catalog'!$C$26*C709,0)</f>
        <v>0</v>
      </c>
      <c r="T709" s="5"/>
      <c r="U709" s="5"/>
    </row>
    <row r="710" spans="1:21" ht="23.1" customHeight="1" outlineLevel="1" x14ac:dyDescent="0.2">
      <c r="A710" s="5">
        <v>5</v>
      </c>
      <c r="B710" s="5">
        <v>2</v>
      </c>
      <c r="C710" s="5">
        <f>DAY(DATE('Assumptions and Catalog'!$C$24+A710-1,B710+1,0))</f>
        <v>28</v>
      </c>
      <c r="D710" s="5">
        <f>IF(ISNUMBER(Inputs!$L$5),Inputs!$L$5*Inputs!$L$6,0)</f>
        <v>40.35</v>
      </c>
      <c r="E710" s="5">
        <f>IF(ISNUMBER(Inputs!$L$5),Inputs!$L$5-D710,0)</f>
        <v>40.35</v>
      </c>
      <c r="F710" s="5">
        <f>E$51*'Assumptions and Catalog'!$C$31*C710*(1-'Assumptions and Catalog'!$C$10)^(A710-1)</f>
        <v>751.69625501932512</v>
      </c>
      <c r="G710" s="5">
        <f t="shared" si="48"/>
        <v>751.69625501932512</v>
      </c>
      <c r="H710" s="5">
        <f>I710/('Assumptions and Catalog'!$C$11*'Assumptions and Catalog'!$C$12)</f>
        <v>0</v>
      </c>
      <c r="I710" s="5">
        <f>MIN(E710*C710,P710*'Assumptions and Catalog'!$C$12*C710,(F710-G710)*'Assumptions and Catalog'!$C$11*'Assumptions and Catalog'!$C$12,E$56*'Assumptions and Catalog'!$C$14*'Assumptions and Catalog'!$C$11*'Assumptions and Catalog'!$C$12*C710,E$57*(24-'Assumptions and Catalog'!$C$13)*C710)</f>
        <v>0</v>
      </c>
      <c r="J710" s="5">
        <f t="shared" si="49"/>
        <v>0</v>
      </c>
      <c r="K710" s="5">
        <f t="shared" si="50"/>
        <v>0</v>
      </c>
      <c r="L710" s="5">
        <f>(D710+E710)*C710-G710-I710+0+IF(E$52&gt;0,'Assumptions and Catalog'!$C$26*C710,0)</f>
        <v>1507.9037449806747</v>
      </c>
      <c r="M710" s="5">
        <f>IF(ISNUMBER(Inputs!$L$5),(IF(Inputs!$L$9="Actual flat rate",((D710+E710)*C710)*Inputs!$L$10,IF(Inputs!$C$9="Residential",IF(((D710+E710)*C710)&lt;='Assumptions and Catalog'!$C$50,((D710+E710)*C710)*'Assumptions and Catalog'!$H$50+'Assumptions and Catalog'!$E$50+'Assumptions and Catalog'!$F$50,IF(((D710+E710)*C710)&lt;='Assumptions and Catalog'!$C$51,((D710+E710)*C710)*'Assumptions and Catalog'!$H$51+'Assumptions and Catalog'!$E$51+'Assumptions and Catalog'!$F$51,IF(((D710+E710)*C710)&lt;='Assumptions and Catalog'!$C$52,((D710+E710)*C710)*'Assumptions and Catalog'!$H$52+'Assumptions and Catalog'!$E$52+'Assumptions and Catalog'!$F$52,IF(((D710+E710)*C710)&lt;='Assumptions and Catalog'!$C$53,((D710+E710)*C710)*'Assumptions and Catalog'!$H$53+'Assumptions and Catalog'!$E$53+'Assumptions and Catalog'!$F$53,IF(((D710+E710)*C710)&lt;='Assumptions and Catalog'!$C$54,((D710+E710)*C710)*'Assumptions and Catalog'!$H$54+'Assumptions and Catalog'!$E$54+'Assumptions and Catalog'!$F$54,IF(((D710+E710)*C710)&lt;='Assumptions and Catalog'!$C$55,((D710+E710)*C710)*'Assumptions and Catalog'!$H$55+'Assumptions and Catalog'!$E$55+'Assumptions and Catalog'!$F$55,IF(((D710+E710)*C710)&lt;='Assumptions and Catalog'!$C$56,((D710+E710)*C710)*'Assumptions and Catalog'!$H$56+'Assumptions and Catalog'!$E$56+'Assumptions and Catalog'!$F$56,IF(((D710+E710)*C710)&lt;='Assumptions and Catalog'!$C$57,((D710+E710)*C710)*'Assumptions and Catalog'!$H$57+'Assumptions and Catalog'!$E$57+'Assumptions and Catalog'!$F$57,"Out of range")))))))),IF(((D710+E710)*C710)&lt;='Assumptions and Catalog'!$C$60,((D710+E710)*C710)*'Assumptions and Catalog'!$H$60+'Assumptions and Catalog'!$E$60+'Assumptions and Catalog'!$F$60,IF(((D710+E710)*C710)&lt;='Assumptions and Catalog'!$C$61,((D710+E710)*C710)*'Assumptions and Catalog'!$H$61+'Assumptions and Catalog'!$E$61+'Assumptions and Catalog'!$F$61,IF(((D710+E710)*C710)&lt;='Assumptions and Catalog'!$C$62,((D710+E710)*C710)*'Assumptions and Catalog'!$H$62+'Assumptions and Catalog'!$E$62+'Assumptions and Catalog'!$F$62,IF(((D710+E710)*C710)&lt;='Assumptions and Catalog'!$C$63,((D710+E710)*C710)*'Assumptions and Catalog'!$H$63+'Assumptions and Catalog'!$E$63+'Assumptions and Catalog'!$F$63,IF(((D710+E710)*C710)&lt;='Assumptions and Catalog'!$C$64,((D710+E710)*C710)*'Assumptions and Catalog'!$H$64+'Assumptions and Catalog'!$E$64+'Assumptions and Catalog'!$F$64,IF(((D710+E710)*C710)&lt;='Assumptions and Catalog'!$C$65,((D710+E710)*C710)*'Assumptions and Catalog'!$H$65+'Assumptions and Catalog'!$E$65+'Assumptions and Catalog'!$F$65,"Out of range")))))))))*(1+'Assumptions and Catalog'!$C$8)^(A710-1),0)</f>
        <v>7727.0666666666657</v>
      </c>
      <c r="N710" s="5">
        <f>IF(ISNUMBER(Inputs!$L$5),(IF(Inputs!$L$9="Actual flat rate",L710*Inputs!$L$10,IF(Inputs!$C$9="Residential",IF(L710&lt;='Assumptions and Catalog'!$C$50,L710*'Assumptions and Catalog'!$H$50+'Assumptions and Catalog'!$E$50+'Assumptions and Catalog'!$F$50,IF(L710&lt;='Assumptions and Catalog'!$C$51,L710*'Assumptions and Catalog'!$H$51+'Assumptions and Catalog'!$E$51+'Assumptions and Catalog'!$F$51,IF(L710&lt;='Assumptions and Catalog'!$C$52,L710*'Assumptions and Catalog'!$H$52+'Assumptions and Catalog'!$E$52+'Assumptions and Catalog'!$F$52,IF(L710&lt;='Assumptions and Catalog'!$C$53,L710*'Assumptions and Catalog'!$H$53+'Assumptions and Catalog'!$E$53+'Assumptions and Catalog'!$F$53,IF(L710&lt;='Assumptions and Catalog'!$C$54,L710*'Assumptions and Catalog'!$H$54+'Assumptions and Catalog'!$E$54+'Assumptions and Catalog'!$F$54,IF(L710&lt;='Assumptions and Catalog'!$C$55,L710*'Assumptions and Catalog'!$H$55+'Assumptions and Catalog'!$E$55+'Assumptions and Catalog'!$F$55,IF(L710&lt;='Assumptions and Catalog'!$C$56,L710*'Assumptions and Catalog'!$H$56+'Assumptions and Catalog'!$E$56+'Assumptions and Catalog'!$F$56,IF(L710&lt;='Assumptions and Catalog'!$C$57,L710*'Assumptions and Catalog'!$H$57+'Assumptions and Catalog'!$E$57+'Assumptions and Catalog'!$F$57,"Out of range")))))))),IF(L710&lt;='Assumptions and Catalog'!$C$60,L710*'Assumptions and Catalog'!$H$60+'Assumptions and Catalog'!$E$60+'Assumptions and Catalog'!$F$60,IF(L710&lt;='Assumptions and Catalog'!$C$61,L710*'Assumptions and Catalog'!$H$61+'Assumptions and Catalog'!$E$61+'Assumptions and Catalog'!$F$61,IF(L710&lt;='Assumptions and Catalog'!$C$62,L710*'Assumptions and Catalog'!$H$62+'Assumptions and Catalog'!$E$62+'Assumptions and Catalog'!$F$62,IF(L710&lt;='Assumptions and Catalog'!$C$63,L710*'Assumptions and Catalog'!$H$63+'Assumptions and Catalog'!$E$63+'Assumptions and Catalog'!$F$63,IF(L710&lt;='Assumptions and Catalog'!$C$64,L710*'Assumptions and Catalog'!$H$64+'Assumptions and Catalog'!$E$64+'Assumptions and Catalog'!$F$64,IF(L710&lt;='Assumptions and Catalog'!$C$65,L710*'Assumptions and Catalog'!$H$65+'Assumptions and Catalog'!$E$65+'Assumptions and Catalog'!$F$65,"Out of range")))))))))*(1+'Assumptions and Catalog'!$C$8)^(A710-1),0)</f>
        <v>5156.5200762887262</v>
      </c>
      <c r="O710" s="5">
        <f t="shared" si="51"/>
        <v>2570.5465903779395</v>
      </c>
      <c r="P710" s="5">
        <f>E$55*(1-L$14)*(1-'Assumptions and Catalog'!$C$23)^R710</f>
        <v>94.450499583999999</v>
      </c>
      <c r="Q710" s="5">
        <f>IF(ISNUMBER(Inputs!$L$5),(IF(Inputs!$L$9="Actual flat rate",((D710+E710)*C710-G710)*Inputs!$L$10,IF(Inputs!$C$9="Residential",IF(((D710+E710)*C710-G710)&lt;='Assumptions and Catalog'!$C$50,((D710+E710)*C710-G710)*'Assumptions and Catalog'!$H$50+'Assumptions and Catalog'!$E$50+'Assumptions and Catalog'!$F$50,IF(((D710+E710)*C710-G710)&lt;='Assumptions and Catalog'!$C$51,((D710+E710)*C710-G710)*'Assumptions and Catalog'!$H$51+'Assumptions and Catalog'!$E$51+'Assumptions and Catalog'!$F$51,IF(((D710+E710)*C710-G710)&lt;='Assumptions and Catalog'!$C$52,((D710+E710)*C710-G710)*'Assumptions and Catalog'!$H$52+'Assumptions and Catalog'!$E$52+'Assumptions and Catalog'!$F$52,IF(((D710+E710)*C710-G710)&lt;='Assumptions and Catalog'!$C$53,((D710+E710)*C710-G710)*'Assumptions and Catalog'!$H$53+'Assumptions and Catalog'!$E$53+'Assumptions and Catalog'!$F$53,IF(((D710+E710)*C710-G710)&lt;='Assumptions and Catalog'!$C$54,((D710+E710)*C710-G710)*'Assumptions and Catalog'!$H$54+'Assumptions and Catalog'!$E$54+'Assumptions and Catalog'!$F$54,IF(((D710+E710)*C710-G710)&lt;='Assumptions and Catalog'!$C$55,((D710+E710)*C710-G710)*'Assumptions and Catalog'!$H$55+'Assumptions and Catalog'!$E$55+'Assumptions and Catalog'!$F$55,IF(((D710+E710)*C710-G710)&lt;='Assumptions and Catalog'!$C$56,((D710+E710)*C710-G710)*'Assumptions and Catalog'!$H$56+'Assumptions and Catalog'!$E$56+'Assumptions and Catalog'!$F$56,IF(((D710+E710)*C710-G710)&lt;='Assumptions and Catalog'!$C$57,((D710+E710)*C710-G710)*'Assumptions and Catalog'!$H$57+'Assumptions and Catalog'!$E$57+'Assumptions and Catalog'!$F$57,"Out of range")))))))),IF(((D710+E710)*C710-G710)&lt;='Assumptions and Catalog'!$C$60,((D710+E710)*C710-G710)*'Assumptions and Catalog'!$H$60+'Assumptions and Catalog'!$E$60+'Assumptions and Catalog'!$F$60,IF(((D710+E710)*C710-G710)&lt;='Assumptions and Catalog'!$C$61,((D710+E710)*C710-G710)*'Assumptions and Catalog'!$H$61+'Assumptions and Catalog'!$E$61+'Assumptions and Catalog'!$F$61,IF(((D710+E710)*C710-G710)&lt;='Assumptions and Catalog'!$C$62,((D710+E710)*C710-G710)*'Assumptions and Catalog'!$H$62+'Assumptions and Catalog'!$E$62+'Assumptions and Catalog'!$F$62,IF(((D710+E710)*C710-G710)&lt;='Assumptions and Catalog'!$C$63,((D710+E710)*C710-G710)*'Assumptions and Catalog'!$H$63+'Assumptions and Catalog'!$E$63+'Assumptions and Catalog'!$F$63,IF(((D710+E710)*C710-G710)&lt;='Assumptions and Catalog'!$C$64,((D710+E710)*C710-G710)*'Assumptions and Catalog'!$H$64+'Assumptions and Catalog'!$E$64+'Assumptions and Catalog'!$F$64,IF(((D710+E710)*C710-G710)&lt;='Assumptions and Catalog'!$C$65,((D710+E710)*C710-G710)*'Assumptions and Catalog'!$H$65+'Assumptions and Catalog'!$E$65+'Assumptions and Catalog'!$F$65,"Out of range")))))))))*(1+'Assumptions and Catalog'!$C$8)^(A710-1),0)</f>
        <v>5156.5200762887262</v>
      </c>
      <c r="R710" s="5">
        <f>IF(AND('Assumptions and Catalog'!$C$19&gt;0,A710&gt;='Assumptions and Catalog'!$C$19),A710-'Assumptions and Catalog'!$C$19,A710-1)</f>
        <v>4</v>
      </c>
      <c r="S710" s="5">
        <f>F710+L710-(D710+E710)*C710-J710-K710-IF(E$52&gt;0,'Assumptions and Catalog'!$C$26*C710,0)</f>
        <v>0</v>
      </c>
      <c r="T710" s="5"/>
      <c r="U710" s="5"/>
    </row>
    <row r="711" spans="1:21" ht="23.1" customHeight="1" outlineLevel="1" x14ac:dyDescent="0.2">
      <c r="A711" s="5">
        <v>5</v>
      </c>
      <c r="B711" s="5">
        <v>3</v>
      </c>
      <c r="C711" s="5">
        <f>DAY(DATE('Assumptions and Catalog'!$C$24+A711-1,B711+1,0))</f>
        <v>31</v>
      </c>
      <c r="D711" s="5">
        <f>IF(ISNUMBER(Inputs!$L$5),Inputs!$L$5*Inputs!$L$6,0)</f>
        <v>40.35</v>
      </c>
      <c r="E711" s="5">
        <f>IF(ISNUMBER(Inputs!$L$5),Inputs!$L$5-D711,0)</f>
        <v>40.35</v>
      </c>
      <c r="F711" s="5">
        <f>E$51*'Assumptions and Catalog'!$C$31*C711*(1-'Assumptions and Catalog'!$C$10)^(A711-1)</f>
        <v>832.23513948568132</v>
      </c>
      <c r="G711" s="5">
        <f t="shared" si="48"/>
        <v>832.23513948568132</v>
      </c>
      <c r="H711" s="5">
        <f>I711/('Assumptions and Catalog'!$C$11*'Assumptions and Catalog'!$C$12)</f>
        <v>0</v>
      </c>
      <c r="I711" s="5">
        <f>MIN(E711*C711,P711*'Assumptions and Catalog'!$C$12*C711,(F711-G711)*'Assumptions and Catalog'!$C$11*'Assumptions and Catalog'!$C$12,E$56*'Assumptions and Catalog'!$C$14*'Assumptions and Catalog'!$C$11*'Assumptions and Catalog'!$C$12*C711,E$57*(24-'Assumptions and Catalog'!$C$13)*C711)</f>
        <v>0</v>
      </c>
      <c r="J711" s="5">
        <f t="shared" si="49"/>
        <v>0</v>
      </c>
      <c r="K711" s="5">
        <f t="shared" si="50"/>
        <v>0</v>
      </c>
      <c r="L711" s="5">
        <f>(D711+E711)*C711-G711-I711+0+IF(E$52&gt;0,'Assumptions and Catalog'!$C$26*C711,0)</f>
        <v>1669.4648605143188</v>
      </c>
      <c r="M711" s="5">
        <f>IF(ISNUMBER(Inputs!$L$5),(IF(Inputs!$L$9="Actual flat rate",((D711+E711)*C711)*Inputs!$L$10,IF(Inputs!$C$9="Residential",IF(((D711+E711)*C711)&lt;='Assumptions and Catalog'!$C$50,((D711+E711)*C711)*'Assumptions and Catalog'!$H$50+'Assumptions and Catalog'!$E$50+'Assumptions and Catalog'!$F$50,IF(((D711+E711)*C711)&lt;='Assumptions and Catalog'!$C$51,((D711+E711)*C711)*'Assumptions and Catalog'!$H$51+'Assumptions and Catalog'!$E$51+'Assumptions and Catalog'!$F$51,IF(((D711+E711)*C711)&lt;='Assumptions and Catalog'!$C$52,((D711+E711)*C711)*'Assumptions and Catalog'!$H$52+'Assumptions and Catalog'!$E$52+'Assumptions and Catalog'!$F$52,IF(((D711+E711)*C711)&lt;='Assumptions and Catalog'!$C$53,((D711+E711)*C711)*'Assumptions and Catalog'!$H$53+'Assumptions and Catalog'!$E$53+'Assumptions and Catalog'!$F$53,IF(((D711+E711)*C711)&lt;='Assumptions and Catalog'!$C$54,((D711+E711)*C711)*'Assumptions and Catalog'!$H$54+'Assumptions and Catalog'!$E$54+'Assumptions and Catalog'!$F$54,IF(((D711+E711)*C711)&lt;='Assumptions and Catalog'!$C$55,((D711+E711)*C711)*'Assumptions and Catalog'!$H$55+'Assumptions and Catalog'!$E$55+'Assumptions and Catalog'!$F$55,IF(((D711+E711)*C711)&lt;='Assumptions and Catalog'!$C$56,((D711+E711)*C711)*'Assumptions and Catalog'!$H$56+'Assumptions and Catalog'!$E$56+'Assumptions and Catalog'!$F$56,IF(((D711+E711)*C711)&lt;='Assumptions and Catalog'!$C$57,((D711+E711)*C711)*'Assumptions and Catalog'!$H$57+'Assumptions and Catalog'!$E$57+'Assumptions and Catalog'!$F$57,"Out of range")))))))),IF(((D711+E711)*C711)&lt;='Assumptions and Catalog'!$C$60,((D711+E711)*C711)*'Assumptions and Catalog'!$H$60+'Assumptions and Catalog'!$E$60+'Assumptions and Catalog'!$F$60,IF(((D711+E711)*C711)&lt;='Assumptions and Catalog'!$C$61,((D711+E711)*C711)*'Assumptions and Catalog'!$H$61+'Assumptions and Catalog'!$E$61+'Assumptions and Catalog'!$F$61,IF(((D711+E711)*C711)&lt;='Assumptions and Catalog'!$C$62,((D711+E711)*C711)*'Assumptions and Catalog'!$H$62+'Assumptions and Catalog'!$E$62+'Assumptions and Catalog'!$F$62,IF(((D711+E711)*C711)&lt;='Assumptions and Catalog'!$C$63,((D711+E711)*C711)*'Assumptions and Catalog'!$H$63+'Assumptions and Catalog'!$E$63+'Assumptions and Catalog'!$F$63,IF(((D711+E711)*C711)&lt;='Assumptions and Catalog'!$C$64,((D711+E711)*C711)*'Assumptions and Catalog'!$H$64+'Assumptions and Catalog'!$E$64+'Assumptions and Catalog'!$F$64,IF(((D711+E711)*C711)&lt;='Assumptions and Catalog'!$C$65,((D711+E711)*C711)*'Assumptions and Catalog'!$H$65+'Assumptions and Catalog'!$E$65+'Assumptions and Catalog'!$F$65,"Out of range")))))))))*(1+'Assumptions and Catalog'!$C$8)^(A711-1),0)</f>
        <v>8554.9666666666672</v>
      </c>
      <c r="N711" s="5">
        <f>IF(ISNUMBER(Inputs!$L$5),(IF(Inputs!$L$9="Actual flat rate",L711*Inputs!$L$10,IF(Inputs!$C$9="Residential",IF(L711&lt;='Assumptions and Catalog'!$C$50,L711*'Assumptions and Catalog'!$H$50+'Assumptions and Catalog'!$E$50+'Assumptions and Catalog'!$F$50,IF(L711&lt;='Assumptions and Catalog'!$C$51,L711*'Assumptions and Catalog'!$H$51+'Assumptions and Catalog'!$E$51+'Assumptions and Catalog'!$F$51,IF(L711&lt;='Assumptions and Catalog'!$C$52,L711*'Assumptions and Catalog'!$H$52+'Assumptions and Catalog'!$E$52+'Assumptions and Catalog'!$F$52,IF(L711&lt;='Assumptions and Catalog'!$C$53,L711*'Assumptions and Catalog'!$H$53+'Assumptions and Catalog'!$E$53+'Assumptions and Catalog'!$F$53,IF(L711&lt;='Assumptions and Catalog'!$C$54,L711*'Assumptions and Catalog'!$H$54+'Assumptions and Catalog'!$E$54+'Assumptions and Catalog'!$F$54,IF(L711&lt;='Assumptions and Catalog'!$C$55,L711*'Assumptions and Catalog'!$H$55+'Assumptions and Catalog'!$E$55+'Assumptions and Catalog'!$F$55,IF(L711&lt;='Assumptions and Catalog'!$C$56,L711*'Assumptions and Catalog'!$H$56+'Assumptions and Catalog'!$E$56+'Assumptions and Catalog'!$F$56,IF(L711&lt;='Assumptions and Catalog'!$C$57,L711*'Assumptions and Catalog'!$H$57+'Assumptions and Catalog'!$E$57+'Assumptions and Catalog'!$F$57,"Out of range")))))))),IF(L711&lt;='Assumptions and Catalog'!$C$60,L711*'Assumptions and Catalog'!$H$60+'Assumptions and Catalog'!$E$60+'Assumptions and Catalog'!$F$60,IF(L711&lt;='Assumptions and Catalog'!$C$61,L711*'Assumptions and Catalog'!$H$61+'Assumptions and Catalog'!$E$61+'Assumptions and Catalog'!$F$61,IF(L711&lt;='Assumptions and Catalog'!$C$62,L711*'Assumptions and Catalog'!$H$62+'Assumptions and Catalog'!$E$62+'Assumptions and Catalog'!$F$62,IF(L711&lt;='Assumptions and Catalog'!$C$63,L711*'Assumptions and Catalog'!$H$63+'Assumptions and Catalog'!$E$63+'Assumptions and Catalog'!$F$63,IF(L711&lt;='Assumptions and Catalog'!$C$64,L711*'Assumptions and Catalog'!$H$64+'Assumptions and Catalog'!$E$64+'Assumptions and Catalog'!$F$64,IF(L711&lt;='Assumptions and Catalog'!$C$65,L711*'Assumptions and Catalog'!$H$65+'Assumptions and Catalog'!$E$65+'Assumptions and Catalog'!$F$65,"Out of range")))))))))*(1+'Assumptions and Catalog'!$C$8)^(A711-1),0)</f>
        <v>5709.0043701768054</v>
      </c>
      <c r="O711" s="5">
        <f t="shared" si="51"/>
        <v>2845.9622964898617</v>
      </c>
      <c r="P711" s="5">
        <f>E$55*(1-L$14)*(1-'Assumptions and Catalog'!$C$23)^R711</f>
        <v>94.450499583999999</v>
      </c>
      <c r="Q711" s="5">
        <f>IF(ISNUMBER(Inputs!$L$5),(IF(Inputs!$L$9="Actual flat rate",((D711+E711)*C711-G711)*Inputs!$L$10,IF(Inputs!$C$9="Residential",IF(((D711+E711)*C711-G711)&lt;='Assumptions and Catalog'!$C$50,((D711+E711)*C711-G711)*'Assumptions and Catalog'!$H$50+'Assumptions and Catalog'!$E$50+'Assumptions and Catalog'!$F$50,IF(((D711+E711)*C711-G711)&lt;='Assumptions and Catalog'!$C$51,((D711+E711)*C711-G711)*'Assumptions and Catalog'!$H$51+'Assumptions and Catalog'!$E$51+'Assumptions and Catalog'!$F$51,IF(((D711+E711)*C711-G711)&lt;='Assumptions and Catalog'!$C$52,((D711+E711)*C711-G711)*'Assumptions and Catalog'!$H$52+'Assumptions and Catalog'!$E$52+'Assumptions and Catalog'!$F$52,IF(((D711+E711)*C711-G711)&lt;='Assumptions and Catalog'!$C$53,((D711+E711)*C711-G711)*'Assumptions and Catalog'!$H$53+'Assumptions and Catalog'!$E$53+'Assumptions and Catalog'!$F$53,IF(((D711+E711)*C711-G711)&lt;='Assumptions and Catalog'!$C$54,((D711+E711)*C711-G711)*'Assumptions and Catalog'!$H$54+'Assumptions and Catalog'!$E$54+'Assumptions and Catalog'!$F$54,IF(((D711+E711)*C711-G711)&lt;='Assumptions and Catalog'!$C$55,((D711+E711)*C711-G711)*'Assumptions and Catalog'!$H$55+'Assumptions and Catalog'!$E$55+'Assumptions and Catalog'!$F$55,IF(((D711+E711)*C711-G711)&lt;='Assumptions and Catalog'!$C$56,((D711+E711)*C711-G711)*'Assumptions and Catalog'!$H$56+'Assumptions and Catalog'!$E$56+'Assumptions and Catalog'!$F$56,IF(((D711+E711)*C711-G711)&lt;='Assumptions and Catalog'!$C$57,((D711+E711)*C711-G711)*'Assumptions and Catalog'!$H$57+'Assumptions and Catalog'!$E$57+'Assumptions and Catalog'!$F$57,"Out of range")))))))),IF(((D711+E711)*C711-G711)&lt;='Assumptions and Catalog'!$C$60,((D711+E711)*C711-G711)*'Assumptions and Catalog'!$H$60+'Assumptions and Catalog'!$E$60+'Assumptions and Catalog'!$F$60,IF(((D711+E711)*C711-G711)&lt;='Assumptions and Catalog'!$C$61,((D711+E711)*C711-G711)*'Assumptions and Catalog'!$H$61+'Assumptions and Catalog'!$E$61+'Assumptions and Catalog'!$F$61,IF(((D711+E711)*C711-G711)&lt;='Assumptions and Catalog'!$C$62,((D711+E711)*C711-G711)*'Assumptions and Catalog'!$H$62+'Assumptions and Catalog'!$E$62+'Assumptions and Catalog'!$F$62,IF(((D711+E711)*C711-G711)&lt;='Assumptions and Catalog'!$C$63,((D711+E711)*C711-G711)*'Assumptions and Catalog'!$H$63+'Assumptions and Catalog'!$E$63+'Assumptions and Catalog'!$F$63,IF(((D711+E711)*C711-G711)&lt;='Assumptions and Catalog'!$C$64,((D711+E711)*C711-G711)*'Assumptions and Catalog'!$H$64+'Assumptions and Catalog'!$E$64+'Assumptions and Catalog'!$F$64,IF(((D711+E711)*C711-G711)&lt;='Assumptions and Catalog'!$C$65,((D711+E711)*C711-G711)*'Assumptions and Catalog'!$H$65+'Assumptions and Catalog'!$E$65+'Assumptions and Catalog'!$F$65,"Out of range")))))))))*(1+'Assumptions and Catalog'!$C$8)^(A711-1),0)</f>
        <v>5709.0043701768054</v>
      </c>
      <c r="R711" s="5">
        <f>IF(AND('Assumptions and Catalog'!$C$19&gt;0,A711&gt;='Assumptions and Catalog'!$C$19),A711-'Assumptions and Catalog'!$C$19,A711-1)</f>
        <v>4</v>
      </c>
      <c r="S711" s="5">
        <f>F711+L711-(D711+E711)*C711-J711-K711-IF(E$52&gt;0,'Assumptions and Catalog'!$C$26*C711,0)</f>
        <v>0</v>
      </c>
      <c r="T711" s="5"/>
      <c r="U711" s="5"/>
    </row>
    <row r="712" spans="1:21" ht="23.1" customHeight="1" outlineLevel="1" x14ac:dyDescent="0.2">
      <c r="A712" s="5">
        <v>5</v>
      </c>
      <c r="B712" s="5">
        <v>4</v>
      </c>
      <c r="C712" s="5">
        <f>DAY(DATE('Assumptions and Catalog'!$C$24+A712-1,B712+1,0))</f>
        <v>30</v>
      </c>
      <c r="D712" s="5">
        <f>IF(ISNUMBER(Inputs!$L$5),Inputs!$L$5*Inputs!$L$6,0)</f>
        <v>40.35</v>
      </c>
      <c r="E712" s="5">
        <f>IF(ISNUMBER(Inputs!$L$5),Inputs!$L$5-D712,0)</f>
        <v>40.35</v>
      </c>
      <c r="F712" s="5">
        <f>E$51*'Assumptions and Catalog'!$C$31*C712*(1-'Assumptions and Catalog'!$C$10)^(A712-1)</f>
        <v>805.38884466356262</v>
      </c>
      <c r="G712" s="5">
        <f t="shared" si="48"/>
        <v>805.38884466356262</v>
      </c>
      <c r="H712" s="5">
        <f>I712/('Assumptions and Catalog'!$C$11*'Assumptions and Catalog'!$C$12)</f>
        <v>0</v>
      </c>
      <c r="I712" s="5">
        <f>MIN(E712*C712,P712*'Assumptions and Catalog'!$C$12*C712,(F712-G712)*'Assumptions and Catalog'!$C$11*'Assumptions and Catalog'!$C$12,E$56*'Assumptions and Catalog'!$C$14*'Assumptions and Catalog'!$C$11*'Assumptions and Catalog'!$C$12*C712,E$57*(24-'Assumptions and Catalog'!$C$13)*C712)</f>
        <v>0</v>
      </c>
      <c r="J712" s="5">
        <f t="shared" si="49"/>
        <v>0</v>
      </c>
      <c r="K712" s="5">
        <f t="shared" si="50"/>
        <v>0</v>
      </c>
      <c r="L712" s="5">
        <f>(D712+E712)*C712-G712-I712+0+IF(E$52&gt;0,'Assumptions and Catalog'!$C$26*C712,0)</f>
        <v>1615.6111553364374</v>
      </c>
      <c r="M712" s="5">
        <f>IF(ISNUMBER(Inputs!$L$5),(IF(Inputs!$L$9="Actual flat rate",((D712+E712)*C712)*Inputs!$L$10,IF(Inputs!$C$9="Residential",IF(((D712+E712)*C712)&lt;='Assumptions and Catalog'!$C$50,((D712+E712)*C712)*'Assumptions and Catalog'!$H$50+'Assumptions and Catalog'!$E$50+'Assumptions and Catalog'!$F$50,IF(((D712+E712)*C712)&lt;='Assumptions and Catalog'!$C$51,((D712+E712)*C712)*'Assumptions and Catalog'!$H$51+'Assumptions and Catalog'!$E$51+'Assumptions and Catalog'!$F$51,IF(((D712+E712)*C712)&lt;='Assumptions and Catalog'!$C$52,((D712+E712)*C712)*'Assumptions and Catalog'!$H$52+'Assumptions and Catalog'!$E$52+'Assumptions and Catalog'!$F$52,IF(((D712+E712)*C712)&lt;='Assumptions and Catalog'!$C$53,((D712+E712)*C712)*'Assumptions and Catalog'!$H$53+'Assumptions and Catalog'!$E$53+'Assumptions and Catalog'!$F$53,IF(((D712+E712)*C712)&lt;='Assumptions and Catalog'!$C$54,((D712+E712)*C712)*'Assumptions and Catalog'!$H$54+'Assumptions and Catalog'!$E$54+'Assumptions and Catalog'!$F$54,IF(((D712+E712)*C712)&lt;='Assumptions and Catalog'!$C$55,((D712+E712)*C712)*'Assumptions and Catalog'!$H$55+'Assumptions and Catalog'!$E$55+'Assumptions and Catalog'!$F$55,IF(((D712+E712)*C712)&lt;='Assumptions and Catalog'!$C$56,((D712+E712)*C712)*'Assumptions and Catalog'!$H$56+'Assumptions and Catalog'!$E$56+'Assumptions and Catalog'!$F$56,IF(((D712+E712)*C712)&lt;='Assumptions and Catalog'!$C$57,((D712+E712)*C712)*'Assumptions and Catalog'!$H$57+'Assumptions and Catalog'!$E$57+'Assumptions and Catalog'!$F$57,"Out of range")))))))),IF(((D712+E712)*C712)&lt;='Assumptions and Catalog'!$C$60,((D712+E712)*C712)*'Assumptions and Catalog'!$H$60+'Assumptions and Catalog'!$E$60+'Assumptions and Catalog'!$F$60,IF(((D712+E712)*C712)&lt;='Assumptions and Catalog'!$C$61,((D712+E712)*C712)*'Assumptions and Catalog'!$H$61+'Assumptions and Catalog'!$E$61+'Assumptions and Catalog'!$F$61,IF(((D712+E712)*C712)&lt;='Assumptions and Catalog'!$C$62,((D712+E712)*C712)*'Assumptions and Catalog'!$H$62+'Assumptions and Catalog'!$E$62+'Assumptions and Catalog'!$F$62,IF(((D712+E712)*C712)&lt;='Assumptions and Catalog'!$C$63,((D712+E712)*C712)*'Assumptions and Catalog'!$H$63+'Assumptions and Catalog'!$E$63+'Assumptions and Catalog'!$F$63,IF(((D712+E712)*C712)&lt;='Assumptions and Catalog'!$C$64,((D712+E712)*C712)*'Assumptions and Catalog'!$H$64+'Assumptions and Catalog'!$E$64+'Assumptions and Catalog'!$F$64,IF(((D712+E712)*C712)&lt;='Assumptions and Catalog'!$C$65,((D712+E712)*C712)*'Assumptions and Catalog'!$H$65+'Assumptions and Catalog'!$E$65+'Assumptions and Catalog'!$F$65,"Out of range")))))))))*(1+'Assumptions and Catalog'!$C$8)^(A712-1),0)</f>
        <v>8279</v>
      </c>
      <c r="N712" s="5">
        <f>IF(ISNUMBER(Inputs!$L$5),(IF(Inputs!$L$9="Actual flat rate",L712*Inputs!$L$10,IF(Inputs!$C$9="Residential",IF(L712&lt;='Assumptions and Catalog'!$C$50,L712*'Assumptions and Catalog'!$H$50+'Assumptions and Catalog'!$E$50+'Assumptions and Catalog'!$F$50,IF(L712&lt;='Assumptions and Catalog'!$C$51,L712*'Assumptions and Catalog'!$H$51+'Assumptions and Catalog'!$E$51+'Assumptions and Catalog'!$F$51,IF(L712&lt;='Assumptions and Catalog'!$C$52,L712*'Assumptions and Catalog'!$H$52+'Assumptions and Catalog'!$E$52+'Assumptions and Catalog'!$F$52,IF(L712&lt;='Assumptions and Catalog'!$C$53,L712*'Assumptions and Catalog'!$H$53+'Assumptions and Catalog'!$E$53+'Assumptions and Catalog'!$F$53,IF(L712&lt;='Assumptions and Catalog'!$C$54,L712*'Assumptions and Catalog'!$H$54+'Assumptions and Catalog'!$E$54+'Assumptions and Catalog'!$F$54,IF(L712&lt;='Assumptions and Catalog'!$C$55,L712*'Assumptions and Catalog'!$H$55+'Assumptions and Catalog'!$E$55+'Assumptions and Catalog'!$F$55,IF(L712&lt;='Assumptions and Catalog'!$C$56,L712*'Assumptions and Catalog'!$H$56+'Assumptions and Catalog'!$E$56+'Assumptions and Catalog'!$F$56,IF(L712&lt;='Assumptions and Catalog'!$C$57,L712*'Assumptions and Catalog'!$H$57+'Assumptions and Catalog'!$E$57+'Assumptions and Catalog'!$F$57,"Out of range")))))))),IF(L712&lt;='Assumptions and Catalog'!$C$60,L712*'Assumptions and Catalog'!$H$60+'Assumptions and Catalog'!$E$60+'Assumptions and Catalog'!$F$60,IF(L712&lt;='Assumptions and Catalog'!$C$61,L712*'Assumptions and Catalog'!$H$61+'Assumptions and Catalog'!$E$61+'Assumptions and Catalog'!$F$61,IF(L712&lt;='Assumptions and Catalog'!$C$62,L712*'Assumptions and Catalog'!$H$62+'Assumptions and Catalog'!$E$62+'Assumptions and Catalog'!$F$62,IF(L712&lt;='Assumptions and Catalog'!$C$63,L712*'Assumptions and Catalog'!$H$63+'Assumptions and Catalog'!$E$63+'Assumptions and Catalog'!$F$63,IF(L712&lt;='Assumptions and Catalog'!$C$64,L712*'Assumptions and Catalog'!$H$64+'Assumptions and Catalog'!$E$64+'Assumptions and Catalog'!$F$64,IF(L712&lt;='Assumptions and Catalog'!$C$65,L712*'Assumptions and Catalog'!$H$65+'Assumptions and Catalog'!$E$65+'Assumptions and Catalog'!$F$65,"Out of range")))))))))*(1+'Assumptions and Catalog'!$C$8)^(A712-1),0)</f>
        <v>5524.8429388807781</v>
      </c>
      <c r="O712" s="5">
        <f t="shared" si="51"/>
        <v>2754.1570611192219</v>
      </c>
      <c r="P712" s="5">
        <f>E$55*(1-L$14)*(1-'Assumptions and Catalog'!$C$23)^R712</f>
        <v>94.450499583999999</v>
      </c>
      <c r="Q712" s="5">
        <f>IF(ISNUMBER(Inputs!$L$5),(IF(Inputs!$L$9="Actual flat rate",((D712+E712)*C712-G712)*Inputs!$L$10,IF(Inputs!$C$9="Residential",IF(((D712+E712)*C712-G712)&lt;='Assumptions and Catalog'!$C$50,((D712+E712)*C712-G712)*'Assumptions and Catalog'!$H$50+'Assumptions and Catalog'!$E$50+'Assumptions and Catalog'!$F$50,IF(((D712+E712)*C712-G712)&lt;='Assumptions and Catalog'!$C$51,((D712+E712)*C712-G712)*'Assumptions and Catalog'!$H$51+'Assumptions and Catalog'!$E$51+'Assumptions and Catalog'!$F$51,IF(((D712+E712)*C712-G712)&lt;='Assumptions and Catalog'!$C$52,((D712+E712)*C712-G712)*'Assumptions and Catalog'!$H$52+'Assumptions and Catalog'!$E$52+'Assumptions and Catalog'!$F$52,IF(((D712+E712)*C712-G712)&lt;='Assumptions and Catalog'!$C$53,((D712+E712)*C712-G712)*'Assumptions and Catalog'!$H$53+'Assumptions and Catalog'!$E$53+'Assumptions and Catalog'!$F$53,IF(((D712+E712)*C712-G712)&lt;='Assumptions and Catalog'!$C$54,((D712+E712)*C712-G712)*'Assumptions and Catalog'!$H$54+'Assumptions and Catalog'!$E$54+'Assumptions and Catalog'!$F$54,IF(((D712+E712)*C712-G712)&lt;='Assumptions and Catalog'!$C$55,((D712+E712)*C712-G712)*'Assumptions and Catalog'!$H$55+'Assumptions and Catalog'!$E$55+'Assumptions and Catalog'!$F$55,IF(((D712+E712)*C712-G712)&lt;='Assumptions and Catalog'!$C$56,((D712+E712)*C712-G712)*'Assumptions and Catalog'!$H$56+'Assumptions and Catalog'!$E$56+'Assumptions and Catalog'!$F$56,IF(((D712+E712)*C712-G712)&lt;='Assumptions and Catalog'!$C$57,((D712+E712)*C712-G712)*'Assumptions and Catalog'!$H$57+'Assumptions and Catalog'!$E$57+'Assumptions and Catalog'!$F$57,"Out of range")))))))),IF(((D712+E712)*C712-G712)&lt;='Assumptions and Catalog'!$C$60,((D712+E712)*C712-G712)*'Assumptions and Catalog'!$H$60+'Assumptions and Catalog'!$E$60+'Assumptions and Catalog'!$F$60,IF(((D712+E712)*C712-G712)&lt;='Assumptions and Catalog'!$C$61,((D712+E712)*C712-G712)*'Assumptions and Catalog'!$H$61+'Assumptions and Catalog'!$E$61+'Assumptions and Catalog'!$F$61,IF(((D712+E712)*C712-G712)&lt;='Assumptions and Catalog'!$C$62,((D712+E712)*C712-G712)*'Assumptions and Catalog'!$H$62+'Assumptions and Catalog'!$E$62+'Assumptions and Catalog'!$F$62,IF(((D712+E712)*C712-G712)&lt;='Assumptions and Catalog'!$C$63,((D712+E712)*C712-G712)*'Assumptions and Catalog'!$H$63+'Assumptions and Catalog'!$E$63+'Assumptions and Catalog'!$F$63,IF(((D712+E712)*C712-G712)&lt;='Assumptions and Catalog'!$C$64,((D712+E712)*C712-G712)*'Assumptions and Catalog'!$H$64+'Assumptions and Catalog'!$E$64+'Assumptions and Catalog'!$F$64,IF(((D712+E712)*C712-G712)&lt;='Assumptions and Catalog'!$C$65,((D712+E712)*C712-G712)*'Assumptions and Catalog'!$H$65+'Assumptions and Catalog'!$E$65+'Assumptions and Catalog'!$F$65,"Out of range")))))))))*(1+'Assumptions and Catalog'!$C$8)^(A712-1),0)</f>
        <v>5524.8429388807781</v>
      </c>
      <c r="R712" s="5">
        <f>IF(AND('Assumptions and Catalog'!$C$19&gt;0,A712&gt;='Assumptions and Catalog'!$C$19),A712-'Assumptions and Catalog'!$C$19,A712-1)</f>
        <v>4</v>
      </c>
      <c r="S712" s="5">
        <f>F712+L712-(D712+E712)*C712-J712-K712-IF(E$52&gt;0,'Assumptions and Catalog'!$C$26*C712,0)</f>
        <v>0</v>
      </c>
      <c r="T712" s="5"/>
      <c r="U712" s="5"/>
    </row>
    <row r="713" spans="1:21" ht="23.1" customHeight="1" outlineLevel="1" x14ac:dyDescent="0.2">
      <c r="A713" s="5">
        <v>5</v>
      </c>
      <c r="B713" s="5">
        <v>5</v>
      </c>
      <c r="C713" s="5">
        <f>DAY(DATE('Assumptions and Catalog'!$C$24+A713-1,B713+1,0))</f>
        <v>31</v>
      </c>
      <c r="D713" s="5">
        <f>IF(ISNUMBER(Inputs!$L$5),Inputs!$L$5*Inputs!$L$6,0)</f>
        <v>40.35</v>
      </c>
      <c r="E713" s="5">
        <f>IF(ISNUMBER(Inputs!$L$5),Inputs!$L$5-D713,0)</f>
        <v>40.35</v>
      </c>
      <c r="F713" s="5">
        <f>E$51*'Assumptions and Catalog'!$C$31*C713*(1-'Assumptions and Catalog'!$C$10)^(A713-1)</f>
        <v>832.23513948568132</v>
      </c>
      <c r="G713" s="5">
        <f t="shared" si="48"/>
        <v>832.23513948568132</v>
      </c>
      <c r="H713" s="5">
        <f>I713/('Assumptions and Catalog'!$C$11*'Assumptions and Catalog'!$C$12)</f>
        <v>0</v>
      </c>
      <c r="I713" s="5">
        <f>MIN(E713*C713,P713*'Assumptions and Catalog'!$C$12*C713,(F713-G713)*'Assumptions and Catalog'!$C$11*'Assumptions and Catalog'!$C$12,E$56*'Assumptions and Catalog'!$C$14*'Assumptions and Catalog'!$C$11*'Assumptions and Catalog'!$C$12*C713,E$57*(24-'Assumptions and Catalog'!$C$13)*C713)</f>
        <v>0</v>
      </c>
      <c r="J713" s="5">
        <f t="shared" si="49"/>
        <v>0</v>
      </c>
      <c r="K713" s="5">
        <f t="shared" si="50"/>
        <v>0</v>
      </c>
      <c r="L713" s="5">
        <f>(D713+E713)*C713-G713-I713+0+IF(E$52&gt;0,'Assumptions and Catalog'!$C$26*C713,0)</f>
        <v>1669.4648605143188</v>
      </c>
      <c r="M713" s="5">
        <f>IF(ISNUMBER(Inputs!$L$5),(IF(Inputs!$L$9="Actual flat rate",((D713+E713)*C713)*Inputs!$L$10,IF(Inputs!$C$9="Residential",IF(((D713+E713)*C713)&lt;='Assumptions and Catalog'!$C$50,((D713+E713)*C713)*'Assumptions and Catalog'!$H$50+'Assumptions and Catalog'!$E$50+'Assumptions and Catalog'!$F$50,IF(((D713+E713)*C713)&lt;='Assumptions and Catalog'!$C$51,((D713+E713)*C713)*'Assumptions and Catalog'!$H$51+'Assumptions and Catalog'!$E$51+'Assumptions and Catalog'!$F$51,IF(((D713+E713)*C713)&lt;='Assumptions and Catalog'!$C$52,((D713+E713)*C713)*'Assumptions and Catalog'!$H$52+'Assumptions and Catalog'!$E$52+'Assumptions and Catalog'!$F$52,IF(((D713+E713)*C713)&lt;='Assumptions and Catalog'!$C$53,((D713+E713)*C713)*'Assumptions and Catalog'!$H$53+'Assumptions and Catalog'!$E$53+'Assumptions and Catalog'!$F$53,IF(((D713+E713)*C713)&lt;='Assumptions and Catalog'!$C$54,((D713+E713)*C713)*'Assumptions and Catalog'!$H$54+'Assumptions and Catalog'!$E$54+'Assumptions and Catalog'!$F$54,IF(((D713+E713)*C713)&lt;='Assumptions and Catalog'!$C$55,((D713+E713)*C713)*'Assumptions and Catalog'!$H$55+'Assumptions and Catalog'!$E$55+'Assumptions and Catalog'!$F$55,IF(((D713+E713)*C713)&lt;='Assumptions and Catalog'!$C$56,((D713+E713)*C713)*'Assumptions and Catalog'!$H$56+'Assumptions and Catalog'!$E$56+'Assumptions and Catalog'!$F$56,IF(((D713+E713)*C713)&lt;='Assumptions and Catalog'!$C$57,((D713+E713)*C713)*'Assumptions and Catalog'!$H$57+'Assumptions and Catalog'!$E$57+'Assumptions and Catalog'!$F$57,"Out of range")))))))),IF(((D713+E713)*C713)&lt;='Assumptions and Catalog'!$C$60,((D713+E713)*C713)*'Assumptions and Catalog'!$H$60+'Assumptions and Catalog'!$E$60+'Assumptions and Catalog'!$F$60,IF(((D713+E713)*C713)&lt;='Assumptions and Catalog'!$C$61,((D713+E713)*C713)*'Assumptions and Catalog'!$H$61+'Assumptions and Catalog'!$E$61+'Assumptions and Catalog'!$F$61,IF(((D713+E713)*C713)&lt;='Assumptions and Catalog'!$C$62,((D713+E713)*C713)*'Assumptions and Catalog'!$H$62+'Assumptions and Catalog'!$E$62+'Assumptions and Catalog'!$F$62,IF(((D713+E713)*C713)&lt;='Assumptions and Catalog'!$C$63,((D713+E713)*C713)*'Assumptions and Catalog'!$H$63+'Assumptions and Catalog'!$E$63+'Assumptions and Catalog'!$F$63,IF(((D713+E713)*C713)&lt;='Assumptions and Catalog'!$C$64,((D713+E713)*C713)*'Assumptions and Catalog'!$H$64+'Assumptions and Catalog'!$E$64+'Assumptions and Catalog'!$F$64,IF(((D713+E713)*C713)&lt;='Assumptions and Catalog'!$C$65,((D713+E713)*C713)*'Assumptions and Catalog'!$H$65+'Assumptions and Catalog'!$E$65+'Assumptions and Catalog'!$F$65,"Out of range")))))))))*(1+'Assumptions and Catalog'!$C$8)^(A713-1),0)</f>
        <v>8554.9666666666672</v>
      </c>
      <c r="N713" s="5">
        <f>IF(ISNUMBER(Inputs!$L$5),(IF(Inputs!$L$9="Actual flat rate",L713*Inputs!$L$10,IF(Inputs!$C$9="Residential",IF(L713&lt;='Assumptions and Catalog'!$C$50,L713*'Assumptions and Catalog'!$H$50+'Assumptions and Catalog'!$E$50+'Assumptions and Catalog'!$F$50,IF(L713&lt;='Assumptions and Catalog'!$C$51,L713*'Assumptions and Catalog'!$H$51+'Assumptions and Catalog'!$E$51+'Assumptions and Catalog'!$F$51,IF(L713&lt;='Assumptions and Catalog'!$C$52,L713*'Assumptions and Catalog'!$H$52+'Assumptions and Catalog'!$E$52+'Assumptions and Catalog'!$F$52,IF(L713&lt;='Assumptions and Catalog'!$C$53,L713*'Assumptions and Catalog'!$H$53+'Assumptions and Catalog'!$E$53+'Assumptions and Catalog'!$F$53,IF(L713&lt;='Assumptions and Catalog'!$C$54,L713*'Assumptions and Catalog'!$H$54+'Assumptions and Catalog'!$E$54+'Assumptions and Catalog'!$F$54,IF(L713&lt;='Assumptions and Catalog'!$C$55,L713*'Assumptions and Catalog'!$H$55+'Assumptions and Catalog'!$E$55+'Assumptions and Catalog'!$F$55,IF(L713&lt;='Assumptions and Catalog'!$C$56,L713*'Assumptions and Catalog'!$H$56+'Assumptions and Catalog'!$E$56+'Assumptions and Catalog'!$F$56,IF(L713&lt;='Assumptions and Catalog'!$C$57,L713*'Assumptions and Catalog'!$H$57+'Assumptions and Catalog'!$E$57+'Assumptions and Catalog'!$F$57,"Out of range")))))))),IF(L713&lt;='Assumptions and Catalog'!$C$60,L713*'Assumptions and Catalog'!$H$60+'Assumptions and Catalog'!$E$60+'Assumptions and Catalog'!$F$60,IF(L713&lt;='Assumptions and Catalog'!$C$61,L713*'Assumptions and Catalog'!$H$61+'Assumptions and Catalog'!$E$61+'Assumptions and Catalog'!$F$61,IF(L713&lt;='Assumptions and Catalog'!$C$62,L713*'Assumptions and Catalog'!$H$62+'Assumptions and Catalog'!$E$62+'Assumptions and Catalog'!$F$62,IF(L713&lt;='Assumptions and Catalog'!$C$63,L713*'Assumptions and Catalog'!$H$63+'Assumptions and Catalog'!$E$63+'Assumptions and Catalog'!$F$63,IF(L713&lt;='Assumptions and Catalog'!$C$64,L713*'Assumptions and Catalog'!$H$64+'Assumptions and Catalog'!$E$64+'Assumptions and Catalog'!$F$64,IF(L713&lt;='Assumptions and Catalog'!$C$65,L713*'Assumptions and Catalog'!$H$65+'Assumptions and Catalog'!$E$65+'Assumptions and Catalog'!$F$65,"Out of range")))))))))*(1+'Assumptions and Catalog'!$C$8)^(A713-1),0)</f>
        <v>5709.0043701768054</v>
      </c>
      <c r="O713" s="5">
        <f t="shared" si="51"/>
        <v>2845.9622964898617</v>
      </c>
      <c r="P713" s="5">
        <f>E$55*(1-L$14)*(1-'Assumptions and Catalog'!$C$23)^R713</f>
        <v>94.450499583999999</v>
      </c>
      <c r="Q713" s="5">
        <f>IF(ISNUMBER(Inputs!$L$5),(IF(Inputs!$L$9="Actual flat rate",((D713+E713)*C713-G713)*Inputs!$L$10,IF(Inputs!$C$9="Residential",IF(((D713+E713)*C713-G713)&lt;='Assumptions and Catalog'!$C$50,((D713+E713)*C713-G713)*'Assumptions and Catalog'!$H$50+'Assumptions and Catalog'!$E$50+'Assumptions and Catalog'!$F$50,IF(((D713+E713)*C713-G713)&lt;='Assumptions and Catalog'!$C$51,((D713+E713)*C713-G713)*'Assumptions and Catalog'!$H$51+'Assumptions and Catalog'!$E$51+'Assumptions and Catalog'!$F$51,IF(((D713+E713)*C713-G713)&lt;='Assumptions and Catalog'!$C$52,((D713+E713)*C713-G713)*'Assumptions and Catalog'!$H$52+'Assumptions and Catalog'!$E$52+'Assumptions and Catalog'!$F$52,IF(((D713+E713)*C713-G713)&lt;='Assumptions and Catalog'!$C$53,((D713+E713)*C713-G713)*'Assumptions and Catalog'!$H$53+'Assumptions and Catalog'!$E$53+'Assumptions and Catalog'!$F$53,IF(((D713+E713)*C713-G713)&lt;='Assumptions and Catalog'!$C$54,((D713+E713)*C713-G713)*'Assumptions and Catalog'!$H$54+'Assumptions and Catalog'!$E$54+'Assumptions and Catalog'!$F$54,IF(((D713+E713)*C713-G713)&lt;='Assumptions and Catalog'!$C$55,((D713+E713)*C713-G713)*'Assumptions and Catalog'!$H$55+'Assumptions and Catalog'!$E$55+'Assumptions and Catalog'!$F$55,IF(((D713+E713)*C713-G713)&lt;='Assumptions and Catalog'!$C$56,((D713+E713)*C713-G713)*'Assumptions and Catalog'!$H$56+'Assumptions and Catalog'!$E$56+'Assumptions and Catalog'!$F$56,IF(((D713+E713)*C713-G713)&lt;='Assumptions and Catalog'!$C$57,((D713+E713)*C713-G713)*'Assumptions and Catalog'!$H$57+'Assumptions and Catalog'!$E$57+'Assumptions and Catalog'!$F$57,"Out of range")))))))),IF(((D713+E713)*C713-G713)&lt;='Assumptions and Catalog'!$C$60,((D713+E713)*C713-G713)*'Assumptions and Catalog'!$H$60+'Assumptions and Catalog'!$E$60+'Assumptions and Catalog'!$F$60,IF(((D713+E713)*C713-G713)&lt;='Assumptions and Catalog'!$C$61,((D713+E713)*C713-G713)*'Assumptions and Catalog'!$H$61+'Assumptions and Catalog'!$E$61+'Assumptions and Catalog'!$F$61,IF(((D713+E713)*C713-G713)&lt;='Assumptions and Catalog'!$C$62,((D713+E713)*C713-G713)*'Assumptions and Catalog'!$H$62+'Assumptions and Catalog'!$E$62+'Assumptions and Catalog'!$F$62,IF(((D713+E713)*C713-G713)&lt;='Assumptions and Catalog'!$C$63,((D713+E713)*C713-G713)*'Assumptions and Catalog'!$H$63+'Assumptions and Catalog'!$E$63+'Assumptions and Catalog'!$F$63,IF(((D713+E713)*C713-G713)&lt;='Assumptions and Catalog'!$C$64,((D713+E713)*C713-G713)*'Assumptions and Catalog'!$H$64+'Assumptions and Catalog'!$E$64+'Assumptions and Catalog'!$F$64,IF(((D713+E713)*C713-G713)&lt;='Assumptions and Catalog'!$C$65,((D713+E713)*C713-G713)*'Assumptions and Catalog'!$H$65+'Assumptions and Catalog'!$E$65+'Assumptions and Catalog'!$F$65,"Out of range")))))))))*(1+'Assumptions and Catalog'!$C$8)^(A713-1),0)</f>
        <v>5709.0043701768054</v>
      </c>
      <c r="R713" s="5">
        <f>IF(AND('Assumptions and Catalog'!$C$19&gt;0,A713&gt;='Assumptions and Catalog'!$C$19),A713-'Assumptions and Catalog'!$C$19,A713-1)</f>
        <v>4</v>
      </c>
      <c r="S713" s="5">
        <f>F713+L713-(D713+E713)*C713-J713-K713-IF(E$52&gt;0,'Assumptions and Catalog'!$C$26*C713,0)</f>
        <v>0</v>
      </c>
      <c r="T713" s="5"/>
      <c r="U713" s="5"/>
    </row>
    <row r="714" spans="1:21" ht="23.1" customHeight="1" outlineLevel="1" x14ac:dyDescent="0.2">
      <c r="A714" s="5">
        <v>5</v>
      </c>
      <c r="B714" s="5">
        <v>6</v>
      </c>
      <c r="C714" s="5">
        <f>DAY(DATE('Assumptions and Catalog'!$C$24+A714-1,B714+1,0))</f>
        <v>30</v>
      </c>
      <c r="D714" s="5">
        <f>IF(ISNUMBER(Inputs!$L$5),Inputs!$L$5*Inputs!$L$6,0)</f>
        <v>40.35</v>
      </c>
      <c r="E714" s="5">
        <f>IF(ISNUMBER(Inputs!$L$5),Inputs!$L$5-D714,0)</f>
        <v>40.35</v>
      </c>
      <c r="F714" s="5">
        <f>E$51*'Assumptions and Catalog'!$C$31*C714*(1-'Assumptions and Catalog'!$C$10)^(A714-1)</f>
        <v>805.38884466356262</v>
      </c>
      <c r="G714" s="5">
        <f t="shared" si="48"/>
        <v>805.38884466356262</v>
      </c>
      <c r="H714" s="5">
        <f>I714/('Assumptions and Catalog'!$C$11*'Assumptions and Catalog'!$C$12)</f>
        <v>0</v>
      </c>
      <c r="I714" s="5">
        <f>MIN(E714*C714,P714*'Assumptions and Catalog'!$C$12*C714,(F714-G714)*'Assumptions and Catalog'!$C$11*'Assumptions and Catalog'!$C$12,E$56*'Assumptions and Catalog'!$C$14*'Assumptions and Catalog'!$C$11*'Assumptions and Catalog'!$C$12*C714,E$57*(24-'Assumptions and Catalog'!$C$13)*C714)</f>
        <v>0</v>
      </c>
      <c r="J714" s="5">
        <f t="shared" si="49"/>
        <v>0</v>
      </c>
      <c r="K714" s="5">
        <f t="shared" si="50"/>
        <v>0</v>
      </c>
      <c r="L714" s="5">
        <f>(D714+E714)*C714-G714-I714+0+IF(E$52&gt;0,'Assumptions and Catalog'!$C$26*C714,0)</f>
        <v>1615.6111553364374</v>
      </c>
      <c r="M714" s="5">
        <f>IF(ISNUMBER(Inputs!$L$5),(IF(Inputs!$L$9="Actual flat rate",((D714+E714)*C714)*Inputs!$L$10,IF(Inputs!$C$9="Residential",IF(((D714+E714)*C714)&lt;='Assumptions and Catalog'!$C$50,((D714+E714)*C714)*'Assumptions and Catalog'!$H$50+'Assumptions and Catalog'!$E$50+'Assumptions and Catalog'!$F$50,IF(((D714+E714)*C714)&lt;='Assumptions and Catalog'!$C$51,((D714+E714)*C714)*'Assumptions and Catalog'!$H$51+'Assumptions and Catalog'!$E$51+'Assumptions and Catalog'!$F$51,IF(((D714+E714)*C714)&lt;='Assumptions and Catalog'!$C$52,((D714+E714)*C714)*'Assumptions and Catalog'!$H$52+'Assumptions and Catalog'!$E$52+'Assumptions and Catalog'!$F$52,IF(((D714+E714)*C714)&lt;='Assumptions and Catalog'!$C$53,((D714+E714)*C714)*'Assumptions and Catalog'!$H$53+'Assumptions and Catalog'!$E$53+'Assumptions and Catalog'!$F$53,IF(((D714+E714)*C714)&lt;='Assumptions and Catalog'!$C$54,((D714+E714)*C714)*'Assumptions and Catalog'!$H$54+'Assumptions and Catalog'!$E$54+'Assumptions and Catalog'!$F$54,IF(((D714+E714)*C714)&lt;='Assumptions and Catalog'!$C$55,((D714+E714)*C714)*'Assumptions and Catalog'!$H$55+'Assumptions and Catalog'!$E$55+'Assumptions and Catalog'!$F$55,IF(((D714+E714)*C714)&lt;='Assumptions and Catalog'!$C$56,((D714+E714)*C714)*'Assumptions and Catalog'!$H$56+'Assumptions and Catalog'!$E$56+'Assumptions and Catalog'!$F$56,IF(((D714+E714)*C714)&lt;='Assumptions and Catalog'!$C$57,((D714+E714)*C714)*'Assumptions and Catalog'!$H$57+'Assumptions and Catalog'!$E$57+'Assumptions and Catalog'!$F$57,"Out of range")))))))),IF(((D714+E714)*C714)&lt;='Assumptions and Catalog'!$C$60,((D714+E714)*C714)*'Assumptions and Catalog'!$H$60+'Assumptions and Catalog'!$E$60+'Assumptions and Catalog'!$F$60,IF(((D714+E714)*C714)&lt;='Assumptions and Catalog'!$C$61,((D714+E714)*C714)*'Assumptions and Catalog'!$H$61+'Assumptions and Catalog'!$E$61+'Assumptions and Catalog'!$F$61,IF(((D714+E714)*C714)&lt;='Assumptions and Catalog'!$C$62,((D714+E714)*C714)*'Assumptions and Catalog'!$H$62+'Assumptions and Catalog'!$E$62+'Assumptions and Catalog'!$F$62,IF(((D714+E714)*C714)&lt;='Assumptions and Catalog'!$C$63,((D714+E714)*C714)*'Assumptions and Catalog'!$H$63+'Assumptions and Catalog'!$E$63+'Assumptions and Catalog'!$F$63,IF(((D714+E714)*C714)&lt;='Assumptions and Catalog'!$C$64,((D714+E714)*C714)*'Assumptions and Catalog'!$H$64+'Assumptions and Catalog'!$E$64+'Assumptions and Catalog'!$F$64,IF(((D714+E714)*C714)&lt;='Assumptions and Catalog'!$C$65,((D714+E714)*C714)*'Assumptions and Catalog'!$H$65+'Assumptions and Catalog'!$E$65+'Assumptions and Catalog'!$F$65,"Out of range")))))))))*(1+'Assumptions and Catalog'!$C$8)^(A714-1),0)</f>
        <v>8279</v>
      </c>
      <c r="N714" s="5">
        <f>IF(ISNUMBER(Inputs!$L$5),(IF(Inputs!$L$9="Actual flat rate",L714*Inputs!$L$10,IF(Inputs!$C$9="Residential",IF(L714&lt;='Assumptions and Catalog'!$C$50,L714*'Assumptions and Catalog'!$H$50+'Assumptions and Catalog'!$E$50+'Assumptions and Catalog'!$F$50,IF(L714&lt;='Assumptions and Catalog'!$C$51,L714*'Assumptions and Catalog'!$H$51+'Assumptions and Catalog'!$E$51+'Assumptions and Catalog'!$F$51,IF(L714&lt;='Assumptions and Catalog'!$C$52,L714*'Assumptions and Catalog'!$H$52+'Assumptions and Catalog'!$E$52+'Assumptions and Catalog'!$F$52,IF(L714&lt;='Assumptions and Catalog'!$C$53,L714*'Assumptions and Catalog'!$H$53+'Assumptions and Catalog'!$E$53+'Assumptions and Catalog'!$F$53,IF(L714&lt;='Assumptions and Catalog'!$C$54,L714*'Assumptions and Catalog'!$H$54+'Assumptions and Catalog'!$E$54+'Assumptions and Catalog'!$F$54,IF(L714&lt;='Assumptions and Catalog'!$C$55,L714*'Assumptions and Catalog'!$H$55+'Assumptions and Catalog'!$E$55+'Assumptions and Catalog'!$F$55,IF(L714&lt;='Assumptions and Catalog'!$C$56,L714*'Assumptions and Catalog'!$H$56+'Assumptions and Catalog'!$E$56+'Assumptions and Catalog'!$F$56,IF(L714&lt;='Assumptions and Catalog'!$C$57,L714*'Assumptions and Catalog'!$H$57+'Assumptions and Catalog'!$E$57+'Assumptions and Catalog'!$F$57,"Out of range")))))))),IF(L714&lt;='Assumptions and Catalog'!$C$60,L714*'Assumptions and Catalog'!$H$60+'Assumptions and Catalog'!$E$60+'Assumptions and Catalog'!$F$60,IF(L714&lt;='Assumptions and Catalog'!$C$61,L714*'Assumptions and Catalog'!$H$61+'Assumptions and Catalog'!$E$61+'Assumptions and Catalog'!$F$61,IF(L714&lt;='Assumptions and Catalog'!$C$62,L714*'Assumptions and Catalog'!$H$62+'Assumptions and Catalog'!$E$62+'Assumptions and Catalog'!$F$62,IF(L714&lt;='Assumptions and Catalog'!$C$63,L714*'Assumptions and Catalog'!$H$63+'Assumptions and Catalog'!$E$63+'Assumptions and Catalog'!$F$63,IF(L714&lt;='Assumptions and Catalog'!$C$64,L714*'Assumptions and Catalog'!$H$64+'Assumptions and Catalog'!$E$64+'Assumptions and Catalog'!$F$64,IF(L714&lt;='Assumptions and Catalog'!$C$65,L714*'Assumptions and Catalog'!$H$65+'Assumptions and Catalog'!$E$65+'Assumptions and Catalog'!$F$65,"Out of range")))))))))*(1+'Assumptions and Catalog'!$C$8)^(A714-1),0)</f>
        <v>5524.8429388807781</v>
      </c>
      <c r="O714" s="5">
        <f t="shared" si="51"/>
        <v>2754.1570611192219</v>
      </c>
      <c r="P714" s="5">
        <f>E$55*(1-L$14)*(1-'Assumptions and Catalog'!$C$23)^R714</f>
        <v>94.450499583999999</v>
      </c>
      <c r="Q714" s="5">
        <f>IF(ISNUMBER(Inputs!$L$5),(IF(Inputs!$L$9="Actual flat rate",((D714+E714)*C714-G714)*Inputs!$L$10,IF(Inputs!$C$9="Residential",IF(((D714+E714)*C714-G714)&lt;='Assumptions and Catalog'!$C$50,((D714+E714)*C714-G714)*'Assumptions and Catalog'!$H$50+'Assumptions and Catalog'!$E$50+'Assumptions and Catalog'!$F$50,IF(((D714+E714)*C714-G714)&lt;='Assumptions and Catalog'!$C$51,((D714+E714)*C714-G714)*'Assumptions and Catalog'!$H$51+'Assumptions and Catalog'!$E$51+'Assumptions and Catalog'!$F$51,IF(((D714+E714)*C714-G714)&lt;='Assumptions and Catalog'!$C$52,((D714+E714)*C714-G714)*'Assumptions and Catalog'!$H$52+'Assumptions and Catalog'!$E$52+'Assumptions and Catalog'!$F$52,IF(((D714+E714)*C714-G714)&lt;='Assumptions and Catalog'!$C$53,((D714+E714)*C714-G714)*'Assumptions and Catalog'!$H$53+'Assumptions and Catalog'!$E$53+'Assumptions and Catalog'!$F$53,IF(((D714+E714)*C714-G714)&lt;='Assumptions and Catalog'!$C$54,((D714+E714)*C714-G714)*'Assumptions and Catalog'!$H$54+'Assumptions and Catalog'!$E$54+'Assumptions and Catalog'!$F$54,IF(((D714+E714)*C714-G714)&lt;='Assumptions and Catalog'!$C$55,((D714+E714)*C714-G714)*'Assumptions and Catalog'!$H$55+'Assumptions and Catalog'!$E$55+'Assumptions and Catalog'!$F$55,IF(((D714+E714)*C714-G714)&lt;='Assumptions and Catalog'!$C$56,((D714+E714)*C714-G714)*'Assumptions and Catalog'!$H$56+'Assumptions and Catalog'!$E$56+'Assumptions and Catalog'!$F$56,IF(((D714+E714)*C714-G714)&lt;='Assumptions and Catalog'!$C$57,((D714+E714)*C714-G714)*'Assumptions and Catalog'!$H$57+'Assumptions and Catalog'!$E$57+'Assumptions and Catalog'!$F$57,"Out of range")))))))),IF(((D714+E714)*C714-G714)&lt;='Assumptions and Catalog'!$C$60,((D714+E714)*C714-G714)*'Assumptions and Catalog'!$H$60+'Assumptions and Catalog'!$E$60+'Assumptions and Catalog'!$F$60,IF(((D714+E714)*C714-G714)&lt;='Assumptions and Catalog'!$C$61,((D714+E714)*C714-G714)*'Assumptions and Catalog'!$H$61+'Assumptions and Catalog'!$E$61+'Assumptions and Catalog'!$F$61,IF(((D714+E714)*C714-G714)&lt;='Assumptions and Catalog'!$C$62,((D714+E714)*C714-G714)*'Assumptions and Catalog'!$H$62+'Assumptions and Catalog'!$E$62+'Assumptions and Catalog'!$F$62,IF(((D714+E714)*C714-G714)&lt;='Assumptions and Catalog'!$C$63,((D714+E714)*C714-G714)*'Assumptions and Catalog'!$H$63+'Assumptions and Catalog'!$E$63+'Assumptions and Catalog'!$F$63,IF(((D714+E714)*C714-G714)&lt;='Assumptions and Catalog'!$C$64,((D714+E714)*C714-G714)*'Assumptions and Catalog'!$H$64+'Assumptions and Catalog'!$E$64+'Assumptions and Catalog'!$F$64,IF(((D714+E714)*C714-G714)&lt;='Assumptions and Catalog'!$C$65,((D714+E714)*C714-G714)*'Assumptions and Catalog'!$H$65+'Assumptions and Catalog'!$E$65+'Assumptions and Catalog'!$F$65,"Out of range")))))))))*(1+'Assumptions and Catalog'!$C$8)^(A714-1),0)</f>
        <v>5524.8429388807781</v>
      </c>
      <c r="R714" s="5">
        <f>IF(AND('Assumptions and Catalog'!$C$19&gt;0,A714&gt;='Assumptions and Catalog'!$C$19),A714-'Assumptions and Catalog'!$C$19,A714-1)</f>
        <v>4</v>
      </c>
      <c r="S714" s="5">
        <f>F714+L714-(D714+E714)*C714-J714-K714-IF(E$52&gt;0,'Assumptions and Catalog'!$C$26*C714,0)</f>
        <v>0</v>
      </c>
      <c r="T714" s="5"/>
      <c r="U714" s="5"/>
    </row>
    <row r="715" spans="1:21" ht="23.1" customHeight="1" outlineLevel="1" x14ac:dyDescent="0.2">
      <c r="A715" s="5">
        <v>5</v>
      </c>
      <c r="B715" s="5">
        <v>7</v>
      </c>
      <c r="C715" s="5">
        <f>DAY(DATE('Assumptions and Catalog'!$C$24+A715-1,B715+1,0))</f>
        <v>31</v>
      </c>
      <c r="D715" s="5">
        <f>IF(ISNUMBER(Inputs!$L$5),Inputs!$L$5*Inputs!$L$6,0)</f>
        <v>40.35</v>
      </c>
      <c r="E715" s="5">
        <f>IF(ISNUMBER(Inputs!$L$5),Inputs!$L$5-D715,0)</f>
        <v>40.35</v>
      </c>
      <c r="F715" s="5">
        <f>E$51*'Assumptions and Catalog'!$C$31*C715*(1-'Assumptions and Catalog'!$C$10)^(A715-1)</f>
        <v>832.23513948568132</v>
      </c>
      <c r="G715" s="5">
        <f t="shared" si="48"/>
        <v>832.23513948568132</v>
      </c>
      <c r="H715" s="5">
        <f>I715/('Assumptions and Catalog'!$C$11*'Assumptions and Catalog'!$C$12)</f>
        <v>0</v>
      </c>
      <c r="I715" s="5">
        <f>MIN(E715*C715,P715*'Assumptions and Catalog'!$C$12*C715,(F715-G715)*'Assumptions and Catalog'!$C$11*'Assumptions and Catalog'!$C$12,E$56*'Assumptions and Catalog'!$C$14*'Assumptions and Catalog'!$C$11*'Assumptions and Catalog'!$C$12*C715,E$57*(24-'Assumptions and Catalog'!$C$13)*C715)</f>
        <v>0</v>
      </c>
      <c r="J715" s="5">
        <f t="shared" si="49"/>
        <v>0</v>
      </c>
      <c r="K715" s="5">
        <f t="shared" si="50"/>
        <v>0</v>
      </c>
      <c r="L715" s="5">
        <f>(D715+E715)*C715-G715-I715+0+IF(E$52&gt;0,'Assumptions and Catalog'!$C$26*C715,0)</f>
        <v>1669.4648605143188</v>
      </c>
      <c r="M715" s="5">
        <f>IF(ISNUMBER(Inputs!$L$5),(IF(Inputs!$L$9="Actual flat rate",((D715+E715)*C715)*Inputs!$L$10,IF(Inputs!$C$9="Residential",IF(((D715+E715)*C715)&lt;='Assumptions and Catalog'!$C$50,((D715+E715)*C715)*'Assumptions and Catalog'!$H$50+'Assumptions and Catalog'!$E$50+'Assumptions and Catalog'!$F$50,IF(((D715+E715)*C715)&lt;='Assumptions and Catalog'!$C$51,((D715+E715)*C715)*'Assumptions and Catalog'!$H$51+'Assumptions and Catalog'!$E$51+'Assumptions and Catalog'!$F$51,IF(((D715+E715)*C715)&lt;='Assumptions and Catalog'!$C$52,((D715+E715)*C715)*'Assumptions and Catalog'!$H$52+'Assumptions and Catalog'!$E$52+'Assumptions and Catalog'!$F$52,IF(((D715+E715)*C715)&lt;='Assumptions and Catalog'!$C$53,((D715+E715)*C715)*'Assumptions and Catalog'!$H$53+'Assumptions and Catalog'!$E$53+'Assumptions and Catalog'!$F$53,IF(((D715+E715)*C715)&lt;='Assumptions and Catalog'!$C$54,((D715+E715)*C715)*'Assumptions and Catalog'!$H$54+'Assumptions and Catalog'!$E$54+'Assumptions and Catalog'!$F$54,IF(((D715+E715)*C715)&lt;='Assumptions and Catalog'!$C$55,((D715+E715)*C715)*'Assumptions and Catalog'!$H$55+'Assumptions and Catalog'!$E$55+'Assumptions and Catalog'!$F$55,IF(((D715+E715)*C715)&lt;='Assumptions and Catalog'!$C$56,((D715+E715)*C715)*'Assumptions and Catalog'!$H$56+'Assumptions and Catalog'!$E$56+'Assumptions and Catalog'!$F$56,IF(((D715+E715)*C715)&lt;='Assumptions and Catalog'!$C$57,((D715+E715)*C715)*'Assumptions and Catalog'!$H$57+'Assumptions and Catalog'!$E$57+'Assumptions and Catalog'!$F$57,"Out of range")))))))),IF(((D715+E715)*C715)&lt;='Assumptions and Catalog'!$C$60,((D715+E715)*C715)*'Assumptions and Catalog'!$H$60+'Assumptions and Catalog'!$E$60+'Assumptions and Catalog'!$F$60,IF(((D715+E715)*C715)&lt;='Assumptions and Catalog'!$C$61,((D715+E715)*C715)*'Assumptions and Catalog'!$H$61+'Assumptions and Catalog'!$E$61+'Assumptions and Catalog'!$F$61,IF(((D715+E715)*C715)&lt;='Assumptions and Catalog'!$C$62,((D715+E715)*C715)*'Assumptions and Catalog'!$H$62+'Assumptions and Catalog'!$E$62+'Assumptions and Catalog'!$F$62,IF(((D715+E715)*C715)&lt;='Assumptions and Catalog'!$C$63,((D715+E715)*C715)*'Assumptions and Catalog'!$H$63+'Assumptions and Catalog'!$E$63+'Assumptions and Catalog'!$F$63,IF(((D715+E715)*C715)&lt;='Assumptions and Catalog'!$C$64,((D715+E715)*C715)*'Assumptions and Catalog'!$H$64+'Assumptions and Catalog'!$E$64+'Assumptions and Catalog'!$F$64,IF(((D715+E715)*C715)&lt;='Assumptions and Catalog'!$C$65,((D715+E715)*C715)*'Assumptions and Catalog'!$H$65+'Assumptions and Catalog'!$E$65+'Assumptions and Catalog'!$F$65,"Out of range")))))))))*(1+'Assumptions and Catalog'!$C$8)^(A715-1),0)</f>
        <v>8554.9666666666672</v>
      </c>
      <c r="N715" s="5">
        <f>IF(ISNUMBER(Inputs!$L$5),(IF(Inputs!$L$9="Actual flat rate",L715*Inputs!$L$10,IF(Inputs!$C$9="Residential",IF(L715&lt;='Assumptions and Catalog'!$C$50,L715*'Assumptions and Catalog'!$H$50+'Assumptions and Catalog'!$E$50+'Assumptions and Catalog'!$F$50,IF(L715&lt;='Assumptions and Catalog'!$C$51,L715*'Assumptions and Catalog'!$H$51+'Assumptions and Catalog'!$E$51+'Assumptions and Catalog'!$F$51,IF(L715&lt;='Assumptions and Catalog'!$C$52,L715*'Assumptions and Catalog'!$H$52+'Assumptions and Catalog'!$E$52+'Assumptions and Catalog'!$F$52,IF(L715&lt;='Assumptions and Catalog'!$C$53,L715*'Assumptions and Catalog'!$H$53+'Assumptions and Catalog'!$E$53+'Assumptions and Catalog'!$F$53,IF(L715&lt;='Assumptions and Catalog'!$C$54,L715*'Assumptions and Catalog'!$H$54+'Assumptions and Catalog'!$E$54+'Assumptions and Catalog'!$F$54,IF(L715&lt;='Assumptions and Catalog'!$C$55,L715*'Assumptions and Catalog'!$H$55+'Assumptions and Catalog'!$E$55+'Assumptions and Catalog'!$F$55,IF(L715&lt;='Assumptions and Catalog'!$C$56,L715*'Assumptions and Catalog'!$H$56+'Assumptions and Catalog'!$E$56+'Assumptions and Catalog'!$F$56,IF(L715&lt;='Assumptions and Catalog'!$C$57,L715*'Assumptions and Catalog'!$H$57+'Assumptions and Catalog'!$E$57+'Assumptions and Catalog'!$F$57,"Out of range")))))))),IF(L715&lt;='Assumptions and Catalog'!$C$60,L715*'Assumptions and Catalog'!$H$60+'Assumptions and Catalog'!$E$60+'Assumptions and Catalog'!$F$60,IF(L715&lt;='Assumptions and Catalog'!$C$61,L715*'Assumptions and Catalog'!$H$61+'Assumptions and Catalog'!$E$61+'Assumptions and Catalog'!$F$61,IF(L715&lt;='Assumptions and Catalog'!$C$62,L715*'Assumptions and Catalog'!$H$62+'Assumptions and Catalog'!$E$62+'Assumptions and Catalog'!$F$62,IF(L715&lt;='Assumptions and Catalog'!$C$63,L715*'Assumptions and Catalog'!$H$63+'Assumptions and Catalog'!$E$63+'Assumptions and Catalog'!$F$63,IF(L715&lt;='Assumptions and Catalog'!$C$64,L715*'Assumptions and Catalog'!$H$64+'Assumptions and Catalog'!$E$64+'Assumptions and Catalog'!$F$64,IF(L715&lt;='Assumptions and Catalog'!$C$65,L715*'Assumptions and Catalog'!$H$65+'Assumptions and Catalog'!$E$65+'Assumptions and Catalog'!$F$65,"Out of range")))))))))*(1+'Assumptions and Catalog'!$C$8)^(A715-1),0)</f>
        <v>5709.0043701768054</v>
      </c>
      <c r="O715" s="5">
        <f t="shared" si="51"/>
        <v>2845.9622964898617</v>
      </c>
      <c r="P715" s="5">
        <f>E$55*(1-L$14)*(1-'Assumptions and Catalog'!$C$23)^R715</f>
        <v>94.450499583999999</v>
      </c>
      <c r="Q715" s="5">
        <f>IF(ISNUMBER(Inputs!$L$5),(IF(Inputs!$L$9="Actual flat rate",((D715+E715)*C715-G715)*Inputs!$L$10,IF(Inputs!$C$9="Residential",IF(((D715+E715)*C715-G715)&lt;='Assumptions and Catalog'!$C$50,((D715+E715)*C715-G715)*'Assumptions and Catalog'!$H$50+'Assumptions and Catalog'!$E$50+'Assumptions and Catalog'!$F$50,IF(((D715+E715)*C715-G715)&lt;='Assumptions and Catalog'!$C$51,((D715+E715)*C715-G715)*'Assumptions and Catalog'!$H$51+'Assumptions and Catalog'!$E$51+'Assumptions and Catalog'!$F$51,IF(((D715+E715)*C715-G715)&lt;='Assumptions and Catalog'!$C$52,((D715+E715)*C715-G715)*'Assumptions and Catalog'!$H$52+'Assumptions and Catalog'!$E$52+'Assumptions and Catalog'!$F$52,IF(((D715+E715)*C715-G715)&lt;='Assumptions and Catalog'!$C$53,((D715+E715)*C715-G715)*'Assumptions and Catalog'!$H$53+'Assumptions and Catalog'!$E$53+'Assumptions and Catalog'!$F$53,IF(((D715+E715)*C715-G715)&lt;='Assumptions and Catalog'!$C$54,((D715+E715)*C715-G715)*'Assumptions and Catalog'!$H$54+'Assumptions and Catalog'!$E$54+'Assumptions and Catalog'!$F$54,IF(((D715+E715)*C715-G715)&lt;='Assumptions and Catalog'!$C$55,((D715+E715)*C715-G715)*'Assumptions and Catalog'!$H$55+'Assumptions and Catalog'!$E$55+'Assumptions and Catalog'!$F$55,IF(((D715+E715)*C715-G715)&lt;='Assumptions and Catalog'!$C$56,((D715+E715)*C715-G715)*'Assumptions and Catalog'!$H$56+'Assumptions and Catalog'!$E$56+'Assumptions and Catalog'!$F$56,IF(((D715+E715)*C715-G715)&lt;='Assumptions and Catalog'!$C$57,((D715+E715)*C715-G715)*'Assumptions and Catalog'!$H$57+'Assumptions and Catalog'!$E$57+'Assumptions and Catalog'!$F$57,"Out of range")))))))),IF(((D715+E715)*C715-G715)&lt;='Assumptions and Catalog'!$C$60,((D715+E715)*C715-G715)*'Assumptions and Catalog'!$H$60+'Assumptions and Catalog'!$E$60+'Assumptions and Catalog'!$F$60,IF(((D715+E715)*C715-G715)&lt;='Assumptions and Catalog'!$C$61,((D715+E715)*C715-G715)*'Assumptions and Catalog'!$H$61+'Assumptions and Catalog'!$E$61+'Assumptions and Catalog'!$F$61,IF(((D715+E715)*C715-G715)&lt;='Assumptions and Catalog'!$C$62,((D715+E715)*C715-G715)*'Assumptions and Catalog'!$H$62+'Assumptions and Catalog'!$E$62+'Assumptions and Catalog'!$F$62,IF(((D715+E715)*C715-G715)&lt;='Assumptions and Catalog'!$C$63,((D715+E715)*C715-G715)*'Assumptions and Catalog'!$H$63+'Assumptions and Catalog'!$E$63+'Assumptions and Catalog'!$F$63,IF(((D715+E715)*C715-G715)&lt;='Assumptions and Catalog'!$C$64,((D715+E715)*C715-G715)*'Assumptions and Catalog'!$H$64+'Assumptions and Catalog'!$E$64+'Assumptions and Catalog'!$F$64,IF(((D715+E715)*C715-G715)&lt;='Assumptions and Catalog'!$C$65,((D715+E715)*C715-G715)*'Assumptions and Catalog'!$H$65+'Assumptions and Catalog'!$E$65+'Assumptions and Catalog'!$F$65,"Out of range")))))))))*(1+'Assumptions and Catalog'!$C$8)^(A715-1),0)</f>
        <v>5709.0043701768054</v>
      </c>
      <c r="R715" s="5">
        <f>IF(AND('Assumptions and Catalog'!$C$19&gt;0,A715&gt;='Assumptions and Catalog'!$C$19),A715-'Assumptions and Catalog'!$C$19,A715-1)</f>
        <v>4</v>
      </c>
      <c r="S715" s="5">
        <f>F715+L715-(D715+E715)*C715-J715-K715-IF(E$52&gt;0,'Assumptions and Catalog'!$C$26*C715,0)</f>
        <v>0</v>
      </c>
      <c r="T715" s="5"/>
      <c r="U715" s="5"/>
    </row>
    <row r="716" spans="1:21" ht="23.1" customHeight="1" outlineLevel="1" x14ac:dyDescent="0.2">
      <c r="A716" s="5">
        <v>5</v>
      </c>
      <c r="B716" s="5">
        <v>8</v>
      </c>
      <c r="C716" s="5">
        <f>DAY(DATE('Assumptions and Catalog'!$C$24+A716-1,B716+1,0))</f>
        <v>31</v>
      </c>
      <c r="D716" s="5">
        <f>IF(ISNUMBER(Inputs!$L$5),Inputs!$L$5*Inputs!$L$6,0)</f>
        <v>40.35</v>
      </c>
      <c r="E716" s="5">
        <f>IF(ISNUMBER(Inputs!$L$5),Inputs!$L$5-D716,0)</f>
        <v>40.35</v>
      </c>
      <c r="F716" s="5">
        <f>E$51*'Assumptions and Catalog'!$C$31*C716*(1-'Assumptions and Catalog'!$C$10)^(A716-1)</f>
        <v>832.23513948568132</v>
      </c>
      <c r="G716" s="5">
        <f t="shared" si="48"/>
        <v>832.23513948568132</v>
      </c>
      <c r="H716" s="5">
        <f>I716/('Assumptions and Catalog'!$C$11*'Assumptions and Catalog'!$C$12)</f>
        <v>0</v>
      </c>
      <c r="I716" s="5">
        <f>MIN(E716*C716,P716*'Assumptions and Catalog'!$C$12*C716,(F716-G716)*'Assumptions and Catalog'!$C$11*'Assumptions and Catalog'!$C$12,E$56*'Assumptions and Catalog'!$C$14*'Assumptions and Catalog'!$C$11*'Assumptions and Catalog'!$C$12*C716,E$57*(24-'Assumptions and Catalog'!$C$13)*C716)</f>
        <v>0</v>
      </c>
      <c r="J716" s="5">
        <f t="shared" si="49"/>
        <v>0</v>
      </c>
      <c r="K716" s="5">
        <f t="shared" si="50"/>
        <v>0</v>
      </c>
      <c r="L716" s="5">
        <f>(D716+E716)*C716-G716-I716+0+IF(E$52&gt;0,'Assumptions and Catalog'!$C$26*C716,0)</f>
        <v>1669.4648605143188</v>
      </c>
      <c r="M716" s="5">
        <f>IF(ISNUMBER(Inputs!$L$5),(IF(Inputs!$L$9="Actual flat rate",((D716+E716)*C716)*Inputs!$L$10,IF(Inputs!$C$9="Residential",IF(((D716+E716)*C716)&lt;='Assumptions and Catalog'!$C$50,((D716+E716)*C716)*'Assumptions and Catalog'!$H$50+'Assumptions and Catalog'!$E$50+'Assumptions and Catalog'!$F$50,IF(((D716+E716)*C716)&lt;='Assumptions and Catalog'!$C$51,((D716+E716)*C716)*'Assumptions and Catalog'!$H$51+'Assumptions and Catalog'!$E$51+'Assumptions and Catalog'!$F$51,IF(((D716+E716)*C716)&lt;='Assumptions and Catalog'!$C$52,((D716+E716)*C716)*'Assumptions and Catalog'!$H$52+'Assumptions and Catalog'!$E$52+'Assumptions and Catalog'!$F$52,IF(((D716+E716)*C716)&lt;='Assumptions and Catalog'!$C$53,((D716+E716)*C716)*'Assumptions and Catalog'!$H$53+'Assumptions and Catalog'!$E$53+'Assumptions and Catalog'!$F$53,IF(((D716+E716)*C716)&lt;='Assumptions and Catalog'!$C$54,((D716+E716)*C716)*'Assumptions and Catalog'!$H$54+'Assumptions and Catalog'!$E$54+'Assumptions and Catalog'!$F$54,IF(((D716+E716)*C716)&lt;='Assumptions and Catalog'!$C$55,((D716+E716)*C716)*'Assumptions and Catalog'!$H$55+'Assumptions and Catalog'!$E$55+'Assumptions and Catalog'!$F$55,IF(((D716+E716)*C716)&lt;='Assumptions and Catalog'!$C$56,((D716+E716)*C716)*'Assumptions and Catalog'!$H$56+'Assumptions and Catalog'!$E$56+'Assumptions and Catalog'!$F$56,IF(((D716+E716)*C716)&lt;='Assumptions and Catalog'!$C$57,((D716+E716)*C716)*'Assumptions and Catalog'!$H$57+'Assumptions and Catalog'!$E$57+'Assumptions and Catalog'!$F$57,"Out of range")))))))),IF(((D716+E716)*C716)&lt;='Assumptions and Catalog'!$C$60,((D716+E716)*C716)*'Assumptions and Catalog'!$H$60+'Assumptions and Catalog'!$E$60+'Assumptions and Catalog'!$F$60,IF(((D716+E716)*C716)&lt;='Assumptions and Catalog'!$C$61,((D716+E716)*C716)*'Assumptions and Catalog'!$H$61+'Assumptions and Catalog'!$E$61+'Assumptions and Catalog'!$F$61,IF(((D716+E716)*C716)&lt;='Assumptions and Catalog'!$C$62,((D716+E716)*C716)*'Assumptions and Catalog'!$H$62+'Assumptions and Catalog'!$E$62+'Assumptions and Catalog'!$F$62,IF(((D716+E716)*C716)&lt;='Assumptions and Catalog'!$C$63,((D716+E716)*C716)*'Assumptions and Catalog'!$H$63+'Assumptions and Catalog'!$E$63+'Assumptions and Catalog'!$F$63,IF(((D716+E716)*C716)&lt;='Assumptions and Catalog'!$C$64,((D716+E716)*C716)*'Assumptions and Catalog'!$H$64+'Assumptions and Catalog'!$E$64+'Assumptions and Catalog'!$F$64,IF(((D716+E716)*C716)&lt;='Assumptions and Catalog'!$C$65,((D716+E716)*C716)*'Assumptions and Catalog'!$H$65+'Assumptions and Catalog'!$E$65+'Assumptions and Catalog'!$F$65,"Out of range")))))))))*(1+'Assumptions and Catalog'!$C$8)^(A716-1),0)</f>
        <v>8554.9666666666672</v>
      </c>
      <c r="N716" s="5">
        <f>IF(ISNUMBER(Inputs!$L$5),(IF(Inputs!$L$9="Actual flat rate",L716*Inputs!$L$10,IF(Inputs!$C$9="Residential",IF(L716&lt;='Assumptions and Catalog'!$C$50,L716*'Assumptions and Catalog'!$H$50+'Assumptions and Catalog'!$E$50+'Assumptions and Catalog'!$F$50,IF(L716&lt;='Assumptions and Catalog'!$C$51,L716*'Assumptions and Catalog'!$H$51+'Assumptions and Catalog'!$E$51+'Assumptions and Catalog'!$F$51,IF(L716&lt;='Assumptions and Catalog'!$C$52,L716*'Assumptions and Catalog'!$H$52+'Assumptions and Catalog'!$E$52+'Assumptions and Catalog'!$F$52,IF(L716&lt;='Assumptions and Catalog'!$C$53,L716*'Assumptions and Catalog'!$H$53+'Assumptions and Catalog'!$E$53+'Assumptions and Catalog'!$F$53,IF(L716&lt;='Assumptions and Catalog'!$C$54,L716*'Assumptions and Catalog'!$H$54+'Assumptions and Catalog'!$E$54+'Assumptions and Catalog'!$F$54,IF(L716&lt;='Assumptions and Catalog'!$C$55,L716*'Assumptions and Catalog'!$H$55+'Assumptions and Catalog'!$E$55+'Assumptions and Catalog'!$F$55,IF(L716&lt;='Assumptions and Catalog'!$C$56,L716*'Assumptions and Catalog'!$H$56+'Assumptions and Catalog'!$E$56+'Assumptions and Catalog'!$F$56,IF(L716&lt;='Assumptions and Catalog'!$C$57,L716*'Assumptions and Catalog'!$H$57+'Assumptions and Catalog'!$E$57+'Assumptions and Catalog'!$F$57,"Out of range")))))))),IF(L716&lt;='Assumptions and Catalog'!$C$60,L716*'Assumptions and Catalog'!$H$60+'Assumptions and Catalog'!$E$60+'Assumptions and Catalog'!$F$60,IF(L716&lt;='Assumptions and Catalog'!$C$61,L716*'Assumptions and Catalog'!$H$61+'Assumptions and Catalog'!$E$61+'Assumptions and Catalog'!$F$61,IF(L716&lt;='Assumptions and Catalog'!$C$62,L716*'Assumptions and Catalog'!$H$62+'Assumptions and Catalog'!$E$62+'Assumptions and Catalog'!$F$62,IF(L716&lt;='Assumptions and Catalog'!$C$63,L716*'Assumptions and Catalog'!$H$63+'Assumptions and Catalog'!$E$63+'Assumptions and Catalog'!$F$63,IF(L716&lt;='Assumptions and Catalog'!$C$64,L716*'Assumptions and Catalog'!$H$64+'Assumptions and Catalog'!$E$64+'Assumptions and Catalog'!$F$64,IF(L716&lt;='Assumptions and Catalog'!$C$65,L716*'Assumptions and Catalog'!$H$65+'Assumptions and Catalog'!$E$65+'Assumptions and Catalog'!$F$65,"Out of range")))))))))*(1+'Assumptions and Catalog'!$C$8)^(A716-1),0)</f>
        <v>5709.0043701768054</v>
      </c>
      <c r="O716" s="5">
        <f t="shared" si="51"/>
        <v>2845.9622964898617</v>
      </c>
      <c r="P716" s="5">
        <f>E$55*(1-L$14)*(1-'Assumptions and Catalog'!$C$23)^R716</f>
        <v>94.450499583999999</v>
      </c>
      <c r="Q716" s="5">
        <f>IF(ISNUMBER(Inputs!$L$5),(IF(Inputs!$L$9="Actual flat rate",((D716+E716)*C716-G716)*Inputs!$L$10,IF(Inputs!$C$9="Residential",IF(((D716+E716)*C716-G716)&lt;='Assumptions and Catalog'!$C$50,((D716+E716)*C716-G716)*'Assumptions and Catalog'!$H$50+'Assumptions and Catalog'!$E$50+'Assumptions and Catalog'!$F$50,IF(((D716+E716)*C716-G716)&lt;='Assumptions and Catalog'!$C$51,((D716+E716)*C716-G716)*'Assumptions and Catalog'!$H$51+'Assumptions and Catalog'!$E$51+'Assumptions and Catalog'!$F$51,IF(((D716+E716)*C716-G716)&lt;='Assumptions and Catalog'!$C$52,((D716+E716)*C716-G716)*'Assumptions and Catalog'!$H$52+'Assumptions and Catalog'!$E$52+'Assumptions and Catalog'!$F$52,IF(((D716+E716)*C716-G716)&lt;='Assumptions and Catalog'!$C$53,((D716+E716)*C716-G716)*'Assumptions and Catalog'!$H$53+'Assumptions and Catalog'!$E$53+'Assumptions and Catalog'!$F$53,IF(((D716+E716)*C716-G716)&lt;='Assumptions and Catalog'!$C$54,((D716+E716)*C716-G716)*'Assumptions and Catalog'!$H$54+'Assumptions and Catalog'!$E$54+'Assumptions and Catalog'!$F$54,IF(((D716+E716)*C716-G716)&lt;='Assumptions and Catalog'!$C$55,((D716+E716)*C716-G716)*'Assumptions and Catalog'!$H$55+'Assumptions and Catalog'!$E$55+'Assumptions and Catalog'!$F$55,IF(((D716+E716)*C716-G716)&lt;='Assumptions and Catalog'!$C$56,((D716+E716)*C716-G716)*'Assumptions and Catalog'!$H$56+'Assumptions and Catalog'!$E$56+'Assumptions and Catalog'!$F$56,IF(((D716+E716)*C716-G716)&lt;='Assumptions and Catalog'!$C$57,((D716+E716)*C716-G716)*'Assumptions and Catalog'!$H$57+'Assumptions and Catalog'!$E$57+'Assumptions and Catalog'!$F$57,"Out of range")))))))),IF(((D716+E716)*C716-G716)&lt;='Assumptions and Catalog'!$C$60,((D716+E716)*C716-G716)*'Assumptions and Catalog'!$H$60+'Assumptions and Catalog'!$E$60+'Assumptions and Catalog'!$F$60,IF(((D716+E716)*C716-G716)&lt;='Assumptions and Catalog'!$C$61,((D716+E716)*C716-G716)*'Assumptions and Catalog'!$H$61+'Assumptions and Catalog'!$E$61+'Assumptions and Catalog'!$F$61,IF(((D716+E716)*C716-G716)&lt;='Assumptions and Catalog'!$C$62,((D716+E716)*C716-G716)*'Assumptions and Catalog'!$H$62+'Assumptions and Catalog'!$E$62+'Assumptions and Catalog'!$F$62,IF(((D716+E716)*C716-G716)&lt;='Assumptions and Catalog'!$C$63,((D716+E716)*C716-G716)*'Assumptions and Catalog'!$H$63+'Assumptions and Catalog'!$E$63+'Assumptions and Catalog'!$F$63,IF(((D716+E716)*C716-G716)&lt;='Assumptions and Catalog'!$C$64,((D716+E716)*C716-G716)*'Assumptions and Catalog'!$H$64+'Assumptions and Catalog'!$E$64+'Assumptions and Catalog'!$F$64,IF(((D716+E716)*C716-G716)&lt;='Assumptions and Catalog'!$C$65,((D716+E716)*C716-G716)*'Assumptions and Catalog'!$H$65+'Assumptions and Catalog'!$E$65+'Assumptions and Catalog'!$F$65,"Out of range")))))))))*(1+'Assumptions and Catalog'!$C$8)^(A716-1),0)</f>
        <v>5709.0043701768054</v>
      </c>
      <c r="R716" s="5">
        <f>IF(AND('Assumptions and Catalog'!$C$19&gt;0,A716&gt;='Assumptions and Catalog'!$C$19),A716-'Assumptions and Catalog'!$C$19,A716-1)</f>
        <v>4</v>
      </c>
      <c r="S716" s="5">
        <f>F716+L716-(D716+E716)*C716-J716-K716-IF(E$52&gt;0,'Assumptions and Catalog'!$C$26*C716,0)</f>
        <v>0</v>
      </c>
      <c r="T716" s="5"/>
      <c r="U716" s="5"/>
    </row>
    <row r="717" spans="1:21" ht="23.1" customHeight="1" outlineLevel="1" x14ac:dyDescent="0.2">
      <c r="A717" s="5">
        <v>5</v>
      </c>
      <c r="B717" s="5">
        <v>9</v>
      </c>
      <c r="C717" s="5">
        <f>DAY(DATE('Assumptions and Catalog'!$C$24+A717-1,B717+1,0))</f>
        <v>30</v>
      </c>
      <c r="D717" s="5">
        <f>IF(ISNUMBER(Inputs!$L$5),Inputs!$L$5*Inputs!$L$6,0)</f>
        <v>40.35</v>
      </c>
      <c r="E717" s="5">
        <f>IF(ISNUMBER(Inputs!$L$5),Inputs!$L$5-D717,0)</f>
        <v>40.35</v>
      </c>
      <c r="F717" s="5">
        <f>E$51*'Assumptions and Catalog'!$C$31*C717*(1-'Assumptions and Catalog'!$C$10)^(A717-1)</f>
        <v>805.38884466356262</v>
      </c>
      <c r="G717" s="5">
        <f t="shared" si="48"/>
        <v>805.38884466356262</v>
      </c>
      <c r="H717" s="5">
        <f>I717/('Assumptions and Catalog'!$C$11*'Assumptions and Catalog'!$C$12)</f>
        <v>0</v>
      </c>
      <c r="I717" s="5">
        <f>MIN(E717*C717,P717*'Assumptions and Catalog'!$C$12*C717,(F717-G717)*'Assumptions and Catalog'!$C$11*'Assumptions and Catalog'!$C$12,E$56*'Assumptions and Catalog'!$C$14*'Assumptions and Catalog'!$C$11*'Assumptions and Catalog'!$C$12*C717,E$57*(24-'Assumptions and Catalog'!$C$13)*C717)</f>
        <v>0</v>
      </c>
      <c r="J717" s="5">
        <f t="shared" si="49"/>
        <v>0</v>
      </c>
      <c r="K717" s="5">
        <f t="shared" si="50"/>
        <v>0</v>
      </c>
      <c r="L717" s="5">
        <f>(D717+E717)*C717-G717-I717+0+IF(E$52&gt;0,'Assumptions and Catalog'!$C$26*C717,0)</f>
        <v>1615.6111553364374</v>
      </c>
      <c r="M717" s="5">
        <f>IF(ISNUMBER(Inputs!$L$5),(IF(Inputs!$L$9="Actual flat rate",((D717+E717)*C717)*Inputs!$L$10,IF(Inputs!$C$9="Residential",IF(((D717+E717)*C717)&lt;='Assumptions and Catalog'!$C$50,((D717+E717)*C717)*'Assumptions and Catalog'!$H$50+'Assumptions and Catalog'!$E$50+'Assumptions and Catalog'!$F$50,IF(((D717+E717)*C717)&lt;='Assumptions and Catalog'!$C$51,((D717+E717)*C717)*'Assumptions and Catalog'!$H$51+'Assumptions and Catalog'!$E$51+'Assumptions and Catalog'!$F$51,IF(((D717+E717)*C717)&lt;='Assumptions and Catalog'!$C$52,((D717+E717)*C717)*'Assumptions and Catalog'!$H$52+'Assumptions and Catalog'!$E$52+'Assumptions and Catalog'!$F$52,IF(((D717+E717)*C717)&lt;='Assumptions and Catalog'!$C$53,((D717+E717)*C717)*'Assumptions and Catalog'!$H$53+'Assumptions and Catalog'!$E$53+'Assumptions and Catalog'!$F$53,IF(((D717+E717)*C717)&lt;='Assumptions and Catalog'!$C$54,((D717+E717)*C717)*'Assumptions and Catalog'!$H$54+'Assumptions and Catalog'!$E$54+'Assumptions and Catalog'!$F$54,IF(((D717+E717)*C717)&lt;='Assumptions and Catalog'!$C$55,((D717+E717)*C717)*'Assumptions and Catalog'!$H$55+'Assumptions and Catalog'!$E$55+'Assumptions and Catalog'!$F$55,IF(((D717+E717)*C717)&lt;='Assumptions and Catalog'!$C$56,((D717+E717)*C717)*'Assumptions and Catalog'!$H$56+'Assumptions and Catalog'!$E$56+'Assumptions and Catalog'!$F$56,IF(((D717+E717)*C717)&lt;='Assumptions and Catalog'!$C$57,((D717+E717)*C717)*'Assumptions and Catalog'!$H$57+'Assumptions and Catalog'!$E$57+'Assumptions and Catalog'!$F$57,"Out of range")))))))),IF(((D717+E717)*C717)&lt;='Assumptions and Catalog'!$C$60,((D717+E717)*C717)*'Assumptions and Catalog'!$H$60+'Assumptions and Catalog'!$E$60+'Assumptions and Catalog'!$F$60,IF(((D717+E717)*C717)&lt;='Assumptions and Catalog'!$C$61,((D717+E717)*C717)*'Assumptions and Catalog'!$H$61+'Assumptions and Catalog'!$E$61+'Assumptions and Catalog'!$F$61,IF(((D717+E717)*C717)&lt;='Assumptions and Catalog'!$C$62,((D717+E717)*C717)*'Assumptions and Catalog'!$H$62+'Assumptions and Catalog'!$E$62+'Assumptions and Catalog'!$F$62,IF(((D717+E717)*C717)&lt;='Assumptions and Catalog'!$C$63,((D717+E717)*C717)*'Assumptions and Catalog'!$H$63+'Assumptions and Catalog'!$E$63+'Assumptions and Catalog'!$F$63,IF(((D717+E717)*C717)&lt;='Assumptions and Catalog'!$C$64,((D717+E717)*C717)*'Assumptions and Catalog'!$H$64+'Assumptions and Catalog'!$E$64+'Assumptions and Catalog'!$F$64,IF(((D717+E717)*C717)&lt;='Assumptions and Catalog'!$C$65,((D717+E717)*C717)*'Assumptions and Catalog'!$H$65+'Assumptions and Catalog'!$E$65+'Assumptions and Catalog'!$F$65,"Out of range")))))))))*(1+'Assumptions and Catalog'!$C$8)^(A717-1),0)</f>
        <v>8279</v>
      </c>
      <c r="N717" s="5">
        <f>IF(ISNUMBER(Inputs!$L$5),(IF(Inputs!$L$9="Actual flat rate",L717*Inputs!$L$10,IF(Inputs!$C$9="Residential",IF(L717&lt;='Assumptions and Catalog'!$C$50,L717*'Assumptions and Catalog'!$H$50+'Assumptions and Catalog'!$E$50+'Assumptions and Catalog'!$F$50,IF(L717&lt;='Assumptions and Catalog'!$C$51,L717*'Assumptions and Catalog'!$H$51+'Assumptions and Catalog'!$E$51+'Assumptions and Catalog'!$F$51,IF(L717&lt;='Assumptions and Catalog'!$C$52,L717*'Assumptions and Catalog'!$H$52+'Assumptions and Catalog'!$E$52+'Assumptions and Catalog'!$F$52,IF(L717&lt;='Assumptions and Catalog'!$C$53,L717*'Assumptions and Catalog'!$H$53+'Assumptions and Catalog'!$E$53+'Assumptions and Catalog'!$F$53,IF(L717&lt;='Assumptions and Catalog'!$C$54,L717*'Assumptions and Catalog'!$H$54+'Assumptions and Catalog'!$E$54+'Assumptions and Catalog'!$F$54,IF(L717&lt;='Assumptions and Catalog'!$C$55,L717*'Assumptions and Catalog'!$H$55+'Assumptions and Catalog'!$E$55+'Assumptions and Catalog'!$F$55,IF(L717&lt;='Assumptions and Catalog'!$C$56,L717*'Assumptions and Catalog'!$H$56+'Assumptions and Catalog'!$E$56+'Assumptions and Catalog'!$F$56,IF(L717&lt;='Assumptions and Catalog'!$C$57,L717*'Assumptions and Catalog'!$H$57+'Assumptions and Catalog'!$E$57+'Assumptions and Catalog'!$F$57,"Out of range")))))))),IF(L717&lt;='Assumptions and Catalog'!$C$60,L717*'Assumptions and Catalog'!$H$60+'Assumptions and Catalog'!$E$60+'Assumptions and Catalog'!$F$60,IF(L717&lt;='Assumptions and Catalog'!$C$61,L717*'Assumptions and Catalog'!$H$61+'Assumptions and Catalog'!$E$61+'Assumptions and Catalog'!$F$61,IF(L717&lt;='Assumptions and Catalog'!$C$62,L717*'Assumptions and Catalog'!$H$62+'Assumptions and Catalog'!$E$62+'Assumptions and Catalog'!$F$62,IF(L717&lt;='Assumptions and Catalog'!$C$63,L717*'Assumptions and Catalog'!$H$63+'Assumptions and Catalog'!$E$63+'Assumptions and Catalog'!$F$63,IF(L717&lt;='Assumptions and Catalog'!$C$64,L717*'Assumptions and Catalog'!$H$64+'Assumptions and Catalog'!$E$64+'Assumptions and Catalog'!$F$64,IF(L717&lt;='Assumptions and Catalog'!$C$65,L717*'Assumptions and Catalog'!$H$65+'Assumptions and Catalog'!$E$65+'Assumptions and Catalog'!$F$65,"Out of range")))))))))*(1+'Assumptions and Catalog'!$C$8)^(A717-1),0)</f>
        <v>5524.8429388807781</v>
      </c>
      <c r="O717" s="5">
        <f t="shared" si="51"/>
        <v>2754.1570611192219</v>
      </c>
      <c r="P717" s="5">
        <f>E$55*(1-L$14)*(1-'Assumptions and Catalog'!$C$23)^R717</f>
        <v>94.450499583999999</v>
      </c>
      <c r="Q717" s="5">
        <f>IF(ISNUMBER(Inputs!$L$5),(IF(Inputs!$L$9="Actual flat rate",((D717+E717)*C717-G717)*Inputs!$L$10,IF(Inputs!$C$9="Residential",IF(((D717+E717)*C717-G717)&lt;='Assumptions and Catalog'!$C$50,((D717+E717)*C717-G717)*'Assumptions and Catalog'!$H$50+'Assumptions and Catalog'!$E$50+'Assumptions and Catalog'!$F$50,IF(((D717+E717)*C717-G717)&lt;='Assumptions and Catalog'!$C$51,((D717+E717)*C717-G717)*'Assumptions and Catalog'!$H$51+'Assumptions and Catalog'!$E$51+'Assumptions and Catalog'!$F$51,IF(((D717+E717)*C717-G717)&lt;='Assumptions and Catalog'!$C$52,((D717+E717)*C717-G717)*'Assumptions and Catalog'!$H$52+'Assumptions and Catalog'!$E$52+'Assumptions and Catalog'!$F$52,IF(((D717+E717)*C717-G717)&lt;='Assumptions and Catalog'!$C$53,((D717+E717)*C717-G717)*'Assumptions and Catalog'!$H$53+'Assumptions and Catalog'!$E$53+'Assumptions and Catalog'!$F$53,IF(((D717+E717)*C717-G717)&lt;='Assumptions and Catalog'!$C$54,((D717+E717)*C717-G717)*'Assumptions and Catalog'!$H$54+'Assumptions and Catalog'!$E$54+'Assumptions and Catalog'!$F$54,IF(((D717+E717)*C717-G717)&lt;='Assumptions and Catalog'!$C$55,((D717+E717)*C717-G717)*'Assumptions and Catalog'!$H$55+'Assumptions and Catalog'!$E$55+'Assumptions and Catalog'!$F$55,IF(((D717+E717)*C717-G717)&lt;='Assumptions and Catalog'!$C$56,((D717+E717)*C717-G717)*'Assumptions and Catalog'!$H$56+'Assumptions and Catalog'!$E$56+'Assumptions and Catalog'!$F$56,IF(((D717+E717)*C717-G717)&lt;='Assumptions and Catalog'!$C$57,((D717+E717)*C717-G717)*'Assumptions and Catalog'!$H$57+'Assumptions and Catalog'!$E$57+'Assumptions and Catalog'!$F$57,"Out of range")))))))),IF(((D717+E717)*C717-G717)&lt;='Assumptions and Catalog'!$C$60,((D717+E717)*C717-G717)*'Assumptions and Catalog'!$H$60+'Assumptions and Catalog'!$E$60+'Assumptions and Catalog'!$F$60,IF(((D717+E717)*C717-G717)&lt;='Assumptions and Catalog'!$C$61,((D717+E717)*C717-G717)*'Assumptions and Catalog'!$H$61+'Assumptions and Catalog'!$E$61+'Assumptions and Catalog'!$F$61,IF(((D717+E717)*C717-G717)&lt;='Assumptions and Catalog'!$C$62,((D717+E717)*C717-G717)*'Assumptions and Catalog'!$H$62+'Assumptions and Catalog'!$E$62+'Assumptions and Catalog'!$F$62,IF(((D717+E717)*C717-G717)&lt;='Assumptions and Catalog'!$C$63,((D717+E717)*C717-G717)*'Assumptions and Catalog'!$H$63+'Assumptions and Catalog'!$E$63+'Assumptions and Catalog'!$F$63,IF(((D717+E717)*C717-G717)&lt;='Assumptions and Catalog'!$C$64,((D717+E717)*C717-G717)*'Assumptions and Catalog'!$H$64+'Assumptions and Catalog'!$E$64+'Assumptions and Catalog'!$F$64,IF(((D717+E717)*C717-G717)&lt;='Assumptions and Catalog'!$C$65,((D717+E717)*C717-G717)*'Assumptions and Catalog'!$H$65+'Assumptions and Catalog'!$E$65+'Assumptions and Catalog'!$F$65,"Out of range")))))))))*(1+'Assumptions and Catalog'!$C$8)^(A717-1),0)</f>
        <v>5524.8429388807781</v>
      </c>
      <c r="R717" s="5">
        <f>IF(AND('Assumptions and Catalog'!$C$19&gt;0,A717&gt;='Assumptions and Catalog'!$C$19),A717-'Assumptions and Catalog'!$C$19,A717-1)</f>
        <v>4</v>
      </c>
      <c r="S717" s="5">
        <f>F717+L717-(D717+E717)*C717-J717-K717-IF(E$52&gt;0,'Assumptions and Catalog'!$C$26*C717,0)</f>
        <v>0</v>
      </c>
      <c r="T717" s="5"/>
      <c r="U717" s="5"/>
    </row>
    <row r="718" spans="1:21" ht="23.1" customHeight="1" outlineLevel="1" x14ac:dyDescent="0.2">
      <c r="A718" s="5">
        <v>5</v>
      </c>
      <c r="B718" s="5">
        <v>10</v>
      </c>
      <c r="C718" s="5">
        <f>DAY(DATE('Assumptions and Catalog'!$C$24+A718-1,B718+1,0))</f>
        <v>31</v>
      </c>
      <c r="D718" s="5">
        <f>IF(ISNUMBER(Inputs!$L$5),Inputs!$L$5*Inputs!$L$6,0)</f>
        <v>40.35</v>
      </c>
      <c r="E718" s="5">
        <f>IF(ISNUMBER(Inputs!$L$5),Inputs!$L$5-D718,0)</f>
        <v>40.35</v>
      </c>
      <c r="F718" s="5">
        <f>E$51*'Assumptions and Catalog'!$C$31*C718*(1-'Assumptions and Catalog'!$C$10)^(A718-1)</f>
        <v>832.23513948568132</v>
      </c>
      <c r="G718" s="5">
        <f t="shared" si="48"/>
        <v>832.23513948568132</v>
      </c>
      <c r="H718" s="5">
        <f>I718/('Assumptions and Catalog'!$C$11*'Assumptions and Catalog'!$C$12)</f>
        <v>0</v>
      </c>
      <c r="I718" s="5">
        <f>MIN(E718*C718,P718*'Assumptions and Catalog'!$C$12*C718,(F718-G718)*'Assumptions and Catalog'!$C$11*'Assumptions and Catalog'!$C$12,E$56*'Assumptions and Catalog'!$C$14*'Assumptions and Catalog'!$C$11*'Assumptions and Catalog'!$C$12*C718,E$57*(24-'Assumptions and Catalog'!$C$13)*C718)</f>
        <v>0</v>
      </c>
      <c r="J718" s="5">
        <f t="shared" si="49"/>
        <v>0</v>
      </c>
      <c r="K718" s="5">
        <f t="shared" si="50"/>
        <v>0</v>
      </c>
      <c r="L718" s="5">
        <f>(D718+E718)*C718-G718-I718+0+IF(E$52&gt;0,'Assumptions and Catalog'!$C$26*C718,0)</f>
        <v>1669.4648605143188</v>
      </c>
      <c r="M718" s="5">
        <f>IF(ISNUMBER(Inputs!$L$5),(IF(Inputs!$L$9="Actual flat rate",((D718+E718)*C718)*Inputs!$L$10,IF(Inputs!$C$9="Residential",IF(((D718+E718)*C718)&lt;='Assumptions and Catalog'!$C$50,((D718+E718)*C718)*'Assumptions and Catalog'!$H$50+'Assumptions and Catalog'!$E$50+'Assumptions and Catalog'!$F$50,IF(((D718+E718)*C718)&lt;='Assumptions and Catalog'!$C$51,((D718+E718)*C718)*'Assumptions and Catalog'!$H$51+'Assumptions and Catalog'!$E$51+'Assumptions and Catalog'!$F$51,IF(((D718+E718)*C718)&lt;='Assumptions and Catalog'!$C$52,((D718+E718)*C718)*'Assumptions and Catalog'!$H$52+'Assumptions and Catalog'!$E$52+'Assumptions and Catalog'!$F$52,IF(((D718+E718)*C718)&lt;='Assumptions and Catalog'!$C$53,((D718+E718)*C718)*'Assumptions and Catalog'!$H$53+'Assumptions and Catalog'!$E$53+'Assumptions and Catalog'!$F$53,IF(((D718+E718)*C718)&lt;='Assumptions and Catalog'!$C$54,((D718+E718)*C718)*'Assumptions and Catalog'!$H$54+'Assumptions and Catalog'!$E$54+'Assumptions and Catalog'!$F$54,IF(((D718+E718)*C718)&lt;='Assumptions and Catalog'!$C$55,((D718+E718)*C718)*'Assumptions and Catalog'!$H$55+'Assumptions and Catalog'!$E$55+'Assumptions and Catalog'!$F$55,IF(((D718+E718)*C718)&lt;='Assumptions and Catalog'!$C$56,((D718+E718)*C718)*'Assumptions and Catalog'!$H$56+'Assumptions and Catalog'!$E$56+'Assumptions and Catalog'!$F$56,IF(((D718+E718)*C718)&lt;='Assumptions and Catalog'!$C$57,((D718+E718)*C718)*'Assumptions and Catalog'!$H$57+'Assumptions and Catalog'!$E$57+'Assumptions and Catalog'!$F$57,"Out of range")))))))),IF(((D718+E718)*C718)&lt;='Assumptions and Catalog'!$C$60,((D718+E718)*C718)*'Assumptions and Catalog'!$H$60+'Assumptions and Catalog'!$E$60+'Assumptions and Catalog'!$F$60,IF(((D718+E718)*C718)&lt;='Assumptions and Catalog'!$C$61,((D718+E718)*C718)*'Assumptions and Catalog'!$H$61+'Assumptions and Catalog'!$E$61+'Assumptions and Catalog'!$F$61,IF(((D718+E718)*C718)&lt;='Assumptions and Catalog'!$C$62,((D718+E718)*C718)*'Assumptions and Catalog'!$H$62+'Assumptions and Catalog'!$E$62+'Assumptions and Catalog'!$F$62,IF(((D718+E718)*C718)&lt;='Assumptions and Catalog'!$C$63,((D718+E718)*C718)*'Assumptions and Catalog'!$H$63+'Assumptions and Catalog'!$E$63+'Assumptions and Catalog'!$F$63,IF(((D718+E718)*C718)&lt;='Assumptions and Catalog'!$C$64,((D718+E718)*C718)*'Assumptions and Catalog'!$H$64+'Assumptions and Catalog'!$E$64+'Assumptions and Catalog'!$F$64,IF(((D718+E718)*C718)&lt;='Assumptions and Catalog'!$C$65,((D718+E718)*C718)*'Assumptions and Catalog'!$H$65+'Assumptions and Catalog'!$E$65+'Assumptions and Catalog'!$F$65,"Out of range")))))))))*(1+'Assumptions and Catalog'!$C$8)^(A718-1),0)</f>
        <v>8554.9666666666672</v>
      </c>
      <c r="N718" s="5">
        <f>IF(ISNUMBER(Inputs!$L$5),(IF(Inputs!$L$9="Actual flat rate",L718*Inputs!$L$10,IF(Inputs!$C$9="Residential",IF(L718&lt;='Assumptions and Catalog'!$C$50,L718*'Assumptions and Catalog'!$H$50+'Assumptions and Catalog'!$E$50+'Assumptions and Catalog'!$F$50,IF(L718&lt;='Assumptions and Catalog'!$C$51,L718*'Assumptions and Catalog'!$H$51+'Assumptions and Catalog'!$E$51+'Assumptions and Catalog'!$F$51,IF(L718&lt;='Assumptions and Catalog'!$C$52,L718*'Assumptions and Catalog'!$H$52+'Assumptions and Catalog'!$E$52+'Assumptions and Catalog'!$F$52,IF(L718&lt;='Assumptions and Catalog'!$C$53,L718*'Assumptions and Catalog'!$H$53+'Assumptions and Catalog'!$E$53+'Assumptions and Catalog'!$F$53,IF(L718&lt;='Assumptions and Catalog'!$C$54,L718*'Assumptions and Catalog'!$H$54+'Assumptions and Catalog'!$E$54+'Assumptions and Catalog'!$F$54,IF(L718&lt;='Assumptions and Catalog'!$C$55,L718*'Assumptions and Catalog'!$H$55+'Assumptions and Catalog'!$E$55+'Assumptions and Catalog'!$F$55,IF(L718&lt;='Assumptions and Catalog'!$C$56,L718*'Assumptions and Catalog'!$H$56+'Assumptions and Catalog'!$E$56+'Assumptions and Catalog'!$F$56,IF(L718&lt;='Assumptions and Catalog'!$C$57,L718*'Assumptions and Catalog'!$H$57+'Assumptions and Catalog'!$E$57+'Assumptions and Catalog'!$F$57,"Out of range")))))))),IF(L718&lt;='Assumptions and Catalog'!$C$60,L718*'Assumptions and Catalog'!$H$60+'Assumptions and Catalog'!$E$60+'Assumptions and Catalog'!$F$60,IF(L718&lt;='Assumptions and Catalog'!$C$61,L718*'Assumptions and Catalog'!$H$61+'Assumptions and Catalog'!$E$61+'Assumptions and Catalog'!$F$61,IF(L718&lt;='Assumptions and Catalog'!$C$62,L718*'Assumptions and Catalog'!$H$62+'Assumptions and Catalog'!$E$62+'Assumptions and Catalog'!$F$62,IF(L718&lt;='Assumptions and Catalog'!$C$63,L718*'Assumptions and Catalog'!$H$63+'Assumptions and Catalog'!$E$63+'Assumptions and Catalog'!$F$63,IF(L718&lt;='Assumptions and Catalog'!$C$64,L718*'Assumptions and Catalog'!$H$64+'Assumptions and Catalog'!$E$64+'Assumptions and Catalog'!$F$64,IF(L718&lt;='Assumptions and Catalog'!$C$65,L718*'Assumptions and Catalog'!$H$65+'Assumptions and Catalog'!$E$65+'Assumptions and Catalog'!$F$65,"Out of range")))))))))*(1+'Assumptions and Catalog'!$C$8)^(A718-1),0)</f>
        <v>5709.0043701768054</v>
      </c>
      <c r="O718" s="5">
        <f t="shared" si="51"/>
        <v>2845.9622964898617</v>
      </c>
      <c r="P718" s="5">
        <f>E$55*(1-L$14)*(1-'Assumptions and Catalog'!$C$23)^R718</f>
        <v>94.450499583999999</v>
      </c>
      <c r="Q718" s="5">
        <f>IF(ISNUMBER(Inputs!$L$5),(IF(Inputs!$L$9="Actual flat rate",((D718+E718)*C718-G718)*Inputs!$L$10,IF(Inputs!$C$9="Residential",IF(((D718+E718)*C718-G718)&lt;='Assumptions and Catalog'!$C$50,((D718+E718)*C718-G718)*'Assumptions and Catalog'!$H$50+'Assumptions and Catalog'!$E$50+'Assumptions and Catalog'!$F$50,IF(((D718+E718)*C718-G718)&lt;='Assumptions and Catalog'!$C$51,((D718+E718)*C718-G718)*'Assumptions and Catalog'!$H$51+'Assumptions and Catalog'!$E$51+'Assumptions and Catalog'!$F$51,IF(((D718+E718)*C718-G718)&lt;='Assumptions and Catalog'!$C$52,((D718+E718)*C718-G718)*'Assumptions and Catalog'!$H$52+'Assumptions and Catalog'!$E$52+'Assumptions and Catalog'!$F$52,IF(((D718+E718)*C718-G718)&lt;='Assumptions and Catalog'!$C$53,((D718+E718)*C718-G718)*'Assumptions and Catalog'!$H$53+'Assumptions and Catalog'!$E$53+'Assumptions and Catalog'!$F$53,IF(((D718+E718)*C718-G718)&lt;='Assumptions and Catalog'!$C$54,((D718+E718)*C718-G718)*'Assumptions and Catalog'!$H$54+'Assumptions and Catalog'!$E$54+'Assumptions and Catalog'!$F$54,IF(((D718+E718)*C718-G718)&lt;='Assumptions and Catalog'!$C$55,((D718+E718)*C718-G718)*'Assumptions and Catalog'!$H$55+'Assumptions and Catalog'!$E$55+'Assumptions and Catalog'!$F$55,IF(((D718+E718)*C718-G718)&lt;='Assumptions and Catalog'!$C$56,((D718+E718)*C718-G718)*'Assumptions and Catalog'!$H$56+'Assumptions and Catalog'!$E$56+'Assumptions and Catalog'!$F$56,IF(((D718+E718)*C718-G718)&lt;='Assumptions and Catalog'!$C$57,((D718+E718)*C718-G718)*'Assumptions and Catalog'!$H$57+'Assumptions and Catalog'!$E$57+'Assumptions and Catalog'!$F$57,"Out of range")))))))),IF(((D718+E718)*C718-G718)&lt;='Assumptions and Catalog'!$C$60,((D718+E718)*C718-G718)*'Assumptions and Catalog'!$H$60+'Assumptions and Catalog'!$E$60+'Assumptions and Catalog'!$F$60,IF(((D718+E718)*C718-G718)&lt;='Assumptions and Catalog'!$C$61,((D718+E718)*C718-G718)*'Assumptions and Catalog'!$H$61+'Assumptions and Catalog'!$E$61+'Assumptions and Catalog'!$F$61,IF(((D718+E718)*C718-G718)&lt;='Assumptions and Catalog'!$C$62,((D718+E718)*C718-G718)*'Assumptions and Catalog'!$H$62+'Assumptions and Catalog'!$E$62+'Assumptions and Catalog'!$F$62,IF(((D718+E718)*C718-G718)&lt;='Assumptions and Catalog'!$C$63,((D718+E718)*C718-G718)*'Assumptions and Catalog'!$H$63+'Assumptions and Catalog'!$E$63+'Assumptions and Catalog'!$F$63,IF(((D718+E718)*C718-G718)&lt;='Assumptions and Catalog'!$C$64,((D718+E718)*C718-G718)*'Assumptions and Catalog'!$H$64+'Assumptions and Catalog'!$E$64+'Assumptions and Catalog'!$F$64,IF(((D718+E718)*C718-G718)&lt;='Assumptions and Catalog'!$C$65,((D718+E718)*C718-G718)*'Assumptions and Catalog'!$H$65+'Assumptions and Catalog'!$E$65+'Assumptions and Catalog'!$F$65,"Out of range")))))))))*(1+'Assumptions and Catalog'!$C$8)^(A718-1),0)</f>
        <v>5709.0043701768054</v>
      </c>
      <c r="R718" s="5">
        <f>IF(AND('Assumptions and Catalog'!$C$19&gt;0,A718&gt;='Assumptions and Catalog'!$C$19),A718-'Assumptions and Catalog'!$C$19,A718-1)</f>
        <v>4</v>
      </c>
      <c r="S718" s="5">
        <f>F718+L718-(D718+E718)*C718-J718-K718-IF(E$52&gt;0,'Assumptions and Catalog'!$C$26*C718,0)</f>
        <v>0</v>
      </c>
      <c r="T718" s="5"/>
      <c r="U718" s="5"/>
    </row>
    <row r="719" spans="1:21" ht="23.1" customHeight="1" outlineLevel="1" x14ac:dyDescent="0.2">
      <c r="A719" s="5">
        <v>5</v>
      </c>
      <c r="B719" s="5">
        <v>11</v>
      </c>
      <c r="C719" s="5">
        <f>DAY(DATE('Assumptions and Catalog'!$C$24+A719-1,B719+1,0))</f>
        <v>30</v>
      </c>
      <c r="D719" s="5">
        <f>IF(ISNUMBER(Inputs!$L$5),Inputs!$L$5*Inputs!$L$6,0)</f>
        <v>40.35</v>
      </c>
      <c r="E719" s="5">
        <f>IF(ISNUMBER(Inputs!$L$5),Inputs!$L$5-D719,0)</f>
        <v>40.35</v>
      </c>
      <c r="F719" s="5">
        <f>E$51*'Assumptions and Catalog'!$C$31*C719*(1-'Assumptions and Catalog'!$C$10)^(A719-1)</f>
        <v>805.38884466356262</v>
      </c>
      <c r="G719" s="5">
        <f t="shared" si="48"/>
        <v>805.38884466356262</v>
      </c>
      <c r="H719" s="5">
        <f>I719/('Assumptions and Catalog'!$C$11*'Assumptions and Catalog'!$C$12)</f>
        <v>0</v>
      </c>
      <c r="I719" s="5">
        <f>MIN(E719*C719,P719*'Assumptions and Catalog'!$C$12*C719,(F719-G719)*'Assumptions and Catalog'!$C$11*'Assumptions and Catalog'!$C$12,E$56*'Assumptions and Catalog'!$C$14*'Assumptions and Catalog'!$C$11*'Assumptions and Catalog'!$C$12*C719,E$57*(24-'Assumptions and Catalog'!$C$13)*C719)</f>
        <v>0</v>
      </c>
      <c r="J719" s="5">
        <f t="shared" si="49"/>
        <v>0</v>
      </c>
      <c r="K719" s="5">
        <f t="shared" si="50"/>
        <v>0</v>
      </c>
      <c r="L719" s="5">
        <f>(D719+E719)*C719-G719-I719+0+IF(E$52&gt;0,'Assumptions and Catalog'!$C$26*C719,0)</f>
        <v>1615.6111553364374</v>
      </c>
      <c r="M719" s="5">
        <f>IF(ISNUMBER(Inputs!$L$5),(IF(Inputs!$L$9="Actual flat rate",((D719+E719)*C719)*Inputs!$L$10,IF(Inputs!$C$9="Residential",IF(((D719+E719)*C719)&lt;='Assumptions and Catalog'!$C$50,((D719+E719)*C719)*'Assumptions and Catalog'!$H$50+'Assumptions and Catalog'!$E$50+'Assumptions and Catalog'!$F$50,IF(((D719+E719)*C719)&lt;='Assumptions and Catalog'!$C$51,((D719+E719)*C719)*'Assumptions and Catalog'!$H$51+'Assumptions and Catalog'!$E$51+'Assumptions and Catalog'!$F$51,IF(((D719+E719)*C719)&lt;='Assumptions and Catalog'!$C$52,((D719+E719)*C719)*'Assumptions and Catalog'!$H$52+'Assumptions and Catalog'!$E$52+'Assumptions and Catalog'!$F$52,IF(((D719+E719)*C719)&lt;='Assumptions and Catalog'!$C$53,((D719+E719)*C719)*'Assumptions and Catalog'!$H$53+'Assumptions and Catalog'!$E$53+'Assumptions and Catalog'!$F$53,IF(((D719+E719)*C719)&lt;='Assumptions and Catalog'!$C$54,((D719+E719)*C719)*'Assumptions and Catalog'!$H$54+'Assumptions and Catalog'!$E$54+'Assumptions and Catalog'!$F$54,IF(((D719+E719)*C719)&lt;='Assumptions and Catalog'!$C$55,((D719+E719)*C719)*'Assumptions and Catalog'!$H$55+'Assumptions and Catalog'!$E$55+'Assumptions and Catalog'!$F$55,IF(((D719+E719)*C719)&lt;='Assumptions and Catalog'!$C$56,((D719+E719)*C719)*'Assumptions and Catalog'!$H$56+'Assumptions and Catalog'!$E$56+'Assumptions and Catalog'!$F$56,IF(((D719+E719)*C719)&lt;='Assumptions and Catalog'!$C$57,((D719+E719)*C719)*'Assumptions and Catalog'!$H$57+'Assumptions and Catalog'!$E$57+'Assumptions and Catalog'!$F$57,"Out of range")))))))),IF(((D719+E719)*C719)&lt;='Assumptions and Catalog'!$C$60,((D719+E719)*C719)*'Assumptions and Catalog'!$H$60+'Assumptions and Catalog'!$E$60+'Assumptions and Catalog'!$F$60,IF(((D719+E719)*C719)&lt;='Assumptions and Catalog'!$C$61,((D719+E719)*C719)*'Assumptions and Catalog'!$H$61+'Assumptions and Catalog'!$E$61+'Assumptions and Catalog'!$F$61,IF(((D719+E719)*C719)&lt;='Assumptions and Catalog'!$C$62,((D719+E719)*C719)*'Assumptions and Catalog'!$H$62+'Assumptions and Catalog'!$E$62+'Assumptions and Catalog'!$F$62,IF(((D719+E719)*C719)&lt;='Assumptions and Catalog'!$C$63,((D719+E719)*C719)*'Assumptions and Catalog'!$H$63+'Assumptions and Catalog'!$E$63+'Assumptions and Catalog'!$F$63,IF(((D719+E719)*C719)&lt;='Assumptions and Catalog'!$C$64,((D719+E719)*C719)*'Assumptions and Catalog'!$H$64+'Assumptions and Catalog'!$E$64+'Assumptions and Catalog'!$F$64,IF(((D719+E719)*C719)&lt;='Assumptions and Catalog'!$C$65,((D719+E719)*C719)*'Assumptions and Catalog'!$H$65+'Assumptions and Catalog'!$E$65+'Assumptions and Catalog'!$F$65,"Out of range")))))))))*(1+'Assumptions and Catalog'!$C$8)^(A719-1),0)</f>
        <v>8279</v>
      </c>
      <c r="N719" s="5">
        <f>IF(ISNUMBER(Inputs!$L$5),(IF(Inputs!$L$9="Actual flat rate",L719*Inputs!$L$10,IF(Inputs!$C$9="Residential",IF(L719&lt;='Assumptions and Catalog'!$C$50,L719*'Assumptions and Catalog'!$H$50+'Assumptions and Catalog'!$E$50+'Assumptions and Catalog'!$F$50,IF(L719&lt;='Assumptions and Catalog'!$C$51,L719*'Assumptions and Catalog'!$H$51+'Assumptions and Catalog'!$E$51+'Assumptions and Catalog'!$F$51,IF(L719&lt;='Assumptions and Catalog'!$C$52,L719*'Assumptions and Catalog'!$H$52+'Assumptions and Catalog'!$E$52+'Assumptions and Catalog'!$F$52,IF(L719&lt;='Assumptions and Catalog'!$C$53,L719*'Assumptions and Catalog'!$H$53+'Assumptions and Catalog'!$E$53+'Assumptions and Catalog'!$F$53,IF(L719&lt;='Assumptions and Catalog'!$C$54,L719*'Assumptions and Catalog'!$H$54+'Assumptions and Catalog'!$E$54+'Assumptions and Catalog'!$F$54,IF(L719&lt;='Assumptions and Catalog'!$C$55,L719*'Assumptions and Catalog'!$H$55+'Assumptions and Catalog'!$E$55+'Assumptions and Catalog'!$F$55,IF(L719&lt;='Assumptions and Catalog'!$C$56,L719*'Assumptions and Catalog'!$H$56+'Assumptions and Catalog'!$E$56+'Assumptions and Catalog'!$F$56,IF(L719&lt;='Assumptions and Catalog'!$C$57,L719*'Assumptions and Catalog'!$H$57+'Assumptions and Catalog'!$E$57+'Assumptions and Catalog'!$F$57,"Out of range")))))))),IF(L719&lt;='Assumptions and Catalog'!$C$60,L719*'Assumptions and Catalog'!$H$60+'Assumptions and Catalog'!$E$60+'Assumptions and Catalog'!$F$60,IF(L719&lt;='Assumptions and Catalog'!$C$61,L719*'Assumptions and Catalog'!$H$61+'Assumptions and Catalog'!$E$61+'Assumptions and Catalog'!$F$61,IF(L719&lt;='Assumptions and Catalog'!$C$62,L719*'Assumptions and Catalog'!$H$62+'Assumptions and Catalog'!$E$62+'Assumptions and Catalog'!$F$62,IF(L719&lt;='Assumptions and Catalog'!$C$63,L719*'Assumptions and Catalog'!$H$63+'Assumptions and Catalog'!$E$63+'Assumptions and Catalog'!$F$63,IF(L719&lt;='Assumptions and Catalog'!$C$64,L719*'Assumptions and Catalog'!$H$64+'Assumptions and Catalog'!$E$64+'Assumptions and Catalog'!$F$64,IF(L719&lt;='Assumptions and Catalog'!$C$65,L719*'Assumptions and Catalog'!$H$65+'Assumptions and Catalog'!$E$65+'Assumptions and Catalog'!$F$65,"Out of range")))))))))*(1+'Assumptions and Catalog'!$C$8)^(A719-1),0)</f>
        <v>5524.8429388807781</v>
      </c>
      <c r="O719" s="5">
        <f t="shared" si="51"/>
        <v>2754.1570611192219</v>
      </c>
      <c r="P719" s="5">
        <f>E$55*(1-L$14)*(1-'Assumptions and Catalog'!$C$23)^R719</f>
        <v>94.450499583999999</v>
      </c>
      <c r="Q719" s="5">
        <f>IF(ISNUMBER(Inputs!$L$5),(IF(Inputs!$L$9="Actual flat rate",((D719+E719)*C719-G719)*Inputs!$L$10,IF(Inputs!$C$9="Residential",IF(((D719+E719)*C719-G719)&lt;='Assumptions and Catalog'!$C$50,((D719+E719)*C719-G719)*'Assumptions and Catalog'!$H$50+'Assumptions and Catalog'!$E$50+'Assumptions and Catalog'!$F$50,IF(((D719+E719)*C719-G719)&lt;='Assumptions and Catalog'!$C$51,((D719+E719)*C719-G719)*'Assumptions and Catalog'!$H$51+'Assumptions and Catalog'!$E$51+'Assumptions and Catalog'!$F$51,IF(((D719+E719)*C719-G719)&lt;='Assumptions and Catalog'!$C$52,((D719+E719)*C719-G719)*'Assumptions and Catalog'!$H$52+'Assumptions and Catalog'!$E$52+'Assumptions and Catalog'!$F$52,IF(((D719+E719)*C719-G719)&lt;='Assumptions and Catalog'!$C$53,((D719+E719)*C719-G719)*'Assumptions and Catalog'!$H$53+'Assumptions and Catalog'!$E$53+'Assumptions and Catalog'!$F$53,IF(((D719+E719)*C719-G719)&lt;='Assumptions and Catalog'!$C$54,((D719+E719)*C719-G719)*'Assumptions and Catalog'!$H$54+'Assumptions and Catalog'!$E$54+'Assumptions and Catalog'!$F$54,IF(((D719+E719)*C719-G719)&lt;='Assumptions and Catalog'!$C$55,((D719+E719)*C719-G719)*'Assumptions and Catalog'!$H$55+'Assumptions and Catalog'!$E$55+'Assumptions and Catalog'!$F$55,IF(((D719+E719)*C719-G719)&lt;='Assumptions and Catalog'!$C$56,((D719+E719)*C719-G719)*'Assumptions and Catalog'!$H$56+'Assumptions and Catalog'!$E$56+'Assumptions and Catalog'!$F$56,IF(((D719+E719)*C719-G719)&lt;='Assumptions and Catalog'!$C$57,((D719+E719)*C719-G719)*'Assumptions and Catalog'!$H$57+'Assumptions and Catalog'!$E$57+'Assumptions and Catalog'!$F$57,"Out of range")))))))),IF(((D719+E719)*C719-G719)&lt;='Assumptions and Catalog'!$C$60,((D719+E719)*C719-G719)*'Assumptions and Catalog'!$H$60+'Assumptions and Catalog'!$E$60+'Assumptions and Catalog'!$F$60,IF(((D719+E719)*C719-G719)&lt;='Assumptions and Catalog'!$C$61,((D719+E719)*C719-G719)*'Assumptions and Catalog'!$H$61+'Assumptions and Catalog'!$E$61+'Assumptions and Catalog'!$F$61,IF(((D719+E719)*C719-G719)&lt;='Assumptions and Catalog'!$C$62,((D719+E719)*C719-G719)*'Assumptions and Catalog'!$H$62+'Assumptions and Catalog'!$E$62+'Assumptions and Catalog'!$F$62,IF(((D719+E719)*C719-G719)&lt;='Assumptions and Catalog'!$C$63,((D719+E719)*C719-G719)*'Assumptions and Catalog'!$H$63+'Assumptions and Catalog'!$E$63+'Assumptions and Catalog'!$F$63,IF(((D719+E719)*C719-G719)&lt;='Assumptions and Catalog'!$C$64,((D719+E719)*C719-G719)*'Assumptions and Catalog'!$H$64+'Assumptions and Catalog'!$E$64+'Assumptions and Catalog'!$F$64,IF(((D719+E719)*C719-G719)&lt;='Assumptions and Catalog'!$C$65,((D719+E719)*C719-G719)*'Assumptions and Catalog'!$H$65+'Assumptions and Catalog'!$E$65+'Assumptions and Catalog'!$F$65,"Out of range")))))))))*(1+'Assumptions and Catalog'!$C$8)^(A719-1),0)</f>
        <v>5524.8429388807781</v>
      </c>
      <c r="R719" s="5">
        <f>IF(AND('Assumptions and Catalog'!$C$19&gt;0,A719&gt;='Assumptions and Catalog'!$C$19),A719-'Assumptions and Catalog'!$C$19,A719-1)</f>
        <v>4</v>
      </c>
      <c r="S719" s="5">
        <f>F719+L719-(D719+E719)*C719-J719-K719-IF(E$52&gt;0,'Assumptions and Catalog'!$C$26*C719,0)</f>
        <v>0</v>
      </c>
      <c r="T719" s="5"/>
      <c r="U719" s="5"/>
    </row>
    <row r="720" spans="1:21" ht="23.1" customHeight="1" outlineLevel="1" x14ac:dyDescent="0.2">
      <c r="A720" s="5">
        <v>5</v>
      </c>
      <c r="B720" s="5">
        <v>12</v>
      </c>
      <c r="C720" s="5">
        <f>DAY(DATE('Assumptions and Catalog'!$C$24+A720-1,B720+1,0))</f>
        <v>31</v>
      </c>
      <c r="D720" s="5">
        <f>IF(ISNUMBER(Inputs!$L$5),Inputs!$L$5*Inputs!$L$6,0)</f>
        <v>40.35</v>
      </c>
      <c r="E720" s="5">
        <f>IF(ISNUMBER(Inputs!$L$5),Inputs!$L$5-D720,0)</f>
        <v>40.35</v>
      </c>
      <c r="F720" s="5">
        <f>E$51*'Assumptions and Catalog'!$C$31*C720*(1-'Assumptions and Catalog'!$C$10)^(A720-1)</f>
        <v>832.23513948568132</v>
      </c>
      <c r="G720" s="5">
        <f t="shared" si="48"/>
        <v>832.23513948568132</v>
      </c>
      <c r="H720" s="5">
        <f>I720/('Assumptions and Catalog'!$C$11*'Assumptions and Catalog'!$C$12)</f>
        <v>0</v>
      </c>
      <c r="I720" s="5">
        <f>MIN(E720*C720,P720*'Assumptions and Catalog'!$C$12*C720,(F720-G720)*'Assumptions and Catalog'!$C$11*'Assumptions and Catalog'!$C$12,E$56*'Assumptions and Catalog'!$C$14*'Assumptions and Catalog'!$C$11*'Assumptions and Catalog'!$C$12*C720,E$57*(24-'Assumptions and Catalog'!$C$13)*C720)</f>
        <v>0</v>
      </c>
      <c r="J720" s="5">
        <f t="shared" si="49"/>
        <v>0</v>
      </c>
      <c r="K720" s="5">
        <f t="shared" si="50"/>
        <v>0</v>
      </c>
      <c r="L720" s="5">
        <f>(D720+E720)*C720-G720-I720+0+IF(E$52&gt;0,'Assumptions and Catalog'!$C$26*C720,0)</f>
        <v>1669.4648605143188</v>
      </c>
      <c r="M720" s="5">
        <f>IF(ISNUMBER(Inputs!$L$5),(IF(Inputs!$L$9="Actual flat rate",((D720+E720)*C720)*Inputs!$L$10,IF(Inputs!$C$9="Residential",IF(((D720+E720)*C720)&lt;='Assumptions and Catalog'!$C$50,((D720+E720)*C720)*'Assumptions and Catalog'!$H$50+'Assumptions and Catalog'!$E$50+'Assumptions and Catalog'!$F$50,IF(((D720+E720)*C720)&lt;='Assumptions and Catalog'!$C$51,((D720+E720)*C720)*'Assumptions and Catalog'!$H$51+'Assumptions and Catalog'!$E$51+'Assumptions and Catalog'!$F$51,IF(((D720+E720)*C720)&lt;='Assumptions and Catalog'!$C$52,((D720+E720)*C720)*'Assumptions and Catalog'!$H$52+'Assumptions and Catalog'!$E$52+'Assumptions and Catalog'!$F$52,IF(((D720+E720)*C720)&lt;='Assumptions and Catalog'!$C$53,((D720+E720)*C720)*'Assumptions and Catalog'!$H$53+'Assumptions and Catalog'!$E$53+'Assumptions and Catalog'!$F$53,IF(((D720+E720)*C720)&lt;='Assumptions and Catalog'!$C$54,((D720+E720)*C720)*'Assumptions and Catalog'!$H$54+'Assumptions and Catalog'!$E$54+'Assumptions and Catalog'!$F$54,IF(((D720+E720)*C720)&lt;='Assumptions and Catalog'!$C$55,((D720+E720)*C720)*'Assumptions and Catalog'!$H$55+'Assumptions and Catalog'!$E$55+'Assumptions and Catalog'!$F$55,IF(((D720+E720)*C720)&lt;='Assumptions and Catalog'!$C$56,((D720+E720)*C720)*'Assumptions and Catalog'!$H$56+'Assumptions and Catalog'!$E$56+'Assumptions and Catalog'!$F$56,IF(((D720+E720)*C720)&lt;='Assumptions and Catalog'!$C$57,((D720+E720)*C720)*'Assumptions and Catalog'!$H$57+'Assumptions and Catalog'!$E$57+'Assumptions and Catalog'!$F$57,"Out of range")))))))),IF(((D720+E720)*C720)&lt;='Assumptions and Catalog'!$C$60,((D720+E720)*C720)*'Assumptions and Catalog'!$H$60+'Assumptions and Catalog'!$E$60+'Assumptions and Catalog'!$F$60,IF(((D720+E720)*C720)&lt;='Assumptions and Catalog'!$C$61,((D720+E720)*C720)*'Assumptions and Catalog'!$H$61+'Assumptions and Catalog'!$E$61+'Assumptions and Catalog'!$F$61,IF(((D720+E720)*C720)&lt;='Assumptions and Catalog'!$C$62,((D720+E720)*C720)*'Assumptions and Catalog'!$H$62+'Assumptions and Catalog'!$E$62+'Assumptions and Catalog'!$F$62,IF(((D720+E720)*C720)&lt;='Assumptions and Catalog'!$C$63,((D720+E720)*C720)*'Assumptions and Catalog'!$H$63+'Assumptions and Catalog'!$E$63+'Assumptions and Catalog'!$F$63,IF(((D720+E720)*C720)&lt;='Assumptions and Catalog'!$C$64,((D720+E720)*C720)*'Assumptions and Catalog'!$H$64+'Assumptions and Catalog'!$E$64+'Assumptions and Catalog'!$F$64,IF(((D720+E720)*C720)&lt;='Assumptions and Catalog'!$C$65,((D720+E720)*C720)*'Assumptions and Catalog'!$H$65+'Assumptions and Catalog'!$E$65+'Assumptions and Catalog'!$F$65,"Out of range")))))))))*(1+'Assumptions and Catalog'!$C$8)^(A720-1),0)</f>
        <v>8554.9666666666672</v>
      </c>
      <c r="N720" s="5">
        <f>IF(ISNUMBER(Inputs!$L$5),(IF(Inputs!$L$9="Actual flat rate",L720*Inputs!$L$10,IF(Inputs!$C$9="Residential",IF(L720&lt;='Assumptions and Catalog'!$C$50,L720*'Assumptions and Catalog'!$H$50+'Assumptions and Catalog'!$E$50+'Assumptions and Catalog'!$F$50,IF(L720&lt;='Assumptions and Catalog'!$C$51,L720*'Assumptions and Catalog'!$H$51+'Assumptions and Catalog'!$E$51+'Assumptions and Catalog'!$F$51,IF(L720&lt;='Assumptions and Catalog'!$C$52,L720*'Assumptions and Catalog'!$H$52+'Assumptions and Catalog'!$E$52+'Assumptions and Catalog'!$F$52,IF(L720&lt;='Assumptions and Catalog'!$C$53,L720*'Assumptions and Catalog'!$H$53+'Assumptions and Catalog'!$E$53+'Assumptions and Catalog'!$F$53,IF(L720&lt;='Assumptions and Catalog'!$C$54,L720*'Assumptions and Catalog'!$H$54+'Assumptions and Catalog'!$E$54+'Assumptions and Catalog'!$F$54,IF(L720&lt;='Assumptions and Catalog'!$C$55,L720*'Assumptions and Catalog'!$H$55+'Assumptions and Catalog'!$E$55+'Assumptions and Catalog'!$F$55,IF(L720&lt;='Assumptions and Catalog'!$C$56,L720*'Assumptions and Catalog'!$H$56+'Assumptions and Catalog'!$E$56+'Assumptions and Catalog'!$F$56,IF(L720&lt;='Assumptions and Catalog'!$C$57,L720*'Assumptions and Catalog'!$H$57+'Assumptions and Catalog'!$E$57+'Assumptions and Catalog'!$F$57,"Out of range")))))))),IF(L720&lt;='Assumptions and Catalog'!$C$60,L720*'Assumptions and Catalog'!$H$60+'Assumptions and Catalog'!$E$60+'Assumptions and Catalog'!$F$60,IF(L720&lt;='Assumptions and Catalog'!$C$61,L720*'Assumptions and Catalog'!$H$61+'Assumptions and Catalog'!$E$61+'Assumptions and Catalog'!$F$61,IF(L720&lt;='Assumptions and Catalog'!$C$62,L720*'Assumptions and Catalog'!$H$62+'Assumptions and Catalog'!$E$62+'Assumptions and Catalog'!$F$62,IF(L720&lt;='Assumptions and Catalog'!$C$63,L720*'Assumptions and Catalog'!$H$63+'Assumptions and Catalog'!$E$63+'Assumptions and Catalog'!$F$63,IF(L720&lt;='Assumptions and Catalog'!$C$64,L720*'Assumptions and Catalog'!$H$64+'Assumptions and Catalog'!$E$64+'Assumptions and Catalog'!$F$64,IF(L720&lt;='Assumptions and Catalog'!$C$65,L720*'Assumptions and Catalog'!$H$65+'Assumptions and Catalog'!$E$65+'Assumptions and Catalog'!$F$65,"Out of range")))))))))*(1+'Assumptions and Catalog'!$C$8)^(A720-1),0)</f>
        <v>5709.0043701768054</v>
      </c>
      <c r="O720" s="5">
        <f t="shared" si="51"/>
        <v>2845.9622964898617</v>
      </c>
      <c r="P720" s="5">
        <f>E$55*(1-L$14)*(1-'Assumptions and Catalog'!$C$23)^R720</f>
        <v>94.450499583999999</v>
      </c>
      <c r="Q720" s="5">
        <f>IF(ISNUMBER(Inputs!$L$5),(IF(Inputs!$L$9="Actual flat rate",((D720+E720)*C720-G720)*Inputs!$L$10,IF(Inputs!$C$9="Residential",IF(((D720+E720)*C720-G720)&lt;='Assumptions and Catalog'!$C$50,((D720+E720)*C720-G720)*'Assumptions and Catalog'!$H$50+'Assumptions and Catalog'!$E$50+'Assumptions and Catalog'!$F$50,IF(((D720+E720)*C720-G720)&lt;='Assumptions and Catalog'!$C$51,((D720+E720)*C720-G720)*'Assumptions and Catalog'!$H$51+'Assumptions and Catalog'!$E$51+'Assumptions and Catalog'!$F$51,IF(((D720+E720)*C720-G720)&lt;='Assumptions and Catalog'!$C$52,((D720+E720)*C720-G720)*'Assumptions and Catalog'!$H$52+'Assumptions and Catalog'!$E$52+'Assumptions and Catalog'!$F$52,IF(((D720+E720)*C720-G720)&lt;='Assumptions and Catalog'!$C$53,((D720+E720)*C720-G720)*'Assumptions and Catalog'!$H$53+'Assumptions and Catalog'!$E$53+'Assumptions and Catalog'!$F$53,IF(((D720+E720)*C720-G720)&lt;='Assumptions and Catalog'!$C$54,((D720+E720)*C720-G720)*'Assumptions and Catalog'!$H$54+'Assumptions and Catalog'!$E$54+'Assumptions and Catalog'!$F$54,IF(((D720+E720)*C720-G720)&lt;='Assumptions and Catalog'!$C$55,((D720+E720)*C720-G720)*'Assumptions and Catalog'!$H$55+'Assumptions and Catalog'!$E$55+'Assumptions and Catalog'!$F$55,IF(((D720+E720)*C720-G720)&lt;='Assumptions and Catalog'!$C$56,((D720+E720)*C720-G720)*'Assumptions and Catalog'!$H$56+'Assumptions and Catalog'!$E$56+'Assumptions and Catalog'!$F$56,IF(((D720+E720)*C720-G720)&lt;='Assumptions and Catalog'!$C$57,((D720+E720)*C720-G720)*'Assumptions and Catalog'!$H$57+'Assumptions and Catalog'!$E$57+'Assumptions and Catalog'!$F$57,"Out of range")))))))),IF(((D720+E720)*C720-G720)&lt;='Assumptions and Catalog'!$C$60,((D720+E720)*C720-G720)*'Assumptions and Catalog'!$H$60+'Assumptions and Catalog'!$E$60+'Assumptions and Catalog'!$F$60,IF(((D720+E720)*C720-G720)&lt;='Assumptions and Catalog'!$C$61,((D720+E720)*C720-G720)*'Assumptions and Catalog'!$H$61+'Assumptions and Catalog'!$E$61+'Assumptions and Catalog'!$F$61,IF(((D720+E720)*C720-G720)&lt;='Assumptions and Catalog'!$C$62,((D720+E720)*C720-G720)*'Assumptions and Catalog'!$H$62+'Assumptions and Catalog'!$E$62+'Assumptions and Catalog'!$F$62,IF(((D720+E720)*C720-G720)&lt;='Assumptions and Catalog'!$C$63,((D720+E720)*C720-G720)*'Assumptions and Catalog'!$H$63+'Assumptions and Catalog'!$E$63+'Assumptions and Catalog'!$F$63,IF(((D720+E720)*C720-G720)&lt;='Assumptions and Catalog'!$C$64,((D720+E720)*C720-G720)*'Assumptions and Catalog'!$H$64+'Assumptions and Catalog'!$E$64+'Assumptions and Catalog'!$F$64,IF(((D720+E720)*C720-G720)&lt;='Assumptions and Catalog'!$C$65,((D720+E720)*C720-G720)*'Assumptions and Catalog'!$H$65+'Assumptions and Catalog'!$E$65+'Assumptions and Catalog'!$F$65,"Out of range")))))))))*(1+'Assumptions and Catalog'!$C$8)^(A720-1),0)</f>
        <v>5709.0043701768054</v>
      </c>
      <c r="R720" s="5">
        <f>IF(AND('Assumptions and Catalog'!$C$19&gt;0,A720&gt;='Assumptions and Catalog'!$C$19),A720-'Assumptions and Catalog'!$C$19,A720-1)</f>
        <v>4</v>
      </c>
      <c r="S720" s="5">
        <f>F720+L720-(D720+E720)*C720-J720-K720-IF(E$52&gt;0,'Assumptions and Catalog'!$C$26*C720,0)</f>
        <v>0</v>
      </c>
      <c r="T720" s="5"/>
      <c r="U720" s="5"/>
    </row>
    <row r="721" spans="1:21" ht="23.1" customHeight="1" outlineLevel="1" x14ac:dyDescent="0.2">
      <c r="A721" s="5">
        <v>6</v>
      </c>
      <c r="B721" s="5">
        <v>1</v>
      </c>
      <c r="C721" s="5">
        <f>DAY(DATE('Assumptions and Catalog'!$C$24+A721-1,B721+1,0))</f>
        <v>31</v>
      </c>
      <c r="D721" s="5">
        <f>IF(ISNUMBER(Inputs!$L$5),Inputs!$L$5*Inputs!$L$6,0)</f>
        <v>40.35</v>
      </c>
      <c r="E721" s="5">
        <f>IF(ISNUMBER(Inputs!$L$5),Inputs!$L$5-D721,0)</f>
        <v>40.35</v>
      </c>
      <c r="F721" s="5">
        <f>E$51*'Assumptions and Catalog'!$C$31*C721*(1-'Assumptions and Catalog'!$C$10)^(A721-1)</f>
        <v>828.07396378825297</v>
      </c>
      <c r="G721" s="5">
        <f t="shared" si="48"/>
        <v>828.07396378825297</v>
      </c>
      <c r="H721" s="5">
        <f>I721/('Assumptions and Catalog'!$C$11*'Assumptions and Catalog'!$C$12)</f>
        <v>0</v>
      </c>
      <c r="I721" s="5">
        <f>MIN(E721*C721,P721*'Assumptions and Catalog'!$C$12*C721,(F721-G721)*'Assumptions and Catalog'!$C$11*'Assumptions and Catalog'!$C$12,E$56*'Assumptions and Catalog'!$C$14*'Assumptions and Catalog'!$C$11*'Assumptions and Catalog'!$C$12*C721,E$57*(24-'Assumptions and Catalog'!$C$13)*C721)</f>
        <v>0</v>
      </c>
      <c r="J721" s="5">
        <f t="shared" si="49"/>
        <v>0</v>
      </c>
      <c r="K721" s="5">
        <f t="shared" si="50"/>
        <v>0</v>
      </c>
      <c r="L721" s="5">
        <f>(D721+E721)*C721-G721-I721+0+IF(E$52&gt;0,'Assumptions and Catalog'!$C$26*C721,0)</f>
        <v>1673.6260362117473</v>
      </c>
      <c r="M721" s="5">
        <f>IF(ISNUMBER(Inputs!$L$5),(IF(Inputs!$L$9="Actual flat rate",((D721+E721)*C721)*Inputs!$L$10,IF(Inputs!$C$9="Residential",IF(((D721+E721)*C721)&lt;='Assumptions and Catalog'!$C$50,((D721+E721)*C721)*'Assumptions and Catalog'!$H$50+'Assumptions and Catalog'!$E$50+'Assumptions and Catalog'!$F$50,IF(((D721+E721)*C721)&lt;='Assumptions and Catalog'!$C$51,((D721+E721)*C721)*'Assumptions and Catalog'!$H$51+'Assumptions and Catalog'!$E$51+'Assumptions and Catalog'!$F$51,IF(((D721+E721)*C721)&lt;='Assumptions and Catalog'!$C$52,((D721+E721)*C721)*'Assumptions and Catalog'!$H$52+'Assumptions and Catalog'!$E$52+'Assumptions and Catalog'!$F$52,IF(((D721+E721)*C721)&lt;='Assumptions and Catalog'!$C$53,((D721+E721)*C721)*'Assumptions and Catalog'!$H$53+'Assumptions and Catalog'!$E$53+'Assumptions and Catalog'!$F$53,IF(((D721+E721)*C721)&lt;='Assumptions and Catalog'!$C$54,((D721+E721)*C721)*'Assumptions and Catalog'!$H$54+'Assumptions and Catalog'!$E$54+'Assumptions and Catalog'!$F$54,IF(((D721+E721)*C721)&lt;='Assumptions and Catalog'!$C$55,((D721+E721)*C721)*'Assumptions and Catalog'!$H$55+'Assumptions and Catalog'!$E$55+'Assumptions and Catalog'!$F$55,IF(((D721+E721)*C721)&lt;='Assumptions and Catalog'!$C$56,((D721+E721)*C721)*'Assumptions and Catalog'!$H$56+'Assumptions and Catalog'!$E$56+'Assumptions and Catalog'!$F$56,IF(((D721+E721)*C721)&lt;='Assumptions and Catalog'!$C$57,((D721+E721)*C721)*'Assumptions and Catalog'!$H$57+'Assumptions and Catalog'!$E$57+'Assumptions and Catalog'!$F$57,"Out of range")))))))),IF(((D721+E721)*C721)&lt;='Assumptions and Catalog'!$C$60,((D721+E721)*C721)*'Assumptions and Catalog'!$H$60+'Assumptions and Catalog'!$E$60+'Assumptions and Catalog'!$F$60,IF(((D721+E721)*C721)&lt;='Assumptions and Catalog'!$C$61,((D721+E721)*C721)*'Assumptions and Catalog'!$H$61+'Assumptions and Catalog'!$E$61+'Assumptions and Catalog'!$F$61,IF(((D721+E721)*C721)&lt;='Assumptions and Catalog'!$C$62,((D721+E721)*C721)*'Assumptions and Catalog'!$H$62+'Assumptions and Catalog'!$E$62+'Assumptions and Catalog'!$F$62,IF(((D721+E721)*C721)&lt;='Assumptions and Catalog'!$C$63,((D721+E721)*C721)*'Assumptions and Catalog'!$H$63+'Assumptions and Catalog'!$E$63+'Assumptions and Catalog'!$F$63,IF(((D721+E721)*C721)&lt;='Assumptions and Catalog'!$C$64,((D721+E721)*C721)*'Assumptions and Catalog'!$H$64+'Assumptions and Catalog'!$E$64+'Assumptions and Catalog'!$F$64,IF(((D721+E721)*C721)&lt;='Assumptions and Catalog'!$C$65,((D721+E721)*C721)*'Assumptions and Catalog'!$H$65+'Assumptions and Catalog'!$E$65+'Assumptions and Catalog'!$F$65,"Out of range")))))))))*(1+'Assumptions and Catalog'!$C$8)^(A721-1),0)</f>
        <v>8554.9666666666672</v>
      </c>
      <c r="N721" s="5">
        <f>IF(ISNUMBER(Inputs!$L$5),(IF(Inputs!$L$9="Actual flat rate",L721*Inputs!$L$10,IF(Inputs!$C$9="Residential",IF(L721&lt;='Assumptions and Catalog'!$C$50,L721*'Assumptions and Catalog'!$H$50+'Assumptions and Catalog'!$E$50+'Assumptions and Catalog'!$F$50,IF(L721&lt;='Assumptions and Catalog'!$C$51,L721*'Assumptions and Catalog'!$H$51+'Assumptions and Catalog'!$E$51+'Assumptions and Catalog'!$F$51,IF(L721&lt;='Assumptions and Catalog'!$C$52,L721*'Assumptions and Catalog'!$H$52+'Assumptions and Catalog'!$E$52+'Assumptions and Catalog'!$F$52,IF(L721&lt;='Assumptions and Catalog'!$C$53,L721*'Assumptions and Catalog'!$H$53+'Assumptions and Catalog'!$E$53+'Assumptions and Catalog'!$F$53,IF(L721&lt;='Assumptions and Catalog'!$C$54,L721*'Assumptions and Catalog'!$H$54+'Assumptions and Catalog'!$E$54+'Assumptions and Catalog'!$F$54,IF(L721&lt;='Assumptions and Catalog'!$C$55,L721*'Assumptions and Catalog'!$H$55+'Assumptions and Catalog'!$E$55+'Assumptions and Catalog'!$F$55,IF(L721&lt;='Assumptions and Catalog'!$C$56,L721*'Assumptions and Catalog'!$H$56+'Assumptions and Catalog'!$E$56+'Assumptions and Catalog'!$F$56,IF(L721&lt;='Assumptions and Catalog'!$C$57,L721*'Assumptions and Catalog'!$H$57+'Assumptions and Catalog'!$E$57+'Assumptions and Catalog'!$F$57,"Out of range")))))))),IF(L721&lt;='Assumptions and Catalog'!$C$60,L721*'Assumptions and Catalog'!$H$60+'Assumptions and Catalog'!$E$60+'Assumptions and Catalog'!$F$60,IF(L721&lt;='Assumptions and Catalog'!$C$61,L721*'Assumptions and Catalog'!$H$61+'Assumptions and Catalog'!$E$61+'Assumptions and Catalog'!$F$61,IF(L721&lt;='Assumptions and Catalog'!$C$62,L721*'Assumptions and Catalog'!$H$62+'Assumptions and Catalog'!$E$62+'Assumptions and Catalog'!$F$62,IF(L721&lt;='Assumptions and Catalog'!$C$63,L721*'Assumptions and Catalog'!$H$63+'Assumptions and Catalog'!$E$63+'Assumptions and Catalog'!$F$63,IF(L721&lt;='Assumptions and Catalog'!$C$64,L721*'Assumptions and Catalog'!$H$64+'Assumptions and Catalog'!$E$64+'Assumptions and Catalog'!$F$64,IF(L721&lt;='Assumptions and Catalog'!$C$65,L721*'Assumptions and Catalog'!$H$65+'Assumptions and Catalog'!$E$65+'Assumptions and Catalog'!$F$65,"Out of range")))))))))*(1+'Assumptions and Catalog'!$C$8)^(A721-1),0)</f>
        <v>5723.2341816592543</v>
      </c>
      <c r="O721" s="5">
        <f t="shared" si="51"/>
        <v>2831.7324850074128</v>
      </c>
      <c r="P721" s="5">
        <f>E$55*(1-L$14)*(1-'Assumptions and Catalog'!$C$23)^R721</f>
        <v>92.561489592319987</v>
      </c>
      <c r="Q721" s="5">
        <f>IF(ISNUMBER(Inputs!$L$5),(IF(Inputs!$L$9="Actual flat rate",((D721+E721)*C721-G721)*Inputs!$L$10,IF(Inputs!$C$9="Residential",IF(((D721+E721)*C721-G721)&lt;='Assumptions and Catalog'!$C$50,((D721+E721)*C721-G721)*'Assumptions and Catalog'!$H$50+'Assumptions and Catalog'!$E$50+'Assumptions and Catalog'!$F$50,IF(((D721+E721)*C721-G721)&lt;='Assumptions and Catalog'!$C$51,((D721+E721)*C721-G721)*'Assumptions and Catalog'!$H$51+'Assumptions and Catalog'!$E$51+'Assumptions and Catalog'!$F$51,IF(((D721+E721)*C721-G721)&lt;='Assumptions and Catalog'!$C$52,((D721+E721)*C721-G721)*'Assumptions and Catalog'!$H$52+'Assumptions and Catalog'!$E$52+'Assumptions and Catalog'!$F$52,IF(((D721+E721)*C721-G721)&lt;='Assumptions and Catalog'!$C$53,((D721+E721)*C721-G721)*'Assumptions and Catalog'!$H$53+'Assumptions and Catalog'!$E$53+'Assumptions and Catalog'!$F$53,IF(((D721+E721)*C721-G721)&lt;='Assumptions and Catalog'!$C$54,((D721+E721)*C721-G721)*'Assumptions and Catalog'!$H$54+'Assumptions and Catalog'!$E$54+'Assumptions and Catalog'!$F$54,IF(((D721+E721)*C721-G721)&lt;='Assumptions and Catalog'!$C$55,((D721+E721)*C721-G721)*'Assumptions and Catalog'!$H$55+'Assumptions and Catalog'!$E$55+'Assumptions and Catalog'!$F$55,IF(((D721+E721)*C721-G721)&lt;='Assumptions and Catalog'!$C$56,((D721+E721)*C721-G721)*'Assumptions and Catalog'!$H$56+'Assumptions and Catalog'!$E$56+'Assumptions and Catalog'!$F$56,IF(((D721+E721)*C721-G721)&lt;='Assumptions and Catalog'!$C$57,((D721+E721)*C721-G721)*'Assumptions and Catalog'!$H$57+'Assumptions and Catalog'!$E$57+'Assumptions and Catalog'!$F$57,"Out of range")))))))),IF(((D721+E721)*C721-G721)&lt;='Assumptions and Catalog'!$C$60,((D721+E721)*C721-G721)*'Assumptions and Catalog'!$H$60+'Assumptions and Catalog'!$E$60+'Assumptions and Catalog'!$F$60,IF(((D721+E721)*C721-G721)&lt;='Assumptions and Catalog'!$C$61,((D721+E721)*C721-G721)*'Assumptions and Catalog'!$H$61+'Assumptions and Catalog'!$E$61+'Assumptions and Catalog'!$F$61,IF(((D721+E721)*C721-G721)&lt;='Assumptions and Catalog'!$C$62,((D721+E721)*C721-G721)*'Assumptions and Catalog'!$H$62+'Assumptions and Catalog'!$E$62+'Assumptions and Catalog'!$F$62,IF(((D721+E721)*C721-G721)&lt;='Assumptions and Catalog'!$C$63,((D721+E721)*C721-G721)*'Assumptions and Catalog'!$H$63+'Assumptions and Catalog'!$E$63+'Assumptions and Catalog'!$F$63,IF(((D721+E721)*C721-G721)&lt;='Assumptions and Catalog'!$C$64,((D721+E721)*C721-G721)*'Assumptions and Catalog'!$H$64+'Assumptions and Catalog'!$E$64+'Assumptions and Catalog'!$F$64,IF(((D721+E721)*C721-G721)&lt;='Assumptions and Catalog'!$C$65,((D721+E721)*C721-G721)*'Assumptions and Catalog'!$H$65+'Assumptions and Catalog'!$E$65+'Assumptions and Catalog'!$F$65,"Out of range")))))))))*(1+'Assumptions and Catalog'!$C$8)^(A721-1),0)</f>
        <v>5723.2341816592543</v>
      </c>
      <c r="R721" s="5">
        <f>IF(AND('Assumptions and Catalog'!$C$19&gt;0,A721&gt;='Assumptions and Catalog'!$C$19),A721-'Assumptions and Catalog'!$C$19,A721-1)</f>
        <v>5</v>
      </c>
      <c r="S721" s="5">
        <f>F721+L721-(D721+E721)*C721-J721-K721-IF(E$52&gt;0,'Assumptions and Catalog'!$C$26*C721,0)</f>
        <v>0</v>
      </c>
      <c r="T721" s="5"/>
      <c r="U721" s="5"/>
    </row>
    <row r="722" spans="1:21" ht="23.1" customHeight="1" outlineLevel="1" x14ac:dyDescent="0.2">
      <c r="A722" s="5">
        <v>6</v>
      </c>
      <c r="B722" s="5">
        <v>2</v>
      </c>
      <c r="C722" s="5">
        <f>DAY(DATE('Assumptions and Catalog'!$C$24+A722-1,B722+1,0))</f>
        <v>29</v>
      </c>
      <c r="D722" s="5">
        <f>IF(ISNUMBER(Inputs!$L$5),Inputs!$L$5*Inputs!$L$6,0)</f>
        <v>40.35</v>
      </c>
      <c r="E722" s="5">
        <f>IF(ISNUMBER(Inputs!$L$5),Inputs!$L$5-D722,0)</f>
        <v>40.35</v>
      </c>
      <c r="F722" s="5">
        <f>E$51*'Assumptions and Catalog'!$C$31*C722*(1-'Assumptions and Catalog'!$C$10)^(A722-1)</f>
        <v>774.64983709223668</v>
      </c>
      <c r="G722" s="5">
        <f t="shared" si="48"/>
        <v>774.64983709223668</v>
      </c>
      <c r="H722" s="5">
        <f>I722/('Assumptions and Catalog'!$C$11*'Assumptions and Catalog'!$C$12)</f>
        <v>0</v>
      </c>
      <c r="I722" s="5">
        <f>MIN(E722*C722,P722*'Assumptions and Catalog'!$C$12*C722,(F722-G722)*'Assumptions and Catalog'!$C$11*'Assumptions and Catalog'!$C$12,E$56*'Assumptions and Catalog'!$C$14*'Assumptions and Catalog'!$C$11*'Assumptions and Catalog'!$C$12*C722,E$57*(24-'Assumptions and Catalog'!$C$13)*C722)</f>
        <v>0</v>
      </c>
      <c r="J722" s="5">
        <f t="shared" si="49"/>
        <v>0</v>
      </c>
      <c r="K722" s="5">
        <f t="shared" si="50"/>
        <v>0</v>
      </c>
      <c r="L722" s="5">
        <f>(D722+E722)*C722-G722-I722+0+IF(E$52&gt;0,'Assumptions and Catalog'!$C$26*C722,0)</f>
        <v>1565.6501629077634</v>
      </c>
      <c r="M722" s="5">
        <f>IF(ISNUMBER(Inputs!$L$5),(IF(Inputs!$L$9="Actual flat rate",((D722+E722)*C722)*Inputs!$L$10,IF(Inputs!$C$9="Residential",IF(((D722+E722)*C722)&lt;='Assumptions and Catalog'!$C$50,((D722+E722)*C722)*'Assumptions and Catalog'!$H$50+'Assumptions and Catalog'!$E$50+'Assumptions and Catalog'!$F$50,IF(((D722+E722)*C722)&lt;='Assumptions and Catalog'!$C$51,((D722+E722)*C722)*'Assumptions and Catalog'!$H$51+'Assumptions and Catalog'!$E$51+'Assumptions and Catalog'!$F$51,IF(((D722+E722)*C722)&lt;='Assumptions and Catalog'!$C$52,((D722+E722)*C722)*'Assumptions and Catalog'!$H$52+'Assumptions and Catalog'!$E$52+'Assumptions and Catalog'!$F$52,IF(((D722+E722)*C722)&lt;='Assumptions and Catalog'!$C$53,((D722+E722)*C722)*'Assumptions and Catalog'!$H$53+'Assumptions and Catalog'!$E$53+'Assumptions and Catalog'!$F$53,IF(((D722+E722)*C722)&lt;='Assumptions and Catalog'!$C$54,((D722+E722)*C722)*'Assumptions and Catalog'!$H$54+'Assumptions and Catalog'!$E$54+'Assumptions and Catalog'!$F$54,IF(((D722+E722)*C722)&lt;='Assumptions and Catalog'!$C$55,((D722+E722)*C722)*'Assumptions and Catalog'!$H$55+'Assumptions and Catalog'!$E$55+'Assumptions and Catalog'!$F$55,IF(((D722+E722)*C722)&lt;='Assumptions and Catalog'!$C$56,((D722+E722)*C722)*'Assumptions and Catalog'!$H$56+'Assumptions and Catalog'!$E$56+'Assumptions and Catalog'!$F$56,IF(((D722+E722)*C722)&lt;='Assumptions and Catalog'!$C$57,((D722+E722)*C722)*'Assumptions and Catalog'!$H$57+'Assumptions and Catalog'!$E$57+'Assumptions and Catalog'!$F$57,"Out of range")))))))),IF(((D722+E722)*C722)&lt;='Assumptions and Catalog'!$C$60,((D722+E722)*C722)*'Assumptions and Catalog'!$H$60+'Assumptions and Catalog'!$E$60+'Assumptions and Catalog'!$F$60,IF(((D722+E722)*C722)&lt;='Assumptions and Catalog'!$C$61,((D722+E722)*C722)*'Assumptions and Catalog'!$H$61+'Assumptions and Catalog'!$E$61+'Assumptions and Catalog'!$F$61,IF(((D722+E722)*C722)&lt;='Assumptions and Catalog'!$C$62,((D722+E722)*C722)*'Assumptions and Catalog'!$H$62+'Assumptions and Catalog'!$E$62+'Assumptions and Catalog'!$F$62,IF(((D722+E722)*C722)&lt;='Assumptions and Catalog'!$C$63,((D722+E722)*C722)*'Assumptions and Catalog'!$H$63+'Assumptions and Catalog'!$E$63+'Assumptions and Catalog'!$F$63,IF(((D722+E722)*C722)&lt;='Assumptions and Catalog'!$C$64,((D722+E722)*C722)*'Assumptions and Catalog'!$H$64+'Assumptions and Catalog'!$E$64+'Assumptions and Catalog'!$F$64,IF(((D722+E722)*C722)&lt;='Assumptions and Catalog'!$C$65,((D722+E722)*C722)*'Assumptions and Catalog'!$H$65+'Assumptions and Catalog'!$E$65+'Assumptions and Catalog'!$F$65,"Out of range")))))))))*(1+'Assumptions and Catalog'!$C$8)^(A722-1),0)</f>
        <v>8003.0333333333338</v>
      </c>
      <c r="N722" s="5">
        <f>IF(ISNUMBER(Inputs!$L$5),(IF(Inputs!$L$9="Actual flat rate",L722*Inputs!$L$10,IF(Inputs!$C$9="Residential",IF(L722&lt;='Assumptions and Catalog'!$C$50,L722*'Assumptions and Catalog'!$H$50+'Assumptions and Catalog'!$E$50+'Assumptions and Catalog'!$F$50,IF(L722&lt;='Assumptions and Catalog'!$C$51,L722*'Assumptions and Catalog'!$H$51+'Assumptions and Catalog'!$E$51+'Assumptions and Catalog'!$F$51,IF(L722&lt;='Assumptions and Catalog'!$C$52,L722*'Assumptions and Catalog'!$H$52+'Assumptions and Catalog'!$E$52+'Assumptions and Catalog'!$F$52,IF(L722&lt;='Assumptions and Catalog'!$C$53,L722*'Assumptions and Catalog'!$H$53+'Assumptions and Catalog'!$E$53+'Assumptions and Catalog'!$F$53,IF(L722&lt;='Assumptions and Catalog'!$C$54,L722*'Assumptions and Catalog'!$H$54+'Assumptions and Catalog'!$E$54+'Assumptions and Catalog'!$F$54,IF(L722&lt;='Assumptions and Catalog'!$C$55,L722*'Assumptions and Catalog'!$H$55+'Assumptions and Catalog'!$E$55+'Assumptions and Catalog'!$F$55,IF(L722&lt;='Assumptions and Catalog'!$C$56,L722*'Assumptions and Catalog'!$H$56+'Assumptions and Catalog'!$E$56+'Assumptions and Catalog'!$F$56,IF(L722&lt;='Assumptions and Catalog'!$C$57,L722*'Assumptions and Catalog'!$H$57+'Assumptions and Catalog'!$E$57+'Assumptions and Catalog'!$F$57,"Out of range")))))))),IF(L722&lt;='Assumptions and Catalog'!$C$60,L722*'Assumptions and Catalog'!$H$60+'Assumptions and Catalog'!$E$60+'Assumptions and Catalog'!$F$60,IF(L722&lt;='Assumptions and Catalog'!$C$61,L722*'Assumptions and Catalog'!$H$61+'Assumptions and Catalog'!$E$61+'Assumptions and Catalog'!$F$61,IF(L722&lt;='Assumptions and Catalog'!$C$62,L722*'Assumptions and Catalog'!$H$62+'Assumptions and Catalog'!$E$62+'Assumptions and Catalog'!$F$62,IF(L722&lt;='Assumptions and Catalog'!$C$63,L722*'Assumptions and Catalog'!$H$63+'Assumptions and Catalog'!$E$63+'Assumptions and Catalog'!$F$63,IF(L722&lt;='Assumptions and Catalog'!$C$64,L722*'Assumptions and Catalog'!$H$64+'Assumptions and Catalog'!$E$64+'Assumptions and Catalog'!$F$64,IF(L722&lt;='Assumptions and Catalog'!$C$65,L722*'Assumptions and Catalog'!$H$65+'Assumptions and Catalog'!$E$65+'Assumptions and Catalog'!$F$65,"Out of range")))))))))*(1+'Assumptions and Catalog'!$C$8)^(A722-1),0)</f>
        <v>5353.9932667134954</v>
      </c>
      <c r="O722" s="5">
        <f t="shared" si="51"/>
        <v>2649.0400666198384</v>
      </c>
      <c r="P722" s="5">
        <f>E$55*(1-L$14)*(1-'Assumptions and Catalog'!$C$23)^R722</f>
        <v>92.561489592319987</v>
      </c>
      <c r="Q722" s="5">
        <f>IF(ISNUMBER(Inputs!$L$5),(IF(Inputs!$L$9="Actual flat rate",((D722+E722)*C722-G722)*Inputs!$L$10,IF(Inputs!$C$9="Residential",IF(((D722+E722)*C722-G722)&lt;='Assumptions and Catalog'!$C$50,((D722+E722)*C722-G722)*'Assumptions and Catalog'!$H$50+'Assumptions and Catalog'!$E$50+'Assumptions and Catalog'!$F$50,IF(((D722+E722)*C722-G722)&lt;='Assumptions and Catalog'!$C$51,((D722+E722)*C722-G722)*'Assumptions and Catalog'!$H$51+'Assumptions and Catalog'!$E$51+'Assumptions and Catalog'!$F$51,IF(((D722+E722)*C722-G722)&lt;='Assumptions and Catalog'!$C$52,((D722+E722)*C722-G722)*'Assumptions and Catalog'!$H$52+'Assumptions and Catalog'!$E$52+'Assumptions and Catalog'!$F$52,IF(((D722+E722)*C722-G722)&lt;='Assumptions and Catalog'!$C$53,((D722+E722)*C722-G722)*'Assumptions and Catalog'!$H$53+'Assumptions and Catalog'!$E$53+'Assumptions and Catalog'!$F$53,IF(((D722+E722)*C722-G722)&lt;='Assumptions and Catalog'!$C$54,((D722+E722)*C722-G722)*'Assumptions and Catalog'!$H$54+'Assumptions and Catalog'!$E$54+'Assumptions and Catalog'!$F$54,IF(((D722+E722)*C722-G722)&lt;='Assumptions and Catalog'!$C$55,((D722+E722)*C722-G722)*'Assumptions and Catalog'!$H$55+'Assumptions and Catalog'!$E$55+'Assumptions and Catalog'!$F$55,IF(((D722+E722)*C722-G722)&lt;='Assumptions and Catalog'!$C$56,((D722+E722)*C722-G722)*'Assumptions and Catalog'!$H$56+'Assumptions and Catalog'!$E$56+'Assumptions and Catalog'!$F$56,IF(((D722+E722)*C722-G722)&lt;='Assumptions and Catalog'!$C$57,((D722+E722)*C722-G722)*'Assumptions and Catalog'!$H$57+'Assumptions and Catalog'!$E$57+'Assumptions and Catalog'!$F$57,"Out of range")))))))),IF(((D722+E722)*C722-G722)&lt;='Assumptions and Catalog'!$C$60,((D722+E722)*C722-G722)*'Assumptions and Catalog'!$H$60+'Assumptions and Catalog'!$E$60+'Assumptions and Catalog'!$F$60,IF(((D722+E722)*C722-G722)&lt;='Assumptions and Catalog'!$C$61,((D722+E722)*C722-G722)*'Assumptions and Catalog'!$H$61+'Assumptions and Catalog'!$E$61+'Assumptions and Catalog'!$F$61,IF(((D722+E722)*C722-G722)&lt;='Assumptions and Catalog'!$C$62,((D722+E722)*C722-G722)*'Assumptions and Catalog'!$H$62+'Assumptions and Catalog'!$E$62+'Assumptions and Catalog'!$F$62,IF(((D722+E722)*C722-G722)&lt;='Assumptions and Catalog'!$C$63,((D722+E722)*C722-G722)*'Assumptions and Catalog'!$H$63+'Assumptions and Catalog'!$E$63+'Assumptions and Catalog'!$F$63,IF(((D722+E722)*C722-G722)&lt;='Assumptions and Catalog'!$C$64,((D722+E722)*C722-G722)*'Assumptions and Catalog'!$H$64+'Assumptions and Catalog'!$E$64+'Assumptions and Catalog'!$F$64,IF(((D722+E722)*C722-G722)&lt;='Assumptions and Catalog'!$C$65,((D722+E722)*C722-G722)*'Assumptions and Catalog'!$H$65+'Assumptions and Catalog'!$E$65+'Assumptions and Catalog'!$F$65,"Out of range")))))))))*(1+'Assumptions and Catalog'!$C$8)^(A722-1),0)</f>
        <v>5353.9932667134954</v>
      </c>
      <c r="R722" s="5">
        <f>IF(AND('Assumptions and Catalog'!$C$19&gt;0,A722&gt;='Assumptions and Catalog'!$C$19),A722-'Assumptions and Catalog'!$C$19,A722-1)</f>
        <v>5</v>
      </c>
      <c r="S722" s="5">
        <f>F722+L722-(D722+E722)*C722-J722-K722-IF(E$52&gt;0,'Assumptions and Catalog'!$C$26*C722,0)</f>
        <v>0</v>
      </c>
      <c r="T722" s="5"/>
      <c r="U722" s="5"/>
    </row>
    <row r="723" spans="1:21" ht="23.1" customHeight="1" outlineLevel="1" x14ac:dyDescent="0.2">
      <c r="A723" s="5">
        <v>6</v>
      </c>
      <c r="B723" s="5">
        <v>3</v>
      </c>
      <c r="C723" s="5">
        <f>DAY(DATE('Assumptions and Catalog'!$C$24+A723-1,B723+1,0))</f>
        <v>31</v>
      </c>
      <c r="D723" s="5">
        <f>IF(ISNUMBER(Inputs!$L$5),Inputs!$L$5*Inputs!$L$6,0)</f>
        <v>40.35</v>
      </c>
      <c r="E723" s="5">
        <f>IF(ISNUMBER(Inputs!$L$5),Inputs!$L$5-D723,0)</f>
        <v>40.35</v>
      </c>
      <c r="F723" s="5">
        <f>E$51*'Assumptions and Catalog'!$C$31*C723*(1-'Assumptions and Catalog'!$C$10)^(A723-1)</f>
        <v>828.07396378825297</v>
      </c>
      <c r="G723" s="5">
        <f t="shared" si="48"/>
        <v>828.07396378825297</v>
      </c>
      <c r="H723" s="5">
        <f>I723/('Assumptions and Catalog'!$C$11*'Assumptions and Catalog'!$C$12)</f>
        <v>0</v>
      </c>
      <c r="I723" s="5">
        <f>MIN(E723*C723,P723*'Assumptions and Catalog'!$C$12*C723,(F723-G723)*'Assumptions and Catalog'!$C$11*'Assumptions and Catalog'!$C$12,E$56*'Assumptions and Catalog'!$C$14*'Assumptions and Catalog'!$C$11*'Assumptions and Catalog'!$C$12*C723,E$57*(24-'Assumptions and Catalog'!$C$13)*C723)</f>
        <v>0</v>
      </c>
      <c r="J723" s="5">
        <f t="shared" si="49"/>
        <v>0</v>
      </c>
      <c r="K723" s="5">
        <f t="shared" si="50"/>
        <v>0</v>
      </c>
      <c r="L723" s="5">
        <f>(D723+E723)*C723-G723-I723+0+IF(E$52&gt;0,'Assumptions and Catalog'!$C$26*C723,0)</f>
        <v>1673.6260362117473</v>
      </c>
      <c r="M723" s="5">
        <f>IF(ISNUMBER(Inputs!$L$5),(IF(Inputs!$L$9="Actual flat rate",((D723+E723)*C723)*Inputs!$L$10,IF(Inputs!$C$9="Residential",IF(((D723+E723)*C723)&lt;='Assumptions and Catalog'!$C$50,((D723+E723)*C723)*'Assumptions and Catalog'!$H$50+'Assumptions and Catalog'!$E$50+'Assumptions and Catalog'!$F$50,IF(((D723+E723)*C723)&lt;='Assumptions and Catalog'!$C$51,((D723+E723)*C723)*'Assumptions and Catalog'!$H$51+'Assumptions and Catalog'!$E$51+'Assumptions and Catalog'!$F$51,IF(((D723+E723)*C723)&lt;='Assumptions and Catalog'!$C$52,((D723+E723)*C723)*'Assumptions and Catalog'!$H$52+'Assumptions and Catalog'!$E$52+'Assumptions and Catalog'!$F$52,IF(((D723+E723)*C723)&lt;='Assumptions and Catalog'!$C$53,((D723+E723)*C723)*'Assumptions and Catalog'!$H$53+'Assumptions and Catalog'!$E$53+'Assumptions and Catalog'!$F$53,IF(((D723+E723)*C723)&lt;='Assumptions and Catalog'!$C$54,((D723+E723)*C723)*'Assumptions and Catalog'!$H$54+'Assumptions and Catalog'!$E$54+'Assumptions and Catalog'!$F$54,IF(((D723+E723)*C723)&lt;='Assumptions and Catalog'!$C$55,((D723+E723)*C723)*'Assumptions and Catalog'!$H$55+'Assumptions and Catalog'!$E$55+'Assumptions and Catalog'!$F$55,IF(((D723+E723)*C723)&lt;='Assumptions and Catalog'!$C$56,((D723+E723)*C723)*'Assumptions and Catalog'!$H$56+'Assumptions and Catalog'!$E$56+'Assumptions and Catalog'!$F$56,IF(((D723+E723)*C723)&lt;='Assumptions and Catalog'!$C$57,((D723+E723)*C723)*'Assumptions and Catalog'!$H$57+'Assumptions and Catalog'!$E$57+'Assumptions and Catalog'!$F$57,"Out of range")))))))),IF(((D723+E723)*C723)&lt;='Assumptions and Catalog'!$C$60,((D723+E723)*C723)*'Assumptions and Catalog'!$H$60+'Assumptions and Catalog'!$E$60+'Assumptions and Catalog'!$F$60,IF(((D723+E723)*C723)&lt;='Assumptions and Catalog'!$C$61,((D723+E723)*C723)*'Assumptions and Catalog'!$H$61+'Assumptions and Catalog'!$E$61+'Assumptions and Catalog'!$F$61,IF(((D723+E723)*C723)&lt;='Assumptions and Catalog'!$C$62,((D723+E723)*C723)*'Assumptions and Catalog'!$H$62+'Assumptions and Catalog'!$E$62+'Assumptions and Catalog'!$F$62,IF(((D723+E723)*C723)&lt;='Assumptions and Catalog'!$C$63,((D723+E723)*C723)*'Assumptions and Catalog'!$H$63+'Assumptions and Catalog'!$E$63+'Assumptions and Catalog'!$F$63,IF(((D723+E723)*C723)&lt;='Assumptions and Catalog'!$C$64,((D723+E723)*C723)*'Assumptions and Catalog'!$H$64+'Assumptions and Catalog'!$E$64+'Assumptions and Catalog'!$F$64,IF(((D723+E723)*C723)&lt;='Assumptions and Catalog'!$C$65,((D723+E723)*C723)*'Assumptions and Catalog'!$H$65+'Assumptions and Catalog'!$E$65+'Assumptions and Catalog'!$F$65,"Out of range")))))))))*(1+'Assumptions and Catalog'!$C$8)^(A723-1),0)</f>
        <v>8554.9666666666672</v>
      </c>
      <c r="N723" s="5">
        <f>IF(ISNUMBER(Inputs!$L$5),(IF(Inputs!$L$9="Actual flat rate",L723*Inputs!$L$10,IF(Inputs!$C$9="Residential",IF(L723&lt;='Assumptions and Catalog'!$C$50,L723*'Assumptions and Catalog'!$H$50+'Assumptions and Catalog'!$E$50+'Assumptions and Catalog'!$F$50,IF(L723&lt;='Assumptions and Catalog'!$C$51,L723*'Assumptions and Catalog'!$H$51+'Assumptions and Catalog'!$E$51+'Assumptions and Catalog'!$F$51,IF(L723&lt;='Assumptions and Catalog'!$C$52,L723*'Assumptions and Catalog'!$H$52+'Assumptions and Catalog'!$E$52+'Assumptions and Catalog'!$F$52,IF(L723&lt;='Assumptions and Catalog'!$C$53,L723*'Assumptions and Catalog'!$H$53+'Assumptions and Catalog'!$E$53+'Assumptions and Catalog'!$F$53,IF(L723&lt;='Assumptions and Catalog'!$C$54,L723*'Assumptions and Catalog'!$H$54+'Assumptions and Catalog'!$E$54+'Assumptions and Catalog'!$F$54,IF(L723&lt;='Assumptions and Catalog'!$C$55,L723*'Assumptions and Catalog'!$H$55+'Assumptions and Catalog'!$E$55+'Assumptions and Catalog'!$F$55,IF(L723&lt;='Assumptions and Catalog'!$C$56,L723*'Assumptions and Catalog'!$H$56+'Assumptions and Catalog'!$E$56+'Assumptions and Catalog'!$F$56,IF(L723&lt;='Assumptions and Catalog'!$C$57,L723*'Assumptions and Catalog'!$H$57+'Assumptions and Catalog'!$E$57+'Assumptions and Catalog'!$F$57,"Out of range")))))))),IF(L723&lt;='Assumptions and Catalog'!$C$60,L723*'Assumptions and Catalog'!$H$60+'Assumptions and Catalog'!$E$60+'Assumptions and Catalog'!$F$60,IF(L723&lt;='Assumptions and Catalog'!$C$61,L723*'Assumptions and Catalog'!$H$61+'Assumptions and Catalog'!$E$61+'Assumptions and Catalog'!$F$61,IF(L723&lt;='Assumptions and Catalog'!$C$62,L723*'Assumptions and Catalog'!$H$62+'Assumptions and Catalog'!$E$62+'Assumptions and Catalog'!$F$62,IF(L723&lt;='Assumptions and Catalog'!$C$63,L723*'Assumptions and Catalog'!$H$63+'Assumptions and Catalog'!$E$63+'Assumptions and Catalog'!$F$63,IF(L723&lt;='Assumptions and Catalog'!$C$64,L723*'Assumptions and Catalog'!$H$64+'Assumptions and Catalog'!$E$64+'Assumptions and Catalog'!$F$64,IF(L723&lt;='Assumptions and Catalog'!$C$65,L723*'Assumptions and Catalog'!$H$65+'Assumptions and Catalog'!$E$65+'Assumptions and Catalog'!$F$65,"Out of range")))))))))*(1+'Assumptions and Catalog'!$C$8)^(A723-1),0)</f>
        <v>5723.2341816592543</v>
      </c>
      <c r="O723" s="5">
        <f t="shared" si="51"/>
        <v>2831.7324850074128</v>
      </c>
      <c r="P723" s="5">
        <f>E$55*(1-L$14)*(1-'Assumptions and Catalog'!$C$23)^R723</f>
        <v>92.561489592319987</v>
      </c>
      <c r="Q723" s="5">
        <f>IF(ISNUMBER(Inputs!$L$5),(IF(Inputs!$L$9="Actual flat rate",((D723+E723)*C723-G723)*Inputs!$L$10,IF(Inputs!$C$9="Residential",IF(((D723+E723)*C723-G723)&lt;='Assumptions and Catalog'!$C$50,((D723+E723)*C723-G723)*'Assumptions and Catalog'!$H$50+'Assumptions and Catalog'!$E$50+'Assumptions and Catalog'!$F$50,IF(((D723+E723)*C723-G723)&lt;='Assumptions and Catalog'!$C$51,((D723+E723)*C723-G723)*'Assumptions and Catalog'!$H$51+'Assumptions and Catalog'!$E$51+'Assumptions and Catalog'!$F$51,IF(((D723+E723)*C723-G723)&lt;='Assumptions and Catalog'!$C$52,((D723+E723)*C723-G723)*'Assumptions and Catalog'!$H$52+'Assumptions and Catalog'!$E$52+'Assumptions and Catalog'!$F$52,IF(((D723+E723)*C723-G723)&lt;='Assumptions and Catalog'!$C$53,((D723+E723)*C723-G723)*'Assumptions and Catalog'!$H$53+'Assumptions and Catalog'!$E$53+'Assumptions and Catalog'!$F$53,IF(((D723+E723)*C723-G723)&lt;='Assumptions and Catalog'!$C$54,((D723+E723)*C723-G723)*'Assumptions and Catalog'!$H$54+'Assumptions and Catalog'!$E$54+'Assumptions and Catalog'!$F$54,IF(((D723+E723)*C723-G723)&lt;='Assumptions and Catalog'!$C$55,((D723+E723)*C723-G723)*'Assumptions and Catalog'!$H$55+'Assumptions and Catalog'!$E$55+'Assumptions and Catalog'!$F$55,IF(((D723+E723)*C723-G723)&lt;='Assumptions and Catalog'!$C$56,((D723+E723)*C723-G723)*'Assumptions and Catalog'!$H$56+'Assumptions and Catalog'!$E$56+'Assumptions and Catalog'!$F$56,IF(((D723+E723)*C723-G723)&lt;='Assumptions and Catalog'!$C$57,((D723+E723)*C723-G723)*'Assumptions and Catalog'!$H$57+'Assumptions and Catalog'!$E$57+'Assumptions and Catalog'!$F$57,"Out of range")))))))),IF(((D723+E723)*C723-G723)&lt;='Assumptions and Catalog'!$C$60,((D723+E723)*C723-G723)*'Assumptions and Catalog'!$H$60+'Assumptions and Catalog'!$E$60+'Assumptions and Catalog'!$F$60,IF(((D723+E723)*C723-G723)&lt;='Assumptions and Catalog'!$C$61,((D723+E723)*C723-G723)*'Assumptions and Catalog'!$H$61+'Assumptions and Catalog'!$E$61+'Assumptions and Catalog'!$F$61,IF(((D723+E723)*C723-G723)&lt;='Assumptions and Catalog'!$C$62,((D723+E723)*C723-G723)*'Assumptions and Catalog'!$H$62+'Assumptions and Catalog'!$E$62+'Assumptions and Catalog'!$F$62,IF(((D723+E723)*C723-G723)&lt;='Assumptions and Catalog'!$C$63,((D723+E723)*C723-G723)*'Assumptions and Catalog'!$H$63+'Assumptions and Catalog'!$E$63+'Assumptions and Catalog'!$F$63,IF(((D723+E723)*C723-G723)&lt;='Assumptions and Catalog'!$C$64,((D723+E723)*C723-G723)*'Assumptions and Catalog'!$H$64+'Assumptions and Catalog'!$E$64+'Assumptions and Catalog'!$F$64,IF(((D723+E723)*C723-G723)&lt;='Assumptions and Catalog'!$C$65,((D723+E723)*C723-G723)*'Assumptions and Catalog'!$H$65+'Assumptions and Catalog'!$E$65+'Assumptions and Catalog'!$F$65,"Out of range")))))))))*(1+'Assumptions and Catalog'!$C$8)^(A723-1),0)</f>
        <v>5723.2341816592543</v>
      </c>
      <c r="R723" s="5">
        <f>IF(AND('Assumptions and Catalog'!$C$19&gt;0,A723&gt;='Assumptions and Catalog'!$C$19),A723-'Assumptions and Catalog'!$C$19,A723-1)</f>
        <v>5</v>
      </c>
      <c r="S723" s="5">
        <f>F723+L723-(D723+E723)*C723-J723-K723-IF(E$52&gt;0,'Assumptions and Catalog'!$C$26*C723,0)</f>
        <v>0</v>
      </c>
      <c r="T723" s="5"/>
      <c r="U723" s="5"/>
    </row>
    <row r="724" spans="1:21" ht="23.1" customHeight="1" outlineLevel="1" x14ac:dyDescent="0.2">
      <c r="A724" s="5">
        <v>6</v>
      </c>
      <c r="B724" s="5">
        <v>4</v>
      </c>
      <c r="C724" s="5">
        <f>DAY(DATE('Assumptions and Catalog'!$C$24+A724-1,B724+1,0))</f>
        <v>30</v>
      </c>
      <c r="D724" s="5">
        <f>IF(ISNUMBER(Inputs!$L$5),Inputs!$L$5*Inputs!$L$6,0)</f>
        <v>40.35</v>
      </c>
      <c r="E724" s="5">
        <f>IF(ISNUMBER(Inputs!$L$5),Inputs!$L$5-D724,0)</f>
        <v>40.35</v>
      </c>
      <c r="F724" s="5">
        <f>E$51*'Assumptions and Catalog'!$C$31*C724*(1-'Assumptions and Catalog'!$C$10)^(A724-1)</f>
        <v>801.36190044024477</v>
      </c>
      <c r="G724" s="5">
        <f t="shared" si="48"/>
        <v>801.36190044024477</v>
      </c>
      <c r="H724" s="5">
        <f>I724/('Assumptions and Catalog'!$C$11*'Assumptions and Catalog'!$C$12)</f>
        <v>0</v>
      </c>
      <c r="I724" s="5">
        <f>MIN(E724*C724,P724*'Assumptions and Catalog'!$C$12*C724,(F724-G724)*'Assumptions and Catalog'!$C$11*'Assumptions and Catalog'!$C$12,E$56*'Assumptions and Catalog'!$C$14*'Assumptions and Catalog'!$C$11*'Assumptions and Catalog'!$C$12*C724,E$57*(24-'Assumptions and Catalog'!$C$13)*C724)</f>
        <v>0</v>
      </c>
      <c r="J724" s="5">
        <f t="shared" si="49"/>
        <v>0</v>
      </c>
      <c r="K724" s="5">
        <f t="shared" si="50"/>
        <v>0</v>
      </c>
      <c r="L724" s="5">
        <f>(D724+E724)*C724-G724-I724+0+IF(E$52&gt;0,'Assumptions and Catalog'!$C$26*C724,0)</f>
        <v>1619.6380995597551</v>
      </c>
      <c r="M724" s="5">
        <f>IF(ISNUMBER(Inputs!$L$5),(IF(Inputs!$L$9="Actual flat rate",((D724+E724)*C724)*Inputs!$L$10,IF(Inputs!$C$9="Residential",IF(((D724+E724)*C724)&lt;='Assumptions and Catalog'!$C$50,((D724+E724)*C724)*'Assumptions and Catalog'!$H$50+'Assumptions and Catalog'!$E$50+'Assumptions and Catalog'!$F$50,IF(((D724+E724)*C724)&lt;='Assumptions and Catalog'!$C$51,((D724+E724)*C724)*'Assumptions and Catalog'!$H$51+'Assumptions and Catalog'!$E$51+'Assumptions and Catalog'!$F$51,IF(((D724+E724)*C724)&lt;='Assumptions and Catalog'!$C$52,((D724+E724)*C724)*'Assumptions and Catalog'!$H$52+'Assumptions and Catalog'!$E$52+'Assumptions and Catalog'!$F$52,IF(((D724+E724)*C724)&lt;='Assumptions and Catalog'!$C$53,((D724+E724)*C724)*'Assumptions and Catalog'!$H$53+'Assumptions and Catalog'!$E$53+'Assumptions and Catalog'!$F$53,IF(((D724+E724)*C724)&lt;='Assumptions and Catalog'!$C$54,((D724+E724)*C724)*'Assumptions and Catalog'!$H$54+'Assumptions and Catalog'!$E$54+'Assumptions and Catalog'!$F$54,IF(((D724+E724)*C724)&lt;='Assumptions and Catalog'!$C$55,((D724+E724)*C724)*'Assumptions and Catalog'!$H$55+'Assumptions and Catalog'!$E$55+'Assumptions and Catalog'!$F$55,IF(((D724+E724)*C724)&lt;='Assumptions and Catalog'!$C$56,((D724+E724)*C724)*'Assumptions and Catalog'!$H$56+'Assumptions and Catalog'!$E$56+'Assumptions and Catalog'!$F$56,IF(((D724+E724)*C724)&lt;='Assumptions and Catalog'!$C$57,((D724+E724)*C724)*'Assumptions and Catalog'!$H$57+'Assumptions and Catalog'!$E$57+'Assumptions and Catalog'!$F$57,"Out of range")))))))),IF(((D724+E724)*C724)&lt;='Assumptions and Catalog'!$C$60,((D724+E724)*C724)*'Assumptions and Catalog'!$H$60+'Assumptions and Catalog'!$E$60+'Assumptions and Catalog'!$F$60,IF(((D724+E724)*C724)&lt;='Assumptions and Catalog'!$C$61,((D724+E724)*C724)*'Assumptions and Catalog'!$H$61+'Assumptions and Catalog'!$E$61+'Assumptions and Catalog'!$F$61,IF(((D724+E724)*C724)&lt;='Assumptions and Catalog'!$C$62,((D724+E724)*C724)*'Assumptions and Catalog'!$H$62+'Assumptions and Catalog'!$E$62+'Assumptions and Catalog'!$F$62,IF(((D724+E724)*C724)&lt;='Assumptions and Catalog'!$C$63,((D724+E724)*C724)*'Assumptions and Catalog'!$H$63+'Assumptions and Catalog'!$E$63+'Assumptions and Catalog'!$F$63,IF(((D724+E724)*C724)&lt;='Assumptions and Catalog'!$C$64,((D724+E724)*C724)*'Assumptions and Catalog'!$H$64+'Assumptions and Catalog'!$E$64+'Assumptions and Catalog'!$F$64,IF(((D724+E724)*C724)&lt;='Assumptions and Catalog'!$C$65,((D724+E724)*C724)*'Assumptions and Catalog'!$H$65+'Assumptions and Catalog'!$E$65+'Assumptions and Catalog'!$F$65,"Out of range")))))))))*(1+'Assumptions and Catalog'!$C$8)^(A724-1),0)</f>
        <v>8279</v>
      </c>
      <c r="N724" s="5">
        <f>IF(ISNUMBER(Inputs!$L$5),(IF(Inputs!$L$9="Actual flat rate",L724*Inputs!$L$10,IF(Inputs!$C$9="Residential",IF(L724&lt;='Assumptions and Catalog'!$C$50,L724*'Assumptions and Catalog'!$H$50+'Assumptions and Catalog'!$E$50+'Assumptions and Catalog'!$F$50,IF(L724&lt;='Assumptions and Catalog'!$C$51,L724*'Assumptions and Catalog'!$H$51+'Assumptions and Catalog'!$E$51+'Assumptions and Catalog'!$F$51,IF(L724&lt;='Assumptions and Catalog'!$C$52,L724*'Assumptions and Catalog'!$H$52+'Assumptions and Catalog'!$E$52+'Assumptions and Catalog'!$F$52,IF(L724&lt;='Assumptions and Catalog'!$C$53,L724*'Assumptions and Catalog'!$H$53+'Assumptions and Catalog'!$E$53+'Assumptions and Catalog'!$F$53,IF(L724&lt;='Assumptions and Catalog'!$C$54,L724*'Assumptions and Catalog'!$H$54+'Assumptions and Catalog'!$E$54+'Assumptions and Catalog'!$F$54,IF(L724&lt;='Assumptions and Catalog'!$C$55,L724*'Assumptions and Catalog'!$H$55+'Assumptions and Catalog'!$E$55+'Assumptions and Catalog'!$F$55,IF(L724&lt;='Assumptions and Catalog'!$C$56,L724*'Assumptions and Catalog'!$H$56+'Assumptions and Catalog'!$E$56+'Assumptions and Catalog'!$F$56,IF(L724&lt;='Assumptions and Catalog'!$C$57,L724*'Assumptions and Catalog'!$H$57+'Assumptions and Catalog'!$E$57+'Assumptions and Catalog'!$F$57,"Out of range")))))))),IF(L724&lt;='Assumptions and Catalog'!$C$60,L724*'Assumptions and Catalog'!$H$60+'Assumptions and Catalog'!$E$60+'Assumptions and Catalog'!$F$60,IF(L724&lt;='Assumptions and Catalog'!$C$61,L724*'Assumptions and Catalog'!$H$61+'Assumptions and Catalog'!$E$61+'Assumptions and Catalog'!$F$61,IF(L724&lt;='Assumptions and Catalog'!$C$62,L724*'Assumptions and Catalog'!$H$62+'Assumptions and Catalog'!$E$62+'Assumptions and Catalog'!$F$62,IF(L724&lt;='Assumptions and Catalog'!$C$63,L724*'Assumptions and Catalog'!$H$63+'Assumptions and Catalog'!$E$63+'Assumptions and Catalog'!$F$63,IF(L724&lt;='Assumptions and Catalog'!$C$64,L724*'Assumptions and Catalog'!$H$64+'Assumptions and Catalog'!$E$64+'Assumptions and Catalog'!$F$64,IF(L724&lt;='Assumptions and Catalog'!$C$65,L724*'Assumptions and Catalog'!$H$65+'Assumptions and Catalog'!$E$65+'Assumptions and Catalog'!$F$65,"Out of range")))))))))*(1+'Assumptions and Catalog'!$C$8)^(A724-1),0)</f>
        <v>5538.6137241863744</v>
      </c>
      <c r="O724" s="5">
        <f t="shared" si="51"/>
        <v>2740.3862758136256</v>
      </c>
      <c r="P724" s="5">
        <f>E$55*(1-L$14)*(1-'Assumptions and Catalog'!$C$23)^R724</f>
        <v>92.561489592319987</v>
      </c>
      <c r="Q724" s="5">
        <f>IF(ISNUMBER(Inputs!$L$5),(IF(Inputs!$L$9="Actual flat rate",((D724+E724)*C724-G724)*Inputs!$L$10,IF(Inputs!$C$9="Residential",IF(((D724+E724)*C724-G724)&lt;='Assumptions and Catalog'!$C$50,((D724+E724)*C724-G724)*'Assumptions and Catalog'!$H$50+'Assumptions and Catalog'!$E$50+'Assumptions and Catalog'!$F$50,IF(((D724+E724)*C724-G724)&lt;='Assumptions and Catalog'!$C$51,((D724+E724)*C724-G724)*'Assumptions and Catalog'!$H$51+'Assumptions and Catalog'!$E$51+'Assumptions and Catalog'!$F$51,IF(((D724+E724)*C724-G724)&lt;='Assumptions and Catalog'!$C$52,((D724+E724)*C724-G724)*'Assumptions and Catalog'!$H$52+'Assumptions and Catalog'!$E$52+'Assumptions and Catalog'!$F$52,IF(((D724+E724)*C724-G724)&lt;='Assumptions and Catalog'!$C$53,((D724+E724)*C724-G724)*'Assumptions and Catalog'!$H$53+'Assumptions and Catalog'!$E$53+'Assumptions and Catalog'!$F$53,IF(((D724+E724)*C724-G724)&lt;='Assumptions and Catalog'!$C$54,((D724+E724)*C724-G724)*'Assumptions and Catalog'!$H$54+'Assumptions and Catalog'!$E$54+'Assumptions and Catalog'!$F$54,IF(((D724+E724)*C724-G724)&lt;='Assumptions and Catalog'!$C$55,((D724+E724)*C724-G724)*'Assumptions and Catalog'!$H$55+'Assumptions and Catalog'!$E$55+'Assumptions and Catalog'!$F$55,IF(((D724+E724)*C724-G724)&lt;='Assumptions and Catalog'!$C$56,((D724+E724)*C724-G724)*'Assumptions and Catalog'!$H$56+'Assumptions and Catalog'!$E$56+'Assumptions and Catalog'!$F$56,IF(((D724+E724)*C724-G724)&lt;='Assumptions and Catalog'!$C$57,((D724+E724)*C724-G724)*'Assumptions and Catalog'!$H$57+'Assumptions and Catalog'!$E$57+'Assumptions and Catalog'!$F$57,"Out of range")))))))),IF(((D724+E724)*C724-G724)&lt;='Assumptions and Catalog'!$C$60,((D724+E724)*C724-G724)*'Assumptions and Catalog'!$H$60+'Assumptions and Catalog'!$E$60+'Assumptions and Catalog'!$F$60,IF(((D724+E724)*C724-G724)&lt;='Assumptions and Catalog'!$C$61,((D724+E724)*C724-G724)*'Assumptions and Catalog'!$H$61+'Assumptions and Catalog'!$E$61+'Assumptions and Catalog'!$F$61,IF(((D724+E724)*C724-G724)&lt;='Assumptions and Catalog'!$C$62,((D724+E724)*C724-G724)*'Assumptions and Catalog'!$H$62+'Assumptions and Catalog'!$E$62+'Assumptions and Catalog'!$F$62,IF(((D724+E724)*C724-G724)&lt;='Assumptions and Catalog'!$C$63,((D724+E724)*C724-G724)*'Assumptions and Catalog'!$H$63+'Assumptions and Catalog'!$E$63+'Assumptions and Catalog'!$F$63,IF(((D724+E724)*C724-G724)&lt;='Assumptions and Catalog'!$C$64,((D724+E724)*C724-G724)*'Assumptions and Catalog'!$H$64+'Assumptions and Catalog'!$E$64+'Assumptions and Catalog'!$F$64,IF(((D724+E724)*C724-G724)&lt;='Assumptions and Catalog'!$C$65,((D724+E724)*C724-G724)*'Assumptions and Catalog'!$H$65+'Assumptions and Catalog'!$E$65+'Assumptions and Catalog'!$F$65,"Out of range")))))))))*(1+'Assumptions and Catalog'!$C$8)^(A724-1),0)</f>
        <v>5538.6137241863744</v>
      </c>
      <c r="R724" s="5">
        <f>IF(AND('Assumptions and Catalog'!$C$19&gt;0,A724&gt;='Assumptions and Catalog'!$C$19),A724-'Assumptions and Catalog'!$C$19,A724-1)</f>
        <v>5</v>
      </c>
      <c r="S724" s="5">
        <f>F724+L724-(D724+E724)*C724-J724-K724-IF(E$52&gt;0,'Assumptions and Catalog'!$C$26*C724,0)</f>
        <v>0</v>
      </c>
      <c r="T724" s="5"/>
      <c r="U724" s="5"/>
    </row>
    <row r="725" spans="1:21" ht="23.1" customHeight="1" outlineLevel="1" x14ac:dyDescent="0.2">
      <c r="A725" s="5">
        <v>6</v>
      </c>
      <c r="B725" s="5">
        <v>5</v>
      </c>
      <c r="C725" s="5">
        <f>DAY(DATE('Assumptions and Catalog'!$C$24+A725-1,B725+1,0))</f>
        <v>31</v>
      </c>
      <c r="D725" s="5">
        <f>IF(ISNUMBER(Inputs!$L$5),Inputs!$L$5*Inputs!$L$6,0)</f>
        <v>40.35</v>
      </c>
      <c r="E725" s="5">
        <f>IF(ISNUMBER(Inputs!$L$5),Inputs!$L$5-D725,0)</f>
        <v>40.35</v>
      </c>
      <c r="F725" s="5">
        <f>E$51*'Assumptions and Catalog'!$C$31*C725*(1-'Assumptions and Catalog'!$C$10)^(A725-1)</f>
        <v>828.07396378825297</v>
      </c>
      <c r="G725" s="5">
        <f t="shared" ref="G725:G788" si="52">MIN(F725,D725*C725)</f>
        <v>828.07396378825297</v>
      </c>
      <c r="H725" s="5">
        <f>I725/('Assumptions and Catalog'!$C$11*'Assumptions and Catalog'!$C$12)</f>
        <v>0</v>
      </c>
      <c r="I725" s="5">
        <f>MIN(E725*C725,P725*'Assumptions and Catalog'!$C$12*C725,(F725-G725)*'Assumptions and Catalog'!$C$11*'Assumptions and Catalog'!$C$12,E$56*'Assumptions and Catalog'!$C$14*'Assumptions and Catalog'!$C$11*'Assumptions and Catalog'!$C$12*C725,E$57*(24-'Assumptions and Catalog'!$C$13)*C725)</f>
        <v>0</v>
      </c>
      <c r="J725" s="5">
        <f t="shared" ref="J725:J788" si="53">MAX(F725-G725-H725,0)</f>
        <v>0</v>
      </c>
      <c r="K725" s="5">
        <f t="shared" ref="K725:K788" si="54">H725-I725</f>
        <v>0</v>
      </c>
      <c r="L725" s="5">
        <f>(D725+E725)*C725-G725-I725+0+IF(E$52&gt;0,'Assumptions and Catalog'!$C$26*C725,0)</f>
        <v>1673.6260362117473</v>
      </c>
      <c r="M725" s="5">
        <f>IF(ISNUMBER(Inputs!$L$5),(IF(Inputs!$L$9="Actual flat rate",((D725+E725)*C725)*Inputs!$L$10,IF(Inputs!$C$9="Residential",IF(((D725+E725)*C725)&lt;='Assumptions and Catalog'!$C$50,((D725+E725)*C725)*'Assumptions and Catalog'!$H$50+'Assumptions and Catalog'!$E$50+'Assumptions and Catalog'!$F$50,IF(((D725+E725)*C725)&lt;='Assumptions and Catalog'!$C$51,((D725+E725)*C725)*'Assumptions and Catalog'!$H$51+'Assumptions and Catalog'!$E$51+'Assumptions and Catalog'!$F$51,IF(((D725+E725)*C725)&lt;='Assumptions and Catalog'!$C$52,((D725+E725)*C725)*'Assumptions and Catalog'!$H$52+'Assumptions and Catalog'!$E$52+'Assumptions and Catalog'!$F$52,IF(((D725+E725)*C725)&lt;='Assumptions and Catalog'!$C$53,((D725+E725)*C725)*'Assumptions and Catalog'!$H$53+'Assumptions and Catalog'!$E$53+'Assumptions and Catalog'!$F$53,IF(((D725+E725)*C725)&lt;='Assumptions and Catalog'!$C$54,((D725+E725)*C725)*'Assumptions and Catalog'!$H$54+'Assumptions and Catalog'!$E$54+'Assumptions and Catalog'!$F$54,IF(((D725+E725)*C725)&lt;='Assumptions and Catalog'!$C$55,((D725+E725)*C725)*'Assumptions and Catalog'!$H$55+'Assumptions and Catalog'!$E$55+'Assumptions and Catalog'!$F$55,IF(((D725+E725)*C725)&lt;='Assumptions and Catalog'!$C$56,((D725+E725)*C725)*'Assumptions and Catalog'!$H$56+'Assumptions and Catalog'!$E$56+'Assumptions and Catalog'!$F$56,IF(((D725+E725)*C725)&lt;='Assumptions and Catalog'!$C$57,((D725+E725)*C725)*'Assumptions and Catalog'!$H$57+'Assumptions and Catalog'!$E$57+'Assumptions and Catalog'!$F$57,"Out of range")))))))),IF(((D725+E725)*C725)&lt;='Assumptions and Catalog'!$C$60,((D725+E725)*C725)*'Assumptions and Catalog'!$H$60+'Assumptions and Catalog'!$E$60+'Assumptions and Catalog'!$F$60,IF(((D725+E725)*C725)&lt;='Assumptions and Catalog'!$C$61,((D725+E725)*C725)*'Assumptions and Catalog'!$H$61+'Assumptions and Catalog'!$E$61+'Assumptions and Catalog'!$F$61,IF(((D725+E725)*C725)&lt;='Assumptions and Catalog'!$C$62,((D725+E725)*C725)*'Assumptions and Catalog'!$H$62+'Assumptions and Catalog'!$E$62+'Assumptions and Catalog'!$F$62,IF(((D725+E725)*C725)&lt;='Assumptions and Catalog'!$C$63,((D725+E725)*C725)*'Assumptions and Catalog'!$H$63+'Assumptions and Catalog'!$E$63+'Assumptions and Catalog'!$F$63,IF(((D725+E725)*C725)&lt;='Assumptions and Catalog'!$C$64,((D725+E725)*C725)*'Assumptions and Catalog'!$H$64+'Assumptions and Catalog'!$E$64+'Assumptions and Catalog'!$F$64,IF(((D725+E725)*C725)&lt;='Assumptions and Catalog'!$C$65,((D725+E725)*C725)*'Assumptions and Catalog'!$H$65+'Assumptions and Catalog'!$E$65+'Assumptions and Catalog'!$F$65,"Out of range")))))))))*(1+'Assumptions and Catalog'!$C$8)^(A725-1),0)</f>
        <v>8554.9666666666672</v>
      </c>
      <c r="N725" s="5">
        <f>IF(ISNUMBER(Inputs!$L$5),(IF(Inputs!$L$9="Actual flat rate",L725*Inputs!$L$10,IF(Inputs!$C$9="Residential",IF(L725&lt;='Assumptions and Catalog'!$C$50,L725*'Assumptions and Catalog'!$H$50+'Assumptions and Catalog'!$E$50+'Assumptions and Catalog'!$F$50,IF(L725&lt;='Assumptions and Catalog'!$C$51,L725*'Assumptions and Catalog'!$H$51+'Assumptions and Catalog'!$E$51+'Assumptions and Catalog'!$F$51,IF(L725&lt;='Assumptions and Catalog'!$C$52,L725*'Assumptions and Catalog'!$H$52+'Assumptions and Catalog'!$E$52+'Assumptions and Catalog'!$F$52,IF(L725&lt;='Assumptions and Catalog'!$C$53,L725*'Assumptions and Catalog'!$H$53+'Assumptions and Catalog'!$E$53+'Assumptions and Catalog'!$F$53,IF(L725&lt;='Assumptions and Catalog'!$C$54,L725*'Assumptions and Catalog'!$H$54+'Assumptions and Catalog'!$E$54+'Assumptions and Catalog'!$F$54,IF(L725&lt;='Assumptions and Catalog'!$C$55,L725*'Assumptions and Catalog'!$H$55+'Assumptions and Catalog'!$E$55+'Assumptions and Catalog'!$F$55,IF(L725&lt;='Assumptions and Catalog'!$C$56,L725*'Assumptions and Catalog'!$H$56+'Assumptions and Catalog'!$E$56+'Assumptions and Catalog'!$F$56,IF(L725&lt;='Assumptions and Catalog'!$C$57,L725*'Assumptions and Catalog'!$H$57+'Assumptions and Catalog'!$E$57+'Assumptions and Catalog'!$F$57,"Out of range")))))))),IF(L725&lt;='Assumptions and Catalog'!$C$60,L725*'Assumptions and Catalog'!$H$60+'Assumptions and Catalog'!$E$60+'Assumptions and Catalog'!$F$60,IF(L725&lt;='Assumptions and Catalog'!$C$61,L725*'Assumptions and Catalog'!$H$61+'Assumptions and Catalog'!$E$61+'Assumptions and Catalog'!$F$61,IF(L725&lt;='Assumptions and Catalog'!$C$62,L725*'Assumptions and Catalog'!$H$62+'Assumptions and Catalog'!$E$62+'Assumptions and Catalog'!$F$62,IF(L725&lt;='Assumptions and Catalog'!$C$63,L725*'Assumptions and Catalog'!$H$63+'Assumptions and Catalog'!$E$63+'Assumptions and Catalog'!$F$63,IF(L725&lt;='Assumptions and Catalog'!$C$64,L725*'Assumptions and Catalog'!$H$64+'Assumptions and Catalog'!$E$64+'Assumptions and Catalog'!$F$64,IF(L725&lt;='Assumptions and Catalog'!$C$65,L725*'Assumptions and Catalog'!$H$65+'Assumptions and Catalog'!$E$65+'Assumptions and Catalog'!$F$65,"Out of range")))))))))*(1+'Assumptions and Catalog'!$C$8)^(A725-1),0)</f>
        <v>5723.2341816592543</v>
      </c>
      <c r="O725" s="5">
        <f t="shared" ref="O725:O788" si="55">M725-N725</f>
        <v>2831.7324850074128</v>
      </c>
      <c r="P725" s="5">
        <f>E$55*(1-L$14)*(1-'Assumptions and Catalog'!$C$23)^R725</f>
        <v>92.561489592319987</v>
      </c>
      <c r="Q725" s="5">
        <f>IF(ISNUMBER(Inputs!$L$5),(IF(Inputs!$L$9="Actual flat rate",((D725+E725)*C725-G725)*Inputs!$L$10,IF(Inputs!$C$9="Residential",IF(((D725+E725)*C725-G725)&lt;='Assumptions and Catalog'!$C$50,((D725+E725)*C725-G725)*'Assumptions and Catalog'!$H$50+'Assumptions and Catalog'!$E$50+'Assumptions and Catalog'!$F$50,IF(((D725+E725)*C725-G725)&lt;='Assumptions and Catalog'!$C$51,((D725+E725)*C725-G725)*'Assumptions and Catalog'!$H$51+'Assumptions and Catalog'!$E$51+'Assumptions and Catalog'!$F$51,IF(((D725+E725)*C725-G725)&lt;='Assumptions and Catalog'!$C$52,((D725+E725)*C725-G725)*'Assumptions and Catalog'!$H$52+'Assumptions and Catalog'!$E$52+'Assumptions and Catalog'!$F$52,IF(((D725+E725)*C725-G725)&lt;='Assumptions and Catalog'!$C$53,((D725+E725)*C725-G725)*'Assumptions and Catalog'!$H$53+'Assumptions and Catalog'!$E$53+'Assumptions and Catalog'!$F$53,IF(((D725+E725)*C725-G725)&lt;='Assumptions and Catalog'!$C$54,((D725+E725)*C725-G725)*'Assumptions and Catalog'!$H$54+'Assumptions and Catalog'!$E$54+'Assumptions and Catalog'!$F$54,IF(((D725+E725)*C725-G725)&lt;='Assumptions and Catalog'!$C$55,((D725+E725)*C725-G725)*'Assumptions and Catalog'!$H$55+'Assumptions and Catalog'!$E$55+'Assumptions and Catalog'!$F$55,IF(((D725+E725)*C725-G725)&lt;='Assumptions and Catalog'!$C$56,((D725+E725)*C725-G725)*'Assumptions and Catalog'!$H$56+'Assumptions and Catalog'!$E$56+'Assumptions and Catalog'!$F$56,IF(((D725+E725)*C725-G725)&lt;='Assumptions and Catalog'!$C$57,((D725+E725)*C725-G725)*'Assumptions and Catalog'!$H$57+'Assumptions and Catalog'!$E$57+'Assumptions and Catalog'!$F$57,"Out of range")))))))),IF(((D725+E725)*C725-G725)&lt;='Assumptions and Catalog'!$C$60,((D725+E725)*C725-G725)*'Assumptions and Catalog'!$H$60+'Assumptions and Catalog'!$E$60+'Assumptions and Catalog'!$F$60,IF(((D725+E725)*C725-G725)&lt;='Assumptions and Catalog'!$C$61,((D725+E725)*C725-G725)*'Assumptions and Catalog'!$H$61+'Assumptions and Catalog'!$E$61+'Assumptions and Catalog'!$F$61,IF(((D725+E725)*C725-G725)&lt;='Assumptions and Catalog'!$C$62,((D725+E725)*C725-G725)*'Assumptions and Catalog'!$H$62+'Assumptions and Catalog'!$E$62+'Assumptions and Catalog'!$F$62,IF(((D725+E725)*C725-G725)&lt;='Assumptions and Catalog'!$C$63,((D725+E725)*C725-G725)*'Assumptions and Catalog'!$H$63+'Assumptions and Catalog'!$E$63+'Assumptions and Catalog'!$F$63,IF(((D725+E725)*C725-G725)&lt;='Assumptions and Catalog'!$C$64,((D725+E725)*C725-G725)*'Assumptions and Catalog'!$H$64+'Assumptions and Catalog'!$E$64+'Assumptions and Catalog'!$F$64,IF(((D725+E725)*C725-G725)&lt;='Assumptions and Catalog'!$C$65,((D725+E725)*C725-G725)*'Assumptions and Catalog'!$H$65+'Assumptions and Catalog'!$E$65+'Assumptions and Catalog'!$F$65,"Out of range")))))))))*(1+'Assumptions and Catalog'!$C$8)^(A725-1),0)</f>
        <v>5723.2341816592543</v>
      </c>
      <c r="R725" s="5">
        <f>IF(AND('Assumptions and Catalog'!$C$19&gt;0,A725&gt;='Assumptions and Catalog'!$C$19),A725-'Assumptions and Catalog'!$C$19,A725-1)</f>
        <v>5</v>
      </c>
      <c r="S725" s="5">
        <f>F725+L725-(D725+E725)*C725-J725-K725-IF(E$52&gt;0,'Assumptions and Catalog'!$C$26*C725,0)</f>
        <v>0</v>
      </c>
      <c r="T725" s="5"/>
      <c r="U725" s="5"/>
    </row>
    <row r="726" spans="1:21" ht="23.1" customHeight="1" outlineLevel="1" x14ac:dyDescent="0.2">
      <c r="A726" s="5">
        <v>6</v>
      </c>
      <c r="B726" s="5">
        <v>6</v>
      </c>
      <c r="C726" s="5">
        <f>DAY(DATE('Assumptions and Catalog'!$C$24+A726-1,B726+1,0))</f>
        <v>30</v>
      </c>
      <c r="D726" s="5">
        <f>IF(ISNUMBER(Inputs!$L$5),Inputs!$L$5*Inputs!$L$6,0)</f>
        <v>40.35</v>
      </c>
      <c r="E726" s="5">
        <f>IF(ISNUMBER(Inputs!$L$5),Inputs!$L$5-D726,0)</f>
        <v>40.35</v>
      </c>
      <c r="F726" s="5">
        <f>E$51*'Assumptions and Catalog'!$C$31*C726*(1-'Assumptions and Catalog'!$C$10)^(A726-1)</f>
        <v>801.36190044024477</v>
      </c>
      <c r="G726" s="5">
        <f t="shared" si="52"/>
        <v>801.36190044024477</v>
      </c>
      <c r="H726" s="5">
        <f>I726/('Assumptions and Catalog'!$C$11*'Assumptions and Catalog'!$C$12)</f>
        <v>0</v>
      </c>
      <c r="I726" s="5">
        <f>MIN(E726*C726,P726*'Assumptions and Catalog'!$C$12*C726,(F726-G726)*'Assumptions and Catalog'!$C$11*'Assumptions and Catalog'!$C$12,E$56*'Assumptions and Catalog'!$C$14*'Assumptions and Catalog'!$C$11*'Assumptions and Catalog'!$C$12*C726,E$57*(24-'Assumptions and Catalog'!$C$13)*C726)</f>
        <v>0</v>
      </c>
      <c r="J726" s="5">
        <f t="shared" si="53"/>
        <v>0</v>
      </c>
      <c r="K726" s="5">
        <f t="shared" si="54"/>
        <v>0</v>
      </c>
      <c r="L726" s="5">
        <f>(D726+E726)*C726-G726-I726+0+IF(E$52&gt;0,'Assumptions and Catalog'!$C$26*C726,0)</f>
        <v>1619.6380995597551</v>
      </c>
      <c r="M726" s="5">
        <f>IF(ISNUMBER(Inputs!$L$5),(IF(Inputs!$L$9="Actual flat rate",((D726+E726)*C726)*Inputs!$L$10,IF(Inputs!$C$9="Residential",IF(((D726+E726)*C726)&lt;='Assumptions and Catalog'!$C$50,((D726+E726)*C726)*'Assumptions and Catalog'!$H$50+'Assumptions and Catalog'!$E$50+'Assumptions and Catalog'!$F$50,IF(((D726+E726)*C726)&lt;='Assumptions and Catalog'!$C$51,((D726+E726)*C726)*'Assumptions and Catalog'!$H$51+'Assumptions and Catalog'!$E$51+'Assumptions and Catalog'!$F$51,IF(((D726+E726)*C726)&lt;='Assumptions and Catalog'!$C$52,((D726+E726)*C726)*'Assumptions and Catalog'!$H$52+'Assumptions and Catalog'!$E$52+'Assumptions and Catalog'!$F$52,IF(((D726+E726)*C726)&lt;='Assumptions and Catalog'!$C$53,((D726+E726)*C726)*'Assumptions and Catalog'!$H$53+'Assumptions and Catalog'!$E$53+'Assumptions and Catalog'!$F$53,IF(((D726+E726)*C726)&lt;='Assumptions and Catalog'!$C$54,((D726+E726)*C726)*'Assumptions and Catalog'!$H$54+'Assumptions and Catalog'!$E$54+'Assumptions and Catalog'!$F$54,IF(((D726+E726)*C726)&lt;='Assumptions and Catalog'!$C$55,((D726+E726)*C726)*'Assumptions and Catalog'!$H$55+'Assumptions and Catalog'!$E$55+'Assumptions and Catalog'!$F$55,IF(((D726+E726)*C726)&lt;='Assumptions and Catalog'!$C$56,((D726+E726)*C726)*'Assumptions and Catalog'!$H$56+'Assumptions and Catalog'!$E$56+'Assumptions and Catalog'!$F$56,IF(((D726+E726)*C726)&lt;='Assumptions and Catalog'!$C$57,((D726+E726)*C726)*'Assumptions and Catalog'!$H$57+'Assumptions and Catalog'!$E$57+'Assumptions and Catalog'!$F$57,"Out of range")))))))),IF(((D726+E726)*C726)&lt;='Assumptions and Catalog'!$C$60,((D726+E726)*C726)*'Assumptions and Catalog'!$H$60+'Assumptions and Catalog'!$E$60+'Assumptions and Catalog'!$F$60,IF(((D726+E726)*C726)&lt;='Assumptions and Catalog'!$C$61,((D726+E726)*C726)*'Assumptions and Catalog'!$H$61+'Assumptions and Catalog'!$E$61+'Assumptions and Catalog'!$F$61,IF(((D726+E726)*C726)&lt;='Assumptions and Catalog'!$C$62,((D726+E726)*C726)*'Assumptions and Catalog'!$H$62+'Assumptions and Catalog'!$E$62+'Assumptions and Catalog'!$F$62,IF(((D726+E726)*C726)&lt;='Assumptions and Catalog'!$C$63,((D726+E726)*C726)*'Assumptions and Catalog'!$H$63+'Assumptions and Catalog'!$E$63+'Assumptions and Catalog'!$F$63,IF(((D726+E726)*C726)&lt;='Assumptions and Catalog'!$C$64,((D726+E726)*C726)*'Assumptions and Catalog'!$H$64+'Assumptions and Catalog'!$E$64+'Assumptions and Catalog'!$F$64,IF(((D726+E726)*C726)&lt;='Assumptions and Catalog'!$C$65,((D726+E726)*C726)*'Assumptions and Catalog'!$H$65+'Assumptions and Catalog'!$E$65+'Assumptions and Catalog'!$F$65,"Out of range")))))))))*(1+'Assumptions and Catalog'!$C$8)^(A726-1),0)</f>
        <v>8279</v>
      </c>
      <c r="N726" s="5">
        <f>IF(ISNUMBER(Inputs!$L$5),(IF(Inputs!$L$9="Actual flat rate",L726*Inputs!$L$10,IF(Inputs!$C$9="Residential",IF(L726&lt;='Assumptions and Catalog'!$C$50,L726*'Assumptions and Catalog'!$H$50+'Assumptions and Catalog'!$E$50+'Assumptions and Catalog'!$F$50,IF(L726&lt;='Assumptions and Catalog'!$C$51,L726*'Assumptions and Catalog'!$H$51+'Assumptions and Catalog'!$E$51+'Assumptions and Catalog'!$F$51,IF(L726&lt;='Assumptions and Catalog'!$C$52,L726*'Assumptions and Catalog'!$H$52+'Assumptions and Catalog'!$E$52+'Assumptions and Catalog'!$F$52,IF(L726&lt;='Assumptions and Catalog'!$C$53,L726*'Assumptions and Catalog'!$H$53+'Assumptions and Catalog'!$E$53+'Assumptions and Catalog'!$F$53,IF(L726&lt;='Assumptions and Catalog'!$C$54,L726*'Assumptions and Catalog'!$H$54+'Assumptions and Catalog'!$E$54+'Assumptions and Catalog'!$F$54,IF(L726&lt;='Assumptions and Catalog'!$C$55,L726*'Assumptions and Catalog'!$H$55+'Assumptions and Catalog'!$E$55+'Assumptions and Catalog'!$F$55,IF(L726&lt;='Assumptions and Catalog'!$C$56,L726*'Assumptions and Catalog'!$H$56+'Assumptions and Catalog'!$E$56+'Assumptions and Catalog'!$F$56,IF(L726&lt;='Assumptions and Catalog'!$C$57,L726*'Assumptions and Catalog'!$H$57+'Assumptions and Catalog'!$E$57+'Assumptions and Catalog'!$F$57,"Out of range")))))))),IF(L726&lt;='Assumptions and Catalog'!$C$60,L726*'Assumptions and Catalog'!$H$60+'Assumptions and Catalog'!$E$60+'Assumptions and Catalog'!$F$60,IF(L726&lt;='Assumptions and Catalog'!$C$61,L726*'Assumptions and Catalog'!$H$61+'Assumptions and Catalog'!$E$61+'Assumptions and Catalog'!$F$61,IF(L726&lt;='Assumptions and Catalog'!$C$62,L726*'Assumptions and Catalog'!$H$62+'Assumptions and Catalog'!$E$62+'Assumptions and Catalog'!$F$62,IF(L726&lt;='Assumptions and Catalog'!$C$63,L726*'Assumptions and Catalog'!$H$63+'Assumptions and Catalog'!$E$63+'Assumptions and Catalog'!$F$63,IF(L726&lt;='Assumptions and Catalog'!$C$64,L726*'Assumptions and Catalog'!$H$64+'Assumptions and Catalog'!$E$64+'Assumptions and Catalog'!$F$64,IF(L726&lt;='Assumptions and Catalog'!$C$65,L726*'Assumptions and Catalog'!$H$65+'Assumptions and Catalog'!$E$65+'Assumptions and Catalog'!$F$65,"Out of range")))))))))*(1+'Assumptions and Catalog'!$C$8)^(A726-1),0)</f>
        <v>5538.6137241863744</v>
      </c>
      <c r="O726" s="5">
        <f t="shared" si="55"/>
        <v>2740.3862758136256</v>
      </c>
      <c r="P726" s="5">
        <f>E$55*(1-L$14)*(1-'Assumptions and Catalog'!$C$23)^R726</f>
        <v>92.561489592319987</v>
      </c>
      <c r="Q726" s="5">
        <f>IF(ISNUMBER(Inputs!$L$5),(IF(Inputs!$L$9="Actual flat rate",((D726+E726)*C726-G726)*Inputs!$L$10,IF(Inputs!$C$9="Residential",IF(((D726+E726)*C726-G726)&lt;='Assumptions and Catalog'!$C$50,((D726+E726)*C726-G726)*'Assumptions and Catalog'!$H$50+'Assumptions and Catalog'!$E$50+'Assumptions and Catalog'!$F$50,IF(((D726+E726)*C726-G726)&lt;='Assumptions and Catalog'!$C$51,((D726+E726)*C726-G726)*'Assumptions and Catalog'!$H$51+'Assumptions and Catalog'!$E$51+'Assumptions and Catalog'!$F$51,IF(((D726+E726)*C726-G726)&lt;='Assumptions and Catalog'!$C$52,((D726+E726)*C726-G726)*'Assumptions and Catalog'!$H$52+'Assumptions and Catalog'!$E$52+'Assumptions and Catalog'!$F$52,IF(((D726+E726)*C726-G726)&lt;='Assumptions and Catalog'!$C$53,((D726+E726)*C726-G726)*'Assumptions and Catalog'!$H$53+'Assumptions and Catalog'!$E$53+'Assumptions and Catalog'!$F$53,IF(((D726+E726)*C726-G726)&lt;='Assumptions and Catalog'!$C$54,((D726+E726)*C726-G726)*'Assumptions and Catalog'!$H$54+'Assumptions and Catalog'!$E$54+'Assumptions and Catalog'!$F$54,IF(((D726+E726)*C726-G726)&lt;='Assumptions and Catalog'!$C$55,((D726+E726)*C726-G726)*'Assumptions and Catalog'!$H$55+'Assumptions and Catalog'!$E$55+'Assumptions and Catalog'!$F$55,IF(((D726+E726)*C726-G726)&lt;='Assumptions and Catalog'!$C$56,((D726+E726)*C726-G726)*'Assumptions and Catalog'!$H$56+'Assumptions and Catalog'!$E$56+'Assumptions and Catalog'!$F$56,IF(((D726+E726)*C726-G726)&lt;='Assumptions and Catalog'!$C$57,((D726+E726)*C726-G726)*'Assumptions and Catalog'!$H$57+'Assumptions and Catalog'!$E$57+'Assumptions and Catalog'!$F$57,"Out of range")))))))),IF(((D726+E726)*C726-G726)&lt;='Assumptions and Catalog'!$C$60,((D726+E726)*C726-G726)*'Assumptions and Catalog'!$H$60+'Assumptions and Catalog'!$E$60+'Assumptions and Catalog'!$F$60,IF(((D726+E726)*C726-G726)&lt;='Assumptions and Catalog'!$C$61,((D726+E726)*C726-G726)*'Assumptions and Catalog'!$H$61+'Assumptions and Catalog'!$E$61+'Assumptions and Catalog'!$F$61,IF(((D726+E726)*C726-G726)&lt;='Assumptions and Catalog'!$C$62,((D726+E726)*C726-G726)*'Assumptions and Catalog'!$H$62+'Assumptions and Catalog'!$E$62+'Assumptions and Catalog'!$F$62,IF(((D726+E726)*C726-G726)&lt;='Assumptions and Catalog'!$C$63,((D726+E726)*C726-G726)*'Assumptions and Catalog'!$H$63+'Assumptions and Catalog'!$E$63+'Assumptions and Catalog'!$F$63,IF(((D726+E726)*C726-G726)&lt;='Assumptions and Catalog'!$C$64,((D726+E726)*C726-G726)*'Assumptions and Catalog'!$H$64+'Assumptions and Catalog'!$E$64+'Assumptions and Catalog'!$F$64,IF(((D726+E726)*C726-G726)&lt;='Assumptions and Catalog'!$C$65,((D726+E726)*C726-G726)*'Assumptions and Catalog'!$H$65+'Assumptions and Catalog'!$E$65+'Assumptions and Catalog'!$F$65,"Out of range")))))))))*(1+'Assumptions and Catalog'!$C$8)^(A726-1),0)</f>
        <v>5538.6137241863744</v>
      </c>
      <c r="R726" s="5">
        <f>IF(AND('Assumptions and Catalog'!$C$19&gt;0,A726&gt;='Assumptions and Catalog'!$C$19),A726-'Assumptions and Catalog'!$C$19,A726-1)</f>
        <v>5</v>
      </c>
      <c r="S726" s="5">
        <f>F726+L726-(D726+E726)*C726-J726-K726-IF(E$52&gt;0,'Assumptions and Catalog'!$C$26*C726,0)</f>
        <v>0</v>
      </c>
      <c r="T726" s="5"/>
      <c r="U726" s="5"/>
    </row>
    <row r="727" spans="1:21" ht="23.1" customHeight="1" outlineLevel="1" x14ac:dyDescent="0.2">
      <c r="A727" s="5">
        <v>6</v>
      </c>
      <c r="B727" s="5">
        <v>7</v>
      </c>
      <c r="C727" s="5">
        <f>DAY(DATE('Assumptions and Catalog'!$C$24+A727-1,B727+1,0))</f>
        <v>31</v>
      </c>
      <c r="D727" s="5">
        <f>IF(ISNUMBER(Inputs!$L$5),Inputs!$L$5*Inputs!$L$6,0)</f>
        <v>40.35</v>
      </c>
      <c r="E727" s="5">
        <f>IF(ISNUMBER(Inputs!$L$5),Inputs!$L$5-D727,0)</f>
        <v>40.35</v>
      </c>
      <c r="F727" s="5">
        <f>E$51*'Assumptions and Catalog'!$C$31*C727*(1-'Assumptions and Catalog'!$C$10)^(A727-1)</f>
        <v>828.07396378825297</v>
      </c>
      <c r="G727" s="5">
        <f t="shared" si="52"/>
        <v>828.07396378825297</v>
      </c>
      <c r="H727" s="5">
        <f>I727/('Assumptions and Catalog'!$C$11*'Assumptions and Catalog'!$C$12)</f>
        <v>0</v>
      </c>
      <c r="I727" s="5">
        <f>MIN(E727*C727,P727*'Assumptions and Catalog'!$C$12*C727,(F727-G727)*'Assumptions and Catalog'!$C$11*'Assumptions and Catalog'!$C$12,E$56*'Assumptions and Catalog'!$C$14*'Assumptions and Catalog'!$C$11*'Assumptions and Catalog'!$C$12*C727,E$57*(24-'Assumptions and Catalog'!$C$13)*C727)</f>
        <v>0</v>
      </c>
      <c r="J727" s="5">
        <f t="shared" si="53"/>
        <v>0</v>
      </c>
      <c r="K727" s="5">
        <f t="shared" si="54"/>
        <v>0</v>
      </c>
      <c r="L727" s="5">
        <f>(D727+E727)*C727-G727-I727+0+IF(E$52&gt;0,'Assumptions and Catalog'!$C$26*C727,0)</f>
        <v>1673.6260362117473</v>
      </c>
      <c r="M727" s="5">
        <f>IF(ISNUMBER(Inputs!$L$5),(IF(Inputs!$L$9="Actual flat rate",((D727+E727)*C727)*Inputs!$L$10,IF(Inputs!$C$9="Residential",IF(((D727+E727)*C727)&lt;='Assumptions and Catalog'!$C$50,((D727+E727)*C727)*'Assumptions and Catalog'!$H$50+'Assumptions and Catalog'!$E$50+'Assumptions and Catalog'!$F$50,IF(((D727+E727)*C727)&lt;='Assumptions and Catalog'!$C$51,((D727+E727)*C727)*'Assumptions and Catalog'!$H$51+'Assumptions and Catalog'!$E$51+'Assumptions and Catalog'!$F$51,IF(((D727+E727)*C727)&lt;='Assumptions and Catalog'!$C$52,((D727+E727)*C727)*'Assumptions and Catalog'!$H$52+'Assumptions and Catalog'!$E$52+'Assumptions and Catalog'!$F$52,IF(((D727+E727)*C727)&lt;='Assumptions and Catalog'!$C$53,((D727+E727)*C727)*'Assumptions and Catalog'!$H$53+'Assumptions and Catalog'!$E$53+'Assumptions and Catalog'!$F$53,IF(((D727+E727)*C727)&lt;='Assumptions and Catalog'!$C$54,((D727+E727)*C727)*'Assumptions and Catalog'!$H$54+'Assumptions and Catalog'!$E$54+'Assumptions and Catalog'!$F$54,IF(((D727+E727)*C727)&lt;='Assumptions and Catalog'!$C$55,((D727+E727)*C727)*'Assumptions and Catalog'!$H$55+'Assumptions and Catalog'!$E$55+'Assumptions and Catalog'!$F$55,IF(((D727+E727)*C727)&lt;='Assumptions and Catalog'!$C$56,((D727+E727)*C727)*'Assumptions and Catalog'!$H$56+'Assumptions and Catalog'!$E$56+'Assumptions and Catalog'!$F$56,IF(((D727+E727)*C727)&lt;='Assumptions and Catalog'!$C$57,((D727+E727)*C727)*'Assumptions and Catalog'!$H$57+'Assumptions and Catalog'!$E$57+'Assumptions and Catalog'!$F$57,"Out of range")))))))),IF(((D727+E727)*C727)&lt;='Assumptions and Catalog'!$C$60,((D727+E727)*C727)*'Assumptions and Catalog'!$H$60+'Assumptions and Catalog'!$E$60+'Assumptions and Catalog'!$F$60,IF(((D727+E727)*C727)&lt;='Assumptions and Catalog'!$C$61,((D727+E727)*C727)*'Assumptions and Catalog'!$H$61+'Assumptions and Catalog'!$E$61+'Assumptions and Catalog'!$F$61,IF(((D727+E727)*C727)&lt;='Assumptions and Catalog'!$C$62,((D727+E727)*C727)*'Assumptions and Catalog'!$H$62+'Assumptions and Catalog'!$E$62+'Assumptions and Catalog'!$F$62,IF(((D727+E727)*C727)&lt;='Assumptions and Catalog'!$C$63,((D727+E727)*C727)*'Assumptions and Catalog'!$H$63+'Assumptions and Catalog'!$E$63+'Assumptions and Catalog'!$F$63,IF(((D727+E727)*C727)&lt;='Assumptions and Catalog'!$C$64,((D727+E727)*C727)*'Assumptions and Catalog'!$H$64+'Assumptions and Catalog'!$E$64+'Assumptions and Catalog'!$F$64,IF(((D727+E727)*C727)&lt;='Assumptions and Catalog'!$C$65,((D727+E727)*C727)*'Assumptions and Catalog'!$H$65+'Assumptions and Catalog'!$E$65+'Assumptions and Catalog'!$F$65,"Out of range")))))))))*(1+'Assumptions and Catalog'!$C$8)^(A727-1),0)</f>
        <v>8554.9666666666672</v>
      </c>
      <c r="N727" s="5">
        <f>IF(ISNUMBER(Inputs!$L$5),(IF(Inputs!$L$9="Actual flat rate",L727*Inputs!$L$10,IF(Inputs!$C$9="Residential",IF(L727&lt;='Assumptions and Catalog'!$C$50,L727*'Assumptions and Catalog'!$H$50+'Assumptions and Catalog'!$E$50+'Assumptions and Catalog'!$F$50,IF(L727&lt;='Assumptions and Catalog'!$C$51,L727*'Assumptions and Catalog'!$H$51+'Assumptions and Catalog'!$E$51+'Assumptions and Catalog'!$F$51,IF(L727&lt;='Assumptions and Catalog'!$C$52,L727*'Assumptions and Catalog'!$H$52+'Assumptions and Catalog'!$E$52+'Assumptions and Catalog'!$F$52,IF(L727&lt;='Assumptions and Catalog'!$C$53,L727*'Assumptions and Catalog'!$H$53+'Assumptions and Catalog'!$E$53+'Assumptions and Catalog'!$F$53,IF(L727&lt;='Assumptions and Catalog'!$C$54,L727*'Assumptions and Catalog'!$H$54+'Assumptions and Catalog'!$E$54+'Assumptions and Catalog'!$F$54,IF(L727&lt;='Assumptions and Catalog'!$C$55,L727*'Assumptions and Catalog'!$H$55+'Assumptions and Catalog'!$E$55+'Assumptions and Catalog'!$F$55,IF(L727&lt;='Assumptions and Catalog'!$C$56,L727*'Assumptions and Catalog'!$H$56+'Assumptions and Catalog'!$E$56+'Assumptions and Catalog'!$F$56,IF(L727&lt;='Assumptions and Catalog'!$C$57,L727*'Assumptions and Catalog'!$H$57+'Assumptions and Catalog'!$E$57+'Assumptions and Catalog'!$F$57,"Out of range")))))))),IF(L727&lt;='Assumptions and Catalog'!$C$60,L727*'Assumptions and Catalog'!$H$60+'Assumptions and Catalog'!$E$60+'Assumptions and Catalog'!$F$60,IF(L727&lt;='Assumptions and Catalog'!$C$61,L727*'Assumptions and Catalog'!$H$61+'Assumptions and Catalog'!$E$61+'Assumptions and Catalog'!$F$61,IF(L727&lt;='Assumptions and Catalog'!$C$62,L727*'Assumptions and Catalog'!$H$62+'Assumptions and Catalog'!$E$62+'Assumptions and Catalog'!$F$62,IF(L727&lt;='Assumptions and Catalog'!$C$63,L727*'Assumptions and Catalog'!$H$63+'Assumptions and Catalog'!$E$63+'Assumptions and Catalog'!$F$63,IF(L727&lt;='Assumptions and Catalog'!$C$64,L727*'Assumptions and Catalog'!$H$64+'Assumptions and Catalog'!$E$64+'Assumptions and Catalog'!$F$64,IF(L727&lt;='Assumptions and Catalog'!$C$65,L727*'Assumptions and Catalog'!$H$65+'Assumptions and Catalog'!$E$65+'Assumptions and Catalog'!$F$65,"Out of range")))))))))*(1+'Assumptions and Catalog'!$C$8)^(A727-1),0)</f>
        <v>5723.2341816592543</v>
      </c>
      <c r="O727" s="5">
        <f t="shared" si="55"/>
        <v>2831.7324850074128</v>
      </c>
      <c r="P727" s="5">
        <f>E$55*(1-L$14)*(1-'Assumptions and Catalog'!$C$23)^R727</f>
        <v>92.561489592319987</v>
      </c>
      <c r="Q727" s="5">
        <f>IF(ISNUMBER(Inputs!$L$5),(IF(Inputs!$L$9="Actual flat rate",((D727+E727)*C727-G727)*Inputs!$L$10,IF(Inputs!$C$9="Residential",IF(((D727+E727)*C727-G727)&lt;='Assumptions and Catalog'!$C$50,((D727+E727)*C727-G727)*'Assumptions and Catalog'!$H$50+'Assumptions and Catalog'!$E$50+'Assumptions and Catalog'!$F$50,IF(((D727+E727)*C727-G727)&lt;='Assumptions and Catalog'!$C$51,((D727+E727)*C727-G727)*'Assumptions and Catalog'!$H$51+'Assumptions and Catalog'!$E$51+'Assumptions and Catalog'!$F$51,IF(((D727+E727)*C727-G727)&lt;='Assumptions and Catalog'!$C$52,((D727+E727)*C727-G727)*'Assumptions and Catalog'!$H$52+'Assumptions and Catalog'!$E$52+'Assumptions and Catalog'!$F$52,IF(((D727+E727)*C727-G727)&lt;='Assumptions and Catalog'!$C$53,((D727+E727)*C727-G727)*'Assumptions and Catalog'!$H$53+'Assumptions and Catalog'!$E$53+'Assumptions and Catalog'!$F$53,IF(((D727+E727)*C727-G727)&lt;='Assumptions and Catalog'!$C$54,((D727+E727)*C727-G727)*'Assumptions and Catalog'!$H$54+'Assumptions and Catalog'!$E$54+'Assumptions and Catalog'!$F$54,IF(((D727+E727)*C727-G727)&lt;='Assumptions and Catalog'!$C$55,((D727+E727)*C727-G727)*'Assumptions and Catalog'!$H$55+'Assumptions and Catalog'!$E$55+'Assumptions and Catalog'!$F$55,IF(((D727+E727)*C727-G727)&lt;='Assumptions and Catalog'!$C$56,((D727+E727)*C727-G727)*'Assumptions and Catalog'!$H$56+'Assumptions and Catalog'!$E$56+'Assumptions and Catalog'!$F$56,IF(((D727+E727)*C727-G727)&lt;='Assumptions and Catalog'!$C$57,((D727+E727)*C727-G727)*'Assumptions and Catalog'!$H$57+'Assumptions and Catalog'!$E$57+'Assumptions and Catalog'!$F$57,"Out of range")))))))),IF(((D727+E727)*C727-G727)&lt;='Assumptions and Catalog'!$C$60,((D727+E727)*C727-G727)*'Assumptions and Catalog'!$H$60+'Assumptions and Catalog'!$E$60+'Assumptions and Catalog'!$F$60,IF(((D727+E727)*C727-G727)&lt;='Assumptions and Catalog'!$C$61,((D727+E727)*C727-G727)*'Assumptions and Catalog'!$H$61+'Assumptions and Catalog'!$E$61+'Assumptions and Catalog'!$F$61,IF(((D727+E727)*C727-G727)&lt;='Assumptions and Catalog'!$C$62,((D727+E727)*C727-G727)*'Assumptions and Catalog'!$H$62+'Assumptions and Catalog'!$E$62+'Assumptions and Catalog'!$F$62,IF(((D727+E727)*C727-G727)&lt;='Assumptions and Catalog'!$C$63,((D727+E727)*C727-G727)*'Assumptions and Catalog'!$H$63+'Assumptions and Catalog'!$E$63+'Assumptions and Catalog'!$F$63,IF(((D727+E727)*C727-G727)&lt;='Assumptions and Catalog'!$C$64,((D727+E727)*C727-G727)*'Assumptions and Catalog'!$H$64+'Assumptions and Catalog'!$E$64+'Assumptions and Catalog'!$F$64,IF(((D727+E727)*C727-G727)&lt;='Assumptions and Catalog'!$C$65,((D727+E727)*C727-G727)*'Assumptions and Catalog'!$H$65+'Assumptions and Catalog'!$E$65+'Assumptions and Catalog'!$F$65,"Out of range")))))))))*(1+'Assumptions and Catalog'!$C$8)^(A727-1),0)</f>
        <v>5723.2341816592543</v>
      </c>
      <c r="R727" s="5">
        <f>IF(AND('Assumptions and Catalog'!$C$19&gt;0,A727&gt;='Assumptions and Catalog'!$C$19),A727-'Assumptions and Catalog'!$C$19,A727-1)</f>
        <v>5</v>
      </c>
      <c r="S727" s="5">
        <f>F727+L727-(D727+E727)*C727-J727-K727-IF(E$52&gt;0,'Assumptions and Catalog'!$C$26*C727,0)</f>
        <v>0</v>
      </c>
      <c r="T727" s="5"/>
      <c r="U727" s="5"/>
    </row>
    <row r="728" spans="1:21" ht="23.1" customHeight="1" outlineLevel="1" x14ac:dyDescent="0.2">
      <c r="A728" s="5">
        <v>6</v>
      </c>
      <c r="B728" s="5">
        <v>8</v>
      </c>
      <c r="C728" s="5">
        <f>DAY(DATE('Assumptions and Catalog'!$C$24+A728-1,B728+1,0))</f>
        <v>31</v>
      </c>
      <c r="D728" s="5">
        <f>IF(ISNUMBER(Inputs!$L$5),Inputs!$L$5*Inputs!$L$6,0)</f>
        <v>40.35</v>
      </c>
      <c r="E728" s="5">
        <f>IF(ISNUMBER(Inputs!$L$5),Inputs!$L$5-D728,0)</f>
        <v>40.35</v>
      </c>
      <c r="F728" s="5">
        <f>E$51*'Assumptions and Catalog'!$C$31*C728*(1-'Assumptions and Catalog'!$C$10)^(A728-1)</f>
        <v>828.07396378825297</v>
      </c>
      <c r="G728" s="5">
        <f t="shared" si="52"/>
        <v>828.07396378825297</v>
      </c>
      <c r="H728" s="5">
        <f>I728/('Assumptions and Catalog'!$C$11*'Assumptions and Catalog'!$C$12)</f>
        <v>0</v>
      </c>
      <c r="I728" s="5">
        <f>MIN(E728*C728,P728*'Assumptions and Catalog'!$C$12*C728,(F728-G728)*'Assumptions and Catalog'!$C$11*'Assumptions and Catalog'!$C$12,E$56*'Assumptions and Catalog'!$C$14*'Assumptions and Catalog'!$C$11*'Assumptions and Catalog'!$C$12*C728,E$57*(24-'Assumptions and Catalog'!$C$13)*C728)</f>
        <v>0</v>
      </c>
      <c r="J728" s="5">
        <f t="shared" si="53"/>
        <v>0</v>
      </c>
      <c r="K728" s="5">
        <f t="shared" si="54"/>
        <v>0</v>
      </c>
      <c r="L728" s="5">
        <f>(D728+E728)*C728-G728-I728+0+IF(E$52&gt;0,'Assumptions and Catalog'!$C$26*C728,0)</f>
        <v>1673.6260362117473</v>
      </c>
      <c r="M728" s="5">
        <f>IF(ISNUMBER(Inputs!$L$5),(IF(Inputs!$L$9="Actual flat rate",((D728+E728)*C728)*Inputs!$L$10,IF(Inputs!$C$9="Residential",IF(((D728+E728)*C728)&lt;='Assumptions and Catalog'!$C$50,((D728+E728)*C728)*'Assumptions and Catalog'!$H$50+'Assumptions and Catalog'!$E$50+'Assumptions and Catalog'!$F$50,IF(((D728+E728)*C728)&lt;='Assumptions and Catalog'!$C$51,((D728+E728)*C728)*'Assumptions and Catalog'!$H$51+'Assumptions and Catalog'!$E$51+'Assumptions and Catalog'!$F$51,IF(((D728+E728)*C728)&lt;='Assumptions and Catalog'!$C$52,((D728+E728)*C728)*'Assumptions and Catalog'!$H$52+'Assumptions and Catalog'!$E$52+'Assumptions and Catalog'!$F$52,IF(((D728+E728)*C728)&lt;='Assumptions and Catalog'!$C$53,((D728+E728)*C728)*'Assumptions and Catalog'!$H$53+'Assumptions and Catalog'!$E$53+'Assumptions and Catalog'!$F$53,IF(((D728+E728)*C728)&lt;='Assumptions and Catalog'!$C$54,((D728+E728)*C728)*'Assumptions and Catalog'!$H$54+'Assumptions and Catalog'!$E$54+'Assumptions and Catalog'!$F$54,IF(((D728+E728)*C728)&lt;='Assumptions and Catalog'!$C$55,((D728+E728)*C728)*'Assumptions and Catalog'!$H$55+'Assumptions and Catalog'!$E$55+'Assumptions and Catalog'!$F$55,IF(((D728+E728)*C728)&lt;='Assumptions and Catalog'!$C$56,((D728+E728)*C728)*'Assumptions and Catalog'!$H$56+'Assumptions and Catalog'!$E$56+'Assumptions and Catalog'!$F$56,IF(((D728+E728)*C728)&lt;='Assumptions and Catalog'!$C$57,((D728+E728)*C728)*'Assumptions and Catalog'!$H$57+'Assumptions and Catalog'!$E$57+'Assumptions and Catalog'!$F$57,"Out of range")))))))),IF(((D728+E728)*C728)&lt;='Assumptions and Catalog'!$C$60,((D728+E728)*C728)*'Assumptions and Catalog'!$H$60+'Assumptions and Catalog'!$E$60+'Assumptions and Catalog'!$F$60,IF(((D728+E728)*C728)&lt;='Assumptions and Catalog'!$C$61,((D728+E728)*C728)*'Assumptions and Catalog'!$H$61+'Assumptions and Catalog'!$E$61+'Assumptions and Catalog'!$F$61,IF(((D728+E728)*C728)&lt;='Assumptions and Catalog'!$C$62,((D728+E728)*C728)*'Assumptions and Catalog'!$H$62+'Assumptions and Catalog'!$E$62+'Assumptions and Catalog'!$F$62,IF(((D728+E728)*C728)&lt;='Assumptions and Catalog'!$C$63,((D728+E728)*C728)*'Assumptions and Catalog'!$H$63+'Assumptions and Catalog'!$E$63+'Assumptions and Catalog'!$F$63,IF(((D728+E728)*C728)&lt;='Assumptions and Catalog'!$C$64,((D728+E728)*C728)*'Assumptions and Catalog'!$H$64+'Assumptions and Catalog'!$E$64+'Assumptions and Catalog'!$F$64,IF(((D728+E728)*C728)&lt;='Assumptions and Catalog'!$C$65,((D728+E728)*C728)*'Assumptions and Catalog'!$H$65+'Assumptions and Catalog'!$E$65+'Assumptions and Catalog'!$F$65,"Out of range")))))))))*(1+'Assumptions and Catalog'!$C$8)^(A728-1),0)</f>
        <v>8554.9666666666672</v>
      </c>
      <c r="N728" s="5">
        <f>IF(ISNUMBER(Inputs!$L$5),(IF(Inputs!$L$9="Actual flat rate",L728*Inputs!$L$10,IF(Inputs!$C$9="Residential",IF(L728&lt;='Assumptions and Catalog'!$C$50,L728*'Assumptions and Catalog'!$H$50+'Assumptions and Catalog'!$E$50+'Assumptions and Catalog'!$F$50,IF(L728&lt;='Assumptions and Catalog'!$C$51,L728*'Assumptions and Catalog'!$H$51+'Assumptions and Catalog'!$E$51+'Assumptions and Catalog'!$F$51,IF(L728&lt;='Assumptions and Catalog'!$C$52,L728*'Assumptions and Catalog'!$H$52+'Assumptions and Catalog'!$E$52+'Assumptions and Catalog'!$F$52,IF(L728&lt;='Assumptions and Catalog'!$C$53,L728*'Assumptions and Catalog'!$H$53+'Assumptions and Catalog'!$E$53+'Assumptions and Catalog'!$F$53,IF(L728&lt;='Assumptions and Catalog'!$C$54,L728*'Assumptions and Catalog'!$H$54+'Assumptions and Catalog'!$E$54+'Assumptions and Catalog'!$F$54,IF(L728&lt;='Assumptions and Catalog'!$C$55,L728*'Assumptions and Catalog'!$H$55+'Assumptions and Catalog'!$E$55+'Assumptions and Catalog'!$F$55,IF(L728&lt;='Assumptions and Catalog'!$C$56,L728*'Assumptions and Catalog'!$H$56+'Assumptions and Catalog'!$E$56+'Assumptions and Catalog'!$F$56,IF(L728&lt;='Assumptions and Catalog'!$C$57,L728*'Assumptions and Catalog'!$H$57+'Assumptions and Catalog'!$E$57+'Assumptions and Catalog'!$F$57,"Out of range")))))))),IF(L728&lt;='Assumptions and Catalog'!$C$60,L728*'Assumptions and Catalog'!$H$60+'Assumptions and Catalog'!$E$60+'Assumptions and Catalog'!$F$60,IF(L728&lt;='Assumptions and Catalog'!$C$61,L728*'Assumptions and Catalog'!$H$61+'Assumptions and Catalog'!$E$61+'Assumptions and Catalog'!$F$61,IF(L728&lt;='Assumptions and Catalog'!$C$62,L728*'Assumptions and Catalog'!$H$62+'Assumptions and Catalog'!$E$62+'Assumptions and Catalog'!$F$62,IF(L728&lt;='Assumptions and Catalog'!$C$63,L728*'Assumptions and Catalog'!$H$63+'Assumptions and Catalog'!$E$63+'Assumptions and Catalog'!$F$63,IF(L728&lt;='Assumptions and Catalog'!$C$64,L728*'Assumptions and Catalog'!$H$64+'Assumptions and Catalog'!$E$64+'Assumptions and Catalog'!$F$64,IF(L728&lt;='Assumptions and Catalog'!$C$65,L728*'Assumptions and Catalog'!$H$65+'Assumptions and Catalog'!$E$65+'Assumptions and Catalog'!$F$65,"Out of range")))))))))*(1+'Assumptions and Catalog'!$C$8)^(A728-1),0)</f>
        <v>5723.2341816592543</v>
      </c>
      <c r="O728" s="5">
        <f t="shared" si="55"/>
        <v>2831.7324850074128</v>
      </c>
      <c r="P728" s="5">
        <f>E$55*(1-L$14)*(1-'Assumptions and Catalog'!$C$23)^R728</f>
        <v>92.561489592319987</v>
      </c>
      <c r="Q728" s="5">
        <f>IF(ISNUMBER(Inputs!$L$5),(IF(Inputs!$L$9="Actual flat rate",((D728+E728)*C728-G728)*Inputs!$L$10,IF(Inputs!$C$9="Residential",IF(((D728+E728)*C728-G728)&lt;='Assumptions and Catalog'!$C$50,((D728+E728)*C728-G728)*'Assumptions and Catalog'!$H$50+'Assumptions and Catalog'!$E$50+'Assumptions and Catalog'!$F$50,IF(((D728+E728)*C728-G728)&lt;='Assumptions and Catalog'!$C$51,((D728+E728)*C728-G728)*'Assumptions and Catalog'!$H$51+'Assumptions and Catalog'!$E$51+'Assumptions and Catalog'!$F$51,IF(((D728+E728)*C728-G728)&lt;='Assumptions and Catalog'!$C$52,((D728+E728)*C728-G728)*'Assumptions and Catalog'!$H$52+'Assumptions and Catalog'!$E$52+'Assumptions and Catalog'!$F$52,IF(((D728+E728)*C728-G728)&lt;='Assumptions and Catalog'!$C$53,((D728+E728)*C728-G728)*'Assumptions and Catalog'!$H$53+'Assumptions and Catalog'!$E$53+'Assumptions and Catalog'!$F$53,IF(((D728+E728)*C728-G728)&lt;='Assumptions and Catalog'!$C$54,((D728+E728)*C728-G728)*'Assumptions and Catalog'!$H$54+'Assumptions and Catalog'!$E$54+'Assumptions and Catalog'!$F$54,IF(((D728+E728)*C728-G728)&lt;='Assumptions and Catalog'!$C$55,((D728+E728)*C728-G728)*'Assumptions and Catalog'!$H$55+'Assumptions and Catalog'!$E$55+'Assumptions and Catalog'!$F$55,IF(((D728+E728)*C728-G728)&lt;='Assumptions and Catalog'!$C$56,((D728+E728)*C728-G728)*'Assumptions and Catalog'!$H$56+'Assumptions and Catalog'!$E$56+'Assumptions and Catalog'!$F$56,IF(((D728+E728)*C728-G728)&lt;='Assumptions and Catalog'!$C$57,((D728+E728)*C728-G728)*'Assumptions and Catalog'!$H$57+'Assumptions and Catalog'!$E$57+'Assumptions and Catalog'!$F$57,"Out of range")))))))),IF(((D728+E728)*C728-G728)&lt;='Assumptions and Catalog'!$C$60,((D728+E728)*C728-G728)*'Assumptions and Catalog'!$H$60+'Assumptions and Catalog'!$E$60+'Assumptions and Catalog'!$F$60,IF(((D728+E728)*C728-G728)&lt;='Assumptions and Catalog'!$C$61,((D728+E728)*C728-G728)*'Assumptions and Catalog'!$H$61+'Assumptions and Catalog'!$E$61+'Assumptions and Catalog'!$F$61,IF(((D728+E728)*C728-G728)&lt;='Assumptions and Catalog'!$C$62,((D728+E728)*C728-G728)*'Assumptions and Catalog'!$H$62+'Assumptions and Catalog'!$E$62+'Assumptions and Catalog'!$F$62,IF(((D728+E728)*C728-G728)&lt;='Assumptions and Catalog'!$C$63,((D728+E728)*C728-G728)*'Assumptions and Catalog'!$H$63+'Assumptions and Catalog'!$E$63+'Assumptions and Catalog'!$F$63,IF(((D728+E728)*C728-G728)&lt;='Assumptions and Catalog'!$C$64,((D728+E728)*C728-G728)*'Assumptions and Catalog'!$H$64+'Assumptions and Catalog'!$E$64+'Assumptions and Catalog'!$F$64,IF(((D728+E728)*C728-G728)&lt;='Assumptions and Catalog'!$C$65,((D728+E728)*C728-G728)*'Assumptions and Catalog'!$H$65+'Assumptions and Catalog'!$E$65+'Assumptions and Catalog'!$F$65,"Out of range")))))))))*(1+'Assumptions and Catalog'!$C$8)^(A728-1),0)</f>
        <v>5723.2341816592543</v>
      </c>
      <c r="R728" s="5">
        <f>IF(AND('Assumptions and Catalog'!$C$19&gt;0,A728&gt;='Assumptions and Catalog'!$C$19),A728-'Assumptions and Catalog'!$C$19,A728-1)</f>
        <v>5</v>
      </c>
      <c r="S728" s="5">
        <f>F728+L728-(D728+E728)*C728-J728-K728-IF(E$52&gt;0,'Assumptions and Catalog'!$C$26*C728,0)</f>
        <v>0</v>
      </c>
      <c r="T728" s="5"/>
      <c r="U728" s="5"/>
    </row>
    <row r="729" spans="1:21" ht="23.1" customHeight="1" outlineLevel="1" x14ac:dyDescent="0.2">
      <c r="A729" s="5">
        <v>6</v>
      </c>
      <c r="B729" s="5">
        <v>9</v>
      </c>
      <c r="C729" s="5">
        <f>DAY(DATE('Assumptions and Catalog'!$C$24+A729-1,B729+1,0))</f>
        <v>30</v>
      </c>
      <c r="D729" s="5">
        <f>IF(ISNUMBER(Inputs!$L$5),Inputs!$L$5*Inputs!$L$6,0)</f>
        <v>40.35</v>
      </c>
      <c r="E729" s="5">
        <f>IF(ISNUMBER(Inputs!$L$5),Inputs!$L$5-D729,0)</f>
        <v>40.35</v>
      </c>
      <c r="F729" s="5">
        <f>E$51*'Assumptions and Catalog'!$C$31*C729*(1-'Assumptions and Catalog'!$C$10)^(A729-1)</f>
        <v>801.36190044024477</v>
      </c>
      <c r="G729" s="5">
        <f t="shared" si="52"/>
        <v>801.36190044024477</v>
      </c>
      <c r="H729" s="5">
        <f>I729/('Assumptions and Catalog'!$C$11*'Assumptions and Catalog'!$C$12)</f>
        <v>0</v>
      </c>
      <c r="I729" s="5">
        <f>MIN(E729*C729,P729*'Assumptions and Catalog'!$C$12*C729,(F729-G729)*'Assumptions and Catalog'!$C$11*'Assumptions and Catalog'!$C$12,E$56*'Assumptions and Catalog'!$C$14*'Assumptions and Catalog'!$C$11*'Assumptions and Catalog'!$C$12*C729,E$57*(24-'Assumptions and Catalog'!$C$13)*C729)</f>
        <v>0</v>
      </c>
      <c r="J729" s="5">
        <f t="shared" si="53"/>
        <v>0</v>
      </c>
      <c r="K729" s="5">
        <f t="shared" si="54"/>
        <v>0</v>
      </c>
      <c r="L729" s="5">
        <f>(D729+E729)*C729-G729-I729+0+IF(E$52&gt;0,'Assumptions and Catalog'!$C$26*C729,0)</f>
        <v>1619.6380995597551</v>
      </c>
      <c r="M729" s="5">
        <f>IF(ISNUMBER(Inputs!$L$5),(IF(Inputs!$L$9="Actual flat rate",((D729+E729)*C729)*Inputs!$L$10,IF(Inputs!$C$9="Residential",IF(((D729+E729)*C729)&lt;='Assumptions and Catalog'!$C$50,((D729+E729)*C729)*'Assumptions and Catalog'!$H$50+'Assumptions and Catalog'!$E$50+'Assumptions and Catalog'!$F$50,IF(((D729+E729)*C729)&lt;='Assumptions and Catalog'!$C$51,((D729+E729)*C729)*'Assumptions and Catalog'!$H$51+'Assumptions and Catalog'!$E$51+'Assumptions and Catalog'!$F$51,IF(((D729+E729)*C729)&lt;='Assumptions and Catalog'!$C$52,((D729+E729)*C729)*'Assumptions and Catalog'!$H$52+'Assumptions and Catalog'!$E$52+'Assumptions and Catalog'!$F$52,IF(((D729+E729)*C729)&lt;='Assumptions and Catalog'!$C$53,((D729+E729)*C729)*'Assumptions and Catalog'!$H$53+'Assumptions and Catalog'!$E$53+'Assumptions and Catalog'!$F$53,IF(((D729+E729)*C729)&lt;='Assumptions and Catalog'!$C$54,((D729+E729)*C729)*'Assumptions and Catalog'!$H$54+'Assumptions and Catalog'!$E$54+'Assumptions and Catalog'!$F$54,IF(((D729+E729)*C729)&lt;='Assumptions and Catalog'!$C$55,((D729+E729)*C729)*'Assumptions and Catalog'!$H$55+'Assumptions and Catalog'!$E$55+'Assumptions and Catalog'!$F$55,IF(((D729+E729)*C729)&lt;='Assumptions and Catalog'!$C$56,((D729+E729)*C729)*'Assumptions and Catalog'!$H$56+'Assumptions and Catalog'!$E$56+'Assumptions and Catalog'!$F$56,IF(((D729+E729)*C729)&lt;='Assumptions and Catalog'!$C$57,((D729+E729)*C729)*'Assumptions and Catalog'!$H$57+'Assumptions and Catalog'!$E$57+'Assumptions and Catalog'!$F$57,"Out of range")))))))),IF(((D729+E729)*C729)&lt;='Assumptions and Catalog'!$C$60,((D729+E729)*C729)*'Assumptions and Catalog'!$H$60+'Assumptions and Catalog'!$E$60+'Assumptions and Catalog'!$F$60,IF(((D729+E729)*C729)&lt;='Assumptions and Catalog'!$C$61,((D729+E729)*C729)*'Assumptions and Catalog'!$H$61+'Assumptions and Catalog'!$E$61+'Assumptions and Catalog'!$F$61,IF(((D729+E729)*C729)&lt;='Assumptions and Catalog'!$C$62,((D729+E729)*C729)*'Assumptions and Catalog'!$H$62+'Assumptions and Catalog'!$E$62+'Assumptions and Catalog'!$F$62,IF(((D729+E729)*C729)&lt;='Assumptions and Catalog'!$C$63,((D729+E729)*C729)*'Assumptions and Catalog'!$H$63+'Assumptions and Catalog'!$E$63+'Assumptions and Catalog'!$F$63,IF(((D729+E729)*C729)&lt;='Assumptions and Catalog'!$C$64,((D729+E729)*C729)*'Assumptions and Catalog'!$H$64+'Assumptions and Catalog'!$E$64+'Assumptions and Catalog'!$F$64,IF(((D729+E729)*C729)&lt;='Assumptions and Catalog'!$C$65,((D729+E729)*C729)*'Assumptions and Catalog'!$H$65+'Assumptions and Catalog'!$E$65+'Assumptions and Catalog'!$F$65,"Out of range")))))))))*(1+'Assumptions and Catalog'!$C$8)^(A729-1),0)</f>
        <v>8279</v>
      </c>
      <c r="N729" s="5">
        <f>IF(ISNUMBER(Inputs!$L$5),(IF(Inputs!$L$9="Actual flat rate",L729*Inputs!$L$10,IF(Inputs!$C$9="Residential",IF(L729&lt;='Assumptions and Catalog'!$C$50,L729*'Assumptions and Catalog'!$H$50+'Assumptions and Catalog'!$E$50+'Assumptions and Catalog'!$F$50,IF(L729&lt;='Assumptions and Catalog'!$C$51,L729*'Assumptions and Catalog'!$H$51+'Assumptions and Catalog'!$E$51+'Assumptions and Catalog'!$F$51,IF(L729&lt;='Assumptions and Catalog'!$C$52,L729*'Assumptions and Catalog'!$H$52+'Assumptions and Catalog'!$E$52+'Assumptions and Catalog'!$F$52,IF(L729&lt;='Assumptions and Catalog'!$C$53,L729*'Assumptions and Catalog'!$H$53+'Assumptions and Catalog'!$E$53+'Assumptions and Catalog'!$F$53,IF(L729&lt;='Assumptions and Catalog'!$C$54,L729*'Assumptions and Catalog'!$H$54+'Assumptions and Catalog'!$E$54+'Assumptions and Catalog'!$F$54,IF(L729&lt;='Assumptions and Catalog'!$C$55,L729*'Assumptions and Catalog'!$H$55+'Assumptions and Catalog'!$E$55+'Assumptions and Catalog'!$F$55,IF(L729&lt;='Assumptions and Catalog'!$C$56,L729*'Assumptions and Catalog'!$H$56+'Assumptions and Catalog'!$E$56+'Assumptions and Catalog'!$F$56,IF(L729&lt;='Assumptions and Catalog'!$C$57,L729*'Assumptions and Catalog'!$H$57+'Assumptions and Catalog'!$E$57+'Assumptions and Catalog'!$F$57,"Out of range")))))))),IF(L729&lt;='Assumptions and Catalog'!$C$60,L729*'Assumptions and Catalog'!$H$60+'Assumptions and Catalog'!$E$60+'Assumptions and Catalog'!$F$60,IF(L729&lt;='Assumptions and Catalog'!$C$61,L729*'Assumptions and Catalog'!$H$61+'Assumptions and Catalog'!$E$61+'Assumptions and Catalog'!$F$61,IF(L729&lt;='Assumptions and Catalog'!$C$62,L729*'Assumptions and Catalog'!$H$62+'Assumptions and Catalog'!$E$62+'Assumptions and Catalog'!$F$62,IF(L729&lt;='Assumptions and Catalog'!$C$63,L729*'Assumptions and Catalog'!$H$63+'Assumptions and Catalog'!$E$63+'Assumptions and Catalog'!$F$63,IF(L729&lt;='Assumptions and Catalog'!$C$64,L729*'Assumptions and Catalog'!$H$64+'Assumptions and Catalog'!$E$64+'Assumptions and Catalog'!$F$64,IF(L729&lt;='Assumptions and Catalog'!$C$65,L729*'Assumptions and Catalog'!$H$65+'Assumptions and Catalog'!$E$65+'Assumptions and Catalog'!$F$65,"Out of range")))))))))*(1+'Assumptions and Catalog'!$C$8)^(A729-1),0)</f>
        <v>5538.6137241863744</v>
      </c>
      <c r="O729" s="5">
        <f t="shared" si="55"/>
        <v>2740.3862758136256</v>
      </c>
      <c r="P729" s="5">
        <f>E$55*(1-L$14)*(1-'Assumptions and Catalog'!$C$23)^R729</f>
        <v>92.561489592319987</v>
      </c>
      <c r="Q729" s="5">
        <f>IF(ISNUMBER(Inputs!$L$5),(IF(Inputs!$L$9="Actual flat rate",((D729+E729)*C729-G729)*Inputs!$L$10,IF(Inputs!$C$9="Residential",IF(((D729+E729)*C729-G729)&lt;='Assumptions and Catalog'!$C$50,((D729+E729)*C729-G729)*'Assumptions and Catalog'!$H$50+'Assumptions and Catalog'!$E$50+'Assumptions and Catalog'!$F$50,IF(((D729+E729)*C729-G729)&lt;='Assumptions and Catalog'!$C$51,((D729+E729)*C729-G729)*'Assumptions and Catalog'!$H$51+'Assumptions and Catalog'!$E$51+'Assumptions and Catalog'!$F$51,IF(((D729+E729)*C729-G729)&lt;='Assumptions and Catalog'!$C$52,((D729+E729)*C729-G729)*'Assumptions and Catalog'!$H$52+'Assumptions and Catalog'!$E$52+'Assumptions and Catalog'!$F$52,IF(((D729+E729)*C729-G729)&lt;='Assumptions and Catalog'!$C$53,((D729+E729)*C729-G729)*'Assumptions and Catalog'!$H$53+'Assumptions and Catalog'!$E$53+'Assumptions and Catalog'!$F$53,IF(((D729+E729)*C729-G729)&lt;='Assumptions and Catalog'!$C$54,((D729+E729)*C729-G729)*'Assumptions and Catalog'!$H$54+'Assumptions and Catalog'!$E$54+'Assumptions and Catalog'!$F$54,IF(((D729+E729)*C729-G729)&lt;='Assumptions and Catalog'!$C$55,((D729+E729)*C729-G729)*'Assumptions and Catalog'!$H$55+'Assumptions and Catalog'!$E$55+'Assumptions and Catalog'!$F$55,IF(((D729+E729)*C729-G729)&lt;='Assumptions and Catalog'!$C$56,((D729+E729)*C729-G729)*'Assumptions and Catalog'!$H$56+'Assumptions and Catalog'!$E$56+'Assumptions and Catalog'!$F$56,IF(((D729+E729)*C729-G729)&lt;='Assumptions and Catalog'!$C$57,((D729+E729)*C729-G729)*'Assumptions and Catalog'!$H$57+'Assumptions and Catalog'!$E$57+'Assumptions and Catalog'!$F$57,"Out of range")))))))),IF(((D729+E729)*C729-G729)&lt;='Assumptions and Catalog'!$C$60,((D729+E729)*C729-G729)*'Assumptions and Catalog'!$H$60+'Assumptions and Catalog'!$E$60+'Assumptions and Catalog'!$F$60,IF(((D729+E729)*C729-G729)&lt;='Assumptions and Catalog'!$C$61,((D729+E729)*C729-G729)*'Assumptions and Catalog'!$H$61+'Assumptions and Catalog'!$E$61+'Assumptions and Catalog'!$F$61,IF(((D729+E729)*C729-G729)&lt;='Assumptions and Catalog'!$C$62,((D729+E729)*C729-G729)*'Assumptions and Catalog'!$H$62+'Assumptions and Catalog'!$E$62+'Assumptions and Catalog'!$F$62,IF(((D729+E729)*C729-G729)&lt;='Assumptions and Catalog'!$C$63,((D729+E729)*C729-G729)*'Assumptions and Catalog'!$H$63+'Assumptions and Catalog'!$E$63+'Assumptions and Catalog'!$F$63,IF(((D729+E729)*C729-G729)&lt;='Assumptions and Catalog'!$C$64,((D729+E729)*C729-G729)*'Assumptions and Catalog'!$H$64+'Assumptions and Catalog'!$E$64+'Assumptions and Catalog'!$F$64,IF(((D729+E729)*C729-G729)&lt;='Assumptions and Catalog'!$C$65,((D729+E729)*C729-G729)*'Assumptions and Catalog'!$H$65+'Assumptions and Catalog'!$E$65+'Assumptions and Catalog'!$F$65,"Out of range")))))))))*(1+'Assumptions and Catalog'!$C$8)^(A729-1),0)</f>
        <v>5538.6137241863744</v>
      </c>
      <c r="R729" s="5">
        <f>IF(AND('Assumptions and Catalog'!$C$19&gt;0,A729&gt;='Assumptions and Catalog'!$C$19),A729-'Assumptions and Catalog'!$C$19,A729-1)</f>
        <v>5</v>
      </c>
      <c r="S729" s="5">
        <f>F729+L729-(D729+E729)*C729-J729-K729-IF(E$52&gt;0,'Assumptions and Catalog'!$C$26*C729,0)</f>
        <v>0</v>
      </c>
      <c r="T729" s="5"/>
      <c r="U729" s="5"/>
    </row>
    <row r="730" spans="1:21" ht="23.1" customHeight="1" outlineLevel="1" x14ac:dyDescent="0.2">
      <c r="A730" s="5">
        <v>6</v>
      </c>
      <c r="B730" s="5">
        <v>10</v>
      </c>
      <c r="C730" s="5">
        <f>DAY(DATE('Assumptions and Catalog'!$C$24+A730-1,B730+1,0))</f>
        <v>31</v>
      </c>
      <c r="D730" s="5">
        <f>IF(ISNUMBER(Inputs!$L$5),Inputs!$L$5*Inputs!$L$6,0)</f>
        <v>40.35</v>
      </c>
      <c r="E730" s="5">
        <f>IF(ISNUMBER(Inputs!$L$5),Inputs!$L$5-D730,0)</f>
        <v>40.35</v>
      </c>
      <c r="F730" s="5">
        <f>E$51*'Assumptions and Catalog'!$C$31*C730*(1-'Assumptions and Catalog'!$C$10)^(A730-1)</f>
        <v>828.07396378825297</v>
      </c>
      <c r="G730" s="5">
        <f t="shared" si="52"/>
        <v>828.07396378825297</v>
      </c>
      <c r="H730" s="5">
        <f>I730/('Assumptions and Catalog'!$C$11*'Assumptions and Catalog'!$C$12)</f>
        <v>0</v>
      </c>
      <c r="I730" s="5">
        <f>MIN(E730*C730,P730*'Assumptions and Catalog'!$C$12*C730,(F730-G730)*'Assumptions and Catalog'!$C$11*'Assumptions and Catalog'!$C$12,E$56*'Assumptions and Catalog'!$C$14*'Assumptions and Catalog'!$C$11*'Assumptions and Catalog'!$C$12*C730,E$57*(24-'Assumptions and Catalog'!$C$13)*C730)</f>
        <v>0</v>
      </c>
      <c r="J730" s="5">
        <f t="shared" si="53"/>
        <v>0</v>
      </c>
      <c r="K730" s="5">
        <f t="shared" si="54"/>
        <v>0</v>
      </c>
      <c r="L730" s="5">
        <f>(D730+E730)*C730-G730-I730+0+IF(E$52&gt;0,'Assumptions and Catalog'!$C$26*C730,0)</f>
        <v>1673.6260362117473</v>
      </c>
      <c r="M730" s="5">
        <f>IF(ISNUMBER(Inputs!$L$5),(IF(Inputs!$L$9="Actual flat rate",((D730+E730)*C730)*Inputs!$L$10,IF(Inputs!$C$9="Residential",IF(((D730+E730)*C730)&lt;='Assumptions and Catalog'!$C$50,((D730+E730)*C730)*'Assumptions and Catalog'!$H$50+'Assumptions and Catalog'!$E$50+'Assumptions and Catalog'!$F$50,IF(((D730+E730)*C730)&lt;='Assumptions and Catalog'!$C$51,((D730+E730)*C730)*'Assumptions and Catalog'!$H$51+'Assumptions and Catalog'!$E$51+'Assumptions and Catalog'!$F$51,IF(((D730+E730)*C730)&lt;='Assumptions and Catalog'!$C$52,((D730+E730)*C730)*'Assumptions and Catalog'!$H$52+'Assumptions and Catalog'!$E$52+'Assumptions and Catalog'!$F$52,IF(((D730+E730)*C730)&lt;='Assumptions and Catalog'!$C$53,((D730+E730)*C730)*'Assumptions and Catalog'!$H$53+'Assumptions and Catalog'!$E$53+'Assumptions and Catalog'!$F$53,IF(((D730+E730)*C730)&lt;='Assumptions and Catalog'!$C$54,((D730+E730)*C730)*'Assumptions and Catalog'!$H$54+'Assumptions and Catalog'!$E$54+'Assumptions and Catalog'!$F$54,IF(((D730+E730)*C730)&lt;='Assumptions and Catalog'!$C$55,((D730+E730)*C730)*'Assumptions and Catalog'!$H$55+'Assumptions and Catalog'!$E$55+'Assumptions and Catalog'!$F$55,IF(((D730+E730)*C730)&lt;='Assumptions and Catalog'!$C$56,((D730+E730)*C730)*'Assumptions and Catalog'!$H$56+'Assumptions and Catalog'!$E$56+'Assumptions and Catalog'!$F$56,IF(((D730+E730)*C730)&lt;='Assumptions and Catalog'!$C$57,((D730+E730)*C730)*'Assumptions and Catalog'!$H$57+'Assumptions and Catalog'!$E$57+'Assumptions and Catalog'!$F$57,"Out of range")))))))),IF(((D730+E730)*C730)&lt;='Assumptions and Catalog'!$C$60,((D730+E730)*C730)*'Assumptions and Catalog'!$H$60+'Assumptions and Catalog'!$E$60+'Assumptions and Catalog'!$F$60,IF(((D730+E730)*C730)&lt;='Assumptions and Catalog'!$C$61,((D730+E730)*C730)*'Assumptions and Catalog'!$H$61+'Assumptions and Catalog'!$E$61+'Assumptions and Catalog'!$F$61,IF(((D730+E730)*C730)&lt;='Assumptions and Catalog'!$C$62,((D730+E730)*C730)*'Assumptions and Catalog'!$H$62+'Assumptions and Catalog'!$E$62+'Assumptions and Catalog'!$F$62,IF(((D730+E730)*C730)&lt;='Assumptions and Catalog'!$C$63,((D730+E730)*C730)*'Assumptions and Catalog'!$H$63+'Assumptions and Catalog'!$E$63+'Assumptions and Catalog'!$F$63,IF(((D730+E730)*C730)&lt;='Assumptions and Catalog'!$C$64,((D730+E730)*C730)*'Assumptions and Catalog'!$H$64+'Assumptions and Catalog'!$E$64+'Assumptions and Catalog'!$F$64,IF(((D730+E730)*C730)&lt;='Assumptions and Catalog'!$C$65,((D730+E730)*C730)*'Assumptions and Catalog'!$H$65+'Assumptions and Catalog'!$E$65+'Assumptions and Catalog'!$F$65,"Out of range")))))))))*(1+'Assumptions and Catalog'!$C$8)^(A730-1),0)</f>
        <v>8554.9666666666672</v>
      </c>
      <c r="N730" s="5">
        <f>IF(ISNUMBER(Inputs!$L$5),(IF(Inputs!$L$9="Actual flat rate",L730*Inputs!$L$10,IF(Inputs!$C$9="Residential",IF(L730&lt;='Assumptions and Catalog'!$C$50,L730*'Assumptions and Catalog'!$H$50+'Assumptions and Catalog'!$E$50+'Assumptions and Catalog'!$F$50,IF(L730&lt;='Assumptions and Catalog'!$C$51,L730*'Assumptions and Catalog'!$H$51+'Assumptions and Catalog'!$E$51+'Assumptions and Catalog'!$F$51,IF(L730&lt;='Assumptions and Catalog'!$C$52,L730*'Assumptions and Catalog'!$H$52+'Assumptions and Catalog'!$E$52+'Assumptions and Catalog'!$F$52,IF(L730&lt;='Assumptions and Catalog'!$C$53,L730*'Assumptions and Catalog'!$H$53+'Assumptions and Catalog'!$E$53+'Assumptions and Catalog'!$F$53,IF(L730&lt;='Assumptions and Catalog'!$C$54,L730*'Assumptions and Catalog'!$H$54+'Assumptions and Catalog'!$E$54+'Assumptions and Catalog'!$F$54,IF(L730&lt;='Assumptions and Catalog'!$C$55,L730*'Assumptions and Catalog'!$H$55+'Assumptions and Catalog'!$E$55+'Assumptions and Catalog'!$F$55,IF(L730&lt;='Assumptions and Catalog'!$C$56,L730*'Assumptions and Catalog'!$H$56+'Assumptions and Catalog'!$E$56+'Assumptions and Catalog'!$F$56,IF(L730&lt;='Assumptions and Catalog'!$C$57,L730*'Assumptions and Catalog'!$H$57+'Assumptions and Catalog'!$E$57+'Assumptions and Catalog'!$F$57,"Out of range")))))))),IF(L730&lt;='Assumptions and Catalog'!$C$60,L730*'Assumptions and Catalog'!$H$60+'Assumptions and Catalog'!$E$60+'Assumptions and Catalog'!$F$60,IF(L730&lt;='Assumptions and Catalog'!$C$61,L730*'Assumptions and Catalog'!$H$61+'Assumptions and Catalog'!$E$61+'Assumptions and Catalog'!$F$61,IF(L730&lt;='Assumptions and Catalog'!$C$62,L730*'Assumptions and Catalog'!$H$62+'Assumptions and Catalog'!$E$62+'Assumptions and Catalog'!$F$62,IF(L730&lt;='Assumptions and Catalog'!$C$63,L730*'Assumptions and Catalog'!$H$63+'Assumptions and Catalog'!$E$63+'Assumptions and Catalog'!$F$63,IF(L730&lt;='Assumptions and Catalog'!$C$64,L730*'Assumptions and Catalog'!$H$64+'Assumptions and Catalog'!$E$64+'Assumptions and Catalog'!$F$64,IF(L730&lt;='Assumptions and Catalog'!$C$65,L730*'Assumptions and Catalog'!$H$65+'Assumptions and Catalog'!$E$65+'Assumptions and Catalog'!$F$65,"Out of range")))))))))*(1+'Assumptions and Catalog'!$C$8)^(A730-1),0)</f>
        <v>5723.2341816592543</v>
      </c>
      <c r="O730" s="5">
        <f t="shared" si="55"/>
        <v>2831.7324850074128</v>
      </c>
      <c r="P730" s="5">
        <f>E$55*(1-L$14)*(1-'Assumptions and Catalog'!$C$23)^R730</f>
        <v>92.561489592319987</v>
      </c>
      <c r="Q730" s="5">
        <f>IF(ISNUMBER(Inputs!$L$5),(IF(Inputs!$L$9="Actual flat rate",((D730+E730)*C730-G730)*Inputs!$L$10,IF(Inputs!$C$9="Residential",IF(((D730+E730)*C730-G730)&lt;='Assumptions and Catalog'!$C$50,((D730+E730)*C730-G730)*'Assumptions and Catalog'!$H$50+'Assumptions and Catalog'!$E$50+'Assumptions and Catalog'!$F$50,IF(((D730+E730)*C730-G730)&lt;='Assumptions and Catalog'!$C$51,((D730+E730)*C730-G730)*'Assumptions and Catalog'!$H$51+'Assumptions and Catalog'!$E$51+'Assumptions and Catalog'!$F$51,IF(((D730+E730)*C730-G730)&lt;='Assumptions and Catalog'!$C$52,((D730+E730)*C730-G730)*'Assumptions and Catalog'!$H$52+'Assumptions and Catalog'!$E$52+'Assumptions and Catalog'!$F$52,IF(((D730+E730)*C730-G730)&lt;='Assumptions and Catalog'!$C$53,((D730+E730)*C730-G730)*'Assumptions and Catalog'!$H$53+'Assumptions and Catalog'!$E$53+'Assumptions and Catalog'!$F$53,IF(((D730+E730)*C730-G730)&lt;='Assumptions and Catalog'!$C$54,((D730+E730)*C730-G730)*'Assumptions and Catalog'!$H$54+'Assumptions and Catalog'!$E$54+'Assumptions and Catalog'!$F$54,IF(((D730+E730)*C730-G730)&lt;='Assumptions and Catalog'!$C$55,((D730+E730)*C730-G730)*'Assumptions and Catalog'!$H$55+'Assumptions and Catalog'!$E$55+'Assumptions and Catalog'!$F$55,IF(((D730+E730)*C730-G730)&lt;='Assumptions and Catalog'!$C$56,((D730+E730)*C730-G730)*'Assumptions and Catalog'!$H$56+'Assumptions and Catalog'!$E$56+'Assumptions and Catalog'!$F$56,IF(((D730+E730)*C730-G730)&lt;='Assumptions and Catalog'!$C$57,((D730+E730)*C730-G730)*'Assumptions and Catalog'!$H$57+'Assumptions and Catalog'!$E$57+'Assumptions and Catalog'!$F$57,"Out of range")))))))),IF(((D730+E730)*C730-G730)&lt;='Assumptions and Catalog'!$C$60,((D730+E730)*C730-G730)*'Assumptions and Catalog'!$H$60+'Assumptions and Catalog'!$E$60+'Assumptions and Catalog'!$F$60,IF(((D730+E730)*C730-G730)&lt;='Assumptions and Catalog'!$C$61,((D730+E730)*C730-G730)*'Assumptions and Catalog'!$H$61+'Assumptions and Catalog'!$E$61+'Assumptions and Catalog'!$F$61,IF(((D730+E730)*C730-G730)&lt;='Assumptions and Catalog'!$C$62,((D730+E730)*C730-G730)*'Assumptions and Catalog'!$H$62+'Assumptions and Catalog'!$E$62+'Assumptions and Catalog'!$F$62,IF(((D730+E730)*C730-G730)&lt;='Assumptions and Catalog'!$C$63,((D730+E730)*C730-G730)*'Assumptions and Catalog'!$H$63+'Assumptions and Catalog'!$E$63+'Assumptions and Catalog'!$F$63,IF(((D730+E730)*C730-G730)&lt;='Assumptions and Catalog'!$C$64,((D730+E730)*C730-G730)*'Assumptions and Catalog'!$H$64+'Assumptions and Catalog'!$E$64+'Assumptions and Catalog'!$F$64,IF(((D730+E730)*C730-G730)&lt;='Assumptions and Catalog'!$C$65,((D730+E730)*C730-G730)*'Assumptions and Catalog'!$H$65+'Assumptions and Catalog'!$E$65+'Assumptions and Catalog'!$F$65,"Out of range")))))))))*(1+'Assumptions and Catalog'!$C$8)^(A730-1),0)</f>
        <v>5723.2341816592543</v>
      </c>
      <c r="R730" s="5">
        <f>IF(AND('Assumptions and Catalog'!$C$19&gt;0,A730&gt;='Assumptions and Catalog'!$C$19),A730-'Assumptions and Catalog'!$C$19,A730-1)</f>
        <v>5</v>
      </c>
      <c r="S730" s="5">
        <f>F730+L730-(D730+E730)*C730-J730-K730-IF(E$52&gt;0,'Assumptions and Catalog'!$C$26*C730,0)</f>
        <v>0</v>
      </c>
      <c r="T730" s="5"/>
      <c r="U730" s="5"/>
    </row>
    <row r="731" spans="1:21" ht="23.1" customHeight="1" outlineLevel="1" x14ac:dyDescent="0.2">
      <c r="A731" s="5">
        <v>6</v>
      </c>
      <c r="B731" s="5">
        <v>11</v>
      </c>
      <c r="C731" s="5">
        <f>DAY(DATE('Assumptions and Catalog'!$C$24+A731-1,B731+1,0))</f>
        <v>30</v>
      </c>
      <c r="D731" s="5">
        <f>IF(ISNUMBER(Inputs!$L$5),Inputs!$L$5*Inputs!$L$6,0)</f>
        <v>40.35</v>
      </c>
      <c r="E731" s="5">
        <f>IF(ISNUMBER(Inputs!$L$5),Inputs!$L$5-D731,0)</f>
        <v>40.35</v>
      </c>
      <c r="F731" s="5">
        <f>E$51*'Assumptions and Catalog'!$C$31*C731*(1-'Assumptions and Catalog'!$C$10)^(A731-1)</f>
        <v>801.36190044024477</v>
      </c>
      <c r="G731" s="5">
        <f t="shared" si="52"/>
        <v>801.36190044024477</v>
      </c>
      <c r="H731" s="5">
        <f>I731/('Assumptions and Catalog'!$C$11*'Assumptions and Catalog'!$C$12)</f>
        <v>0</v>
      </c>
      <c r="I731" s="5">
        <f>MIN(E731*C731,P731*'Assumptions and Catalog'!$C$12*C731,(F731-G731)*'Assumptions and Catalog'!$C$11*'Assumptions and Catalog'!$C$12,E$56*'Assumptions and Catalog'!$C$14*'Assumptions and Catalog'!$C$11*'Assumptions and Catalog'!$C$12*C731,E$57*(24-'Assumptions and Catalog'!$C$13)*C731)</f>
        <v>0</v>
      </c>
      <c r="J731" s="5">
        <f t="shared" si="53"/>
        <v>0</v>
      </c>
      <c r="K731" s="5">
        <f t="shared" si="54"/>
        <v>0</v>
      </c>
      <c r="L731" s="5">
        <f>(D731+E731)*C731-G731-I731+0+IF(E$52&gt;0,'Assumptions and Catalog'!$C$26*C731,0)</f>
        <v>1619.6380995597551</v>
      </c>
      <c r="M731" s="5">
        <f>IF(ISNUMBER(Inputs!$L$5),(IF(Inputs!$L$9="Actual flat rate",((D731+E731)*C731)*Inputs!$L$10,IF(Inputs!$C$9="Residential",IF(((D731+E731)*C731)&lt;='Assumptions and Catalog'!$C$50,((D731+E731)*C731)*'Assumptions and Catalog'!$H$50+'Assumptions and Catalog'!$E$50+'Assumptions and Catalog'!$F$50,IF(((D731+E731)*C731)&lt;='Assumptions and Catalog'!$C$51,((D731+E731)*C731)*'Assumptions and Catalog'!$H$51+'Assumptions and Catalog'!$E$51+'Assumptions and Catalog'!$F$51,IF(((D731+E731)*C731)&lt;='Assumptions and Catalog'!$C$52,((D731+E731)*C731)*'Assumptions and Catalog'!$H$52+'Assumptions and Catalog'!$E$52+'Assumptions and Catalog'!$F$52,IF(((D731+E731)*C731)&lt;='Assumptions and Catalog'!$C$53,((D731+E731)*C731)*'Assumptions and Catalog'!$H$53+'Assumptions and Catalog'!$E$53+'Assumptions and Catalog'!$F$53,IF(((D731+E731)*C731)&lt;='Assumptions and Catalog'!$C$54,((D731+E731)*C731)*'Assumptions and Catalog'!$H$54+'Assumptions and Catalog'!$E$54+'Assumptions and Catalog'!$F$54,IF(((D731+E731)*C731)&lt;='Assumptions and Catalog'!$C$55,((D731+E731)*C731)*'Assumptions and Catalog'!$H$55+'Assumptions and Catalog'!$E$55+'Assumptions and Catalog'!$F$55,IF(((D731+E731)*C731)&lt;='Assumptions and Catalog'!$C$56,((D731+E731)*C731)*'Assumptions and Catalog'!$H$56+'Assumptions and Catalog'!$E$56+'Assumptions and Catalog'!$F$56,IF(((D731+E731)*C731)&lt;='Assumptions and Catalog'!$C$57,((D731+E731)*C731)*'Assumptions and Catalog'!$H$57+'Assumptions and Catalog'!$E$57+'Assumptions and Catalog'!$F$57,"Out of range")))))))),IF(((D731+E731)*C731)&lt;='Assumptions and Catalog'!$C$60,((D731+E731)*C731)*'Assumptions and Catalog'!$H$60+'Assumptions and Catalog'!$E$60+'Assumptions and Catalog'!$F$60,IF(((D731+E731)*C731)&lt;='Assumptions and Catalog'!$C$61,((D731+E731)*C731)*'Assumptions and Catalog'!$H$61+'Assumptions and Catalog'!$E$61+'Assumptions and Catalog'!$F$61,IF(((D731+E731)*C731)&lt;='Assumptions and Catalog'!$C$62,((D731+E731)*C731)*'Assumptions and Catalog'!$H$62+'Assumptions and Catalog'!$E$62+'Assumptions and Catalog'!$F$62,IF(((D731+E731)*C731)&lt;='Assumptions and Catalog'!$C$63,((D731+E731)*C731)*'Assumptions and Catalog'!$H$63+'Assumptions and Catalog'!$E$63+'Assumptions and Catalog'!$F$63,IF(((D731+E731)*C731)&lt;='Assumptions and Catalog'!$C$64,((D731+E731)*C731)*'Assumptions and Catalog'!$H$64+'Assumptions and Catalog'!$E$64+'Assumptions and Catalog'!$F$64,IF(((D731+E731)*C731)&lt;='Assumptions and Catalog'!$C$65,((D731+E731)*C731)*'Assumptions and Catalog'!$H$65+'Assumptions and Catalog'!$E$65+'Assumptions and Catalog'!$F$65,"Out of range")))))))))*(1+'Assumptions and Catalog'!$C$8)^(A731-1),0)</f>
        <v>8279</v>
      </c>
      <c r="N731" s="5">
        <f>IF(ISNUMBER(Inputs!$L$5),(IF(Inputs!$L$9="Actual flat rate",L731*Inputs!$L$10,IF(Inputs!$C$9="Residential",IF(L731&lt;='Assumptions and Catalog'!$C$50,L731*'Assumptions and Catalog'!$H$50+'Assumptions and Catalog'!$E$50+'Assumptions and Catalog'!$F$50,IF(L731&lt;='Assumptions and Catalog'!$C$51,L731*'Assumptions and Catalog'!$H$51+'Assumptions and Catalog'!$E$51+'Assumptions and Catalog'!$F$51,IF(L731&lt;='Assumptions and Catalog'!$C$52,L731*'Assumptions and Catalog'!$H$52+'Assumptions and Catalog'!$E$52+'Assumptions and Catalog'!$F$52,IF(L731&lt;='Assumptions and Catalog'!$C$53,L731*'Assumptions and Catalog'!$H$53+'Assumptions and Catalog'!$E$53+'Assumptions and Catalog'!$F$53,IF(L731&lt;='Assumptions and Catalog'!$C$54,L731*'Assumptions and Catalog'!$H$54+'Assumptions and Catalog'!$E$54+'Assumptions and Catalog'!$F$54,IF(L731&lt;='Assumptions and Catalog'!$C$55,L731*'Assumptions and Catalog'!$H$55+'Assumptions and Catalog'!$E$55+'Assumptions and Catalog'!$F$55,IF(L731&lt;='Assumptions and Catalog'!$C$56,L731*'Assumptions and Catalog'!$H$56+'Assumptions and Catalog'!$E$56+'Assumptions and Catalog'!$F$56,IF(L731&lt;='Assumptions and Catalog'!$C$57,L731*'Assumptions and Catalog'!$H$57+'Assumptions and Catalog'!$E$57+'Assumptions and Catalog'!$F$57,"Out of range")))))))),IF(L731&lt;='Assumptions and Catalog'!$C$60,L731*'Assumptions and Catalog'!$H$60+'Assumptions and Catalog'!$E$60+'Assumptions and Catalog'!$F$60,IF(L731&lt;='Assumptions and Catalog'!$C$61,L731*'Assumptions and Catalog'!$H$61+'Assumptions and Catalog'!$E$61+'Assumptions and Catalog'!$F$61,IF(L731&lt;='Assumptions and Catalog'!$C$62,L731*'Assumptions and Catalog'!$H$62+'Assumptions and Catalog'!$E$62+'Assumptions and Catalog'!$F$62,IF(L731&lt;='Assumptions and Catalog'!$C$63,L731*'Assumptions and Catalog'!$H$63+'Assumptions and Catalog'!$E$63+'Assumptions and Catalog'!$F$63,IF(L731&lt;='Assumptions and Catalog'!$C$64,L731*'Assumptions and Catalog'!$H$64+'Assumptions and Catalog'!$E$64+'Assumptions and Catalog'!$F$64,IF(L731&lt;='Assumptions and Catalog'!$C$65,L731*'Assumptions and Catalog'!$H$65+'Assumptions and Catalog'!$E$65+'Assumptions and Catalog'!$F$65,"Out of range")))))))))*(1+'Assumptions and Catalog'!$C$8)^(A731-1),0)</f>
        <v>5538.6137241863744</v>
      </c>
      <c r="O731" s="5">
        <f t="shared" si="55"/>
        <v>2740.3862758136256</v>
      </c>
      <c r="P731" s="5">
        <f>E$55*(1-L$14)*(1-'Assumptions and Catalog'!$C$23)^R731</f>
        <v>92.561489592319987</v>
      </c>
      <c r="Q731" s="5">
        <f>IF(ISNUMBER(Inputs!$L$5),(IF(Inputs!$L$9="Actual flat rate",((D731+E731)*C731-G731)*Inputs!$L$10,IF(Inputs!$C$9="Residential",IF(((D731+E731)*C731-G731)&lt;='Assumptions and Catalog'!$C$50,((D731+E731)*C731-G731)*'Assumptions and Catalog'!$H$50+'Assumptions and Catalog'!$E$50+'Assumptions and Catalog'!$F$50,IF(((D731+E731)*C731-G731)&lt;='Assumptions and Catalog'!$C$51,((D731+E731)*C731-G731)*'Assumptions and Catalog'!$H$51+'Assumptions and Catalog'!$E$51+'Assumptions and Catalog'!$F$51,IF(((D731+E731)*C731-G731)&lt;='Assumptions and Catalog'!$C$52,((D731+E731)*C731-G731)*'Assumptions and Catalog'!$H$52+'Assumptions and Catalog'!$E$52+'Assumptions and Catalog'!$F$52,IF(((D731+E731)*C731-G731)&lt;='Assumptions and Catalog'!$C$53,((D731+E731)*C731-G731)*'Assumptions and Catalog'!$H$53+'Assumptions and Catalog'!$E$53+'Assumptions and Catalog'!$F$53,IF(((D731+E731)*C731-G731)&lt;='Assumptions and Catalog'!$C$54,((D731+E731)*C731-G731)*'Assumptions and Catalog'!$H$54+'Assumptions and Catalog'!$E$54+'Assumptions and Catalog'!$F$54,IF(((D731+E731)*C731-G731)&lt;='Assumptions and Catalog'!$C$55,((D731+E731)*C731-G731)*'Assumptions and Catalog'!$H$55+'Assumptions and Catalog'!$E$55+'Assumptions and Catalog'!$F$55,IF(((D731+E731)*C731-G731)&lt;='Assumptions and Catalog'!$C$56,((D731+E731)*C731-G731)*'Assumptions and Catalog'!$H$56+'Assumptions and Catalog'!$E$56+'Assumptions and Catalog'!$F$56,IF(((D731+E731)*C731-G731)&lt;='Assumptions and Catalog'!$C$57,((D731+E731)*C731-G731)*'Assumptions and Catalog'!$H$57+'Assumptions and Catalog'!$E$57+'Assumptions and Catalog'!$F$57,"Out of range")))))))),IF(((D731+E731)*C731-G731)&lt;='Assumptions and Catalog'!$C$60,((D731+E731)*C731-G731)*'Assumptions and Catalog'!$H$60+'Assumptions and Catalog'!$E$60+'Assumptions and Catalog'!$F$60,IF(((D731+E731)*C731-G731)&lt;='Assumptions and Catalog'!$C$61,((D731+E731)*C731-G731)*'Assumptions and Catalog'!$H$61+'Assumptions and Catalog'!$E$61+'Assumptions and Catalog'!$F$61,IF(((D731+E731)*C731-G731)&lt;='Assumptions and Catalog'!$C$62,((D731+E731)*C731-G731)*'Assumptions and Catalog'!$H$62+'Assumptions and Catalog'!$E$62+'Assumptions and Catalog'!$F$62,IF(((D731+E731)*C731-G731)&lt;='Assumptions and Catalog'!$C$63,((D731+E731)*C731-G731)*'Assumptions and Catalog'!$H$63+'Assumptions and Catalog'!$E$63+'Assumptions and Catalog'!$F$63,IF(((D731+E731)*C731-G731)&lt;='Assumptions and Catalog'!$C$64,((D731+E731)*C731-G731)*'Assumptions and Catalog'!$H$64+'Assumptions and Catalog'!$E$64+'Assumptions and Catalog'!$F$64,IF(((D731+E731)*C731-G731)&lt;='Assumptions and Catalog'!$C$65,((D731+E731)*C731-G731)*'Assumptions and Catalog'!$H$65+'Assumptions and Catalog'!$E$65+'Assumptions and Catalog'!$F$65,"Out of range")))))))))*(1+'Assumptions and Catalog'!$C$8)^(A731-1),0)</f>
        <v>5538.6137241863744</v>
      </c>
      <c r="R731" s="5">
        <f>IF(AND('Assumptions and Catalog'!$C$19&gt;0,A731&gt;='Assumptions and Catalog'!$C$19),A731-'Assumptions and Catalog'!$C$19,A731-1)</f>
        <v>5</v>
      </c>
      <c r="S731" s="5">
        <f>F731+L731-(D731+E731)*C731-J731-K731-IF(E$52&gt;0,'Assumptions and Catalog'!$C$26*C731,0)</f>
        <v>0</v>
      </c>
      <c r="T731" s="5"/>
      <c r="U731" s="5"/>
    </row>
    <row r="732" spans="1:21" ht="23.1" customHeight="1" outlineLevel="1" x14ac:dyDescent="0.2">
      <c r="A732" s="5">
        <v>6</v>
      </c>
      <c r="B732" s="5">
        <v>12</v>
      </c>
      <c r="C732" s="5">
        <f>DAY(DATE('Assumptions and Catalog'!$C$24+A732-1,B732+1,0))</f>
        <v>31</v>
      </c>
      <c r="D732" s="5">
        <f>IF(ISNUMBER(Inputs!$L$5),Inputs!$L$5*Inputs!$L$6,0)</f>
        <v>40.35</v>
      </c>
      <c r="E732" s="5">
        <f>IF(ISNUMBER(Inputs!$L$5),Inputs!$L$5-D732,0)</f>
        <v>40.35</v>
      </c>
      <c r="F732" s="5">
        <f>E$51*'Assumptions and Catalog'!$C$31*C732*(1-'Assumptions and Catalog'!$C$10)^(A732-1)</f>
        <v>828.07396378825297</v>
      </c>
      <c r="G732" s="5">
        <f t="shared" si="52"/>
        <v>828.07396378825297</v>
      </c>
      <c r="H732" s="5">
        <f>I732/('Assumptions and Catalog'!$C$11*'Assumptions and Catalog'!$C$12)</f>
        <v>0</v>
      </c>
      <c r="I732" s="5">
        <f>MIN(E732*C732,P732*'Assumptions and Catalog'!$C$12*C732,(F732-G732)*'Assumptions and Catalog'!$C$11*'Assumptions and Catalog'!$C$12,E$56*'Assumptions and Catalog'!$C$14*'Assumptions and Catalog'!$C$11*'Assumptions and Catalog'!$C$12*C732,E$57*(24-'Assumptions and Catalog'!$C$13)*C732)</f>
        <v>0</v>
      </c>
      <c r="J732" s="5">
        <f t="shared" si="53"/>
        <v>0</v>
      </c>
      <c r="K732" s="5">
        <f t="shared" si="54"/>
        <v>0</v>
      </c>
      <c r="L732" s="5">
        <f>(D732+E732)*C732-G732-I732+0+IF(E$52&gt;0,'Assumptions and Catalog'!$C$26*C732,0)</f>
        <v>1673.6260362117473</v>
      </c>
      <c r="M732" s="5">
        <f>IF(ISNUMBER(Inputs!$L$5),(IF(Inputs!$L$9="Actual flat rate",((D732+E732)*C732)*Inputs!$L$10,IF(Inputs!$C$9="Residential",IF(((D732+E732)*C732)&lt;='Assumptions and Catalog'!$C$50,((D732+E732)*C732)*'Assumptions and Catalog'!$H$50+'Assumptions and Catalog'!$E$50+'Assumptions and Catalog'!$F$50,IF(((D732+E732)*C732)&lt;='Assumptions and Catalog'!$C$51,((D732+E732)*C732)*'Assumptions and Catalog'!$H$51+'Assumptions and Catalog'!$E$51+'Assumptions and Catalog'!$F$51,IF(((D732+E732)*C732)&lt;='Assumptions and Catalog'!$C$52,((D732+E732)*C732)*'Assumptions and Catalog'!$H$52+'Assumptions and Catalog'!$E$52+'Assumptions and Catalog'!$F$52,IF(((D732+E732)*C732)&lt;='Assumptions and Catalog'!$C$53,((D732+E732)*C732)*'Assumptions and Catalog'!$H$53+'Assumptions and Catalog'!$E$53+'Assumptions and Catalog'!$F$53,IF(((D732+E732)*C732)&lt;='Assumptions and Catalog'!$C$54,((D732+E732)*C732)*'Assumptions and Catalog'!$H$54+'Assumptions and Catalog'!$E$54+'Assumptions and Catalog'!$F$54,IF(((D732+E732)*C732)&lt;='Assumptions and Catalog'!$C$55,((D732+E732)*C732)*'Assumptions and Catalog'!$H$55+'Assumptions and Catalog'!$E$55+'Assumptions and Catalog'!$F$55,IF(((D732+E732)*C732)&lt;='Assumptions and Catalog'!$C$56,((D732+E732)*C732)*'Assumptions and Catalog'!$H$56+'Assumptions and Catalog'!$E$56+'Assumptions and Catalog'!$F$56,IF(((D732+E732)*C732)&lt;='Assumptions and Catalog'!$C$57,((D732+E732)*C732)*'Assumptions and Catalog'!$H$57+'Assumptions and Catalog'!$E$57+'Assumptions and Catalog'!$F$57,"Out of range")))))))),IF(((D732+E732)*C732)&lt;='Assumptions and Catalog'!$C$60,((D732+E732)*C732)*'Assumptions and Catalog'!$H$60+'Assumptions and Catalog'!$E$60+'Assumptions and Catalog'!$F$60,IF(((D732+E732)*C732)&lt;='Assumptions and Catalog'!$C$61,((D732+E732)*C732)*'Assumptions and Catalog'!$H$61+'Assumptions and Catalog'!$E$61+'Assumptions and Catalog'!$F$61,IF(((D732+E732)*C732)&lt;='Assumptions and Catalog'!$C$62,((D732+E732)*C732)*'Assumptions and Catalog'!$H$62+'Assumptions and Catalog'!$E$62+'Assumptions and Catalog'!$F$62,IF(((D732+E732)*C732)&lt;='Assumptions and Catalog'!$C$63,((D732+E732)*C732)*'Assumptions and Catalog'!$H$63+'Assumptions and Catalog'!$E$63+'Assumptions and Catalog'!$F$63,IF(((D732+E732)*C732)&lt;='Assumptions and Catalog'!$C$64,((D732+E732)*C732)*'Assumptions and Catalog'!$H$64+'Assumptions and Catalog'!$E$64+'Assumptions and Catalog'!$F$64,IF(((D732+E732)*C732)&lt;='Assumptions and Catalog'!$C$65,((D732+E732)*C732)*'Assumptions and Catalog'!$H$65+'Assumptions and Catalog'!$E$65+'Assumptions and Catalog'!$F$65,"Out of range")))))))))*(1+'Assumptions and Catalog'!$C$8)^(A732-1),0)</f>
        <v>8554.9666666666672</v>
      </c>
      <c r="N732" s="5">
        <f>IF(ISNUMBER(Inputs!$L$5),(IF(Inputs!$L$9="Actual flat rate",L732*Inputs!$L$10,IF(Inputs!$C$9="Residential",IF(L732&lt;='Assumptions and Catalog'!$C$50,L732*'Assumptions and Catalog'!$H$50+'Assumptions and Catalog'!$E$50+'Assumptions and Catalog'!$F$50,IF(L732&lt;='Assumptions and Catalog'!$C$51,L732*'Assumptions and Catalog'!$H$51+'Assumptions and Catalog'!$E$51+'Assumptions and Catalog'!$F$51,IF(L732&lt;='Assumptions and Catalog'!$C$52,L732*'Assumptions and Catalog'!$H$52+'Assumptions and Catalog'!$E$52+'Assumptions and Catalog'!$F$52,IF(L732&lt;='Assumptions and Catalog'!$C$53,L732*'Assumptions and Catalog'!$H$53+'Assumptions and Catalog'!$E$53+'Assumptions and Catalog'!$F$53,IF(L732&lt;='Assumptions and Catalog'!$C$54,L732*'Assumptions and Catalog'!$H$54+'Assumptions and Catalog'!$E$54+'Assumptions and Catalog'!$F$54,IF(L732&lt;='Assumptions and Catalog'!$C$55,L732*'Assumptions and Catalog'!$H$55+'Assumptions and Catalog'!$E$55+'Assumptions and Catalog'!$F$55,IF(L732&lt;='Assumptions and Catalog'!$C$56,L732*'Assumptions and Catalog'!$H$56+'Assumptions and Catalog'!$E$56+'Assumptions and Catalog'!$F$56,IF(L732&lt;='Assumptions and Catalog'!$C$57,L732*'Assumptions and Catalog'!$H$57+'Assumptions and Catalog'!$E$57+'Assumptions and Catalog'!$F$57,"Out of range")))))))),IF(L732&lt;='Assumptions and Catalog'!$C$60,L732*'Assumptions and Catalog'!$H$60+'Assumptions and Catalog'!$E$60+'Assumptions and Catalog'!$F$60,IF(L732&lt;='Assumptions and Catalog'!$C$61,L732*'Assumptions and Catalog'!$H$61+'Assumptions and Catalog'!$E$61+'Assumptions and Catalog'!$F$61,IF(L732&lt;='Assumptions and Catalog'!$C$62,L732*'Assumptions and Catalog'!$H$62+'Assumptions and Catalog'!$E$62+'Assumptions and Catalog'!$F$62,IF(L732&lt;='Assumptions and Catalog'!$C$63,L732*'Assumptions and Catalog'!$H$63+'Assumptions and Catalog'!$E$63+'Assumptions and Catalog'!$F$63,IF(L732&lt;='Assumptions and Catalog'!$C$64,L732*'Assumptions and Catalog'!$H$64+'Assumptions and Catalog'!$E$64+'Assumptions and Catalog'!$F$64,IF(L732&lt;='Assumptions and Catalog'!$C$65,L732*'Assumptions and Catalog'!$H$65+'Assumptions and Catalog'!$E$65+'Assumptions and Catalog'!$F$65,"Out of range")))))))))*(1+'Assumptions and Catalog'!$C$8)^(A732-1),0)</f>
        <v>5723.2341816592543</v>
      </c>
      <c r="O732" s="5">
        <f t="shared" si="55"/>
        <v>2831.7324850074128</v>
      </c>
      <c r="P732" s="5">
        <f>E$55*(1-L$14)*(1-'Assumptions and Catalog'!$C$23)^R732</f>
        <v>92.561489592319987</v>
      </c>
      <c r="Q732" s="5">
        <f>IF(ISNUMBER(Inputs!$L$5),(IF(Inputs!$L$9="Actual flat rate",((D732+E732)*C732-G732)*Inputs!$L$10,IF(Inputs!$C$9="Residential",IF(((D732+E732)*C732-G732)&lt;='Assumptions and Catalog'!$C$50,((D732+E732)*C732-G732)*'Assumptions and Catalog'!$H$50+'Assumptions and Catalog'!$E$50+'Assumptions and Catalog'!$F$50,IF(((D732+E732)*C732-G732)&lt;='Assumptions and Catalog'!$C$51,((D732+E732)*C732-G732)*'Assumptions and Catalog'!$H$51+'Assumptions and Catalog'!$E$51+'Assumptions and Catalog'!$F$51,IF(((D732+E732)*C732-G732)&lt;='Assumptions and Catalog'!$C$52,((D732+E732)*C732-G732)*'Assumptions and Catalog'!$H$52+'Assumptions and Catalog'!$E$52+'Assumptions and Catalog'!$F$52,IF(((D732+E732)*C732-G732)&lt;='Assumptions and Catalog'!$C$53,((D732+E732)*C732-G732)*'Assumptions and Catalog'!$H$53+'Assumptions and Catalog'!$E$53+'Assumptions and Catalog'!$F$53,IF(((D732+E732)*C732-G732)&lt;='Assumptions and Catalog'!$C$54,((D732+E732)*C732-G732)*'Assumptions and Catalog'!$H$54+'Assumptions and Catalog'!$E$54+'Assumptions and Catalog'!$F$54,IF(((D732+E732)*C732-G732)&lt;='Assumptions and Catalog'!$C$55,((D732+E732)*C732-G732)*'Assumptions and Catalog'!$H$55+'Assumptions and Catalog'!$E$55+'Assumptions and Catalog'!$F$55,IF(((D732+E732)*C732-G732)&lt;='Assumptions and Catalog'!$C$56,((D732+E732)*C732-G732)*'Assumptions and Catalog'!$H$56+'Assumptions and Catalog'!$E$56+'Assumptions and Catalog'!$F$56,IF(((D732+E732)*C732-G732)&lt;='Assumptions and Catalog'!$C$57,((D732+E732)*C732-G732)*'Assumptions and Catalog'!$H$57+'Assumptions and Catalog'!$E$57+'Assumptions and Catalog'!$F$57,"Out of range")))))))),IF(((D732+E732)*C732-G732)&lt;='Assumptions and Catalog'!$C$60,((D732+E732)*C732-G732)*'Assumptions and Catalog'!$H$60+'Assumptions and Catalog'!$E$60+'Assumptions and Catalog'!$F$60,IF(((D732+E732)*C732-G732)&lt;='Assumptions and Catalog'!$C$61,((D732+E732)*C732-G732)*'Assumptions and Catalog'!$H$61+'Assumptions and Catalog'!$E$61+'Assumptions and Catalog'!$F$61,IF(((D732+E732)*C732-G732)&lt;='Assumptions and Catalog'!$C$62,((D732+E732)*C732-G732)*'Assumptions and Catalog'!$H$62+'Assumptions and Catalog'!$E$62+'Assumptions and Catalog'!$F$62,IF(((D732+E732)*C732-G732)&lt;='Assumptions and Catalog'!$C$63,((D732+E732)*C732-G732)*'Assumptions and Catalog'!$H$63+'Assumptions and Catalog'!$E$63+'Assumptions and Catalog'!$F$63,IF(((D732+E732)*C732-G732)&lt;='Assumptions and Catalog'!$C$64,((D732+E732)*C732-G732)*'Assumptions and Catalog'!$H$64+'Assumptions and Catalog'!$E$64+'Assumptions and Catalog'!$F$64,IF(((D732+E732)*C732-G732)&lt;='Assumptions and Catalog'!$C$65,((D732+E732)*C732-G732)*'Assumptions and Catalog'!$H$65+'Assumptions and Catalog'!$E$65+'Assumptions and Catalog'!$F$65,"Out of range")))))))))*(1+'Assumptions and Catalog'!$C$8)^(A732-1),0)</f>
        <v>5723.2341816592543</v>
      </c>
      <c r="R732" s="5">
        <f>IF(AND('Assumptions and Catalog'!$C$19&gt;0,A732&gt;='Assumptions and Catalog'!$C$19),A732-'Assumptions and Catalog'!$C$19,A732-1)</f>
        <v>5</v>
      </c>
      <c r="S732" s="5">
        <f>F732+L732-(D732+E732)*C732-J732-K732-IF(E$52&gt;0,'Assumptions and Catalog'!$C$26*C732,0)</f>
        <v>0</v>
      </c>
      <c r="T732" s="5"/>
      <c r="U732" s="5"/>
    </row>
    <row r="733" spans="1:21" ht="23.1" customHeight="1" outlineLevel="1" x14ac:dyDescent="0.2">
      <c r="A733" s="5">
        <v>7</v>
      </c>
      <c r="B733" s="5">
        <v>1</v>
      </c>
      <c r="C733" s="5">
        <f>DAY(DATE('Assumptions and Catalog'!$C$24+A733-1,B733+1,0))</f>
        <v>31</v>
      </c>
      <c r="D733" s="5">
        <f>IF(ISNUMBER(Inputs!$L$5),Inputs!$L$5*Inputs!$L$6,0)</f>
        <v>40.35</v>
      </c>
      <c r="E733" s="5">
        <f>IF(ISNUMBER(Inputs!$L$5),Inputs!$L$5-D733,0)</f>
        <v>40.35</v>
      </c>
      <c r="F733" s="5">
        <f>E$51*'Assumptions and Catalog'!$C$31*C733*(1-'Assumptions and Catalog'!$C$10)^(A733-1)</f>
        <v>823.93359396931169</v>
      </c>
      <c r="G733" s="5">
        <f t="shared" si="52"/>
        <v>823.93359396931169</v>
      </c>
      <c r="H733" s="5">
        <f>I733/('Assumptions and Catalog'!$C$11*'Assumptions and Catalog'!$C$12)</f>
        <v>0</v>
      </c>
      <c r="I733" s="5">
        <f>MIN(E733*C733,P733*'Assumptions and Catalog'!$C$12*C733,(F733-G733)*'Assumptions and Catalog'!$C$11*'Assumptions and Catalog'!$C$12,E$56*'Assumptions and Catalog'!$C$14*'Assumptions and Catalog'!$C$11*'Assumptions and Catalog'!$C$12*C733,E$57*(24-'Assumptions and Catalog'!$C$13)*C733)</f>
        <v>0</v>
      </c>
      <c r="J733" s="5">
        <f t="shared" si="53"/>
        <v>0</v>
      </c>
      <c r="K733" s="5">
        <f t="shared" si="54"/>
        <v>0</v>
      </c>
      <c r="L733" s="5">
        <f>(D733+E733)*C733-G733-I733+0+IF(E$52&gt;0,'Assumptions and Catalog'!$C$26*C733,0)</f>
        <v>1677.7664060306886</v>
      </c>
      <c r="M733" s="5">
        <f>IF(ISNUMBER(Inputs!$L$5),(IF(Inputs!$L$9="Actual flat rate",((D733+E733)*C733)*Inputs!$L$10,IF(Inputs!$C$9="Residential",IF(((D733+E733)*C733)&lt;='Assumptions and Catalog'!$C$50,((D733+E733)*C733)*'Assumptions and Catalog'!$H$50+'Assumptions and Catalog'!$E$50+'Assumptions and Catalog'!$F$50,IF(((D733+E733)*C733)&lt;='Assumptions and Catalog'!$C$51,((D733+E733)*C733)*'Assumptions and Catalog'!$H$51+'Assumptions and Catalog'!$E$51+'Assumptions and Catalog'!$F$51,IF(((D733+E733)*C733)&lt;='Assumptions and Catalog'!$C$52,((D733+E733)*C733)*'Assumptions and Catalog'!$H$52+'Assumptions and Catalog'!$E$52+'Assumptions and Catalog'!$F$52,IF(((D733+E733)*C733)&lt;='Assumptions and Catalog'!$C$53,((D733+E733)*C733)*'Assumptions and Catalog'!$H$53+'Assumptions and Catalog'!$E$53+'Assumptions and Catalog'!$F$53,IF(((D733+E733)*C733)&lt;='Assumptions and Catalog'!$C$54,((D733+E733)*C733)*'Assumptions and Catalog'!$H$54+'Assumptions and Catalog'!$E$54+'Assumptions and Catalog'!$F$54,IF(((D733+E733)*C733)&lt;='Assumptions and Catalog'!$C$55,((D733+E733)*C733)*'Assumptions and Catalog'!$H$55+'Assumptions and Catalog'!$E$55+'Assumptions and Catalog'!$F$55,IF(((D733+E733)*C733)&lt;='Assumptions and Catalog'!$C$56,((D733+E733)*C733)*'Assumptions and Catalog'!$H$56+'Assumptions and Catalog'!$E$56+'Assumptions and Catalog'!$F$56,IF(((D733+E733)*C733)&lt;='Assumptions and Catalog'!$C$57,((D733+E733)*C733)*'Assumptions and Catalog'!$H$57+'Assumptions and Catalog'!$E$57+'Assumptions and Catalog'!$F$57,"Out of range")))))))),IF(((D733+E733)*C733)&lt;='Assumptions and Catalog'!$C$60,((D733+E733)*C733)*'Assumptions and Catalog'!$H$60+'Assumptions and Catalog'!$E$60+'Assumptions and Catalog'!$F$60,IF(((D733+E733)*C733)&lt;='Assumptions and Catalog'!$C$61,((D733+E733)*C733)*'Assumptions and Catalog'!$H$61+'Assumptions and Catalog'!$E$61+'Assumptions and Catalog'!$F$61,IF(((D733+E733)*C733)&lt;='Assumptions and Catalog'!$C$62,((D733+E733)*C733)*'Assumptions and Catalog'!$H$62+'Assumptions and Catalog'!$E$62+'Assumptions and Catalog'!$F$62,IF(((D733+E733)*C733)&lt;='Assumptions and Catalog'!$C$63,((D733+E733)*C733)*'Assumptions and Catalog'!$H$63+'Assumptions and Catalog'!$E$63+'Assumptions and Catalog'!$F$63,IF(((D733+E733)*C733)&lt;='Assumptions and Catalog'!$C$64,((D733+E733)*C733)*'Assumptions and Catalog'!$H$64+'Assumptions and Catalog'!$E$64+'Assumptions and Catalog'!$F$64,IF(((D733+E733)*C733)&lt;='Assumptions and Catalog'!$C$65,((D733+E733)*C733)*'Assumptions and Catalog'!$H$65+'Assumptions and Catalog'!$E$65+'Assumptions and Catalog'!$F$65,"Out of range")))))))))*(1+'Assumptions and Catalog'!$C$8)^(A733-1),0)</f>
        <v>8554.9666666666672</v>
      </c>
      <c r="N733" s="5">
        <f>IF(ISNUMBER(Inputs!$L$5),(IF(Inputs!$L$9="Actual flat rate",L733*Inputs!$L$10,IF(Inputs!$C$9="Residential",IF(L733&lt;='Assumptions and Catalog'!$C$50,L733*'Assumptions and Catalog'!$H$50+'Assumptions and Catalog'!$E$50+'Assumptions and Catalog'!$F$50,IF(L733&lt;='Assumptions and Catalog'!$C$51,L733*'Assumptions and Catalog'!$H$51+'Assumptions and Catalog'!$E$51+'Assumptions and Catalog'!$F$51,IF(L733&lt;='Assumptions and Catalog'!$C$52,L733*'Assumptions and Catalog'!$H$52+'Assumptions and Catalog'!$E$52+'Assumptions and Catalog'!$F$52,IF(L733&lt;='Assumptions and Catalog'!$C$53,L733*'Assumptions and Catalog'!$H$53+'Assumptions and Catalog'!$E$53+'Assumptions and Catalog'!$F$53,IF(L733&lt;='Assumptions and Catalog'!$C$54,L733*'Assumptions and Catalog'!$H$54+'Assumptions and Catalog'!$E$54+'Assumptions and Catalog'!$F$54,IF(L733&lt;='Assumptions and Catalog'!$C$55,L733*'Assumptions and Catalog'!$H$55+'Assumptions and Catalog'!$E$55+'Assumptions and Catalog'!$F$55,IF(L733&lt;='Assumptions and Catalog'!$C$56,L733*'Assumptions and Catalog'!$H$56+'Assumptions and Catalog'!$E$56+'Assumptions and Catalog'!$F$56,IF(L733&lt;='Assumptions and Catalog'!$C$57,L733*'Assumptions and Catalog'!$H$57+'Assumptions and Catalog'!$E$57+'Assumptions and Catalog'!$F$57,"Out of range")))))))),IF(L733&lt;='Assumptions and Catalog'!$C$60,L733*'Assumptions and Catalog'!$H$60+'Assumptions and Catalog'!$E$60+'Assumptions and Catalog'!$F$60,IF(L733&lt;='Assumptions and Catalog'!$C$61,L733*'Assumptions and Catalog'!$H$61+'Assumptions and Catalog'!$E$61+'Assumptions and Catalog'!$F$61,IF(L733&lt;='Assumptions and Catalog'!$C$62,L733*'Assumptions and Catalog'!$H$62+'Assumptions and Catalog'!$E$62+'Assumptions and Catalog'!$F$62,IF(L733&lt;='Assumptions and Catalog'!$C$63,L733*'Assumptions and Catalog'!$H$63+'Assumptions and Catalog'!$E$63+'Assumptions and Catalog'!$F$63,IF(L733&lt;='Assumptions and Catalog'!$C$64,L733*'Assumptions and Catalog'!$H$64+'Assumptions and Catalog'!$E$64+'Assumptions and Catalog'!$F$64,IF(L733&lt;='Assumptions and Catalog'!$C$65,L733*'Assumptions and Catalog'!$H$65+'Assumptions and Catalog'!$E$65+'Assumptions and Catalog'!$F$65,"Out of range")))))))))*(1+'Assumptions and Catalog'!$C$8)^(A733-1),0)</f>
        <v>5737.3928440842919</v>
      </c>
      <c r="O733" s="5">
        <f t="shared" si="55"/>
        <v>2817.5738225823752</v>
      </c>
      <c r="P733" s="5">
        <f>E$55*(1-L$14)*(1-'Assumptions and Catalog'!$C$23)^R733</f>
        <v>90.71025980047358</v>
      </c>
      <c r="Q733" s="5">
        <f>IF(ISNUMBER(Inputs!$L$5),(IF(Inputs!$L$9="Actual flat rate",((D733+E733)*C733-G733)*Inputs!$L$10,IF(Inputs!$C$9="Residential",IF(((D733+E733)*C733-G733)&lt;='Assumptions and Catalog'!$C$50,((D733+E733)*C733-G733)*'Assumptions and Catalog'!$H$50+'Assumptions and Catalog'!$E$50+'Assumptions and Catalog'!$F$50,IF(((D733+E733)*C733-G733)&lt;='Assumptions and Catalog'!$C$51,((D733+E733)*C733-G733)*'Assumptions and Catalog'!$H$51+'Assumptions and Catalog'!$E$51+'Assumptions and Catalog'!$F$51,IF(((D733+E733)*C733-G733)&lt;='Assumptions and Catalog'!$C$52,((D733+E733)*C733-G733)*'Assumptions and Catalog'!$H$52+'Assumptions and Catalog'!$E$52+'Assumptions and Catalog'!$F$52,IF(((D733+E733)*C733-G733)&lt;='Assumptions and Catalog'!$C$53,((D733+E733)*C733-G733)*'Assumptions and Catalog'!$H$53+'Assumptions and Catalog'!$E$53+'Assumptions and Catalog'!$F$53,IF(((D733+E733)*C733-G733)&lt;='Assumptions and Catalog'!$C$54,((D733+E733)*C733-G733)*'Assumptions and Catalog'!$H$54+'Assumptions and Catalog'!$E$54+'Assumptions and Catalog'!$F$54,IF(((D733+E733)*C733-G733)&lt;='Assumptions and Catalog'!$C$55,((D733+E733)*C733-G733)*'Assumptions and Catalog'!$H$55+'Assumptions and Catalog'!$E$55+'Assumptions and Catalog'!$F$55,IF(((D733+E733)*C733-G733)&lt;='Assumptions and Catalog'!$C$56,((D733+E733)*C733-G733)*'Assumptions and Catalog'!$H$56+'Assumptions and Catalog'!$E$56+'Assumptions and Catalog'!$F$56,IF(((D733+E733)*C733-G733)&lt;='Assumptions and Catalog'!$C$57,((D733+E733)*C733-G733)*'Assumptions and Catalog'!$H$57+'Assumptions and Catalog'!$E$57+'Assumptions and Catalog'!$F$57,"Out of range")))))))),IF(((D733+E733)*C733-G733)&lt;='Assumptions and Catalog'!$C$60,((D733+E733)*C733-G733)*'Assumptions and Catalog'!$H$60+'Assumptions and Catalog'!$E$60+'Assumptions and Catalog'!$F$60,IF(((D733+E733)*C733-G733)&lt;='Assumptions and Catalog'!$C$61,((D733+E733)*C733-G733)*'Assumptions and Catalog'!$H$61+'Assumptions and Catalog'!$E$61+'Assumptions and Catalog'!$F$61,IF(((D733+E733)*C733-G733)&lt;='Assumptions and Catalog'!$C$62,((D733+E733)*C733-G733)*'Assumptions and Catalog'!$H$62+'Assumptions and Catalog'!$E$62+'Assumptions and Catalog'!$F$62,IF(((D733+E733)*C733-G733)&lt;='Assumptions and Catalog'!$C$63,((D733+E733)*C733-G733)*'Assumptions and Catalog'!$H$63+'Assumptions and Catalog'!$E$63+'Assumptions and Catalog'!$F$63,IF(((D733+E733)*C733-G733)&lt;='Assumptions and Catalog'!$C$64,((D733+E733)*C733-G733)*'Assumptions and Catalog'!$H$64+'Assumptions and Catalog'!$E$64+'Assumptions and Catalog'!$F$64,IF(((D733+E733)*C733-G733)&lt;='Assumptions and Catalog'!$C$65,((D733+E733)*C733-G733)*'Assumptions and Catalog'!$H$65+'Assumptions and Catalog'!$E$65+'Assumptions and Catalog'!$F$65,"Out of range")))))))))*(1+'Assumptions and Catalog'!$C$8)^(A733-1),0)</f>
        <v>5737.3928440842919</v>
      </c>
      <c r="R733" s="5">
        <f>IF(AND('Assumptions and Catalog'!$C$19&gt;0,A733&gt;='Assumptions and Catalog'!$C$19),A733-'Assumptions and Catalog'!$C$19,A733-1)</f>
        <v>6</v>
      </c>
      <c r="S733" s="5">
        <f>F733+L733-(D733+E733)*C733-J733-K733-IF(E$52&gt;0,'Assumptions and Catalog'!$C$26*C733,0)</f>
        <v>0</v>
      </c>
      <c r="T733" s="5"/>
      <c r="U733" s="5"/>
    </row>
    <row r="734" spans="1:21" ht="23.1" customHeight="1" outlineLevel="1" x14ac:dyDescent="0.2">
      <c r="A734" s="5">
        <v>7</v>
      </c>
      <c r="B734" s="5">
        <v>2</v>
      </c>
      <c r="C734" s="5">
        <f>DAY(DATE('Assumptions and Catalog'!$C$24+A734-1,B734+1,0))</f>
        <v>28</v>
      </c>
      <c r="D734" s="5">
        <f>IF(ISNUMBER(Inputs!$L$5),Inputs!$L$5*Inputs!$L$6,0)</f>
        <v>40.35</v>
      </c>
      <c r="E734" s="5">
        <f>IF(ISNUMBER(Inputs!$L$5),Inputs!$L$5-D734,0)</f>
        <v>40.35</v>
      </c>
      <c r="F734" s="5">
        <f>E$51*'Assumptions and Catalog'!$C$31*C734*(1-'Assumptions and Catalog'!$C$10)^(A734-1)</f>
        <v>744.19808487550733</v>
      </c>
      <c r="G734" s="5">
        <f t="shared" si="52"/>
        <v>744.19808487550733</v>
      </c>
      <c r="H734" s="5">
        <f>I734/('Assumptions and Catalog'!$C$11*'Assumptions and Catalog'!$C$12)</f>
        <v>0</v>
      </c>
      <c r="I734" s="5">
        <f>MIN(E734*C734,P734*'Assumptions and Catalog'!$C$12*C734,(F734-G734)*'Assumptions and Catalog'!$C$11*'Assumptions and Catalog'!$C$12,E$56*'Assumptions and Catalog'!$C$14*'Assumptions and Catalog'!$C$11*'Assumptions and Catalog'!$C$12*C734,E$57*(24-'Assumptions and Catalog'!$C$13)*C734)</f>
        <v>0</v>
      </c>
      <c r="J734" s="5">
        <f t="shared" si="53"/>
        <v>0</v>
      </c>
      <c r="K734" s="5">
        <f t="shared" si="54"/>
        <v>0</v>
      </c>
      <c r="L734" s="5">
        <f>(D734+E734)*C734-G734-I734+0+IF(E$52&gt;0,'Assumptions and Catalog'!$C$26*C734,0)</f>
        <v>1515.4019151244925</v>
      </c>
      <c r="M734" s="5">
        <f>IF(ISNUMBER(Inputs!$L$5),(IF(Inputs!$L$9="Actual flat rate",((D734+E734)*C734)*Inputs!$L$10,IF(Inputs!$C$9="Residential",IF(((D734+E734)*C734)&lt;='Assumptions and Catalog'!$C$50,((D734+E734)*C734)*'Assumptions and Catalog'!$H$50+'Assumptions and Catalog'!$E$50+'Assumptions and Catalog'!$F$50,IF(((D734+E734)*C734)&lt;='Assumptions and Catalog'!$C$51,((D734+E734)*C734)*'Assumptions and Catalog'!$H$51+'Assumptions and Catalog'!$E$51+'Assumptions and Catalog'!$F$51,IF(((D734+E734)*C734)&lt;='Assumptions and Catalog'!$C$52,((D734+E734)*C734)*'Assumptions and Catalog'!$H$52+'Assumptions and Catalog'!$E$52+'Assumptions and Catalog'!$F$52,IF(((D734+E734)*C734)&lt;='Assumptions and Catalog'!$C$53,((D734+E734)*C734)*'Assumptions and Catalog'!$H$53+'Assumptions and Catalog'!$E$53+'Assumptions and Catalog'!$F$53,IF(((D734+E734)*C734)&lt;='Assumptions and Catalog'!$C$54,((D734+E734)*C734)*'Assumptions and Catalog'!$H$54+'Assumptions and Catalog'!$E$54+'Assumptions and Catalog'!$F$54,IF(((D734+E734)*C734)&lt;='Assumptions and Catalog'!$C$55,((D734+E734)*C734)*'Assumptions and Catalog'!$H$55+'Assumptions and Catalog'!$E$55+'Assumptions and Catalog'!$F$55,IF(((D734+E734)*C734)&lt;='Assumptions and Catalog'!$C$56,((D734+E734)*C734)*'Assumptions and Catalog'!$H$56+'Assumptions and Catalog'!$E$56+'Assumptions and Catalog'!$F$56,IF(((D734+E734)*C734)&lt;='Assumptions and Catalog'!$C$57,((D734+E734)*C734)*'Assumptions and Catalog'!$H$57+'Assumptions and Catalog'!$E$57+'Assumptions and Catalog'!$F$57,"Out of range")))))))),IF(((D734+E734)*C734)&lt;='Assumptions and Catalog'!$C$60,((D734+E734)*C734)*'Assumptions and Catalog'!$H$60+'Assumptions and Catalog'!$E$60+'Assumptions and Catalog'!$F$60,IF(((D734+E734)*C734)&lt;='Assumptions and Catalog'!$C$61,((D734+E734)*C734)*'Assumptions and Catalog'!$H$61+'Assumptions and Catalog'!$E$61+'Assumptions and Catalog'!$F$61,IF(((D734+E734)*C734)&lt;='Assumptions and Catalog'!$C$62,((D734+E734)*C734)*'Assumptions and Catalog'!$H$62+'Assumptions and Catalog'!$E$62+'Assumptions and Catalog'!$F$62,IF(((D734+E734)*C734)&lt;='Assumptions and Catalog'!$C$63,((D734+E734)*C734)*'Assumptions and Catalog'!$H$63+'Assumptions and Catalog'!$E$63+'Assumptions and Catalog'!$F$63,IF(((D734+E734)*C734)&lt;='Assumptions and Catalog'!$C$64,((D734+E734)*C734)*'Assumptions and Catalog'!$H$64+'Assumptions and Catalog'!$E$64+'Assumptions and Catalog'!$F$64,IF(((D734+E734)*C734)&lt;='Assumptions and Catalog'!$C$65,((D734+E734)*C734)*'Assumptions and Catalog'!$H$65+'Assumptions and Catalog'!$E$65+'Assumptions and Catalog'!$F$65,"Out of range")))))))))*(1+'Assumptions and Catalog'!$C$8)^(A734-1),0)</f>
        <v>7727.0666666666657</v>
      </c>
      <c r="N734" s="5">
        <f>IF(ISNUMBER(Inputs!$L$5),(IF(Inputs!$L$9="Actual flat rate",L734*Inputs!$L$10,IF(Inputs!$C$9="Residential",IF(L734&lt;='Assumptions and Catalog'!$C$50,L734*'Assumptions and Catalog'!$H$50+'Assumptions and Catalog'!$E$50+'Assumptions and Catalog'!$F$50,IF(L734&lt;='Assumptions and Catalog'!$C$51,L734*'Assumptions and Catalog'!$H$51+'Assumptions and Catalog'!$E$51+'Assumptions and Catalog'!$F$51,IF(L734&lt;='Assumptions and Catalog'!$C$52,L734*'Assumptions and Catalog'!$H$52+'Assumptions and Catalog'!$E$52+'Assumptions and Catalog'!$F$52,IF(L734&lt;='Assumptions and Catalog'!$C$53,L734*'Assumptions and Catalog'!$H$53+'Assumptions and Catalog'!$E$53+'Assumptions and Catalog'!$F$53,IF(L734&lt;='Assumptions and Catalog'!$C$54,L734*'Assumptions and Catalog'!$H$54+'Assumptions and Catalog'!$E$54+'Assumptions and Catalog'!$F$54,IF(L734&lt;='Assumptions and Catalog'!$C$55,L734*'Assumptions and Catalog'!$H$55+'Assumptions and Catalog'!$E$55+'Assumptions and Catalog'!$F$55,IF(L734&lt;='Assumptions and Catalog'!$C$56,L734*'Assumptions and Catalog'!$H$56+'Assumptions and Catalog'!$E$56+'Assumptions and Catalog'!$F$56,IF(L734&lt;='Assumptions and Catalog'!$C$57,L734*'Assumptions and Catalog'!$H$57+'Assumptions and Catalog'!$E$57+'Assumptions and Catalog'!$F$57,"Out of range")))))))),IF(L734&lt;='Assumptions and Catalog'!$C$60,L734*'Assumptions and Catalog'!$H$60+'Assumptions and Catalog'!$E$60+'Assumptions and Catalog'!$F$60,IF(L734&lt;='Assumptions and Catalog'!$C$61,L734*'Assumptions and Catalog'!$H$61+'Assumptions and Catalog'!$E$61+'Assumptions and Catalog'!$F$61,IF(L734&lt;='Assumptions and Catalog'!$C$62,L734*'Assumptions and Catalog'!$H$62+'Assumptions and Catalog'!$E$62+'Assumptions and Catalog'!$F$62,IF(L734&lt;='Assumptions and Catalog'!$C$63,L734*'Assumptions and Catalog'!$H$63+'Assumptions and Catalog'!$E$63+'Assumptions and Catalog'!$F$63,IF(L734&lt;='Assumptions and Catalog'!$C$64,L734*'Assumptions and Catalog'!$H$64+'Assumptions and Catalog'!$E$64+'Assumptions and Catalog'!$F$64,IF(L734&lt;='Assumptions and Catalog'!$C$65,L734*'Assumptions and Catalog'!$H$65+'Assumptions and Catalog'!$E$65+'Assumptions and Catalog'!$F$65,"Out of range")))))))))*(1+'Assumptions and Catalog'!$C$8)^(A734-1),0)</f>
        <v>5182.1612785277457</v>
      </c>
      <c r="O734" s="5">
        <f t="shared" si="55"/>
        <v>2544.90538813892</v>
      </c>
      <c r="P734" s="5">
        <f>E$55*(1-L$14)*(1-'Assumptions and Catalog'!$C$23)^R734</f>
        <v>90.71025980047358</v>
      </c>
      <c r="Q734" s="5">
        <f>IF(ISNUMBER(Inputs!$L$5),(IF(Inputs!$L$9="Actual flat rate",((D734+E734)*C734-G734)*Inputs!$L$10,IF(Inputs!$C$9="Residential",IF(((D734+E734)*C734-G734)&lt;='Assumptions and Catalog'!$C$50,((D734+E734)*C734-G734)*'Assumptions and Catalog'!$H$50+'Assumptions and Catalog'!$E$50+'Assumptions and Catalog'!$F$50,IF(((D734+E734)*C734-G734)&lt;='Assumptions and Catalog'!$C$51,((D734+E734)*C734-G734)*'Assumptions and Catalog'!$H$51+'Assumptions and Catalog'!$E$51+'Assumptions and Catalog'!$F$51,IF(((D734+E734)*C734-G734)&lt;='Assumptions and Catalog'!$C$52,((D734+E734)*C734-G734)*'Assumptions and Catalog'!$H$52+'Assumptions and Catalog'!$E$52+'Assumptions and Catalog'!$F$52,IF(((D734+E734)*C734-G734)&lt;='Assumptions and Catalog'!$C$53,((D734+E734)*C734-G734)*'Assumptions and Catalog'!$H$53+'Assumptions and Catalog'!$E$53+'Assumptions and Catalog'!$F$53,IF(((D734+E734)*C734-G734)&lt;='Assumptions and Catalog'!$C$54,((D734+E734)*C734-G734)*'Assumptions and Catalog'!$H$54+'Assumptions and Catalog'!$E$54+'Assumptions and Catalog'!$F$54,IF(((D734+E734)*C734-G734)&lt;='Assumptions and Catalog'!$C$55,((D734+E734)*C734-G734)*'Assumptions and Catalog'!$H$55+'Assumptions and Catalog'!$E$55+'Assumptions and Catalog'!$F$55,IF(((D734+E734)*C734-G734)&lt;='Assumptions and Catalog'!$C$56,((D734+E734)*C734-G734)*'Assumptions and Catalog'!$H$56+'Assumptions and Catalog'!$E$56+'Assumptions and Catalog'!$F$56,IF(((D734+E734)*C734-G734)&lt;='Assumptions and Catalog'!$C$57,((D734+E734)*C734-G734)*'Assumptions and Catalog'!$H$57+'Assumptions and Catalog'!$E$57+'Assumptions and Catalog'!$F$57,"Out of range")))))))),IF(((D734+E734)*C734-G734)&lt;='Assumptions and Catalog'!$C$60,((D734+E734)*C734-G734)*'Assumptions and Catalog'!$H$60+'Assumptions and Catalog'!$E$60+'Assumptions and Catalog'!$F$60,IF(((D734+E734)*C734-G734)&lt;='Assumptions and Catalog'!$C$61,((D734+E734)*C734-G734)*'Assumptions and Catalog'!$H$61+'Assumptions and Catalog'!$E$61+'Assumptions and Catalog'!$F$61,IF(((D734+E734)*C734-G734)&lt;='Assumptions and Catalog'!$C$62,((D734+E734)*C734-G734)*'Assumptions and Catalog'!$H$62+'Assumptions and Catalog'!$E$62+'Assumptions and Catalog'!$F$62,IF(((D734+E734)*C734-G734)&lt;='Assumptions and Catalog'!$C$63,((D734+E734)*C734-G734)*'Assumptions and Catalog'!$H$63+'Assumptions and Catalog'!$E$63+'Assumptions and Catalog'!$F$63,IF(((D734+E734)*C734-G734)&lt;='Assumptions and Catalog'!$C$64,((D734+E734)*C734-G734)*'Assumptions and Catalog'!$H$64+'Assumptions and Catalog'!$E$64+'Assumptions and Catalog'!$F$64,IF(((D734+E734)*C734-G734)&lt;='Assumptions and Catalog'!$C$65,((D734+E734)*C734-G734)*'Assumptions and Catalog'!$H$65+'Assumptions and Catalog'!$E$65+'Assumptions and Catalog'!$F$65,"Out of range")))))))))*(1+'Assumptions and Catalog'!$C$8)^(A734-1),0)</f>
        <v>5182.1612785277457</v>
      </c>
      <c r="R734" s="5">
        <f>IF(AND('Assumptions and Catalog'!$C$19&gt;0,A734&gt;='Assumptions and Catalog'!$C$19),A734-'Assumptions and Catalog'!$C$19,A734-1)</f>
        <v>6</v>
      </c>
      <c r="S734" s="5">
        <f>F734+L734-(D734+E734)*C734-J734-K734-IF(E$52&gt;0,'Assumptions and Catalog'!$C$26*C734,0)</f>
        <v>0</v>
      </c>
      <c r="T734" s="5"/>
      <c r="U734" s="5"/>
    </row>
    <row r="735" spans="1:21" ht="23.1" customHeight="1" outlineLevel="1" x14ac:dyDescent="0.2">
      <c r="A735" s="5">
        <v>7</v>
      </c>
      <c r="B735" s="5">
        <v>3</v>
      </c>
      <c r="C735" s="5">
        <f>DAY(DATE('Assumptions and Catalog'!$C$24+A735-1,B735+1,0))</f>
        <v>31</v>
      </c>
      <c r="D735" s="5">
        <f>IF(ISNUMBER(Inputs!$L$5),Inputs!$L$5*Inputs!$L$6,0)</f>
        <v>40.35</v>
      </c>
      <c r="E735" s="5">
        <f>IF(ISNUMBER(Inputs!$L$5),Inputs!$L$5-D735,0)</f>
        <v>40.35</v>
      </c>
      <c r="F735" s="5">
        <f>E$51*'Assumptions and Catalog'!$C$31*C735*(1-'Assumptions and Catalog'!$C$10)^(A735-1)</f>
        <v>823.93359396931169</v>
      </c>
      <c r="G735" s="5">
        <f t="shared" si="52"/>
        <v>823.93359396931169</v>
      </c>
      <c r="H735" s="5">
        <f>I735/('Assumptions and Catalog'!$C$11*'Assumptions and Catalog'!$C$12)</f>
        <v>0</v>
      </c>
      <c r="I735" s="5">
        <f>MIN(E735*C735,P735*'Assumptions and Catalog'!$C$12*C735,(F735-G735)*'Assumptions and Catalog'!$C$11*'Assumptions and Catalog'!$C$12,E$56*'Assumptions and Catalog'!$C$14*'Assumptions and Catalog'!$C$11*'Assumptions and Catalog'!$C$12*C735,E$57*(24-'Assumptions and Catalog'!$C$13)*C735)</f>
        <v>0</v>
      </c>
      <c r="J735" s="5">
        <f t="shared" si="53"/>
        <v>0</v>
      </c>
      <c r="K735" s="5">
        <f t="shared" si="54"/>
        <v>0</v>
      </c>
      <c r="L735" s="5">
        <f>(D735+E735)*C735-G735-I735+0+IF(E$52&gt;0,'Assumptions and Catalog'!$C$26*C735,0)</f>
        <v>1677.7664060306886</v>
      </c>
      <c r="M735" s="5">
        <f>IF(ISNUMBER(Inputs!$L$5),(IF(Inputs!$L$9="Actual flat rate",((D735+E735)*C735)*Inputs!$L$10,IF(Inputs!$C$9="Residential",IF(((D735+E735)*C735)&lt;='Assumptions and Catalog'!$C$50,((D735+E735)*C735)*'Assumptions and Catalog'!$H$50+'Assumptions and Catalog'!$E$50+'Assumptions and Catalog'!$F$50,IF(((D735+E735)*C735)&lt;='Assumptions and Catalog'!$C$51,((D735+E735)*C735)*'Assumptions and Catalog'!$H$51+'Assumptions and Catalog'!$E$51+'Assumptions and Catalog'!$F$51,IF(((D735+E735)*C735)&lt;='Assumptions and Catalog'!$C$52,((D735+E735)*C735)*'Assumptions and Catalog'!$H$52+'Assumptions and Catalog'!$E$52+'Assumptions and Catalog'!$F$52,IF(((D735+E735)*C735)&lt;='Assumptions and Catalog'!$C$53,((D735+E735)*C735)*'Assumptions and Catalog'!$H$53+'Assumptions and Catalog'!$E$53+'Assumptions and Catalog'!$F$53,IF(((D735+E735)*C735)&lt;='Assumptions and Catalog'!$C$54,((D735+E735)*C735)*'Assumptions and Catalog'!$H$54+'Assumptions and Catalog'!$E$54+'Assumptions and Catalog'!$F$54,IF(((D735+E735)*C735)&lt;='Assumptions and Catalog'!$C$55,((D735+E735)*C735)*'Assumptions and Catalog'!$H$55+'Assumptions and Catalog'!$E$55+'Assumptions and Catalog'!$F$55,IF(((D735+E735)*C735)&lt;='Assumptions and Catalog'!$C$56,((D735+E735)*C735)*'Assumptions and Catalog'!$H$56+'Assumptions and Catalog'!$E$56+'Assumptions and Catalog'!$F$56,IF(((D735+E735)*C735)&lt;='Assumptions and Catalog'!$C$57,((D735+E735)*C735)*'Assumptions and Catalog'!$H$57+'Assumptions and Catalog'!$E$57+'Assumptions and Catalog'!$F$57,"Out of range")))))))),IF(((D735+E735)*C735)&lt;='Assumptions and Catalog'!$C$60,((D735+E735)*C735)*'Assumptions and Catalog'!$H$60+'Assumptions and Catalog'!$E$60+'Assumptions and Catalog'!$F$60,IF(((D735+E735)*C735)&lt;='Assumptions and Catalog'!$C$61,((D735+E735)*C735)*'Assumptions and Catalog'!$H$61+'Assumptions and Catalog'!$E$61+'Assumptions and Catalog'!$F$61,IF(((D735+E735)*C735)&lt;='Assumptions and Catalog'!$C$62,((D735+E735)*C735)*'Assumptions and Catalog'!$H$62+'Assumptions and Catalog'!$E$62+'Assumptions and Catalog'!$F$62,IF(((D735+E735)*C735)&lt;='Assumptions and Catalog'!$C$63,((D735+E735)*C735)*'Assumptions and Catalog'!$H$63+'Assumptions and Catalog'!$E$63+'Assumptions and Catalog'!$F$63,IF(((D735+E735)*C735)&lt;='Assumptions and Catalog'!$C$64,((D735+E735)*C735)*'Assumptions and Catalog'!$H$64+'Assumptions and Catalog'!$E$64+'Assumptions and Catalog'!$F$64,IF(((D735+E735)*C735)&lt;='Assumptions and Catalog'!$C$65,((D735+E735)*C735)*'Assumptions and Catalog'!$H$65+'Assumptions and Catalog'!$E$65+'Assumptions and Catalog'!$F$65,"Out of range")))))))))*(1+'Assumptions and Catalog'!$C$8)^(A735-1),0)</f>
        <v>8554.9666666666672</v>
      </c>
      <c r="N735" s="5">
        <f>IF(ISNUMBER(Inputs!$L$5),(IF(Inputs!$L$9="Actual flat rate",L735*Inputs!$L$10,IF(Inputs!$C$9="Residential",IF(L735&lt;='Assumptions and Catalog'!$C$50,L735*'Assumptions and Catalog'!$H$50+'Assumptions and Catalog'!$E$50+'Assumptions and Catalog'!$F$50,IF(L735&lt;='Assumptions and Catalog'!$C$51,L735*'Assumptions and Catalog'!$H$51+'Assumptions and Catalog'!$E$51+'Assumptions and Catalog'!$F$51,IF(L735&lt;='Assumptions and Catalog'!$C$52,L735*'Assumptions and Catalog'!$H$52+'Assumptions and Catalog'!$E$52+'Assumptions and Catalog'!$F$52,IF(L735&lt;='Assumptions and Catalog'!$C$53,L735*'Assumptions and Catalog'!$H$53+'Assumptions and Catalog'!$E$53+'Assumptions and Catalog'!$F$53,IF(L735&lt;='Assumptions and Catalog'!$C$54,L735*'Assumptions and Catalog'!$H$54+'Assumptions and Catalog'!$E$54+'Assumptions and Catalog'!$F$54,IF(L735&lt;='Assumptions and Catalog'!$C$55,L735*'Assumptions and Catalog'!$H$55+'Assumptions and Catalog'!$E$55+'Assumptions and Catalog'!$F$55,IF(L735&lt;='Assumptions and Catalog'!$C$56,L735*'Assumptions and Catalog'!$H$56+'Assumptions and Catalog'!$E$56+'Assumptions and Catalog'!$F$56,IF(L735&lt;='Assumptions and Catalog'!$C$57,L735*'Assumptions and Catalog'!$H$57+'Assumptions and Catalog'!$E$57+'Assumptions and Catalog'!$F$57,"Out of range")))))))),IF(L735&lt;='Assumptions and Catalog'!$C$60,L735*'Assumptions and Catalog'!$H$60+'Assumptions and Catalog'!$E$60+'Assumptions and Catalog'!$F$60,IF(L735&lt;='Assumptions and Catalog'!$C$61,L735*'Assumptions and Catalog'!$H$61+'Assumptions and Catalog'!$E$61+'Assumptions and Catalog'!$F$61,IF(L735&lt;='Assumptions and Catalog'!$C$62,L735*'Assumptions and Catalog'!$H$62+'Assumptions and Catalog'!$E$62+'Assumptions and Catalog'!$F$62,IF(L735&lt;='Assumptions and Catalog'!$C$63,L735*'Assumptions and Catalog'!$H$63+'Assumptions and Catalog'!$E$63+'Assumptions and Catalog'!$F$63,IF(L735&lt;='Assumptions and Catalog'!$C$64,L735*'Assumptions and Catalog'!$H$64+'Assumptions and Catalog'!$E$64+'Assumptions and Catalog'!$F$64,IF(L735&lt;='Assumptions and Catalog'!$C$65,L735*'Assumptions and Catalog'!$H$65+'Assumptions and Catalog'!$E$65+'Assumptions and Catalog'!$F$65,"Out of range")))))))))*(1+'Assumptions and Catalog'!$C$8)^(A735-1),0)</f>
        <v>5737.3928440842919</v>
      </c>
      <c r="O735" s="5">
        <f t="shared" si="55"/>
        <v>2817.5738225823752</v>
      </c>
      <c r="P735" s="5">
        <f>E$55*(1-L$14)*(1-'Assumptions and Catalog'!$C$23)^R735</f>
        <v>90.71025980047358</v>
      </c>
      <c r="Q735" s="5">
        <f>IF(ISNUMBER(Inputs!$L$5),(IF(Inputs!$L$9="Actual flat rate",((D735+E735)*C735-G735)*Inputs!$L$10,IF(Inputs!$C$9="Residential",IF(((D735+E735)*C735-G735)&lt;='Assumptions and Catalog'!$C$50,((D735+E735)*C735-G735)*'Assumptions and Catalog'!$H$50+'Assumptions and Catalog'!$E$50+'Assumptions and Catalog'!$F$50,IF(((D735+E735)*C735-G735)&lt;='Assumptions and Catalog'!$C$51,((D735+E735)*C735-G735)*'Assumptions and Catalog'!$H$51+'Assumptions and Catalog'!$E$51+'Assumptions and Catalog'!$F$51,IF(((D735+E735)*C735-G735)&lt;='Assumptions and Catalog'!$C$52,((D735+E735)*C735-G735)*'Assumptions and Catalog'!$H$52+'Assumptions and Catalog'!$E$52+'Assumptions and Catalog'!$F$52,IF(((D735+E735)*C735-G735)&lt;='Assumptions and Catalog'!$C$53,((D735+E735)*C735-G735)*'Assumptions and Catalog'!$H$53+'Assumptions and Catalog'!$E$53+'Assumptions and Catalog'!$F$53,IF(((D735+E735)*C735-G735)&lt;='Assumptions and Catalog'!$C$54,((D735+E735)*C735-G735)*'Assumptions and Catalog'!$H$54+'Assumptions and Catalog'!$E$54+'Assumptions and Catalog'!$F$54,IF(((D735+E735)*C735-G735)&lt;='Assumptions and Catalog'!$C$55,((D735+E735)*C735-G735)*'Assumptions and Catalog'!$H$55+'Assumptions and Catalog'!$E$55+'Assumptions and Catalog'!$F$55,IF(((D735+E735)*C735-G735)&lt;='Assumptions and Catalog'!$C$56,((D735+E735)*C735-G735)*'Assumptions and Catalog'!$H$56+'Assumptions and Catalog'!$E$56+'Assumptions and Catalog'!$F$56,IF(((D735+E735)*C735-G735)&lt;='Assumptions and Catalog'!$C$57,((D735+E735)*C735-G735)*'Assumptions and Catalog'!$H$57+'Assumptions and Catalog'!$E$57+'Assumptions and Catalog'!$F$57,"Out of range")))))))),IF(((D735+E735)*C735-G735)&lt;='Assumptions and Catalog'!$C$60,((D735+E735)*C735-G735)*'Assumptions and Catalog'!$H$60+'Assumptions and Catalog'!$E$60+'Assumptions and Catalog'!$F$60,IF(((D735+E735)*C735-G735)&lt;='Assumptions and Catalog'!$C$61,((D735+E735)*C735-G735)*'Assumptions and Catalog'!$H$61+'Assumptions and Catalog'!$E$61+'Assumptions and Catalog'!$F$61,IF(((D735+E735)*C735-G735)&lt;='Assumptions and Catalog'!$C$62,((D735+E735)*C735-G735)*'Assumptions and Catalog'!$H$62+'Assumptions and Catalog'!$E$62+'Assumptions and Catalog'!$F$62,IF(((D735+E735)*C735-G735)&lt;='Assumptions and Catalog'!$C$63,((D735+E735)*C735-G735)*'Assumptions and Catalog'!$H$63+'Assumptions and Catalog'!$E$63+'Assumptions and Catalog'!$F$63,IF(((D735+E735)*C735-G735)&lt;='Assumptions and Catalog'!$C$64,((D735+E735)*C735-G735)*'Assumptions and Catalog'!$H$64+'Assumptions and Catalog'!$E$64+'Assumptions and Catalog'!$F$64,IF(((D735+E735)*C735-G735)&lt;='Assumptions and Catalog'!$C$65,((D735+E735)*C735-G735)*'Assumptions and Catalog'!$H$65+'Assumptions and Catalog'!$E$65+'Assumptions and Catalog'!$F$65,"Out of range")))))))))*(1+'Assumptions and Catalog'!$C$8)^(A735-1),0)</f>
        <v>5737.3928440842919</v>
      </c>
      <c r="R735" s="5">
        <f>IF(AND('Assumptions and Catalog'!$C$19&gt;0,A735&gt;='Assumptions and Catalog'!$C$19),A735-'Assumptions and Catalog'!$C$19,A735-1)</f>
        <v>6</v>
      </c>
      <c r="S735" s="5">
        <f>F735+L735-(D735+E735)*C735-J735-K735-IF(E$52&gt;0,'Assumptions and Catalog'!$C$26*C735,0)</f>
        <v>0</v>
      </c>
      <c r="T735" s="5"/>
      <c r="U735" s="5"/>
    </row>
    <row r="736" spans="1:21" ht="23.1" customHeight="1" outlineLevel="1" x14ac:dyDescent="0.2">
      <c r="A736" s="5">
        <v>7</v>
      </c>
      <c r="B736" s="5">
        <v>4</v>
      </c>
      <c r="C736" s="5">
        <f>DAY(DATE('Assumptions and Catalog'!$C$24+A736-1,B736+1,0))</f>
        <v>30</v>
      </c>
      <c r="D736" s="5">
        <f>IF(ISNUMBER(Inputs!$L$5),Inputs!$L$5*Inputs!$L$6,0)</f>
        <v>40.35</v>
      </c>
      <c r="E736" s="5">
        <f>IF(ISNUMBER(Inputs!$L$5),Inputs!$L$5-D736,0)</f>
        <v>40.35</v>
      </c>
      <c r="F736" s="5">
        <f>E$51*'Assumptions and Catalog'!$C$31*C736*(1-'Assumptions and Catalog'!$C$10)^(A736-1)</f>
        <v>797.35509093804365</v>
      </c>
      <c r="G736" s="5">
        <f t="shared" si="52"/>
        <v>797.35509093804365</v>
      </c>
      <c r="H736" s="5">
        <f>I736/('Assumptions and Catalog'!$C$11*'Assumptions and Catalog'!$C$12)</f>
        <v>0</v>
      </c>
      <c r="I736" s="5">
        <f>MIN(E736*C736,P736*'Assumptions and Catalog'!$C$12*C736,(F736-G736)*'Assumptions and Catalog'!$C$11*'Assumptions and Catalog'!$C$12,E$56*'Assumptions and Catalog'!$C$14*'Assumptions and Catalog'!$C$11*'Assumptions and Catalog'!$C$12*C736,E$57*(24-'Assumptions and Catalog'!$C$13)*C736)</f>
        <v>0</v>
      </c>
      <c r="J736" s="5">
        <f t="shared" si="53"/>
        <v>0</v>
      </c>
      <c r="K736" s="5">
        <f t="shared" si="54"/>
        <v>0</v>
      </c>
      <c r="L736" s="5">
        <f>(D736+E736)*C736-G736-I736+0+IF(E$52&gt;0,'Assumptions and Catalog'!$C$26*C736,0)</f>
        <v>1623.6449090619562</v>
      </c>
      <c r="M736" s="5">
        <f>IF(ISNUMBER(Inputs!$L$5),(IF(Inputs!$L$9="Actual flat rate",((D736+E736)*C736)*Inputs!$L$10,IF(Inputs!$C$9="Residential",IF(((D736+E736)*C736)&lt;='Assumptions and Catalog'!$C$50,((D736+E736)*C736)*'Assumptions and Catalog'!$H$50+'Assumptions and Catalog'!$E$50+'Assumptions and Catalog'!$F$50,IF(((D736+E736)*C736)&lt;='Assumptions and Catalog'!$C$51,((D736+E736)*C736)*'Assumptions and Catalog'!$H$51+'Assumptions and Catalog'!$E$51+'Assumptions and Catalog'!$F$51,IF(((D736+E736)*C736)&lt;='Assumptions and Catalog'!$C$52,((D736+E736)*C736)*'Assumptions and Catalog'!$H$52+'Assumptions and Catalog'!$E$52+'Assumptions and Catalog'!$F$52,IF(((D736+E736)*C736)&lt;='Assumptions and Catalog'!$C$53,((D736+E736)*C736)*'Assumptions and Catalog'!$H$53+'Assumptions and Catalog'!$E$53+'Assumptions and Catalog'!$F$53,IF(((D736+E736)*C736)&lt;='Assumptions and Catalog'!$C$54,((D736+E736)*C736)*'Assumptions and Catalog'!$H$54+'Assumptions and Catalog'!$E$54+'Assumptions and Catalog'!$F$54,IF(((D736+E736)*C736)&lt;='Assumptions and Catalog'!$C$55,((D736+E736)*C736)*'Assumptions and Catalog'!$H$55+'Assumptions and Catalog'!$E$55+'Assumptions and Catalog'!$F$55,IF(((D736+E736)*C736)&lt;='Assumptions and Catalog'!$C$56,((D736+E736)*C736)*'Assumptions and Catalog'!$H$56+'Assumptions and Catalog'!$E$56+'Assumptions and Catalog'!$F$56,IF(((D736+E736)*C736)&lt;='Assumptions and Catalog'!$C$57,((D736+E736)*C736)*'Assumptions and Catalog'!$H$57+'Assumptions and Catalog'!$E$57+'Assumptions and Catalog'!$F$57,"Out of range")))))))),IF(((D736+E736)*C736)&lt;='Assumptions and Catalog'!$C$60,((D736+E736)*C736)*'Assumptions and Catalog'!$H$60+'Assumptions and Catalog'!$E$60+'Assumptions and Catalog'!$F$60,IF(((D736+E736)*C736)&lt;='Assumptions and Catalog'!$C$61,((D736+E736)*C736)*'Assumptions and Catalog'!$H$61+'Assumptions and Catalog'!$E$61+'Assumptions and Catalog'!$F$61,IF(((D736+E736)*C736)&lt;='Assumptions and Catalog'!$C$62,((D736+E736)*C736)*'Assumptions and Catalog'!$H$62+'Assumptions and Catalog'!$E$62+'Assumptions and Catalog'!$F$62,IF(((D736+E736)*C736)&lt;='Assumptions and Catalog'!$C$63,((D736+E736)*C736)*'Assumptions and Catalog'!$H$63+'Assumptions and Catalog'!$E$63+'Assumptions and Catalog'!$F$63,IF(((D736+E736)*C736)&lt;='Assumptions and Catalog'!$C$64,((D736+E736)*C736)*'Assumptions and Catalog'!$H$64+'Assumptions and Catalog'!$E$64+'Assumptions and Catalog'!$F$64,IF(((D736+E736)*C736)&lt;='Assumptions and Catalog'!$C$65,((D736+E736)*C736)*'Assumptions and Catalog'!$H$65+'Assumptions and Catalog'!$E$65+'Assumptions and Catalog'!$F$65,"Out of range")))))))))*(1+'Assumptions and Catalog'!$C$8)^(A736-1),0)</f>
        <v>8279</v>
      </c>
      <c r="N736" s="5">
        <f>IF(ISNUMBER(Inputs!$L$5),(IF(Inputs!$L$9="Actual flat rate",L736*Inputs!$L$10,IF(Inputs!$C$9="Residential",IF(L736&lt;='Assumptions and Catalog'!$C$50,L736*'Assumptions and Catalog'!$H$50+'Assumptions and Catalog'!$E$50+'Assumptions and Catalog'!$F$50,IF(L736&lt;='Assumptions and Catalog'!$C$51,L736*'Assumptions and Catalog'!$H$51+'Assumptions and Catalog'!$E$51+'Assumptions and Catalog'!$F$51,IF(L736&lt;='Assumptions and Catalog'!$C$52,L736*'Assumptions and Catalog'!$H$52+'Assumptions and Catalog'!$E$52+'Assumptions and Catalog'!$F$52,IF(L736&lt;='Assumptions and Catalog'!$C$53,L736*'Assumptions and Catalog'!$H$53+'Assumptions and Catalog'!$E$53+'Assumptions and Catalog'!$F$53,IF(L736&lt;='Assumptions and Catalog'!$C$54,L736*'Assumptions and Catalog'!$H$54+'Assumptions and Catalog'!$E$54+'Assumptions and Catalog'!$F$54,IF(L736&lt;='Assumptions and Catalog'!$C$55,L736*'Assumptions and Catalog'!$H$55+'Assumptions and Catalog'!$E$55+'Assumptions and Catalog'!$F$55,IF(L736&lt;='Assumptions and Catalog'!$C$56,L736*'Assumptions and Catalog'!$H$56+'Assumptions and Catalog'!$E$56+'Assumptions and Catalog'!$F$56,IF(L736&lt;='Assumptions and Catalog'!$C$57,L736*'Assumptions and Catalog'!$H$57+'Assumptions and Catalog'!$E$57+'Assumptions and Catalog'!$F$57,"Out of range")))))))),IF(L736&lt;='Assumptions and Catalog'!$C$60,L736*'Assumptions and Catalog'!$H$60+'Assumptions and Catalog'!$E$60+'Assumptions and Catalog'!$F$60,IF(L736&lt;='Assumptions and Catalog'!$C$61,L736*'Assumptions and Catalog'!$H$61+'Assumptions and Catalog'!$E$61+'Assumptions and Catalog'!$F$61,IF(L736&lt;='Assumptions and Catalog'!$C$62,L736*'Assumptions and Catalog'!$H$62+'Assumptions and Catalog'!$E$62+'Assumptions and Catalog'!$F$62,IF(L736&lt;='Assumptions and Catalog'!$C$63,L736*'Assumptions and Catalog'!$H$63+'Assumptions and Catalog'!$E$63+'Assumptions and Catalog'!$F$63,IF(L736&lt;='Assumptions and Catalog'!$C$64,L736*'Assumptions and Catalog'!$H$64+'Assumptions and Catalog'!$E$64+'Assumptions and Catalog'!$F$64,IF(L736&lt;='Assumptions and Catalog'!$C$65,L736*'Assumptions and Catalog'!$H$65+'Assumptions and Catalog'!$E$65+'Assumptions and Catalog'!$F$65,"Out of range")))))))))*(1+'Assumptions and Catalog'!$C$8)^(A736-1),0)</f>
        <v>5552.3156555654423</v>
      </c>
      <c r="O736" s="5">
        <f t="shared" si="55"/>
        <v>2726.6843444345577</v>
      </c>
      <c r="P736" s="5">
        <f>E$55*(1-L$14)*(1-'Assumptions and Catalog'!$C$23)^R736</f>
        <v>90.71025980047358</v>
      </c>
      <c r="Q736" s="5">
        <f>IF(ISNUMBER(Inputs!$L$5),(IF(Inputs!$L$9="Actual flat rate",((D736+E736)*C736-G736)*Inputs!$L$10,IF(Inputs!$C$9="Residential",IF(((D736+E736)*C736-G736)&lt;='Assumptions and Catalog'!$C$50,((D736+E736)*C736-G736)*'Assumptions and Catalog'!$H$50+'Assumptions and Catalog'!$E$50+'Assumptions and Catalog'!$F$50,IF(((D736+E736)*C736-G736)&lt;='Assumptions and Catalog'!$C$51,((D736+E736)*C736-G736)*'Assumptions and Catalog'!$H$51+'Assumptions and Catalog'!$E$51+'Assumptions and Catalog'!$F$51,IF(((D736+E736)*C736-G736)&lt;='Assumptions and Catalog'!$C$52,((D736+E736)*C736-G736)*'Assumptions and Catalog'!$H$52+'Assumptions and Catalog'!$E$52+'Assumptions and Catalog'!$F$52,IF(((D736+E736)*C736-G736)&lt;='Assumptions and Catalog'!$C$53,((D736+E736)*C736-G736)*'Assumptions and Catalog'!$H$53+'Assumptions and Catalog'!$E$53+'Assumptions and Catalog'!$F$53,IF(((D736+E736)*C736-G736)&lt;='Assumptions and Catalog'!$C$54,((D736+E736)*C736-G736)*'Assumptions and Catalog'!$H$54+'Assumptions and Catalog'!$E$54+'Assumptions and Catalog'!$F$54,IF(((D736+E736)*C736-G736)&lt;='Assumptions and Catalog'!$C$55,((D736+E736)*C736-G736)*'Assumptions and Catalog'!$H$55+'Assumptions and Catalog'!$E$55+'Assumptions and Catalog'!$F$55,IF(((D736+E736)*C736-G736)&lt;='Assumptions and Catalog'!$C$56,((D736+E736)*C736-G736)*'Assumptions and Catalog'!$H$56+'Assumptions and Catalog'!$E$56+'Assumptions and Catalog'!$F$56,IF(((D736+E736)*C736-G736)&lt;='Assumptions and Catalog'!$C$57,((D736+E736)*C736-G736)*'Assumptions and Catalog'!$H$57+'Assumptions and Catalog'!$E$57+'Assumptions and Catalog'!$F$57,"Out of range")))))))),IF(((D736+E736)*C736-G736)&lt;='Assumptions and Catalog'!$C$60,((D736+E736)*C736-G736)*'Assumptions and Catalog'!$H$60+'Assumptions and Catalog'!$E$60+'Assumptions and Catalog'!$F$60,IF(((D736+E736)*C736-G736)&lt;='Assumptions and Catalog'!$C$61,((D736+E736)*C736-G736)*'Assumptions and Catalog'!$H$61+'Assumptions and Catalog'!$E$61+'Assumptions and Catalog'!$F$61,IF(((D736+E736)*C736-G736)&lt;='Assumptions and Catalog'!$C$62,((D736+E736)*C736-G736)*'Assumptions and Catalog'!$H$62+'Assumptions and Catalog'!$E$62+'Assumptions and Catalog'!$F$62,IF(((D736+E736)*C736-G736)&lt;='Assumptions and Catalog'!$C$63,((D736+E736)*C736-G736)*'Assumptions and Catalog'!$H$63+'Assumptions and Catalog'!$E$63+'Assumptions and Catalog'!$F$63,IF(((D736+E736)*C736-G736)&lt;='Assumptions and Catalog'!$C$64,((D736+E736)*C736-G736)*'Assumptions and Catalog'!$H$64+'Assumptions and Catalog'!$E$64+'Assumptions and Catalog'!$F$64,IF(((D736+E736)*C736-G736)&lt;='Assumptions and Catalog'!$C$65,((D736+E736)*C736-G736)*'Assumptions and Catalog'!$H$65+'Assumptions and Catalog'!$E$65+'Assumptions and Catalog'!$F$65,"Out of range")))))))))*(1+'Assumptions and Catalog'!$C$8)^(A736-1),0)</f>
        <v>5552.3156555654423</v>
      </c>
      <c r="R736" s="5">
        <f>IF(AND('Assumptions and Catalog'!$C$19&gt;0,A736&gt;='Assumptions and Catalog'!$C$19),A736-'Assumptions and Catalog'!$C$19,A736-1)</f>
        <v>6</v>
      </c>
      <c r="S736" s="5">
        <f>F736+L736-(D736+E736)*C736-J736-K736-IF(E$52&gt;0,'Assumptions and Catalog'!$C$26*C736,0)</f>
        <v>0</v>
      </c>
      <c r="T736" s="5"/>
      <c r="U736" s="5"/>
    </row>
    <row r="737" spans="1:21" ht="23.1" customHeight="1" outlineLevel="1" x14ac:dyDescent="0.2">
      <c r="A737" s="5">
        <v>7</v>
      </c>
      <c r="B737" s="5">
        <v>5</v>
      </c>
      <c r="C737" s="5">
        <f>DAY(DATE('Assumptions and Catalog'!$C$24+A737-1,B737+1,0))</f>
        <v>31</v>
      </c>
      <c r="D737" s="5">
        <f>IF(ISNUMBER(Inputs!$L$5),Inputs!$L$5*Inputs!$L$6,0)</f>
        <v>40.35</v>
      </c>
      <c r="E737" s="5">
        <f>IF(ISNUMBER(Inputs!$L$5),Inputs!$L$5-D737,0)</f>
        <v>40.35</v>
      </c>
      <c r="F737" s="5">
        <f>E$51*'Assumptions and Catalog'!$C$31*C737*(1-'Assumptions and Catalog'!$C$10)^(A737-1)</f>
        <v>823.93359396931169</v>
      </c>
      <c r="G737" s="5">
        <f t="shared" si="52"/>
        <v>823.93359396931169</v>
      </c>
      <c r="H737" s="5">
        <f>I737/('Assumptions and Catalog'!$C$11*'Assumptions and Catalog'!$C$12)</f>
        <v>0</v>
      </c>
      <c r="I737" s="5">
        <f>MIN(E737*C737,P737*'Assumptions and Catalog'!$C$12*C737,(F737-G737)*'Assumptions and Catalog'!$C$11*'Assumptions and Catalog'!$C$12,E$56*'Assumptions and Catalog'!$C$14*'Assumptions and Catalog'!$C$11*'Assumptions and Catalog'!$C$12*C737,E$57*(24-'Assumptions and Catalog'!$C$13)*C737)</f>
        <v>0</v>
      </c>
      <c r="J737" s="5">
        <f t="shared" si="53"/>
        <v>0</v>
      </c>
      <c r="K737" s="5">
        <f t="shared" si="54"/>
        <v>0</v>
      </c>
      <c r="L737" s="5">
        <f>(D737+E737)*C737-G737-I737+0+IF(E$52&gt;0,'Assumptions and Catalog'!$C$26*C737,0)</f>
        <v>1677.7664060306886</v>
      </c>
      <c r="M737" s="5">
        <f>IF(ISNUMBER(Inputs!$L$5),(IF(Inputs!$L$9="Actual flat rate",((D737+E737)*C737)*Inputs!$L$10,IF(Inputs!$C$9="Residential",IF(((D737+E737)*C737)&lt;='Assumptions and Catalog'!$C$50,((D737+E737)*C737)*'Assumptions and Catalog'!$H$50+'Assumptions and Catalog'!$E$50+'Assumptions and Catalog'!$F$50,IF(((D737+E737)*C737)&lt;='Assumptions and Catalog'!$C$51,((D737+E737)*C737)*'Assumptions and Catalog'!$H$51+'Assumptions and Catalog'!$E$51+'Assumptions and Catalog'!$F$51,IF(((D737+E737)*C737)&lt;='Assumptions and Catalog'!$C$52,((D737+E737)*C737)*'Assumptions and Catalog'!$H$52+'Assumptions and Catalog'!$E$52+'Assumptions and Catalog'!$F$52,IF(((D737+E737)*C737)&lt;='Assumptions and Catalog'!$C$53,((D737+E737)*C737)*'Assumptions and Catalog'!$H$53+'Assumptions and Catalog'!$E$53+'Assumptions and Catalog'!$F$53,IF(((D737+E737)*C737)&lt;='Assumptions and Catalog'!$C$54,((D737+E737)*C737)*'Assumptions and Catalog'!$H$54+'Assumptions and Catalog'!$E$54+'Assumptions and Catalog'!$F$54,IF(((D737+E737)*C737)&lt;='Assumptions and Catalog'!$C$55,((D737+E737)*C737)*'Assumptions and Catalog'!$H$55+'Assumptions and Catalog'!$E$55+'Assumptions and Catalog'!$F$55,IF(((D737+E737)*C737)&lt;='Assumptions and Catalog'!$C$56,((D737+E737)*C737)*'Assumptions and Catalog'!$H$56+'Assumptions and Catalog'!$E$56+'Assumptions and Catalog'!$F$56,IF(((D737+E737)*C737)&lt;='Assumptions and Catalog'!$C$57,((D737+E737)*C737)*'Assumptions and Catalog'!$H$57+'Assumptions and Catalog'!$E$57+'Assumptions and Catalog'!$F$57,"Out of range")))))))),IF(((D737+E737)*C737)&lt;='Assumptions and Catalog'!$C$60,((D737+E737)*C737)*'Assumptions and Catalog'!$H$60+'Assumptions and Catalog'!$E$60+'Assumptions and Catalog'!$F$60,IF(((D737+E737)*C737)&lt;='Assumptions and Catalog'!$C$61,((D737+E737)*C737)*'Assumptions and Catalog'!$H$61+'Assumptions and Catalog'!$E$61+'Assumptions and Catalog'!$F$61,IF(((D737+E737)*C737)&lt;='Assumptions and Catalog'!$C$62,((D737+E737)*C737)*'Assumptions and Catalog'!$H$62+'Assumptions and Catalog'!$E$62+'Assumptions and Catalog'!$F$62,IF(((D737+E737)*C737)&lt;='Assumptions and Catalog'!$C$63,((D737+E737)*C737)*'Assumptions and Catalog'!$H$63+'Assumptions and Catalog'!$E$63+'Assumptions and Catalog'!$F$63,IF(((D737+E737)*C737)&lt;='Assumptions and Catalog'!$C$64,((D737+E737)*C737)*'Assumptions and Catalog'!$H$64+'Assumptions and Catalog'!$E$64+'Assumptions and Catalog'!$F$64,IF(((D737+E737)*C737)&lt;='Assumptions and Catalog'!$C$65,((D737+E737)*C737)*'Assumptions and Catalog'!$H$65+'Assumptions and Catalog'!$E$65+'Assumptions and Catalog'!$F$65,"Out of range")))))))))*(1+'Assumptions and Catalog'!$C$8)^(A737-1),0)</f>
        <v>8554.9666666666672</v>
      </c>
      <c r="N737" s="5">
        <f>IF(ISNUMBER(Inputs!$L$5),(IF(Inputs!$L$9="Actual flat rate",L737*Inputs!$L$10,IF(Inputs!$C$9="Residential",IF(L737&lt;='Assumptions and Catalog'!$C$50,L737*'Assumptions and Catalog'!$H$50+'Assumptions and Catalog'!$E$50+'Assumptions and Catalog'!$F$50,IF(L737&lt;='Assumptions and Catalog'!$C$51,L737*'Assumptions and Catalog'!$H$51+'Assumptions and Catalog'!$E$51+'Assumptions and Catalog'!$F$51,IF(L737&lt;='Assumptions and Catalog'!$C$52,L737*'Assumptions and Catalog'!$H$52+'Assumptions and Catalog'!$E$52+'Assumptions and Catalog'!$F$52,IF(L737&lt;='Assumptions and Catalog'!$C$53,L737*'Assumptions and Catalog'!$H$53+'Assumptions and Catalog'!$E$53+'Assumptions and Catalog'!$F$53,IF(L737&lt;='Assumptions and Catalog'!$C$54,L737*'Assumptions and Catalog'!$H$54+'Assumptions and Catalog'!$E$54+'Assumptions and Catalog'!$F$54,IF(L737&lt;='Assumptions and Catalog'!$C$55,L737*'Assumptions and Catalog'!$H$55+'Assumptions and Catalog'!$E$55+'Assumptions and Catalog'!$F$55,IF(L737&lt;='Assumptions and Catalog'!$C$56,L737*'Assumptions and Catalog'!$H$56+'Assumptions and Catalog'!$E$56+'Assumptions and Catalog'!$F$56,IF(L737&lt;='Assumptions and Catalog'!$C$57,L737*'Assumptions and Catalog'!$H$57+'Assumptions and Catalog'!$E$57+'Assumptions and Catalog'!$F$57,"Out of range")))))))),IF(L737&lt;='Assumptions and Catalog'!$C$60,L737*'Assumptions and Catalog'!$H$60+'Assumptions and Catalog'!$E$60+'Assumptions and Catalog'!$F$60,IF(L737&lt;='Assumptions and Catalog'!$C$61,L737*'Assumptions and Catalog'!$H$61+'Assumptions and Catalog'!$E$61+'Assumptions and Catalog'!$F$61,IF(L737&lt;='Assumptions and Catalog'!$C$62,L737*'Assumptions and Catalog'!$H$62+'Assumptions and Catalog'!$E$62+'Assumptions and Catalog'!$F$62,IF(L737&lt;='Assumptions and Catalog'!$C$63,L737*'Assumptions and Catalog'!$H$63+'Assumptions and Catalog'!$E$63+'Assumptions and Catalog'!$F$63,IF(L737&lt;='Assumptions and Catalog'!$C$64,L737*'Assumptions and Catalog'!$H$64+'Assumptions and Catalog'!$E$64+'Assumptions and Catalog'!$F$64,IF(L737&lt;='Assumptions and Catalog'!$C$65,L737*'Assumptions and Catalog'!$H$65+'Assumptions and Catalog'!$E$65+'Assumptions and Catalog'!$F$65,"Out of range")))))))))*(1+'Assumptions and Catalog'!$C$8)^(A737-1),0)</f>
        <v>5737.3928440842919</v>
      </c>
      <c r="O737" s="5">
        <f t="shared" si="55"/>
        <v>2817.5738225823752</v>
      </c>
      <c r="P737" s="5">
        <f>E$55*(1-L$14)*(1-'Assumptions and Catalog'!$C$23)^R737</f>
        <v>90.71025980047358</v>
      </c>
      <c r="Q737" s="5">
        <f>IF(ISNUMBER(Inputs!$L$5),(IF(Inputs!$L$9="Actual flat rate",((D737+E737)*C737-G737)*Inputs!$L$10,IF(Inputs!$C$9="Residential",IF(((D737+E737)*C737-G737)&lt;='Assumptions and Catalog'!$C$50,((D737+E737)*C737-G737)*'Assumptions and Catalog'!$H$50+'Assumptions and Catalog'!$E$50+'Assumptions and Catalog'!$F$50,IF(((D737+E737)*C737-G737)&lt;='Assumptions and Catalog'!$C$51,((D737+E737)*C737-G737)*'Assumptions and Catalog'!$H$51+'Assumptions and Catalog'!$E$51+'Assumptions and Catalog'!$F$51,IF(((D737+E737)*C737-G737)&lt;='Assumptions and Catalog'!$C$52,((D737+E737)*C737-G737)*'Assumptions and Catalog'!$H$52+'Assumptions and Catalog'!$E$52+'Assumptions and Catalog'!$F$52,IF(((D737+E737)*C737-G737)&lt;='Assumptions and Catalog'!$C$53,((D737+E737)*C737-G737)*'Assumptions and Catalog'!$H$53+'Assumptions and Catalog'!$E$53+'Assumptions and Catalog'!$F$53,IF(((D737+E737)*C737-G737)&lt;='Assumptions and Catalog'!$C$54,((D737+E737)*C737-G737)*'Assumptions and Catalog'!$H$54+'Assumptions and Catalog'!$E$54+'Assumptions and Catalog'!$F$54,IF(((D737+E737)*C737-G737)&lt;='Assumptions and Catalog'!$C$55,((D737+E737)*C737-G737)*'Assumptions and Catalog'!$H$55+'Assumptions and Catalog'!$E$55+'Assumptions and Catalog'!$F$55,IF(((D737+E737)*C737-G737)&lt;='Assumptions and Catalog'!$C$56,((D737+E737)*C737-G737)*'Assumptions and Catalog'!$H$56+'Assumptions and Catalog'!$E$56+'Assumptions and Catalog'!$F$56,IF(((D737+E737)*C737-G737)&lt;='Assumptions and Catalog'!$C$57,((D737+E737)*C737-G737)*'Assumptions and Catalog'!$H$57+'Assumptions and Catalog'!$E$57+'Assumptions and Catalog'!$F$57,"Out of range")))))))),IF(((D737+E737)*C737-G737)&lt;='Assumptions and Catalog'!$C$60,((D737+E737)*C737-G737)*'Assumptions and Catalog'!$H$60+'Assumptions and Catalog'!$E$60+'Assumptions and Catalog'!$F$60,IF(((D737+E737)*C737-G737)&lt;='Assumptions and Catalog'!$C$61,((D737+E737)*C737-G737)*'Assumptions and Catalog'!$H$61+'Assumptions and Catalog'!$E$61+'Assumptions and Catalog'!$F$61,IF(((D737+E737)*C737-G737)&lt;='Assumptions and Catalog'!$C$62,((D737+E737)*C737-G737)*'Assumptions and Catalog'!$H$62+'Assumptions and Catalog'!$E$62+'Assumptions and Catalog'!$F$62,IF(((D737+E737)*C737-G737)&lt;='Assumptions and Catalog'!$C$63,((D737+E737)*C737-G737)*'Assumptions and Catalog'!$H$63+'Assumptions and Catalog'!$E$63+'Assumptions and Catalog'!$F$63,IF(((D737+E737)*C737-G737)&lt;='Assumptions and Catalog'!$C$64,((D737+E737)*C737-G737)*'Assumptions and Catalog'!$H$64+'Assumptions and Catalog'!$E$64+'Assumptions and Catalog'!$F$64,IF(((D737+E737)*C737-G737)&lt;='Assumptions and Catalog'!$C$65,((D737+E737)*C737-G737)*'Assumptions and Catalog'!$H$65+'Assumptions and Catalog'!$E$65+'Assumptions and Catalog'!$F$65,"Out of range")))))))))*(1+'Assumptions and Catalog'!$C$8)^(A737-1),0)</f>
        <v>5737.3928440842919</v>
      </c>
      <c r="R737" s="5">
        <f>IF(AND('Assumptions and Catalog'!$C$19&gt;0,A737&gt;='Assumptions and Catalog'!$C$19),A737-'Assumptions and Catalog'!$C$19,A737-1)</f>
        <v>6</v>
      </c>
      <c r="S737" s="5">
        <f>F737+L737-(D737+E737)*C737-J737-K737-IF(E$52&gt;0,'Assumptions and Catalog'!$C$26*C737,0)</f>
        <v>0</v>
      </c>
      <c r="T737" s="5"/>
      <c r="U737" s="5"/>
    </row>
    <row r="738" spans="1:21" ht="23.1" customHeight="1" outlineLevel="1" x14ac:dyDescent="0.2">
      <c r="A738" s="5">
        <v>7</v>
      </c>
      <c r="B738" s="5">
        <v>6</v>
      </c>
      <c r="C738" s="5">
        <f>DAY(DATE('Assumptions and Catalog'!$C$24+A738-1,B738+1,0))</f>
        <v>30</v>
      </c>
      <c r="D738" s="5">
        <f>IF(ISNUMBER(Inputs!$L$5),Inputs!$L$5*Inputs!$L$6,0)</f>
        <v>40.35</v>
      </c>
      <c r="E738" s="5">
        <f>IF(ISNUMBER(Inputs!$L$5),Inputs!$L$5-D738,0)</f>
        <v>40.35</v>
      </c>
      <c r="F738" s="5">
        <f>E$51*'Assumptions and Catalog'!$C$31*C738*(1-'Assumptions and Catalog'!$C$10)^(A738-1)</f>
        <v>797.35509093804365</v>
      </c>
      <c r="G738" s="5">
        <f t="shared" si="52"/>
        <v>797.35509093804365</v>
      </c>
      <c r="H738" s="5">
        <f>I738/('Assumptions and Catalog'!$C$11*'Assumptions and Catalog'!$C$12)</f>
        <v>0</v>
      </c>
      <c r="I738" s="5">
        <f>MIN(E738*C738,P738*'Assumptions and Catalog'!$C$12*C738,(F738-G738)*'Assumptions and Catalog'!$C$11*'Assumptions and Catalog'!$C$12,E$56*'Assumptions and Catalog'!$C$14*'Assumptions and Catalog'!$C$11*'Assumptions and Catalog'!$C$12*C738,E$57*(24-'Assumptions and Catalog'!$C$13)*C738)</f>
        <v>0</v>
      </c>
      <c r="J738" s="5">
        <f t="shared" si="53"/>
        <v>0</v>
      </c>
      <c r="K738" s="5">
        <f t="shared" si="54"/>
        <v>0</v>
      </c>
      <c r="L738" s="5">
        <f>(D738+E738)*C738-G738-I738+0+IF(E$52&gt;0,'Assumptions and Catalog'!$C$26*C738,0)</f>
        <v>1623.6449090619562</v>
      </c>
      <c r="M738" s="5">
        <f>IF(ISNUMBER(Inputs!$L$5),(IF(Inputs!$L$9="Actual flat rate",((D738+E738)*C738)*Inputs!$L$10,IF(Inputs!$C$9="Residential",IF(((D738+E738)*C738)&lt;='Assumptions and Catalog'!$C$50,((D738+E738)*C738)*'Assumptions and Catalog'!$H$50+'Assumptions and Catalog'!$E$50+'Assumptions and Catalog'!$F$50,IF(((D738+E738)*C738)&lt;='Assumptions and Catalog'!$C$51,((D738+E738)*C738)*'Assumptions and Catalog'!$H$51+'Assumptions and Catalog'!$E$51+'Assumptions and Catalog'!$F$51,IF(((D738+E738)*C738)&lt;='Assumptions and Catalog'!$C$52,((D738+E738)*C738)*'Assumptions and Catalog'!$H$52+'Assumptions and Catalog'!$E$52+'Assumptions and Catalog'!$F$52,IF(((D738+E738)*C738)&lt;='Assumptions and Catalog'!$C$53,((D738+E738)*C738)*'Assumptions and Catalog'!$H$53+'Assumptions and Catalog'!$E$53+'Assumptions and Catalog'!$F$53,IF(((D738+E738)*C738)&lt;='Assumptions and Catalog'!$C$54,((D738+E738)*C738)*'Assumptions and Catalog'!$H$54+'Assumptions and Catalog'!$E$54+'Assumptions and Catalog'!$F$54,IF(((D738+E738)*C738)&lt;='Assumptions and Catalog'!$C$55,((D738+E738)*C738)*'Assumptions and Catalog'!$H$55+'Assumptions and Catalog'!$E$55+'Assumptions and Catalog'!$F$55,IF(((D738+E738)*C738)&lt;='Assumptions and Catalog'!$C$56,((D738+E738)*C738)*'Assumptions and Catalog'!$H$56+'Assumptions and Catalog'!$E$56+'Assumptions and Catalog'!$F$56,IF(((D738+E738)*C738)&lt;='Assumptions and Catalog'!$C$57,((D738+E738)*C738)*'Assumptions and Catalog'!$H$57+'Assumptions and Catalog'!$E$57+'Assumptions and Catalog'!$F$57,"Out of range")))))))),IF(((D738+E738)*C738)&lt;='Assumptions and Catalog'!$C$60,((D738+E738)*C738)*'Assumptions and Catalog'!$H$60+'Assumptions and Catalog'!$E$60+'Assumptions and Catalog'!$F$60,IF(((D738+E738)*C738)&lt;='Assumptions and Catalog'!$C$61,((D738+E738)*C738)*'Assumptions and Catalog'!$H$61+'Assumptions and Catalog'!$E$61+'Assumptions and Catalog'!$F$61,IF(((D738+E738)*C738)&lt;='Assumptions and Catalog'!$C$62,((D738+E738)*C738)*'Assumptions and Catalog'!$H$62+'Assumptions and Catalog'!$E$62+'Assumptions and Catalog'!$F$62,IF(((D738+E738)*C738)&lt;='Assumptions and Catalog'!$C$63,((D738+E738)*C738)*'Assumptions and Catalog'!$H$63+'Assumptions and Catalog'!$E$63+'Assumptions and Catalog'!$F$63,IF(((D738+E738)*C738)&lt;='Assumptions and Catalog'!$C$64,((D738+E738)*C738)*'Assumptions and Catalog'!$H$64+'Assumptions and Catalog'!$E$64+'Assumptions and Catalog'!$F$64,IF(((D738+E738)*C738)&lt;='Assumptions and Catalog'!$C$65,((D738+E738)*C738)*'Assumptions and Catalog'!$H$65+'Assumptions and Catalog'!$E$65+'Assumptions and Catalog'!$F$65,"Out of range")))))))))*(1+'Assumptions and Catalog'!$C$8)^(A738-1),0)</f>
        <v>8279</v>
      </c>
      <c r="N738" s="5">
        <f>IF(ISNUMBER(Inputs!$L$5),(IF(Inputs!$L$9="Actual flat rate",L738*Inputs!$L$10,IF(Inputs!$C$9="Residential",IF(L738&lt;='Assumptions and Catalog'!$C$50,L738*'Assumptions and Catalog'!$H$50+'Assumptions and Catalog'!$E$50+'Assumptions and Catalog'!$F$50,IF(L738&lt;='Assumptions and Catalog'!$C$51,L738*'Assumptions and Catalog'!$H$51+'Assumptions and Catalog'!$E$51+'Assumptions and Catalog'!$F$51,IF(L738&lt;='Assumptions and Catalog'!$C$52,L738*'Assumptions and Catalog'!$H$52+'Assumptions and Catalog'!$E$52+'Assumptions and Catalog'!$F$52,IF(L738&lt;='Assumptions and Catalog'!$C$53,L738*'Assumptions and Catalog'!$H$53+'Assumptions and Catalog'!$E$53+'Assumptions and Catalog'!$F$53,IF(L738&lt;='Assumptions and Catalog'!$C$54,L738*'Assumptions and Catalog'!$H$54+'Assumptions and Catalog'!$E$54+'Assumptions and Catalog'!$F$54,IF(L738&lt;='Assumptions and Catalog'!$C$55,L738*'Assumptions and Catalog'!$H$55+'Assumptions and Catalog'!$E$55+'Assumptions and Catalog'!$F$55,IF(L738&lt;='Assumptions and Catalog'!$C$56,L738*'Assumptions and Catalog'!$H$56+'Assumptions and Catalog'!$E$56+'Assumptions and Catalog'!$F$56,IF(L738&lt;='Assumptions and Catalog'!$C$57,L738*'Assumptions and Catalog'!$H$57+'Assumptions and Catalog'!$E$57+'Assumptions and Catalog'!$F$57,"Out of range")))))))),IF(L738&lt;='Assumptions and Catalog'!$C$60,L738*'Assumptions and Catalog'!$H$60+'Assumptions and Catalog'!$E$60+'Assumptions and Catalog'!$F$60,IF(L738&lt;='Assumptions and Catalog'!$C$61,L738*'Assumptions and Catalog'!$H$61+'Assumptions and Catalog'!$E$61+'Assumptions and Catalog'!$F$61,IF(L738&lt;='Assumptions and Catalog'!$C$62,L738*'Assumptions and Catalog'!$H$62+'Assumptions and Catalog'!$E$62+'Assumptions and Catalog'!$F$62,IF(L738&lt;='Assumptions and Catalog'!$C$63,L738*'Assumptions and Catalog'!$H$63+'Assumptions and Catalog'!$E$63+'Assumptions and Catalog'!$F$63,IF(L738&lt;='Assumptions and Catalog'!$C$64,L738*'Assumptions and Catalog'!$H$64+'Assumptions and Catalog'!$E$64+'Assumptions and Catalog'!$F$64,IF(L738&lt;='Assumptions and Catalog'!$C$65,L738*'Assumptions and Catalog'!$H$65+'Assumptions and Catalog'!$E$65+'Assumptions and Catalog'!$F$65,"Out of range")))))))))*(1+'Assumptions and Catalog'!$C$8)^(A738-1),0)</f>
        <v>5552.3156555654423</v>
      </c>
      <c r="O738" s="5">
        <f t="shared" si="55"/>
        <v>2726.6843444345577</v>
      </c>
      <c r="P738" s="5">
        <f>E$55*(1-L$14)*(1-'Assumptions and Catalog'!$C$23)^R738</f>
        <v>90.71025980047358</v>
      </c>
      <c r="Q738" s="5">
        <f>IF(ISNUMBER(Inputs!$L$5),(IF(Inputs!$L$9="Actual flat rate",((D738+E738)*C738-G738)*Inputs!$L$10,IF(Inputs!$C$9="Residential",IF(((D738+E738)*C738-G738)&lt;='Assumptions and Catalog'!$C$50,((D738+E738)*C738-G738)*'Assumptions and Catalog'!$H$50+'Assumptions and Catalog'!$E$50+'Assumptions and Catalog'!$F$50,IF(((D738+E738)*C738-G738)&lt;='Assumptions and Catalog'!$C$51,((D738+E738)*C738-G738)*'Assumptions and Catalog'!$H$51+'Assumptions and Catalog'!$E$51+'Assumptions and Catalog'!$F$51,IF(((D738+E738)*C738-G738)&lt;='Assumptions and Catalog'!$C$52,((D738+E738)*C738-G738)*'Assumptions and Catalog'!$H$52+'Assumptions and Catalog'!$E$52+'Assumptions and Catalog'!$F$52,IF(((D738+E738)*C738-G738)&lt;='Assumptions and Catalog'!$C$53,((D738+E738)*C738-G738)*'Assumptions and Catalog'!$H$53+'Assumptions and Catalog'!$E$53+'Assumptions and Catalog'!$F$53,IF(((D738+E738)*C738-G738)&lt;='Assumptions and Catalog'!$C$54,((D738+E738)*C738-G738)*'Assumptions and Catalog'!$H$54+'Assumptions and Catalog'!$E$54+'Assumptions and Catalog'!$F$54,IF(((D738+E738)*C738-G738)&lt;='Assumptions and Catalog'!$C$55,((D738+E738)*C738-G738)*'Assumptions and Catalog'!$H$55+'Assumptions and Catalog'!$E$55+'Assumptions and Catalog'!$F$55,IF(((D738+E738)*C738-G738)&lt;='Assumptions and Catalog'!$C$56,((D738+E738)*C738-G738)*'Assumptions and Catalog'!$H$56+'Assumptions and Catalog'!$E$56+'Assumptions and Catalog'!$F$56,IF(((D738+E738)*C738-G738)&lt;='Assumptions and Catalog'!$C$57,((D738+E738)*C738-G738)*'Assumptions and Catalog'!$H$57+'Assumptions and Catalog'!$E$57+'Assumptions and Catalog'!$F$57,"Out of range")))))))),IF(((D738+E738)*C738-G738)&lt;='Assumptions and Catalog'!$C$60,((D738+E738)*C738-G738)*'Assumptions and Catalog'!$H$60+'Assumptions and Catalog'!$E$60+'Assumptions and Catalog'!$F$60,IF(((D738+E738)*C738-G738)&lt;='Assumptions and Catalog'!$C$61,((D738+E738)*C738-G738)*'Assumptions and Catalog'!$H$61+'Assumptions and Catalog'!$E$61+'Assumptions and Catalog'!$F$61,IF(((D738+E738)*C738-G738)&lt;='Assumptions and Catalog'!$C$62,((D738+E738)*C738-G738)*'Assumptions and Catalog'!$H$62+'Assumptions and Catalog'!$E$62+'Assumptions and Catalog'!$F$62,IF(((D738+E738)*C738-G738)&lt;='Assumptions and Catalog'!$C$63,((D738+E738)*C738-G738)*'Assumptions and Catalog'!$H$63+'Assumptions and Catalog'!$E$63+'Assumptions and Catalog'!$F$63,IF(((D738+E738)*C738-G738)&lt;='Assumptions and Catalog'!$C$64,((D738+E738)*C738-G738)*'Assumptions and Catalog'!$H$64+'Assumptions and Catalog'!$E$64+'Assumptions and Catalog'!$F$64,IF(((D738+E738)*C738-G738)&lt;='Assumptions and Catalog'!$C$65,((D738+E738)*C738-G738)*'Assumptions and Catalog'!$H$65+'Assumptions and Catalog'!$E$65+'Assumptions and Catalog'!$F$65,"Out of range")))))))))*(1+'Assumptions and Catalog'!$C$8)^(A738-1),0)</f>
        <v>5552.3156555654423</v>
      </c>
      <c r="R738" s="5">
        <f>IF(AND('Assumptions and Catalog'!$C$19&gt;0,A738&gt;='Assumptions and Catalog'!$C$19),A738-'Assumptions and Catalog'!$C$19,A738-1)</f>
        <v>6</v>
      </c>
      <c r="S738" s="5">
        <f>F738+L738-(D738+E738)*C738-J738-K738-IF(E$52&gt;0,'Assumptions and Catalog'!$C$26*C738,0)</f>
        <v>0</v>
      </c>
      <c r="T738" s="5"/>
      <c r="U738" s="5"/>
    </row>
    <row r="739" spans="1:21" ht="23.1" customHeight="1" outlineLevel="1" x14ac:dyDescent="0.2">
      <c r="A739" s="5">
        <v>7</v>
      </c>
      <c r="B739" s="5">
        <v>7</v>
      </c>
      <c r="C739" s="5">
        <f>DAY(DATE('Assumptions and Catalog'!$C$24+A739-1,B739+1,0))</f>
        <v>31</v>
      </c>
      <c r="D739" s="5">
        <f>IF(ISNUMBER(Inputs!$L$5),Inputs!$L$5*Inputs!$L$6,0)</f>
        <v>40.35</v>
      </c>
      <c r="E739" s="5">
        <f>IF(ISNUMBER(Inputs!$L$5),Inputs!$L$5-D739,0)</f>
        <v>40.35</v>
      </c>
      <c r="F739" s="5">
        <f>E$51*'Assumptions and Catalog'!$C$31*C739*(1-'Assumptions and Catalog'!$C$10)^(A739-1)</f>
        <v>823.93359396931169</v>
      </c>
      <c r="G739" s="5">
        <f t="shared" si="52"/>
        <v>823.93359396931169</v>
      </c>
      <c r="H739" s="5">
        <f>I739/('Assumptions and Catalog'!$C$11*'Assumptions and Catalog'!$C$12)</f>
        <v>0</v>
      </c>
      <c r="I739" s="5">
        <f>MIN(E739*C739,P739*'Assumptions and Catalog'!$C$12*C739,(F739-G739)*'Assumptions and Catalog'!$C$11*'Assumptions and Catalog'!$C$12,E$56*'Assumptions and Catalog'!$C$14*'Assumptions and Catalog'!$C$11*'Assumptions and Catalog'!$C$12*C739,E$57*(24-'Assumptions and Catalog'!$C$13)*C739)</f>
        <v>0</v>
      </c>
      <c r="J739" s="5">
        <f t="shared" si="53"/>
        <v>0</v>
      </c>
      <c r="K739" s="5">
        <f t="shared" si="54"/>
        <v>0</v>
      </c>
      <c r="L739" s="5">
        <f>(D739+E739)*C739-G739-I739+0+IF(E$52&gt;0,'Assumptions and Catalog'!$C$26*C739,0)</f>
        <v>1677.7664060306886</v>
      </c>
      <c r="M739" s="5">
        <f>IF(ISNUMBER(Inputs!$L$5),(IF(Inputs!$L$9="Actual flat rate",((D739+E739)*C739)*Inputs!$L$10,IF(Inputs!$C$9="Residential",IF(((D739+E739)*C739)&lt;='Assumptions and Catalog'!$C$50,((D739+E739)*C739)*'Assumptions and Catalog'!$H$50+'Assumptions and Catalog'!$E$50+'Assumptions and Catalog'!$F$50,IF(((D739+E739)*C739)&lt;='Assumptions and Catalog'!$C$51,((D739+E739)*C739)*'Assumptions and Catalog'!$H$51+'Assumptions and Catalog'!$E$51+'Assumptions and Catalog'!$F$51,IF(((D739+E739)*C739)&lt;='Assumptions and Catalog'!$C$52,((D739+E739)*C739)*'Assumptions and Catalog'!$H$52+'Assumptions and Catalog'!$E$52+'Assumptions and Catalog'!$F$52,IF(((D739+E739)*C739)&lt;='Assumptions and Catalog'!$C$53,((D739+E739)*C739)*'Assumptions and Catalog'!$H$53+'Assumptions and Catalog'!$E$53+'Assumptions and Catalog'!$F$53,IF(((D739+E739)*C739)&lt;='Assumptions and Catalog'!$C$54,((D739+E739)*C739)*'Assumptions and Catalog'!$H$54+'Assumptions and Catalog'!$E$54+'Assumptions and Catalog'!$F$54,IF(((D739+E739)*C739)&lt;='Assumptions and Catalog'!$C$55,((D739+E739)*C739)*'Assumptions and Catalog'!$H$55+'Assumptions and Catalog'!$E$55+'Assumptions and Catalog'!$F$55,IF(((D739+E739)*C739)&lt;='Assumptions and Catalog'!$C$56,((D739+E739)*C739)*'Assumptions and Catalog'!$H$56+'Assumptions and Catalog'!$E$56+'Assumptions and Catalog'!$F$56,IF(((D739+E739)*C739)&lt;='Assumptions and Catalog'!$C$57,((D739+E739)*C739)*'Assumptions and Catalog'!$H$57+'Assumptions and Catalog'!$E$57+'Assumptions and Catalog'!$F$57,"Out of range")))))))),IF(((D739+E739)*C739)&lt;='Assumptions and Catalog'!$C$60,((D739+E739)*C739)*'Assumptions and Catalog'!$H$60+'Assumptions and Catalog'!$E$60+'Assumptions and Catalog'!$F$60,IF(((D739+E739)*C739)&lt;='Assumptions and Catalog'!$C$61,((D739+E739)*C739)*'Assumptions and Catalog'!$H$61+'Assumptions and Catalog'!$E$61+'Assumptions and Catalog'!$F$61,IF(((D739+E739)*C739)&lt;='Assumptions and Catalog'!$C$62,((D739+E739)*C739)*'Assumptions and Catalog'!$H$62+'Assumptions and Catalog'!$E$62+'Assumptions and Catalog'!$F$62,IF(((D739+E739)*C739)&lt;='Assumptions and Catalog'!$C$63,((D739+E739)*C739)*'Assumptions and Catalog'!$H$63+'Assumptions and Catalog'!$E$63+'Assumptions and Catalog'!$F$63,IF(((D739+E739)*C739)&lt;='Assumptions and Catalog'!$C$64,((D739+E739)*C739)*'Assumptions and Catalog'!$H$64+'Assumptions and Catalog'!$E$64+'Assumptions and Catalog'!$F$64,IF(((D739+E739)*C739)&lt;='Assumptions and Catalog'!$C$65,((D739+E739)*C739)*'Assumptions and Catalog'!$H$65+'Assumptions and Catalog'!$E$65+'Assumptions and Catalog'!$F$65,"Out of range")))))))))*(1+'Assumptions and Catalog'!$C$8)^(A739-1),0)</f>
        <v>8554.9666666666672</v>
      </c>
      <c r="N739" s="5">
        <f>IF(ISNUMBER(Inputs!$L$5),(IF(Inputs!$L$9="Actual flat rate",L739*Inputs!$L$10,IF(Inputs!$C$9="Residential",IF(L739&lt;='Assumptions and Catalog'!$C$50,L739*'Assumptions and Catalog'!$H$50+'Assumptions and Catalog'!$E$50+'Assumptions and Catalog'!$F$50,IF(L739&lt;='Assumptions and Catalog'!$C$51,L739*'Assumptions and Catalog'!$H$51+'Assumptions and Catalog'!$E$51+'Assumptions and Catalog'!$F$51,IF(L739&lt;='Assumptions and Catalog'!$C$52,L739*'Assumptions and Catalog'!$H$52+'Assumptions and Catalog'!$E$52+'Assumptions and Catalog'!$F$52,IF(L739&lt;='Assumptions and Catalog'!$C$53,L739*'Assumptions and Catalog'!$H$53+'Assumptions and Catalog'!$E$53+'Assumptions and Catalog'!$F$53,IF(L739&lt;='Assumptions and Catalog'!$C$54,L739*'Assumptions and Catalog'!$H$54+'Assumptions and Catalog'!$E$54+'Assumptions and Catalog'!$F$54,IF(L739&lt;='Assumptions and Catalog'!$C$55,L739*'Assumptions and Catalog'!$H$55+'Assumptions and Catalog'!$E$55+'Assumptions and Catalog'!$F$55,IF(L739&lt;='Assumptions and Catalog'!$C$56,L739*'Assumptions and Catalog'!$H$56+'Assumptions and Catalog'!$E$56+'Assumptions and Catalog'!$F$56,IF(L739&lt;='Assumptions and Catalog'!$C$57,L739*'Assumptions and Catalog'!$H$57+'Assumptions and Catalog'!$E$57+'Assumptions and Catalog'!$F$57,"Out of range")))))))),IF(L739&lt;='Assumptions and Catalog'!$C$60,L739*'Assumptions and Catalog'!$H$60+'Assumptions and Catalog'!$E$60+'Assumptions and Catalog'!$F$60,IF(L739&lt;='Assumptions and Catalog'!$C$61,L739*'Assumptions and Catalog'!$H$61+'Assumptions and Catalog'!$E$61+'Assumptions and Catalog'!$F$61,IF(L739&lt;='Assumptions and Catalog'!$C$62,L739*'Assumptions and Catalog'!$H$62+'Assumptions and Catalog'!$E$62+'Assumptions and Catalog'!$F$62,IF(L739&lt;='Assumptions and Catalog'!$C$63,L739*'Assumptions and Catalog'!$H$63+'Assumptions and Catalog'!$E$63+'Assumptions and Catalog'!$F$63,IF(L739&lt;='Assumptions and Catalog'!$C$64,L739*'Assumptions and Catalog'!$H$64+'Assumptions and Catalog'!$E$64+'Assumptions and Catalog'!$F$64,IF(L739&lt;='Assumptions and Catalog'!$C$65,L739*'Assumptions and Catalog'!$H$65+'Assumptions and Catalog'!$E$65+'Assumptions and Catalog'!$F$65,"Out of range")))))))))*(1+'Assumptions and Catalog'!$C$8)^(A739-1),0)</f>
        <v>5737.3928440842919</v>
      </c>
      <c r="O739" s="5">
        <f t="shared" si="55"/>
        <v>2817.5738225823752</v>
      </c>
      <c r="P739" s="5">
        <f>E$55*(1-L$14)*(1-'Assumptions and Catalog'!$C$23)^R739</f>
        <v>90.71025980047358</v>
      </c>
      <c r="Q739" s="5">
        <f>IF(ISNUMBER(Inputs!$L$5),(IF(Inputs!$L$9="Actual flat rate",((D739+E739)*C739-G739)*Inputs!$L$10,IF(Inputs!$C$9="Residential",IF(((D739+E739)*C739-G739)&lt;='Assumptions and Catalog'!$C$50,((D739+E739)*C739-G739)*'Assumptions and Catalog'!$H$50+'Assumptions and Catalog'!$E$50+'Assumptions and Catalog'!$F$50,IF(((D739+E739)*C739-G739)&lt;='Assumptions and Catalog'!$C$51,((D739+E739)*C739-G739)*'Assumptions and Catalog'!$H$51+'Assumptions and Catalog'!$E$51+'Assumptions and Catalog'!$F$51,IF(((D739+E739)*C739-G739)&lt;='Assumptions and Catalog'!$C$52,((D739+E739)*C739-G739)*'Assumptions and Catalog'!$H$52+'Assumptions and Catalog'!$E$52+'Assumptions and Catalog'!$F$52,IF(((D739+E739)*C739-G739)&lt;='Assumptions and Catalog'!$C$53,((D739+E739)*C739-G739)*'Assumptions and Catalog'!$H$53+'Assumptions and Catalog'!$E$53+'Assumptions and Catalog'!$F$53,IF(((D739+E739)*C739-G739)&lt;='Assumptions and Catalog'!$C$54,((D739+E739)*C739-G739)*'Assumptions and Catalog'!$H$54+'Assumptions and Catalog'!$E$54+'Assumptions and Catalog'!$F$54,IF(((D739+E739)*C739-G739)&lt;='Assumptions and Catalog'!$C$55,((D739+E739)*C739-G739)*'Assumptions and Catalog'!$H$55+'Assumptions and Catalog'!$E$55+'Assumptions and Catalog'!$F$55,IF(((D739+E739)*C739-G739)&lt;='Assumptions and Catalog'!$C$56,((D739+E739)*C739-G739)*'Assumptions and Catalog'!$H$56+'Assumptions and Catalog'!$E$56+'Assumptions and Catalog'!$F$56,IF(((D739+E739)*C739-G739)&lt;='Assumptions and Catalog'!$C$57,((D739+E739)*C739-G739)*'Assumptions and Catalog'!$H$57+'Assumptions and Catalog'!$E$57+'Assumptions and Catalog'!$F$57,"Out of range")))))))),IF(((D739+E739)*C739-G739)&lt;='Assumptions and Catalog'!$C$60,((D739+E739)*C739-G739)*'Assumptions and Catalog'!$H$60+'Assumptions and Catalog'!$E$60+'Assumptions and Catalog'!$F$60,IF(((D739+E739)*C739-G739)&lt;='Assumptions and Catalog'!$C$61,((D739+E739)*C739-G739)*'Assumptions and Catalog'!$H$61+'Assumptions and Catalog'!$E$61+'Assumptions and Catalog'!$F$61,IF(((D739+E739)*C739-G739)&lt;='Assumptions and Catalog'!$C$62,((D739+E739)*C739-G739)*'Assumptions and Catalog'!$H$62+'Assumptions and Catalog'!$E$62+'Assumptions and Catalog'!$F$62,IF(((D739+E739)*C739-G739)&lt;='Assumptions and Catalog'!$C$63,((D739+E739)*C739-G739)*'Assumptions and Catalog'!$H$63+'Assumptions and Catalog'!$E$63+'Assumptions and Catalog'!$F$63,IF(((D739+E739)*C739-G739)&lt;='Assumptions and Catalog'!$C$64,((D739+E739)*C739-G739)*'Assumptions and Catalog'!$H$64+'Assumptions and Catalog'!$E$64+'Assumptions and Catalog'!$F$64,IF(((D739+E739)*C739-G739)&lt;='Assumptions and Catalog'!$C$65,((D739+E739)*C739-G739)*'Assumptions and Catalog'!$H$65+'Assumptions and Catalog'!$E$65+'Assumptions and Catalog'!$F$65,"Out of range")))))))))*(1+'Assumptions and Catalog'!$C$8)^(A739-1),0)</f>
        <v>5737.3928440842919</v>
      </c>
      <c r="R739" s="5">
        <f>IF(AND('Assumptions and Catalog'!$C$19&gt;0,A739&gt;='Assumptions and Catalog'!$C$19),A739-'Assumptions and Catalog'!$C$19,A739-1)</f>
        <v>6</v>
      </c>
      <c r="S739" s="5">
        <f>F739+L739-(D739+E739)*C739-J739-K739-IF(E$52&gt;0,'Assumptions and Catalog'!$C$26*C739,0)</f>
        <v>0</v>
      </c>
      <c r="T739" s="5"/>
      <c r="U739" s="5"/>
    </row>
    <row r="740" spans="1:21" ht="23.1" customHeight="1" outlineLevel="1" x14ac:dyDescent="0.2">
      <c r="A740" s="5">
        <v>7</v>
      </c>
      <c r="B740" s="5">
        <v>8</v>
      </c>
      <c r="C740" s="5">
        <f>DAY(DATE('Assumptions and Catalog'!$C$24+A740-1,B740+1,0))</f>
        <v>31</v>
      </c>
      <c r="D740" s="5">
        <f>IF(ISNUMBER(Inputs!$L$5),Inputs!$L$5*Inputs!$L$6,0)</f>
        <v>40.35</v>
      </c>
      <c r="E740" s="5">
        <f>IF(ISNUMBER(Inputs!$L$5),Inputs!$L$5-D740,0)</f>
        <v>40.35</v>
      </c>
      <c r="F740" s="5">
        <f>E$51*'Assumptions and Catalog'!$C$31*C740*(1-'Assumptions and Catalog'!$C$10)^(A740-1)</f>
        <v>823.93359396931169</v>
      </c>
      <c r="G740" s="5">
        <f t="shared" si="52"/>
        <v>823.93359396931169</v>
      </c>
      <c r="H740" s="5">
        <f>I740/('Assumptions and Catalog'!$C$11*'Assumptions and Catalog'!$C$12)</f>
        <v>0</v>
      </c>
      <c r="I740" s="5">
        <f>MIN(E740*C740,P740*'Assumptions and Catalog'!$C$12*C740,(F740-G740)*'Assumptions and Catalog'!$C$11*'Assumptions and Catalog'!$C$12,E$56*'Assumptions and Catalog'!$C$14*'Assumptions and Catalog'!$C$11*'Assumptions and Catalog'!$C$12*C740,E$57*(24-'Assumptions and Catalog'!$C$13)*C740)</f>
        <v>0</v>
      </c>
      <c r="J740" s="5">
        <f t="shared" si="53"/>
        <v>0</v>
      </c>
      <c r="K740" s="5">
        <f t="shared" si="54"/>
        <v>0</v>
      </c>
      <c r="L740" s="5">
        <f>(D740+E740)*C740-G740-I740+0+IF(E$52&gt;0,'Assumptions and Catalog'!$C$26*C740,0)</f>
        <v>1677.7664060306886</v>
      </c>
      <c r="M740" s="5">
        <f>IF(ISNUMBER(Inputs!$L$5),(IF(Inputs!$L$9="Actual flat rate",((D740+E740)*C740)*Inputs!$L$10,IF(Inputs!$C$9="Residential",IF(((D740+E740)*C740)&lt;='Assumptions and Catalog'!$C$50,((D740+E740)*C740)*'Assumptions and Catalog'!$H$50+'Assumptions and Catalog'!$E$50+'Assumptions and Catalog'!$F$50,IF(((D740+E740)*C740)&lt;='Assumptions and Catalog'!$C$51,((D740+E740)*C740)*'Assumptions and Catalog'!$H$51+'Assumptions and Catalog'!$E$51+'Assumptions and Catalog'!$F$51,IF(((D740+E740)*C740)&lt;='Assumptions and Catalog'!$C$52,((D740+E740)*C740)*'Assumptions and Catalog'!$H$52+'Assumptions and Catalog'!$E$52+'Assumptions and Catalog'!$F$52,IF(((D740+E740)*C740)&lt;='Assumptions and Catalog'!$C$53,((D740+E740)*C740)*'Assumptions and Catalog'!$H$53+'Assumptions and Catalog'!$E$53+'Assumptions and Catalog'!$F$53,IF(((D740+E740)*C740)&lt;='Assumptions and Catalog'!$C$54,((D740+E740)*C740)*'Assumptions and Catalog'!$H$54+'Assumptions and Catalog'!$E$54+'Assumptions and Catalog'!$F$54,IF(((D740+E740)*C740)&lt;='Assumptions and Catalog'!$C$55,((D740+E740)*C740)*'Assumptions and Catalog'!$H$55+'Assumptions and Catalog'!$E$55+'Assumptions and Catalog'!$F$55,IF(((D740+E740)*C740)&lt;='Assumptions and Catalog'!$C$56,((D740+E740)*C740)*'Assumptions and Catalog'!$H$56+'Assumptions and Catalog'!$E$56+'Assumptions and Catalog'!$F$56,IF(((D740+E740)*C740)&lt;='Assumptions and Catalog'!$C$57,((D740+E740)*C740)*'Assumptions and Catalog'!$H$57+'Assumptions and Catalog'!$E$57+'Assumptions and Catalog'!$F$57,"Out of range")))))))),IF(((D740+E740)*C740)&lt;='Assumptions and Catalog'!$C$60,((D740+E740)*C740)*'Assumptions and Catalog'!$H$60+'Assumptions and Catalog'!$E$60+'Assumptions and Catalog'!$F$60,IF(((D740+E740)*C740)&lt;='Assumptions and Catalog'!$C$61,((D740+E740)*C740)*'Assumptions and Catalog'!$H$61+'Assumptions and Catalog'!$E$61+'Assumptions and Catalog'!$F$61,IF(((D740+E740)*C740)&lt;='Assumptions and Catalog'!$C$62,((D740+E740)*C740)*'Assumptions and Catalog'!$H$62+'Assumptions and Catalog'!$E$62+'Assumptions and Catalog'!$F$62,IF(((D740+E740)*C740)&lt;='Assumptions and Catalog'!$C$63,((D740+E740)*C740)*'Assumptions and Catalog'!$H$63+'Assumptions and Catalog'!$E$63+'Assumptions and Catalog'!$F$63,IF(((D740+E740)*C740)&lt;='Assumptions and Catalog'!$C$64,((D740+E740)*C740)*'Assumptions and Catalog'!$H$64+'Assumptions and Catalog'!$E$64+'Assumptions and Catalog'!$F$64,IF(((D740+E740)*C740)&lt;='Assumptions and Catalog'!$C$65,((D740+E740)*C740)*'Assumptions and Catalog'!$H$65+'Assumptions and Catalog'!$E$65+'Assumptions and Catalog'!$F$65,"Out of range")))))))))*(1+'Assumptions and Catalog'!$C$8)^(A740-1),0)</f>
        <v>8554.9666666666672</v>
      </c>
      <c r="N740" s="5">
        <f>IF(ISNUMBER(Inputs!$L$5),(IF(Inputs!$L$9="Actual flat rate",L740*Inputs!$L$10,IF(Inputs!$C$9="Residential",IF(L740&lt;='Assumptions and Catalog'!$C$50,L740*'Assumptions and Catalog'!$H$50+'Assumptions and Catalog'!$E$50+'Assumptions and Catalog'!$F$50,IF(L740&lt;='Assumptions and Catalog'!$C$51,L740*'Assumptions and Catalog'!$H$51+'Assumptions and Catalog'!$E$51+'Assumptions and Catalog'!$F$51,IF(L740&lt;='Assumptions and Catalog'!$C$52,L740*'Assumptions and Catalog'!$H$52+'Assumptions and Catalog'!$E$52+'Assumptions and Catalog'!$F$52,IF(L740&lt;='Assumptions and Catalog'!$C$53,L740*'Assumptions and Catalog'!$H$53+'Assumptions and Catalog'!$E$53+'Assumptions and Catalog'!$F$53,IF(L740&lt;='Assumptions and Catalog'!$C$54,L740*'Assumptions and Catalog'!$H$54+'Assumptions and Catalog'!$E$54+'Assumptions and Catalog'!$F$54,IF(L740&lt;='Assumptions and Catalog'!$C$55,L740*'Assumptions and Catalog'!$H$55+'Assumptions and Catalog'!$E$55+'Assumptions and Catalog'!$F$55,IF(L740&lt;='Assumptions and Catalog'!$C$56,L740*'Assumptions and Catalog'!$H$56+'Assumptions and Catalog'!$E$56+'Assumptions and Catalog'!$F$56,IF(L740&lt;='Assumptions and Catalog'!$C$57,L740*'Assumptions and Catalog'!$H$57+'Assumptions and Catalog'!$E$57+'Assumptions and Catalog'!$F$57,"Out of range")))))))),IF(L740&lt;='Assumptions and Catalog'!$C$60,L740*'Assumptions and Catalog'!$H$60+'Assumptions and Catalog'!$E$60+'Assumptions and Catalog'!$F$60,IF(L740&lt;='Assumptions and Catalog'!$C$61,L740*'Assumptions and Catalog'!$H$61+'Assumptions and Catalog'!$E$61+'Assumptions and Catalog'!$F$61,IF(L740&lt;='Assumptions and Catalog'!$C$62,L740*'Assumptions and Catalog'!$H$62+'Assumptions and Catalog'!$E$62+'Assumptions and Catalog'!$F$62,IF(L740&lt;='Assumptions and Catalog'!$C$63,L740*'Assumptions and Catalog'!$H$63+'Assumptions and Catalog'!$E$63+'Assumptions and Catalog'!$F$63,IF(L740&lt;='Assumptions and Catalog'!$C$64,L740*'Assumptions and Catalog'!$H$64+'Assumptions and Catalog'!$E$64+'Assumptions and Catalog'!$F$64,IF(L740&lt;='Assumptions and Catalog'!$C$65,L740*'Assumptions and Catalog'!$H$65+'Assumptions and Catalog'!$E$65+'Assumptions and Catalog'!$F$65,"Out of range")))))))))*(1+'Assumptions and Catalog'!$C$8)^(A740-1),0)</f>
        <v>5737.3928440842919</v>
      </c>
      <c r="O740" s="5">
        <f t="shared" si="55"/>
        <v>2817.5738225823752</v>
      </c>
      <c r="P740" s="5">
        <f>E$55*(1-L$14)*(1-'Assumptions and Catalog'!$C$23)^R740</f>
        <v>90.71025980047358</v>
      </c>
      <c r="Q740" s="5">
        <f>IF(ISNUMBER(Inputs!$L$5),(IF(Inputs!$L$9="Actual flat rate",((D740+E740)*C740-G740)*Inputs!$L$10,IF(Inputs!$C$9="Residential",IF(((D740+E740)*C740-G740)&lt;='Assumptions and Catalog'!$C$50,((D740+E740)*C740-G740)*'Assumptions and Catalog'!$H$50+'Assumptions and Catalog'!$E$50+'Assumptions and Catalog'!$F$50,IF(((D740+E740)*C740-G740)&lt;='Assumptions and Catalog'!$C$51,((D740+E740)*C740-G740)*'Assumptions and Catalog'!$H$51+'Assumptions and Catalog'!$E$51+'Assumptions and Catalog'!$F$51,IF(((D740+E740)*C740-G740)&lt;='Assumptions and Catalog'!$C$52,((D740+E740)*C740-G740)*'Assumptions and Catalog'!$H$52+'Assumptions and Catalog'!$E$52+'Assumptions and Catalog'!$F$52,IF(((D740+E740)*C740-G740)&lt;='Assumptions and Catalog'!$C$53,((D740+E740)*C740-G740)*'Assumptions and Catalog'!$H$53+'Assumptions and Catalog'!$E$53+'Assumptions and Catalog'!$F$53,IF(((D740+E740)*C740-G740)&lt;='Assumptions and Catalog'!$C$54,((D740+E740)*C740-G740)*'Assumptions and Catalog'!$H$54+'Assumptions and Catalog'!$E$54+'Assumptions and Catalog'!$F$54,IF(((D740+E740)*C740-G740)&lt;='Assumptions and Catalog'!$C$55,((D740+E740)*C740-G740)*'Assumptions and Catalog'!$H$55+'Assumptions and Catalog'!$E$55+'Assumptions and Catalog'!$F$55,IF(((D740+E740)*C740-G740)&lt;='Assumptions and Catalog'!$C$56,((D740+E740)*C740-G740)*'Assumptions and Catalog'!$H$56+'Assumptions and Catalog'!$E$56+'Assumptions and Catalog'!$F$56,IF(((D740+E740)*C740-G740)&lt;='Assumptions and Catalog'!$C$57,((D740+E740)*C740-G740)*'Assumptions and Catalog'!$H$57+'Assumptions and Catalog'!$E$57+'Assumptions and Catalog'!$F$57,"Out of range")))))))),IF(((D740+E740)*C740-G740)&lt;='Assumptions and Catalog'!$C$60,((D740+E740)*C740-G740)*'Assumptions and Catalog'!$H$60+'Assumptions and Catalog'!$E$60+'Assumptions and Catalog'!$F$60,IF(((D740+E740)*C740-G740)&lt;='Assumptions and Catalog'!$C$61,((D740+E740)*C740-G740)*'Assumptions and Catalog'!$H$61+'Assumptions and Catalog'!$E$61+'Assumptions and Catalog'!$F$61,IF(((D740+E740)*C740-G740)&lt;='Assumptions and Catalog'!$C$62,((D740+E740)*C740-G740)*'Assumptions and Catalog'!$H$62+'Assumptions and Catalog'!$E$62+'Assumptions and Catalog'!$F$62,IF(((D740+E740)*C740-G740)&lt;='Assumptions and Catalog'!$C$63,((D740+E740)*C740-G740)*'Assumptions and Catalog'!$H$63+'Assumptions and Catalog'!$E$63+'Assumptions and Catalog'!$F$63,IF(((D740+E740)*C740-G740)&lt;='Assumptions and Catalog'!$C$64,((D740+E740)*C740-G740)*'Assumptions and Catalog'!$H$64+'Assumptions and Catalog'!$E$64+'Assumptions and Catalog'!$F$64,IF(((D740+E740)*C740-G740)&lt;='Assumptions and Catalog'!$C$65,((D740+E740)*C740-G740)*'Assumptions and Catalog'!$H$65+'Assumptions and Catalog'!$E$65+'Assumptions and Catalog'!$F$65,"Out of range")))))))))*(1+'Assumptions and Catalog'!$C$8)^(A740-1),0)</f>
        <v>5737.3928440842919</v>
      </c>
      <c r="R740" s="5">
        <f>IF(AND('Assumptions and Catalog'!$C$19&gt;0,A740&gt;='Assumptions and Catalog'!$C$19),A740-'Assumptions and Catalog'!$C$19,A740-1)</f>
        <v>6</v>
      </c>
      <c r="S740" s="5">
        <f>F740+L740-(D740+E740)*C740-J740-K740-IF(E$52&gt;0,'Assumptions and Catalog'!$C$26*C740,0)</f>
        <v>0</v>
      </c>
      <c r="T740" s="5"/>
      <c r="U740" s="5"/>
    </row>
    <row r="741" spans="1:21" ht="23.1" customHeight="1" outlineLevel="1" x14ac:dyDescent="0.2">
      <c r="A741" s="5">
        <v>7</v>
      </c>
      <c r="B741" s="5">
        <v>9</v>
      </c>
      <c r="C741" s="5">
        <f>DAY(DATE('Assumptions and Catalog'!$C$24+A741-1,B741+1,0))</f>
        <v>30</v>
      </c>
      <c r="D741" s="5">
        <f>IF(ISNUMBER(Inputs!$L$5),Inputs!$L$5*Inputs!$L$6,0)</f>
        <v>40.35</v>
      </c>
      <c r="E741" s="5">
        <f>IF(ISNUMBER(Inputs!$L$5),Inputs!$L$5-D741,0)</f>
        <v>40.35</v>
      </c>
      <c r="F741" s="5">
        <f>E$51*'Assumptions and Catalog'!$C$31*C741*(1-'Assumptions and Catalog'!$C$10)^(A741-1)</f>
        <v>797.35509093804365</v>
      </c>
      <c r="G741" s="5">
        <f t="shared" si="52"/>
        <v>797.35509093804365</v>
      </c>
      <c r="H741" s="5">
        <f>I741/('Assumptions and Catalog'!$C$11*'Assumptions and Catalog'!$C$12)</f>
        <v>0</v>
      </c>
      <c r="I741" s="5">
        <f>MIN(E741*C741,P741*'Assumptions and Catalog'!$C$12*C741,(F741-G741)*'Assumptions and Catalog'!$C$11*'Assumptions and Catalog'!$C$12,E$56*'Assumptions and Catalog'!$C$14*'Assumptions and Catalog'!$C$11*'Assumptions and Catalog'!$C$12*C741,E$57*(24-'Assumptions and Catalog'!$C$13)*C741)</f>
        <v>0</v>
      </c>
      <c r="J741" s="5">
        <f t="shared" si="53"/>
        <v>0</v>
      </c>
      <c r="K741" s="5">
        <f t="shared" si="54"/>
        <v>0</v>
      </c>
      <c r="L741" s="5">
        <f>(D741+E741)*C741-G741-I741+0+IF(E$52&gt;0,'Assumptions and Catalog'!$C$26*C741,0)</f>
        <v>1623.6449090619562</v>
      </c>
      <c r="M741" s="5">
        <f>IF(ISNUMBER(Inputs!$L$5),(IF(Inputs!$L$9="Actual flat rate",((D741+E741)*C741)*Inputs!$L$10,IF(Inputs!$C$9="Residential",IF(((D741+E741)*C741)&lt;='Assumptions and Catalog'!$C$50,((D741+E741)*C741)*'Assumptions and Catalog'!$H$50+'Assumptions and Catalog'!$E$50+'Assumptions and Catalog'!$F$50,IF(((D741+E741)*C741)&lt;='Assumptions and Catalog'!$C$51,((D741+E741)*C741)*'Assumptions and Catalog'!$H$51+'Assumptions and Catalog'!$E$51+'Assumptions and Catalog'!$F$51,IF(((D741+E741)*C741)&lt;='Assumptions and Catalog'!$C$52,((D741+E741)*C741)*'Assumptions and Catalog'!$H$52+'Assumptions and Catalog'!$E$52+'Assumptions and Catalog'!$F$52,IF(((D741+E741)*C741)&lt;='Assumptions and Catalog'!$C$53,((D741+E741)*C741)*'Assumptions and Catalog'!$H$53+'Assumptions and Catalog'!$E$53+'Assumptions and Catalog'!$F$53,IF(((D741+E741)*C741)&lt;='Assumptions and Catalog'!$C$54,((D741+E741)*C741)*'Assumptions and Catalog'!$H$54+'Assumptions and Catalog'!$E$54+'Assumptions and Catalog'!$F$54,IF(((D741+E741)*C741)&lt;='Assumptions and Catalog'!$C$55,((D741+E741)*C741)*'Assumptions and Catalog'!$H$55+'Assumptions and Catalog'!$E$55+'Assumptions and Catalog'!$F$55,IF(((D741+E741)*C741)&lt;='Assumptions and Catalog'!$C$56,((D741+E741)*C741)*'Assumptions and Catalog'!$H$56+'Assumptions and Catalog'!$E$56+'Assumptions and Catalog'!$F$56,IF(((D741+E741)*C741)&lt;='Assumptions and Catalog'!$C$57,((D741+E741)*C741)*'Assumptions and Catalog'!$H$57+'Assumptions and Catalog'!$E$57+'Assumptions and Catalog'!$F$57,"Out of range")))))))),IF(((D741+E741)*C741)&lt;='Assumptions and Catalog'!$C$60,((D741+E741)*C741)*'Assumptions and Catalog'!$H$60+'Assumptions and Catalog'!$E$60+'Assumptions and Catalog'!$F$60,IF(((D741+E741)*C741)&lt;='Assumptions and Catalog'!$C$61,((D741+E741)*C741)*'Assumptions and Catalog'!$H$61+'Assumptions and Catalog'!$E$61+'Assumptions and Catalog'!$F$61,IF(((D741+E741)*C741)&lt;='Assumptions and Catalog'!$C$62,((D741+E741)*C741)*'Assumptions and Catalog'!$H$62+'Assumptions and Catalog'!$E$62+'Assumptions and Catalog'!$F$62,IF(((D741+E741)*C741)&lt;='Assumptions and Catalog'!$C$63,((D741+E741)*C741)*'Assumptions and Catalog'!$H$63+'Assumptions and Catalog'!$E$63+'Assumptions and Catalog'!$F$63,IF(((D741+E741)*C741)&lt;='Assumptions and Catalog'!$C$64,((D741+E741)*C741)*'Assumptions and Catalog'!$H$64+'Assumptions and Catalog'!$E$64+'Assumptions and Catalog'!$F$64,IF(((D741+E741)*C741)&lt;='Assumptions and Catalog'!$C$65,((D741+E741)*C741)*'Assumptions and Catalog'!$H$65+'Assumptions and Catalog'!$E$65+'Assumptions and Catalog'!$F$65,"Out of range")))))))))*(1+'Assumptions and Catalog'!$C$8)^(A741-1),0)</f>
        <v>8279</v>
      </c>
      <c r="N741" s="5">
        <f>IF(ISNUMBER(Inputs!$L$5),(IF(Inputs!$L$9="Actual flat rate",L741*Inputs!$L$10,IF(Inputs!$C$9="Residential",IF(L741&lt;='Assumptions and Catalog'!$C$50,L741*'Assumptions and Catalog'!$H$50+'Assumptions and Catalog'!$E$50+'Assumptions and Catalog'!$F$50,IF(L741&lt;='Assumptions and Catalog'!$C$51,L741*'Assumptions and Catalog'!$H$51+'Assumptions and Catalog'!$E$51+'Assumptions and Catalog'!$F$51,IF(L741&lt;='Assumptions and Catalog'!$C$52,L741*'Assumptions and Catalog'!$H$52+'Assumptions and Catalog'!$E$52+'Assumptions and Catalog'!$F$52,IF(L741&lt;='Assumptions and Catalog'!$C$53,L741*'Assumptions and Catalog'!$H$53+'Assumptions and Catalog'!$E$53+'Assumptions and Catalog'!$F$53,IF(L741&lt;='Assumptions and Catalog'!$C$54,L741*'Assumptions and Catalog'!$H$54+'Assumptions and Catalog'!$E$54+'Assumptions and Catalog'!$F$54,IF(L741&lt;='Assumptions and Catalog'!$C$55,L741*'Assumptions and Catalog'!$H$55+'Assumptions and Catalog'!$E$55+'Assumptions and Catalog'!$F$55,IF(L741&lt;='Assumptions and Catalog'!$C$56,L741*'Assumptions and Catalog'!$H$56+'Assumptions and Catalog'!$E$56+'Assumptions and Catalog'!$F$56,IF(L741&lt;='Assumptions and Catalog'!$C$57,L741*'Assumptions and Catalog'!$H$57+'Assumptions and Catalog'!$E$57+'Assumptions and Catalog'!$F$57,"Out of range")))))))),IF(L741&lt;='Assumptions and Catalog'!$C$60,L741*'Assumptions and Catalog'!$H$60+'Assumptions and Catalog'!$E$60+'Assumptions and Catalog'!$F$60,IF(L741&lt;='Assumptions and Catalog'!$C$61,L741*'Assumptions and Catalog'!$H$61+'Assumptions and Catalog'!$E$61+'Assumptions and Catalog'!$F$61,IF(L741&lt;='Assumptions and Catalog'!$C$62,L741*'Assumptions and Catalog'!$H$62+'Assumptions and Catalog'!$E$62+'Assumptions and Catalog'!$F$62,IF(L741&lt;='Assumptions and Catalog'!$C$63,L741*'Assumptions and Catalog'!$H$63+'Assumptions and Catalog'!$E$63+'Assumptions and Catalog'!$F$63,IF(L741&lt;='Assumptions and Catalog'!$C$64,L741*'Assumptions and Catalog'!$H$64+'Assumptions and Catalog'!$E$64+'Assumptions and Catalog'!$F$64,IF(L741&lt;='Assumptions and Catalog'!$C$65,L741*'Assumptions and Catalog'!$H$65+'Assumptions and Catalog'!$E$65+'Assumptions and Catalog'!$F$65,"Out of range")))))))))*(1+'Assumptions and Catalog'!$C$8)^(A741-1),0)</f>
        <v>5552.3156555654423</v>
      </c>
      <c r="O741" s="5">
        <f t="shared" si="55"/>
        <v>2726.6843444345577</v>
      </c>
      <c r="P741" s="5">
        <f>E$55*(1-L$14)*(1-'Assumptions and Catalog'!$C$23)^R741</f>
        <v>90.71025980047358</v>
      </c>
      <c r="Q741" s="5">
        <f>IF(ISNUMBER(Inputs!$L$5),(IF(Inputs!$L$9="Actual flat rate",((D741+E741)*C741-G741)*Inputs!$L$10,IF(Inputs!$C$9="Residential",IF(((D741+E741)*C741-G741)&lt;='Assumptions and Catalog'!$C$50,((D741+E741)*C741-G741)*'Assumptions and Catalog'!$H$50+'Assumptions and Catalog'!$E$50+'Assumptions and Catalog'!$F$50,IF(((D741+E741)*C741-G741)&lt;='Assumptions and Catalog'!$C$51,((D741+E741)*C741-G741)*'Assumptions and Catalog'!$H$51+'Assumptions and Catalog'!$E$51+'Assumptions and Catalog'!$F$51,IF(((D741+E741)*C741-G741)&lt;='Assumptions and Catalog'!$C$52,((D741+E741)*C741-G741)*'Assumptions and Catalog'!$H$52+'Assumptions and Catalog'!$E$52+'Assumptions and Catalog'!$F$52,IF(((D741+E741)*C741-G741)&lt;='Assumptions and Catalog'!$C$53,((D741+E741)*C741-G741)*'Assumptions and Catalog'!$H$53+'Assumptions and Catalog'!$E$53+'Assumptions and Catalog'!$F$53,IF(((D741+E741)*C741-G741)&lt;='Assumptions and Catalog'!$C$54,((D741+E741)*C741-G741)*'Assumptions and Catalog'!$H$54+'Assumptions and Catalog'!$E$54+'Assumptions and Catalog'!$F$54,IF(((D741+E741)*C741-G741)&lt;='Assumptions and Catalog'!$C$55,((D741+E741)*C741-G741)*'Assumptions and Catalog'!$H$55+'Assumptions and Catalog'!$E$55+'Assumptions and Catalog'!$F$55,IF(((D741+E741)*C741-G741)&lt;='Assumptions and Catalog'!$C$56,((D741+E741)*C741-G741)*'Assumptions and Catalog'!$H$56+'Assumptions and Catalog'!$E$56+'Assumptions and Catalog'!$F$56,IF(((D741+E741)*C741-G741)&lt;='Assumptions and Catalog'!$C$57,((D741+E741)*C741-G741)*'Assumptions and Catalog'!$H$57+'Assumptions and Catalog'!$E$57+'Assumptions and Catalog'!$F$57,"Out of range")))))))),IF(((D741+E741)*C741-G741)&lt;='Assumptions and Catalog'!$C$60,((D741+E741)*C741-G741)*'Assumptions and Catalog'!$H$60+'Assumptions and Catalog'!$E$60+'Assumptions and Catalog'!$F$60,IF(((D741+E741)*C741-G741)&lt;='Assumptions and Catalog'!$C$61,((D741+E741)*C741-G741)*'Assumptions and Catalog'!$H$61+'Assumptions and Catalog'!$E$61+'Assumptions and Catalog'!$F$61,IF(((D741+E741)*C741-G741)&lt;='Assumptions and Catalog'!$C$62,((D741+E741)*C741-G741)*'Assumptions and Catalog'!$H$62+'Assumptions and Catalog'!$E$62+'Assumptions and Catalog'!$F$62,IF(((D741+E741)*C741-G741)&lt;='Assumptions and Catalog'!$C$63,((D741+E741)*C741-G741)*'Assumptions and Catalog'!$H$63+'Assumptions and Catalog'!$E$63+'Assumptions and Catalog'!$F$63,IF(((D741+E741)*C741-G741)&lt;='Assumptions and Catalog'!$C$64,((D741+E741)*C741-G741)*'Assumptions and Catalog'!$H$64+'Assumptions and Catalog'!$E$64+'Assumptions and Catalog'!$F$64,IF(((D741+E741)*C741-G741)&lt;='Assumptions and Catalog'!$C$65,((D741+E741)*C741-G741)*'Assumptions and Catalog'!$H$65+'Assumptions and Catalog'!$E$65+'Assumptions and Catalog'!$F$65,"Out of range")))))))))*(1+'Assumptions and Catalog'!$C$8)^(A741-1),0)</f>
        <v>5552.3156555654423</v>
      </c>
      <c r="R741" s="5">
        <f>IF(AND('Assumptions and Catalog'!$C$19&gt;0,A741&gt;='Assumptions and Catalog'!$C$19),A741-'Assumptions and Catalog'!$C$19,A741-1)</f>
        <v>6</v>
      </c>
      <c r="S741" s="5">
        <f>F741+L741-(D741+E741)*C741-J741-K741-IF(E$52&gt;0,'Assumptions and Catalog'!$C$26*C741,0)</f>
        <v>0</v>
      </c>
      <c r="T741" s="5"/>
      <c r="U741" s="5"/>
    </row>
    <row r="742" spans="1:21" ht="23.1" customHeight="1" outlineLevel="1" x14ac:dyDescent="0.2">
      <c r="A742" s="5">
        <v>7</v>
      </c>
      <c r="B742" s="5">
        <v>10</v>
      </c>
      <c r="C742" s="5">
        <f>DAY(DATE('Assumptions and Catalog'!$C$24+A742-1,B742+1,0))</f>
        <v>31</v>
      </c>
      <c r="D742" s="5">
        <f>IF(ISNUMBER(Inputs!$L$5),Inputs!$L$5*Inputs!$L$6,0)</f>
        <v>40.35</v>
      </c>
      <c r="E742" s="5">
        <f>IF(ISNUMBER(Inputs!$L$5),Inputs!$L$5-D742,0)</f>
        <v>40.35</v>
      </c>
      <c r="F742" s="5">
        <f>E$51*'Assumptions and Catalog'!$C$31*C742*(1-'Assumptions and Catalog'!$C$10)^(A742-1)</f>
        <v>823.93359396931169</v>
      </c>
      <c r="G742" s="5">
        <f t="shared" si="52"/>
        <v>823.93359396931169</v>
      </c>
      <c r="H742" s="5">
        <f>I742/('Assumptions and Catalog'!$C$11*'Assumptions and Catalog'!$C$12)</f>
        <v>0</v>
      </c>
      <c r="I742" s="5">
        <f>MIN(E742*C742,P742*'Assumptions and Catalog'!$C$12*C742,(F742-G742)*'Assumptions and Catalog'!$C$11*'Assumptions and Catalog'!$C$12,E$56*'Assumptions and Catalog'!$C$14*'Assumptions and Catalog'!$C$11*'Assumptions and Catalog'!$C$12*C742,E$57*(24-'Assumptions and Catalog'!$C$13)*C742)</f>
        <v>0</v>
      </c>
      <c r="J742" s="5">
        <f t="shared" si="53"/>
        <v>0</v>
      </c>
      <c r="K742" s="5">
        <f t="shared" si="54"/>
        <v>0</v>
      </c>
      <c r="L742" s="5">
        <f>(D742+E742)*C742-G742-I742+0+IF(E$52&gt;0,'Assumptions and Catalog'!$C$26*C742,0)</f>
        <v>1677.7664060306886</v>
      </c>
      <c r="M742" s="5">
        <f>IF(ISNUMBER(Inputs!$L$5),(IF(Inputs!$L$9="Actual flat rate",((D742+E742)*C742)*Inputs!$L$10,IF(Inputs!$C$9="Residential",IF(((D742+E742)*C742)&lt;='Assumptions and Catalog'!$C$50,((D742+E742)*C742)*'Assumptions and Catalog'!$H$50+'Assumptions and Catalog'!$E$50+'Assumptions and Catalog'!$F$50,IF(((D742+E742)*C742)&lt;='Assumptions and Catalog'!$C$51,((D742+E742)*C742)*'Assumptions and Catalog'!$H$51+'Assumptions and Catalog'!$E$51+'Assumptions and Catalog'!$F$51,IF(((D742+E742)*C742)&lt;='Assumptions and Catalog'!$C$52,((D742+E742)*C742)*'Assumptions and Catalog'!$H$52+'Assumptions and Catalog'!$E$52+'Assumptions and Catalog'!$F$52,IF(((D742+E742)*C742)&lt;='Assumptions and Catalog'!$C$53,((D742+E742)*C742)*'Assumptions and Catalog'!$H$53+'Assumptions and Catalog'!$E$53+'Assumptions and Catalog'!$F$53,IF(((D742+E742)*C742)&lt;='Assumptions and Catalog'!$C$54,((D742+E742)*C742)*'Assumptions and Catalog'!$H$54+'Assumptions and Catalog'!$E$54+'Assumptions and Catalog'!$F$54,IF(((D742+E742)*C742)&lt;='Assumptions and Catalog'!$C$55,((D742+E742)*C742)*'Assumptions and Catalog'!$H$55+'Assumptions and Catalog'!$E$55+'Assumptions and Catalog'!$F$55,IF(((D742+E742)*C742)&lt;='Assumptions and Catalog'!$C$56,((D742+E742)*C742)*'Assumptions and Catalog'!$H$56+'Assumptions and Catalog'!$E$56+'Assumptions and Catalog'!$F$56,IF(((D742+E742)*C742)&lt;='Assumptions and Catalog'!$C$57,((D742+E742)*C742)*'Assumptions and Catalog'!$H$57+'Assumptions and Catalog'!$E$57+'Assumptions and Catalog'!$F$57,"Out of range")))))))),IF(((D742+E742)*C742)&lt;='Assumptions and Catalog'!$C$60,((D742+E742)*C742)*'Assumptions and Catalog'!$H$60+'Assumptions and Catalog'!$E$60+'Assumptions and Catalog'!$F$60,IF(((D742+E742)*C742)&lt;='Assumptions and Catalog'!$C$61,((D742+E742)*C742)*'Assumptions and Catalog'!$H$61+'Assumptions and Catalog'!$E$61+'Assumptions and Catalog'!$F$61,IF(((D742+E742)*C742)&lt;='Assumptions and Catalog'!$C$62,((D742+E742)*C742)*'Assumptions and Catalog'!$H$62+'Assumptions and Catalog'!$E$62+'Assumptions and Catalog'!$F$62,IF(((D742+E742)*C742)&lt;='Assumptions and Catalog'!$C$63,((D742+E742)*C742)*'Assumptions and Catalog'!$H$63+'Assumptions and Catalog'!$E$63+'Assumptions and Catalog'!$F$63,IF(((D742+E742)*C742)&lt;='Assumptions and Catalog'!$C$64,((D742+E742)*C742)*'Assumptions and Catalog'!$H$64+'Assumptions and Catalog'!$E$64+'Assumptions and Catalog'!$F$64,IF(((D742+E742)*C742)&lt;='Assumptions and Catalog'!$C$65,((D742+E742)*C742)*'Assumptions and Catalog'!$H$65+'Assumptions and Catalog'!$E$65+'Assumptions and Catalog'!$F$65,"Out of range")))))))))*(1+'Assumptions and Catalog'!$C$8)^(A742-1),0)</f>
        <v>8554.9666666666672</v>
      </c>
      <c r="N742" s="5">
        <f>IF(ISNUMBER(Inputs!$L$5),(IF(Inputs!$L$9="Actual flat rate",L742*Inputs!$L$10,IF(Inputs!$C$9="Residential",IF(L742&lt;='Assumptions and Catalog'!$C$50,L742*'Assumptions and Catalog'!$H$50+'Assumptions and Catalog'!$E$50+'Assumptions and Catalog'!$F$50,IF(L742&lt;='Assumptions and Catalog'!$C$51,L742*'Assumptions and Catalog'!$H$51+'Assumptions and Catalog'!$E$51+'Assumptions and Catalog'!$F$51,IF(L742&lt;='Assumptions and Catalog'!$C$52,L742*'Assumptions and Catalog'!$H$52+'Assumptions and Catalog'!$E$52+'Assumptions and Catalog'!$F$52,IF(L742&lt;='Assumptions and Catalog'!$C$53,L742*'Assumptions and Catalog'!$H$53+'Assumptions and Catalog'!$E$53+'Assumptions and Catalog'!$F$53,IF(L742&lt;='Assumptions and Catalog'!$C$54,L742*'Assumptions and Catalog'!$H$54+'Assumptions and Catalog'!$E$54+'Assumptions and Catalog'!$F$54,IF(L742&lt;='Assumptions and Catalog'!$C$55,L742*'Assumptions and Catalog'!$H$55+'Assumptions and Catalog'!$E$55+'Assumptions and Catalog'!$F$55,IF(L742&lt;='Assumptions and Catalog'!$C$56,L742*'Assumptions and Catalog'!$H$56+'Assumptions and Catalog'!$E$56+'Assumptions and Catalog'!$F$56,IF(L742&lt;='Assumptions and Catalog'!$C$57,L742*'Assumptions and Catalog'!$H$57+'Assumptions and Catalog'!$E$57+'Assumptions and Catalog'!$F$57,"Out of range")))))))),IF(L742&lt;='Assumptions and Catalog'!$C$60,L742*'Assumptions and Catalog'!$H$60+'Assumptions and Catalog'!$E$60+'Assumptions and Catalog'!$F$60,IF(L742&lt;='Assumptions and Catalog'!$C$61,L742*'Assumptions and Catalog'!$H$61+'Assumptions and Catalog'!$E$61+'Assumptions and Catalog'!$F$61,IF(L742&lt;='Assumptions and Catalog'!$C$62,L742*'Assumptions and Catalog'!$H$62+'Assumptions and Catalog'!$E$62+'Assumptions and Catalog'!$F$62,IF(L742&lt;='Assumptions and Catalog'!$C$63,L742*'Assumptions and Catalog'!$H$63+'Assumptions and Catalog'!$E$63+'Assumptions and Catalog'!$F$63,IF(L742&lt;='Assumptions and Catalog'!$C$64,L742*'Assumptions and Catalog'!$H$64+'Assumptions and Catalog'!$E$64+'Assumptions and Catalog'!$F$64,IF(L742&lt;='Assumptions and Catalog'!$C$65,L742*'Assumptions and Catalog'!$H$65+'Assumptions and Catalog'!$E$65+'Assumptions and Catalog'!$F$65,"Out of range")))))))))*(1+'Assumptions and Catalog'!$C$8)^(A742-1),0)</f>
        <v>5737.3928440842919</v>
      </c>
      <c r="O742" s="5">
        <f t="shared" si="55"/>
        <v>2817.5738225823752</v>
      </c>
      <c r="P742" s="5">
        <f>E$55*(1-L$14)*(1-'Assumptions and Catalog'!$C$23)^R742</f>
        <v>90.71025980047358</v>
      </c>
      <c r="Q742" s="5">
        <f>IF(ISNUMBER(Inputs!$L$5),(IF(Inputs!$L$9="Actual flat rate",((D742+E742)*C742-G742)*Inputs!$L$10,IF(Inputs!$C$9="Residential",IF(((D742+E742)*C742-G742)&lt;='Assumptions and Catalog'!$C$50,((D742+E742)*C742-G742)*'Assumptions and Catalog'!$H$50+'Assumptions and Catalog'!$E$50+'Assumptions and Catalog'!$F$50,IF(((D742+E742)*C742-G742)&lt;='Assumptions and Catalog'!$C$51,((D742+E742)*C742-G742)*'Assumptions and Catalog'!$H$51+'Assumptions and Catalog'!$E$51+'Assumptions and Catalog'!$F$51,IF(((D742+E742)*C742-G742)&lt;='Assumptions and Catalog'!$C$52,((D742+E742)*C742-G742)*'Assumptions and Catalog'!$H$52+'Assumptions and Catalog'!$E$52+'Assumptions and Catalog'!$F$52,IF(((D742+E742)*C742-G742)&lt;='Assumptions and Catalog'!$C$53,((D742+E742)*C742-G742)*'Assumptions and Catalog'!$H$53+'Assumptions and Catalog'!$E$53+'Assumptions and Catalog'!$F$53,IF(((D742+E742)*C742-G742)&lt;='Assumptions and Catalog'!$C$54,((D742+E742)*C742-G742)*'Assumptions and Catalog'!$H$54+'Assumptions and Catalog'!$E$54+'Assumptions and Catalog'!$F$54,IF(((D742+E742)*C742-G742)&lt;='Assumptions and Catalog'!$C$55,((D742+E742)*C742-G742)*'Assumptions and Catalog'!$H$55+'Assumptions and Catalog'!$E$55+'Assumptions and Catalog'!$F$55,IF(((D742+E742)*C742-G742)&lt;='Assumptions and Catalog'!$C$56,((D742+E742)*C742-G742)*'Assumptions and Catalog'!$H$56+'Assumptions and Catalog'!$E$56+'Assumptions and Catalog'!$F$56,IF(((D742+E742)*C742-G742)&lt;='Assumptions and Catalog'!$C$57,((D742+E742)*C742-G742)*'Assumptions and Catalog'!$H$57+'Assumptions and Catalog'!$E$57+'Assumptions and Catalog'!$F$57,"Out of range")))))))),IF(((D742+E742)*C742-G742)&lt;='Assumptions and Catalog'!$C$60,((D742+E742)*C742-G742)*'Assumptions and Catalog'!$H$60+'Assumptions and Catalog'!$E$60+'Assumptions and Catalog'!$F$60,IF(((D742+E742)*C742-G742)&lt;='Assumptions and Catalog'!$C$61,((D742+E742)*C742-G742)*'Assumptions and Catalog'!$H$61+'Assumptions and Catalog'!$E$61+'Assumptions and Catalog'!$F$61,IF(((D742+E742)*C742-G742)&lt;='Assumptions and Catalog'!$C$62,((D742+E742)*C742-G742)*'Assumptions and Catalog'!$H$62+'Assumptions and Catalog'!$E$62+'Assumptions and Catalog'!$F$62,IF(((D742+E742)*C742-G742)&lt;='Assumptions and Catalog'!$C$63,((D742+E742)*C742-G742)*'Assumptions and Catalog'!$H$63+'Assumptions and Catalog'!$E$63+'Assumptions and Catalog'!$F$63,IF(((D742+E742)*C742-G742)&lt;='Assumptions and Catalog'!$C$64,((D742+E742)*C742-G742)*'Assumptions and Catalog'!$H$64+'Assumptions and Catalog'!$E$64+'Assumptions and Catalog'!$F$64,IF(((D742+E742)*C742-G742)&lt;='Assumptions and Catalog'!$C$65,((D742+E742)*C742-G742)*'Assumptions and Catalog'!$H$65+'Assumptions and Catalog'!$E$65+'Assumptions and Catalog'!$F$65,"Out of range")))))))))*(1+'Assumptions and Catalog'!$C$8)^(A742-1),0)</f>
        <v>5737.3928440842919</v>
      </c>
      <c r="R742" s="5">
        <f>IF(AND('Assumptions and Catalog'!$C$19&gt;0,A742&gt;='Assumptions and Catalog'!$C$19),A742-'Assumptions and Catalog'!$C$19,A742-1)</f>
        <v>6</v>
      </c>
      <c r="S742" s="5">
        <f>F742+L742-(D742+E742)*C742-J742-K742-IF(E$52&gt;0,'Assumptions and Catalog'!$C$26*C742,0)</f>
        <v>0</v>
      </c>
      <c r="T742" s="5"/>
      <c r="U742" s="5"/>
    </row>
    <row r="743" spans="1:21" ht="23.1" customHeight="1" outlineLevel="1" x14ac:dyDescent="0.2">
      <c r="A743" s="5">
        <v>7</v>
      </c>
      <c r="B743" s="5">
        <v>11</v>
      </c>
      <c r="C743" s="5">
        <f>DAY(DATE('Assumptions and Catalog'!$C$24+A743-1,B743+1,0))</f>
        <v>30</v>
      </c>
      <c r="D743" s="5">
        <f>IF(ISNUMBER(Inputs!$L$5),Inputs!$L$5*Inputs!$L$6,0)</f>
        <v>40.35</v>
      </c>
      <c r="E743" s="5">
        <f>IF(ISNUMBER(Inputs!$L$5),Inputs!$L$5-D743,0)</f>
        <v>40.35</v>
      </c>
      <c r="F743" s="5">
        <f>E$51*'Assumptions and Catalog'!$C$31*C743*(1-'Assumptions and Catalog'!$C$10)^(A743-1)</f>
        <v>797.35509093804365</v>
      </c>
      <c r="G743" s="5">
        <f t="shared" si="52"/>
        <v>797.35509093804365</v>
      </c>
      <c r="H743" s="5">
        <f>I743/('Assumptions and Catalog'!$C$11*'Assumptions and Catalog'!$C$12)</f>
        <v>0</v>
      </c>
      <c r="I743" s="5">
        <f>MIN(E743*C743,P743*'Assumptions and Catalog'!$C$12*C743,(F743-G743)*'Assumptions and Catalog'!$C$11*'Assumptions and Catalog'!$C$12,E$56*'Assumptions and Catalog'!$C$14*'Assumptions and Catalog'!$C$11*'Assumptions and Catalog'!$C$12*C743,E$57*(24-'Assumptions and Catalog'!$C$13)*C743)</f>
        <v>0</v>
      </c>
      <c r="J743" s="5">
        <f t="shared" si="53"/>
        <v>0</v>
      </c>
      <c r="K743" s="5">
        <f t="shared" si="54"/>
        <v>0</v>
      </c>
      <c r="L743" s="5">
        <f>(D743+E743)*C743-G743-I743+0+IF(E$52&gt;0,'Assumptions and Catalog'!$C$26*C743,0)</f>
        <v>1623.6449090619562</v>
      </c>
      <c r="M743" s="5">
        <f>IF(ISNUMBER(Inputs!$L$5),(IF(Inputs!$L$9="Actual flat rate",((D743+E743)*C743)*Inputs!$L$10,IF(Inputs!$C$9="Residential",IF(((D743+E743)*C743)&lt;='Assumptions and Catalog'!$C$50,((D743+E743)*C743)*'Assumptions and Catalog'!$H$50+'Assumptions and Catalog'!$E$50+'Assumptions and Catalog'!$F$50,IF(((D743+E743)*C743)&lt;='Assumptions and Catalog'!$C$51,((D743+E743)*C743)*'Assumptions and Catalog'!$H$51+'Assumptions and Catalog'!$E$51+'Assumptions and Catalog'!$F$51,IF(((D743+E743)*C743)&lt;='Assumptions and Catalog'!$C$52,((D743+E743)*C743)*'Assumptions and Catalog'!$H$52+'Assumptions and Catalog'!$E$52+'Assumptions and Catalog'!$F$52,IF(((D743+E743)*C743)&lt;='Assumptions and Catalog'!$C$53,((D743+E743)*C743)*'Assumptions and Catalog'!$H$53+'Assumptions and Catalog'!$E$53+'Assumptions and Catalog'!$F$53,IF(((D743+E743)*C743)&lt;='Assumptions and Catalog'!$C$54,((D743+E743)*C743)*'Assumptions and Catalog'!$H$54+'Assumptions and Catalog'!$E$54+'Assumptions and Catalog'!$F$54,IF(((D743+E743)*C743)&lt;='Assumptions and Catalog'!$C$55,((D743+E743)*C743)*'Assumptions and Catalog'!$H$55+'Assumptions and Catalog'!$E$55+'Assumptions and Catalog'!$F$55,IF(((D743+E743)*C743)&lt;='Assumptions and Catalog'!$C$56,((D743+E743)*C743)*'Assumptions and Catalog'!$H$56+'Assumptions and Catalog'!$E$56+'Assumptions and Catalog'!$F$56,IF(((D743+E743)*C743)&lt;='Assumptions and Catalog'!$C$57,((D743+E743)*C743)*'Assumptions and Catalog'!$H$57+'Assumptions and Catalog'!$E$57+'Assumptions and Catalog'!$F$57,"Out of range")))))))),IF(((D743+E743)*C743)&lt;='Assumptions and Catalog'!$C$60,((D743+E743)*C743)*'Assumptions and Catalog'!$H$60+'Assumptions and Catalog'!$E$60+'Assumptions and Catalog'!$F$60,IF(((D743+E743)*C743)&lt;='Assumptions and Catalog'!$C$61,((D743+E743)*C743)*'Assumptions and Catalog'!$H$61+'Assumptions and Catalog'!$E$61+'Assumptions and Catalog'!$F$61,IF(((D743+E743)*C743)&lt;='Assumptions and Catalog'!$C$62,((D743+E743)*C743)*'Assumptions and Catalog'!$H$62+'Assumptions and Catalog'!$E$62+'Assumptions and Catalog'!$F$62,IF(((D743+E743)*C743)&lt;='Assumptions and Catalog'!$C$63,((D743+E743)*C743)*'Assumptions and Catalog'!$H$63+'Assumptions and Catalog'!$E$63+'Assumptions and Catalog'!$F$63,IF(((D743+E743)*C743)&lt;='Assumptions and Catalog'!$C$64,((D743+E743)*C743)*'Assumptions and Catalog'!$H$64+'Assumptions and Catalog'!$E$64+'Assumptions and Catalog'!$F$64,IF(((D743+E743)*C743)&lt;='Assumptions and Catalog'!$C$65,((D743+E743)*C743)*'Assumptions and Catalog'!$H$65+'Assumptions and Catalog'!$E$65+'Assumptions and Catalog'!$F$65,"Out of range")))))))))*(1+'Assumptions and Catalog'!$C$8)^(A743-1),0)</f>
        <v>8279</v>
      </c>
      <c r="N743" s="5">
        <f>IF(ISNUMBER(Inputs!$L$5),(IF(Inputs!$L$9="Actual flat rate",L743*Inputs!$L$10,IF(Inputs!$C$9="Residential",IF(L743&lt;='Assumptions and Catalog'!$C$50,L743*'Assumptions and Catalog'!$H$50+'Assumptions and Catalog'!$E$50+'Assumptions and Catalog'!$F$50,IF(L743&lt;='Assumptions and Catalog'!$C$51,L743*'Assumptions and Catalog'!$H$51+'Assumptions and Catalog'!$E$51+'Assumptions and Catalog'!$F$51,IF(L743&lt;='Assumptions and Catalog'!$C$52,L743*'Assumptions and Catalog'!$H$52+'Assumptions and Catalog'!$E$52+'Assumptions and Catalog'!$F$52,IF(L743&lt;='Assumptions and Catalog'!$C$53,L743*'Assumptions and Catalog'!$H$53+'Assumptions and Catalog'!$E$53+'Assumptions and Catalog'!$F$53,IF(L743&lt;='Assumptions and Catalog'!$C$54,L743*'Assumptions and Catalog'!$H$54+'Assumptions and Catalog'!$E$54+'Assumptions and Catalog'!$F$54,IF(L743&lt;='Assumptions and Catalog'!$C$55,L743*'Assumptions and Catalog'!$H$55+'Assumptions and Catalog'!$E$55+'Assumptions and Catalog'!$F$55,IF(L743&lt;='Assumptions and Catalog'!$C$56,L743*'Assumptions and Catalog'!$H$56+'Assumptions and Catalog'!$E$56+'Assumptions and Catalog'!$F$56,IF(L743&lt;='Assumptions and Catalog'!$C$57,L743*'Assumptions and Catalog'!$H$57+'Assumptions and Catalog'!$E$57+'Assumptions and Catalog'!$F$57,"Out of range")))))))),IF(L743&lt;='Assumptions and Catalog'!$C$60,L743*'Assumptions and Catalog'!$H$60+'Assumptions and Catalog'!$E$60+'Assumptions and Catalog'!$F$60,IF(L743&lt;='Assumptions and Catalog'!$C$61,L743*'Assumptions and Catalog'!$H$61+'Assumptions and Catalog'!$E$61+'Assumptions and Catalog'!$F$61,IF(L743&lt;='Assumptions and Catalog'!$C$62,L743*'Assumptions and Catalog'!$H$62+'Assumptions and Catalog'!$E$62+'Assumptions and Catalog'!$F$62,IF(L743&lt;='Assumptions and Catalog'!$C$63,L743*'Assumptions and Catalog'!$H$63+'Assumptions and Catalog'!$E$63+'Assumptions and Catalog'!$F$63,IF(L743&lt;='Assumptions and Catalog'!$C$64,L743*'Assumptions and Catalog'!$H$64+'Assumptions and Catalog'!$E$64+'Assumptions and Catalog'!$F$64,IF(L743&lt;='Assumptions and Catalog'!$C$65,L743*'Assumptions and Catalog'!$H$65+'Assumptions and Catalog'!$E$65+'Assumptions and Catalog'!$F$65,"Out of range")))))))))*(1+'Assumptions and Catalog'!$C$8)^(A743-1),0)</f>
        <v>5552.3156555654423</v>
      </c>
      <c r="O743" s="5">
        <f t="shared" si="55"/>
        <v>2726.6843444345577</v>
      </c>
      <c r="P743" s="5">
        <f>E$55*(1-L$14)*(1-'Assumptions and Catalog'!$C$23)^R743</f>
        <v>90.71025980047358</v>
      </c>
      <c r="Q743" s="5">
        <f>IF(ISNUMBER(Inputs!$L$5),(IF(Inputs!$L$9="Actual flat rate",((D743+E743)*C743-G743)*Inputs!$L$10,IF(Inputs!$C$9="Residential",IF(((D743+E743)*C743-G743)&lt;='Assumptions and Catalog'!$C$50,((D743+E743)*C743-G743)*'Assumptions and Catalog'!$H$50+'Assumptions and Catalog'!$E$50+'Assumptions and Catalog'!$F$50,IF(((D743+E743)*C743-G743)&lt;='Assumptions and Catalog'!$C$51,((D743+E743)*C743-G743)*'Assumptions and Catalog'!$H$51+'Assumptions and Catalog'!$E$51+'Assumptions and Catalog'!$F$51,IF(((D743+E743)*C743-G743)&lt;='Assumptions and Catalog'!$C$52,((D743+E743)*C743-G743)*'Assumptions and Catalog'!$H$52+'Assumptions and Catalog'!$E$52+'Assumptions and Catalog'!$F$52,IF(((D743+E743)*C743-G743)&lt;='Assumptions and Catalog'!$C$53,((D743+E743)*C743-G743)*'Assumptions and Catalog'!$H$53+'Assumptions and Catalog'!$E$53+'Assumptions and Catalog'!$F$53,IF(((D743+E743)*C743-G743)&lt;='Assumptions and Catalog'!$C$54,((D743+E743)*C743-G743)*'Assumptions and Catalog'!$H$54+'Assumptions and Catalog'!$E$54+'Assumptions and Catalog'!$F$54,IF(((D743+E743)*C743-G743)&lt;='Assumptions and Catalog'!$C$55,((D743+E743)*C743-G743)*'Assumptions and Catalog'!$H$55+'Assumptions and Catalog'!$E$55+'Assumptions and Catalog'!$F$55,IF(((D743+E743)*C743-G743)&lt;='Assumptions and Catalog'!$C$56,((D743+E743)*C743-G743)*'Assumptions and Catalog'!$H$56+'Assumptions and Catalog'!$E$56+'Assumptions and Catalog'!$F$56,IF(((D743+E743)*C743-G743)&lt;='Assumptions and Catalog'!$C$57,((D743+E743)*C743-G743)*'Assumptions and Catalog'!$H$57+'Assumptions and Catalog'!$E$57+'Assumptions and Catalog'!$F$57,"Out of range")))))))),IF(((D743+E743)*C743-G743)&lt;='Assumptions and Catalog'!$C$60,((D743+E743)*C743-G743)*'Assumptions and Catalog'!$H$60+'Assumptions and Catalog'!$E$60+'Assumptions and Catalog'!$F$60,IF(((D743+E743)*C743-G743)&lt;='Assumptions and Catalog'!$C$61,((D743+E743)*C743-G743)*'Assumptions and Catalog'!$H$61+'Assumptions and Catalog'!$E$61+'Assumptions and Catalog'!$F$61,IF(((D743+E743)*C743-G743)&lt;='Assumptions and Catalog'!$C$62,((D743+E743)*C743-G743)*'Assumptions and Catalog'!$H$62+'Assumptions and Catalog'!$E$62+'Assumptions and Catalog'!$F$62,IF(((D743+E743)*C743-G743)&lt;='Assumptions and Catalog'!$C$63,((D743+E743)*C743-G743)*'Assumptions and Catalog'!$H$63+'Assumptions and Catalog'!$E$63+'Assumptions and Catalog'!$F$63,IF(((D743+E743)*C743-G743)&lt;='Assumptions and Catalog'!$C$64,((D743+E743)*C743-G743)*'Assumptions and Catalog'!$H$64+'Assumptions and Catalog'!$E$64+'Assumptions and Catalog'!$F$64,IF(((D743+E743)*C743-G743)&lt;='Assumptions and Catalog'!$C$65,((D743+E743)*C743-G743)*'Assumptions and Catalog'!$H$65+'Assumptions and Catalog'!$E$65+'Assumptions and Catalog'!$F$65,"Out of range")))))))))*(1+'Assumptions and Catalog'!$C$8)^(A743-1),0)</f>
        <v>5552.3156555654423</v>
      </c>
      <c r="R743" s="5">
        <f>IF(AND('Assumptions and Catalog'!$C$19&gt;0,A743&gt;='Assumptions and Catalog'!$C$19),A743-'Assumptions and Catalog'!$C$19,A743-1)</f>
        <v>6</v>
      </c>
      <c r="S743" s="5">
        <f>F743+L743-(D743+E743)*C743-J743-K743-IF(E$52&gt;0,'Assumptions and Catalog'!$C$26*C743,0)</f>
        <v>0</v>
      </c>
      <c r="T743" s="5"/>
      <c r="U743" s="5"/>
    </row>
    <row r="744" spans="1:21" ht="23.1" customHeight="1" outlineLevel="1" x14ac:dyDescent="0.2">
      <c r="A744" s="5">
        <v>7</v>
      </c>
      <c r="B744" s="5">
        <v>12</v>
      </c>
      <c r="C744" s="5">
        <f>DAY(DATE('Assumptions and Catalog'!$C$24+A744-1,B744+1,0))</f>
        <v>31</v>
      </c>
      <c r="D744" s="5">
        <f>IF(ISNUMBER(Inputs!$L$5),Inputs!$L$5*Inputs!$L$6,0)</f>
        <v>40.35</v>
      </c>
      <c r="E744" s="5">
        <f>IF(ISNUMBER(Inputs!$L$5),Inputs!$L$5-D744,0)</f>
        <v>40.35</v>
      </c>
      <c r="F744" s="5">
        <f>E$51*'Assumptions and Catalog'!$C$31*C744*(1-'Assumptions and Catalog'!$C$10)^(A744-1)</f>
        <v>823.93359396931169</v>
      </c>
      <c r="G744" s="5">
        <f t="shared" si="52"/>
        <v>823.93359396931169</v>
      </c>
      <c r="H744" s="5">
        <f>I744/('Assumptions and Catalog'!$C$11*'Assumptions and Catalog'!$C$12)</f>
        <v>0</v>
      </c>
      <c r="I744" s="5">
        <f>MIN(E744*C744,P744*'Assumptions and Catalog'!$C$12*C744,(F744-G744)*'Assumptions and Catalog'!$C$11*'Assumptions and Catalog'!$C$12,E$56*'Assumptions and Catalog'!$C$14*'Assumptions and Catalog'!$C$11*'Assumptions and Catalog'!$C$12*C744,E$57*(24-'Assumptions and Catalog'!$C$13)*C744)</f>
        <v>0</v>
      </c>
      <c r="J744" s="5">
        <f t="shared" si="53"/>
        <v>0</v>
      </c>
      <c r="K744" s="5">
        <f t="shared" si="54"/>
        <v>0</v>
      </c>
      <c r="L744" s="5">
        <f>(D744+E744)*C744-G744-I744+0+IF(E$52&gt;0,'Assumptions and Catalog'!$C$26*C744,0)</f>
        <v>1677.7664060306886</v>
      </c>
      <c r="M744" s="5">
        <f>IF(ISNUMBER(Inputs!$L$5),(IF(Inputs!$L$9="Actual flat rate",((D744+E744)*C744)*Inputs!$L$10,IF(Inputs!$C$9="Residential",IF(((D744+E744)*C744)&lt;='Assumptions and Catalog'!$C$50,((D744+E744)*C744)*'Assumptions and Catalog'!$H$50+'Assumptions and Catalog'!$E$50+'Assumptions and Catalog'!$F$50,IF(((D744+E744)*C744)&lt;='Assumptions and Catalog'!$C$51,((D744+E744)*C744)*'Assumptions and Catalog'!$H$51+'Assumptions and Catalog'!$E$51+'Assumptions and Catalog'!$F$51,IF(((D744+E744)*C744)&lt;='Assumptions and Catalog'!$C$52,((D744+E744)*C744)*'Assumptions and Catalog'!$H$52+'Assumptions and Catalog'!$E$52+'Assumptions and Catalog'!$F$52,IF(((D744+E744)*C744)&lt;='Assumptions and Catalog'!$C$53,((D744+E744)*C744)*'Assumptions and Catalog'!$H$53+'Assumptions and Catalog'!$E$53+'Assumptions and Catalog'!$F$53,IF(((D744+E744)*C744)&lt;='Assumptions and Catalog'!$C$54,((D744+E744)*C744)*'Assumptions and Catalog'!$H$54+'Assumptions and Catalog'!$E$54+'Assumptions and Catalog'!$F$54,IF(((D744+E744)*C744)&lt;='Assumptions and Catalog'!$C$55,((D744+E744)*C744)*'Assumptions and Catalog'!$H$55+'Assumptions and Catalog'!$E$55+'Assumptions and Catalog'!$F$55,IF(((D744+E744)*C744)&lt;='Assumptions and Catalog'!$C$56,((D744+E744)*C744)*'Assumptions and Catalog'!$H$56+'Assumptions and Catalog'!$E$56+'Assumptions and Catalog'!$F$56,IF(((D744+E744)*C744)&lt;='Assumptions and Catalog'!$C$57,((D744+E744)*C744)*'Assumptions and Catalog'!$H$57+'Assumptions and Catalog'!$E$57+'Assumptions and Catalog'!$F$57,"Out of range")))))))),IF(((D744+E744)*C744)&lt;='Assumptions and Catalog'!$C$60,((D744+E744)*C744)*'Assumptions and Catalog'!$H$60+'Assumptions and Catalog'!$E$60+'Assumptions and Catalog'!$F$60,IF(((D744+E744)*C744)&lt;='Assumptions and Catalog'!$C$61,((D744+E744)*C744)*'Assumptions and Catalog'!$H$61+'Assumptions and Catalog'!$E$61+'Assumptions and Catalog'!$F$61,IF(((D744+E744)*C744)&lt;='Assumptions and Catalog'!$C$62,((D744+E744)*C744)*'Assumptions and Catalog'!$H$62+'Assumptions and Catalog'!$E$62+'Assumptions and Catalog'!$F$62,IF(((D744+E744)*C744)&lt;='Assumptions and Catalog'!$C$63,((D744+E744)*C744)*'Assumptions and Catalog'!$H$63+'Assumptions and Catalog'!$E$63+'Assumptions and Catalog'!$F$63,IF(((D744+E744)*C744)&lt;='Assumptions and Catalog'!$C$64,((D744+E744)*C744)*'Assumptions and Catalog'!$H$64+'Assumptions and Catalog'!$E$64+'Assumptions and Catalog'!$F$64,IF(((D744+E744)*C744)&lt;='Assumptions and Catalog'!$C$65,((D744+E744)*C744)*'Assumptions and Catalog'!$H$65+'Assumptions and Catalog'!$E$65+'Assumptions and Catalog'!$F$65,"Out of range")))))))))*(1+'Assumptions and Catalog'!$C$8)^(A744-1),0)</f>
        <v>8554.9666666666672</v>
      </c>
      <c r="N744" s="5">
        <f>IF(ISNUMBER(Inputs!$L$5),(IF(Inputs!$L$9="Actual flat rate",L744*Inputs!$L$10,IF(Inputs!$C$9="Residential",IF(L744&lt;='Assumptions and Catalog'!$C$50,L744*'Assumptions and Catalog'!$H$50+'Assumptions and Catalog'!$E$50+'Assumptions and Catalog'!$F$50,IF(L744&lt;='Assumptions and Catalog'!$C$51,L744*'Assumptions and Catalog'!$H$51+'Assumptions and Catalog'!$E$51+'Assumptions and Catalog'!$F$51,IF(L744&lt;='Assumptions and Catalog'!$C$52,L744*'Assumptions and Catalog'!$H$52+'Assumptions and Catalog'!$E$52+'Assumptions and Catalog'!$F$52,IF(L744&lt;='Assumptions and Catalog'!$C$53,L744*'Assumptions and Catalog'!$H$53+'Assumptions and Catalog'!$E$53+'Assumptions and Catalog'!$F$53,IF(L744&lt;='Assumptions and Catalog'!$C$54,L744*'Assumptions and Catalog'!$H$54+'Assumptions and Catalog'!$E$54+'Assumptions and Catalog'!$F$54,IF(L744&lt;='Assumptions and Catalog'!$C$55,L744*'Assumptions and Catalog'!$H$55+'Assumptions and Catalog'!$E$55+'Assumptions and Catalog'!$F$55,IF(L744&lt;='Assumptions and Catalog'!$C$56,L744*'Assumptions and Catalog'!$H$56+'Assumptions and Catalog'!$E$56+'Assumptions and Catalog'!$F$56,IF(L744&lt;='Assumptions and Catalog'!$C$57,L744*'Assumptions and Catalog'!$H$57+'Assumptions and Catalog'!$E$57+'Assumptions and Catalog'!$F$57,"Out of range")))))))),IF(L744&lt;='Assumptions and Catalog'!$C$60,L744*'Assumptions and Catalog'!$H$60+'Assumptions and Catalog'!$E$60+'Assumptions and Catalog'!$F$60,IF(L744&lt;='Assumptions and Catalog'!$C$61,L744*'Assumptions and Catalog'!$H$61+'Assumptions and Catalog'!$E$61+'Assumptions and Catalog'!$F$61,IF(L744&lt;='Assumptions and Catalog'!$C$62,L744*'Assumptions and Catalog'!$H$62+'Assumptions and Catalog'!$E$62+'Assumptions and Catalog'!$F$62,IF(L744&lt;='Assumptions and Catalog'!$C$63,L744*'Assumptions and Catalog'!$H$63+'Assumptions and Catalog'!$E$63+'Assumptions and Catalog'!$F$63,IF(L744&lt;='Assumptions and Catalog'!$C$64,L744*'Assumptions and Catalog'!$H$64+'Assumptions and Catalog'!$E$64+'Assumptions and Catalog'!$F$64,IF(L744&lt;='Assumptions and Catalog'!$C$65,L744*'Assumptions and Catalog'!$H$65+'Assumptions and Catalog'!$E$65+'Assumptions and Catalog'!$F$65,"Out of range")))))))))*(1+'Assumptions and Catalog'!$C$8)^(A744-1),0)</f>
        <v>5737.3928440842919</v>
      </c>
      <c r="O744" s="5">
        <f t="shared" si="55"/>
        <v>2817.5738225823752</v>
      </c>
      <c r="P744" s="5">
        <f>E$55*(1-L$14)*(1-'Assumptions and Catalog'!$C$23)^R744</f>
        <v>90.71025980047358</v>
      </c>
      <c r="Q744" s="5">
        <f>IF(ISNUMBER(Inputs!$L$5),(IF(Inputs!$L$9="Actual flat rate",((D744+E744)*C744-G744)*Inputs!$L$10,IF(Inputs!$C$9="Residential",IF(((D744+E744)*C744-G744)&lt;='Assumptions and Catalog'!$C$50,((D744+E744)*C744-G744)*'Assumptions and Catalog'!$H$50+'Assumptions and Catalog'!$E$50+'Assumptions and Catalog'!$F$50,IF(((D744+E744)*C744-G744)&lt;='Assumptions and Catalog'!$C$51,((D744+E744)*C744-G744)*'Assumptions and Catalog'!$H$51+'Assumptions and Catalog'!$E$51+'Assumptions and Catalog'!$F$51,IF(((D744+E744)*C744-G744)&lt;='Assumptions and Catalog'!$C$52,((D744+E744)*C744-G744)*'Assumptions and Catalog'!$H$52+'Assumptions and Catalog'!$E$52+'Assumptions and Catalog'!$F$52,IF(((D744+E744)*C744-G744)&lt;='Assumptions and Catalog'!$C$53,((D744+E744)*C744-G744)*'Assumptions and Catalog'!$H$53+'Assumptions and Catalog'!$E$53+'Assumptions and Catalog'!$F$53,IF(((D744+E744)*C744-G744)&lt;='Assumptions and Catalog'!$C$54,((D744+E744)*C744-G744)*'Assumptions and Catalog'!$H$54+'Assumptions and Catalog'!$E$54+'Assumptions and Catalog'!$F$54,IF(((D744+E744)*C744-G744)&lt;='Assumptions and Catalog'!$C$55,((D744+E744)*C744-G744)*'Assumptions and Catalog'!$H$55+'Assumptions and Catalog'!$E$55+'Assumptions and Catalog'!$F$55,IF(((D744+E744)*C744-G744)&lt;='Assumptions and Catalog'!$C$56,((D744+E744)*C744-G744)*'Assumptions and Catalog'!$H$56+'Assumptions and Catalog'!$E$56+'Assumptions and Catalog'!$F$56,IF(((D744+E744)*C744-G744)&lt;='Assumptions and Catalog'!$C$57,((D744+E744)*C744-G744)*'Assumptions and Catalog'!$H$57+'Assumptions and Catalog'!$E$57+'Assumptions and Catalog'!$F$57,"Out of range")))))))),IF(((D744+E744)*C744-G744)&lt;='Assumptions and Catalog'!$C$60,((D744+E744)*C744-G744)*'Assumptions and Catalog'!$H$60+'Assumptions and Catalog'!$E$60+'Assumptions and Catalog'!$F$60,IF(((D744+E744)*C744-G744)&lt;='Assumptions and Catalog'!$C$61,((D744+E744)*C744-G744)*'Assumptions and Catalog'!$H$61+'Assumptions and Catalog'!$E$61+'Assumptions and Catalog'!$F$61,IF(((D744+E744)*C744-G744)&lt;='Assumptions and Catalog'!$C$62,((D744+E744)*C744-G744)*'Assumptions and Catalog'!$H$62+'Assumptions and Catalog'!$E$62+'Assumptions and Catalog'!$F$62,IF(((D744+E744)*C744-G744)&lt;='Assumptions and Catalog'!$C$63,((D744+E744)*C744-G744)*'Assumptions and Catalog'!$H$63+'Assumptions and Catalog'!$E$63+'Assumptions and Catalog'!$F$63,IF(((D744+E744)*C744-G744)&lt;='Assumptions and Catalog'!$C$64,((D744+E744)*C744-G744)*'Assumptions and Catalog'!$H$64+'Assumptions and Catalog'!$E$64+'Assumptions and Catalog'!$F$64,IF(((D744+E744)*C744-G744)&lt;='Assumptions and Catalog'!$C$65,((D744+E744)*C744-G744)*'Assumptions and Catalog'!$H$65+'Assumptions and Catalog'!$E$65+'Assumptions and Catalog'!$F$65,"Out of range")))))))))*(1+'Assumptions and Catalog'!$C$8)^(A744-1),0)</f>
        <v>5737.3928440842919</v>
      </c>
      <c r="R744" s="5">
        <f>IF(AND('Assumptions and Catalog'!$C$19&gt;0,A744&gt;='Assumptions and Catalog'!$C$19),A744-'Assumptions and Catalog'!$C$19,A744-1)</f>
        <v>6</v>
      </c>
      <c r="S744" s="5">
        <f>F744+L744-(D744+E744)*C744-J744-K744-IF(E$52&gt;0,'Assumptions and Catalog'!$C$26*C744,0)</f>
        <v>0</v>
      </c>
      <c r="T744" s="5"/>
      <c r="U744" s="5"/>
    </row>
    <row r="745" spans="1:21" ht="23.1" customHeight="1" outlineLevel="1" x14ac:dyDescent="0.2">
      <c r="A745" s="5">
        <v>8</v>
      </c>
      <c r="B745" s="5">
        <v>1</v>
      </c>
      <c r="C745" s="5">
        <f>DAY(DATE('Assumptions and Catalog'!$C$24+A745-1,B745+1,0))</f>
        <v>31</v>
      </c>
      <c r="D745" s="5">
        <f>IF(ISNUMBER(Inputs!$L$5),Inputs!$L$5*Inputs!$L$6,0)</f>
        <v>40.35</v>
      </c>
      <c r="E745" s="5">
        <f>IF(ISNUMBER(Inputs!$L$5),Inputs!$L$5-D745,0)</f>
        <v>40.35</v>
      </c>
      <c r="F745" s="5">
        <f>E$51*'Assumptions and Catalog'!$C$31*C745*(1-'Assumptions and Catalog'!$C$10)^(A745-1)</f>
        <v>819.81392599946514</v>
      </c>
      <c r="G745" s="5">
        <f t="shared" si="52"/>
        <v>819.81392599946514</v>
      </c>
      <c r="H745" s="5">
        <f>I745/('Assumptions and Catalog'!$C$11*'Assumptions and Catalog'!$C$12)</f>
        <v>0</v>
      </c>
      <c r="I745" s="5">
        <f>MIN(E745*C745,P745*'Assumptions and Catalog'!$C$12*C745,(F745-G745)*'Assumptions and Catalog'!$C$11*'Assumptions and Catalog'!$C$12,E$56*'Assumptions and Catalog'!$C$14*'Assumptions and Catalog'!$C$11*'Assumptions and Catalog'!$C$12*C745,E$57*(24-'Assumptions and Catalog'!$C$13)*C745)</f>
        <v>0</v>
      </c>
      <c r="J745" s="5">
        <f t="shared" si="53"/>
        <v>0</v>
      </c>
      <c r="K745" s="5">
        <f t="shared" si="54"/>
        <v>0</v>
      </c>
      <c r="L745" s="5">
        <f>(D745+E745)*C745-G745-I745+0+IF(E$52&gt;0,'Assumptions and Catalog'!$C$26*C745,0)</f>
        <v>1681.8860740005352</v>
      </c>
      <c r="M745" s="5">
        <f>IF(ISNUMBER(Inputs!$L$5),(IF(Inputs!$L$9="Actual flat rate",((D745+E745)*C745)*Inputs!$L$10,IF(Inputs!$C$9="Residential",IF(((D745+E745)*C745)&lt;='Assumptions and Catalog'!$C$50,((D745+E745)*C745)*'Assumptions and Catalog'!$H$50+'Assumptions and Catalog'!$E$50+'Assumptions and Catalog'!$F$50,IF(((D745+E745)*C745)&lt;='Assumptions and Catalog'!$C$51,((D745+E745)*C745)*'Assumptions and Catalog'!$H$51+'Assumptions and Catalog'!$E$51+'Assumptions and Catalog'!$F$51,IF(((D745+E745)*C745)&lt;='Assumptions and Catalog'!$C$52,((D745+E745)*C745)*'Assumptions and Catalog'!$H$52+'Assumptions and Catalog'!$E$52+'Assumptions and Catalog'!$F$52,IF(((D745+E745)*C745)&lt;='Assumptions and Catalog'!$C$53,((D745+E745)*C745)*'Assumptions and Catalog'!$H$53+'Assumptions and Catalog'!$E$53+'Assumptions and Catalog'!$F$53,IF(((D745+E745)*C745)&lt;='Assumptions and Catalog'!$C$54,((D745+E745)*C745)*'Assumptions and Catalog'!$H$54+'Assumptions and Catalog'!$E$54+'Assumptions and Catalog'!$F$54,IF(((D745+E745)*C745)&lt;='Assumptions and Catalog'!$C$55,((D745+E745)*C745)*'Assumptions and Catalog'!$H$55+'Assumptions and Catalog'!$E$55+'Assumptions and Catalog'!$F$55,IF(((D745+E745)*C745)&lt;='Assumptions and Catalog'!$C$56,((D745+E745)*C745)*'Assumptions and Catalog'!$H$56+'Assumptions and Catalog'!$E$56+'Assumptions and Catalog'!$F$56,IF(((D745+E745)*C745)&lt;='Assumptions and Catalog'!$C$57,((D745+E745)*C745)*'Assumptions and Catalog'!$H$57+'Assumptions and Catalog'!$E$57+'Assumptions and Catalog'!$F$57,"Out of range")))))))),IF(((D745+E745)*C745)&lt;='Assumptions and Catalog'!$C$60,((D745+E745)*C745)*'Assumptions and Catalog'!$H$60+'Assumptions and Catalog'!$E$60+'Assumptions and Catalog'!$F$60,IF(((D745+E745)*C745)&lt;='Assumptions and Catalog'!$C$61,((D745+E745)*C745)*'Assumptions and Catalog'!$H$61+'Assumptions and Catalog'!$E$61+'Assumptions and Catalog'!$F$61,IF(((D745+E745)*C745)&lt;='Assumptions and Catalog'!$C$62,((D745+E745)*C745)*'Assumptions and Catalog'!$H$62+'Assumptions and Catalog'!$E$62+'Assumptions and Catalog'!$F$62,IF(((D745+E745)*C745)&lt;='Assumptions and Catalog'!$C$63,((D745+E745)*C745)*'Assumptions and Catalog'!$H$63+'Assumptions and Catalog'!$E$63+'Assumptions and Catalog'!$F$63,IF(((D745+E745)*C745)&lt;='Assumptions and Catalog'!$C$64,((D745+E745)*C745)*'Assumptions and Catalog'!$H$64+'Assumptions and Catalog'!$E$64+'Assumptions and Catalog'!$F$64,IF(((D745+E745)*C745)&lt;='Assumptions and Catalog'!$C$65,((D745+E745)*C745)*'Assumptions and Catalog'!$H$65+'Assumptions and Catalog'!$E$65+'Assumptions and Catalog'!$F$65,"Out of range")))))))))*(1+'Assumptions and Catalog'!$C$8)^(A745-1),0)</f>
        <v>8554.9666666666672</v>
      </c>
      <c r="N745" s="5">
        <f>IF(ISNUMBER(Inputs!$L$5),(IF(Inputs!$L$9="Actual flat rate",L745*Inputs!$L$10,IF(Inputs!$C$9="Residential",IF(L745&lt;='Assumptions and Catalog'!$C$50,L745*'Assumptions and Catalog'!$H$50+'Assumptions and Catalog'!$E$50+'Assumptions and Catalog'!$F$50,IF(L745&lt;='Assumptions and Catalog'!$C$51,L745*'Assumptions and Catalog'!$H$51+'Assumptions and Catalog'!$E$51+'Assumptions and Catalog'!$F$51,IF(L745&lt;='Assumptions and Catalog'!$C$52,L745*'Assumptions and Catalog'!$H$52+'Assumptions and Catalog'!$E$52+'Assumptions and Catalog'!$F$52,IF(L745&lt;='Assumptions and Catalog'!$C$53,L745*'Assumptions and Catalog'!$H$53+'Assumptions and Catalog'!$E$53+'Assumptions and Catalog'!$F$53,IF(L745&lt;='Assumptions and Catalog'!$C$54,L745*'Assumptions and Catalog'!$H$54+'Assumptions and Catalog'!$E$54+'Assumptions and Catalog'!$F$54,IF(L745&lt;='Assumptions and Catalog'!$C$55,L745*'Assumptions and Catalog'!$H$55+'Assumptions and Catalog'!$E$55+'Assumptions and Catalog'!$F$55,IF(L745&lt;='Assumptions and Catalog'!$C$56,L745*'Assumptions and Catalog'!$H$56+'Assumptions and Catalog'!$E$56+'Assumptions and Catalog'!$F$56,IF(L745&lt;='Assumptions and Catalog'!$C$57,L745*'Assumptions and Catalog'!$H$57+'Assumptions and Catalog'!$E$57+'Assumptions and Catalog'!$F$57,"Out of range")))))))),IF(L745&lt;='Assumptions and Catalog'!$C$60,L745*'Assumptions and Catalog'!$H$60+'Assumptions and Catalog'!$E$60+'Assumptions and Catalog'!$F$60,IF(L745&lt;='Assumptions and Catalog'!$C$61,L745*'Assumptions and Catalog'!$H$61+'Assumptions and Catalog'!$E$61+'Assumptions and Catalog'!$F$61,IF(L745&lt;='Assumptions and Catalog'!$C$62,L745*'Assumptions and Catalog'!$H$62+'Assumptions and Catalog'!$E$62+'Assumptions and Catalog'!$F$62,IF(L745&lt;='Assumptions and Catalog'!$C$63,L745*'Assumptions and Catalog'!$H$63+'Assumptions and Catalog'!$E$63+'Assumptions and Catalog'!$F$63,IF(L745&lt;='Assumptions and Catalog'!$C$64,L745*'Assumptions and Catalog'!$H$64+'Assumptions and Catalog'!$E$64+'Assumptions and Catalog'!$F$64,IF(L745&lt;='Assumptions and Catalog'!$C$65,L745*'Assumptions and Catalog'!$H$65+'Assumptions and Catalog'!$E$65+'Assumptions and Catalog'!$F$65,"Out of range")))))))))*(1+'Assumptions and Catalog'!$C$8)^(A745-1),0)</f>
        <v>5751.4807131972038</v>
      </c>
      <c r="O745" s="5">
        <f t="shared" si="55"/>
        <v>2803.4859534694633</v>
      </c>
      <c r="P745" s="5">
        <f>E$55*(1-L$14)*(1-'Assumptions and Catalog'!$C$23)^R745</f>
        <v>88.896054604464112</v>
      </c>
      <c r="Q745" s="5">
        <f>IF(ISNUMBER(Inputs!$L$5),(IF(Inputs!$L$9="Actual flat rate",((D745+E745)*C745-G745)*Inputs!$L$10,IF(Inputs!$C$9="Residential",IF(((D745+E745)*C745-G745)&lt;='Assumptions and Catalog'!$C$50,((D745+E745)*C745-G745)*'Assumptions and Catalog'!$H$50+'Assumptions and Catalog'!$E$50+'Assumptions and Catalog'!$F$50,IF(((D745+E745)*C745-G745)&lt;='Assumptions and Catalog'!$C$51,((D745+E745)*C745-G745)*'Assumptions and Catalog'!$H$51+'Assumptions and Catalog'!$E$51+'Assumptions and Catalog'!$F$51,IF(((D745+E745)*C745-G745)&lt;='Assumptions and Catalog'!$C$52,((D745+E745)*C745-G745)*'Assumptions and Catalog'!$H$52+'Assumptions and Catalog'!$E$52+'Assumptions and Catalog'!$F$52,IF(((D745+E745)*C745-G745)&lt;='Assumptions and Catalog'!$C$53,((D745+E745)*C745-G745)*'Assumptions and Catalog'!$H$53+'Assumptions and Catalog'!$E$53+'Assumptions and Catalog'!$F$53,IF(((D745+E745)*C745-G745)&lt;='Assumptions and Catalog'!$C$54,((D745+E745)*C745-G745)*'Assumptions and Catalog'!$H$54+'Assumptions and Catalog'!$E$54+'Assumptions and Catalog'!$F$54,IF(((D745+E745)*C745-G745)&lt;='Assumptions and Catalog'!$C$55,((D745+E745)*C745-G745)*'Assumptions and Catalog'!$H$55+'Assumptions and Catalog'!$E$55+'Assumptions and Catalog'!$F$55,IF(((D745+E745)*C745-G745)&lt;='Assumptions and Catalog'!$C$56,((D745+E745)*C745-G745)*'Assumptions and Catalog'!$H$56+'Assumptions and Catalog'!$E$56+'Assumptions and Catalog'!$F$56,IF(((D745+E745)*C745-G745)&lt;='Assumptions and Catalog'!$C$57,((D745+E745)*C745-G745)*'Assumptions and Catalog'!$H$57+'Assumptions and Catalog'!$E$57+'Assumptions and Catalog'!$F$57,"Out of range")))))))),IF(((D745+E745)*C745-G745)&lt;='Assumptions and Catalog'!$C$60,((D745+E745)*C745-G745)*'Assumptions and Catalog'!$H$60+'Assumptions and Catalog'!$E$60+'Assumptions and Catalog'!$F$60,IF(((D745+E745)*C745-G745)&lt;='Assumptions and Catalog'!$C$61,((D745+E745)*C745-G745)*'Assumptions and Catalog'!$H$61+'Assumptions and Catalog'!$E$61+'Assumptions and Catalog'!$F$61,IF(((D745+E745)*C745-G745)&lt;='Assumptions and Catalog'!$C$62,((D745+E745)*C745-G745)*'Assumptions and Catalog'!$H$62+'Assumptions and Catalog'!$E$62+'Assumptions and Catalog'!$F$62,IF(((D745+E745)*C745-G745)&lt;='Assumptions and Catalog'!$C$63,((D745+E745)*C745-G745)*'Assumptions and Catalog'!$H$63+'Assumptions and Catalog'!$E$63+'Assumptions and Catalog'!$F$63,IF(((D745+E745)*C745-G745)&lt;='Assumptions and Catalog'!$C$64,((D745+E745)*C745-G745)*'Assumptions and Catalog'!$H$64+'Assumptions and Catalog'!$E$64+'Assumptions and Catalog'!$F$64,IF(((D745+E745)*C745-G745)&lt;='Assumptions and Catalog'!$C$65,((D745+E745)*C745-G745)*'Assumptions and Catalog'!$H$65+'Assumptions and Catalog'!$E$65+'Assumptions and Catalog'!$F$65,"Out of range")))))))))*(1+'Assumptions and Catalog'!$C$8)^(A745-1),0)</f>
        <v>5751.4807131972038</v>
      </c>
      <c r="R745" s="5">
        <f>IF(AND('Assumptions and Catalog'!$C$19&gt;0,A745&gt;='Assumptions and Catalog'!$C$19),A745-'Assumptions and Catalog'!$C$19,A745-1)</f>
        <v>7</v>
      </c>
      <c r="S745" s="5">
        <f>F745+L745-(D745+E745)*C745-J745-K745-IF(E$52&gt;0,'Assumptions and Catalog'!$C$26*C745,0)</f>
        <v>0</v>
      </c>
      <c r="T745" s="5"/>
      <c r="U745" s="5"/>
    </row>
    <row r="746" spans="1:21" ht="23.1" customHeight="1" outlineLevel="1" x14ac:dyDescent="0.2">
      <c r="A746" s="5">
        <v>8</v>
      </c>
      <c r="B746" s="5">
        <v>2</v>
      </c>
      <c r="C746" s="5">
        <f>DAY(DATE('Assumptions and Catalog'!$C$24+A746-1,B746+1,0))</f>
        <v>28</v>
      </c>
      <c r="D746" s="5">
        <f>IF(ISNUMBER(Inputs!$L$5),Inputs!$L$5*Inputs!$L$6,0)</f>
        <v>40.35</v>
      </c>
      <c r="E746" s="5">
        <f>IF(ISNUMBER(Inputs!$L$5),Inputs!$L$5-D746,0)</f>
        <v>40.35</v>
      </c>
      <c r="F746" s="5">
        <f>E$51*'Assumptions and Catalog'!$C$31*C746*(1-'Assumptions and Catalog'!$C$10)^(A746-1)</f>
        <v>740.4770944511298</v>
      </c>
      <c r="G746" s="5">
        <f t="shared" si="52"/>
        <v>740.4770944511298</v>
      </c>
      <c r="H746" s="5">
        <f>I746/('Assumptions and Catalog'!$C$11*'Assumptions and Catalog'!$C$12)</f>
        <v>0</v>
      </c>
      <c r="I746" s="5">
        <f>MIN(E746*C746,P746*'Assumptions and Catalog'!$C$12*C746,(F746-G746)*'Assumptions and Catalog'!$C$11*'Assumptions and Catalog'!$C$12,E$56*'Assumptions and Catalog'!$C$14*'Assumptions and Catalog'!$C$11*'Assumptions and Catalog'!$C$12*C746,E$57*(24-'Assumptions and Catalog'!$C$13)*C746)</f>
        <v>0</v>
      </c>
      <c r="J746" s="5">
        <f t="shared" si="53"/>
        <v>0</v>
      </c>
      <c r="K746" s="5">
        <f t="shared" si="54"/>
        <v>0</v>
      </c>
      <c r="L746" s="5">
        <f>(D746+E746)*C746-G746-I746+0+IF(E$52&gt;0,'Assumptions and Catalog'!$C$26*C746,0)</f>
        <v>1519.1229055488702</v>
      </c>
      <c r="M746" s="5">
        <f>IF(ISNUMBER(Inputs!$L$5),(IF(Inputs!$L$9="Actual flat rate",((D746+E746)*C746)*Inputs!$L$10,IF(Inputs!$C$9="Residential",IF(((D746+E746)*C746)&lt;='Assumptions and Catalog'!$C$50,((D746+E746)*C746)*'Assumptions and Catalog'!$H$50+'Assumptions and Catalog'!$E$50+'Assumptions and Catalog'!$F$50,IF(((D746+E746)*C746)&lt;='Assumptions and Catalog'!$C$51,((D746+E746)*C746)*'Assumptions and Catalog'!$H$51+'Assumptions and Catalog'!$E$51+'Assumptions and Catalog'!$F$51,IF(((D746+E746)*C746)&lt;='Assumptions and Catalog'!$C$52,((D746+E746)*C746)*'Assumptions and Catalog'!$H$52+'Assumptions and Catalog'!$E$52+'Assumptions and Catalog'!$F$52,IF(((D746+E746)*C746)&lt;='Assumptions and Catalog'!$C$53,((D746+E746)*C746)*'Assumptions and Catalog'!$H$53+'Assumptions and Catalog'!$E$53+'Assumptions and Catalog'!$F$53,IF(((D746+E746)*C746)&lt;='Assumptions and Catalog'!$C$54,((D746+E746)*C746)*'Assumptions and Catalog'!$H$54+'Assumptions and Catalog'!$E$54+'Assumptions and Catalog'!$F$54,IF(((D746+E746)*C746)&lt;='Assumptions and Catalog'!$C$55,((D746+E746)*C746)*'Assumptions and Catalog'!$H$55+'Assumptions and Catalog'!$E$55+'Assumptions and Catalog'!$F$55,IF(((D746+E746)*C746)&lt;='Assumptions and Catalog'!$C$56,((D746+E746)*C746)*'Assumptions and Catalog'!$H$56+'Assumptions and Catalog'!$E$56+'Assumptions and Catalog'!$F$56,IF(((D746+E746)*C746)&lt;='Assumptions and Catalog'!$C$57,((D746+E746)*C746)*'Assumptions and Catalog'!$H$57+'Assumptions and Catalog'!$E$57+'Assumptions and Catalog'!$F$57,"Out of range")))))))),IF(((D746+E746)*C746)&lt;='Assumptions and Catalog'!$C$60,((D746+E746)*C746)*'Assumptions and Catalog'!$H$60+'Assumptions and Catalog'!$E$60+'Assumptions and Catalog'!$F$60,IF(((D746+E746)*C746)&lt;='Assumptions and Catalog'!$C$61,((D746+E746)*C746)*'Assumptions and Catalog'!$H$61+'Assumptions and Catalog'!$E$61+'Assumptions and Catalog'!$F$61,IF(((D746+E746)*C746)&lt;='Assumptions and Catalog'!$C$62,((D746+E746)*C746)*'Assumptions and Catalog'!$H$62+'Assumptions and Catalog'!$E$62+'Assumptions and Catalog'!$F$62,IF(((D746+E746)*C746)&lt;='Assumptions and Catalog'!$C$63,((D746+E746)*C746)*'Assumptions and Catalog'!$H$63+'Assumptions and Catalog'!$E$63+'Assumptions and Catalog'!$F$63,IF(((D746+E746)*C746)&lt;='Assumptions and Catalog'!$C$64,((D746+E746)*C746)*'Assumptions and Catalog'!$H$64+'Assumptions and Catalog'!$E$64+'Assumptions and Catalog'!$F$64,IF(((D746+E746)*C746)&lt;='Assumptions and Catalog'!$C$65,((D746+E746)*C746)*'Assumptions and Catalog'!$H$65+'Assumptions and Catalog'!$E$65+'Assumptions and Catalog'!$F$65,"Out of range")))))))))*(1+'Assumptions and Catalog'!$C$8)^(A746-1),0)</f>
        <v>7727.0666666666657</v>
      </c>
      <c r="N746" s="5">
        <f>IF(ISNUMBER(Inputs!$L$5),(IF(Inputs!$L$9="Actual flat rate",L746*Inputs!$L$10,IF(Inputs!$C$9="Residential",IF(L746&lt;='Assumptions and Catalog'!$C$50,L746*'Assumptions and Catalog'!$H$50+'Assumptions and Catalog'!$E$50+'Assumptions and Catalog'!$F$50,IF(L746&lt;='Assumptions and Catalog'!$C$51,L746*'Assumptions and Catalog'!$H$51+'Assumptions and Catalog'!$E$51+'Assumptions and Catalog'!$F$51,IF(L746&lt;='Assumptions and Catalog'!$C$52,L746*'Assumptions and Catalog'!$H$52+'Assumptions and Catalog'!$E$52+'Assumptions and Catalog'!$F$52,IF(L746&lt;='Assumptions and Catalog'!$C$53,L746*'Assumptions and Catalog'!$H$53+'Assumptions and Catalog'!$E$53+'Assumptions and Catalog'!$F$53,IF(L746&lt;='Assumptions and Catalog'!$C$54,L746*'Assumptions and Catalog'!$H$54+'Assumptions and Catalog'!$E$54+'Assumptions and Catalog'!$F$54,IF(L746&lt;='Assumptions and Catalog'!$C$55,L746*'Assumptions and Catalog'!$H$55+'Assumptions and Catalog'!$E$55+'Assumptions and Catalog'!$F$55,IF(L746&lt;='Assumptions and Catalog'!$C$56,L746*'Assumptions and Catalog'!$H$56+'Assumptions and Catalog'!$E$56+'Assumptions and Catalog'!$F$56,IF(L746&lt;='Assumptions and Catalog'!$C$57,L746*'Assumptions and Catalog'!$H$57+'Assumptions and Catalog'!$E$57+'Assumptions and Catalog'!$F$57,"Out of range")))))))),IF(L746&lt;='Assumptions and Catalog'!$C$60,L746*'Assumptions and Catalog'!$H$60+'Assumptions and Catalog'!$E$60+'Assumptions and Catalog'!$F$60,IF(L746&lt;='Assumptions and Catalog'!$C$61,L746*'Assumptions and Catalog'!$H$61+'Assumptions and Catalog'!$E$61+'Assumptions and Catalog'!$F$61,IF(L746&lt;='Assumptions and Catalog'!$C$62,L746*'Assumptions and Catalog'!$H$62+'Assumptions and Catalog'!$E$62+'Assumptions and Catalog'!$F$62,IF(L746&lt;='Assumptions and Catalog'!$C$63,L746*'Assumptions and Catalog'!$H$63+'Assumptions and Catalog'!$E$63+'Assumptions and Catalog'!$F$63,IF(L746&lt;='Assumptions and Catalog'!$C$64,L746*'Assumptions and Catalog'!$H$64+'Assumptions and Catalog'!$E$64+'Assumptions and Catalog'!$F$64,IF(L746&lt;='Assumptions and Catalog'!$C$65,L746*'Assumptions and Catalog'!$H$65+'Assumptions and Catalog'!$E$65+'Assumptions and Catalog'!$F$65,"Out of range")))))))))*(1+'Assumptions and Catalog'!$C$8)^(A746-1),0)</f>
        <v>5194.8858054684415</v>
      </c>
      <c r="O746" s="5">
        <f t="shared" si="55"/>
        <v>2532.1808611982242</v>
      </c>
      <c r="P746" s="5">
        <f>E$55*(1-L$14)*(1-'Assumptions and Catalog'!$C$23)^R746</f>
        <v>88.896054604464112</v>
      </c>
      <c r="Q746" s="5">
        <f>IF(ISNUMBER(Inputs!$L$5),(IF(Inputs!$L$9="Actual flat rate",((D746+E746)*C746-G746)*Inputs!$L$10,IF(Inputs!$C$9="Residential",IF(((D746+E746)*C746-G746)&lt;='Assumptions and Catalog'!$C$50,((D746+E746)*C746-G746)*'Assumptions and Catalog'!$H$50+'Assumptions and Catalog'!$E$50+'Assumptions and Catalog'!$F$50,IF(((D746+E746)*C746-G746)&lt;='Assumptions and Catalog'!$C$51,((D746+E746)*C746-G746)*'Assumptions and Catalog'!$H$51+'Assumptions and Catalog'!$E$51+'Assumptions and Catalog'!$F$51,IF(((D746+E746)*C746-G746)&lt;='Assumptions and Catalog'!$C$52,((D746+E746)*C746-G746)*'Assumptions and Catalog'!$H$52+'Assumptions and Catalog'!$E$52+'Assumptions and Catalog'!$F$52,IF(((D746+E746)*C746-G746)&lt;='Assumptions and Catalog'!$C$53,((D746+E746)*C746-G746)*'Assumptions and Catalog'!$H$53+'Assumptions and Catalog'!$E$53+'Assumptions and Catalog'!$F$53,IF(((D746+E746)*C746-G746)&lt;='Assumptions and Catalog'!$C$54,((D746+E746)*C746-G746)*'Assumptions and Catalog'!$H$54+'Assumptions and Catalog'!$E$54+'Assumptions and Catalog'!$F$54,IF(((D746+E746)*C746-G746)&lt;='Assumptions and Catalog'!$C$55,((D746+E746)*C746-G746)*'Assumptions and Catalog'!$H$55+'Assumptions and Catalog'!$E$55+'Assumptions and Catalog'!$F$55,IF(((D746+E746)*C746-G746)&lt;='Assumptions and Catalog'!$C$56,((D746+E746)*C746-G746)*'Assumptions and Catalog'!$H$56+'Assumptions and Catalog'!$E$56+'Assumptions and Catalog'!$F$56,IF(((D746+E746)*C746-G746)&lt;='Assumptions and Catalog'!$C$57,((D746+E746)*C746-G746)*'Assumptions and Catalog'!$H$57+'Assumptions and Catalog'!$E$57+'Assumptions and Catalog'!$F$57,"Out of range")))))))),IF(((D746+E746)*C746-G746)&lt;='Assumptions and Catalog'!$C$60,((D746+E746)*C746-G746)*'Assumptions and Catalog'!$H$60+'Assumptions and Catalog'!$E$60+'Assumptions and Catalog'!$F$60,IF(((D746+E746)*C746-G746)&lt;='Assumptions and Catalog'!$C$61,((D746+E746)*C746-G746)*'Assumptions and Catalog'!$H$61+'Assumptions and Catalog'!$E$61+'Assumptions and Catalog'!$F$61,IF(((D746+E746)*C746-G746)&lt;='Assumptions and Catalog'!$C$62,((D746+E746)*C746-G746)*'Assumptions and Catalog'!$H$62+'Assumptions and Catalog'!$E$62+'Assumptions and Catalog'!$F$62,IF(((D746+E746)*C746-G746)&lt;='Assumptions and Catalog'!$C$63,((D746+E746)*C746-G746)*'Assumptions and Catalog'!$H$63+'Assumptions and Catalog'!$E$63+'Assumptions and Catalog'!$F$63,IF(((D746+E746)*C746-G746)&lt;='Assumptions and Catalog'!$C$64,((D746+E746)*C746-G746)*'Assumptions and Catalog'!$H$64+'Assumptions and Catalog'!$E$64+'Assumptions and Catalog'!$F$64,IF(((D746+E746)*C746-G746)&lt;='Assumptions and Catalog'!$C$65,((D746+E746)*C746-G746)*'Assumptions and Catalog'!$H$65+'Assumptions and Catalog'!$E$65+'Assumptions and Catalog'!$F$65,"Out of range")))))))))*(1+'Assumptions and Catalog'!$C$8)^(A746-1),0)</f>
        <v>5194.8858054684415</v>
      </c>
      <c r="R746" s="5">
        <f>IF(AND('Assumptions and Catalog'!$C$19&gt;0,A746&gt;='Assumptions and Catalog'!$C$19),A746-'Assumptions and Catalog'!$C$19,A746-1)</f>
        <v>7</v>
      </c>
      <c r="S746" s="5">
        <f>F746+L746-(D746+E746)*C746-J746-K746-IF(E$52&gt;0,'Assumptions and Catalog'!$C$26*C746,0)</f>
        <v>0</v>
      </c>
      <c r="T746" s="5"/>
      <c r="U746" s="5"/>
    </row>
    <row r="747" spans="1:21" ht="23.1" customHeight="1" outlineLevel="1" x14ac:dyDescent="0.2">
      <c r="A747" s="5">
        <v>8</v>
      </c>
      <c r="B747" s="5">
        <v>3</v>
      </c>
      <c r="C747" s="5">
        <f>DAY(DATE('Assumptions and Catalog'!$C$24+A747-1,B747+1,0))</f>
        <v>31</v>
      </c>
      <c r="D747" s="5">
        <f>IF(ISNUMBER(Inputs!$L$5),Inputs!$L$5*Inputs!$L$6,0)</f>
        <v>40.35</v>
      </c>
      <c r="E747" s="5">
        <f>IF(ISNUMBER(Inputs!$L$5),Inputs!$L$5-D747,0)</f>
        <v>40.35</v>
      </c>
      <c r="F747" s="5">
        <f>E$51*'Assumptions and Catalog'!$C$31*C747*(1-'Assumptions and Catalog'!$C$10)^(A747-1)</f>
        <v>819.81392599946514</v>
      </c>
      <c r="G747" s="5">
        <f t="shared" si="52"/>
        <v>819.81392599946514</v>
      </c>
      <c r="H747" s="5">
        <f>I747/('Assumptions and Catalog'!$C$11*'Assumptions and Catalog'!$C$12)</f>
        <v>0</v>
      </c>
      <c r="I747" s="5">
        <f>MIN(E747*C747,P747*'Assumptions and Catalog'!$C$12*C747,(F747-G747)*'Assumptions and Catalog'!$C$11*'Assumptions and Catalog'!$C$12,E$56*'Assumptions and Catalog'!$C$14*'Assumptions and Catalog'!$C$11*'Assumptions and Catalog'!$C$12*C747,E$57*(24-'Assumptions and Catalog'!$C$13)*C747)</f>
        <v>0</v>
      </c>
      <c r="J747" s="5">
        <f t="shared" si="53"/>
        <v>0</v>
      </c>
      <c r="K747" s="5">
        <f t="shared" si="54"/>
        <v>0</v>
      </c>
      <c r="L747" s="5">
        <f>(D747+E747)*C747-G747-I747+0+IF(E$52&gt;0,'Assumptions and Catalog'!$C$26*C747,0)</f>
        <v>1681.8860740005352</v>
      </c>
      <c r="M747" s="5">
        <f>IF(ISNUMBER(Inputs!$L$5),(IF(Inputs!$L$9="Actual flat rate",((D747+E747)*C747)*Inputs!$L$10,IF(Inputs!$C$9="Residential",IF(((D747+E747)*C747)&lt;='Assumptions and Catalog'!$C$50,((D747+E747)*C747)*'Assumptions and Catalog'!$H$50+'Assumptions and Catalog'!$E$50+'Assumptions and Catalog'!$F$50,IF(((D747+E747)*C747)&lt;='Assumptions and Catalog'!$C$51,((D747+E747)*C747)*'Assumptions and Catalog'!$H$51+'Assumptions and Catalog'!$E$51+'Assumptions and Catalog'!$F$51,IF(((D747+E747)*C747)&lt;='Assumptions and Catalog'!$C$52,((D747+E747)*C747)*'Assumptions and Catalog'!$H$52+'Assumptions and Catalog'!$E$52+'Assumptions and Catalog'!$F$52,IF(((D747+E747)*C747)&lt;='Assumptions and Catalog'!$C$53,((D747+E747)*C747)*'Assumptions and Catalog'!$H$53+'Assumptions and Catalog'!$E$53+'Assumptions and Catalog'!$F$53,IF(((D747+E747)*C747)&lt;='Assumptions and Catalog'!$C$54,((D747+E747)*C747)*'Assumptions and Catalog'!$H$54+'Assumptions and Catalog'!$E$54+'Assumptions and Catalog'!$F$54,IF(((D747+E747)*C747)&lt;='Assumptions and Catalog'!$C$55,((D747+E747)*C747)*'Assumptions and Catalog'!$H$55+'Assumptions and Catalog'!$E$55+'Assumptions and Catalog'!$F$55,IF(((D747+E747)*C747)&lt;='Assumptions and Catalog'!$C$56,((D747+E747)*C747)*'Assumptions and Catalog'!$H$56+'Assumptions and Catalog'!$E$56+'Assumptions and Catalog'!$F$56,IF(((D747+E747)*C747)&lt;='Assumptions and Catalog'!$C$57,((D747+E747)*C747)*'Assumptions and Catalog'!$H$57+'Assumptions and Catalog'!$E$57+'Assumptions and Catalog'!$F$57,"Out of range")))))))),IF(((D747+E747)*C747)&lt;='Assumptions and Catalog'!$C$60,((D747+E747)*C747)*'Assumptions and Catalog'!$H$60+'Assumptions and Catalog'!$E$60+'Assumptions and Catalog'!$F$60,IF(((D747+E747)*C747)&lt;='Assumptions and Catalog'!$C$61,((D747+E747)*C747)*'Assumptions and Catalog'!$H$61+'Assumptions and Catalog'!$E$61+'Assumptions and Catalog'!$F$61,IF(((D747+E747)*C747)&lt;='Assumptions and Catalog'!$C$62,((D747+E747)*C747)*'Assumptions and Catalog'!$H$62+'Assumptions and Catalog'!$E$62+'Assumptions and Catalog'!$F$62,IF(((D747+E747)*C747)&lt;='Assumptions and Catalog'!$C$63,((D747+E747)*C747)*'Assumptions and Catalog'!$H$63+'Assumptions and Catalog'!$E$63+'Assumptions and Catalog'!$F$63,IF(((D747+E747)*C747)&lt;='Assumptions and Catalog'!$C$64,((D747+E747)*C747)*'Assumptions and Catalog'!$H$64+'Assumptions and Catalog'!$E$64+'Assumptions and Catalog'!$F$64,IF(((D747+E747)*C747)&lt;='Assumptions and Catalog'!$C$65,((D747+E747)*C747)*'Assumptions and Catalog'!$H$65+'Assumptions and Catalog'!$E$65+'Assumptions and Catalog'!$F$65,"Out of range")))))))))*(1+'Assumptions and Catalog'!$C$8)^(A747-1),0)</f>
        <v>8554.9666666666672</v>
      </c>
      <c r="N747" s="5">
        <f>IF(ISNUMBER(Inputs!$L$5),(IF(Inputs!$L$9="Actual flat rate",L747*Inputs!$L$10,IF(Inputs!$C$9="Residential",IF(L747&lt;='Assumptions and Catalog'!$C$50,L747*'Assumptions and Catalog'!$H$50+'Assumptions and Catalog'!$E$50+'Assumptions and Catalog'!$F$50,IF(L747&lt;='Assumptions and Catalog'!$C$51,L747*'Assumptions and Catalog'!$H$51+'Assumptions and Catalog'!$E$51+'Assumptions and Catalog'!$F$51,IF(L747&lt;='Assumptions and Catalog'!$C$52,L747*'Assumptions and Catalog'!$H$52+'Assumptions and Catalog'!$E$52+'Assumptions and Catalog'!$F$52,IF(L747&lt;='Assumptions and Catalog'!$C$53,L747*'Assumptions and Catalog'!$H$53+'Assumptions and Catalog'!$E$53+'Assumptions and Catalog'!$F$53,IF(L747&lt;='Assumptions and Catalog'!$C$54,L747*'Assumptions and Catalog'!$H$54+'Assumptions and Catalog'!$E$54+'Assumptions and Catalog'!$F$54,IF(L747&lt;='Assumptions and Catalog'!$C$55,L747*'Assumptions and Catalog'!$H$55+'Assumptions and Catalog'!$E$55+'Assumptions and Catalog'!$F$55,IF(L747&lt;='Assumptions and Catalog'!$C$56,L747*'Assumptions and Catalog'!$H$56+'Assumptions and Catalog'!$E$56+'Assumptions and Catalog'!$F$56,IF(L747&lt;='Assumptions and Catalog'!$C$57,L747*'Assumptions and Catalog'!$H$57+'Assumptions and Catalog'!$E$57+'Assumptions and Catalog'!$F$57,"Out of range")))))))),IF(L747&lt;='Assumptions and Catalog'!$C$60,L747*'Assumptions and Catalog'!$H$60+'Assumptions and Catalog'!$E$60+'Assumptions and Catalog'!$F$60,IF(L747&lt;='Assumptions and Catalog'!$C$61,L747*'Assumptions and Catalog'!$H$61+'Assumptions and Catalog'!$E$61+'Assumptions and Catalog'!$F$61,IF(L747&lt;='Assumptions and Catalog'!$C$62,L747*'Assumptions and Catalog'!$H$62+'Assumptions and Catalog'!$E$62+'Assumptions and Catalog'!$F$62,IF(L747&lt;='Assumptions and Catalog'!$C$63,L747*'Assumptions and Catalog'!$H$63+'Assumptions and Catalog'!$E$63+'Assumptions and Catalog'!$F$63,IF(L747&lt;='Assumptions and Catalog'!$C$64,L747*'Assumptions and Catalog'!$H$64+'Assumptions and Catalog'!$E$64+'Assumptions and Catalog'!$F$64,IF(L747&lt;='Assumptions and Catalog'!$C$65,L747*'Assumptions and Catalog'!$H$65+'Assumptions and Catalog'!$E$65+'Assumptions and Catalog'!$F$65,"Out of range")))))))))*(1+'Assumptions and Catalog'!$C$8)^(A747-1),0)</f>
        <v>5751.4807131972038</v>
      </c>
      <c r="O747" s="5">
        <f t="shared" si="55"/>
        <v>2803.4859534694633</v>
      </c>
      <c r="P747" s="5">
        <f>E$55*(1-L$14)*(1-'Assumptions and Catalog'!$C$23)^R747</f>
        <v>88.896054604464112</v>
      </c>
      <c r="Q747" s="5">
        <f>IF(ISNUMBER(Inputs!$L$5),(IF(Inputs!$L$9="Actual flat rate",((D747+E747)*C747-G747)*Inputs!$L$10,IF(Inputs!$C$9="Residential",IF(((D747+E747)*C747-G747)&lt;='Assumptions and Catalog'!$C$50,((D747+E747)*C747-G747)*'Assumptions and Catalog'!$H$50+'Assumptions and Catalog'!$E$50+'Assumptions and Catalog'!$F$50,IF(((D747+E747)*C747-G747)&lt;='Assumptions and Catalog'!$C$51,((D747+E747)*C747-G747)*'Assumptions and Catalog'!$H$51+'Assumptions and Catalog'!$E$51+'Assumptions and Catalog'!$F$51,IF(((D747+E747)*C747-G747)&lt;='Assumptions and Catalog'!$C$52,((D747+E747)*C747-G747)*'Assumptions and Catalog'!$H$52+'Assumptions and Catalog'!$E$52+'Assumptions and Catalog'!$F$52,IF(((D747+E747)*C747-G747)&lt;='Assumptions and Catalog'!$C$53,((D747+E747)*C747-G747)*'Assumptions and Catalog'!$H$53+'Assumptions and Catalog'!$E$53+'Assumptions and Catalog'!$F$53,IF(((D747+E747)*C747-G747)&lt;='Assumptions and Catalog'!$C$54,((D747+E747)*C747-G747)*'Assumptions and Catalog'!$H$54+'Assumptions and Catalog'!$E$54+'Assumptions and Catalog'!$F$54,IF(((D747+E747)*C747-G747)&lt;='Assumptions and Catalog'!$C$55,((D747+E747)*C747-G747)*'Assumptions and Catalog'!$H$55+'Assumptions and Catalog'!$E$55+'Assumptions and Catalog'!$F$55,IF(((D747+E747)*C747-G747)&lt;='Assumptions and Catalog'!$C$56,((D747+E747)*C747-G747)*'Assumptions and Catalog'!$H$56+'Assumptions and Catalog'!$E$56+'Assumptions and Catalog'!$F$56,IF(((D747+E747)*C747-G747)&lt;='Assumptions and Catalog'!$C$57,((D747+E747)*C747-G747)*'Assumptions and Catalog'!$H$57+'Assumptions and Catalog'!$E$57+'Assumptions and Catalog'!$F$57,"Out of range")))))))),IF(((D747+E747)*C747-G747)&lt;='Assumptions and Catalog'!$C$60,((D747+E747)*C747-G747)*'Assumptions and Catalog'!$H$60+'Assumptions and Catalog'!$E$60+'Assumptions and Catalog'!$F$60,IF(((D747+E747)*C747-G747)&lt;='Assumptions and Catalog'!$C$61,((D747+E747)*C747-G747)*'Assumptions and Catalog'!$H$61+'Assumptions and Catalog'!$E$61+'Assumptions and Catalog'!$F$61,IF(((D747+E747)*C747-G747)&lt;='Assumptions and Catalog'!$C$62,((D747+E747)*C747-G747)*'Assumptions and Catalog'!$H$62+'Assumptions and Catalog'!$E$62+'Assumptions and Catalog'!$F$62,IF(((D747+E747)*C747-G747)&lt;='Assumptions and Catalog'!$C$63,((D747+E747)*C747-G747)*'Assumptions and Catalog'!$H$63+'Assumptions and Catalog'!$E$63+'Assumptions and Catalog'!$F$63,IF(((D747+E747)*C747-G747)&lt;='Assumptions and Catalog'!$C$64,((D747+E747)*C747-G747)*'Assumptions and Catalog'!$H$64+'Assumptions and Catalog'!$E$64+'Assumptions and Catalog'!$F$64,IF(((D747+E747)*C747-G747)&lt;='Assumptions and Catalog'!$C$65,((D747+E747)*C747-G747)*'Assumptions and Catalog'!$H$65+'Assumptions and Catalog'!$E$65+'Assumptions and Catalog'!$F$65,"Out of range")))))))))*(1+'Assumptions and Catalog'!$C$8)^(A747-1),0)</f>
        <v>5751.4807131972038</v>
      </c>
      <c r="R747" s="5">
        <f>IF(AND('Assumptions and Catalog'!$C$19&gt;0,A747&gt;='Assumptions and Catalog'!$C$19),A747-'Assumptions and Catalog'!$C$19,A747-1)</f>
        <v>7</v>
      </c>
      <c r="S747" s="5">
        <f>F747+L747-(D747+E747)*C747-J747-K747-IF(E$52&gt;0,'Assumptions and Catalog'!$C$26*C747,0)</f>
        <v>0</v>
      </c>
      <c r="T747" s="5"/>
      <c r="U747" s="5"/>
    </row>
    <row r="748" spans="1:21" ht="23.1" customHeight="1" outlineLevel="1" x14ac:dyDescent="0.2">
      <c r="A748" s="5">
        <v>8</v>
      </c>
      <c r="B748" s="5">
        <v>4</v>
      </c>
      <c r="C748" s="5">
        <f>DAY(DATE('Assumptions and Catalog'!$C$24+A748-1,B748+1,0))</f>
        <v>30</v>
      </c>
      <c r="D748" s="5">
        <f>IF(ISNUMBER(Inputs!$L$5),Inputs!$L$5*Inputs!$L$6,0)</f>
        <v>40.35</v>
      </c>
      <c r="E748" s="5">
        <f>IF(ISNUMBER(Inputs!$L$5),Inputs!$L$5-D748,0)</f>
        <v>40.35</v>
      </c>
      <c r="F748" s="5">
        <f>E$51*'Assumptions and Catalog'!$C$31*C748*(1-'Assumptions and Catalog'!$C$10)^(A748-1)</f>
        <v>793.36831548335329</v>
      </c>
      <c r="G748" s="5">
        <f t="shared" si="52"/>
        <v>793.36831548335329</v>
      </c>
      <c r="H748" s="5">
        <f>I748/('Assumptions and Catalog'!$C$11*'Assumptions and Catalog'!$C$12)</f>
        <v>0</v>
      </c>
      <c r="I748" s="5">
        <f>MIN(E748*C748,P748*'Assumptions and Catalog'!$C$12*C748,(F748-G748)*'Assumptions and Catalog'!$C$11*'Assumptions and Catalog'!$C$12,E$56*'Assumptions and Catalog'!$C$14*'Assumptions and Catalog'!$C$11*'Assumptions and Catalog'!$C$12*C748,E$57*(24-'Assumptions and Catalog'!$C$13)*C748)</f>
        <v>0</v>
      </c>
      <c r="J748" s="5">
        <f t="shared" si="53"/>
        <v>0</v>
      </c>
      <c r="K748" s="5">
        <f t="shared" si="54"/>
        <v>0</v>
      </c>
      <c r="L748" s="5">
        <f>(D748+E748)*C748-G748-I748+0+IF(E$52&gt;0,'Assumptions and Catalog'!$C$26*C748,0)</f>
        <v>1627.6316845166466</v>
      </c>
      <c r="M748" s="5">
        <f>IF(ISNUMBER(Inputs!$L$5),(IF(Inputs!$L$9="Actual flat rate",((D748+E748)*C748)*Inputs!$L$10,IF(Inputs!$C$9="Residential",IF(((D748+E748)*C748)&lt;='Assumptions and Catalog'!$C$50,((D748+E748)*C748)*'Assumptions and Catalog'!$H$50+'Assumptions and Catalog'!$E$50+'Assumptions and Catalog'!$F$50,IF(((D748+E748)*C748)&lt;='Assumptions and Catalog'!$C$51,((D748+E748)*C748)*'Assumptions and Catalog'!$H$51+'Assumptions and Catalog'!$E$51+'Assumptions and Catalog'!$F$51,IF(((D748+E748)*C748)&lt;='Assumptions and Catalog'!$C$52,((D748+E748)*C748)*'Assumptions and Catalog'!$H$52+'Assumptions and Catalog'!$E$52+'Assumptions and Catalog'!$F$52,IF(((D748+E748)*C748)&lt;='Assumptions and Catalog'!$C$53,((D748+E748)*C748)*'Assumptions and Catalog'!$H$53+'Assumptions and Catalog'!$E$53+'Assumptions and Catalog'!$F$53,IF(((D748+E748)*C748)&lt;='Assumptions and Catalog'!$C$54,((D748+E748)*C748)*'Assumptions and Catalog'!$H$54+'Assumptions and Catalog'!$E$54+'Assumptions and Catalog'!$F$54,IF(((D748+E748)*C748)&lt;='Assumptions and Catalog'!$C$55,((D748+E748)*C748)*'Assumptions and Catalog'!$H$55+'Assumptions and Catalog'!$E$55+'Assumptions and Catalog'!$F$55,IF(((D748+E748)*C748)&lt;='Assumptions and Catalog'!$C$56,((D748+E748)*C748)*'Assumptions and Catalog'!$H$56+'Assumptions and Catalog'!$E$56+'Assumptions and Catalog'!$F$56,IF(((D748+E748)*C748)&lt;='Assumptions and Catalog'!$C$57,((D748+E748)*C748)*'Assumptions and Catalog'!$H$57+'Assumptions and Catalog'!$E$57+'Assumptions and Catalog'!$F$57,"Out of range")))))))),IF(((D748+E748)*C748)&lt;='Assumptions and Catalog'!$C$60,((D748+E748)*C748)*'Assumptions and Catalog'!$H$60+'Assumptions and Catalog'!$E$60+'Assumptions and Catalog'!$F$60,IF(((D748+E748)*C748)&lt;='Assumptions and Catalog'!$C$61,((D748+E748)*C748)*'Assumptions and Catalog'!$H$61+'Assumptions and Catalog'!$E$61+'Assumptions and Catalog'!$F$61,IF(((D748+E748)*C748)&lt;='Assumptions and Catalog'!$C$62,((D748+E748)*C748)*'Assumptions and Catalog'!$H$62+'Assumptions and Catalog'!$E$62+'Assumptions and Catalog'!$F$62,IF(((D748+E748)*C748)&lt;='Assumptions and Catalog'!$C$63,((D748+E748)*C748)*'Assumptions and Catalog'!$H$63+'Assumptions and Catalog'!$E$63+'Assumptions and Catalog'!$F$63,IF(((D748+E748)*C748)&lt;='Assumptions and Catalog'!$C$64,((D748+E748)*C748)*'Assumptions and Catalog'!$H$64+'Assumptions and Catalog'!$E$64+'Assumptions and Catalog'!$F$64,IF(((D748+E748)*C748)&lt;='Assumptions and Catalog'!$C$65,((D748+E748)*C748)*'Assumptions and Catalog'!$H$65+'Assumptions and Catalog'!$E$65+'Assumptions and Catalog'!$F$65,"Out of range")))))))))*(1+'Assumptions and Catalog'!$C$8)^(A748-1),0)</f>
        <v>8279</v>
      </c>
      <c r="N748" s="5">
        <f>IF(ISNUMBER(Inputs!$L$5),(IF(Inputs!$L$9="Actual flat rate",L748*Inputs!$L$10,IF(Inputs!$C$9="Residential",IF(L748&lt;='Assumptions and Catalog'!$C$50,L748*'Assumptions and Catalog'!$H$50+'Assumptions and Catalog'!$E$50+'Assumptions and Catalog'!$F$50,IF(L748&lt;='Assumptions and Catalog'!$C$51,L748*'Assumptions and Catalog'!$H$51+'Assumptions and Catalog'!$E$51+'Assumptions and Catalog'!$F$51,IF(L748&lt;='Assumptions and Catalog'!$C$52,L748*'Assumptions and Catalog'!$H$52+'Assumptions and Catalog'!$E$52+'Assumptions and Catalog'!$F$52,IF(L748&lt;='Assumptions and Catalog'!$C$53,L748*'Assumptions and Catalog'!$H$53+'Assumptions and Catalog'!$E$53+'Assumptions and Catalog'!$F$53,IF(L748&lt;='Assumptions and Catalog'!$C$54,L748*'Assumptions and Catalog'!$H$54+'Assumptions and Catalog'!$E$54+'Assumptions and Catalog'!$F$54,IF(L748&lt;='Assumptions and Catalog'!$C$55,L748*'Assumptions and Catalog'!$H$55+'Assumptions and Catalog'!$E$55+'Assumptions and Catalog'!$F$55,IF(L748&lt;='Assumptions and Catalog'!$C$56,L748*'Assumptions and Catalog'!$H$56+'Assumptions and Catalog'!$E$56+'Assumptions and Catalog'!$F$56,IF(L748&lt;='Assumptions and Catalog'!$C$57,L748*'Assumptions and Catalog'!$H$57+'Assumptions and Catalog'!$E$57+'Assumptions and Catalog'!$F$57,"Out of range")))))))),IF(L748&lt;='Assumptions and Catalog'!$C$60,L748*'Assumptions and Catalog'!$H$60+'Assumptions and Catalog'!$E$60+'Assumptions and Catalog'!$F$60,IF(L748&lt;='Assumptions and Catalog'!$C$61,L748*'Assumptions and Catalog'!$H$61+'Assumptions and Catalog'!$E$61+'Assumptions and Catalog'!$F$61,IF(L748&lt;='Assumptions and Catalog'!$C$62,L748*'Assumptions and Catalog'!$H$62+'Assumptions and Catalog'!$E$62+'Assumptions and Catalog'!$F$62,IF(L748&lt;='Assumptions and Catalog'!$C$63,L748*'Assumptions and Catalog'!$H$63+'Assumptions and Catalog'!$E$63+'Assumptions and Catalog'!$F$63,IF(L748&lt;='Assumptions and Catalog'!$C$64,L748*'Assumptions and Catalog'!$H$64+'Assumptions and Catalog'!$E$64+'Assumptions and Catalog'!$F$64,IF(L748&lt;='Assumptions and Catalog'!$C$65,L748*'Assumptions and Catalog'!$H$65+'Assumptions and Catalog'!$E$65+'Assumptions and Catalog'!$F$65,"Out of range")))))))))*(1+'Assumptions and Catalog'!$C$8)^(A748-1),0)</f>
        <v>5565.9490772876152</v>
      </c>
      <c r="O748" s="5">
        <f t="shared" si="55"/>
        <v>2713.0509227123848</v>
      </c>
      <c r="P748" s="5">
        <f>E$55*(1-L$14)*(1-'Assumptions and Catalog'!$C$23)^R748</f>
        <v>88.896054604464112</v>
      </c>
      <c r="Q748" s="5">
        <f>IF(ISNUMBER(Inputs!$L$5),(IF(Inputs!$L$9="Actual flat rate",((D748+E748)*C748-G748)*Inputs!$L$10,IF(Inputs!$C$9="Residential",IF(((D748+E748)*C748-G748)&lt;='Assumptions and Catalog'!$C$50,((D748+E748)*C748-G748)*'Assumptions and Catalog'!$H$50+'Assumptions and Catalog'!$E$50+'Assumptions and Catalog'!$F$50,IF(((D748+E748)*C748-G748)&lt;='Assumptions and Catalog'!$C$51,((D748+E748)*C748-G748)*'Assumptions and Catalog'!$H$51+'Assumptions and Catalog'!$E$51+'Assumptions and Catalog'!$F$51,IF(((D748+E748)*C748-G748)&lt;='Assumptions and Catalog'!$C$52,((D748+E748)*C748-G748)*'Assumptions and Catalog'!$H$52+'Assumptions and Catalog'!$E$52+'Assumptions and Catalog'!$F$52,IF(((D748+E748)*C748-G748)&lt;='Assumptions and Catalog'!$C$53,((D748+E748)*C748-G748)*'Assumptions and Catalog'!$H$53+'Assumptions and Catalog'!$E$53+'Assumptions and Catalog'!$F$53,IF(((D748+E748)*C748-G748)&lt;='Assumptions and Catalog'!$C$54,((D748+E748)*C748-G748)*'Assumptions and Catalog'!$H$54+'Assumptions and Catalog'!$E$54+'Assumptions and Catalog'!$F$54,IF(((D748+E748)*C748-G748)&lt;='Assumptions and Catalog'!$C$55,((D748+E748)*C748-G748)*'Assumptions and Catalog'!$H$55+'Assumptions and Catalog'!$E$55+'Assumptions and Catalog'!$F$55,IF(((D748+E748)*C748-G748)&lt;='Assumptions and Catalog'!$C$56,((D748+E748)*C748-G748)*'Assumptions and Catalog'!$H$56+'Assumptions and Catalog'!$E$56+'Assumptions and Catalog'!$F$56,IF(((D748+E748)*C748-G748)&lt;='Assumptions and Catalog'!$C$57,((D748+E748)*C748-G748)*'Assumptions and Catalog'!$H$57+'Assumptions and Catalog'!$E$57+'Assumptions and Catalog'!$F$57,"Out of range")))))))),IF(((D748+E748)*C748-G748)&lt;='Assumptions and Catalog'!$C$60,((D748+E748)*C748-G748)*'Assumptions and Catalog'!$H$60+'Assumptions and Catalog'!$E$60+'Assumptions and Catalog'!$F$60,IF(((D748+E748)*C748-G748)&lt;='Assumptions and Catalog'!$C$61,((D748+E748)*C748-G748)*'Assumptions and Catalog'!$H$61+'Assumptions and Catalog'!$E$61+'Assumptions and Catalog'!$F$61,IF(((D748+E748)*C748-G748)&lt;='Assumptions and Catalog'!$C$62,((D748+E748)*C748-G748)*'Assumptions and Catalog'!$H$62+'Assumptions and Catalog'!$E$62+'Assumptions and Catalog'!$F$62,IF(((D748+E748)*C748-G748)&lt;='Assumptions and Catalog'!$C$63,((D748+E748)*C748-G748)*'Assumptions and Catalog'!$H$63+'Assumptions and Catalog'!$E$63+'Assumptions and Catalog'!$F$63,IF(((D748+E748)*C748-G748)&lt;='Assumptions and Catalog'!$C$64,((D748+E748)*C748-G748)*'Assumptions and Catalog'!$H$64+'Assumptions and Catalog'!$E$64+'Assumptions and Catalog'!$F$64,IF(((D748+E748)*C748-G748)&lt;='Assumptions and Catalog'!$C$65,((D748+E748)*C748-G748)*'Assumptions and Catalog'!$H$65+'Assumptions and Catalog'!$E$65+'Assumptions and Catalog'!$F$65,"Out of range")))))))))*(1+'Assumptions and Catalog'!$C$8)^(A748-1),0)</f>
        <v>5565.9490772876152</v>
      </c>
      <c r="R748" s="5">
        <f>IF(AND('Assumptions and Catalog'!$C$19&gt;0,A748&gt;='Assumptions and Catalog'!$C$19),A748-'Assumptions and Catalog'!$C$19,A748-1)</f>
        <v>7</v>
      </c>
      <c r="S748" s="5">
        <f>F748+L748-(D748+E748)*C748-J748-K748-IF(E$52&gt;0,'Assumptions and Catalog'!$C$26*C748,0)</f>
        <v>0</v>
      </c>
      <c r="T748" s="5"/>
      <c r="U748" s="5"/>
    </row>
    <row r="749" spans="1:21" ht="23.1" customHeight="1" outlineLevel="1" x14ac:dyDescent="0.2">
      <c r="A749" s="5">
        <v>8</v>
      </c>
      <c r="B749" s="5">
        <v>5</v>
      </c>
      <c r="C749" s="5">
        <f>DAY(DATE('Assumptions and Catalog'!$C$24+A749-1,B749+1,0))</f>
        <v>31</v>
      </c>
      <c r="D749" s="5">
        <f>IF(ISNUMBER(Inputs!$L$5),Inputs!$L$5*Inputs!$L$6,0)</f>
        <v>40.35</v>
      </c>
      <c r="E749" s="5">
        <f>IF(ISNUMBER(Inputs!$L$5),Inputs!$L$5-D749,0)</f>
        <v>40.35</v>
      </c>
      <c r="F749" s="5">
        <f>E$51*'Assumptions and Catalog'!$C$31*C749*(1-'Assumptions and Catalog'!$C$10)^(A749-1)</f>
        <v>819.81392599946514</v>
      </c>
      <c r="G749" s="5">
        <f t="shared" si="52"/>
        <v>819.81392599946514</v>
      </c>
      <c r="H749" s="5">
        <f>I749/('Assumptions and Catalog'!$C$11*'Assumptions and Catalog'!$C$12)</f>
        <v>0</v>
      </c>
      <c r="I749" s="5">
        <f>MIN(E749*C749,P749*'Assumptions and Catalog'!$C$12*C749,(F749-G749)*'Assumptions and Catalog'!$C$11*'Assumptions and Catalog'!$C$12,E$56*'Assumptions and Catalog'!$C$14*'Assumptions and Catalog'!$C$11*'Assumptions and Catalog'!$C$12*C749,E$57*(24-'Assumptions and Catalog'!$C$13)*C749)</f>
        <v>0</v>
      </c>
      <c r="J749" s="5">
        <f t="shared" si="53"/>
        <v>0</v>
      </c>
      <c r="K749" s="5">
        <f t="shared" si="54"/>
        <v>0</v>
      </c>
      <c r="L749" s="5">
        <f>(D749+E749)*C749-G749-I749+0+IF(E$52&gt;0,'Assumptions and Catalog'!$C$26*C749,0)</f>
        <v>1681.8860740005352</v>
      </c>
      <c r="M749" s="5">
        <f>IF(ISNUMBER(Inputs!$L$5),(IF(Inputs!$L$9="Actual flat rate",((D749+E749)*C749)*Inputs!$L$10,IF(Inputs!$C$9="Residential",IF(((D749+E749)*C749)&lt;='Assumptions and Catalog'!$C$50,((D749+E749)*C749)*'Assumptions and Catalog'!$H$50+'Assumptions and Catalog'!$E$50+'Assumptions and Catalog'!$F$50,IF(((D749+E749)*C749)&lt;='Assumptions and Catalog'!$C$51,((D749+E749)*C749)*'Assumptions and Catalog'!$H$51+'Assumptions and Catalog'!$E$51+'Assumptions and Catalog'!$F$51,IF(((D749+E749)*C749)&lt;='Assumptions and Catalog'!$C$52,((D749+E749)*C749)*'Assumptions and Catalog'!$H$52+'Assumptions and Catalog'!$E$52+'Assumptions and Catalog'!$F$52,IF(((D749+E749)*C749)&lt;='Assumptions and Catalog'!$C$53,((D749+E749)*C749)*'Assumptions and Catalog'!$H$53+'Assumptions and Catalog'!$E$53+'Assumptions and Catalog'!$F$53,IF(((D749+E749)*C749)&lt;='Assumptions and Catalog'!$C$54,((D749+E749)*C749)*'Assumptions and Catalog'!$H$54+'Assumptions and Catalog'!$E$54+'Assumptions and Catalog'!$F$54,IF(((D749+E749)*C749)&lt;='Assumptions and Catalog'!$C$55,((D749+E749)*C749)*'Assumptions and Catalog'!$H$55+'Assumptions and Catalog'!$E$55+'Assumptions and Catalog'!$F$55,IF(((D749+E749)*C749)&lt;='Assumptions and Catalog'!$C$56,((D749+E749)*C749)*'Assumptions and Catalog'!$H$56+'Assumptions and Catalog'!$E$56+'Assumptions and Catalog'!$F$56,IF(((D749+E749)*C749)&lt;='Assumptions and Catalog'!$C$57,((D749+E749)*C749)*'Assumptions and Catalog'!$H$57+'Assumptions and Catalog'!$E$57+'Assumptions and Catalog'!$F$57,"Out of range")))))))),IF(((D749+E749)*C749)&lt;='Assumptions and Catalog'!$C$60,((D749+E749)*C749)*'Assumptions and Catalog'!$H$60+'Assumptions and Catalog'!$E$60+'Assumptions and Catalog'!$F$60,IF(((D749+E749)*C749)&lt;='Assumptions and Catalog'!$C$61,((D749+E749)*C749)*'Assumptions and Catalog'!$H$61+'Assumptions and Catalog'!$E$61+'Assumptions and Catalog'!$F$61,IF(((D749+E749)*C749)&lt;='Assumptions and Catalog'!$C$62,((D749+E749)*C749)*'Assumptions and Catalog'!$H$62+'Assumptions and Catalog'!$E$62+'Assumptions and Catalog'!$F$62,IF(((D749+E749)*C749)&lt;='Assumptions and Catalog'!$C$63,((D749+E749)*C749)*'Assumptions and Catalog'!$H$63+'Assumptions and Catalog'!$E$63+'Assumptions and Catalog'!$F$63,IF(((D749+E749)*C749)&lt;='Assumptions and Catalog'!$C$64,((D749+E749)*C749)*'Assumptions and Catalog'!$H$64+'Assumptions and Catalog'!$E$64+'Assumptions and Catalog'!$F$64,IF(((D749+E749)*C749)&lt;='Assumptions and Catalog'!$C$65,((D749+E749)*C749)*'Assumptions and Catalog'!$H$65+'Assumptions and Catalog'!$E$65+'Assumptions and Catalog'!$F$65,"Out of range")))))))))*(1+'Assumptions and Catalog'!$C$8)^(A749-1),0)</f>
        <v>8554.9666666666672</v>
      </c>
      <c r="N749" s="5">
        <f>IF(ISNUMBER(Inputs!$L$5),(IF(Inputs!$L$9="Actual flat rate",L749*Inputs!$L$10,IF(Inputs!$C$9="Residential",IF(L749&lt;='Assumptions and Catalog'!$C$50,L749*'Assumptions and Catalog'!$H$50+'Assumptions and Catalog'!$E$50+'Assumptions and Catalog'!$F$50,IF(L749&lt;='Assumptions and Catalog'!$C$51,L749*'Assumptions and Catalog'!$H$51+'Assumptions and Catalog'!$E$51+'Assumptions and Catalog'!$F$51,IF(L749&lt;='Assumptions and Catalog'!$C$52,L749*'Assumptions and Catalog'!$H$52+'Assumptions and Catalog'!$E$52+'Assumptions and Catalog'!$F$52,IF(L749&lt;='Assumptions and Catalog'!$C$53,L749*'Assumptions and Catalog'!$H$53+'Assumptions and Catalog'!$E$53+'Assumptions and Catalog'!$F$53,IF(L749&lt;='Assumptions and Catalog'!$C$54,L749*'Assumptions and Catalog'!$H$54+'Assumptions and Catalog'!$E$54+'Assumptions and Catalog'!$F$54,IF(L749&lt;='Assumptions and Catalog'!$C$55,L749*'Assumptions and Catalog'!$H$55+'Assumptions and Catalog'!$E$55+'Assumptions and Catalog'!$F$55,IF(L749&lt;='Assumptions and Catalog'!$C$56,L749*'Assumptions and Catalog'!$H$56+'Assumptions and Catalog'!$E$56+'Assumptions and Catalog'!$F$56,IF(L749&lt;='Assumptions and Catalog'!$C$57,L749*'Assumptions and Catalog'!$H$57+'Assumptions and Catalog'!$E$57+'Assumptions and Catalog'!$F$57,"Out of range")))))))),IF(L749&lt;='Assumptions and Catalog'!$C$60,L749*'Assumptions and Catalog'!$H$60+'Assumptions and Catalog'!$E$60+'Assumptions and Catalog'!$F$60,IF(L749&lt;='Assumptions and Catalog'!$C$61,L749*'Assumptions and Catalog'!$H$61+'Assumptions and Catalog'!$E$61+'Assumptions and Catalog'!$F$61,IF(L749&lt;='Assumptions and Catalog'!$C$62,L749*'Assumptions and Catalog'!$H$62+'Assumptions and Catalog'!$E$62+'Assumptions and Catalog'!$F$62,IF(L749&lt;='Assumptions and Catalog'!$C$63,L749*'Assumptions and Catalog'!$H$63+'Assumptions and Catalog'!$E$63+'Assumptions and Catalog'!$F$63,IF(L749&lt;='Assumptions and Catalog'!$C$64,L749*'Assumptions and Catalog'!$H$64+'Assumptions and Catalog'!$E$64+'Assumptions and Catalog'!$F$64,IF(L749&lt;='Assumptions and Catalog'!$C$65,L749*'Assumptions and Catalog'!$H$65+'Assumptions and Catalog'!$E$65+'Assumptions and Catalog'!$F$65,"Out of range")))))))))*(1+'Assumptions and Catalog'!$C$8)^(A749-1),0)</f>
        <v>5751.4807131972038</v>
      </c>
      <c r="O749" s="5">
        <f t="shared" si="55"/>
        <v>2803.4859534694633</v>
      </c>
      <c r="P749" s="5">
        <f>E$55*(1-L$14)*(1-'Assumptions and Catalog'!$C$23)^R749</f>
        <v>88.896054604464112</v>
      </c>
      <c r="Q749" s="5">
        <f>IF(ISNUMBER(Inputs!$L$5),(IF(Inputs!$L$9="Actual flat rate",((D749+E749)*C749-G749)*Inputs!$L$10,IF(Inputs!$C$9="Residential",IF(((D749+E749)*C749-G749)&lt;='Assumptions and Catalog'!$C$50,((D749+E749)*C749-G749)*'Assumptions and Catalog'!$H$50+'Assumptions and Catalog'!$E$50+'Assumptions and Catalog'!$F$50,IF(((D749+E749)*C749-G749)&lt;='Assumptions and Catalog'!$C$51,((D749+E749)*C749-G749)*'Assumptions and Catalog'!$H$51+'Assumptions and Catalog'!$E$51+'Assumptions and Catalog'!$F$51,IF(((D749+E749)*C749-G749)&lt;='Assumptions and Catalog'!$C$52,((D749+E749)*C749-G749)*'Assumptions and Catalog'!$H$52+'Assumptions and Catalog'!$E$52+'Assumptions and Catalog'!$F$52,IF(((D749+E749)*C749-G749)&lt;='Assumptions and Catalog'!$C$53,((D749+E749)*C749-G749)*'Assumptions and Catalog'!$H$53+'Assumptions and Catalog'!$E$53+'Assumptions and Catalog'!$F$53,IF(((D749+E749)*C749-G749)&lt;='Assumptions and Catalog'!$C$54,((D749+E749)*C749-G749)*'Assumptions and Catalog'!$H$54+'Assumptions and Catalog'!$E$54+'Assumptions and Catalog'!$F$54,IF(((D749+E749)*C749-G749)&lt;='Assumptions and Catalog'!$C$55,((D749+E749)*C749-G749)*'Assumptions and Catalog'!$H$55+'Assumptions and Catalog'!$E$55+'Assumptions and Catalog'!$F$55,IF(((D749+E749)*C749-G749)&lt;='Assumptions and Catalog'!$C$56,((D749+E749)*C749-G749)*'Assumptions and Catalog'!$H$56+'Assumptions and Catalog'!$E$56+'Assumptions and Catalog'!$F$56,IF(((D749+E749)*C749-G749)&lt;='Assumptions and Catalog'!$C$57,((D749+E749)*C749-G749)*'Assumptions and Catalog'!$H$57+'Assumptions and Catalog'!$E$57+'Assumptions and Catalog'!$F$57,"Out of range")))))))),IF(((D749+E749)*C749-G749)&lt;='Assumptions and Catalog'!$C$60,((D749+E749)*C749-G749)*'Assumptions and Catalog'!$H$60+'Assumptions and Catalog'!$E$60+'Assumptions and Catalog'!$F$60,IF(((D749+E749)*C749-G749)&lt;='Assumptions and Catalog'!$C$61,((D749+E749)*C749-G749)*'Assumptions and Catalog'!$H$61+'Assumptions and Catalog'!$E$61+'Assumptions and Catalog'!$F$61,IF(((D749+E749)*C749-G749)&lt;='Assumptions and Catalog'!$C$62,((D749+E749)*C749-G749)*'Assumptions and Catalog'!$H$62+'Assumptions and Catalog'!$E$62+'Assumptions and Catalog'!$F$62,IF(((D749+E749)*C749-G749)&lt;='Assumptions and Catalog'!$C$63,((D749+E749)*C749-G749)*'Assumptions and Catalog'!$H$63+'Assumptions and Catalog'!$E$63+'Assumptions and Catalog'!$F$63,IF(((D749+E749)*C749-G749)&lt;='Assumptions and Catalog'!$C$64,((D749+E749)*C749-G749)*'Assumptions and Catalog'!$H$64+'Assumptions and Catalog'!$E$64+'Assumptions and Catalog'!$F$64,IF(((D749+E749)*C749-G749)&lt;='Assumptions and Catalog'!$C$65,((D749+E749)*C749-G749)*'Assumptions and Catalog'!$H$65+'Assumptions and Catalog'!$E$65+'Assumptions and Catalog'!$F$65,"Out of range")))))))))*(1+'Assumptions and Catalog'!$C$8)^(A749-1),0)</f>
        <v>5751.4807131972038</v>
      </c>
      <c r="R749" s="5">
        <f>IF(AND('Assumptions and Catalog'!$C$19&gt;0,A749&gt;='Assumptions and Catalog'!$C$19),A749-'Assumptions and Catalog'!$C$19,A749-1)</f>
        <v>7</v>
      </c>
      <c r="S749" s="5">
        <f>F749+L749-(D749+E749)*C749-J749-K749-IF(E$52&gt;0,'Assumptions and Catalog'!$C$26*C749,0)</f>
        <v>0</v>
      </c>
      <c r="T749" s="5"/>
      <c r="U749" s="5"/>
    </row>
    <row r="750" spans="1:21" ht="23.1" customHeight="1" outlineLevel="1" x14ac:dyDescent="0.2">
      <c r="A750" s="5">
        <v>8</v>
      </c>
      <c r="B750" s="5">
        <v>6</v>
      </c>
      <c r="C750" s="5">
        <f>DAY(DATE('Assumptions and Catalog'!$C$24+A750-1,B750+1,0))</f>
        <v>30</v>
      </c>
      <c r="D750" s="5">
        <f>IF(ISNUMBER(Inputs!$L$5),Inputs!$L$5*Inputs!$L$6,0)</f>
        <v>40.35</v>
      </c>
      <c r="E750" s="5">
        <f>IF(ISNUMBER(Inputs!$L$5),Inputs!$L$5-D750,0)</f>
        <v>40.35</v>
      </c>
      <c r="F750" s="5">
        <f>E$51*'Assumptions and Catalog'!$C$31*C750*(1-'Assumptions and Catalog'!$C$10)^(A750-1)</f>
        <v>793.36831548335329</v>
      </c>
      <c r="G750" s="5">
        <f t="shared" si="52"/>
        <v>793.36831548335329</v>
      </c>
      <c r="H750" s="5">
        <f>I750/('Assumptions and Catalog'!$C$11*'Assumptions and Catalog'!$C$12)</f>
        <v>0</v>
      </c>
      <c r="I750" s="5">
        <f>MIN(E750*C750,P750*'Assumptions and Catalog'!$C$12*C750,(F750-G750)*'Assumptions and Catalog'!$C$11*'Assumptions and Catalog'!$C$12,E$56*'Assumptions and Catalog'!$C$14*'Assumptions and Catalog'!$C$11*'Assumptions and Catalog'!$C$12*C750,E$57*(24-'Assumptions and Catalog'!$C$13)*C750)</f>
        <v>0</v>
      </c>
      <c r="J750" s="5">
        <f t="shared" si="53"/>
        <v>0</v>
      </c>
      <c r="K750" s="5">
        <f t="shared" si="54"/>
        <v>0</v>
      </c>
      <c r="L750" s="5">
        <f>(D750+E750)*C750-G750-I750+0+IF(E$52&gt;0,'Assumptions and Catalog'!$C$26*C750,0)</f>
        <v>1627.6316845166466</v>
      </c>
      <c r="M750" s="5">
        <f>IF(ISNUMBER(Inputs!$L$5),(IF(Inputs!$L$9="Actual flat rate",((D750+E750)*C750)*Inputs!$L$10,IF(Inputs!$C$9="Residential",IF(((D750+E750)*C750)&lt;='Assumptions and Catalog'!$C$50,((D750+E750)*C750)*'Assumptions and Catalog'!$H$50+'Assumptions and Catalog'!$E$50+'Assumptions and Catalog'!$F$50,IF(((D750+E750)*C750)&lt;='Assumptions and Catalog'!$C$51,((D750+E750)*C750)*'Assumptions and Catalog'!$H$51+'Assumptions and Catalog'!$E$51+'Assumptions and Catalog'!$F$51,IF(((D750+E750)*C750)&lt;='Assumptions and Catalog'!$C$52,((D750+E750)*C750)*'Assumptions and Catalog'!$H$52+'Assumptions and Catalog'!$E$52+'Assumptions and Catalog'!$F$52,IF(((D750+E750)*C750)&lt;='Assumptions and Catalog'!$C$53,((D750+E750)*C750)*'Assumptions and Catalog'!$H$53+'Assumptions and Catalog'!$E$53+'Assumptions and Catalog'!$F$53,IF(((D750+E750)*C750)&lt;='Assumptions and Catalog'!$C$54,((D750+E750)*C750)*'Assumptions and Catalog'!$H$54+'Assumptions and Catalog'!$E$54+'Assumptions and Catalog'!$F$54,IF(((D750+E750)*C750)&lt;='Assumptions and Catalog'!$C$55,((D750+E750)*C750)*'Assumptions and Catalog'!$H$55+'Assumptions and Catalog'!$E$55+'Assumptions and Catalog'!$F$55,IF(((D750+E750)*C750)&lt;='Assumptions and Catalog'!$C$56,((D750+E750)*C750)*'Assumptions and Catalog'!$H$56+'Assumptions and Catalog'!$E$56+'Assumptions and Catalog'!$F$56,IF(((D750+E750)*C750)&lt;='Assumptions and Catalog'!$C$57,((D750+E750)*C750)*'Assumptions and Catalog'!$H$57+'Assumptions and Catalog'!$E$57+'Assumptions and Catalog'!$F$57,"Out of range")))))))),IF(((D750+E750)*C750)&lt;='Assumptions and Catalog'!$C$60,((D750+E750)*C750)*'Assumptions and Catalog'!$H$60+'Assumptions and Catalog'!$E$60+'Assumptions and Catalog'!$F$60,IF(((D750+E750)*C750)&lt;='Assumptions and Catalog'!$C$61,((D750+E750)*C750)*'Assumptions and Catalog'!$H$61+'Assumptions and Catalog'!$E$61+'Assumptions and Catalog'!$F$61,IF(((D750+E750)*C750)&lt;='Assumptions and Catalog'!$C$62,((D750+E750)*C750)*'Assumptions and Catalog'!$H$62+'Assumptions and Catalog'!$E$62+'Assumptions and Catalog'!$F$62,IF(((D750+E750)*C750)&lt;='Assumptions and Catalog'!$C$63,((D750+E750)*C750)*'Assumptions and Catalog'!$H$63+'Assumptions and Catalog'!$E$63+'Assumptions and Catalog'!$F$63,IF(((D750+E750)*C750)&lt;='Assumptions and Catalog'!$C$64,((D750+E750)*C750)*'Assumptions and Catalog'!$H$64+'Assumptions and Catalog'!$E$64+'Assumptions and Catalog'!$F$64,IF(((D750+E750)*C750)&lt;='Assumptions and Catalog'!$C$65,((D750+E750)*C750)*'Assumptions and Catalog'!$H$65+'Assumptions and Catalog'!$E$65+'Assumptions and Catalog'!$F$65,"Out of range")))))))))*(1+'Assumptions and Catalog'!$C$8)^(A750-1),0)</f>
        <v>8279</v>
      </c>
      <c r="N750" s="5">
        <f>IF(ISNUMBER(Inputs!$L$5),(IF(Inputs!$L$9="Actual flat rate",L750*Inputs!$L$10,IF(Inputs!$C$9="Residential",IF(L750&lt;='Assumptions and Catalog'!$C$50,L750*'Assumptions and Catalog'!$H$50+'Assumptions and Catalog'!$E$50+'Assumptions and Catalog'!$F$50,IF(L750&lt;='Assumptions and Catalog'!$C$51,L750*'Assumptions and Catalog'!$H$51+'Assumptions and Catalog'!$E$51+'Assumptions and Catalog'!$F$51,IF(L750&lt;='Assumptions and Catalog'!$C$52,L750*'Assumptions and Catalog'!$H$52+'Assumptions and Catalog'!$E$52+'Assumptions and Catalog'!$F$52,IF(L750&lt;='Assumptions and Catalog'!$C$53,L750*'Assumptions and Catalog'!$H$53+'Assumptions and Catalog'!$E$53+'Assumptions and Catalog'!$F$53,IF(L750&lt;='Assumptions and Catalog'!$C$54,L750*'Assumptions and Catalog'!$H$54+'Assumptions and Catalog'!$E$54+'Assumptions and Catalog'!$F$54,IF(L750&lt;='Assumptions and Catalog'!$C$55,L750*'Assumptions and Catalog'!$H$55+'Assumptions and Catalog'!$E$55+'Assumptions and Catalog'!$F$55,IF(L750&lt;='Assumptions and Catalog'!$C$56,L750*'Assumptions and Catalog'!$H$56+'Assumptions and Catalog'!$E$56+'Assumptions and Catalog'!$F$56,IF(L750&lt;='Assumptions and Catalog'!$C$57,L750*'Assumptions and Catalog'!$H$57+'Assumptions and Catalog'!$E$57+'Assumptions and Catalog'!$F$57,"Out of range")))))))),IF(L750&lt;='Assumptions and Catalog'!$C$60,L750*'Assumptions and Catalog'!$H$60+'Assumptions and Catalog'!$E$60+'Assumptions and Catalog'!$F$60,IF(L750&lt;='Assumptions and Catalog'!$C$61,L750*'Assumptions and Catalog'!$H$61+'Assumptions and Catalog'!$E$61+'Assumptions and Catalog'!$F$61,IF(L750&lt;='Assumptions and Catalog'!$C$62,L750*'Assumptions and Catalog'!$H$62+'Assumptions and Catalog'!$E$62+'Assumptions and Catalog'!$F$62,IF(L750&lt;='Assumptions and Catalog'!$C$63,L750*'Assumptions and Catalog'!$H$63+'Assumptions and Catalog'!$E$63+'Assumptions and Catalog'!$F$63,IF(L750&lt;='Assumptions and Catalog'!$C$64,L750*'Assumptions and Catalog'!$H$64+'Assumptions and Catalog'!$E$64+'Assumptions and Catalog'!$F$64,IF(L750&lt;='Assumptions and Catalog'!$C$65,L750*'Assumptions and Catalog'!$H$65+'Assumptions and Catalog'!$E$65+'Assumptions and Catalog'!$F$65,"Out of range")))))))))*(1+'Assumptions and Catalog'!$C$8)^(A750-1),0)</f>
        <v>5565.9490772876152</v>
      </c>
      <c r="O750" s="5">
        <f t="shared" si="55"/>
        <v>2713.0509227123848</v>
      </c>
      <c r="P750" s="5">
        <f>E$55*(1-L$14)*(1-'Assumptions and Catalog'!$C$23)^R750</f>
        <v>88.896054604464112</v>
      </c>
      <c r="Q750" s="5">
        <f>IF(ISNUMBER(Inputs!$L$5),(IF(Inputs!$L$9="Actual flat rate",((D750+E750)*C750-G750)*Inputs!$L$10,IF(Inputs!$C$9="Residential",IF(((D750+E750)*C750-G750)&lt;='Assumptions and Catalog'!$C$50,((D750+E750)*C750-G750)*'Assumptions and Catalog'!$H$50+'Assumptions and Catalog'!$E$50+'Assumptions and Catalog'!$F$50,IF(((D750+E750)*C750-G750)&lt;='Assumptions and Catalog'!$C$51,((D750+E750)*C750-G750)*'Assumptions and Catalog'!$H$51+'Assumptions and Catalog'!$E$51+'Assumptions and Catalog'!$F$51,IF(((D750+E750)*C750-G750)&lt;='Assumptions and Catalog'!$C$52,((D750+E750)*C750-G750)*'Assumptions and Catalog'!$H$52+'Assumptions and Catalog'!$E$52+'Assumptions and Catalog'!$F$52,IF(((D750+E750)*C750-G750)&lt;='Assumptions and Catalog'!$C$53,((D750+E750)*C750-G750)*'Assumptions and Catalog'!$H$53+'Assumptions and Catalog'!$E$53+'Assumptions and Catalog'!$F$53,IF(((D750+E750)*C750-G750)&lt;='Assumptions and Catalog'!$C$54,((D750+E750)*C750-G750)*'Assumptions and Catalog'!$H$54+'Assumptions and Catalog'!$E$54+'Assumptions and Catalog'!$F$54,IF(((D750+E750)*C750-G750)&lt;='Assumptions and Catalog'!$C$55,((D750+E750)*C750-G750)*'Assumptions and Catalog'!$H$55+'Assumptions and Catalog'!$E$55+'Assumptions and Catalog'!$F$55,IF(((D750+E750)*C750-G750)&lt;='Assumptions and Catalog'!$C$56,((D750+E750)*C750-G750)*'Assumptions and Catalog'!$H$56+'Assumptions and Catalog'!$E$56+'Assumptions and Catalog'!$F$56,IF(((D750+E750)*C750-G750)&lt;='Assumptions and Catalog'!$C$57,((D750+E750)*C750-G750)*'Assumptions and Catalog'!$H$57+'Assumptions and Catalog'!$E$57+'Assumptions and Catalog'!$F$57,"Out of range")))))))),IF(((D750+E750)*C750-G750)&lt;='Assumptions and Catalog'!$C$60,((D750+E750)*C750-G750)*'Assumptions and Catalog'!$H$60+'Assumptions and Catalog'!$E$60+'Assumptions and Catalog'!$F$60,IF(((D750+E750)*C750-G750)&lt;='Assumptions and Catalog'!$C$61,((D750+E750)*C750-G750)*'Assumptions and Catalog'!$H$61+'Assumptions and Catalog'!$E$61+'Assumptions and Catalog'!$F$61,IF(((D750+E750)*C750-G750)&lt;='Assumptions and Catalog'!$C$62,((D750+E750)*C750-G750)*'Assumptions and Catalog'!$H$62+'Assumptions and Catalog'!$E$62+'Assumptions and Catalog'!$F$62,IF(((D750+E750)*C750-G750)&lt;='Assumptions and Catalog'!$C$63,((D750+E750)*C750-G750)*'Assumptions and Catalog'!$H$63+'Assumptions and Catalog'!$E$63+'Assumptions and Catalog'!$F$63,IF(((D750+E750)*C750-G750)&lt;='Assumptions and Catalog'!$C$64,((D750+E750)*C750-G750)*'Assumptions and Catalog'!$H$64+'Assumptions and Catalog'!$E$64+'Assumptions and Catalog'!$F$64,IF(((D750+E750)*C750-G750)&lt;='Assumptions and Catalog'!$C$65,((D750+E750)*C750-G750)*'Assumptions and Catalog'!$H$65+'Assumptions and Catalog'!$E$65+'Assumptions and Catalog'!$F$65,"Out of range")))))))))*(1+'Assumptions and Catalog'!$C$8)^(A750-1),0)</f>
        <v>5565.9490772876152</v>
      </c>
      <c r="R750" s="5">
        <f>IF(AND('Assumptions and Catalog'!$C$19&gt;0,A750&gt;='Assumptions and Catalog'!$C$19),A750-'Assumptions and Catalog'!$C$19,A750-1)</f>
        <v>7</v>
      </c>
      <c r="S750" s="5">
        <f>F750+L750-(D750+E750)*C750-J750-K750-IF(E$52&gt;0,'Assumptions and Catalog'!$C$26*C750,0)</f>
        <v>0</v>
      </c>
      <c r="T750" s="5"/>
      <c r="U750" s="5"/>
    </row>
    <row r="751" spans="1:21" ht="23.1" customHeight="1" outlineLevel="1" x14ac:dyDescent="0.2">
      <c r="A751" s="5">
        <v>8</v>
      </c>
      <c r="B751" s="5">
        <v>7</v>
      </c>
      <c r="C751" s="5">
        <f>DAY(DATE('Assumptions and Catalog'!$C$24+A751-1,B751+1,0))</f>
        <v>31</v>
      </c>
      <c r="D751" s="5">
        <f>IF(ISNUMBER(Inputs!$L$5),Inputs!$L$5*Inputs!$L$6,0)</f>
        <v>40.35</v>
      </c>
      <c r="E751" s="5">
        <f>IF(ISNUMBER(Inputs!$L$5),Inputs!$L$5-D751,0)</f>
        <v>40.35</v>
      </c>
      <c r="F751" s="5">
        <f>E$51*'Assumptions and Catalog'!$C$31*C751*(1-'Assumptions and Catalog'!$C$10)^(A751-1)</f>
        <v>819.81392599946514</v>
      </c>
      <c r="G751" s="5">
        <f t="shared" si="52"/>
        <v>819.81392599946514</v>
      </c>
      <c r="H751" s="5">
        <f>I751/('Assumptions and Catalog'!$C$11*'Assumptions and Catalog'!$C$12)</f>
        <v>0</v>
      </c>
      <c r="I751" s="5">
        <f>MIN(E751*C751,P751*'Assumptions and Catalog'!$C$12*C751,(F751-G751)*'Assumptions and Catalog'!$C$11*'Assumptions and Catalog'!$C$12,E$56*'Assumptions and Catalog'!$C$14*'Assumptions and Catalog'!$C$11*'Assumptions and Catalog'!$C$12*C751,E$57*(24-'Assumptions and Catalog'!$C$13)*C751)</f>
        <v>0</v>
      </c>
      <c r="J751" s="5">
        <f t="shared" si="53"/>
        <v>0</v>
      </c>
      <c r="K751" s="5">
        <f t="shared" si="54"/>
        <v>0</v>
      </c>
      <c r="L751" s="5">
        <f>(D751+E751)*C751-G751-I751+0+IF(E$52&gt;0,'Assumptions and Catalog'!$C$26*C751,0)</f>
        <v>1681.8860740005352</v>
      </c>
      <c r="M751" s="5">
        <f>IF(ISNUMBER(Inputs!$L$5),(IF(Inputs!$L$9="Actual flat rate",((D751+E751)*C751)*Inputs!$L$10,IF(Inputs!$C$9="Residential",IF(((D751+E751)*C751)&lt;='Assumptions and Catalog'!$C$50,((D751+E751)*C751)*'Assumptions and Catalog'!$H$50+'Assumptions and Catalog'!$E$50+'Assumptions and Catalog'!$F$50,IF(((D751+E751)*C751)&lt;='Assumptions and Catalog'!$C$51,((D751+E751)*C751)*'Assumptions and Catalog'!$H$51+'Assumptions and Catalog'!$E$51+'Assumptions and Catalog'!$F$51,IF(((D751+E751)*C751)&lt;='Assumptions and Catalog'!$C$52,((D751+E751)*C751)*'Assumptions and Catalog'!$H$52+'Assumptions and Catalog'!$E$52+'Assumptions and Catalog'!$F$52,IF(((D751+E751)*C751)&lt;='Assumptions and Catalog'!$C$53,((D751+E751)*C751)*'Assumptions and Catalog'!$H$53+'Assumptions and Catalog'!$E$53+'Assumptions and Catalog'!$F$53,IF(((D751+E751)*C751)&lt;='Assumptions and Catalog'!$C$54,((D751+E751)*C751)*'Assumptions and Catalog'!$H$54+'Assumptions and Catalog'!$E$54+'Assumptions and Catalog'!$F$54,IF(((D751+E751)*C751)&lt;='Assumptions and Catalog'!$C$55,((D751+E751)*C751)*'Assumptions and Catalog'!$H$55+'Assumptions and Catalog'!$E$55+'Assumptions and Catalog'!$F$55,IF(((D751+E751)*C751)&lt;='Assumptions and Catalog'!$C$56,((D751+E751)*C751)*'Assumptions and Catalog'!$H$56+'Assumptions and Catalog'!$E$56+'Assumptions and Catalog'!$F$56,IF(((D751+E751)*C751)&lt;='Assumptions and Catalog'!$C$57,((D751+E751)*C751)*'Assumptions and Catalog'!$H$57+'Assumptions and Catalog'!$E$57+'Assumptions and Catalog'!$F$57,"Out of range")))))))),IF(((D751+E751)*C751)&lt;='Assumptions and Catalog'!$C$60,((D751+E751)*C751)*'Assumptions and Catalog'!$H$60+'Assumptions and Catalog'!$E$60+'Assumptions and Catalog'!$F$60,IF(((D751+E751)*C751)&lt;='Assumptions and Catalog'!$C$61,((D751+E751)*C751)*'Assumptions and Catalog'!$H$61+'Assumptions and Catalog'!$E$61+'Assumptions and Catalog'!$F$61,IF(((D751+E751)*C751)&lt;='Assumptions and Catalog'!$C$62,((D751+E751)*C751)*'Assumptions and Catalog'!$H$62+'Assumptions and Catalog'!$E$62+'Assumptions and Catalog'!$F$62,IF(((D751+E751)*C751)&lt;='Assumptions and Catalog'!$C$63,((D751+E751)*C751)*'Assumptions and Catalog'!$H$63+'Assumptions and Catalog'!$E$63+'Assumptions and Catalog'!$F$63,IF(((D751+E751)*C751)&lt;='Assumptions and Catalog'!$C$64,((D751+E751)*C751)*'Assumptions and Catalog'!$H$64+'Assumptions and Catalog'!$E$64+'Assumptions and Catalog'!$F$64,IF(((D751+E751)*C751)&lt;='Assumptions and Catalog'!$C$65,((D751+E751)*C751)*'Assumptions and Catalog'!$H$65+'Assumptions and Catalog'!$E$65+'Assumptions and Catalog'!$F$65,"Out of range")))))))))*(1+'Assumptions and Catalog'!$C$8)^(A751-1),0)</f>
        <v>8554.9666666666672</v>
      </c>
      <c r="N751" s="5">
        <f>IF(ISNUMBER(Inputs!$L$5),(IF(Inputs!$L$9="Actual flat rate",L751*Inputs!$L$10,IF(Inputs!$C$9="Residential",IF(L751&lt;='Assumptions and Catalog'!$C$50,L751*'Assumptions and Catalog'!$H$50+'Assumptions and Catalog'!$E$50+'Assumptions and Catalog'!$F$50,IF(L751&lt;='Assumptions and Catalog'!$C$51,L751*'Assumptions and Catalog'!$H$51+'Assumptions and Catalog'!$E$51+'Assumptions and Catalog'!$F$51,IF(L751&lt;='Assumptions and Catalog'!$C$52,L751*'Assumptions and Catalog'!$H$52+'Assumptions and Catalog'!$E$52+'Assumptions and Catalog'!$F$52,IF(L751&lt;='Assumptions and Catalog'!$C$53,L751*'Assumptions and Catalog'!$H$53+'Assumptions and Catalog'!$E$53+'Assumptions and Catalog'!$F$53,IF(L751&lt;='Assumptions and Catalog'!$C$54,L751*'Assumptions and Catalog'!$H$54+'Assumptions and Catalog'!$E$54+'Assumptions and Catalog'!$F$54,IF(L751&lt;='Assumptions and Catalog'!$C$55,L751*'Assumptions and Catalog'!$H$55+'Assumptions and Catalog'!$E$55+'Assumptions and Catalog'!$F$55,IF(L751&lt;='Assumptions and Catalog'!$C$56,L751*'Assumptions and Catalog'!$H$56+'Assumptions and Catalog'!$E$56+'Assumptions and Catalog'!$F$56,IF(L751&lt;='Assumptions and Catalog'!$C$57,L751*'Assumptions and Catalog'!$H$57+'Assumptions and Catalog'!$E$57+'Assumptions and Catalog'!$F$57,"Out of range")))))))),IF(L751&lt;='Assumptions and Catalog'!$C$60,L751*'Assumptions and Catalog'!$H$60+'Assumptions and Catalog'!$E$60+'Assumptions and Catalog'!$F$60,IF(L751&lt;='Assumptions and Catalog'!$C$61,L751*'Assumptions and Catalog'!$H$61+'Assumptions and Catalog'!$E$61+'Assumptions and Catalog'!$F$61,IF(L751&lt;='Assumptions and Catalog'!$C$62,L751*'Assumptions and Catalog'!$H$62+'Assumptions and Catalog'!$E$62+'Assumptions and Catalog'!$F$62,IF(L751&lt;='Assumptions and Catalog'!$C$63,L751*'Assumptions and Catalog'!$H$63+'Assumptions and Catalog'!$E$63+'Assumptions and Catalog'!$F$63,IF(L751&lt;='Assumptions and Catalog'!$C$64,L751*'Assumptions and Catalog'!$H$64+'Assumptions and Catalog'!$E$64+'Assumptions and Catalog'!$F$64,IF(L751&lt;='Assumptions and Catalog'!$C$65,L751*'Assumptions and Catalog'!$H$65+'Assumptions and Catalog'!$E$65+'Assumptions and Catalog'!$F$65,"Out of range")))))))))*(1+'Assumptions and Catalog'!$C$8)^(A751-1),0)</f>
        <v>5751.4807131972038</v>
      </c>
      <c r="O751" s="5">
        <f t="shared" si="55"/>
        <v>2803.4859534694633</v>
      </c>
      <c r="P751" s="5">
        <f>E$55*(1-L$14)*(1-'Assumptions and Catalog'!$C$23)^R751</f>
        <v>88.896054604464112</v>
      </c>
      <c r="Q751" s="5">
        <f>IF(ISNUMBER(Inputs!$L$5),(IF(Inputs!$L$9="Actual flat rate",((D751+E751)*C751-G751)*Inputs!$L$10,IF(Inputs!$C$9="Residential",IF(((D751+E751)*C751-G751)&lt;='Assumptions and Catalog'!$C$50,((D751+E751)*C751-G751)*'Assumptions and Catalog'!$H$50+'Assumptions and Catalog'!$E$50+'Assumptions and Catalog'!$F$50,IF(((D751+E751)*C751-G751)&lt;='Assumptions and Catalog'!$C$51,((D751+E751)*C751-G751)*'Assumptions and Catalog'!$H$51+'Assumptions and Catalog'!$E$51+'Assumptions and Catalog'!$F$51,IF(((D751+E751)*C751-G751)&lt;='Assumptions and Catalog'!$C$52,((D751+E751)*C751-G751)*'Assumptions and Catalog'!$H$52+'Assumptions and Catalog'!$E$52+'Assumptions and Catalog'!$F$52,IF(((D751+E751)*C751-G751)&lt;='Assumptions and Catalog'!$C$53,((D751+E751)*C751-G751)*'Assumptions and Catalog'!$H$53+'Assumptions and Catalog'!$E$53+'Assumptions and Catalog'!$F$53,IF(((D751+E751)*C751-G751)&lt;='Assumptions and Catalog'!$C$54,((D751+E751)*C751-G751)*'Assumptions and Catalog'!$H$54+'Assumptions and Catalog'!$E$54+'Assumptions and Catalog'!$F$54,IF(((D751+E751)*C751-G751)&lt;='Assumptions and Catalog'!$C$55,((D751+E751)*C751-G751)*'Assumptions and Catalog'!$H$55+'Assumptions and Catalog'!$E$55+'Assumptions and Catalog'!$F$55,IF(((D751+E751)*C751-G751)&lt;='Assumptions and Catalog'!$C$56,((D751+E751)*C751-G751)*'Assumptions and Catalog'!$H$56+'Assumptions and Catalog'!$E$56+'Assumptions and Catalog'!$F$56,IF(((D751+E751)*C751-G751)&lt;='Assumptions and Catalog'!$C$57,((D751+E751)*C751-G751)*'Assumptions and Catalog'!$H$57+'Assumptions and Catalog'!$E$57+'Assumptions and Catalog'!$F$57,"Out of range")))))))),IF(((D751+E751)*C751-G751)&lt;='Assumptions and Catalog'!$C$60,((D751+E751)*C751-G751)*'Assumptions and Catalog'!$H$60+'Assumptions and Catalog'!$E$60+'Assumptions and Catalog'!$F$60,IF(((D751+E751)*C751-G751)&lt;='Assumptions and Catalog'!$C$61,((D751+E751)*C751-G751)*'Assumptions and Catalog'!$H$61+'Assumptions and Catalog'!$E$61+'Assumptions and Catalog'!$F$61,IF(((D751+E751)*C751-G751)&lt;='Assumptions and Catalog'!$C$62,((D751+E751)*C751-G751)*'Assumptions and Catalog'!$H$62+'Assumptions and Catalog'!$E$62+'Assumptions and Catalog'!$F$62,IF(((D751+E751)*C751-G751)&lt;='Assumptions and Catalog'!$C$63,((D751+E751)*C751-G751)*'Assumptions and Catalog'!$H$63+'Assumptions and Catalog'!$E$63+'Assumptions and Catalog'!$F$63,IF(((D751+E751)*C751-G751)&lt;='Assumptions and Catalog'!$C$64,((D751+E751)*C751-G751)*'Assumptions and Catalog'!$H$64+'Assumptions and Catalog'!$E$64+'Assumptions and Catalog'!$F$64,IF(((D751+E751)*C751-G751)&lt;='Assumptions and Catalog'!$C$65,((D751+E751)*C751-G751)*'Assumptions and Catalog'!$H$65+'Assumptions and Catalog'!$E$65+'Assumptions and Catalog'!$F$65,"Out of range")))))))))*(1+'Assumptions and Catalog'!$C$8)^(A751-1),0)</f>
        <v>5751.4807131972038</v>
      </c>
      <c r="R751" s="5">
        <f>IF(AND('Assumptions and Catalog'!$C$19&gt;0,A751&gt;='Assumptions and Catalog'!$C$19),A751-'Assumptions and Catalog'!$C$19,A751-1)</f>
        <v>7</v>
      </c>
      <c r="S751" s="5">
        <f>F751+L751-(D751+E751)*C751-J751-K751-IF(E$52&gt;0,'Assumptions and Catalog'!$C$26*C751,0)</f>
        <v>0</v>
      </c>
      <c r="T751" s="5"/>
      <c r="U751" s="5"/>
    </row>
    <row r="752" spans="1:21" ht="23.1" customHeight="1" outlineLevel="1" x14ac:dyDescent="0.2">
      <c r="A752" s="5">
        <v>8</v>
      </c>
      <c r="B752" s="5">
        <v>8</v>
      </c>
      <c r="C752" s="5">
        <f>DAY(DATE('Assumptions and Catalog'!$C$24+A752-1,B752+1,0))</f>
        <v>31</v>
      </c>
      <c r="D752" s="5">
        <f>IF(ISNUMBER(Inputs!$L$5),Inputs!$L$5*Inputs!$L$6,0)</f>
        <v>40.35</v>
      </c>
      <c r="E752" s="5">
        <f>IF(ISNUMBER(Inputs!$L$5),Inputs!$L$5-D752,0)</f>
        <v>40.35</v>
      </c>
      <c r="F752" s="5">
        <f>E$51*'Assumptions and Catalog'!$C$31*C752*(1-'Assumptions and Catalog'!$C$10)^(A752-1)</f>
        <v>819.81392599946514</v>
      </c>
      <c r="G752" s="5">
        <f t="shared" si="52"/>
        <v>819.81392599946514</v>
      </c>
      <c r="H752" s="5">
        <f>I752/('Assumptions and Catalog'!$C$11*'Assumptions and Catalog'!$C$12)</f>
        <v>0</v>
      </c>
      <c r="I752" s="5">
        <f>MIN(E752*C752,P752*'Assumptions and Catalog'!$C$12*C752,(F752-G752)*'Assumptions and Catalog'!$C$11*'Assumptions and Catalog'!$C$12,E$56*'Assumptions and Catalog'!$C$14*'Assumptions and Catalog'!$C$11*'Assumptions and Catalog'!$C$12*C752,E$57*(24-'Assumptions and Catalog'!$C$13)*C752)</f>
        <v>0</v>
      </c>
      <c r="J752" s="5">
        <f t="shared" si="53"/>
        <v>0</v>
      </c>
      <c r="K752" s="5">
        <f t="shared" si="54"/>
        <v>0</v>
      </c>
      <c r="L752" s="5">
        <f>(D752+E752)*C752-G752-I752+0+IF(E$52&gt;0,'Assumptions and Catalog'!$C$26*C752,0)</f>
        <v>1681.8860740005352</v>
      </c>
      <c r="M752" s="5">
        <f>IF(ISNUMBER(Inputs!$L$5),(IF(Inputs!$L$9="Actual flat rate",((D752+E752)*C752)*Inputs!$L$10,IF(Inputs!$C$9="Residential",IF(((D752+E752)*C752)&lt;='Assumptions and Catalog'!$C$50,((D752+E752)*C752)*'Assumptions and Catalog'!$H$50+'Assumptions and Catalog'!$E$50+'Assumptions and Catalog'!$F$50,IF(((D752+E752)*C752)&lt;='Assumptions and Catalog'!$C$51,((D752+E752)*C752)*'Assumptions and Catalog'!$H$51+'Assumptions and Catalog'!$E$51+'Assumptions and Catalog'!$F$51,IF(((D752+E752)*C752)&lt;='Assumptions and Catalog'!$C$52,((D752+E752)*C752)*'Assumptions and Catalog'!$H$52+'Assumptions and Catalog'!$E$52+'Assumptions and Catalog'!$F$52,IF(((D752+E752)*C752)&lt;='Assumptions and Catalog'!$C$53,((D752+E752)*C752)*'Assumptions and Catalog'!$H$53+'Assumptions and Catalog'!$E$53+'Assumptions and Catalog'!$F$53,IF(((D752+E752)*C752)&lt;='Assumptions and Catalog'!$C$54,((D752+E752)*C752)*'Assumptions and Catalog'!$H$54+'Assumptions and Catalog'!$E$54+'Assumptions and Catalog'!$F$54,IF(((D752+E752)*C752)&lt;='Assumptions and Catalog'!$C$55,((D752+E752)*C752)*'Assumptions and Catalog'!$H$55+'Assumptions and Catalog'!$E$55+'Assumptions and Catalog'!$F$55,IF(((D752+E752)*C752)&lt;='Assumptions and Catalog'!$C$56,((D752+E752)*C752)*'Assumptions and Catalog'!$H$56+'Assumptions and Catalog'!$E$56+'Assumptions and Catalog'!$F$56,IF(((D752+E752)*C752)&lt;='Assumptions and Catalog'!$C$57,((D752+E752)*C752)*'Assumptions and Catalog'!$H$57+'Assumptions and Catalog'!$E$57+'Assumptions and Catalog'!$F$57,"Out of range")))))))),IF(((D752+E752)*C752)&lt;='Assumptions and Catalog'!$C$60,((D752+E752)*C752)*'Assumptions and Catalog'!$H$60+'Assumptions and Catalog'!$E$60+'Assumptions and Catalog'!$F$60,IF(((D752+E752)*C752)&lt;='Assumptions and Catalog'!$C$61,((D752+E752)*C752)*'Assumptions and Catalog'!$H$61+'Assumptions and Catalog'!$E$61+'Assumptions and Catalog'!$F$61,IF(((D752+E752)*C752)&lt;='Assumptions and Catalog'!$C$62,((D752+E752)*C752)*'Assumptions and Catalog'!$H$62+'Assumptions and Catalog'!$E$62+'Assumptions and Catalog'!$F$62,IF(((D752+E752)*C752)&lt;='Assumptions and Catalog'!$C$63,((D752+E752)*C752)*'Assumptions and Catalog'!$H$63+'Assumptions and Catalog'!$E$63+'Assumptions and Catalog'!$F$63,IF(((D752+E752)*C752)&lt;='Assumptions and Catalog'!$C$64,((D752+E752)*C752)*'Assumptions and Catalog'!$H$64+'Assumptions and Catalog'!$E$64+'Assumptions and Catalog'!$F$64,IF(((D752+E752)*C752)&lt;='Assumptions and Catalog'!$C$65,((D752+E752)*C752)*'Assumptions and Catalog'!$H$65+'Assumptions and Catalog'!$E$65+'Assumptions and Catalog'!$F$65,"Out of range")))))))))*(1+'Assumptions and Catalog'!$C$8)^(A752-1),0)</f>
        <v>8554.9666666666672</v>
      </c>
      <c r="N752" s="5">
        <f>IF(ISNUMBER(Inputs!$L$5),(IF(Inputs!$L$9="Actual flat rate",L752*Inputs!$L$10,IF(Inputs!$C$9="Residential",IF(L752&lt;='Assumptions and Catalog'!$C$50,L752*'Assumptions and Catalog'!$H$50+'Assumptions and Catalog'!$E$50+'Assumptions and Catalog'!$F$50,IF(L752&lt;='Assumptions and Catalog'!$C$51,L752*'Assumptions and Catalog'!$H$51+'Assumptions and Catalog'!$E$51+'Assumptions and Catalog'!$F$51,IF(L752&lt;='Assumptions and Catalog'!$C$52,L752*'Assumptions and Catalog'!$H$52+'Assumptions and Catalog'!$E$52+'Assumptions and Catalog'!$F$52,IF(L752&lt;='Assumptions and Catalog'!$C$53,L752*'Assumptions and Catalog'!$H$53+'Assumptions and Catalog'!$E$53+'Assumptions and Catalog'!$F$53,IF(L752&lt;='Assumptions and Catalog'!$C$54,L752*'Assumptions and Catalog'!$H$54+'Assumptions and Catalog'!$E$54+'Assumptions and Catalog'!$F$54,IF(L752&lt;='Assumptions and Catalog'!$C$55,L752*'Assumptions and Catalog'!$H$55+'Assumptions and Catalog'!$E$55+'Assumptions and Catalog'!$F$55,IF(L752&lt;='Assumptions and Catalog'!$C$56,L752*'Assumptions and Catalog'!$H$56+'Assumptions and Catalog'!$E$56+'Assumptions and Catalog'!$F$56,IF(L752&lt;='Assumptions and Catalog'!$C$57,L752*'Assumptions and Catalog'!$H$57+'Assumptions and Catalog'!$E$57+'Assumptions and Catalog'!$F$57,"Out of range")))))))),IF(L752&lt;='Assumptions and Catalog'!$C$60,L752*'Assumptions and Catalog'!$H$60+'Assumptions and Catalog'!$E$60+'Assumptions and Catalog'!$F$60,IF(L752&lt;='Assumptions and Catalog'!$C$61,L752*'Assumptions and Catalog'!$H$61+'Assumptions and Catalog'!$E$61+'Assumptions and Catalog'!$F$61,IF(L752&lt;='Assumptions and Catalog'!$C$62,L752*'Assumptions and Catalog'!$H$62+'Assumptions and Catalog'!$E$62+'Assumptions and Catalog'!$F$62,IF(L752&lt;='Assumptions and Catalog'!$C$63,L752*'Assumptions and Catalog'!$H$63+'Assumptions and Catalog'!$E$63+'Assumptions and Catalog'!$F$63,IF(L752&lt;='Assumptions and Catalog'!$C$64,L752*'Assumptions and Catalog'!$H$64+'Assumptions and Catalog'!$E$64+'Assumptions and Catalog'!$F$64,IF(L752&lt;='Assumptions and Catalog'!$C$65,L752*'Assumptions and Catalog'!$H$65+'Assumptions and Catalog'!$E$65+'Assumptions and Catalog'!$F$65,"Out of range")))))))))*(1+'Assumptions and Catalog'!$C$8)^(A752-1),0)</f>
        <v>5751.4807131972038</v>
      </c>
      <c r="O752" s="5">
        <f t="shared" si="55"/>
        <v>2803.4859534694633</v>
      </c>
      <c r="P752" s="5">
        <f>E$55*(1-L$14)*(1-'Assumptions and Catalog'!$C$23)^R752</f>
        <v>88.896054604464112</v>
      </c>
      <c r="Q752" s="5">
        <f>IF(ISNUMBER(Inputs!$L$5),(IF(Inputs!$L$9="Actual flat rate",((D752+E752)*C752-G752)*Inputs!$L$10,IF(Inputs!$C$9="Residential",IF(((D752+E752)*C752-G752)&lt;='Assumptions and Catalog'!$C$50,((D752+E752)*C752-G752)*'Assumptions and Catalog'!$H$50+'Assumptions and Catalog'!$E$50+'Assumptions and Catalog'!$F$50,IF(((D752+E752)*C752-G752)&lt;='Assumptions and Catalog'!$C$51,((D752+E752)*C752-G752)*'Assumptions and Catalog'!$H$51+'Assumptions and Catalog'!$E$51+'Assumptions and Catalog'!$F$51,IF(((D752+E752)*C752-G752)&lt;='Assumptions and Catalog'!$C$52,((D752+E752)*C752-G752)*'Assumptions and Catalog'!$H$52+'Assumptions and Catalog'!$E$52+'Assumptions and Catalog'!$F$52,IF(((D752+E752)*C752-G752)&lt;='Assumptions and Catalog'!$C$53,((D752+E752)*C752-G752)*'Assumptions and Catalog'!$H$53+'Assumptions and Catalog'!$E$53+'Assumptions and Catalog'!$F$53,IF(((D752+E752)*C752-G752)&lt;='Assumptions and Catalog'!$C$54,((D752+E752)*C752-G752)*'Assumptions and Catalog'!$H$54+'Assumptions and Catalog'!$E$54+'Assumptions and Catalog'!$F$54,IF(((D752+E752)*C752-G752)&lt;='Assumptions and Catalog'!$C$55,((D752+E752)*C752-G752)*'Assumptions and Catalog'!$H$55+'Assumptions and Catalog'!$E$55+'Assumptions and Catalog'!$F$55,IF(((D752+E752)*C752-G752)&lt;='Assumptions and Catalog'!$C$56,((D752+E752)*C752-G752)*'Assumptions and Catalog'!$H$56+'Assumptions and Catalog'!$E$56+'Assumptions and Catalog'!$F$56,IF(((D752+E752)*C752-G752)&lt;='Assumptions and Catalog'!$C$57,((D752+E752)*C752-G752)*'Assumptions and Catalog'!$H$57+'Assumptions and Catalog'!$E$57+'Assumptions and Catalog'!$F$57,"Out of range")))))))),IF(((D752+E752)*C752-G752)&lt;='Assumptions and Catalog'!$C$60,((D752+E752)*C752-G752)*'Assumptions and Catalog'!$H$60+'Assumptions and Catalog'!$E$60+'Assumptions and Catalog'!$F$60,IF(((D752+E752)*C752-G752)&lt;='Assumptions and Catalog'!$C$61,((D752+E752)*C752-G752)*'Assumptions and Catalog'!$H$61+'Assumptions and Catalog'!$E$61+'Assumptions and Catalog'!$F$61,IF(((D752+E752)*C752-G752)&lt;='Assumptions and Catalog'!$C$62,((D752+E752)*C752-G752)*'Assumptions and Catalog'!$H$62+'Assumptions and Catalog'!$E$62+'Assumptions and Catalog'!$F$62,IF(((D752+E752)*C752-G752)&lt;='Assumptions and Catalog'!$C$63,((D752+E752)*C752-G752)*'Assumptions and Catalog'!$H$63+'Assumptions and Catalog'!$E$63+'Assumptions and Catalog'!$F$63,IF(((D752+E752)*C752-G752)&lt;='Assumptions and Catalog'!$C$64,((D752+E752)*C752-G752)*'Assumptions and Catalog'!$H$64+'Assumptions and Catalog'!$E$64+'Assumptions and Catalog'!$F$64,IF(((D752+E752)*C752-G752)&lt;='Assumptions and Catalog'!$C$65,((D752+E752)*C752-G752)*'Assumptions and Catalog'!$H$65+'Assumptions and Catalog'!$E$65+'Assumptions and Catalog'!$F$65,"Out of range")))))))))*(1+'Assumptions and Catalog'!$C$8)^(A752-1),0)</f>
        <v>5751.4807131972038</v>
      </c>
      <c r="R752" s="5">
        <f>IF(AND('Assumptions and Catalog'!$C$19&gt;0,A752&gt;='Assumptions and Catalog'!$C$19),A752-'Assumptions and Catalog'!$C$19,A752-1)</f>
        <v>7</v>
      </c>
      <c r="S752" s="5">
        <f>F752+L752-(D752+E752)*C752-J752-K752-IF(E$52&gt;0,'Assumptions and Catalog'!$C$26*C752,0)</f>
        <v>0</v>
      </c>
      <c r="T752" s="5"/>
      <c r="U752" s="5"/>
    </row>
    <row r="753" spans="1:21" ht="23.1" customHeight="1" outlineLevel="1" x14ac:dyDescent="0.2">
      <c r="A753" s="5">
        <v>8</v>
      </c>
      <c r="B753" s="5">
        <v>9</v>
      </c>
      <c r="C753" s="5">
        <f>DAY(DATE('Assumptions and Catalog'!$C$24+A753-1,B753+1,0))</f>
        <v>30</v>
      </c>
      <c r="D753" s="5">
        <f>IF(ISNUMBER(Inputs!$L$5),Inputs!$L$5*Inputs!$L$6,0)</f>
        <v>40.35</v>
      </c>
      <c r="E753" s="5">
        <f>IF(ISNUMBER(Inputs!$L$5),Inputs!$L$5-D753,0)</f>
        <v>40.35</v>
      </c>
      <c r="F753" s="5">
        <f>E$51*'Assumptions and Catalog'!$C$31*C753*(1-'Assumptions and Catalog'!$C$10)^(A753-1)</f>
        <v>793.36831548335329</v>
      </c>
      <c r="G753" s="5">
        <f t="shared" si="52"/>
        <v>793.36831548335329</v>
      </c>
      <c r="H753" s="5">
        <f>I753/('Assumptions and Catalog'!$C$11*'Assumptions and Catalog'!$C$12)</f>
        <v>0</v>
      </c>
      <c r="I753" s="5">
        <f>MIN(E753*C753,P753*'Assumptions and Catalog'!$C$12*C753,(F753-G753)*'Assumptions and Catalog'!$C$11*'Assumptions and Catalog'!$C$12,E$56*'Assumptions and Catalog'!$C$14*'Assumptions and Catalog'!$C$11*'Assumptions and Catalog'!$C$12*C753,E$57*(24-'Assumptions and Catalog'!$C$13)*C753)</f>
        <v>0</v>
      </c>
      <c r="J753" s="5">
        <f t="shared" si="53"/>
        <v>0</v>
      </c>
      <c r="K753" s="5">
        <f t="shared" si="54"/>
        <v>0</v>
      </c>
      <c r="L753" s="5">
        <f>(D753+E753)*C753-G753-I753+0+IF(E$52&gt;0,'Assumptions and Catalog'!$C$26*C753,0)</f>
        <v>1627.6316845166466</v>
      </c>
      <c r="M753" s="5">
        <f>IF(ISNUMBER(Inputs!$L$5),(IF(Inputs!$L$9="Actual flat rate",((D753+E753)*C753)*Inputs!$L$10,IF(Inputs!$C$9="Residential",IF(((D753+E753)*C753)&lt;='Assumptions and Catalog'!$C$50,((D753+E753)*C753)*'Assumptions and Catalog'!$H$50+'Assumptions and Catalog'!$E$50+'Assumptions and Catalog'!$F$50,IF(((D753+E753)*C753)&lt;='Assumptions and Catalog'!$C$51,((D753+E753)*C753)*'Assumptions and Catalog'!$H$51+'Assumptions and Catalog'!$E$51+'Assumptions and Catalog'!$F$51,IF(((D753+E753)*C753)&lt;='Assumptions and Catalog'!$C$52,((D753+E753)*C753)*'Assumptions and Catalog'!$H$52+'Assumptions and Catalog'!$E$52+'Assumptions and Catalog'!$F$52,IF(((D753+E753)*C753)&lt;='Assumptions and Catalog'!$C$53,((D753+E753)*C753)*'Assumptions and Catalog'!$H$53+'Assumptions and Catalog'!$E$53+'Assumptions and Catalog'!$F$53,IF(((D753+E753)*C753)&lt;='Assumptions and Catalog'!$C$54,((D753+E753)*C753)*'Assumptions and Catalog'!$H$54+'Assumptions and Catalog'!$E$54+'Assumptions and Catalog'!$F$54,IF(((D753+E753)*C753)&lt;='Assumptions and Catalog'!$C$55,((D753+E753)*C753)*'Assumptions and Catalog'!$H$55+'Assumptions and Catalog'!$E$55+'Assumptions and Catalog'!$F$55,IF(((D753+E753)*C753)&lt;='Assumptions and Catalog'!$C$56,((D753+E753)*C753)*'Assumptions and Catalog'!$H$56+'Assumptions and Catalog'!$E$56+'Assumptions and Catalog'!$F$56,IF(((D753+E753)*C753)&lt;='Assumptions and Catalog'!$C$57,((D753+E753)*C753)*'Assumptions and Catalog'!$H$57+'Assumptions and Catalog'!$E$57+'Assumptions and Catalog'!$F$57,"Out of range")))))))),IF(((D753+E753)*C753)&lt;='Assumptions and Catalog'!$C$60,((D753+E753)*C753)*'Assumptions and Catalog'!$H$60+'Assumptions and Catalog'!$E$60+'Assumptions and Catalog'!$F$60,IF(((D753+E753)*C753)&lt;='Assumptions and Catalog'!$C$61,((D753+E753)*C753)*'Assumptions and Catalog'!$H$61+'Assumptions and Catalog'!$E$61+'Assumptions and Catalog'!$F$61,IF(((D753+E753)*C753)&lt;='Assumptions and Catalog'!$C$62,((D753+E753)*C753)*'Assumptions and Catalog'!$H$62+'Assumptions and Catalog'!$E$62+'Assumptions and Catalog'!$F$62,IF(((D753+E753)*C753)&lt;='Assumptions and Catalog'!$C$63,((D753+E753)*C753)*'Assumptions and Catalog'!$H$63+'Assumptions and Catalog'!$E$63+'Assumptions and Catalog'!$F$63,IF(((D753+E753)*C753)&lt;='Assumptions and Catalog'!$C$64,((D753+E753)*C753)*'Assumptions and Catalog'!$H$64+'Assumptions and Catalog'!$E$64+'Assumptions and Catalog'!$F$64,IF(((D753+E753)*C753)&lt;='Assumptions and Catalog'!$C$65,((D753+E753)*C753)*'Assumptions and Catalog'!$H$65+'Assumptions and Catalog'!$E$65+'Assumptions and Catalog'!$F$65,"Out of range")))))))))*(1+'Assumptions and Catalog'!$C$8)^(A753-1),0)</f>
        <v>8279</v>
      </c>
      <c r="N753" s="5">
        <f>IF(ISNUMBER(Inputs!$L$5),(IF(Inputs!$L$9="Actual flat rate",L753*Inputs!$L$10,IF(Inputs!$C$9="Residential",IF(L753&lt;='Assumptions and Catalog'!$C$50,L753*'Assumptions and Catalog'!$H$50+'Assumptions and Catalog'!$E$50+'Assumptions and Catalog'!$F$50,IF(L753&lt;='Assumptions and Catalog'!$C$51,L753*'Assumptions and Catalog'!$H$51+'Assumptions and Catalog'!$E$51+'Assumptions and Catalog'!$F$51,IF(L753&lt;='Assumptions and Catalog'!$C$52,L753*'Assumptions and Catalog'!$H$52+'Assumptions and Catalog'!$E$52+'Assumptions and Catalog'!$F$52,IF(L753&lt;='Assumptions and Catalog'!$C$53,L753*'Assumptions and Catalog'!$H$53+'Assumptions and Catalog'!$E$53+'Assumptions and Catalog'!$F$53,IF(L753&lt;='Assumptions and Catalog'!$C$54,L753*'Assumptions and Catalog'!$H$54+'Assumptions and Catalog'!$E$54+'Assumptions and Catalog'!$F$54,IF(L753&lt;='Assumptions and Catalog'!$C$55,L753*'Assumptions and Catalog'!$H$55+'Assumptions and Catalog'!$E$55+'Assumptions and Catalog'!$F$55,IF(L753&lt;='Assumptions and Catalog'!$C$56,L753*'Assumptions and Catalog'!$H$56+'Assumptions and Catalog'!$E$56+'Assumptions and Catalog'!$F$56,IF(L753&lt;='Assumptions and Catalog'!$C$57,L753*'Assumptions and Catalog'!$H$57+'Assumptions and Catalog'!$E$57+'Assumptions and Catalog'!$F$57,"Out of range")))))))),IF(L753&lt;='Assumptions and Catalog'!$C$60,L753*'Assumptions and Catalog'!$H$60+'Assumptions and Catalog'!$E$60+'Assumptions and Catalog'!$F$60,IF(L753&lt;='Assumptions and Catalog'!$C$61,L753*'Assumptions and Catalog'!$H$61+'Assumptions and Catalog'!$E$61+'Assumptions and Catalog'!$F$61,IF(L753&lt;='Assumptions and Catalog'!$C$62,L753*'Assumptions and Catalog'!$H$62+'Assumptions and Catalog'!$E$62+'Assumptions and Catalog'!$F$62,IF(L753&lt;='Assumptions and Catalog'!$C$63,L753*'Assumptions and Catalog'!$H$63+'Assumptions and Catalog'!$E$63+'Assumptions and Catalog'!$F$63,IF(L753&lt;='Assumptions and Catalog'!$C$64,L753*'Assumptions and Catalog'!$H$64+'Assumptions and Catalog'!$E$64+'Assumptions and Catalog'!$F$64,IF(L753&lt;='Assumptions and Catalog'!$C$65,L753*'Assumptions and Catalog'!$H$65+'Assumptions and Catalog'!$E$65+'Assumptions and Catalog'!$F$65,"Out of range")))))))))*(1+'Assumptions and Catalog'!$C$8)^(A753-1),0)</f>
        <v>5565.9490772876152</v>
      </c>
      <c r="O753" s="5">
        <f t="shared" si="55"/>
        <v>2713.0509227123848</v>
      </c>
      <c r="P753" s="5">
        <f>E$55*(1-L$14)*(1-'Assumptions and Catalog'!$C$23)^R753</f>
        <v>88.896054604464112</v>
      </c>
      <c r="Q753" s="5">
        <f>IF(ISNUMBER(Inputs!$L$5),(IF(Inputs!$L$9="Actual flat rate",((D753+E753)*C753-G753)*Inputs!$L$10,IF(Inputs!$C$9="Residential",IF(((D753+E753)*C753-G753)&lt;='Assumptions and Catalog'!$C$50,((D753+E753)*C753-G753)*'Assumptions and Catalog'!$H$50+'Assumptions and Catalog'!$E$50+'Assumptions and Catalog'!$F$50,IF(((D753+E753)*C753-G753)&lt;='Assumptions and Catalog'!$C$51,((D753+E753)*C753-G753)*'Assumptions and Catalog'!$H$51+'Assumptions and Catalog'!$E$51+'Assumptions and Catalog'!$F$51,IF(((D753+E753)*C753-G753)&lt;='Assumptions and Catalog'!$C$52,((D753+E753)*C753-G753)*'Assumptions and Catalog'!$H$52+'Assumptions and Catalog'!$E$52+'Assumptions and Catalog'!$F$52,IF(((D753+E753)*C753-G753)&lt;='Assumptions and Catalog'!$C$53,((D753+E753)*C753-G753)*'Assumptions and Catalog'!$H$53+'Assumptions and Catalog'!$E$53+'Assumptions and Catalog'!$F$53,IF(((D753+E753)*C753-G753)&lt;='Assumptions and Catalog'!$C$54,((D753+E753)*C753-G753)*'Assumptions and Catalog'!$H$54+'Assumptions and Catalog'!$E$54+'Assumptions and Catalog'!$F$54,IF(((D753+E753)*C753-G753)&lt;='Assumptions and Catalog'!$C$55,((D753+E753)*C753-G753)*'Assumptions and Catalog'!$H$55+'Assumptions and Catalog'!$E$55+'Assumptions and Catalog'!$F$55,IF(((D753+E753)*C753-G753)&lt;='Assumptions and Catalog'!$C$56,((D753+E753)*C753-G753)*'Assumptions and Catalog'!$H$56+'Assumptions and Catalog'!$E$56+'Assumptions and Catalog'!$F$56,IF(((D753+E753)*C753-G753)&lt;='Assumptions and Catalog'!$C$57,((D753+E753)*C753-G753)*'Assumptions and Catalog'!$H$57+'Assumptions and Catalog'!$E$57+'Assumptions and Catalog'!$F$57,"Out of range")))))))),IF(((D753+E753)*C753-G753)&lt;='Assumptions and Catalog'!$C$60,((D753+E753)*C753-G753)*'Assumptions and Catalog'!$H$60+'Assumptions and Catalog'!$E$60+'Assumptions and Catalog'!$F$60,IF(((D753+E753)*C753-G753)&lt;='Assumptions and Catalog'!$C$61,((D753+E753)*C753-G753)*'Assumptions and Catalog'!$H$61+'Assumptions and Catalog'!$E$61+'Assumptions and Catalog'!$F$61,IF(((D753+E753)*C753-G753)&lt;='Assumptions and Catalog'!$C$62,((D753+E753)*C753-G753)*'Assumptions and Catalog'!$H$62+'Assumptions and Catalog'!$E$62+'Assumptions and Catalog'!$F$62,IF(((D753+E753)*C753-G753)&lt;='Assumptions and Catalog'!$C$63,((D753+E753)*C753-G753)*'Assumptions and Catalog'!$H$63+'Assumptions and Catalog'!$E$63+'Assumptions and Catalog'!$F$63,IF(((D753+E753)*C753-G753)&lt;='Assumptions and Catalog'!$C$64,((D753+E753)*C753-G753)*'Assumptions and Catalog'!$H$64+'Assumptions and Catalog'!$E$64+'Assumptions and Catalog'!$F$64,IF(((D753+E753)*C753-G753)&lt;='Assumptions and Catalog'!$C$65,((D753+E753)*C753-G753)*'Assumptions and Catalog'!$H$65+'Assumptions and Catalog'!$E$65+'Assumptions and Catalog'!$F$65,"Out of range")))))))))*(1+'Assumptions and Catalog'!$C$8)^(A753-1),0)</f>
        <v>5565.9490772876152</v>
      </c>
      <c r="R753" s="5">
        <f>IF(AND('Assumptions and Catalog'!$C$19&gt;0,A753&gt;='Assumptions and Catalog'!$C$19),A753-'Assumptions and Catalog'!$C$19,A753-1)</f>
        <v>7</v>
      </c>
      <c r="S753" s="5">
        <f>F753+L753-(D753+E753)*C753-J753-K753-IF(E$52&gt;0,'Assumptions and Catalog'!$C$26*C753,0)</f>
        <v>0</v>
      </c>
      <c r="T753" s="5"/>
      <c r="U753" s="5"/>
    </row>
    <row r="754" spans="1:21" ht="23.1" customHeight="1" outlineLevel="1" x14ac:dyDescent="0.2">
      <c r="A754" s="5">
        <v>8</v>
      </c>
      <c r="B754" s="5">
        <v>10</v>
      </c>
      <c r="C754" s="5">
        <f>DAY(DATE('Assumptions and Catalog'!$C$24+A754-1,B754+1,0))</f>
        <v>31</v>
      </c>
      <c r="D754" s="5">
        <f>IF(ISNUMBER(Inputs!$L$5),Inputs!$L$5*Inputs!$L$6,0)</f>
        <v>40.35</v>
      </c>
      <c r="E754" s="5">
        <f>IF(ISNUMBER(Inputs!$L$5),Inputs!$L$5-D754,0)</f>
        <v>40.35</v>
      </c>
      <c r="F754" s="5">
        <f>E$51*'Assumptions and Catalog'!$C$31*C754*(1-'Assumptions and Catalog'!$C$10)^(A754-1)</f>
        <v>819.81392599946514</v>
      </c>
      <c r="G754" s="5">
        <f t="shared" si="52"/>
        <v>819.81392599946514</v>
      </c>
      <c r="H754" s="5">
        <f>I754/('Assumptions and Catalog'!$C$11*'Assumptions and Catalog'!$C$12)</f>
        <v>0</v>
      </c>
      <c r="I754" s="5">
        <f>MIN(E754*C754,P754*'Assumptions and Catalog'!$C$12*C754,(F754-G754)*'Assumptions and Catalog'!$C$11*'Assumptions and Catalog'!$C$12,E$56*'Assumptions and Catalog'!$C$14*'Assumptions and Catalog'!$C$11*'Assumptions and Catalog'!$C$12*C754,E$57*(24-'Assumptions and Catalog'!$C$13)*C754)</f>
        <v>0</v>
      </c>
      <c r="J754" s="5">
        <f t="shared" si="53"/>
        <v>0</v>
      </c>
      <c r="K754" s="5">
        <f t="shared" si="54"/>
        <v>0</v>
      </c>
      <c r="L754" s="5">
        <f>(D754+E754)*C754-G754-I754+0+IF(E$52&gt;0,'Assumptions and Catalog'!$C$26*C754,0)</f>
        <v>1681.8860740005352</v>
      </c>
      <c r="M754" s="5">
        <f>IF(ISNUMBER(Inputs!$L$5),(IF(Inputs!$L$9="Actual flat rate",((D754+E754)*C754)*Inputs!$L$10,IF(Inputs!$C$9="Residential",IF(((D754+E754)*C754)&lt;='Assumptions and Catalog'!$C$50,((D754+E754)*C754)*'Assumptions and Catalog'!$H$50+'Assumptions and Catalog'!$E$50+'Assumptions and Catalog'!$F$50,IF(((D754+E754)*C754)&lt;='Assumptions and Catalog'!$C$51,((D754+E754)*C754)*'Assumptions and Catalog'!$H$51+'Assumptions and Catalog'!$E$51+'Assumptions and Catalog'!$F$51,IF(((D754+E754)*C754)&lt;='Assumptions and Catalog'!$C$52,((D754+E754)*C754)*'Assumptions and Catalog'!$H$52+'Assumptions and Catalog'!$E$52+'Assumptions and Catalog'!$F$52,IF(((D754+E754)*C754)&lt;='Assumptions and Catalog'!$C$53,((D754+E754)*C754)*'Assumptions and Catalog'!$H$53+'Assumptions and Catalog'!$E$53+'Assumptions and Catalog'!$F$53,IF(((D754+E754)*C754)&lt;='Assumptions and Catalog'!$C$54,((D754+E754)*C754)*'Assumptions and Catalog'!$H$54+'Assumptions and Catalog'!$E$54+'Assumptions and Catalog'!$F$54,IF(((D754+E754)*C754)&lt;='Assumptions and Catalog'!$C$55,((D754+E754)*C754)*'Assumptions and Catalog'!$H$55+'Assumptions and Catalog'!$E$55+'Assumptions and Catalog'!$F$55,IF(((D754+E754)*C754)&lt;='Assumptions and Catalog'!$C$56,((D754+E754)*C754)*'Assumptions and Catalog'!$H$56+'Assumptions and Catalog'!$E$56+'Assumptions and Catalog'!$F$56,IF(((D754+E754)*C754)&lt;='Assumptions and Catalog'!$C$57,((D754+E754)*C754)*'Assumptions and Catalog'!$H$57+'Assumptions and Catalog'!$E$57+'Assumptions and Catalog'!$F$57,"Out of range")))))))),IF(((D754+E754)*C754)&lt;='Assumptions and Catalog'!$C$60,((D754+E754)*C754)*'Assumptions and Catalog'!$H$60+'Assumptions and Catalog'!$E$60+'Assumptions and Catalog'!$F$60,IF(((D754+E754)*C754)&lt;='Assumptions and Catalog'!$C$61,((D754+E754)*C754)*'Assumptions and Catalog'!$H$61+'Assumptions and Catalog'!$E$61+'Assumptions and Catalog'!$F$61,IF(((D754+E754)*C754)&lt;='Assumptions and Catalog'!$C$62,((D754+E754)*C754)*'Assumptions and Catalog'!$H$62+'Assumptions and Catalog'!$E$62+'Assumptions and Catalog'!$F$62,IF(((D754+E754)*C754)&lt;='Assumptions and Catalog'!$C$63,((D754+E754)*C754)*'Assumptions and Catalog'!$H$63+'Assumptions and Catalog'!$E$63+'Assumptions and Catalog'!$F$63,IF(((D754+E754)*C754)&lt;='Assumptions and Catalog'!$C$64,((D754+E754)*C754)*'Assumptions and Catalog'!$H$64+'Assumptions and Catalog'!$E$64+'Assumptions and Catalog'!$F$64,IF(((D754+E754)*C754)&lt;='Assumptions and Catalog'!$C$65,((D754+E754)*C754)*'Assumptions and Catalog'!$H$65+'Assumptions and Catalog'!$E$65+'Assumptions and Catalog'!$F$65,"Out of range")))))))))*(1+'Assumptions and Catalog'!$C$8)^(A754-1),0)</f>
        <v>8554.9666666666672</v>
      </c>
      <c r="N754" s="5">
        <f>IF(ISNUMBER(Inputs!$L$5),(IF(Inputs!$L$9="Actual flat rate",L754*Inputs!$L$10,IF(Inputs!$C$9="Residential",IF(L754&lt;='Assumptions and Catalog'!$C$50,L754*'Assumptions and Catalog'!$H$50+'Assumptions and Catalog'!$E$50+'Assumptions and Catalog'!$F$50,IF(L754&lt;='Assumptions and Catalog'!$C$51,L754*'Assumptions and Catalog'!$H$51+'Assumptions and Catalog'!$E$51+'Assumptions and Catalog'!$F$51,IF(L754&lt;='Assumptions and Catalog'!$C$52,L754*'Assumptions and Catalog'!$H$52+'Assumptions and Catalog'!$E$52+'Assumptions and Catalog'!$F$52,IF(L754&lt;='Assumptions and Catalog'!$C$53,L754*'Assumptions and Catalog'!$H$53+'Assumptions and Catalog'!$E$53+'Assumptions and Catalog'!$F$53,IF(L754&lt;='Assumptions and Catalog'!$C$54,L754*'Assumptions and Catalog'!$H$54+'Assumptions and Catalog'!$E$54+'Assumptions and Catalog'!$F$54,IF(L754&lt;='Assumptions and Catalog'!$C$55,L754*'Assumptions and Catalog'!$H$55+'Assumptions and Catalog'!$E$55+'Assumptions and Catalog'!$F$55,IF(L754&lt;='Assumptions and Catalog'!$C$56,L754*'Assumptions and Catalog'!$H$56+'Assumptions and Catalog'!$E$56+'Assumptions and Catalog'!$F$56,IF(L754&lt;='Assumptions and Catalog'!$C$57,L754*'Assumptions and Catalog'!$H$57+'Assumptions and Catalog'!$E$57+'Assumptions and Catalog'!$F$57,"Out of range")))))))),IF(L754&lt;='Assumptions and Catalog'!$C$60,L754*'Assumptions and Catalog'!$H$60+'Assumptions and Catalog'!$E$60+'Assumptions and Catalog'!$F$60,IF(L754&lt;='Assumptions and Catalog'!$C$61,L754*'Assumptions and Catalog'!$H$61+'Assumptions and Catalog'!$E$61+'Assumptions and Catalog'!$F$61,IF(L754&lt;='Assumptions and Catalog'!$C$62,L754*'Assumptions and Catalog'!$H$62+'Assumptions and Catalog'!$E$62+'Assumptions and Catalog'!$F$62,IF(L754&lt;='Assumptions and Catalog'!$C$63,L754*'Assumptions and Catalog'!$H$63+'Assumptions and Catalog'!$E$63+'Assumptions and Catalog'!$F$63,IF(L754&lt;='Assumptions and Catalog'!$C$64,L754*'Assumptions and Catalog'!$H$64+'Assumptions and Catalog'!$E$64+'Assumptions and Catalog'!$F$64,IF(L754&lt;='Assumptions and Catalog'!$C$65,L754*'Assumptions and Catalog'!$H$65+'Assumptions and Catalog'!$E$65+'Assumptions and Catalog'!$F$65,"Out of range")))))))))*(1+'Assumptions and Catalog'!$C$8)^(A754-1),0)</f>
        <v>5751.4807131972038</v>
      </c>
      <c r="O754" s="5">
        <f t="shared" si="55"/>
        <v>2803.4859534694633</v>
      </c>
      <c r="P754" s="5">
        <f>E$55*(1-L$14)*(1-'Assumptions and Catalog'!$C$23)^R754</f>
        <v>88.896054604464112</v>
      </c>
      <c r="Q754" s="5">
        <f>IF(ISNUMBER(Inputs!$L$5),(IF(Inputs!$L$9="Actual flat rate",((D754+E754)*C754-G754)*Inputs!$L$10,IF(Inputs!$C$9="Residential",IF(((D754+E754)*C754-G754)&lt;='Assumptions and Catalog'!$C$50,((D754+E754)*C754-G754)*'Assumptions and Catalog'!$H$50+'Assumptions and Catalog'!$E$50+'Assumptions and Catalog'!$F$50,IF(((D754+E754)*C754-G754)&lt;='Assumptions and Catalog'!$C$51,((D754+E754)*C754-G754)*'Assumptions and Catalog'!$H$51+'Assumptions and Catalog'!$E$51+'Assumptions and Catalog'!$F$51,IF(((D754+E754)*C754-G754)&lt;='Assumptions and Catalog'!$C$52,((D754+E754)*C754-G754)*'Assumptions and Catalog'!$H$52+'Assumptions and Catalog'!$E$52+'Assumptions and Catalog'!$F$52,IF(((D754+E754)*C754-G754)&lt;='Assumptions and Catalog'!$C$53,((D754+E754)*C754-G754)*'Assumptions and Catalog'!$H$53+'Assumptions and Catalog'!$E$53+'Assumptions and Catalog'!$F$53,IF(((D754+E754)*C754-G754)&lt;='Assumptions and Catalog'!$C$54,((D754+E754)*C754-G754)*'Assumptions and Catalog'!$H$54+'Assumptions and Catalog'!$E$54+'Assumptions and Catalog'!$F$54,IF(((D754+E754)*C754-G754)&lt;='Assumptions and Catalog'!$C$55,((D754+E754)*C754-G754)*'Assumptions and Catalog'!$H$55+'Assumptions and Catalog'!$E$55+'Assumptions and Catalog'!$F$55,IF(((D754+E754)*C754-G754)&lt;='Assumptions and Catalog'!$C$56,((D754+E754)*C754-G754)*'Assumptions and Catalog'!$H$56+'Assumptions and Catalog'!$E$56+'Assumptions and Catalog'!$F$56,IF(((D754+E754)*C754-G754)&lt;='Assumptions and Catalog'!$C$57,((D754+E754)*C754-G754)*'Assumptions and Catalog'!$H$57+'Assumptions and Catalog'!$E$57+'Assumptions and Catalog'!$F$57,"Out of range")))))))),IF(((D754+E754)*C754-G754)&lt;='Assumptions and Catalog'!$C$60,((D754+E754)*C754-G754)*'Assumptions and Catalog'!$H$60+'Assumptions and Catalog'!$E$60+'Assumptions and Catalog'!$F$60,IF(((D754+E754)*C754-G754)&lt;='Assumptions and Catalog'!$C$61,((D754+E754)*C754-G754)*'Assumptions and Catalog'!$H$61+'Assumptions and Catalog'!$E$61+'Assumptions and Catalog'!$F$61,IF(((D754+E754)*C754-G754)&lt;='Assumptions and Catalog'!$C$62,((D754+E754)*C754-G754)*'Assumptions and Catalog'!$H$62+'Assumptions and Catalog'!$E$62+'Assumptions and Catalog'!$F$62,IF(((D754+E754)*C754-G754)&lt;='Assumptions and Catalog'!$C$63,((D754+E754)*C754-G754)*'Assumptions and Catalog'!$H$63+'Assumptions and Catalog'!$E$63+'Assumptions and Catalog'!$F$63,IF(((D754+E754)*C754-G754)&lt;='Assumptions and Catalog'!$C$64,((D754+E754)*C754-G754)*'Assumptions and Catalog'!$H$64+'Assumptions and Catalog'!$E$64+'Assumptions and Catalog'!$F$64,IF(((D754+E754)*C754-G754)&lt;='Assumptions and Catalog'!$C$65,((D754+E754)*C754-G754)*'Assumptions and Catalog'!$H$65+'Assumptions and Catalog'!$E$65+'Assumptions and Catalog'!$F$65,"Out of range")))))))))*(1+'Assumptions and Catalog'!$C$8)^(A754-1),0)</f>
        <v>5751.4807131972038</v>
      </c>
      <c r="R754" s="5">
        <f>IF(AND('Assumptions and Catalog'!$C$19&gt;0,A754&gt;='Assumptions and Catalog'!$C$19),A754-'Assumptions and Catalog'!$C$19,A754-1)</f>
        <v>7</v>
      </c>
      <c r="S754" s="5">
        <f>F754+L754-(D754+E754)*C754-J754-K754-IF(E$52&gt;0,'Assumptions and Catalog'!$C$26*C754,0)</f>
        <v>0</v>
      </c>
      <c r="T754" s="5"/>
      <c r="U754" s="5"/>
    </row>
    <row r="755" spans="1:21" ht="23.1" customHeight="1" outlineLevel="1" x14ac:dyDescent="0.2">
      <c r="A755" s="5">
        <v>8</v>
      </c>
      <c r="B755" s="5">
        <v>11</v>
      </c>
      <c r="C755" s="5">
        <f>DAY(DATE('Assumptions and Catalog'!$C$24+A755-1,B755+1,0))</f>
        <v>30</v>
      </c>
      <c r="D755" s="5">
        <f>IF(ISNUMBER(Inputs!$L$5),Inputs!$L$5*Inputs!$L$6,0)</f>
        <v>40.35</v>
      </c>
      <c r="E755" s="5">
        <f>IF(ISNUMBER(Inputs!$L$5),Inputs!$L$5-D755,0)</f>
        <v>40.35</v>
      </c>
      <c r="F755" s="5">
        <f>E$51*'Assumptions and Catalog'!$C$31*C755*(1-'Assumptions and Catalog'!$C$10)^(A755-1)</f>
        <v>793.36831548335329</v>
      </c>
      <c r="G755" s="5">
        <f t="shared" si="52"/>
        <v>793.36831548335329</v>
      </c>
      <c r="H755" s="5">
        <f>I755/('Assumptions and Catalog'!$C$11*'Assumptions and Catalog'!$C$12)</f>
        <v>0</v>
      </c>
      <c r="I755" s="5">
        <f>MIN(E755*C755,P755*'Assumptions and Catalog'!$C$12*C755,(F755-G755)*'Assumptions and Catalog'!$C$11*'Assumptions and Catalog'!$C$12,E$56*'Assumptions and Catalog'!$C$14*'Assumptions and Catalog'!$C$11*'Assumptions and Catalog'!$C$12*C755,E$57*(24-'Assumptions and Catalog'!$C$13)*C755)</f>
        <v>0</v>
      </c>
      <c r="J755" s="5">
        <f t="shared" si="53"/>
        <v>0</v>
      </c>
      <c r="K755" s="5">
        <f t="shared" si="54"/>
        <v>0</v>
      </c>
      <c r="L755" s="5">
        <f>(D755+E755)*C755-G755-I755+0+IF(E$52&gt;0,'Assumptions and Catalog'!$C$26*C755,0)</f>
        <v>1627.6316845166466</v>
      </c>
      <c r="M755" s="5">
        <f>IF(ISNUMBER(Inputs!$L$5),(IF(Inputs!$L$9="Actual flat rate",((D755+E755)*C755)*Inputs!$L$10,IF(Inputs!$C$9="Residential",IF(((D755+E755)*C755)&lt;='Assumptions and Catalog'!$C$50,((D755+E755)*C755)*'Assumptions and Catalog'!$H$50+'Assumptions and Catalog'!$E$50+'Assumptions and Catalog'!$F$50,IF(((D755+E755)*C755)&lt;='Assumptions and Catalog'!$C$51,((D755+E755)*C755)*'Assumptions and Catalog'!$H$51+'Assumptions and Catalog'!$E$51+'Assumptions and Catalog'!$F$51,IF(((D755+E755)*C755)&lt;='Assumptions and Catalog'!$C$52,((D755+E755)*C755)*'Assumptions and Catalog'!$H$52+'Assumptions and Catalog'!$E$52+'Assumptions and Catalog'!$F$52,IF(((D755+E755)*C755)&lt;='Assumptions and Catalog'!$C$53,((D755+E755)*C755)*'Assumptions and Catalog'!$H$53+'Assumptions and Catalog'!$E$53+'Assumptions and Catalog'!$F$53,IF(((D755+E755)*C755)&lt;='Assumptions and Catalog'!$C$54,((D755+E755)*C755)*'Assumptions and Catalog'!$H$54+'Assumptions and Catalog'!$E$54+'Assumptions and Catalog'!$F$54,IF(((D755+E755)*C755)&lt;='Assumptions and Catalog'!$C$55,((D755+E755)*C755)*'Assumptions and Catalog'!$H$55+'Assumptions and Catalog'!$E$55+'Assumptions and Catalog'!$F$55,IF(((D755+E755)*C755)&lt;='Assumptions and Catalog'!$C$56,((D755+E755)*C755)*'Assumptions and Catalog'!$H$56+'Assumptions and Catalog'!$E$56+'Assumptions and Catalog'!$F$56,IF(((D755+E755)*C755)&lt;='Assumptions and Catalog'!$C$57,((D755+E755)*C755)*'Assumptions and Catalog'!$H$57+'Assumptions and Catalog'!$E$57+'Assumptions and Catalog'!$F$57,"Out of range")))))))),IF(((D755+E755)*C755)&lt;='Assumptions and Catalog'!$C$60,((D755+E755)*C755)*'Assumptions and Catalog'!$H$60+'Assumptions and Catalog'!$E$60+'Assumptions and Catalog'!$F$60,IF(((D755+E755)*C755)&lt;='Assumptions and Catalog'!$C$61,((D755+E755)*C755)*'Assumptions and Catalog'!$H$61+'Assumptions and Catalog'!$E$61+'Assumptions and Catalog'!$F$61,IF(((D755+E755)*C755)&lt;='Assumptions and Catalog'!$C$62,((D755+E755)*C755)*'Assumptions and Catalog'!$H$62+'Assumptions and Catalog'!$E$62+'Assumptions and Catalog'!$F$62,IF(((D755+E755)*C755)&lt;='Assumptions and Catalog'!$C$63,((D755+E755)*C755)*'Assumptions and Catalog'!$H$63+'Assumptions and Catalog'!$E$63+'Assumptions and Catalog'!$F$63,IF(((D755+E755)*C755)&lt;='Assumptions and Catalog'!$C$64,((D755+E755)*C755)*'Assumptions and Catalog'!$H$64+'Assumptions and Catalog'!$E$64+'Assumptions and Catalog'!$F$64,IF(((D755+E755)*C755)&lt;='Assumptions and Catalog'!$C$65,((D755+E755)*C755)*'Assumptions and Catalog'!$H$65+'Assumptions and Catalog'!$E$65+'Assumptions and Catalog'!$F$65,"Out of range")))))))))*(1+'Assumptions and Catalog'!$C$8)^(A755-1),0)</f>
        <v>8279</v>
      </c>
      <c r="N755" s="5">
        <f>IF(ISNUMBER(Inputs!$L$5),(IF(Inputs!$L$9="Actual flat rate",L755*Inputs!$L$10,IF(Inputs!$C$9="Residential",IF(L755&lt;='Assumptions and Catalog'!$C$50,L755*'Assumptions and Catalog'!$H$50+'Assumptions and Catalog'!$E$50+'Assumptions and Catalog'!$F$50,IF(L755&lt;='Assumptions and Catalog'!$C$51,L755*'Assumptions and Catalog'!$H$51+'Assumptions and Catalog'!$E$51+'Assumptions and Catalog'!$F$51,IF(L755&lt;='Assumptions and Catalog'!$C$52,L755*'Assumptions and Catalog'!$H$52+'Assumptions and Catalog'!$E$52+'Assumptions and Catalog'!$F$52,IF(L755&lt;='Assumptions and Catalog'!$C$53,L755*'Assumptions and Catalog'!$H$53+'Assumptions and Catalog'!$E$53+'Assumptions and Catalog'!$F$53,IF(L755&lt;='Assumptions and Catalog'!$C$54,L755*'Assumptions and Catalog'!$H$54+'Assumptions and Catalog'!$E$54+'Assumptions and Catalog'!$F$54,IF(L755&lt;='Assumptions and Catalog'!$C$55,L755*'Assumptions and Catalog'!$H$55+'Assumptions and Catalog'!$E$55+'Assumptions and Catalog'!$F$55,IF(L755&lt;='Assumptions and Catalog'!$C$56,L755*'Assumptions and Catalog'!$H$56+'Assumptions and Catalog'!$E$56+'Assumptions and Catalog'!$F$56,IF(L755&lt;='Assumptions and Catalog'!$C$57,L755*'Assumptions and Catalog'!$H$57+'Assumptions and Catalog'!$E$57+'Assumptions and Catalog'!$F$57,"Out of range")))))))),IF(L755&lt;='Assumptions and Catalog'!$C$60,L755*'Assumptions and Catalog'!$H$60+'Assumptions and Catalog'!$E$60+'Assumptions and Catalog'!$F$60,IF(L755&lt;='Assumptions and Catalog'!$C$61,L755*'Assumptions and Catalog'!$H$61+'Assumptions and Catalog'!$E$61+'Assumptions and Catalog'!$F$61,IF(L755&lt;='Assumptions and Catalog'!$C$62,L755*'Assumptions and Catalog'!$H$62+'Assumptions and Catalog'!$E$62+'Assumptions and Catalog'!$F$62,IF(L755&lt;='Assumptions and Catalog'!$C$63,L755*'Assumptions and Catalog'!$H$63+'Assumptions and Catalog'!$E$63+'Assumptions and Catalog'!$F$63,IF(L755&lt;='Assumptions and Catalog'!$C$64,L755*'Assumptions and Catalog'!$H$64+'Assumptions and Catalog'!$E$64+'Assumptions and Catalog'!$F$64,IF(L755&lt;='Assumptions and Catalog'!$C$65,L755*'Assumptions and Catalog'!$H$65+'Assumptions and Catalog'!$E$65+'Assumptions and Catalog'!$F$65,"Out of range")))))))))*(1+'Assumptions and Catalog'!$C$8)^(A755-1),0)</f>
        <v>5565.9490772876152</v>
      </c>
      <c r="O755" s="5">
        <f t="shared" si="55"/>
        <v>2713.0509227123848</v>
      </c>
      <c r="P755" s="5">
        <f>E$55*(1-L$14)*(1-'Assumptions and Catalog'!$C$23)^R755</f>
        <v>88.896054604464112</v>
      </c>
      <c r="Q755" s="5">
        <f>IF(ISNUMBER(Inputs!$L$5),(IF(Inputs!$L$9="Actual flat rate",((D755+E755)*C755-G755)*Inputs!$L$10,IF(Inputs!$C$9="Residential",IF(((D755+E755)*C755-G755)&lt;='Assumptions and Catalog'!$C$50,((D755+E755)*C755-G755)*'Assumptions and Catalog'!$H$50+'Assumptions and Catalog'!$E$50+'Assumptions and Catalog'!$F$50,IF(((D755+E755)*C755-G755)&lt;='Assumptions and Catalog'!$C$51,((D755+E755)*C755-G755)*'Assumptions and Catalog'!$H$51+'Assumptions and Catalog'!$E$51+'Assumptions and Catalog'!$F$51,IF(((D755+E755)*C755-G755)&lt;='Assumptions and Catalog'!$C$52,((D755+E755)*C755-G755)*'Assumptions and Catalog'!$H$52+'Assumptions and Catalog'!$E$52+'Assumptions and Catalog'!$F$52,IF(((D755+E755)*C755-G755)&lt;='Assumptions and Catalog'!$C$53,((D755+E755)*C755-G755)*'Assumptions and Catalog'!$H$53+'Assumptions and Catalog'!$E$53+'Assumptions and Catalog'!$F$53,IF(((D755+E755)*C755-G755)&lt;='Assumptions and Catalog'!$C$54,((D755+E755)*C755-G755)*'Assumptions and Catalog'!$H$54+'Assumptions and Catalog'!$E$54+'Assumptions and Catalog'!$F$54,IF(((D755+E755)*C755-G755)&lt;='Assumptions and Catalog'!$C$55,((D755+E755)*C755-G755)*'Assumptions and Catalog'!$H$55+'Assumptions and Catalog'!$E$55+'Assumptions and Catalog'!$F$55,IF(((D755+E755)*C755-G755)&lt;='Assumptions and Catalog'!$C$56,((D755+E755)*C755-G755)*'Assumptions and Catalog'!$H$56+'Assumptions and Catalog'!$E$56+'Assumptions and Catalog'!$F$56,IF(((D755+E755)*C755-G755)&lt;='Assumptions and Catalog'!$C$57,((D755+E755)*C755-G755)*'Assumptions and Catalog'!$H$57+'Assumptions and Catalog'!$E$57+'Assumptions and Catalog'!$F$57,"Out of range")))))))),IF(((D755+E755)*C755-G755)&lt;='Assumptions and Catalog'!$C$60,((D755+E755)*C755-G755)*'Assumptions and Catalog'!$H$60+'Assumptions and Catalog'!$E$60+'Assumptions and Catalog'!$F$60,IF(((D755+E755)*C755-G755)&lt;='Assumptions and Catalog'!$C$61,((D755+E755)*C755-G755)*'Assumptions and Catalog'!$H$61+'Assumptions and Catalog'!$E$61+'Assumptions and Catalog'!$F$61,IF(((D755+E755)*C755-G755)&lt;='Assumptions and Catalog'!$C$62,((D755+E755)*C755-G755)*'Assumptions and Catalog'!$H$62+'Assumptions and Catalog'!$E$62+'Assumptions and Catalog'!$F$62,IF(((D755+E755)*C755-G755)&lt;='Assumptions and Catalog'!$C$63,((D755+E755)*C755-G755)*'Assumptions and Catalog'!$H$63+'Assumptions and Catalog'!$E$63+'Assumptions and Catalog'!$F$63,IF(((D755+E755)*C755-G755)&lt;='Assumptions and Catalog'!$C$64,((D755+E755)*C755-G755)*'Assumptions and Catalog'!$H$64+'Assumptions and Catalog'!$E$64+'Assumptions and Catalog'!$F$64,IF(((D755+E755)*C755-G755)&lt;='Assumptions and Catalog'!$C$65,((D755+E755)*C755-G755)*'Assumptions and Catalog'!$H$65+'Assumptions and Catalog'!$E$65+'Assumptions and Catalog'!$F$65,"Out of range")))))))))*(1+'Assumptions and Catalog'!$C$8)^(A755-1),0)</f>
        <v>5565.9490772876152</v>
      </c>
      <c r="R755" s="5">
        <f>IF(AND('Assumptions and Catalog'!$C$19&gt;0,A755&gt;='Assumptions and Catalog'!$C$19),A755-'Assumptions and Catalog'!$C$19,A755-1)</f>
        <v>7</v>
      </c>
      <c r="S755" s="5">
        <f>F755+L755-(D755+E755)*C755-J755-K755-IF(E$52&gt;0,'Assumptions and Catalog'!$C$26*C755,0)</f>
        <v>0</v>
      </c>
      <c r="T755" s="5"/>
      <c r="U755" s="5"/>
    </row>
    <row r="756" spans="1:21" ht="23.1" customHeight="1" outlineLevel="1" x14ac:dyDescent="0.2">
      <c r="A756" s="5">
        <v>8</v>
      </c>
      <c r="B756" s="5">
        <v>12</v>
      </c>
      <c r="C756" s="5">
        <f>DAY(DATE('Assumptions and Catalog'!$C$24+A756-1,B756+1,0))</f>
        <v>31</v>
      </c>
      <c r="D756" s="5">
        <f>IF(ISNUMBER(Inputs!$L$5),Inputs!$L$5*Inputs!$L$6,0)</f>
        <v>40.35</v>
      </c>
      <c r="E756" s="5">
        <f>IF(ISNUMBER(Inputs!$L$5),Inputs!$L$5-D756,0)</f>
        <v>40.35</v>
      </c>
      <c r="F756" s="5">
        <f>E$51*'Assumptions and Catalog'!$C$31*C756*(1-'Assumptions and Catalog'!$C$10)^(A756-1)</f>
        <v>819.81392599946514</v>
      </c>
      <c r="G756" s="5">
        <f t="shared" si="52"/>
        <v>819.81392599946514</v>
      </c>
      <c r="H756" s="5">
        <f>I756/('Assumptions and Catalog'!$C$11*'Assumptions and Catalog'!$C$12)</f>
        <v>0</v>
      </c>
      <c r="I756" s="5">
        <f>MIN(E756*C756,P756*'Assumptions and Catalog'!$C$12*C756,(F756-G756)*'Assumptions and Catalog'!$C$11*'Assumptions and Catalog'!$C$12,E$56*'Assumptions and Catalog'!$C$14*'Assumptions and Catalog'!$C$11*'Assumptions and Catalog'!$C$12*C756,E$57*(24-'Assumptions and Catalog'!$C$13)*C756)</f>
        <v>0</v>
      </c>
      <c r="J756" s="5">
        <f t="shared" si="53"/>
        <v>0</v>
      </c>
      <c r="K756" s="5">
        <f t="shared" si="54"/>
        <v>0</v>
      </c>
      <c r="L756" s="5">
        <f>(D756+E756)*C756-G756-I756+0+IF(E$52&gt;0,'Assumptions and Catalog'!$C$26*C756,0)</f>
        <v>1681.8860740005352</v>
      </c>
      <c r="M756" s="5">
        <f>IF(ISNUMBER(Inputs!$L$5),(IF(Inputs!$L$9="Actual flat rate",((D756+E756)*C756)*Inputs!$L$10,IF(Inputs!$C$9="Residential",IF(((D756+E756)*C756)&lt;='Assumptions and Catalog'!$C$50,((D756+E756)*C756)*'Assumptions and Catalog'!$H$50+'Assumptions and Catalog'!$E$50+'Assumptions and Catalog'!$F$50,IF(((D756+E756)*C756)&lt;='Assumptions and Catalog'!$C$51,((D756+E756)*C756)*'Assumptions and Catalog'!$H$51+'Assumptions and Catalog'!$E$51+'Assumptions and Catalog'!$F$51,IF(((D756+E756)*C756)&lt;='Assumptions and Catalog'!$C$52,((D756+E756)*C756)*'Assumptions and Catalog'!$H$52+'Assumptions and Catalog'!$E$52+'Assumptions and Catalog'!$F$52,IF(((D756+E756)*C756)&lt;='Assumptions and Catalog'!$C$53,((D756+E756)*C756)*'Assumptions and Catalog'!$H$53+'Assumptions and Catalog'!$E$53+'Assumptions and Catalog'!$F$53,IF(((D756+E756)*C756)&lt;='Assumptions and Catalog'!$C$54,((D756+E756)*C756)*'Assumptions and Catalog'!$H$54+'Assumptions and Catalog'!$E$54+'Assumptions and Catalog'!$F$54,IF(((D756+E756)*C756)&lt;='Assumptions and Catalog'!$C$55,((D756+E756)*C756)*'Assumptions and Catalog'!$H$55+'Assumptions and Catalog'!$E$55+'Assumptions and Catalog'!$F$55,IF(((D756+E756)*C756)&lt;='Assumptions and Catalog'!$C$56,((D756+E756)*C756)*'Assumptions and Catalog'!$H$56+'Assumptions and Catalog'!$E$56+'Assumptions and Catalog'!$F$56,IF(((D756+E756)*C756)&lt;='Assumptions and Catalog'!$C$57,((D756+E756)*C756)*'Assumptions and Catalog'!$H$57+'Assumptions and Catalog'!$E$57+'Assumptions and Catalog'!$F$57,"Out of range")))))))),IF(((D756+E756)*C756)&lt;='Assumptions and Catalog'!$C$60,((D756+E756)*C756)*'Assumptions and Catalog'!$H$60+'Assumptions and Catalog'!$E$60+'Assumptions and Catalog'!$F$60,IF(((D756+E756)*C756)&lt;='Assumptions and Catalog'!$C$61,((D756+E756)*C756)*'Assumptions and Catalog'!$H$61+'Assumptions and Catalog'!$E$61+'Assumptions and Catalog'!$F$61,IF(((D756+E756)*C756)&lt;='Assumptions and Catalog'!$C$62,((D756+E756)*C756)*'Assumptions and Catalog'!$H$62+'Assumptions and Catalog'!$E$62+'Assumptions and Catalog'!$F$62,IF(((D756+E756)*C756)&lt;='Assumptions and Catalog'!$C$63,((D756+E756)*C756)*'Assumptions and Catalog'!$H$63+'Assumptions and Catalog'!$E$63+'Assumptions and Catalog'!$F$63,IF(((D756+E756)*C756)&lt;='Assumptions and Catalog'!$C$64,((D756+E756)*C756)*'Assumptions and Catalog'!$H$64+'Assumptions and Catalog'!$E$64+'Assumptions and Catalog'!$F$64,IF(((D756+E756)*C756)&lt;='Assumptions and Catalog'!$C$65,((D756+E756)*C756)*'Assumptions and Catalog'!$H$65+'Assumptions and Catalog'!$E$65+'Assumptions and Catalog'!$F$65,"Out of range")))))))))*(1+'Assumptions and Catalog'!$C$8)^(A756-1),0)</f>
        <v>8554.9666666666672</v>
      </c>
      <c r="N756" s="5">
        <f>IF(ISNUMBER(Inputs!$L$5),(IF(Inputs!$L$9="Actual flat rate",L756*Inputs!$L$10,IF(Inputs!$C$9="Residential",IF(L756&lt;='Assumptions and Catalog'!$C$50,L756*'Assumptions and Catalog'!$H$50+'Assumptions and Catalog'!$E$50+'Assumptions and Catalog'!$F$50,IF(L756&lt;='Assumptions and Catalog'!$C$51,L756*'Assumptions and Catalog'!$H$51+'Assumptions and Catalog'!$E$51+'Assumptions and Catalog'!$F$51,IF(L756&lt;='Assumptions and Catalog'!$C$52,L756*'Assumptions and Catalog'!$H$52+'Assumptions and Catalog'!$E$52+'Assumptions and Catalog'!$F$52,IF(L756&lt;='Assumptions and Catalog'!$C$53,L756*'Assumptions and Catalog'!$H$53+'Assumptions and Catalog'!$E$53+'Assumptions and Catalog'!$F$53,IF(L756&lt;='Assumptions and Catalog'!$C$54,L756*'Assumptions and Catalog'!$H$54+'Assumptions and Catalog'!$E$54+'Assumptions and Catalog'!$F$54,IF(L756&lt;='Assumptions and Catalog'!$C$55,L756*'Assumptions and Catalog'!$H$55+'Assumptions and Catalog'!$E$55+'Assumptions and Catalog'!$F$55,IF(L756&lt;='Assumptions and Catalog'!$C$56,L756*'Assumptions and Catalog'!$H$56+'Assumptions and Catalog'!$E$56+'Assumptions and Catalog'!$F$56,IF(L756&lt;='Assumptions and Catalog'!$C$57,L756*'Assumptions and Catalog'!$H$57+'Assumptions and Catalog'!$E$57+'Assumptions and Catalog'!$F$57,"Out of range")))))))),IF(L756&lt;='Assumptions and Catalog'!$C$60,L756*'Assumptions and Catalog'!$H$60+'Assumptions and Catalog'!$E$60+'Assumptions and Catalog'!$F$60,IF(L756&lt;='Assumptions and Catalog'!$C$61,L756*'Assumptions and Catalog'!$H$61+'Assumptions and Catalog'!$E$61+'Assumptions and Catalog'!$F$61,IF(L756&lt;='Assumptions and Catalog'!$C$62,L756*'Assumptions and Catalog'!$H$62+'Assumptions and Catalog'!$E$62+'Assumptions and Catalog'!$F$62,IF(L756&lt;='Assumptions and Catalog'!$C$63,L756*'Assumptions and Catalog'!$H$63+'Assumptions and Catalog'!$E$63+'Assumptions and Catalog'!$F$63,IF(L756&lt;='Assumptions and Catalog'!$C$64,L756*'Assumptions and Catalog'!$H$64+'Assumptions and Catalog'!$E$64+'Assumptions and Catalog'!$F$64,IF(L756&lt;='Assumptions and Catalog'!$C$65,L756*'Assumptions and Catalog'!$H$65+'Assumptions and Catalog'!$E$65+'Assumptions and Catalog'!$F$65,"Out of range")))))))))*(1+'Assumptions and Catalog'!$C$8)^(A756-1),0)</f>
        <v>5751.4807131972038</v>
      </c>
      <c r="O756" s="5">
        <f t="shared" si="55"/>
        <v>2803.4859534694633</v>
      </c>
      <c r="P756" s="5">
        <f>E$55*(1-L$14)*(1-'Assumptions and Catalog'!$C$23)^R756</f>
        <v>88.896054604464112</v>
      </c>
      <c r="Q756" s="5">
        <f>IF(ISNUMBER(Inputs!$L$5),(IF(Inputs!$L$9="Actual flat rate",((D756+E756)*C756-G756)*Inputs!$L$10,IF(Inputs!$C$9="Residential",IF(((D756+E756)*C756-G756)&lt;='Assumptions and Catalog'!$C$50,((D756+E756)*C756-G756)*'Assumptions and Catalog'!$H$50+'Assumptions and Catalog'!$E$50+'Assumptions and Catalog'!$F$50,IF(((D756+E756)*C756-G756)&lt;='Assumptions and Catalog'!$C$51,((D756+E756)*C756-G756)*'Assumptions and Catalog'!$H$51+'Assumptions and Catalog'!$E$51+'Assumptions and Catalog'!$F$51,IF(((D756+E756)*C756-G756)&lt;='Assumptions and Catalog'!$C$52,((D756+E756)*C756-G756)*'Assumptions and Catalog'!$H$52+'Assumptions and Catalog'!$E$52+'Assumptions and Catalog'!$F$52,IF(((D756+E756)*C756-G756)&lt;='Assumptions and Catalog'!$C$53,((D756+E756)*C756-G756)*'Assumptions and Catalog'!$H$53+'Assumptions and Catalog'!$E$53+'Assumptions and Catalog'!$F$53,IF(((D756+E756)*C756-G756)&lt;='Assumptions and Catalog'!$C$54,((D756+E756)*C756-G756)*'Assumptions and Catalog'!$H$54+'Assumptions and Catalog'!$E$54+'Assumptions and Catalog'!$F$54,IF(((D756+E756)*C756-G756)&lt;='Assumptions and Catalog'!$C$55,((D756+E756)*C756-G756)*'Assumptions and Catalog'!$H$55+'Assumptions and Catalog'!$E$55+'Assumptions and Catalog'!$F$55,IF(((D756+E756)*C756-G756)&lt;='Assumptions and Catalog'!$C$56,((D756+E756)*C756-G756)*'Assumptions and Catalog'!$H$56+'Assumptions and Catalog'!$E$56+'Assumptions and Catalog'!$F$56,IF(((D756+E756)*C756-G756)&lt;='Assumptions and Catalog'!$C$57,((D756+E756)*C756-G756)*'Assumptions and Catalog'!$H$57+'Assumptions and Catalog'!$E$57+'Assumptions and Catalog'!$F$57,"Out of range")))))))),IF(((D756+E756)*C756-G756)&lt;='Assumptions and Catalog'!$C$60,((D756+E756)*C756-G756)*'Assumptions and Catalog'!$H$60+'Assumptions and Catalog'!$E$60+'Assumptions and Catalog'!$F$60,IF(((D756+E756)*C756-G756)&lt;='Assumptions and Catalog'!$C$61,((D756+E756)*C756-G756)*'Assumptions and Catalog'!$H$61+'Assumptions and Catalog'!$E$61+'Assumptions and Catalog'!$F$61,IF(((D756+E756)*C756-G756)&lt;='Assumptions and Catalog'!$C$62,((D756+E756)*C756-G756)*'Assumptions and Catalog'!$H$62+'Assumptions and Catalog'!$E$62+'Assumptions and Catalog'!$F$62,IF(((D756+E756)*C756-G756)&lt;='Assumptions and Catalog'!$C$63,((D756+E756)*C756-G756)*'Assumptions and Catalog'!$H$63+'Assumptions and Catalog'!$E$63+'Assumptions and Catalog'!$F$63,IF(((D756+E756)*C756-G756)&lt;='Assumptions and Catalog'!$C$64,((D756+E756)*C756-G756)*'Assumptions and Catalog'!$H$64+'Assumptions and Catalog'!$E$64+'Assumptions and Catalog'!$F$64,IF(((D756+E756)*C756-G756)&lt;='Assumptions and Catalog'!$C$65,((D756+E756)*C756-G756)*'Assumptions and Catalog'!$H$65+'Assumptions and Catalog'!$E$65+'Assumptions and Catalog'!$F$65,"Out of range")))))))))*(1+'Assumptions and Catalog'!$C$8)^(A756-1),0)</f>
        <v>5751.4807131972038</v>
      </c>
      <c r="R756" s="5">
        <f>IF(AND('Assumptions and Catalog'!$C$19&gt;0,A756&gt;='Assumptions and Catalog'!$C$19),A756-'Assumptions and Catalog'!$C$19,A756-1)</f>
        <v>7</v>
      </c>
      <c r="S756" s="5">
        <f>F756+L756-(D756+E756)*C756-J756-K756-IF(E$52&gt;0,'Assumptions and Catalog'!$C$26*C756,0)</f>
        <v>0</v>
      </c>
      <c r="T756" s="5"/>
      <c r="U756" s="5"/>
    </row>
    <row r="757" spans="1:21" ht="23.1" customHeight="1" outlineLevel="1" x14ac:dyDescent="0.2">
      <c r="A757" s="5">
        <v>9</v>
      </c>
      <c r="B757" s="5">
        <v>1</v>
      </c>
      <c r="C757" s="5">
        <f>DAY(DATE('Assumptions and Catalog'!$C$24+A757-1,B757+1,0))</f>
        <v>31</v>
      </c>
      <c r="D757" s="5">
        <f>IF(ISNUMBER(Inputs!$L$5),Inputs!$L$5*Inputs!$L$6,0)</f>
        <v>40.35</v>
      </c>
      <c r="E757" s="5">
        <f>IF(ISNUMBER(Inputs!$L$5),Inputs!$L$5-D757,0)</f>
        <v>40.35</v>
      </c>
      <c r="F757" s="5">
        <f>E$51*'Assumptions and Catalog'!$C$31*C757*(1-'Assumptions and Catalog'!$C$10)^(A757-1)</f>
        <v>815.71485636946784</v>
      </c>
      <c r="G757" s="5">
        <f t="shared" si="52"/>
        <v>815.71485636946784</v>
      </c>
      <c r="H757" s="5">
        <f>I757/('Assumptions and Catalog'!$C$11*'Assumptions and Catalog'!$C$12)</f>
        <v>0</v>
      </c>
      <c r="I757" s="5">
        <f>MIN(E757*C757,P757*'Assumptions and Catalog'!$C$12*C757,(F757-G757)*'Assumptions and Catalog'!$C$11*'Assumptions and Catalog'!$C$12,E$56*'Assumptions and Catalog'!$C$14*'Assumptions and Catalog'!$C$11*'Assumptions and Catalog'!$C$12*C757,E$57*(24-'Assumptions and Catalog'!$C$13)*C757)</f>
        <v>0</v>
      </c>
      <c r="J757" s="5">
        <f t="shared" si="53"/>
        <v>0</v>
      </c>
      <c r="K757" s="5">
        <f t="shared" si="54"/>
        <v>0</v>
      </c>
      <c r="L757" s="5">
        <f>(D757+E757)*C757-G757-I757+0+IF(E$52&gt;0,'Assumptions and Catalog'!$C$26*C757,0)</f>
        <v>1685.9851436305325</v>
      </c>
      <c r="M757" s="5">
        <f>IF(ISNUMBER(Inputs!$L$5),(IF(Inputs!$L$9="Actual flat rate",((D757+E757)*C757)*Inputs!$L$10,IF(Inputs!$C$9="Residential",IF(((D757+E757)*C757)&lt;='Assumptions and Catalog'!$C$50,((D757+E757)*C757)*'Assumptions and Catalog'!$H$50+'Assumptions and Catalog'!$E$50+'Assumptions and Catalog'!$F$50,IF(((D757+E757)*C757)&lt;='Assumptions and Catalog'!$C$51,((D757+E757)*C757)*'Assumptions and Catalog'!$H$51+'Assumptions and Catalog'!$E$51+'Assumptions and Catalog'!$F$51,IF(((D757+E757)*C757)&lt;='Assumptions and Catalog'!$C$52,((D757+E757)*C757)*'Assumptions and Catalog'!$H$52+'Assumptions and Catalog'!$E$52+'Assumptions and Catalog'!$F$52,IF(((D757+E757)*C757)&lt;='Assumptions and Catalog'!$C$53,((D757+E757)*C757)*'Assumptions and Catalog'!$H$53+'Assumptions and Catalog'!$E$53+'Assumptions and Catalog'!$F$53,IF(((D757+E757)*C757)&lt;='Assumptions and Catalog'!$C$54,((D757+E757)*C757)*'Assumptions and Catalog'!$H$54+'Assumptions and Catalog'!$E$54+'Assumptions and Catalog'!$F$54,IF(((D757+E757)*C757)&lt;='Assumptions and Catalog'!$C$55,((D757+E757)*C757)*'Assumptions and Catalog'!$H$55+'Assumptions and Catalog'!$E$55+'Assumptions and Catalog'!$F$55,IF(((D757+E757)*C757)&lt;='Assumptions and Catalog'!$C$56,((D757+E757)*C757)*'Assumptions and Catalog'!$H$56+'Assumptions and Catalog'!$E$56+'Assumptions and Catalog'!$F$56,IF(((D757+E757)*C757)&lt;='Assumptions and Catalog'!$C$57,((D757+E757)*C757)*'Assumptions and Catalog'!$H$57+'Assumptions and Catalog'!$E$57+'Assumptions and Catalog'!$F$57,"Out of range")))))))),IF(((D757+E757)*C757)&lt;='Assumptions and Catalog'!$C$60,((D757+E757)*C757)*'Assumptions and Catalog'!$H$60+'Assumptions and Catalog'!$E$60+'Assumptions and Catalog'!$F$60,IF(((D757+E757)*C757)&lt;='Assumptions and Catalog'!$C$61,((D757+E757)*C757)*'Assumptions and Catalog'!$H$61+'Assumptions and Catalog'!$E$61+'Assumptions and Catalog'!$F$61,IF(((D757+E757)*C757)&lt;='Assumptions and Catalog'!$C$62,((D757+E757)*C757)*'Assumptions and Catalog'!$H$62+'Assumptions and Catalog'!$E$62+'Assumptions and Catalog'!$F$62,IF(((D757+E757)*C757)&lt;='Assumptions and Catalog'!$C$63,((D757+E757)*C757)*'Assumptions and Catalog'!$H$63+'Assumptions and Catalog'!$E$63+'Assumptions and Catalog'!$F$63,IF(((D757+E757)*C757)&lt;='Assumptions and Catalog'!$C$64,((D757+E757)*C757)*'Assumptions and Catalog'!$H$64+'Assumptions and Catalog'!$E$64+'Assumptions and Catalog'!$F$64,IF(((D757+E757)*C757)&lt;='Assumptions and Catalog'!$C$65,((D757+E757)*C757)*'Assumptions and Catalog'!$H$65+'Assumptions and Catalog'!$E$65+'Assumptions and Catalog'!$F$65,"Out of range")))))))))*(1+'Assumptions and Catalog'!$C$8)^(A757-1),0)</f>
        <v>8554.9666666666672</v>
      </c>
      <c r="N757" s="5">
        <f>IF(ISNUMBER(Inputs!$L$5),(IF(Inputs!$L$9="Actual flat rate",L757*Inputs!$L$10,IF(Inputs!$C$9="Residential",IF(L757&lt;='Assumptions and Catalog'!$C$50,L757*'Assumptions and Catalog'!$H$50+'Assumptions and Catalog'!$E$50+'Assumptions and Catalog'!$F$50,IF(L757&lt;='Assumptions and Catalog'!$C$51,L757*'Assumptions and Catalog'!$H$51+'Assumptions and Catalog'!$E$51+'Assumptions and Catalog'!$F$51,IF(L757&lt;='Assumptions and Catalog'!$C$52,L757*'Assumptions and Catalog'!$H$52+'Assumptions and Catalog'!$E$52+'Assumptions and Catalog'!$F$52,IF(L757&lt;='Assumptions and Catalog'!$C$53,L757*'Assumptions and Catalog'!$H$53+'Assumptions and Catalog'!$E$53+'Assumptions and Catalog'!$F$53,IF(L757&lt;='Assumptions and Catalog'!$C$54,L757*'Assumptions and Catalog'!$H$54+'Assumptions and Catalog'!$E$54+'Assumptions and Catalog'!$F$54,IF(L757&lt;='Assumptions and Catalog'!$C$55,L757*'Assumptions and Catalog'!$H$55+'Assumptions and Catalog'!$E$55+'Assumptions and Catalog'!$F$55,IF(L757&lt;='Assumptions and Catalog'!$C$56,L757*'Assumptions and Catalog'!$H$56+'Assumptions and Catalog'!$E$56+'Assumptions and Catalog'!$F$56,IF(L757&lt;='Assumptions and Catalog'!$C$57,L757*'Assumptions and Catalog'!$H$57+'Assumptions and Catalog'!$E$57+'Assumptions and Catalog'!$F$57,"Out of range")))))))),IF(L757&lt;='Assumptions and Catalog'!$C$60,L757*'Assumptions and Catalog'!$H$60+'Assumptions and Catalog'!$E$60+'Assumptions and Catalog'!$F$60,IF(L757&lt;='Assumptions and Catalog'!$C$61,L757*'Assumptions and Catalog'!$H$61+'Assumptions and Catalog'!$E$61+'Assumptions and Catalog'!$F$61,IF(L757&lt;='Assumptions and Catalog'!$C$62,L757*'Assumptions and Catalog'!$H$62+'Assumptions and Catalog'!$E$62+'Assumptions and Catalog'!$F$62,IF(L757&lt;='Assumptions and Catalog'!$C$63,L757*'Assumptions and Catalog'!$H$63+'Assumptions and Catalog'!$E$63+'Assumptions and Catalog'!$F$63,IF(L757&lt;='Assumptions and Catalog'!$C$64,L757*'Assumptions and Catalog'!$H$64+'Assumptions and Catalog'!$E$64+'Assumptions and Catalog'!$F$64,IF(L757&lt;='Assumptions and Catalog'!$C$65,L757*'Assumptions and Catalog'!$H$65+'Assumptions and Catalog'!$E$65+'Assumptions and Catalog'!$F$65,"Out of range")))))))))*(1+'Assumptions and Catalog'!$C$8)^(A757-1),0)</f>
        <v>5765.4981429645513</v>
      </c>
      <c r="O757" s="5">
        <f t="shared" si="55"/>
        <v>2789.4685237021158</v>
      </c>
      <c r="P757" s="5">
        <f>E$55*(1-L$14)*(1-'Assumptions and Catalog'!$C$23)^R757</f>
        <v>87.118133512374826</v>
      </c>
      <c r="Q757" s="5">
        <f>IF(ISNUMBER(Inputs!$L$5),(IF(Inputs!$L$9="Actual flat rate",((D757+E757)*C757-G757)*Inputs!$L$10,IF(Inputs!$C$9="Residential",IF(((D757+E757)*C757-G757)&lt;='Assumptions and Catalog'!$C$50,((D757+E757)*C757-G757)*'Assumptions and Catalog'!$H$50+'Assumptions and Catalog'!$E$50+'Assumptions and Catalog'!$F$50,IF(((D757+E757)*C757-G757)&lt;='Assumptions and Catalog'!$C$51,((D757+E757)*C757-G757)*'Assumptions and Catalog'!$H$51+'Assumptions and Catalog'!$E$51+'Assumptions and Catalog'!$F$51,IF(((D757+E757)*C757-G757)&lt;='Assumptions and Catalog'!$C$52,((D757+E757)*C757-G757)*'Assumptions and Catalog'!$H$52+'Assumptions and Catalog'!$E$52+'Assumptions and Catalog'!$F$52,IF(((D757+E757)*C757-G757)&lt;='Assumptions and Catalog'!$C$53,((D757+E757)*C757-G757)*'Assumptions and Catalog'!$H$53+'Assumptions and Catalog'!$E$53+'Assumptions and Catalog'!$F$53,IF(((D757+E757)*C757-G757)&lt;='Assumptions and Catalog'!$C$54,((D757+E757)*C757-G757)*'Assumptions and Catalog'!$H$54+'Assumptions and Catalog'!$E$54+'Assumptions and Catalog'!$F$54,IF(((D757+E757)*C757-G757)&lt;='Assumptions and Catalog'!$C$55,((D757+E757)*C757-G757)*'Assumptions and Catalog'!$H$55+'Assumptions and Catalog'!$E$55+'Assumptions and Catalog'!$F$55,IF(((D757+E757)*C757-G757)&lt;='Assumptions and Catalog'!$C$56,((D757+E757)*C757-G757)*'Assumptions and Catalog'!$H$56+'Assumptions and Catalog'!$E$56+'Assumptions and Catalog'!$F$56,IF(((D757+E757)*C757-G757)&lt;='Assumptions and Catalog'!$C$57,((D757+E757)*C757-G757)*'Assumptions and Catalog'!$H$57+'Assumptions and Catalog'!$E$57+'Assumptions and Catalog'!$F$57,"Out of range")))))))),IF(((D757+E757)*C757-G757)&lt;='Assumptions and Catalog'!$C$60,((D757+E757)*C757-G757)*'Assumptions and Catalog'!$H$60+'Assumptions and Catalog'!$E$60+'Assumptions and Catalog'!$F$60,IF(((D757+E757)*C757-G757)&lt;='Assumptions and Catalog'!$C$61,((D757+E757)*C757-G757)*'Assumptions and Catalog'!$H$61+'Assumptions and Catalog'!$E$61+'Assumptions and Catalog'!$F$61,IF(((D757+E757)*C757-G757)&lt;='Assumptions and Catalog'!$C$62,((D757+E757)*C757-G757)*'Assumptions and Catalog'!$H$62+'Assumptions and Catalog'!$E$62+'Assumptions and Catalog'!$F$62,IF(((D757+E757)*C757-G757)&lt;='Assumptions and Catalog'!$C$63,((D757+E757)*C757-G757)*'Assumptions and Catalog'!$H$63+'Assumptions and Catalog'!$E$63+'Assumptions and Catalog'!$F$63,IF(((D757+E757)*C757-G757)&lt;='Assumptions and Catalog'!$C$64,((D757+E757)*C757-G757)*'Assumptions and Catalog'!$H$64+'Assumptions and Catalog'!$E$64+'Assumptions and Catalog'!$F$64,IF(((D757+E757)*C757-G757)&lt;='Assumptions and Catalog'!$C$65,((D757+E757)*C757-G757)*'Assumptions and Catalog'!$H$65+'Assumptions and Catalog'!$E$65+'Assumptions and Catalog'!$F$65,"Out of range")))))))))*(1+'Assumptions and Catalog'!$C$8)^(A757-1),0)</f>
        <v>5765.4981429645513</v>
      </c>
      <c r="R757" s="5">
        <f>IF(AND('Assumptions and Catalog'!$C$19&gt;0,A757&gt;='Assumptions and Catalog'!$C$19),A757-'Assumptions and Catalog'!$C$19,A757-1)</f>
        <v>8</v>
      </c>
      <c r="S757" s="5">
        <f>F757+L757-(D757+E757)*C757-J757-K757-IF(E$52&gt;0,'Assumptions and Catalog'!$C$26*C757,0)</f>
        <v>0</v>
      </c>
      <c r="T757" s="5"/>
      <c r="U757" s="5"/>
    </row>
    <row r="758" spans="1:21" ht="23.1" customHeight="1" outlineLevel="1" x14ac:dyDescent="0.2">
      <c r="A758" s="5">
        <v>9</v>
      </c>
      <c r="B758" s="5">
        <v>2</v>
      </c>
      <c r="C758" s="5">
        <f>DAY(DATE('Assumptions and Catalog'!$C$24+A758-1,B758+1,0))</f>
        <v>28</v>
      </c>
      <c r="D758" s="5">
        <f>IF(ISNUMBER(Inputs!$L$5),Inputs!$L$5*Inputs!$L$6,0)</f>
        <v>40.35</v>
      </c>
      <c r="E758" s="5">
        <f>IF(ISNUMBER(Inputs!$L$5),Inputs!$L$5-D758,0)</f>
        <v>40.35</v>
      </c>
      <c r="F758" s="5">
        <f>E$51*'Assumptions and Catalog'!$C$31*C758*(1-'Assumptions and Catalog'!$C$10)^(A758-1)</f>
        <v>736.77470897887417</v>
      </c>
      <c r="G758" s="5">
        <f t="shared" si="52"/>
        <v>736.77470897887417</v>
      </c>
      <c r="H758" s="5">
        <f>I758/('Assumptions and Catalog'!$C$11*'Assumptions and Catalog'!$C$12)</f>
        <v>0</v>
      </c>
      <c r="I758" s="5">
        <f>MIN(E758*C758,P758*'Assumptions and Catalog'!$C$12*C758,(F758-G758)*'Assumptions and Catalog'!$C$11*'Assumptions and Catalog'!$C$12,E$56*'Assumptions and Catalog'!$C$14*'Assumptions and Catalog'!$C$11*'Assumptions and Catalog'!$C$12*C758,E$57*(24-'Assumptions and Catalog'!$C$13)*C758)</f>
        <v>0</v>
      </c>
      <c r="J758" s="5">
        <f t="shared" si="53"/>
        <v>0</v>
      </c>
      <c r="K758" s="5">
        <f t="shared" si="54"/>
        <v>0</v>
      </c>
      <c r="L758" s="5">
        <f>(D758+E758)*C758-G758-I758+0+IF(E$52&gt;0,'Assumptions and Catalog'!$C$26*C758,0)</f>
        <v>1522.8252910211258</v>
      </c>
      <c r="M758" s="5">
        <f>IF(ISNUMBER(Inputs!$L$5),(IF(Inputs!$L$9="Actual flat rate",((D758+E758)*C758)*Inputs!$L$10,IF(Inputs!$C$9="Residential",IF(((D758+E758)*C758)&lt;='Assumptions and Catalog'!$C$50,((D758+E758)*C758)*'Assumptions and Catalog'!$H$50+'Assumptions and Catalog'!$E$50+'Assumptions and Catalog'!$F$50,IF(((D758+E758)*C758)&lt;='Assumptions and Catalog'!$C$51,((D758+E758)*C758)*'Assumptions and Catalog'!$H$51+'Assumptions and Catalog'!$E$51+'Assumptions and Catalog'!$F$51,IF(((D758+E758)*C758)&lt;='Assumptions and Catalog'!$C$52,((D758+E758)*C758)*'Assumptions and Catalog'!$H$52+'Assumptions and Catalog'!$E$52+'Assumptions and Catalog'!$F$52,IF(((D758+E758)*C758)&lt;='Assumptions and Catalog'!$C$53,((D758+E758)*C758)*'Assumptions and Catalog'!$H$53+'Assumptions and Catalog'!$E$53+'Assumptions and Catalog'!$F$53,IF(((D758+E758)*C758)&lt;='Assumptions and Catalog'!$C$54,((D758+E758)*C758)*'Assumptions and Catalog'!$H$54+'Assumptions and Catalog'!$E$54+'Assumptions and Catalog'!$F$54,IF(((D758+E758)*C758)&lt;='Assumptions and Catalog'!$C$55,((D758+E758)*C758)*'Assumptions and Catalog'!$H$55+'Assumptions and Catalog'!$E$55+'Assumptions and Catalog'!$F$55,IF(((D758+E758)*C758)&lt;='Assumptions and Catalog'!$C$56,((D758+E758)*C758)*'Assumptions and Catalog'!$H$56+'Assumptions and Catalog'!$E$56+'Assumptions and Catalog'!$F$56,IF(((D758+E758)*C758)&lt;='Assumptions and Catalog'!$C$57,((D758+E758)*C758)*'Assumptions and Catalog'!$H$57+'Assumptions and Catalog'!$E$57+'Assumptions and Catalog'!$F$57,"Out of range")))))))),IF(((D758+E758)*C758)&lt;='Assumptions and Catalog'!$C$60,((D758+E758)*C758)*'Assumptions and Catalog'!$H$60+'Assumptions and Catalog'!$E$60+'Assumptions and Catalog'!$F$60,IF(((D758+E758)*C758)&lt;='Assumptions and Catalog'!$C$61,((D758+E758)*C758)*'Assumptions and Catalog'!$H$61+'Assumptions and Catalog'!$E$61+'Assumptions and Catalog'!$F$61,IF(((D758+E758)*C758)&lt;='Assumptions and Catalog'!$C$62,((D758+E758)*C758)*'Assumptions and Catalog'!$H$62+'Assumptions and Catalog'!$E$62+'Assumptions and Catalog'!$F$62,IF(((D758+E758)*C758)&lt;='Assumptions and Catalog'!$C$63,((D758+E758)*C758)*'Assumptions and Catalog'!$H$63+'Assumptions and Catalog'!$E$63+'Assumptions and Catalog'!$F$63,IF(((D758+E758)*C758)&lt;='Assumptions and Catalog'!$C$64,((D758+E758)*C758)*'Assumptions and Catalog'!$H$64+'Assumptions and Catalog'!$E$64+'Assumptions and Catalog'!$F$64,IF(((D758+E758)*C758)&lt;='Assumptions and Catalog'!$C$65,((D758+E758)*C758)*'Assumptions and Catalog'!$H$65+'Assumptions and Catalog'!$E$65+'Assumptions and Catalog'!$F$65,"Out of range")))))))))*(1+'Assumptions and Catalog'!$C$8)^(A758-1),0)</f>
        <v>7727.0666666666657</v>
      </c>
      <c r="N758" s="5">
        <f>IF(ISNUMBER(Inputs!$L$5),(IF(Inputs!$L$9="Actual flat rate",L758*Inputs!$L$10,IF(Inputs!$C$9="Residential",IF(L758&lt;='Assumptions and Catalog'!$C$50,L758*'Assumptions and Catalog'!$H$50+'Assumptions and Catalog'!$E$50+'Assumptions and Catalog'!$F$50,IF(L758&lt;='Assumptions and Catalog'!$C$51,L758*'Assumptions and Catalog'!$H$51+'Assumptions and Catalog'!$E$51+'Assumptions and Catalog'!$F$51,IF(L758&lt;='Assumptions and Catalog'!$C$52,L758*'Assumptions and Catalog'!$H$52+'Assumptions and Catalog'!$E$52+'Assumptions and Catalog'!$F$52,IF(L758&lt;='Assumptions and Catalog'!$C$53,L758*'Assumptions and Catalog'!$H$53+'Assumptions and Catalog'!$E$53+'Assumptions and Catalog'!$F$53,IF(L758&lt;='Assumptions and Catalog'!$C$54,L758*'Assumptions and Catalog'!$H$54+'Assumptions and Catalog'!$E$54+'Assumptions and Catalog'!$F$54,IF(L758&lt;='Assumptions and Catalog'!$C$55,L758*'Assumptions and Catalog'!$H$55+'Assumptions and Catalog'!$E$55+'Assumptions and Catalog'!$F$55,IF(L758&lt;='Assumptions and Catalog'!$C$56,L758*'Assumptions and Catalog'!$H$56+'Assumptions and Catalog'!$E$56+'Assumptions and Catalog'!$F$56,IF(L758&lt;='Assumptions and Catalog'!$C$57,L758*'Assumptions and Catalog'!$H$57+'Assumptions and Catalog'!$E$57+'Assumptions and Catalog'!$F$57,"Out of range")))))))),IF(L758&lt;='Assumptions and Catalog'!$C$60,L758*'Assumptions and Catalog'!$H$60+'Assumptions and Catalog'!$E$60+'Assumptions and Catalog'!$F$60,IF(L758&lt;='Assumptions and Catalog'!$C$61,L758*'Assumptions and Catalog'!$H$61+'Assumptions and Catalog'!$E$61+'Assumptions and Catalog'!$F$61,IF(L758&lt;='Assumptions and Catalog'!$C$62,L758*'Assumptions and Catalog'!$H$62+'Assumptions and Catalog'!$E$62+'Assumptions and Catalog'!$F$62,IF(L758&lt;='Assumptions and Catalog'!$C$63,L758*'Assumptions and Catalog'!$H$63+'Assumptions and Catalog'!$E$63+'Assumptions and Catalog'!$F$63,IF(L758&lt;='Assumptions and Catalog'!$C$64,L758*'Assumptions and Catalog'!$H$64+'Assumptions and Catalog'!$E$64+'Assumptions and Catalog'!$F$64,IF(L758&lt;='Assumptions and Catalog'!$C$65,L758*'Assumptions and Catalog'!$H$65+'Assumptions and Catalog'!$E$65+'Assumptions and Catalog'!$F$65,"Out of range")))))))))*(1+'Assumptions and Catalog'!$C$8)^(A758-1),0)</f>
        <v>5207.5467097744322</v>
      </c>
      <c r="O758" s="5">
        <f t="shared" si="55"/>
        <v>2519.5199568922335</v>
      </c>
      <c r="P758" s="5">
        <f>E$55*(1-L$14)*(1-'Assumptions and Catalog'!$C$23)^R758</f>
        <v>87.118133512374826</v>
      </c>
      <c r="Q758" s="5">
        <f>IF(ISNUMBER(Inputs!$L$5),(IF(Inputs!$L$9="Actual flat rate",((D758+E758)*C758-G758)*Inputs!$L$10,IF(Inputs!$C$9="Residential",IF(((D758+E758)*C758-G758)&lt;='Assumptions and Catalog'!$C$50,((D758+E758)*C758-G758)*'Assumptions and Catalog'!$H$50+'Assumptions and Catalog'!$E$50+'Assumptions and Catalog'!$F$50,IF(((D758+E758)*C758-G758)&lt;='Assumptions and Catalog'!$C$51,((D758+E758)*C758-G758)*'Assumptions and Catalog'!$H$51+'Assumptions and Catalog'!$E$51+'Assumptions and Catalog'!$F$51,IF(((D758+E758)*C758-G758)&lt;='Assumptions and Catalog'!$C$52,((D758+E758)*C758-G758)*'Assumptions and Catalog'!$H$52+'Assumptions and Catalog'!$E$52+'Assumptions and Catalog'!$F$52,IF(((D758+E758)*C758-G758)&lt;='Assumptions and Catalog'!$C$53,((D758+E758)*C758-G758)*'Assumptions and Catalog'!$H$53+'Assumptions and Catalog'!$E$53+'Assumptions and Catalog'!$F$53,IF(((D758+E758)*C758-G758)&lt;='Assumptions and Catalog'!$C$54,((D758+E758)*C758-G758)*'Assumptions and Catalog'!$H$54+'Assumptions and Catalog'!$E$54+'Assumptions and Catalog'!$F$54,IF(((D758+E758)*C758-G758)&lt;='Assumptions and Catalog'!$C$55,((D758+E758)*C758-G758)*'Assumptions and Catalog'!$H$55+'Assumptions and Catalog'!$E$55+'Assumptions and Catalog'!$F$55,IF(((D758+E758)*C758-G758)&lt;='Assumptions and Catalog'!$C$56,((D758+E758)*C758-G758)*'Assumptions and Catalog'!$H$56+'Assumptions and Catalog'!$E$56+'Assumptions and Catalog'!$F$56,IF(((D758+E758)*C758-G758)&lt;='Assumptions and Catalog'!$C$57,((D758+E758)*C758-G758)*'Assumptions and Catalog'!$H$57+'Assumptions and Catalog'!$E$57+'Assumptions and Catalog'!$F$57,"Out of range")))))))),IF(((D758+E758)*C758-G758)&lt;='Assumptions and Catalog'!$C$60,((D758+E758)*C758-G758)*'Assumptions and Catalog'!$H$60+'Assumptions and Catalog'!$E$60+'Assumptions and Catalog'!$F$60,IF(((D758+E758)*C758-G758)&lt;='Assumptions and Catalog'!$C$61,((D758+E758)*C758-G758)*'Assumptions and Catalog'!$H$61+'Assumptions and Catalog'!$E$61+'Assumptions and Catalog'!$F$61,IF(((D758+E758)*C758-G758)&lt;='Assumptions and Catalog'!$C$62,((D758+E758)*C758-G758)*'Assumptions and Catalog'!$H$62+'Assumptions and Catalog'!$E$62+'Assumptions and Catalog'!$F$62,IF(((D758+E758)*C758-G758)&lt;='Assumptions and Catalog'!$C$63,((D758+E758)*C758-G758)*'Assumptions and Catalog'!$H$63+'Assumptions and Catalog'!$E$63+'Assumptions and Catalog'!$F$63,IF(((D758+E758)*C758-G758)&lt;='Assumptions and Catalog'!$C$64,((D758+E758)*C758-G758)*'Assumptions and Catalog'!$H$64+'Assumptions and Catalog'!$E$64+'Assumptions and Catalog'!$F$64,IF(((D758+E758)*C758-G758)&lt;='Assumptions and Catalog'!$C$65,((D758+E758)*C758-G758)*'Assumptions and Catalog'!$H$65+'Assumptions and Catalog'!$E$65+'Assumptions and Catalog'!$F$65,"Out of range")))))))))*(1+'Assumptions and Catalog'!$C$8)^(A758-1),0)</f>
        <v>5207.5467097744322</v>
      </c>
      <c r="R758" s="5">
        <f>IF(AND('Assumptions and Catalog'!$C$19&gt;0,A758&gt;='Assumptions and Catalog'!$C$19),A758-'Assumptions and Catalog'!$C$19,A758-1)</f>
        <v>8</v>
      </c>
      <c r="S758" s="5">
        <f>F758+L758-(D758+E758)*C758-J758-K758-IF(E$52&gt;0,'Assumptions and Catalog'!$C$26*C758,0)</f>
        <v>0</v>
      </c>
      <c r="T758" s="5"/>
      <c r="U758" s="5"/>
    </row>
    <row r="759" spans="1:21" ht="23.1" customHeight="1" outlineLevel="1" x14ac:dyDescent="0.2">
      <c r="A759" s="5">
        <v>9</v>
      </c>
      <c r="B759" s="5">
        <v>3</v>
      </c>
      <c r="C759" s="5">
        <f>DAY(DATE('Assumptions and Catalog'!$C$24+A759-1,B759+1,0))</f>
        <v>31</v>
      </c>
      <c r="D759" s="5">
        <f>IF(ISNUMBER(Inputs!$L$5),Inputs!$L$5*Inputs!$L$6,0)</f>
        <v>40.35</v>
      </c>
      <c r="E759" s="5">
        <f>IF(ISNUMBER(Inputs!$L$5),Inputs!$L$5-D759,0)</f>
        <v>40.35</v>
      </c>
      <c r="F759" s="5">
        <f>E$51*'Assumptions and Catalog'!$C$31*C759*(1-'Assumptions and Catalog'!$C$10)^(A759-1)</f>
        <v>815.71485636946784</v>
      </c>
      <c r="G759" s="5">
        <f t="shared" si="52"/>
        <v>815.71485636946784</v>
      </c>
      <c r="H759" s="5">
        <f>I759/('Assumptions and Catalog'!$C$11*'Assumptions and Catalog'!$C$12)</f>
        <v>0</v>
      </c>
      <c r="I759" s="5">
        <f>MIN(E759*C759,P759*'Assumptions and Catalog'!$C$12*C759,(F759-G759)*'Assumptions and Catalog'!$C$11*'Assumptions and Catalog'!$C$12,E$56*'Assumptions and Catalog'!$C$14*'Assumptions and Catalog'!$C$11*'Assumptions and Catalog'!$C$12*C759,E$57*(24-'Assumptions and Catalog'!$C$13)*C759)</f>
        <v>0</v>
      </c>
      <c r="J759" s="5">
        <f t="shared" si="53"/>
        <v>0</v>
      </c>
      <c r="K759" s="5">
        <f t="shared" si="54"/>
        <v>0</v>
      </c>
      <c r="L759" s="5">
        <f>(D759+E759)*C759-G759-I759+0+IF(E$52&gt;0,'Assumptions and Catalog'!$C$26*C759,0)</f>
        <v>1685.9851436305325</v>
      </c>
      <c r="M759" s="5">
        <f>IF(ISNUMBER(Inputs!$L$5),(IF(Inputs!$L$9="Actual flat rate",((D759+E759)*C759)*Inputs!$L$10,IF(Inputs!$C$9="Residential",IF(((D759+E759)*C759)&lt;='Assumptions and Catalog'!$C$50,((D759+E759)*C759)*'Assumptions and Catalog'!$H$50+'Assumptions and Catalog'!$E$50+'Assumptions and Catalog'!$F$50,IF(((D759+E759)*C759)&lt;='Assumptions and Catalog'!$C$51,((D759+E759)*C759)*'Assumptions and Catalog'!$H$51+'Assumptions and Catalog'!$E$51+'Assumptions and Catalog'!$F$51,IF(((D759+E759)*C759)&lt;='Assumptions and Catalog'!$C$52,((D759+E759)*C759)*'Assumptions and Catalog'!$H$52+'Assumptions and Catalog'!$E$52+'Assumptions and Catalog'!$F$52,IF(((D759+E759)*C759)&lt;='Assumptions and Catalog'!$C$53,((D759+E759)*C759)*'Assumptions and Catalog'!$H$53+'Assumptions and Catalog'!$E$53+'Assumptions and Catalog'!$F$53,IF(((D759+E759)*C759)&lt;='Assumptions and Catalog'!$C$54,((D759+E759)*C759)*'Assumptions and Catalog'!$H$54+'Assumptions and Catalog'!$E$54+'Assumptions and Catalog'!$F$54,IF(((D759+E759)*C759)&lt;='Assumptions and Catalog'!$C$55,((D759+E759)*C759)*'Assumptions and Catalog'!$H$55+'Assumptions and Catalog'!$E$55+'Assumptions and Catalog'!$F$55,IF(((D759+E759)*C759)&lt;='Assumptions and Catalog'!$C$56,((D759+E759)*C759)*'Assumptions and Catalog'!$H$56+'Assumptions and Catalog'!$E$56+'Assumptions and Catalog'!$F$56,IF(((D759+E759)*C759)&lt;='Assumptions and Catalog'!$C$57,((D759+E759)*C759)*'Assumptions and Catalog'!$H$57+'Assumptions and Catalog'!$E$57+'Assumptions and Catalog'!$F$57,"Out of range")))))))),IF(((D759+E759)*C759)&lt;='Assumptions and Catalog'!$C$60,((D759+E759)*C759)*'Assumptions and Catalog'!$H$60+'Assumptions and Catalog'!$E$60+'Assumptions and Catalog'!$F$60,IF(((D759+E759)*C759)&lt;='Assumptions and Catalog'!$C$61,((D759+E759)*C759)*'Assumptions and Catalog'!$H$61+'Assumptions and Catalog'!$E$61+'Assumptions and Catalog'!$F$61,IF(((D759+E759)*C759)&lt;='Assumptions and Catalog'!$C$62,((D759+E759)*C759)*'Assumptions and Catalog'!$H$62+'Assumptions and Catalog'!$E$62+'Assumptions and Catalog'!$F$62,IF(((D759+E759)*C759)&lt;='Assumptions and Catalog'!$C$63,((D759+E759)*C759)*'Assumptions and Catalog'!$H$63+'Assumptions and Catalog'!$E$63+'Assumptions and Catalog'!$F$63,IF(((D759+E759)*C759)&lt;='Assumptions and Catalog'!$C$64,((D759+E759)*C759)*'Assumptions and Catalog'!$H$64+'Assumptions and Catalog'!$E$64+'Assumptions and Catalog'!$F$64,IF(((D759+E759)*C759)&lt;='Assumptions and Catalog'!$C$65,((D759+E759)*C759)*'Assumptions and Catalog'!$H$65+'Assumptions and Catalog'!$E$65+'Assumptions and Catalog'!$F$65,"Out of range")))))))))*(1+'Assumptions and Catalog'!$C$8)^(A759-1),0)</f>
        <v>8554.9666666666672</v>
      </c>
      <c r="N759" s="5">
        <f>IF(ISNUMBER(Inputs!$L$5),(IF(Inputs!$L$9="Actual flat rate",L759*Inputs!$L$10,IF(Inputs!$C$9="Residential",IF(L759&lt;='Assumptions and Catalog'!$C$50,L759*'Assumptions and Catalog'!$H$50+'Assumptions and Catalog'!$E$50+'Assumptions and Catalog'!$F$50,IF(L759&lt;='Assumptions and Catalog'!$C$51,L759*'Assumptions and Catalog'!$H$51+'Assumptions and Catalog'!$E$51+'Assumptions and Catalog'!$F$51,IF(L759&lt;='Assumptions and Catalog'!$C$52,L759*'Assumptions and Catalog'!$H$52+'Assumptions and Catalog'!$E$52+'Assumptions and Catalog'!$F$52,IF(L759&lt;='Assumptions and Catalog'!$C$53,L759*'Assumptions and Catalog'!$H$53+'Assumptions and Catalog'!$E$53+'Assumptions and Catalog'!$F$53,IF(L759&lt;='Assumptions and Catalog'!$C$54,L759*'Assumptions and Catalog'!$H$54+'Assumptions and Catalog'!$E$54+'Assumptions and Catalog'!$F$54,IF(L759&lt;='Assumptions and Catalog'!$C$55,L759*'Assumptions and Catalog'!$H$55+'Assumptions and Catalog'!$E$55+'Assumptions and Catalog'!$F$55,IF(L759&lt;='Assumptions and Catalog'!$C$56,L759*'Assumptions and Catalog'!$H$56+'Assumptions and Catalog'!$E$56+'Assumptions and Catalog'!$F$56,IF(L759&lt;='Assumptions and Catalog'!$C$57,L759*'Assumptions and Catalog'!$H$57+'Assumptions and Catalog'!$E$57+'Assumptions and Catalog'!$F$57,"Out of range")))))))),IF(L759&lt;='Assumptions and Catalog'!$C$60,L759*'Assumptions and Catalog'!$H$60+'Assumptions and Catalog'!$E$60+'Assumptions and Catalog'!$F$60,IF(L759&lt;='Assumptions and Catalog'!$C$61,L759*'Assumptions and Catalog'!$H$61+'Assumptions and Catalog'!$E$61+'Assumptions and Catalog'!$F$61,IF(L759&lt;='Assumptions and Catalog'!$C$62,L759*'Assumptions and Catalog'!$H$62+'Assumptions and Catalog'!$E$62+'Assumptions and Catalog'!$F$62,IF(L759&lt;='Assumptions and Catalog'!$C$63,L759*'Assumptions and Catalog'!$H$63+'Assumptions and Catalog'!$E$63+'Assumptions and Catalog'!$F$63,IF(L759&lt;='Assumptions and Catalog'!$C$64,L759*'Assumptions and Catalog'!$H$64+'Assumptions and Catalog'!$E$64+'Assumptions and Catalog'!$F$64,IF(L759&lt;='Assumptions and Catalog'!$C$65,L759*'Assumptions and Catalog'!$H$65+'Assumptions and Catalog'!$E$65+'Assumptions and Catalog'!$F$65,"Out of range")))))))))*(1+'Assumptions and Catalog'!$C$8)^(A759-1),0)</f>
        <v>5765.4981429645513</v>
      </c>
      <c r="O759" s="5">
        <f t="shared" si="55"/>
        <v>2789.4685237021158</v>
      </c>
      <c r="P759" s="5">
        <f>E$55*(1-L$14)*(1-'Assumptions and Catalog'!$C$23)^R759</f>
        <v>87.118133512374826</v>
      </c>
      <c r="Q759" s="5">
        <f>IF(ISNUMBER(Inputs!$L$5),(IF(Inputs!$L$9="Actual flat rate",((D759+E759)*C759-G759)*Inputs!$L$10,IF(Inputs!$C$9="Residential",IF(((D759+E759)*C759-G759)&lt;='Assumptions and Catalog'!$C$50,((D759+E759)*C759-G759)*'Assumptions and Catalog'!$H$50+'Assumptions and Catalog'!$E$50+'Assumptions and Catalog'!$F$50,IF(((D759+E759)*C759-G759)&lt;='Assumptions and Catalog'!$C$51,((D759+E759)*C759-G759)*'Assumptions and Catalog'!$H$51+'Assumptions and Catalog'!$E$51+'Assumptions and Catalog'!$F$51,IF(((D759+E759)*C759-G759)&lt;='Assumptions and Catalog'!$C$52,((D759+E759)*C759-G759)*'Assumptions and Catalog'!$H$52+'Assumptions and Catalog'!$E$52+'Assumptions and Catalog'!$F$52,IF(((D759+E759)*C759-G759)&lt;='Assumptions and Catalog'!$C$53,((D759+E759)*C759-G759)*'Assumptions and Catalog'!$H$53+'Assumptions and Catalog'!$E$53+'Assumptions and Catalog'!$F$53,IF(((D759+E759)*C759-G759)&lt;='Assumptions and Catalog'!$C$54,((D759+E759)*C759-G759)*'Assumptions and Catalog'!$H$54+'Assumptions and Catalog'!$E$54+'Assumptions and Catalog'!$F$54,IF(((D759+E759)*C759-G759)&lt;='Assumptions and Catalog'!$C$55,((D759+E759)*C759-G759)*'Assumptions and Catalog'!$H$55+'Assumptions and Catalog'!$E$55+'Assumptions and Catalog'!$F$55,IF(((D759+E759)*C759-G759)&lt;='Assumptions and Catalog'!$C$56,((D759+E759)*C759-G759)*'Assumptions and Catalog'!$H$56+'Assumptions and Catalog'!$E$56+'Assumptions and Catalog'!$F$56,IF(((D759+E759)*C759-G759)&lt;='Assumptions and Catalog'!$C$57,((D759+E759)*C759-G759)*'Assumptions and Catalog'!$H$57+'Assumptions and Catalog'!$E$57+'Assumptions and Catalog'!$F$57,"Out of range")))))))),IF(((D759+E759)*C759-G759)&lt;='Assumptions and Catalog'!$C$60,((D759+E759)*C759-G759)*'Assumptions and Catalog'!$H$60+'Assumptions and Catalog'!$E$60+'Assumptions and Catalog'!$F$60,IF(((D759+E759)*C759-G759)&lt;='Assumptions and Catalog'!$C$61,((D759+E759)*C759-G759)*'Assumptions and Catalog'!$H$61+'Assumptions and Catalog'!$E$61+'Assumptions and Catalog'!$F$61,IF(((D759+E759)*C759-G759)&lt;='Assumptions and Catalog'!$C$62,((D759+E759)*C759-G759)*'Assumptions and Catalog'!$H$62+'Assumptions and Catalog'!$E$62+'Assumptions and Catalog'!$F$62,IF(((D759+E759)*C759-G759)&lt;='Assumptions and Catalog'!$C$63,((D759+E759)*C759-G759)*'Assumptions and Catalog'!$H$63+'Assumptions and Catalog'!$E$63+'Assumptions and Catalog'!$F$63,IF(((D759+E759)*C759-G759)&lt;='Assumptions and Catalog'!$C$64,((D759+E759)*C759-G759)*'Assumptions and Catalog'!$H$64+'Assumptions and Catalog'!$E$64+'Assumptions and Catalog'!$F$64,IF(((D759+E759)*C759-G759)&lt;='Assumptions and Catalog'!$C$65,((D759+E759)*C759-G759)*'Assumptions and Catalog'!$H$65+'Assumptions and Catalog'!$E$65+'Assumptions and Catalog'!$F$65,"Out of range")))))))))*(1+'Assumptions and Catalog'!$C$8)^(A759-1),0)</f>
        <v>5765.4981429645513</v>
      </c>
      <c r="R759" s="5">
        <f>IF(AND('Assumptions and Catalog'!$C$19&gt;0,A759&gt;='Assumptions and Catalog'!$C$19),A759-'Assumptions and Catalog'!$C$19,A759-1)</f>
        <v>8</v>
      </c>
      <c r="S759" s="5">
        <f>F759+L759-(D759+E759)*C759-J759-K759-IF(E$52&gt;0,'Assumptions and Catalog'!$C$26*C759,0)</f>
        <v>0</v>
      </c>
      <c r="T759" s="5"/>
      <c r="U759" s="5"/>
    </row>
    <row r="760" spans="1:21" ht="23.1" customHeight="1" outlineLevel="1" x14ac:dyDescent="0.2">
      <c r="A760" s="5">
        <v>9</v>
      </c>
      <c r="B760" s="5">
        <v>4</v>
      </c>
      <c r="C760" s="5">
        <f>DAY(DATE('Assumptions and Catalog'!$C$24+A760-1,B760+1,0))</f>
        <v>30</v>
      </c>
      <c r="D760" s="5">
        <f>IF(ISNUMBER(Inputs!$L$5),Inputs!$L$5*Inputs!$L$6,0)</f>
        <v>40.35</v>
      </c>
      <c r="E760" s="5">
        <f>IF(ISNUMBER(Inputs!$L$5),Inputs!$L$5-D760,0)</f>
        <v>40.35</v>
      </c>
      <c r="F760" s="5">
        <f>E$51*'Assumptions and Catalog'!$C$31*C760*(1-'Assumptions and Catalog'!$C$10)^(A760-1)</f>
        <v>789.40147390593654</v>
      </c>
      <c r="G760" s="5">
        <f t="shared" si="52"/>
        <v>789.40147390593654</v>
      </c>
      <c r="H760" s="5">
        <f>I760/('Assumptions and Catalog'!$C$11*'Assumptions and Catalog'!$C$12)</f>
        <v>0</v>
      </c>
      <c r="I760" s="5">
        <f>MIN(E760*C760,P760*'Assumptions and Catalog'!$C$12*C760,(F760-G760)*'Assumptions and Catalog'!$C$11*'Assumptions and Catalog'!$C$12,E$56*'Assumptions and Catalog'!$C$14*'Assumptions and Catalog'!$C$11*'Assumptions and Catalog'!$C$12*C760,E$57*(24-'Assumptions and Catalog'!$C$13)*C760)</f>
        <v>0</v>
      </c>
      <c r="J760" s="5">
        <f t="shared" si="53"/>
        <v>0</v>
      </c>
      <c r="K760" s="5">
        <f t="shared" si="54"/>
        <v>0</v>
      </c>
      <c r="L760" s="5">
        <f>(D760+E760)*C760-G760-I760+0+IF(E$52&gt;0,'Assumptions and Catalog'!$C$26*C760,0)</f>
        <v>1631.5985260940633</v>
      </c>
      <c r="M760" s="5">
        <f>IF(ISNUMBER(Inputs!$L$5),(IF(Inputs!$L$9="Actual flat rate",((D760+E760)*C760)*Inputs!$L$10,IF(Inputs!$C$9="Residential",IF(((D760+E760)*C760)&lt;='Assumptions and Catalog'!$C$50,((D760+E760)*C760)*'Assumptions and Catalog'!$H$50+'Assumptions and Catalog'!$E$50+'Assumptions and Catalog'!$F$50,IF(((D760+E760)*C760)&lt;='Assumptions and Catalog'!$C$51,((D760+E760)*C760)*'Assumptions and Catalog'!$H$51+'Assumptions and Catalog'!$E$51+'Assumptions and Catalog'!$F$51,IF(((D760+E760)*C760)&lt;='Assumptions and Catalog'!$C$52,((D760+E760)*C760)*'Assumptions and Catalog'!$H$52+'Assumptions and Catalog'!$E$52+'Assumptions and Catalog'!$F$52,IF(((D760+E760)*C760)&lt;='Assumptions and Catalog'!$C$53,((D760+E760)*C760)*'Assumptions and Catalog'!$H$53+'Assumptions and Catalog'!$E$53+'Assumptions and Catalog'!$F$53,IF(((D760+E760)*C760)&lt;='Assumptions and Catalog'!$C$54,((D760+E760)*C760)*'Assumptions and Catalog'!$H$54+'Assumptions and Catalog'!$E$54+'Assumptions and Catalog'!$F$54,IF(((D760+E760)*C760)&lt;='Assumptions and Catalog'!$C$55,((D760+E760)*C760)*'Assumptions and Catalog'!$H$55+'Assumptions and Catalog'!$E$55+'Assumptions and Catalog'!$F$55,IF(((D760+E760)*C760)&lt;='Assumptions and Catalog'!$C$56,((D760+E760)*C760)*'Assumptions and Catalog'!$H$56+'Assumptions and Catalog'!$E$56+'Assumptions and Catalog'!$F$56,IF(((D760+E760)*C760)&lt;='Assumptions and Catalog'!$C$57,((D760+E760)*C760)*'Assumptions and Catalog'!$H$57+'Assumptions and Catalog'!$E$57+'Assumptions and Catalog'!$F$57,"Out of range")))))))),IF(((D760+E760)*C760)&lt;='Assumptions and Catalog'!$C$60,((D760+E760)*C760)*'Assumptions and Catalog'!$H$60+'Assumptions and Catalog'!$E$60+'Assumptions and Catalog'!$F$60,IF(((D760+E760)*C760)&lt;='Assumptions and Catalog'!$C$61,((D760+E760)*C760)*'Assumptions and Catalog'!$H$61+'Assumptions and Catalog'!$E$61+'Assumptions and Catalog'!$F$61,IF(((D760+E760)*C760)&lt;='Assumptions and Catalog'!$C$62,((D760+E760)*C760)*'Assumptions and Catalog'!$H$62+'Assumptions and Catalog'!$E$62+'Assumptions and Catalog'!$F$62,IF(((D760+E760)*C760)&lt;='Assumptions and Catalog'!$C$63,((D760+E760)*C760)*'Assumptions and Catalog'!$H$63+'Assumptions and Catalog'!$E$63+'Assumptions and Catalog'!$F$63,IF(((D760+E760)*C760)&lt;='Assumptions and Catalog'!$C$64,((D760+E760)*C760)*'Assumptions and Catalog'!$H$64+'Assumptions and Catalog'!$E$64+'Assumptions and Catalog'!$F$64,IF(((D760+E760)*C760)&lt;='Assumptions and Catalog'!$C$65,((D760+E760)*C760)*'Assumptions and Catalog'!$H$65+'Assumptions and Catalog'!$E$65+'Assumptions and Catalog'!$F$65,"Out of range")))))))))*(1+'Assumptions and Catalog'!$C$8)^(A760-1),0)</f>
        <v>8279</v>
      </c>
      <c r="N760" s="5">
        <f>IF(ISNUMBER(Inputs!$L$5),(IF(Inputs!$L$9="Actual flat rate",L760*Inputs!$L$10,IF(Inputs!$C$9="Residential",IF(L760&lt;='Assumptions and Catalog'!$C$50,L760*'Assumptions and Catalog'!$H$50+'Assumptions and Catalog'!$E$50+'Assumptions and Catalog'!$F$50,IF(L760&lt;='Assumptions and Catalog'!$C$51,L760*'Assumptions and Catalog'!$H$51+'Assumptions and Catalog'!$E$51+'Assumptions and Catalog'!$F$51,IF(L760&lt;='Assumptions and Catalog'!$C$52,L760*'Assumptions and Catalog'!$H$52+'Assumptions and Catalog'!$E$52+'Assumptions and Catalog'!$F$52,IF(L760&lt;='Assumptions and Catalog'!$C$53,L760*'Assumptions and Catalog'!$H$53+'Assumptions and Catalog'!$E$53+'Assumptions and Catalog'!$F$53,IF(L760&lt;='Assumptions and Catalog'!$C$54,L760*'Assumptions and Catalog'!$H$54+'Assumptions and Catalog'!$E$54+'Assumptions and Catalog'!$F$54,IF(L760&lt;='Assumptions and Catalog'!$C$55,L760*'Assumptions and Catalog'!$H$55+'Assumptions and Catalog'!$E$55+'Assumptions and Catalog'!$F$55,IF(L760&lt;='Assumptions and Catalog'!$C$56,L760*'Assumptions and Catalog'!$H$56+'Assumptions and Catalog'!$E$56+'Assumptions and Catalog'!$F$56,IF(L760&lt;='Assumptions and Catalog'!$C$57,L760*'Assumptions and Catalog'!$H$57+'Assumptions and Catalog'!$E$57+'Assumptions and Catalog'!$F$57,"Out of range")))))))),IF(L760&lt;='Assumptions and Catalog'!$C$60,L760*'Assumptions and Catalog'!$H$60+'Assumptions and Catalog'!$E$60+'Assumptions and Catalog'!$F$60,IF(L760&lt;='Assumptions and Catalog'!$C$61,L760*'Assumptions and Catalog'!$H$61+'Assumptions and Catalog'!$E$61+'Assumptions and Catalog'!$F$61,IF(L760&lt;='Assumptions and Catalog'!$C$62,L760*'Assumptions and Catalog'!$H$62+'Assumptions and Catalog'!$E$62+'Assumptions and Catalog'!$F$62,IF(L760&lt;='Assumptions and Catalog'!$C$63,L760*'Assumptions and Catalog'!$H$63+'Assumptions and Catalog'!$E$63+'Assumptions and Catalog'!$F$63,IF(L760&lt;='Assumptions and Catalog'!$C$64,L760*'Assumptions and Catalog'!$H$64+'Assumptions and Catalog'!$E$64+'Assumptions and Catalog'!$F$64,IF(L760&lt;='Assumptions and Catalog'!$C$65,L760*'Assumptions and Catalog'!$H$65+'Assumptions and Catalog'!$E$65+'Assumptions and Catalog'!$F$65,"Out of range")))))))))*(1+'Assumptions and Catalog'!$C$8)^(A760-1),0)</f>
        <v>5579.5143319011768</v>
      </c>
      <c r="O760" s="5">
        <f t="shared" si="55"/>
        <v>2699.4856680988232</v>
      </c>
      <c r="P760" s="5">
        <f>E$55*(1-L$14)*(1-'Assumptions and Catalog'!$C$23)^R760</f>
        <v>87.118133512374826</v>
      </c>
      <c r="Q760" s="5">
        <f>IF(ISNUMBER(Inputs!$L$5),(IF(Inputs!$L$9="Actual flat rate",((D760+E760)*C760-G760)*Inputs!$L$10,IF(Inputs!$C$9="Residential",IF(((D760+E760)*C760-G760)&lt;='Assumptions and Catalog'!$C$50,((D760+E760)*C760-G760)*'Assumptions and Catalog'!$H$50+'Assumptions and Catalog'!$E$50+'Assumptions and Catalog'!$F$50,IF(((D760+E760)*C760-G760)&lt;='Assumptions and Catalog'!$C$51,((D760+E760)*C760-G760)*'Assumptions and Catalog'!$H$51+'Assumptions and Catalog'!$E$51+'Assumptions and Catalog'!$F$51,IF(((D760+E760)*C760-G760)&lt;='Assumptions and Catalog'!$C$52,((D760+E760)*C760-G760)*'Assumptions and Catalog'!$H$52+'Assumptions and Catalog'!$E$52+'Assumptions and Catalog'!$F$52,IF(((D760+E760)*C760-G760)&lt;='Assumptions and Catalog'!$C$53,((D760+E760)*C760-G760)*'Assumptions and Catalog'!$H$53+'Assumptions and Catalog'!$E$53+'Assumptions and Catalog'!$F$53,IF(((D760+E760)*C760-G760)&lt;='Assumptions and Catalog'!$C$54,((D760+E760)*C760-G760)*'Assumptions and Catalog'!$H$54+'Assumptions and Catalog'!$E$54+'Assumptions and Catalog'!$F$54,IF(((D760+E760)*C760-G760)&lt;='Assumptions and Catalog'!$C$55,((D760+E760)*C760-G760)*'Assumptions and Catalog'!$H$55+'Assumptions and Catalog'!$E$55+'Assumptions and Catalog'!$F$55,IF(((D760+E760)*C760-G760)&lt;='Assumptions and Catalog'!$C$56,((D760+E760)*C760-G760)*'Assumptions and Catalog'!$H$56+'Assumptions and Catalog'!$E$56+'Assumptions and Catalog'!$F$56,IF(((D760+E760)*C760-G760)&lt;='Assumptions and Catalog'!$C$57,((D760+E760)*C760-G760)*'Assumptions and Catalog'!$H$57+'Assumptions and Catalog'!$E$57+'Assumptions and Catalog'!$F$57,"Out of range")))))))),IF(((D760+E760)*C760-G760)&lt;='Assumptions and Catalog'!$C$60,((D760+E760)*C760-G760)*'Assumptions and Catalog'!$H$60+'Assumptions and Catalog'!$E$60+'Assumptions and Catalog'!$F$60,IF(((D760+E760)*C760-G760)&lt;='Assumptions and Catalog'!$C$61,((D760+E760)*C760-G760)*'Assumptions and Catalog'!$H$61+'Assumptions and Catalog'!$E$61+'Assumptions and Catalog'!$F$61,IF(((D760+E760)*C760-G760)&lt;='Assumptions and Catalog'!$C$62,((D760+E760)*C760-G760)*'Assumptions and Catalog'!$H$62+'Assumptions and Catalog'!$E$62+'Assumptions and Catalog'!$F$62,IF(((D760+E760)*C760-G760)&lt;='Assumptions and Catalog'!$C$63,((D760+E760)*C760-G760)*'Assumptions and Catalog'!$H$63+'Assumptions and Catalog'!$E$63+'Assumptions and Catalog'!$F$63,IF(((D760+E760)*C760-G760)&lt;='Assumptions and Catalog'!$C$64,((D760+E760)*C760-G760)*'Assumptions and Catalog'!$H$64+'Assumptions and Catalog'!$E$64+'Assumptions and Catalog'!$F$64,IF(((D760+E760)*C760-G760)&lt;='Assumptions and Catalog'!$C$65,((D760+E760)*C760-G760)*'Assumptions and Catalog'!$H$65+'Assumptions and Catalog'!$E$65+'Assumptions and Catalog'!$F$65,"Out of range")))))))))*(1+'Assumptions and Catalog'!$C$8)^(A760-1),0)</f>
        <v>5579.5143319011768</v>
      </c>
      <c r="R760" s="5">
        <f>IF(AND('Assumptions and Catalog'!$C$19&gt;0,A760&gt;='Assumptions and Catalog'!$C$19),A760-'Assumptions and Catalog'!$C$19,A760-1)</f>
        <v>8</v>
      </c>
      <c r="S760" s="5">
        <f>F760+L760-(D760+E760)*C760-J760-K760-IF(E$52&gt;0,'Assumptions and Catalog'!$C$26*C760,0)</f>
        <v>0</v>
      </c>
      <c r="T760" s="5"/>
      <c r="U760" s="5"/>
    </row>
    <row r="761" spans="1:21" ht="23.1" customHeight="1" outlineLevel="1" x14ac:dyDescent="0.2">
      <c r="A761" s="5">
        <v>9</v>
      </c>
      <c r="B761" s="5">
        <v>5</v>
      </c>
      <c r="C761" s="5">
        <f>DAY(DATE('Assumptions and Catalog'!$C$24+A761-1,B761+1,0))</f>
        <v>31</v>
      </c>
      <c r="D761" s="5">
        <f>IF(ISNUMBER(Inputs!$L$5),Inputs!$L$5*Inputs!$L$6,0)</f>
        <v>40.35</v>
      </c>
      <c r="E761" s="5">
        <f>IF(ISNUMBER(Inputs!$L$5),Inputs!$L$5-D761,0)</f>
        <v>40.35</v>
      </c>
      <c r="F761" s="5">
        <f>E$51*'Assumptions and Catalog'!$C$31*C761*(1-'Assumptions and Catalog'!$C$10)^(A761-1)</f>
        <v>815.71485636946784</v>
      </c>
      <c r="G761" s="5">
        <f t="shared" si="52"/>
        <v>815.71485636946784</v>
      </c>
      <c r="H761" s="5">
        <f>I761/('Assumptions and Catalog'!$C$11*'Assumptions and Catalog'!$C$12)</f>
        <v>0</v>
      </c>
      <c r="I761" s="5">
        <f>MIN(E761*C761,P761*'Assumptions and Catalog'!$C$12*C761,(F761-G761)*'Assumptions and Catalog'!$C$11*'Assumptions and Catalog'!$C$12,E$56*'Assumptions and Catalog'!$C$14*'Assumptions and Catalog'!$C$11*'Assumptions and Catalog'!$C$12*C761,E$57*(24-'Assumptions and Catalog'!$C$13)*C761)</f>
        <v>0</v>
      </c>
      <c r="J761" s="5">
        <f t="shared" si="53"/>
        <v>0</v>
      </c>
      <c r="K761" s="5">
        <f t="shared" si="54"/>
        <v>0</v>
      </c>
      <c r="L761" s="5">
        <f>(D761+E761)*C761-G761-I761+0+IF(E$52&gt;0,'Assumptions and Catalog'!$C$26*C761,0)</f>
        <v>1685.9851436305325</v>
      </c>
      <c r="M761" s="5">
        <f>IF(ISNUMBER(Inputs!$L$5),(IF(Inputs!$L$9="Actual flat rate",((D761+E761)*C761)*Inputs!$L$10,IF(Inputs!$C$9="Residential",IF(((D761+E761)*C761)&lt;='Assumptions and Catalog'!$C$50,((D761+E761)*C761)*'Assumptions and Catalog'!$H$50+'Assumptions and Catalog'!$E$50+'Assumptions and Catalog'!$F$50,IF(((D761+E761)*C761)&lt;='Assumptions and Catalog'!$C$51,((D761+E761)*C761)*'Assumptions and Catalog'!$H$51+'Assumptions and Catalog'!$E$51+'Assumptions and Catalog'!$F$51,IF(((D761+E761)*C761)&lt;='Assumptions and Catalog'!$C$52,((D761+E761)*C761)*'Assumptions and Catalog'!$H$52+'Assumptions and Catalog'!$E$52+'Assumptions and Catalog'!$F$52,IF(((D761+E761)*C761)&lt;='Assumptions and Catalog'!$C$53,((D761+E761)*C761)*'Assumptions and Catalog'!$H$53+'Assumptions and Catalog'!$E$53+'Assumptions and Catalog'!$F$53,IF(((D761+E761)*C761)&lt;='Assumptions and Catalog'!$C$54,((D761+E761)*C761)*'Assumptions and Catalog'!$H$54+'Assumptions and Catalog'!$E$54+'Assumptions and Catalog'!$F$54,IF(((D761+E761)*C761)&lt;='Assumptions and Catalog'!$C$55,((D761+E761)*C761)*'Assumptions and Catalog'!$H$55+'Assumptions and Catalog'!$E$55+'Assumptions and Catalog'!$F$55,IF(((D761+E761)*C761)&lt;='Assumptions and Catalog'!$C$56,((D761+E761)*C761)*'Assumptions and Catalog'!$H$56+'Assumptions and Catalog'!$E$56+'Assumptions and Catalog'!$F$56,IF(((D761+E761)*C761)&lt;='Assumptions and Catalog'!$C$57,((D761+E761)*C761)*'Assumptions and Catalog'!$H$57+'Assumptions and Catalog'!$E$57+'Assumptions and Catalog'!$F$57,"Out of range")))))))),IF(((D761+E761)*C761)&lt;='Assumptions and Catalog'!$C$60,((D761+E761)*C761)*'Assumptions and Catalog'!$H$60+'Assumptions and Catalog'!$E$60+'Assumptions and Catalog'!$F$60,IF(((D761+E761)*C761)&lt;='Assumptions and Catalog'!$C$61,((D761+E761)*C761)*'Assumptions and Catalog'!$H$61+'Assumptions and Catalog'!$E$61+'Assumptions and Catalog'!$F$61,IF(((D761+E761)*C761)&lt;='Assumptions and Catalog'!$C$62,((D761+E761)*C761)*'Assumptions and Catalog'!$H$62+'Assumptions and Catalog'!$E$62+'Assumptions and Catalog'!$F$62,IF(((D761+E761)*C761)&lt;='Assumptions and Catalog'!$C$63,((D761+E761)*C761)*'Assumptions and Catalog'!$H$63+'Assumptions and Catalog'!$E$63+'Assumptions and Catalog'!$F$63,IF(((D761+E761)*C761)&lt;='Assumptions and Catalog'!$C$64,((D761+E761)*C761)*'Assumptions and Catalog'!$H$64+'Assumptions and Catalog'!$E$64+'Assumptions and Catalog'!$F$64,IF(((D761+E761)*C761)&lt;='Assumptions and Catalog'!$C$65,((D761+E761)*C761)*'Assumptions and Catalog'!$H$65+'Assumptions and Catalog'!$E$65+'Assumptions and Catalog'!$F$65,"Out of range")))))))))*(1+'Assumptions and Catalog'!$C$8)^(A761-1),0)</f>
        <v>8554.9666666666672</v>
      </c>
      <c r="N761" s="5">
        <f>IF(ISNUMBER(Inputs!$L$5),(IF(Inputs!$L$9="Actual flat rate",L761*Inputs!$L$10,IF(Inputs!$C$9="Residential",IF(L761&lt;='Assumptions and Catalog'!$C$50,L761*'Assumptions and Catalog'!$H$50+'Assumptions and Catalog'!$E$50+'Assumptions and Catalog'!$F$50,IF(L761&lt;='Assumptions and Catalog'!$C$51,L761*'Assumptions and Catalog'!$H$51+'Assumptions and Catalog'!$E$51+'Assumptions and Catalog'!$F$51,IF(L761&lt;='Assumptions and Catalog'!$C$52,L761*'Assumptions and Catalog'!$H$52+'Assumptions and Catalog'!$E$52+'Assumptions and Catalog'!$F$52,IF(L761&lt;='Assumptions and Catalog'!$C$53,L761*'Assumptions and Catalog'!$H$53+'Assumptions and Catalog'!$E$53+'Assumptions and Catalog'!$F$53,IF(L761&lt;='Assumptions and Catalog'!$C$54,L761*'Assumptions and Catalog'!$H$54+'Assumptions and Catalog'!$E$54+'Assumptions and Catalog'!$F$54,IF(L761&lt;='Assumptions and Catalog'!$C$55,L761*'Assumptions and Catalog'!$H$55+'Assumptions and Catalog'!$E$55+'Assumptions and Catalog'!$F$55,IF(L761&lt;='Assumptions and Catalog'!$C$56,L761*'Assumptions and Catalog'!$H$56+'Assumptions and Catalog'!$E$56+'Assumptions and Catalog'!$F$56,IF(L761&lt;='Assumptions and Catalog'!$C$57,L761*'Assumptions and Catalog'!$H$57+'Assumptions and Catalog'!$E$57+'Assumptions and Catalog'!$F$57,"Out of range")))))))),IF(L761&lt;='Assumptions and Catalog'!$C$60,L761*'Assumptions and Catalog'!$H$60+'Assumptions and Catalog'!$E$60+'Assumptions and Catalog'!$F$60,IF(L761&lt;='Assumptions and Catalog'!$C$61,L761*'Assumptions and Catalog'!$H$61+'Assumptions and Catalog'!$E$61+'Assumptions and Catalog'!$F$61,IF(L761&lt;='Assumptions and Catalog'!$C$62,L761*'Assumptions and Catalog'!$H$62+'Assumptions and Catalog'!$E$62+'Assumptions and Catalog'!$F$62,IF(L761&lt;='Assumptions and Catalog'!$C$63,L761*'Assumptions and Catalog'!$H$63+'Assumptions and Catalog'!$E$63+'Assumptions and Catalog'!$F$63,IF(L761&lt;='Assumptions and Catalog'!$C$64,L761*'Assumptions and Catalog'!$H$64+'Assumptions and Catalog'!$E$64+'Assumptions and Catalog'!$F$64,IF(L761&lt;='Assumptions and Catalog'!$C$65,L761*'Assumptions and Catalog'!$H$65+'Assumptions and Catalog'!$E$65+'Assumptions and Catalog'!$F$65,"Out of range")))))))))*(1+'Assumptions and Catalog'!$C$8)^(A761-1),0)</f>
        <v>5765.4981429645513</v>
      </c>
      <c r="O761" s="5">
        <f t="shared" si="55"/>
        <v>2789.4685237021158</v>
      </c>
      <c r="P761" s="5">
        <f>E$55*(1-L$14)*(1-'Assumptions and Catalog'!$C$23)^R761</f>
        <v>87.118133512374826</v>
      </c>
      <c r="Q761" s="5">
        <f>IF(ISNUMBER(Inputs!$L$5),(IF(Inputs!$L$9="Actual flat rate",((D761+E761)*C761-G761)*Inputs!$L$10,IF(Inputs!$C$9="Residential",IF(((D761+E761)*C761-G761)&lt;='Assumptions and Catalog'!$C$50,((D761+E761)*C761-G761)*'Assumptions and Catalog'!$H$50+'Assumptions and Catalog'!$E$50+'Assumptions and Catalog'!$F$50,IF(((D761+E761)*C761-G761)&lt;='Assumptions and Catalog'!$C$51,((D761+E761)*C761-G761)*'Assumptions and Catalog'!$H$51+'Assumptions and Catalog'!$E$51+'Assumptions and Catalog'!$F$51,IF(((D761+E761)*C761-G761)&lt;='Assumptions and Catalog'!$C$52,((D761+E761)*C761-G761)*'Assumptions and Catalog'!$H$52+'Assumptions and Catalog'!$E$52+'Assumptions and Catalog'!$F$52,IF(((D761+E761)*C761-G761)&lt;='Assumptions and Catalog'!$C$53,((D761+E761)*C761-G761)*'Assumptions and Catalog'!$H$53+'Assumptions and Catalog'!$E$53+'Assumptions and Catalog'!$F$53,IF(((D761+E761)*C761-G761)&lt;='Assumptions and Catalog'!$C$54,((D761+E761)*C761-G761)*'Assumptions and Catalog'!$H$54+'Assumptions and Catalog'!$E$54+'Assumptions and Catalog'!$F$54,IF(((D761+E761)*C761-G761)&lt;='Assumptions and Catalog'!$C$55,((D761+E761)*C761-G761)*'Assumptions and Catalog'!$H$55+'Assumptions and Catalog'!$E$55+'Assumptions and Catalog'!$F$55,IF(((D761+E761)*C761-G761)&lt;='Assumptions and Catalog'!$C$56,((D761+E761)*C761-G761)*'Assumptions and Catalog'!$H$56+'Assumptions and Catalog'!$E$56+'Assumptions and Catalog'!$F$56,IF(((D761+E761)*C761-G761)&lt;='Assumptions and Catalog'!$C$57,((D761+E761)*C761-G761)*'Assumptions and Catalog'!$H$57+'Assumptions and Catalog'!$E$57+'Assumptions and Catalog'!$F$57,"Out of range")))))))),IF(((D761+E761)*C761-G761)&lt;='Assumptions and Catalog'!$C$60,((D761+E761)*C761-G761)*'Assumptions and Catalog'!$H$60+'Assumptions and Catalog'!$E$60+'Assumptions and Catalog'!$F$60,IF(((D761+E761)*C761-G761)&lt;='Assumptions and Catalog'!$C$61,((D761+E761)*C761-G761)*'Assumptions and Catalog'!$H$61+'Assumptions and Catalog'!$E$61+'Assumptions and Catalog'!$F$61,IF(((D761+E761)*C761-G761)&lt;='Assumptions and Catalog'!$C$62,((D761+E761)*C761-G761)*'Assumptions and Catalog'!$H$62+'Assumptions and Catalog'!$E$62+'Assumptions and Catalog'!$F$62,IF(((D761+E761)*C761-G761)&lt;='Assumptions and Catalog'!$C$63,((D761+E761)*C761-G761)*'Assumptions and Catalog'!$H$63+'Assumptions and Catalog'!$E$63+'Assumptions and Catalog'!$F$63,IF(((D761+E761)*C761-G761)&lt;='Assumptions and Catalog'!$C$64,((D761+E761)*C761-G761)*'Assumptions and Catalog'!$H$64+'Assumptions and Catalog'!$E$64+'Assumptions and Catalog'!$F$64,IF(((D761+E761)*C761-G761)&lt;='Assumptions and Catalog'!$C$65,((D761+E761)*C761-G761)*'Assumptions and Catalog'!$H$65+'Assumptions and Catalog'!$E$65+'Assumptions and Catalog'!$F$65,"Out of range")))))))))*(1+'Assumptions and Catalog'!$C$8)^(A761-1),0)</f>
        <v>5765.4981429645513</v>
      </c>
      <c r="R761" s="5">
        <f>IF(AND('Assumptions and Catalog'!$C$19&gt;0,A761&gt;='Assumptions and Catalog'!$C$19),A761-'Assumptions and Catalog'!$C$19,A761-1)</f>
        <v>8</v>
      </c>
      <c r="S761" s="5">
        <f>F761+L761-(D761+E761)*C761-J761-K761-IF(E$52&gt;0,'Assumptions and Catalog'!$C$26*C761,0)</f>
        <v>0</v>
      </c>
      <c r="T761" s="5"/>
      <c r="U761" s="5"/>
    </row>
    <row r="762" spans="1:21" ht="23.1" customHeight="1" outlineLevel="1" x14ac:dyDescent="0.2">
      <c r="A762" s="5">
        <v>9</v>
      </c>
      <c r="B762" s="5">
        <v>6</v>
      </c>
      <c r="C762" s="5">
        <f>DAY(DATE('Assumptions and Catalog'!$C$24+A762-1,B762+1,0))</f>
        <v>30</v>
      </c>
      <c r="D762" s="5">
        <f>IF(ISNUMBER(Inputs!$L$5),Inputs!$L$5*Inputs!$L$6,0)</f>
        <v>40.35</v>
      </c>
      <c r="E762" s="5">
        <f>IF(ISNUMBER(Inputs!$L$5),Inputs!$L$5-D762,0)</f>
        <v>40.35</v>
      </c>
      <c r="F762" s="5">
        <f>E$51*'Assumptions and Catalog'!$C$31*C762*(1-'Assumptions and Catalog'!$C$10)^(A762-1)</f>
        <v>789.40147390593654</v>
      </c>
      <c r="G762" s="5">
        <f t="shared" si="52"/>
        <v>789.40147390593654</v>
      </c>
      <c r="H762" s="5">
        <f>I762/('Assumptions and Catalog'!$C$11*'Assumptions and Catalog'!$C$12)</f>
        <v>0</v>
      </c>
      <c r="I762" s="5">
        <f>MIN(E762*C762,P762*'Assumptions and Catalog'!$C$12*C762,(F762-G762)*'Assumptions and Catalog'!$C$11*'Assumptions and Catalog'!$C$12,E$56*'Assumptions and Catalog'!$C$14*'Assumptions and Catalog'!$C$11*'Assumptions and Catalog'!$C$12*C762,E$57*(24-'Assumptions and Catalog'!$C$13)*C762)</f>
        <v>0</v>
      </c>
      <c r="J762" s="5">
        <f t="shared" si="53"/>
        <v>0</v>
      </c>
      <c r="K762" s="5">
        <f t="shared" si="54"/>
        <v>0</v>
      </c>
      <c r="L762" s="5">
        <f>(D762+E762)*C762-G762-I762+0+IF(E$52&gt;0,'Assumptions and Catalog'!$C$26*C762,0)</f>
        <v>1631.5985260940633</v>
      </c>
      <c r="M762" s="5">
        <f>IF(ISNUMBER(Inputs!$L$5),(IF(Inputs!$L$9="Actual flat rate",((D762+E762)*C762)*Inputs!$L$10,IF(Inputs!$C$9="Residential",IF(((D762+E762)*C762)&lt;='Assumptions and Catalog'!$C$50,((D762+E762)*C762)*'Assumptions and Catalog'!$H$50+'Assumptions and Catalog'!$E$50+'Assumptions and Catalog'!$F$50,IF(((D762+E762)*C762)&lt;='Assumptions and Catalog'!$C$51,((D762+E762)*C762)*'Assumptions and Catalog'!$H$51+'Assumptions and Catalog'!$E$51+'Assumptions and Catalog'!$F$51,IF(((D762+E762)*C762)&lt;='Assumptions and Catalog'!$C$52,((D762+E762)*C762)*'Assumptions and Catalog'!$H$52+'Assumptions and Catalog'!$E$52+'Assumptions and Catalog'!$F$52,IF(((D762+E762)*C762)&lt;='Assumptions and Catalog'!$C$53,((D762+E762)*C762)*'Assumptions and Catalog'!$H$53+'Assumptions and Catalog'!$E$53+'Assumptions and Catalog'!$F$53,IF(((D762+E762)*C762)&lt;='Assumptions and Catalog'!$C$54,((D762+E762)*C762)*'Assumptions and Catalog'!$H$54+'Assumptions and Catalog'!$E$54+'Assumptions and Catalog'!$F$54,IF(((D762+E762)*C762)&lt;='Assumptions and Catalog'!$C$55,((D762+E762)*C762)*'Assumptions and Catalog'!$H$55+'Assumptions and Catalog'!$E$55+'Assumptions and Catalog'!$F$55,IF(((D762+E762)*C762)&lt;='Assumptions and Catalog'!$C$56,((D762+E762)*C762)*'Assumptions and Catalog'!$H$56+'Assumptions and Catalog'!$E$56+'Assumptions and Catalog'!$F$56,IF(((D762+E762)*C762)&lt;='Assumptions and Catalog'!$C$57,((D762+E762)*C762)*'Assumptions and Catalog'!$H$57+'Assumptions and Catalog'!$E$57+'Assumptions and Catalog'!$F$57,"Out of range")))))))),IF(((D762+E762)*C762)&lt;='Assumptions and Catalog'!$C$60,((D762+E762)*C762)*'Assumptions and Catalog'!$H$60+'Assumptions and Catalog'!$E$60+'Assumptions and Catalog'!$F$60,IF(((D762+E762)*C762)&lt;='Assumptions and Catalog'!$C$61,((D762+E762)*C762)*'Assumptions and Catalog'!$H$61+'Assumptions and Catalog'!$E$61+'Assumptions and Catalog'!$F$61,IF(((D762+E762)*C762)&lt;='Assumptions and Catalog'!$C$62,((D762+E762)*C762)*'Assumptions and Catalog'!$H$62+'Assumptions and Catalog'!$E$62+'Assumptions and Catalog'!$F$62,IF(((D762+E762)*C762)&lt;='Assumptions and Catalog'!$C$63,((D762+E762)*C762)*'Assumptions and Catalog'!$H$63+'Assumptions and Catalog'!$E$63+'Assumptions and Catalog'!$F$63,IF(((D762+E762)*C762)&lt;='Assumptions and Catalog'!$C$64,((D762+E762)*C762)*'Assumptions and Catalog'!$H$64+'Assumptions and Catalog'!$E$64+'Assumptions and Catalog'!$F$64,IF(((D762+E762)*C762)&lt;='Assumptions and Catalog'!$C$65,((D762+E762)*C762)*'Assumptions and Catalog'!$H$65+'Assumptions and Catalog'!$E$65+'Assumptions and Catalog'!$F$65,"Out of range")))))))))*(1+'Assumptions and Catalog'!$C$8)^(A762-1),0)</f>
        <v>8279</v>
      </c>
      <c r="N762" s="5">
        <f>IF(ISNUMBER(Inputs!$L$5),(IF(Inputs!$L$9="Actual flat rate",L762*Inputs!$L$10,IF(Inputs!$C$9="Residential",IF(L762&lt;='Assumptions and Catalog'!$C$50,L762*'Assumptions and Catalog'!$H$50+'Assumptions and Catalog'!$E$50+'Assumptions and Catalog'!$F$50,IF(L762&lt;='Assumptions and Catalog'!$C$51,L762*'Assumptions and Catalog'!$H$51+'Assumptions and Catalog'!$E$51+'Assumptions and Catalog'!$F$51,IF(L762&lt;='Assumptions and Catalog'!$C$52,L762*'Assumptions and Catalog'!$H$52+'Assumptions and Catalog'!$E$52+'Assumptions and Catalog'!$F$52,IF(L762&lt;='Assumptions and Catalog'!$C$53,L762*'Assumptions and Catalog'!$H$53+'Assumptions and Catalog'!$E$53+'Assumptions and Catalog'!$F$53,IF(L762&lt;='Assumptions and Catalog'!$C$54,L762*'Assumptions and Catalog'!$H$54+'Assumptions and Catalog'!$E$54+'Assumptions and Catalog'!$F$54,IF(L762&lt;='Assumptions and Catalog'!$C$55,L762*'Assumptions and Catalog'!$H$55+'Assumptions and Catalog'!$E$55+'Assumptions and Catalog'!$F$55,IF(L762&lt;='Assumptions and Catalog'!$C$56,L762*'Assumptions and Catalog'!$H$56+'Assumptions and Catalog'!$E$56+'Assumptions and Catalog'!$F$56,IF(L762&lt;='Assumptions and Catalog'!$C$57,L762*'Assumptions and Catalog'!$H$57+'Assumptions and Catalog'!$E$57+'Assumptions and Catalog'!$F$57,"Out of range")))))))),IF(L762&lt;='Assumptions and Catalog'!$C$60,L762*'Assumptions and Catalog'!$H$60+'Assumptions and Catalog'!$E$60+'Assumptions and Catalog'!$F$60,IF(L762&lt;='Assumptions and Catalog'!$C$61,L762*'Assumptions and Catalog'!$H$61+'Assumptions and Catalog'!$E$61+'Assumptions and Catalog'!$F$61,IF(L762&lt;='Assumptions and Catalog'!$C$62,L762*'Assumptions and Catalog'!$H$62+'Assumptions and Catalog'!$E$62+'Assumptions and Catalog'!$F$62,IF(L762&lt;='Assumptions and Catalog'!$C$63,L762*'Assumptions and Catalog'!$H$63+'Assumptions and Catalog'!$E$63+'Assumptions and Catalog'!$F$63,IF(L762&lt;='Assumptions and Catalog'!$C$64,L762*'Assumptions and Catalog'!$H$64+'Assumptions and Catalog'!$E$64+'Assumptions and Catalog'!$F$64,IF(L762&lt;='Assumptions and Catalog'!$C$65,L762*'Assumptions and Catalog'!$H$65+'Assumptions and Catalog'!$E$65+'Assumptions and Catalog'!$F$65,"Out of range")))))))))*(1+'Assumptions and Catalog'!$C$8)^(A762-1),0)</f>
        <v>5579.5143319011768</v>
      </c>
      <c r="O762" s="5">
        <f t="shared" si="55"/>
        <v>2699.4856680988232</v>
      </c>
      <c r="P762" s="5">
        <f>E$55*(1-L$14)*(1-'Assumptions and Catalog'!$C$23)^R762</f>
        <v>87.118133512374826</v>
      </c>
      <c r="Q762" s="5">
        <f>IF(ISNUMBER(Inputs!$L$5),(IF(Inputs!$L$9="Actual flat rate",((D762+E762)*C762-G762)*Inputs!$L$10,IF(Inputs!$C$9="Residential",IF(((D762+E762)*C762-G762)&lt;='Assumptions and Catalog'!$C$50,((D762+E762)*C762-G762)*'Assumptions and Catalog'!$H$50+'Assumptions and Catalog'!$E$50+'Assumptions and Catalog'!$F$50,IF(((D762+E762)*C762-G762)&lt;='Assumptions and Catalog'!$C$51,((D762+E762)*C762-G762)*'Assumptions and Catalog'!$H$51+'Assumptions and Catalog'!$E$51+'Assumptions and Catalog'!$F$51,IF(((D762+E762)*C762-G762)&lt;='Assumptions and Catalog'!$C$52,((D762+E762)*C762-G762)*'Assumptions and Catalog'!$H$52+'Assumptions and Catalog'!$E$52+'Assumptions and Catalog'!$F$52,IF(((D762+E762)*C762-G762)&lt;='Assumptions and Catalog'!$C$53,((D762+E762)*C762-G762)*'Assumptions and Catalog'!$H$53+'Assumptions and Catalog'!$E$53+'Assumptions and Catalog'!$F$53,IF(((D762+E762)*C762-G762)&lt;='Assumptions and Catalog'!$C$54,((D762+E762)*C762-G762)*'Assumptions and Catalog'!$H$54+'Assumptions and Catalog'!$E$54+'Assumptions and Catalog'!$F$54,IF(((D762+E762)*C762-G762)&lt;='Assumptions and Catalog'!$C$55,((D762+E762)*C762-G762)*'Assumptions and Catalog'!$H$55+'Assumptions and Catalog'!$E$55+'Assumptions and Catalog'!$F$55,IF(((D762+E762)*C762-G762)&lt;='Assumptions and Catalog'!$C$56,((D762+E762)*C762-G762)*'Assumptions and Catalog'!$H$56+'Assumptions and Catalog'!$E$56+'Assumptions and Catalog'!$F$56,IF(((D762+E762)*C762-G762)&lt;='Assumptions and Catalog'!$C$57,((D762+E762)*C762-G762)*'Assumptions and Catalog'!$H$57+'Assumptions and Catalog'!$E$57+'Assumptions and Catalog'!$F$57,"Out of range")))))))),IF(((D762+E762)*C762-G762)&lt;='Assumptions and Catalog'!$C$60,((D762+E762)*C762-G762)*'Assumptions and Catalog'!$H$60+'Assumptions and Catalog'!$E$60+'Assumptions and Catalog'!$F$60,IF(((D762+E762)*C762-G762)&lt;='Assumptions and Catalog'!$C$61,((D762+E762)*C762-G762)*'Assumptions and Catalog'!$H$61+'Assumptions and Catalog'!$E$61+'Assumptions and Catalog'!$F$61,IF(((D762+E762)*C762-G762)&lt;='Assumptions and Catalog'!$C$62,((D762+E762)*C762-G762)*'Assumptions and Catalog'!$H$62+'Assumptions and Catalog'!$E$62+'Assumptions and Catalog'!$F$62,IF(((D762+E762)*C762-G762)&lt;='Assumptions and Catalog'!$C$63,((D762+E762)*C762-G762)*'Assumptions and Catalog'!$H$63+'Assumptions and Catalog'!$E$63+'Assumptions and Catalog'!$F$63,IF(((D762+E762)*C762-G762)&lt;='Assumptions and Catalog'!$C$64,((D762+E762)*C762-G762)*'Assumptions and Catalog'!$H$64+'Assumptions and Catalog'!$E$64+'Assumptions and Catalog'!$F$64,IF(((D762+E762)*C762-G762)&lt;='Assumptions and Catalog'!$C$65,((D762+E762)*C762-G762)*'Assumptions and Catalog'!$H$65+'Assumptions and Catalog'!$E$65+'Assumptions and Catalog'!$F$65,"Out of range")))))))))*(1+'Assumptions and Catalog'!$C$8)^(A762-1),0)</f>
        <v>5579.5143319011768</v>
      </c>
      <c r="R762" s="5">
        <f>IF(AND('Assumptions and Catalog'!$C$19&gt;0,A762&gt;='Assumptions and Catalog'!$C$19),A762-'Assumptions and Catalog'!$C$19,A762-1)</f>
        <v>8</v>
      </c>
      <c r="S762" s="5">
        <f>F762+L762-(D762+E762)*C762-J762-K762-IF(E$52&gt;0,'Assumptions and Catalog'!$C$26*C762,0)</f>
        <v>0</v>
      </c>
      <c r="T762" s="5"/>
      <c r="U762" s="5"/>
    </row>
    <row r="763" spans="1:21" ht="23.1" customHeight="1" outlineLevel="1" x14ac:dyDescent="0.2">
      <c r="A763" s="5">
        <v>9</v>
      </c>
      <c r="B763" s="5">
        <v>7</v>
      </c>
      <c r="C763" s="5">
        <f>DAY(DATE('Assumptions and Catalog'!$C$24+A763-1,B763+1,0))</f>
        <v>31</v>
      </c>
      <c r="D763" s="5">
        <f>IF(ISNUMBER(Inputs!$L$5),Inputs!$L$5*Inputs!$L$6,0)</f>
        <v>40.35</v>
      </c>
      <c r="E763" s="5">
        <f>IF(ISNUMBER(Inputs!$L$5),Inputs!$L$5-D763,0)</f>
        <v>40.35</v>
      </c>
      <c r="F763" s="5">
        <f>E$51*'Assumptions and Catalog'!$C$31*C763*(1-'Assumptions and Catalog'!$C$10)^(A763-1)</f>
        <v>815.71485636946784</v>
      </c>
      <c r="G763" s="5">
        <f t="shared" si="52"/>
        <v>815.71485636946784</v>
      </c>
      <c r="H763" s="5">
        <f>I763/('Assumptions and Catalog'!$C$11*'Assumptions and Catalog'!$C$12)</f>
        <v>0</v>
      </c>
      <c r="I763" s="5">
        <f>MIN(E763*C763,P763*'Assumptions and Catalog'!$C$12*C763,(F763-G763)*'Assumptions and Catalog'!$C$11*'Assumptions and Catalog'!$C$12,E$56*'Assumptions and Catalog'!$C$14*'Assumptions and Catalog'!$C$11*'Assumptions and Catalog'!$C$12*C763,E$57*(24-'Assumptions and Catalog'!$C$13)*C763)</f>
        <v>0</v>
      </c>
      <c r="J763" s="5">
        <f t="shared" si="53"/>
        <v>0</v>
      </c>
      <c r="K763" s="5">
        <f t="shared" si="54"/>
        <v>0</v>
      </c>
      <c r="L763" s="5">
        <f>(D763+E763)*C763-G763-I763+0+IF(E$52&gt;0,'Assumptions and Catalog'!$C$26*C763,0)</f>
        <v>1685.9851436305325</v>
      </c>
      <c r="M763" s="5">
        <f>IF(ISNUMBER(Inputs!$L$5),(IF(Inputs!$L$9="Actual flat rate",((D763+E763)*C763)*Inputs!$L$10,IF(Inputs!$C$9="Residential",IF(((D763+E763)*C763)&lt;='Assumptions and Catalog'!$C$50,((D763+E763)*C763)*'Assumptions and Catalog'!$H$50+'Assumptions and Catalog'!$E$50+'Assumptions and Catalog'!$F$50,IF(((D763+E763)*C763)&lt;='Assumptions and Catalog'!$C$51,((D763+E763)*C763)*'Assumptions and Catalog'!$H$51+'Assumptions and Catalog'!$E$51+'Assumptions and Catalog'!$F$51,IF(((D763+E763)*C763)&lt;='Assumptions and Catalog'!$C$52,((D763+E763)*C763)*'Assumptions and Catalog'!$H$52+'Assumptions and Catalog'!$E$52+'Assumptions and Catalog'!$F$52,IF(((D763+E763)*C763)&lt;='Assumptions and Catalog'!$C$53,((D763+E763)*C763)*'Assumptions and Catalog'!$H$53+'Assumptions and Catalog'!$E$53+'Assumptions and Catalog'!$F$53,IF(((D763+E763)*C763)&lt;='Assumptions and Catalog'!$C$54,((D763+E763)*C763)*'Assumptions and Catalog'!$H$54+'Assumptions and Catalog'!$E$54+'Assumptions and Catalog'!$F$54,IF(((D763+E763)*C763)&lt;='Assumptions and Catalog'!$C$55,((D763+E763)*C763)*'Assumptions and Catalog'!$H$55+'Assumptions and Catalog'!$E$55+'Assumptions and Catalog'!$F$55,IF(((D763+E763)*C763)&lt;='Assumptions and Catalog'!$C$56,((D763+E763)*C763)*'Assumptions and Catalog'!$H$56+'Assumptions and Catalog'!$E$56+'Assumptions and Catalog'!$F$56,IF(((D763+E763)*C763)&lt;='Assumptions and Catalog'!$C$57,((D763+E763)*C763)*'Assumptions and Catalog'!$H$57+'Assumptions and Catalog'!$E$57+'Assumptions and Catalog'!$F$57,"Out of range")))))))),IF(((D763+E763)*C763)&lt;='Assumptions and Catalog'!$C$60,((D763+E763)*C763)*'Assumptions and Catalog'!$H$60+'Assumptions and Catalog'!$E$60+'Assumptions and Catalog'!$F$60,IF(((D763+E763)*C763)&lt;='Assumptions and Catalog'!$C$61,((D763+E763)*C763)*'Assumptions and Catalog'!$H$61+'Assumptions and Catalog'!$E$61+'Assumptions and Catalog'!$F$61,IF(((D763+E763)*C763)&lt;='Assumptions and Catalog'!$C$62,((D763+E763)*C763)*'Assumptions and Catalog'!$H$62+'Assumptions and Catalog'!$E$62+'Assumptions and Catalog'!$F$62,IF(((D763+E763)*C763)&lt;='Assumptions and Catalog'!$C$63,((D763+E763)*C763)*'Assumptions and Catalog'!$H$63+'Assumptions and Catalog'!$E$63+'Assumptions and Catalog'!$F$63,IF(((D763+E763)*C763)&lt;='Assumptions and Catalog'!$C$64,((D763+E763)*C763)*'Assumptions and Catalog'!$H$64+'Assumptions and Catalog'!$E$64+'Assumptions and Catalog'!$F$64,IF(((D763+E763)*C763)&lt;='Assumptions and Catalog'!$C$65,((D763+E763)*C763)*'Assumptions and Catalog'!$H$65+'Assumptions and Catalog'!$E$65+'Assumptions and Catalog'!$F$65,"Out of range")))))))))*(1+'Assumptions and Catalog'!$C$8)^(A763-1),0)</f>
        <v>8554.9666666666672</v>
      </c>
      <c r="N763" s="5">
        <f>IF(ISNUMBER(Inputs!$L$5),(IF(Inputs!$L$9="Actual flat rate",L763*Inputs!$L$10,IF(Inputs!$C$9="Residential",IF(L763&lt;='Assumptions and Catalog'!$C$50,L763*'Assumptions and Catalog'!$H$50+'Assumptions and Catalog'!$E$50+'Assumptions and Catalog'!$F$50,IF(L763&lt;='Assumptions and Catalog'!$C$51,L763*'Assumptions and Catalog'!$H$51+'Assumptions and Catalog'!$E$51+'Assumptions and Catalog'!$F$51,IF(L763&lt;='Assumptions and Catalog'!$C$52,L763*'Assumptions and Catalog'!$H$52+'Assumptions and Catalog'!$E$52+'Assumptions and Catalog'!$F$52,IF(L763&lt;='Assumptions and Catalog'!$C$53,L763*'Assumptions and Catalog'!$H$53+'Assumptions and Catalog'!$E$53+'Assumptions and Catalog'!$F$53,IF(L763&lt;='Assumptions and Catalog'!$C$54,L763*'Assumptions and Catalog'!$H$54+'Assumptions and Catalog'!$E$54+'Assumptions and Catalog'!$F$54,IF(L763&lt;='Assumptions and Catalog'!$C$55,L763*'Assumptions and Catalog'!$H$55+'Assumptions and Catalog'!$E$55+'Assumptions and Catalog'!$F$55,IF(L763&lt;='Assumptions and Catalog'!$C$56,L763*'Assumptions and Catalog'!$H$56+'Assumptions and Catalog'!$E$56+'Assumptions and Catalog'!$F$56,IF(L763&lt;='Assumptions and Catalog'!$C$57,L763*'Assumptions and Catalog'!$H$57+'Assumptions and Catalog'!$E$57+'Assumptions and Catalog'!$F$57,"Out of range")))))))),IF(L763&lt;='Assumptions and Catalog'!$C$60,L763*'Assumptions and Catalog'!$H$60+'Assumptions and Catalog'!$E$60+'Assumptions and Catalog'!$F$60,IF(L763&lt;='Assumptions and Catalog'!$C$61,L763*'Assumptions and Catalog'!$H$61+'Assumptions and Catalog'!$E$61+'Assumptions and Catalog'!$F$61,IF(L763&lt;='Assumptions and Catalog'!$C$62,L763*'Assumptions and Catalog'!$H$62+'Assumptions and Catalog'!$E$62+'Assumptions and Catalog'!$F$62,IF(L763&lt;='Assumptions and Catalog'!$C$63,L763*'Assumptions and Catalog'!$H$63+'Assumptions and Catalog'!$E$63+'Assumptions and Catalog'!$F$63,IF(L763&lt;='Assumptions and Catalog'!$C$64,L763*'Assumptions and Catalog'!$H$64+'Assumptions and Catalog'!$E$64+'Assumptions and Catalog'!$F$64,IF(L763&lt;='Assumptions and Catalog'!$C$65,L763*'Assumptions and Catalog'!$H$65+'Assumptions and Catalog'!$E$65+'Assumptions and Catalog'!$F$65,"Out of range")))))))))*(1+'Assumptions and Catalog'!$C$8)^(A763-1),0)</f>
        <v>5765.4981429645513</v>
      </c>
      <c r="O763" s="5">
        <f t="shared" si="55"/>
        <v>2789.4685237021158</v>
      </c>
      <c r="P763" s="5">
        <f>E$55*(1-L$14)*(1-'Assumptions and Catalog'!$C$23)^R763</f>
        <v>87.118133512374826</v>
      </c>
      <c r="Q763" s="5">
        <f>IF(ISNUMBER(Inputs!$L$5),(IF(Inputs!$L$9="Actual flat rate",((D763+E763)*C763-G763)*Inputs!$L$10,IF(Inputs!$C$9="Residential",IF(((D763+E763)*C763-G763)&lt;='Assumptions and Catalog'!$C$50,((D763+E763)*C763-G763)*'Assumptions and Catalog'!$H$50+'Assumptions and Catalog'!$E$50+'Assumptions and Catalog'!$F$50,IF(((D763+E763)*C763-G763)&lt;='Assumptions and Catalog'!$C$51,((D763+E763)*C763-G763)*'Assumptions and Catalog'!$H$51+'Assumptions and Catalog'!$E$51+'Assumptions and Catalog'!$F$51,IF(((D763+E763)*C763-G763)&lt;='Assumptions and Catalog'!$C$52,((D763+E763)*C763-G763)*'Assumptions and Catalog'!$H$52+'Assumptions and Catalog'!$E$52+'Assumptions and Catalog'!$F$52,IF(((D763+E763)*C763-G763)&lt;='Assumptions and Catalog'!$C$53,((D763+E763)*C763-G763)*'Assumptions and Catalog'!$H$53+'Assumptions and Catalog'!$E$53+'Assumptions and Catalog'!$F$53,IF(((D763+E763)*C763-G763)&lt;='Assumptions and Catalog'!$C$54,((D763+E763)*C763-G763)*'Assumptions and Catalog'!$H$54+'Assumptions and Catalog'!$E$54+'Assumptions and Catalog'!$F$54,IF(((D763+E763)*C763-G763)&lt;='Assumptions and Catalog'!$C$55,((D763+E763)*C763-G763)*'Assumptions and Catalog'!$H$55+'Assumptions and Catalog'!$E$55+'Assumptions and Catalog'!$F$55,IF(((D763+E763)*C763-G763)&lt;='Assumptions and Catalog'!$C$56,((D763+E763)*C763-G763)*'Assumptions and Catalog'!$H$56+'Assumptions and Catalog'!$E$56+'Assumptions and Catalog'!$F$56,IF(((D763+E763)*C763-G763)&lt;='Assumptions and Catalog'!$C$57,((D763+E763)*C763-G763)*'Assumptions and Catalog'!$H$57+'Assumptions and Catalog'!$E$57+'Assumptions and Catalog'!$F$57,"Out of range")))))))),IF(((D763+E763)*C763-G763)&lt;='Assumptions and Catalog'!$C$60,((D763+E763)*C763-G763)*'Assumptions and Catalog'!$H$60+'Assumptions and Catalog'!$E$60+'Assumptions and Catalog'!$F$60,IF(((D763+E763)*C763-G763)&lt;='Assumptions and Catalog'!$C$61,((D763+E763)*C763-G763)*'Assumptions and Catalog'!$H$61+'Assumptions and Catalog'!$E$61+'Assumptions and Catalog'!$F$61,IF(((D763+E763)*C763-G763)&lt;='Assumptions and Catalog'!$C$62,((D763+E763)*C763-G763)*'Assumptions and Catalog'!$H$62+'Assumptions and Catalog'!$E$62+'Assumptions and Catalog'!$F$62,IF(((D763+E763)*C763-G763)&lt;='Assumptions and Catalog'!$C$63,((D763+E763)*C763-G763)*'Assumptions and Catalog'!$H$63+'Assumptions and Catalog'!$E$63+'Assumptions and Catalog'!$F$63,IF(((D763+E763)*C763-G763)&lt;='Assumptions and Catalog'!$C$64,((D763+E763)*C763-G763)*'Assumptions and Catalog'!$H$64+'Assumptions and Catalog'!$E$64+'Assumptions and Catalog'!$F$64,IF(((D763+E763)*C763-G763)&lt;='Assumptions and Catalog'!$C$65,((D763+E763)*C763-G763)*'Assumptions and Catalog'!$H$65+'Assumptions and Catalog'!$E$65+'Assumptions and Catalog'!$F$65,"Out of range")))))))))*(1+'Assumptions and Catalog'!$C$8)^(A763-1),0)</f>
        <v>5765.4981429645513</v>
      </c>
      <c r="R763" s="5">
        <f>IF(AND('Assumptions and Catalog'!$C$19&gt;0,A763&gt;='Assumptions and Catalog'!$C$19),A763-'Assumptions and Catalog'!$C$19,A763-1)</f>
        <v>8</v>
      </c>
      <c r="S763" s="5">
        <f>F763+L763-(D763+E763)*C763-J763-K763-IF(E$52&gt;0,'Assumptions and Catalog'!$C$26*C763,0)</f>
        <v>0</v>
      </c>
      <c r="T763" s="5"/>
      <c r="U763" s="5"/>
    </row>
    <row r="764" spans="1:21" ht="23.1" customHeight="1" outlineLevel="1" x14ac:dyDescent="0.2">
      <c r="A764" s="5">
        <v>9</v>
      </c>
      <c r="B764" s="5">
        <v>8</v>
      </c>
      <c r="C764" s="5">
        <f>DAY(DATE('Assumptions and Catalog'!$C$24+A764-1,B764+1,0))</f>
        <v>31</v>
      </c>
      <c r="D764" s="5">
        <f>IF(ISNUMBER(Inputs!$L$5),Inputs!$L$5*Inputs!$L$6,0)</f>
        <v>40.35</v>
      </c>
      <c r="E764" s="5">
        <f>IF(ISNUMBER(Inputs!$L$5),Inputs!$L$5-D764,0)</f>
        <v>40.35</v>
      </c>
      <c r="F764" s="5">
        <f>E$51*'Assumptions and Catalog'!$C$31*C764*(1-'Assumptions and Catalog'!$C$10)^(A764-1)</f>
        <v>815.71485636946784</v>
      </c>
      <c r="G764" s="5">
        <f t="shared" si="52"/>
        <v>815.71485636946784</v>
      </c>
      <c r="H764" s="5">
        <f>I764/('Assumptions and Catalog'!$C$11*'Assumptions and Catalog'!$C$12)</f>
        <v>0</v>
      </c>
      <c r="I764" s="5">
        <f>MIN(E764*C764,P764*'Assumptions and Catalog'!$C$12*C764,(F764-G764)*'Assumptions and Catalog'!$C$11*'Assumptions and Catalog'!$C$12,E$56*'Assumptions and Catalog'!$C$14*'Assumptions and Catalog'!$C$11*'Assumptions and Catalog'!$C$12*C764,E$57*(24-'Assumptions and Catalog'!$C$13)*C764)</f>
        <v>0</v>
      </c>
      <c r="J764" s="5">
        <f t="shared" si="53"/>
        <v>0</v>
      </c>
      <c r="K764" s="5">
        <f t="shared" si="54"/>
        <v>0</v>
      </c>
      <c r="L764" s="5">
        <f>(D764+E764)*C764-G764-I764+0+IF(E$52&gt;0,'Assumptions and Catalog'!$C$26*C764,0)</f>
        <v>1685.9851436305325</v>
      </c>
      <c r="M764" s="5">
        <f>IF(ISNUMBER(Inputs!$L$5),(IF(Inputs!$L$9="Actual flat rate",((D764+E764)*C764)*Inputs!$L$10,IF(Inputs!$C$9="Residential",IF(((D764+E764)*C764)&lt;='Assumptions and Catalog'!$C$50,((D764+E764)*C764)*'Assumptions and Catalog'!$H$50+'Assumptions and Catalog'!$E$50+'Assumptions and Catalog'!$F$50,IF(((D764+E764)*C764)&lt;='Assumptions and Catalog'!$C$51,((D764+E764)*C764)*'Assumptions and Catalog'!$H$51+'Assumptions and Catalog'!$E$51+'Assumptions and Catalog'!$F$51,IF(((D764+E764)*C764)&lt;='Assumptions and Catalog'!$C$52,((D764+E764)*C764)*'Assumptions and Catalog'!$H$52+'Assumptions and Catalog'!$E$52+'Assumptions and Catalog'!$F$52,IF(((D764+E764)*C764)&lt;='Assumptions and Catalog'!$C$53,((D764+E764)*C764)*'Assumptions and Catalog'!$H$53+'Assumptions and Catalog'!$E$53+'Assumptions and Catalog'!$F$53,IF(((D764+E764)*C764)&lt;='Assumptions and Catalog'!$C$54,((D764+E764)*C764)*'Assumptions and Catalog'!$H$54+'Assumptions and Catalog'!$E$54+'Assumptions and Catalog'!$F$54,IF(((D764+E764)*C764)&lt;='Assumptions and Catalog'!$C$55,((D764+E764)*C764)*'Assumptions and Catalog'!$H$55+'Assumptions and Catalog'!$E$55+'Assumptions and Catalog'!$F$55,IF(((D764+E764)*C764)&lt;='Assumptions and Catalog'!$C$56,((D764+E764)*C764)*'Assumptions and Catalog'!$H$56+'Assumptions and Catalog'!$E$56+'Assumptions and Catalog'!$F$56,IF(((D764+E764)*C764)&lt;='Assumptions and Catalog'!$C$57,((D764+E764)*C764)*'Assumptions and Catalog'!$H$57+'Assumptions and Catalog'!$E$57+'Assumptions and Catalog'!$F$57,"Out of range")))))))),IF(((D764+E764)*C764)&lt;='Assumptions and Catalog'!$C$60,((D764+E764)*C764)*'Assumptions and Catalog'!$H$60+'Assumptions and Catalog'!$E$60+'Assumptions and Catalog'!$F$60,IF(((D764+E764)*C764)&lt;='Assumptions and Catalog'!$C$61,((D764+E764)*C764)*'Assumptions and Catalog'!$H$61+'Assumptions and Catalog'!$E$61+'Assumptions and Catalog'!$F$61,IF(((D764+E764)*C764)&lt;='Assumptions and Catalog'!$C$62,((D764+E764)*C764)*'Assumptions and Catalog'!$H$62+'Assumptions and Catalog'!$E$62+'Assumptions and Catalog'!$F$62,IF(((D764+E764)*C764)&lt;='Assumptions and Catalog'!$C$63,((D764+E764)*C764)*'Assumptions and Catalog'!$H$63+'Assumptions and Catalog'!$E$63+'Assumptions and Catalog'!$F$63,IF(((D764+E764)*C764)&lt;='Assumptions and Catalog'!$C$64,((D764+E764)*C764)*'Assumptions and Catalog'!$H$64+'Assumptions and Catalog'!$E$64+'Assumptions and Catalog'!$F$64,IF(((D764+E764)*C764)&lt;='Assumptions and Catalog'!$C$65,((D764+E764)*C764)*'Assumptions and Catalog'!$H$65+'Assumptions and Catalog'!$E$65+'Assumptions and Catalog'!$F$65,"Out of range")))))))))*(1+'Assumptions and Catalog'!$C$8)^(A764-1),0)</f>
        <v>8554.9666666666672</v>
      </c>
      <c r="N764" s="5">
        <f>IF(ISNUMBER(Inputs!$L$5),(IF(Inputs!$L$9="Actual flat rate",L764*Inputs!$L$10,IF(Inputs!$C$9="Residential",IF(L764&lt;='Assumptions and Catalog'!$C$50,L764*'Assumptions and Catalog'!$H$50+'Assumptions and Catalog'!$E$50+'Assumptions and Catalog'!$F$50,IF(L764&lt;='Assumptions and Catalog'!$C$51,L764*'Assumptions and Catalog'!$H$51+'Assumptions and Catalog'!$E$51+'Assumptions and Catalog'!$F$51,IF(L764&lt;='Assumptions and Catalog'!$C$52,L764*'Assumptions and Catalog'!$H$52+'Assumptions and Catalog'!$E$52+'Assumptions and Catalog'!$F$52,IF(L764&lt;='Assumptions and Catalog'!$C$53,L764*'Assumptions and Catalog'!$H$53+'Assumptions and Catalog'!$E$53+'Assumptions and Catalog'!$F$53,IF(L764&lt;='Assumptions and Catalog'!$C$54,L764*'Assumptions and Catalog'!$H$54+'Assumptions and Catalog'!$E$54+'Assumptions and Catalog'!$F$54,IF(L764&lt;='Assumptions and Catalog'!$C$55,L764*'Assumptions and Catalog'!$H$55+'Assumptions and Catalog'!$E$55+'Assumptions and Catalog'!$F$55,IF(L764&lt;='Assumptions and Catalog'!$C$56,L764*'Assumptions and Catalog'!$H$56+'Assumptions and Catalog'!$E$56+'Assumptions and Catalog'!$F$56,IF(L764&lt;='Assumptions and Catalog'!$C$57,L764*'Assumptions and Catalog'!$H$57+'Assumptions and Catalog'!$E$57+'Assumptions and Catalog'!$F$57,"Out of range")))))))),IF(L764&lt;='Assumptions and Catalog'!$C$60,L764*'Assumptions and Catalog'!$H$60+'Assumptions and Catalog'!$E$60+'Assumptions and Catalog'!$F$60,IF(L764&lt;='Assumptions and Catalog'!$C$61,L764*'Assumptions and Catalog'!$H$61+'Assumptions and Catalog'!$E$61+'Assumptions and Catalog'!$F$61,IF(L764&lt;='Assumptions and Catalog'!$C$62,L764*'Assumptions and Catalog'!$H$62+'Assumptions and Catalog'!$E$62+'Assumptions and Catalog'!$F$62,IF(L764&lt;='Assumptions and Catalog'!$C$63,L764*'Assumptions and Catalog'!$H$63+'Assumptions and Catalog'!$E$63+'Assumptions and Catalog'!$F$63,IF(L764&lt;='Assumptions and Catalog'!$C$64,L764*'Assumptions and Catalog'!$H$64+'Assumptions and Catalog'!$E$64+'Assumptions and Catalog'!$F$64,IF(L764&lt;='Assumptions and Catalog'!$C$65,L764*'Assumptions and Catalog'!$H$65+'Assumptions and Catalog'!$E$65+'Assumptions and Catalog'!$F$65,"Out of range")))))))))*(1+'Assumptions and Catalog'!$C$8)^(A764-1),0)</f>
        <v>5765.4981429645513</v>
      </c>
      <c r="O764" s="5">
        <f t="shared" si="55"/>
        <v>2789.4685237021158</v>
      </c>
      <c r="P764" s="5">
        <f>E$55*(1-L$14)*(1-'Assumptions and Catalog'!$C$23)^R764</f>
        <v>87.118133512374826</v>
      </c>
      <c r="Q764" s="5">
        <f>IF(ISNUMBER(Inputs!$L$5),(IF(Inputs!$L$9="Actual flat rate",((D764+E764)*C764-G764)*Inputs!$L$10,IF(Inputs!$C$9="Residential",IF(((D764+E764)*C764-G764)&lt;='Assumptions and Catalog'!$C$50,((D764+E764)*C764-G764)*'Assumptions and Catalog'!$H$50+'Assumptions and Catalog'!$E$50+'Assumptions and Catalog'!$F$50,IF(((D764+E764)*C764-G764)&lt;='Assumptions and Catalog'!$C$51,((D764+E764)*C764-G764)*'Assumptions and Catalog'!$H$51+'Assumptions and Catalog'!$E$51+'Assumptions and Catalog'!$F$51,IF(((D764+E764)*C764-G764)&lt;='Assumptions and Catalog'!$C$52,((D764+E764)*C764-G764)*'Assumptions and Catalog'!$H$52+'Assumptions and Catalog'!$E$52+'Assumptions and Catalog'!$F$52,IF(((D764+E764)*C764-G764)&lt;='Assumptions and Catalog'!$C$53,((D764+E764)*C764-G764)*'Assumptions and Catalog'!$H$53+'Assumptions and Catalog'!$E$53+'Assumptions and Catalog'!$F$53,IF(((D764+E764)*C764-G764)&lt;='Assumptions and Catalog'!$C$54,((D764+E764)*C764-G764)*'Assumptions and Catalog'!$H$54+'Assumptions and Catalog'!$E$54+'Assumptions and Catalog'!$F$54,IF(((D764+E764)*C764-G764)&lt;='Assumptions and Catalog'!$C$55,((D764+E764)*C764-G764)*'Assumptions and Catalog'!$H$55+'Assumptions and Catalog'!$E$55+'Assumptions and Catalog'!$F$55,IF(((D764+E764)*C764-G764)&lt;='Assumptions and Catalog'!$C$56,((D764+E764)*C764-G764)*'Assumptions and Catalog'!$H$56+'Assumptions and Catalog'!$E$56+'Assumptions and Catalog'!$F$56,IF(((D764+E764)*C764-G764)&lt;='Assumptions and Catalog'!$C$57,((D764+E764)*C764-G764)*'Assumptions and Catalog'!$H$57+'Assumptions and Catalog'!$E$57+'Assumptions and Catalog'!$F$57,"Out of range")))))))),IF(((D764+E764)*C764-G764)&lt;='Assumptions and Catalog'!$C$60,((D764+E764)*C764-G764)*'Assumptions and Catalog'!$H$60+'Assumptions and Catalog'!$E$60+'Assumptions and Catalog'!$F$60,IF(((D764+E764)*C764-G764)&lt;='Assumptions and Catalog'!$C$61,((D764+E764)*C764-G764)*'Assumptions and Catalog'!$H$61+'Assumptions and Catalog'!$E$61+'Assumptions and Catalog'!$F$61,IF(((D764+E764)*C764-G764)&lt;='Assumptions and Catalog'!$C$62,((D764+E764)*C764-G764)*'Assumptions and Catalog'!$H$62+'Assumptions and Catalog'!$E$62+'Assumptions and Catalog'!$F$62,IF(((D764+E764)*C764-G764)&lt;='Assumptions and Catalog'!$C$63,((D764+E764)*C764-G764)*'Assumptions and Catalog'!$H$63+'Assumptions and Catalog'!$E$63+'Assumptions and Catalog'!$F$63,IF(((D764+E764)*C764-G764)&lt;='Assumptions and Catalog'!$C$64,((D764+E764)*C764-G764)*'Assumptions and Catalog'!$H$64+'Assumptions and Catalog'!$E$64+'Assumptions and Catalog'!$F$64,IF(((D764+E764)*C764-G764)&lt;='Assumptions and Catalog'!$C$65,((D764+E764)*C764-G764)*'Assumptions and Catalog'!$H$65+'Assumptions and Catalog'!$E$65+'Assumptions and Catalog'!$F$65,"Out of range")))))))))*(1+'Assumptions and Catalog'!$C$8)^(A764-1),0)</f>
        <v>5765.4981429645513</v>
      </c>
      <c r="R764" s="5">
        <f>IF(AND('Assumptions and Catalog'!$C$19&gt;0,A764&gt;='Assumptions and Catalog'!$C$19),A764-'Assumptions and Catalog'!$C$19,A764-1)</f>
        <v>8</v>
      </c>
      <c r="S764" s="5">
        <f>F764+L764-(D764+E764)*C764-J764-K764-IF(E$52&gt;0,'Assumptions and Catalog'!$C$26*C764,0)</f>
        <v>0</v>
      </c>
      <c r="T764" s="5"/>
      <c r="U764" s="5"/>
    </row>
    <row r="765" spans="1:21" ht="23.1" customHeight="1" outlineLevel="1" x14ac:dyDescent="0.2">
      <c r="A765" s="5">
        <v>9</v>
      </c>
      <c r="B765" s="5">
        <v>9</v>
      </c>
      <c r="C765" s="5">
        <f>DAY(DATE('Assumptions and Catalog'!$C$24+A765-1,B765+1,0))</f>
        <v>30</v>
      </c>
      <c r="D765" s="5">
        <f>IF(ISNUMBER(Inputs!$L$5),Inputs!$L$5*Inputs!$L$6,0)</f>
        <v>40.35</v>
      </c>
      <c r="E765" s="5">
        <f>IF(ISNUMBER(Inputs!$L$5),Inputs!$L$5-D765,0)</f>
        <v>40.35</v>
      </c>
      <c r="F765" s="5">
        <f>E$51*'Assumptions and Catalog'!$C$31*C765*(1-'Assumptions and Catalog'!$C$10)^(A765-1)</f>
        <v>789.40147390593654</v>
      </c>
      <c r="G765" s="5">
        <f t="shared" si="52"/>
        <v>789.40147390593654</v>
      </c>
      <c r="H765" s="5">
        <f>I765/('Assumptions and Catalog'!$C$11*'Assumptions and Catalog'!$C$12)</f>
        <v>0</v>
      </c>
      <c r="I765" s="5">
        <f>MIN(E765*C765,P765*'Assumptions and Catalog'!$C$12*C765,(F765-G765)*'Assumptions and Catalog'!$C$11*'Assumptions and Catalog'!$C$12,E$56*'Assumptions and Catalog'!$C$14*'Assumptions and Catalog'!$C$11*'Assumptions and Catalog'!$C$12*C765,E$57*(24-'Assumptions and Catalog'!$C$13)*C765)</f>
        <v>0</v>
      </c>
      <c r="J765" s="5">
        <f t="shared" si="53"/>
        <v>0</v>
      </c>
      <c r="K765" s="5">
        <f t="shared" si="54"/>
        <v>0</v>
      </c>
      <c r="L765" s="5">
        <f>(D765+E765)*C765-G765-I765+0+IF(E$52&gt;0,'Assumptions and Catalog'!$C$26*C765,0)</f>
        <v>1631.5985260940633</v>
      </c>
      <c r="M765" s="5">
        <f>IF(ISNUMBER(Inputs!$L$5),(IF(Inputs!$L$9="Actual flat rate",((D765+E765)*C765)*Inputs!$L$10,IF(Inputs!$C$9="Residential",IF(((D765+E765)*C765)&lt;='Assumptions and Catalog'!$C$50,((D765+E765)*C765)*'Assumptions and Catalog'!$H$50+'Assumptions and Catalog'!$E$50+'Assumptions and Catalog'!$F$50,IF(((D765+E765)*C765)&lt;='Assumptions and Catalog'!$C$51,((D765+E765)*C765)*'Assumptions and Catalog'!$H$51+'Assumptions and Catalog'!$E$51+'Assumptions and Catalog'!$F$51,IF(((D765+E765)*C765)&lt;='Assumptions and Catalog'!$C$52,((D765+E765)*C765)*'Assumptions and Catalog'!$H$52+'Assumptions and Catalog'!$E$52+'Assumptions and Catalog'!$F$52,IF(((D765+E765)*C765)&lt;='Assumptions and Catalog'!$C$53,((D765+E765)*C765)*'Assumptions and Catalog'!$H$53+'Assumptions and Catalog'!$E$53+'Assumptions and Catalog'!$F$53,IF(((D765+E765)*C765)&lt;='Assumptions and Catalog'!$C$54,((D765+E765)*C765)*'Assumptions and Catalog'!$H$54+'Assumptions and Catalog'!$E$54+'Assumptions and Catalog'!$F$54,IF(((D765+E765)*C765)&lt;='Assumptions and Catalog'!$C$55,((D765+E765)*C765)*'Assumptions and Catalog'!$H$55+'Assumptions and Catalog'!$E$55+'Assumptions and Catalog'!$F$55,IF(((D765+E765)*C765)&lt;='Assumptions and Catalog'!$C$56,((D765+E765)*C765)*'Assumptions and Catalog'!$H$56+'Assumptions and Catalog'!$E$56+'Assumptions and Catalog'!$F$56,IF(((D765+E765)*C765)&lt;='Assumptions and Catalog'!$C$57,((D765+E765)*C765)*'Assumptions and Catalog'!$H$57+'Assumptions and Catalog'!$E$57+'Assumptions and Catalog'!$F$57,"Out of range")))))))),IF(((D765+E765)*C765)&lt;='Assumptions and Catalog'!$C$60,((D765+E765)*C765)*'Assumptions and Catalog'!$H$60+'Assumptions and Catalog'!$E$60+'Assumptions and Catalog'!$F$60,IF(((D765+E765)*C765)&lt;='Assumptions and Catalog'!$C$61,((D765+E765)*C765)*'Assumptions and Catalog'!$H$61+'Assumptions and Catalog'!$E$61+'Assumptions and Catalog'!$F$61,IF(((D765+E765)*C765)&lt;='Assumptions and Catalog'!$C$62,((D765+E765)*C765)*'Assumptions and Catalog'!$H$62+'Assumptions and Catalog'!$E$62+'Assumptions and Catalog'!$F$62,IF(((D765+E765)*C765)&lt;='Assumptions and Catalog'!$C$63,((D765+E765)*C765)*'Assumptions and Catalog'!$H$63+'Assumptions and Catalog'!$E$63+'Assumptions and Catalog'!$F$63,IF(((D765+E765)*C765)&lt;='Assumptions and Catalog'!$C$64,((D765+E765)*C765)*'Assumptions and Catalog'!$H$64+'Assumptions and Catalog'!$E$64+'Assumptions and Catalog'!$F$64,IF(((D765+E765)*C765)&lt;='Assumptions and Catalog'!$C$65,((D765+E765)*C765)*'Assumptions and Catalog'!$H$65+'Assumptions and Catalog'!$E$65+'Assumptions and Catalog'!$F$65,"Out of range")))))))))*(1+'Assumptions and Catalog'!$C$8)^(A765-1),0)</f>
        <v>8279</v>
      </c>
      <c r="N765" s="5">
        <f>IF(ISNUMBER(Inputs!$L$5),(IF(Inputs!$L$9="Actual flat rate",L765*Inputs!$L$10,IF(Inputs!$C$9="Residential",IF(L765&lt;='Assumptions and Catalog'!$C$50,L765*'Assumptions and Catalog'!$H$50+'Assumptions and Catalog'!$E$50+'Assumptions and Catalog'!$F$50,IF(L765&lt;='Assumptions and Catalog'!$C$51,L765*'Assumptions and Catalog'!$H$51+'Assumptions and Catalog'!$E$51+'Assumptions and Catalog'!$F$51,IF(L765&lt;='Assumptions and Catalog'!$C$52,L765*'Assumptions and Catalog'!$H$52+'Assumptions and Catalog'!$E$52+'Assumptions and Catalog'!$F$52,IF(L765&lt;='Assumptions and Catalog'!$C$53,L765*'Assumptions and Catalog'!$H$53+'Assumptions and Catalog'!$E$53+'Assumptions and Catalog'!$F$53,IF(L765&lt;='Assumptions and Catalog'!$C$54,L765*'Assumptions and Catalog'!$H$54+'Assumptions and Catalog'!$E$54+'Assumptions and Catalog'!$F$54,IF(L765&lt;='Assumptions and Catalog'!$C$55,L765*'Assumptions and Catalog'!$H$55+'Assumptions and Catalog'!$E$55+'Assumptions and Catalog'!$F$55,IF(L765&lt;='Assumptions and Catalog'!$C$56,L765*'Assumptions and Catalog'!$H$56+'Assumptions and Catalog'!$E$56+'Assumptions and Catalog'!$F$56,IF(L765&lt;='Assumptions and Catalog'!$C$57,L765*'Assumptions and Catalog'!$H$57+'Assumptions and Catalog'!$E$57+'Assumptions and Catalog'!$F$57,"Out of range")))))))),IF(L765&lt;='Assumptions and Catalog'!$C$60,L765*'Assumptions and Catalog'!$H$60+'Assumptions and Catalog'!$E$60+'Assumptions and Catalog'!$F$60,IF(L765&lt;='Assumptions and Catalog'!$C$61,L765*'Assumptions and Catalog'!$H$61+'Assumptions and Catalog'!$E$61+'Assumptions and Catalog'!$F$61,IF(L765&lt;='Assumptions and Catalog'!$C$62,L765*'Assumptions and Catalog'!$H$62+'Assumptions and Catalog'!$E$62+'Assumptions and Catalog'!$F$62,IF(L765&lt;='Assumptions and Catalog'!$C$63,L765*'Assumptions and Catalog'!$H$63+'Assumptions and Catalog'!$E$63+'Assumptions and Catalog'!$F$63,IF(L765&lt;='Assumptions and Catalog'!$C$64,L765*'Assumptions and Catalog'!$H$64+'Assumptions and Catalog'!$E$64+'Assumptions and Catalog'!$F$64,IF(L765&lt;='Assumptions and Catalog'!$C$65,L765*'Assumptions and Catalog'!$H$65+'Assumptions and Catalog'!$E$65+'Assumptions and Catalog'!$F$65,"Out of range")))))))))*(1+'Assumptions and Catalog'!$C$8)^(A765-1),0)</f>
        <v>5579.5143319011768</v>
      </c>
      <c r="O765" s="5">
        <f t="shared" si="55"/>
        <v>2699.4856680988232</v>
      </c>
      <c r="P765" s="5">
        <f>E$55*(1-L$14)*(1-'Assumptions and Catalog'!$C$23)^R765</f>
        <v>87.118133512374826</v>
      </c>
      <c r="Q765" s="5">
        <f>IF(ISNUMBER(Inputs!$L$5),(IF(Inputs!$L$9="Actual flat rate",((D765+E765)*C765-G765)*Inputs!$L$10,IF(Inputs!$C$9="Residential",IF(((D765+E765)*C765-G765)&lt;='Assumptions and Catalog'!$C$50,((D765+E765)*C765-G765)*'Assumptions and Catalog'!$H$50+'Assumptions and Catalog'!$E$50+'Assumptions and Catalog'!$F$50,IF(((D765+E765)*C765-G765)&lt;='Assumptions and Catalog'!$C$51,((D765+E765)*C765-G765)*'Assumptions and Catalog'!$H$51+'Assumptions and Catalog'!$E$51+'Assumptions and Catalog'!$F$51,IF(((D765+E765)*C765-G765)&lt;='Assumptions and Catalog'!$C$52,((D765+E765)*C765-G765)*'Assumptions and Catalog'!$H$52+'Assumptions and Catalog'!$E$52+'Assumptions and Catalog'!$F$52,IF(((D765+E765)*C765-G765)&lt;='Assumptions and Catalog'!$C$53,((D765+E765)*C765-G765)*'Assumptions and Catalog'!$H$53+'Assumptions and Catalog'!$E$53+'Assumptions and Catalog'!$F$53,IF(((D765+E765)*C765-G765)&lt;='Assumptions and Catalog'!$C$54,((D765+E765)*C765-G765)*'Assumptions and Catalog'!$H$54+'Assumptions and Catalog'!$E$54+'Assumptions and Catalog'!$F$54,IF(((D765+E765)*C765-G765)&lt;='Assumptions and Catalog'!$C$55,((D765+E765)*C765-G765)*'Assumptions and Catalog'!$H$55+'Assumptions and Catalog'!$E$55+'Assumptions and Catalog'!$F$55,IF(((D765+E765)*C765-G765)&lt;='Assumptions and Catalog'!$C$56,((D765+E765)*C765-G765)*'Assumptions and Catalog'!$H$56+'Assumptions and Catalog'!$E$56+'Assumptions and Catalog'!$F$56,IF(((D765+E765)*C765-G765)&lt;='Assumptions and Catalog'!$C$57,((D765+E765)*C765-G765)*'Assumptions and Catalog'!$H$57+'Assumptions and Catalog'!$E$57+'Assumptions and Catalog'!$F$57,"Out of range")))))))),IF(((D765+E765)*C765-G765)&lt;='Assumptions and Catalog'!$C$60,((D765+E765)*C765-G765)*'Assumptions and Catalog'!$H$60+'Assumptions and Catalog'!$E$60+'Assumptions and Catalog'!$F$60,IF(((D765+E765)*C765-G765)&lt;='Assumptions and Catalog'!$C$61,((D765+E765)*C765-G765)*'Assumptions and Catalog'!$H$61+'Assumptions and Catalog'!$E$61+'Assumptions and Catalog'!$F$61,IF(((D765+E765)*C765-G765)&lt;='Assumptions and Catalog'!$C$62,((D765+E765)*C765-G765)*'Assumptions and Catalog'!$H$62+'Assumptions and Catalog'!$E$62+'Assumptions and Catalog'!$F$62,IF(((D765+E765)*C765-G765)&lt;='Assumptions and Catalog'!$C$63,((D765+E765)*C765-G765)*'Assumptions and Catalog'!$H$63+'Assumptions and Catalog'!$E$63+'Assumptions and Catalog'!$F$63,IF(((D765+E765)*C765-G765)&lt;='Assumptions and Catalog'!$C$64,((D765+E765)*C765-G765)*'Assumptions and Catalog'!$H$64+'Assumptions and Catalog'!$E$64+'Assumptions and Catalog'!$F$64,IF(((D765+E765)*C765-G765)&lt;='Assumptions and Catalog'!$C$65,((D765+E765)*C765-G765)*'Assumptions and Catalog'!$H$65+'Assumptions and Catalog'!$E$65+'Assumptions and Catalog'!$F$65,"Out of range")))))))))*(1+'Assumptions and Catalog'!$C$8)^(A765-1),0)</f>
        <v>5579.5143319011768</v>
      </c>
      <c r="R765" s="5">
        <f>IF(AND('Assumptions and Catalog'!$C$19&gt;0,A765&gt;='Assumptions and Catalog'!$C$19),A765-'Assumptions and Catalog'!$C$19,A765-1)</f>
        <v>8</v>
      </c>
      <c r="S765" s="5">
        <f>F765+L765-(D765+E765)*C765-J765-K765-IF(E$52&gt;0,'Assumptions and Catalog'!$C$26*C765,0)</f>
        <v>0</v>
      </c>
      <c r="T765" s="5"/>
      <c r="U765" s="5"/>
    </row>
    <row r="766" spans="1:21" ht="23.1" customHeight="1" outlineLevel="1" x14ac:dyDescent="0.2">
      <c r="A766" s="5">
        <v>9</v>
      </c>
      <c r="B766" s="5">
        <v>10</v>
      </c>
      <c r="C766" s="5">
        <f>DAY(DATE('Assumptions and Catalog'!$C$24+A766-1,B766+1,0))</f>
        <v>31</v>
      </c>
      <c r="D766" s="5">
        <f>IF(ISNUMBER(Inputs!$L$5),Inputs!$L$5*Inputs!$L$6,0)</f>
        <v>40.35</v>
      </c>
      <c r="E766" s="5">
        <f>IF(ISNUMBER(Inputs!$L$5),Inputs!$L$5-D766,0)</f>
        <v>40.35</v>
      </c>
      <c r="F766" s="5">
        <f>E$51*'Assumptions and Catalog'!$C$31*C766*(1-'Assumptions and Catalog'!$C$10)^(A766-1)</f>
        <v>815.71485636946784</v>
      </c>
      <c r="G766" s="5">
        <f t="shared" si="52"/>
        <v>815.71485636946784</v>
      </c>
      <c r="H766" s="5">
        <f>I766/('Assumptions and Catalog'!$C$11*'Assumptions and Catalog'!$C$12)</f>
        <v>0</v>
      </c>
      <c r="I766" s="5">
        <f>MIN(E766*C766,P766*'Assumptions and Catalog'!$C$12*C766,(F766-G766)*'Assumptions and Catalog'!$C$11*'Assumptions and Catalog'!$C$12,E$56*'Assumptions and Catalog'!$C$14*'Assumptions and Catalog'!$C$11*'Assumptions and Catalog'!$C$12*C766,E$57*(24-'Assumptions and Catalog'!$C$13)*C766)</f>
        <v>0</v>
      </c>
      <c r="J766" s="5">
        <f t="shared" si="53"/>
        <v>0</v>
      </c>
      <c r="K766" s="5">
        <f t="shared" si="54"/>
        <v>0</v>
      </c>
      <c r="L766" s="5">
        <f>(D766+E766)*C766-G766-I766+0+IF(E$52&gt;0,'Assumptions and Catalog'!$C$26*C766,0)</f>
        <v>1685.9851436305325</v>
      </c>
      <c r="M766" s="5">
        <f>IF(ISNUMBER(Inputs!$L$5),(IF(Inputs!$L$9="Actual flat rate",((D766+E766)*C766)*Inputs!$L$10,IF(Inputs!$C$9="Residential",IF(((D766+E766)*C766)&lt;='Assumptions and Catalog'!$C$50,((D766+E766)*C766)*'Assumptions and Catalog'!$H$50+'Assumptions and Catalog'!$E$50+'Assumptions and Catalog'!$F$50,IF(((D766+E766)*C766)&lt;='Assumptions and Catalog'!$C$51,((D766+E766)*C766)*'Assumptions and Catalog'!$H$51+'Assumptions and Catalog'!$E$51+'Assumptions and Catalog'!$F$51,IF(((D766+E766)*C766)&lt;='Assumptions and Catalog'!$C$52,((D766+E766)*C766)*'Assumptions and Catalog'!$H$52+'Assumptions and Catalog'!$E$52+'Assumptions and Catalog'!$F$52,IF(((D766+E766)*C766)&lt;='Assumptions and Catalog'!$C$53,((D766+E766)*C766)*'Assumptions and Catalog'!$H$53+'Assumptions and Catalog'!$E$53+'Assumptions and Catalog'!$F$53,IF(((D766+E766)*C766)&lt;='Assumptions and Catalog'!$C$54,((D766+E766)*C766)*'Assumptions and Catalog'!$H$54+'Assumptions and Catalog'!$E$54+'Assumptions and Catalog'!$F$54,IF(((D766+E766)*C766)&lt;='Assumptions and Catalog'!$C$55,((D766+E766)*C766)*'Assumptions and Catalog'!$H$55+'Assumptions and Catalog'!$E$55+'Assumptions and Catalog'!$F$55,IF(((D766+E766)*C766)&lt;='Assumptions and Catalog'!$C$56,((D766+E766)*C766)*'Assumptions and Catalog'!$H$56+'Assumptions and Catalog'!$E$56+'Assumptions and Catalog'!$F$56,IF(((D766+E766)*C766)&lt;='Assumptions and Catalog'!$C$57,((D766+E766)*C766)*'Assumptions and Catalog'!$H$57+'Assumptions and Catalog'!$E$57+'Assumptions and Catalog'!$F$57,"Out of range")))))))),IF(((D766+E766)*C766)&lt;='Assumptions and Catalog'!$C$60,((D766+E766)*C766)*'Assumptions and Catalog'!$H$60+'Assumptions and Catalog'!$E$60+'Assumptions and Catalog'!$F$60,IF(((D766+E766)*C766)&lt;='Assumptions and Catalog'!$C$61,((D766+E766)*C766)*'Assumptions and Catalog'!$H$61+'Assumptions and Catalog'!$E$61+'Assumptions and Catalog'!$F$61,IF(((D766+E766)*C766)&lt;='Assumptions and Catalog'!$C$62,((D766+E766)*C766)*'Assumptions and Catalog'!$H$62+'Assumptions and Catalog'!$E$62+'Assumptions and Catalog'!$F$62,IF(((D766+E766)*C766)&lt;='Assumptions and Catalog'!$C$63,((D766+E766)*C766)*'Assumptions and Catalog'!$H$63+'Assumptions and Catalog'!$E$63+'Assumptions and Catalog'!$F$63,IF(((D766+E766)*C766)&lt;='Assumptions and Catalog'!$C$64,((D766+E766)*C766)*'Assumptions and Catalog'!$H$64+'Assumptions and Catalog'!$E$64+'Assumptions and Catalog'!$F$64,IF(((D766+E766)*C766)&lt;='Assumptions and Catalog'!$C$65,((D766+E766)*C766)*'Assumptions and Catalog'!$H$65+'Assumptions and Catalog'!$E$65+'Assumptions and Catalog'!$F$65,"Out of range")))))))))*(1+'Assumptions and Catalog'!$C$8)^(A766-1),0)</f>
        <v>8554.9666666666672</v>
      </c>
      <c r="N766" s="5">
        <f>IF(ISNUMBER(Inputs!$L$5),(IF(Inputs!$L$9="Actual flat rate",L766*Inputs!$L$10,IF(Inputs!$C$9="Residential",IF(L766&lt;='Assumptions and Catalog'!$C$50,L766*'Assumptions and Catalog'!$H$50+'Assumptions and Catalog'!$E$50+'Assumptions and Catalog'!$F$50,IF(L766&lt;='Assumptions and Catalog'!$C$51,L766*'Assumptions and Catalog'!$H$51+'Assumptions and Catalog'!$E$51+'Assumptions and Catalog'!$F$51,IF(L766&lt;='Assumptions and Catalog'!$C$52,L766*'Assumptions and Catalog'!$H$52+'Assumptions and Catalog'!$E$52+'Assumptions and Catalog'!$F$52,IF(L766&lt;='Assumptions and Catalog'!$C$53,L766*'Assumptions and Catalog'!$H$53+'Assumptions and Catalog'!$E$53+'Assumptions and Catalog'!$F$53,IF(L766&lt;='Assumptions and Catalog'!$C$54,L766*'Assumptions and Catalog'!$H$54+'Assumptions and Catalog'!$E$54+'Assumptions and Catalog'!$F$54,IF(L766&lt;='Assumptions and Catalog'!$C$55,L766*'Assumptions and Catalog'!$H$55+'Assumptions and Catalog'!$E$55+'Assumptions and Catalog'!$F$55,IF(L766&lt;='Assumptions and Catalog'!$C$56,L766*'Assumptions and Catalog'!$H$56+'Assumptions and Catalog'!$E$56+'Assumptions and Catalog'!$F$56,IF(L766&lt;='Assumptions and Catalog'!$C$57,L766*'Assumptions and Catalog'!$H$57+'Assumptions and Catalog'!$E$57+'Assumptions and Catalog'!$F$57,"Out of range")))))))),IF(L766&lt;='Assumptions and Catalog'!$C$60,L766*'Assumptions and Catalog'!$H$60+'Assumptions and Catalog'!$E$60+'Assumptions and Catalog'!$F$60,IF(L766&lt;='Assumptions and Catalog'!$C$61,L766*'Assumptions and Catalog'!$H$61+'Assumptions and Catalog'!$E$61+'Assumptions and Catalog'!$F$61,IF(L766&lt;='Assumptions and Catalog'!$C$62,L766*'Assumptions and Catalog'!$H$62+'Assumptions and Catalog'!$E$62+'Assumptions and Catalog'!$F$62,IF(L766&lt;='Assumptions and Catalog'!$C$63,L766*'Assumptions and Catalog'!$H$63+'Assumptions and Catalog'!$E$63+'Assumptions and Catalog'!$F$63,IF(L766&lt;='Assumptions and Catalog'!$C$64,L766*'Assumptions and Catalog'!$H$64+'Assumptions and Catalog'!$E$64+'Assumptions and Catalog'!$F$64,IF(L766&lt;='Assumptions and Catalog'!$C$65,L766*'Assumptions and Catalog'!$H$65+'Assumptions and Catalog'!$E$65+'Assumptions and Catalog'!$F$65,"Out of range")))))))))*(1+'Assumptions and Catalog'!$C$8)^(A766-1),0)</f>
        <v>5765.4981429645513</v>
      </c>
      <c r="O766" s="5">
        <f t="shared" si="55"/>
        <v>2789.4685237021158</v>
      </c>
      <c r="P766" s="5">
        <f>E$55*(1-L$14)*(1-'Assumptions and Catalog'!$C$23)^R766</f>
        <v>87.118133512374826</v>
      </c>
      <c r="Q766" s="5">
        <f>IF(ISNUMBER(Inputs!$L$5),(IF(Inputs!$L$9="Actual flat rate",((D766+E766)*C766-G766)*Inputs!$L$10,IF(Inputs!$C$9="Residential",IF(((D766+E766)*C766-G766)&lt;='Assumptions and Catalog'!$C$50,((D766+E766)*C766-G766)*'Assumptions and Catalog'!$H$50+'Assumptions and Catalog'!$E$50+'Assumptions and Catalog'!$F$50,IF(((D766+E766)*C766-G766)&lt;='Assumptions and Catalog'!$C$51,((D766+E766)*C766-G766)*'Assumptions and Catalog'!$H$51+'Assumptions and Catalog'!$E$51+'Assumptions and Catalog'!$F$51,IF(((D766+E766)*C766-G766)&lt;='Assumptions and Catalog'!$C$52,((D766+E766)*C766-G766)*'Assumptions and Catalog'!$H$52+'Assumptions and Catalog'!$E$52+'Assumptions and Catalog'!$F$52,IF(((D766+E766)*C766-G766)&lt;='Assumptions and Catalog'!$C$53,((D766+E766)*C766-G766)*'Assumptions and Catalog'!$H$53+'Assumptions and Catalog'!$E$53+'Assumptions and Catalog'!$F$53,IF(((D766+E766)*C766-G766)&lt;='Assumptions and Catalog'!$C$54,((D766+E766)*C766-G766)*'Assumptions and Catalog'!$H$54+'Assumptions and Catalog'!$E$54+'Assumptions and Catalog'!$F$54,IF(((D766+E766)*C766-G766)&lt;='Assumptions and Catalog'!$C$55,((D766+E766)*C766-G766)*'Assumptions and Catalog'!$H$55+'Assumptions and Catalog'!$E$55+'Assumptions and Catalog'!$F$55,IF(((D766+E766)*C766-G766)&lt;='Assumptions and Catalog'!$C$56,((D766+E766)*C766-G766)*'Assumptions and Catalog'!$H$56+'Assumptions and Catalog'!$E$56+'Assumptions and Catalog'!$F$56,IF(((D766+E766)*C766-G766)&lt;='Assumptions and Catalog'!$C$57,((D766+E766)*C766-G766)*'Assumptions and Catalog'!$H$57+'Assumptions and Catalog'!$E$57+'Assumptions and Catalog'!$F$57,"Out of range")))))))),IF(((D766+E766)*C766-G766)&lt;='Assumptions and Catalog'!$C$60,((D766+E766)*C766-G766)*'Assumptions and Catalog'!$H$60+'Assumptions and Catalog'!$E$60+'Assumptions and Catalog'!$F$60,IF(((D766+E766)*C766-G766)&lt;='Assumptions and Catalog'!$C$61,((D766+E766)*C766-G766)*'Assumptions and Catalog'!$H$61+'Assumptions and Catalog'!$E$61+'Assumptions and Catalog'!$F$61,IF(((D766+E766)*C766-G766)&lt;='Assumptions and Catalog'!$C$62,((D766+E766)*C766-G766)*'Assumptions and Catalog'!$H$62+'Assumptions and Catalog'!$E$62+'Assumptions and Catalog'!$F$62,IF(((D766+E766)*C766-G766)&lt;='Assumptions and Catalog'!$C$63,((D766+E766)*C766-G766)*'Assumptions and Catalog'!$H$63+'Assumptions and Catalog'!$E$63+'Assumptions and Catalog'!$F$63,IF(((D766+E766)*C766-G766)&lt;='Assumptions and Catalog'!$C$64,((D766+E766)*C766-G766)*'Assumptions and Catalog'!$H$64+'Assumptions and Catalog'!$E$64+'Assumptions and Catalog'!$F$64,IF(((D766+E766)*C766-G766)&lt;='Assumptions and Catalog'!$C$65,((D766+E766)*C766-G766)*'Assumptions and Catalog'!$H$65+'Assumptions and Catalog'!$E$65+'Assumptions and Catalog'!$F$65,"Out of range")))))))))*(1+'Assumptions and Catalog'!$C$8)^(A766-1),0)</f>
        <v>5765.4981429645513</v>
      </c>
      <c r="R766" s="5">
        <f>IF(AND('Assumptions and Catalog'!$C$19&gt;0,A766&gt;='Assumptions and Catalog'!$C$19),A766-'Assumptions and Catalog'!$C$19,A766-1)</f>
        <v>8</v>
      </c>
      <c r="S766" s="5">
        <f>F766+L766-(D766+E766)*C766-J766-K766-IF(E$52&gt;0,'Assumptions and Catalog'!$C$26*C766,0)</f>
        <v>0</v>
      </c>
      <c r="T766" s="5"/>
      <c r="U766" s="5"/>
    </row>
    <row r="767" spans="1:21" ht="23.1" customHeight="1" outlineLevel="1" x14ac:dyDescent="0.2">
      <c r="A767" s="5">
        <v>9</v>
      </c>
      <c r="B767" s="5">
        <v>11</v>
      </c>
      <c r="C767" s="5">
        <f>DAY(DATE('Assumptions and Catalog'!$C$24+A767-1,B767+1,0))</f>
        <v>30</v>
      </c>
      <c r="D767" s="5">
        <f>IF(ISNUMBER(Inputs!$L$5),Inputs!$L$5*Inputs!$L$6,0)</f>
        <v>40.35</v>
      </c>
      <c r="E767" s="5">
        <f>IF(ISNUMBER(Inputs!$L$5),Inputs!$L$5-D767,0)</f>
        <v>40.35</v>
      </c>
      <c r="F767" s="5">
        <f>E$51*'Assumptions and Catalog'!$C$31*C767*(1-'Assumptions and Catalog'!$C$10)^(A767-1)</f>
        <v>789.40147390593654</v>
      </c>
      <c r="G767" s="5">
        <f t="shared" si="52"/>
        <v>789.40147390593654</v>
      </c>
      <c r="H767" s="5">
        <f>I767/('Assumptions and Catalog'!$C$11*'Assumptions and Catalog'!$C$12)</f>
        <v>0</v>
      </c>
      <c r="I767" s="5">
        <f>MIN(E767*C767,P767*'Assumptions and Catalog'!$C$12*C767,(F767-G767)*'Assumptions and Catalog'!$C$11*'Assumptions and Catalog'!$C$12,E$56*'Assumptions and Catalog'!$C$14*'Assumptions and Catalog'!$C$11*'Assumptions and Catalog'!$C$12*C767,E$57*(24-'Assumptions and Catalog'!$C$13)*C767)</f>
        <v>0</v>
      </c>
      <c r="J767" s="5">
        <f t="shared" si="53"/>
        <v>0</v>
      </c>
      <c r="K767" s="5">
        <f t="shared" si="54"/>
        <v>0</v>
      </c>
      <c r="L767" s="5">
        <f>(D767+E767)*C767-G767-I767+0+IF(E$52&gt;0,'Assumptions and Catalog'!$C$26*C767,0)</f>
        <v>1631.5985260940633</v>
      </c>
      <c r="M767" s="5">
        <f>IF(ISNUMBER(Inputs!$L$5),(IF(Inputs!$L$9="Actual flat rate",((D767+E767)*C767)*Inputs!$L$10,IF(Inputs!$C$9="Residential",IF(((D767+E767)*C767)&lt;='Assumptions and Catalog'!$C$50,((D767+E767)*C767)*'Assumptions and Catalog'!$H$50+'Assumptions and Catalog'!$E$50+'Assumptions and Catalog'!$F$50,IF(((D767+E767)*C767)&lt;='Assumptions and Catalog'!$C$51,((D767+E767)*C767)*'Assumptions and Catalog'!$H$51+'Assumptions and Catalog'!$E$51+'Assumptions and Catalog'!$F$51,IF(((D767+E767)*C767)&lt;='Assumptions and Catalog'!$C$52,((D767+E767)*C767)*'Assumptions and Catalog'!$H$52+'Assumptions and Catalog'!$E$52+'Assumptions and Catalog'!$F$52,IF(((D767+E767)*C767)&lt;='Assumptions and Catalog'!$C$53,((D767+E767)*C767)*'Assumptions and Catalog'!$H$53+'Assumptions and Catalog'!$E$53+'Assumptions and Catalog'!$F$53,IF(((D767+E767)*C767)&lt;='Assumptions and Catalog'!$C$54,((D767+E767)*C767)*'Assumptions and Catalog'!$H$54+'Assumptions and Catalog'!$E$54+'Assumptions and Catalog'!$F$54,IF(((D767+E767)*C767)&lt;='Assumptions and Catalog'!$C$55,((D767+E767)*C767)*'Assumptions and Catalog'!$H$55+'Assumptions and Catalog'!$E$55+'Assumptions and Catalog'!$F$55,IF(((D767+E767)*C767)&lt;='Assumptions and Catalog'!$C$56,((D767+E767)*C767)*'Assumptions and Catalog'!$H$56+'Assumptions and Catalog'!$E$56+'Assumptions and Catalog'!$F$56,IF(((D767+E767)*C767)&lt;='Assumptions and Catalog'!$C$57,((D767+E767)*C767)*'Assumptions and Catalog'!$H$57+'Assumptions and Catalog'!$E$57+'Assumptions and Catalog'!$F$57,"Out of range")))))))),IF(((D767+E767)*C767)&lt;='Assumptions and Catalog'!$C$60,((D767+E767)*C767)*'Assumptions and Catalog'!$H$60+'Assumptions and Catalog'!$E$60+'Assumptions and Catalog'!$F$60,IF(((D767+E767)*C767)&lt;='Assumptions and Catalog'!$C$61,((D767+E767)*C767)*'Assumptions and Catalog'!$H$61+'Assumptions and Catalog'!$E$61+'Assumptions and Catalog'!$F$61,IF(((D767+E767)*C767)&lt;='Assumptions and Catalog'!$C$62,((D767+E767)*C767)*'Assumptions and Catalog'!$H$62+'Assumptions and Catalog'!$E$62+'Assumptions and Catalog'!$F$62,IF(((D767+E767)*C767)&lt;='Assumptions and Catalog'!$C$63,((D767+E767)*C767)*'Assumptions and Catalog'!$H$63+'Assumptions and Catalog'!$E$63+'Assumptions and Catalog'!$F$63,IF(((D767+E767)*C767)&lt;='Assumptions and Catalog'!$C$64,((D767+E767)*C767)*'Assumptions and Catalog'!$H$64+'Assumptions and Catalog'!$E$64+'Assumptions and Catalog'!$F$64,IF(((D767+E767)*C767)&lt;='Assumptions and Catalog'!$C$65,((D767+E767)*C767)*'Assumptions and Catalog'!$H$65+'Assumptions and Catalog'!$E$65+'Assumptions and Catalog'!$F$65,"Out of range")))))))))*(1+'Assumptions and Catalog'!$C$8)^(A767-1),0)</f>
        <v>8279</v>
      </c>
      <c r="N767" s="5">
        <f>IF(ISNUMBER(Inputs!$L$5),(IF(Inputs!$L$9="Actual flat rate",L767*Inputs!$L$10,IF(Inputs!$C$9="Residential",IF(L767&lt;='Assumptions and Catalog'!$C$50,L767*'Assumptions and Catalog'!$H$50+'Assumptions and Catalog'!$E$50+'Assumptions and Catalog'!$F$50,IF(L767&lt;='Assumptions and Catalog'!$C$51,L767*'Assumptions and Catalog'!$H$51+'Assumptions and Catalog'!$E$51+'Assumptions and Catalog'!$F$51,IF(L767&lt;='Assumptions and Catalog'!$C$52,L767*'Assumptions and Catalog'!$H$52+'Assumptions and Catalog'!$E$52+'Assumptions and Catalog'!$F$52,IF(L767&lt;='Assumptions and Catalog'!$C$53,L767*'Assumptions and Catalog'!$H$53+'Assumptions and Catalog'!$E$53+'Assumptions and Catalog'!$F$53,IF(L767&lt;='Assumptions and Catalog'!$C$54,L767*'Assumptions and Catalog'!$H$54+'Assumptions and Catalog'!$E$54+'Assumptions and Catalog'!$F$54,IF(L767&lt;='Assumptions and Catalog'!$C$55,L767*'Assumptions and Catalog'!$H$55+'Assumptions and Catalog'!$E$55+'Assumptions and Catalog'!$F$55,IF(L767&lt;='Assumptions and Catalog'!$C$56,L767*'Assumptions and Catalog'!$H$56+'Assumptions and Catalog'!$E$56+'Assumptions and Catalog'!$F$56,IF(L767&lt;='Assumptions and Catalog'!$C$57,L767*'Assumptions and Catalog'!$H$57+'Assumptions and Catalog'!$E$57+'Assumptions and Catalog'!$F$57,"Out of range")))))))),IF(L767&lt;='Assumptions and Catalog'!$C$60,L767*'Assumptions and Catalog'!$H$60+'Assumptions and Catalog'!$E$60+'Assumptions and Catalog'!$F$60,IF(L767&lt;='Assumptions and Catalog'!$C$61,L767*'Assumptions and Catalog'!$H$61+'Assumptions and Catalog'!$E$61+'Assumptions and Catalog'!$F$61,IF(L767&lt;='Assumptions and Catalog'!$C$62,L767*'Assumptions and Catalog'!$H$62+'Assumptions and Catalog'!$E$62+'Assumptions and Catalog'!$F$62,IF(L767&lt;='Assumptions and Catalog'!$C$63,L767*'Assumptions and Catalog'!$H$63+'Assumptions and Catalog'!$E$63+'Assumptions and Catalog'!$F$63,IF(L767&lt;='Assumptions and Catalog'!$C$64,L767*'Assumptions and Catalog'!$H$64+'Assumptions and Catalog'!$E$64+'Assumptions and Catalog'!$F$64,IF(L767&lt;='Assumptions and Catalog'!$C$65,L767*'Assumptions and Catalog'!$H$65+'Assumptions and Catalog'!$E$65+'Assumptions and Catalog'!$F$65,"Out of range")))))))))*(1+'Assumptions and Catalog'!$C$8)^(A767-1),0)</f>
        <v>5579.5143319011768</v>
      </c>
      <c r="O767" s="5">
        <f t="shared" si="55"/>
        <v>2699.4856680988232</v>
      </c>
      <c r="P767" s="5">
        <f>E$55*(1-L$14)*(1-'Assumptions and Catalog'!$C$23)^R767</f>
        <v>87.118133512374826</v>
      </c>
      <c r="Q767" s="5">
        <f>IF(ISNUMBER(Inputs!$L$5),(IF(Inputs!$L$9="Actual flat rate",((D767+E767)*C767-G767)*Inputs!$L$10,IF(Inputs!$C$9="Residential",IF(((D767+E767)*C767-G767)&lt;='Assumptions and Catalog'!$C$50,((D767+E767)*C767-G767)*'Assumptions and Catalog'!$H$50+'Assumptions and Catalog'!$E$50+'Assumptions and Catalog'!$F$50,IF(((D767+E767)*C767-G767)&lt;='Assumptions and Catalog'!$C$51,((D767+E767)*C767-G767)*'Assumptions and Catalog'!$H$51+'Assumptions and Catalog'!$E$51+'Assumptions and Catalog'!$F$51,IF(((D767+E767)*C767-G767)&lt;='Assumptions and Catalog'!$C$52,((D767+E767)*C767-G767)*'Assumptions and Catalog'!$H$52+'Assumptions and Catalog'!$E$52+'Assumptions and Catalog'!$F$52,IF(((D767+E767)*C767-G767)&lt;='Assumptions and Catalog'!$C$53,((D767+E767)*C767-G767)*'Assumptions and Catalog'!$H$53+'Assumptions and Catalog'!$E$53+'Assumptions and Catalog'!$F$53,IF(((D767+E767)*C767-G767)&lt;='Assumptions and Catalog'!$C$54,((D767+E767)*C767-G767)*'Assumptions and Catalog'!$H$54+'Assumptions and Catalog'!$E$54+'Assumptions and Catalog'!$F$54,IF(((D767+E767)*C767-G767)&lt;='Assumptions and Catalog'!$C$55,((D767+E767)*C767-G767)*'Assumptions and Catalog'!$H$55+'Assumptions and Catalog'!$E$55+'Assumptions and Catalog'!$F$55,IF(((D767+E767)*C767-G767)&lt;='Assumptions and Catalog'!$C$56,((D767+E767)*C767-G767)*'Assumptions and Catalog'!$H$56+'Assumptions and Catalog'!$E$56+'Assumptions and Catalog'!$F$56,IF(((D767+E767)*C767-G767)&lt;='Assumptions and Catalog'!$C$57,((D767+E767)*C767-G767)*'Assumptions and Catalog'!$H$57+'Assumptions and Catalog'!$E$57+'Assumptions and Catalog'!$F$57,"Out of range")))))))),IF(((D767+E767)*C767-G767)&lt;='Assumptions and Catalog'!$C$60,((D767+E767)*C767-G767)*'Assumptions and Catalog'!$H$60+'Assumptions and Catalog'!$E$60+'Assumptions and Catalog'!$F$60,IF(((D767+E767)*C767-G767)&lt;='Assumptions and Catalog'!$C$61,((D767+E767)*C767-G767)*'Assumptions and Catalog'!$H$61+'Assumptions and Catalog'!$E$61+'Assumptions and Catalog'!$F$61,IF(((D767+E767)*C767-G767)&lt;='Assumptions and Catalog'!$C$62,((D767+E767)*C767-G767)*'Assumptions and Catalog'!$H$62+'Assumptions and Catalog'!$E$62+'Assumptions and Catalog'!$F$62,IF(((D767+E767)*C767-G767)&lt;='Assumptions and Catalog'!$C$63,((D767+E767)*C767-G767)*'Assumptions and Catalog'!$H$63+'Assumptions and Catalog'!$E$63+'Assumptions and Catalog'!$F$63,IF(((D767+E767)*C767-G767)&lt;='Assumptions and Catalog'!$C$64,((D767+E767)*C767-G767)*'Assumptions and Catalog'!$H$64+'Assumptions and Catalog'!$E$64+'Assumptions and Catalog'!$F$64,IF(((D767+E767)*C767-G767)&lt;='Assumptions and Catalog'!$C$65,((D767+E767)*C767-G767)*'Assumptions and Catalog'!$H$65+'Assumptions and Catalog'!$E$65+'Assumptions and Catalog'!$F$65,"Out of range")))))))))*(1+'Assumptions and Catalog'!$C$8)^(A767-1),0)</f>
        <v>5579.5143319011768</v>
      </c>
      <c r="R767" s="5">
        <f>IF(AND('Assumptions and Catalog'!$C$19&gt;0,A767&gt;='Assumptions and Catalog'!$C$19),A767-'Assumptions and Catalog'!$C$19,A767-1)</f>
        <v>8</v>
      </c>
      <c r="S767" s="5">
        <f>F767+L767-(D767+E767)*C767-J767-K767-IF(E$52&gt;0,'Assumptions and Catalog'!$C$26*C767,0)</f>
        <v>0</v>
      </c>
      <c r="T767" s="5"/>
      <c r="U767" s="5"/>
    </row>
    <row r="768" spans="1:21" ht="23.1" customHeight="1" outlineLevel="1" x14ac:dyDescent="0.2">
      <c r="A768" s="5">
        <v>9</v>
      </c>
      <c r="B768" s="5">
        <v>12</v>
      </c>
      <c r="C768" s="5">
        <f>DAY(DATE('Assumptions and Catalog'!$C$24+A768-1,B768+1,0))</f>
        <v>31</v>
      </c>
      <c r="D768" s="5">
        <f>IF(ISNUMBER(Inputs!$L$5),Inputs!$L$5*Inputs!$L$6,0)</f>
        <v>40.35</v>
      </c>
      <c r="E768" s="5">
        <f>IF(ISNUMBER(Inputs!$L$5),Inputs!$L$5-D768,0)</f>
        <v>40.35</v>
      </c>
      <c r="F768" s="5">
        <f>E$51*'Assumptions and Catalog'!$C$31*C768*(1-'Assumptions and Catalog'!$C$10)^(A768-1)</f>
        <v>815.71485636946784</v>
      </c>
      <c r="G768" s="5">
        <f t="shared" si="52"/>
        <v>815.71485636946784</v>
      </c>
      <c r="H768" s="5">
        <f>I768/('Assumptions and Catalog'!$C$11*'Assumptions and Catalog'!$C$12)</f>
        <v>0</v>
      </c>
      <c r="I768" s="5">
        <f>MIN(E768*C768,P768*'Assumptions and Catalog'!$C$12*C768,(F768-G768)*'Assumptions and Catalog'!$C$11*'Assumptions and Catalog'!$C$12,E$56*'Assumptions and Catalog'!$C$14*'Assumptions and Catalog'!$C$11*'Assumptions and Catalog'!$C$12*C768,E$57*(24-'Assumptions and Catalog'!$C$13)*C768)</f>
        <v>0</v>
      </c>
      <c r="J768" s="5">
        <f t="shared" si="53"/>
        <v>0</v>
      </c>
      <c r="K768" s="5">
        <f t="shared" si="54"/>
        <v>0</v>
      </c>
      <c r="L768" s="5">
        <f>(D768+E768)*C768-G768-I768+0+IF(E$52&gt;0,'Assumptions and Catalog'!$C$26*C768,0)</f>
        <v>1685.9851436305325</v>
      </c>
      <c r="M768" s="5">
        <f>IF(ISNUMBER(Inputs!$L$5),(IF(Inputs!$L$9="Actual flat rate",((D768+E768)*C768)*Inputs!$L$10,IF(Inputs!$C$9="Residential",IF(((D768+E768)*C768)&lt;='Assumptions and Catalog'!$C$50,((D768+E768)*C768)*'Assumptions and Catalog'!$H$50+'Assumptions and Catalog'!$E$50+'Assumptions and Catalog'!$F$50,IF(((D768+E768)*C768)&lt;='Assumptions and Catalog'!$C$51,((D768+E768)*C768)*'Assumptions and Catalog'!$H$51+'Assumptions and Catalog'!$E$51+'Assumptions and Catalog'!$F$51,IF(((D768+E768)*C768)&lt;='Assumptions and Catalog'!$C$52,((D768+E768)*C768)*'Assumptions and Catalog'!$H$52+'Assumptions and Catalog'!$E$52+'Assumptions and Catalog'!$F$52,IF(((D768+E768)*C768)&lt;='Assumptions and Catalog'!$C$53,((D768+E768)*C768)*'Assumptions and Catalog'!$H$53+'Assumptions and Catalog'!$E$53+'Assumptions and Catalog'!$F$53,IF(((D768+E768)*C768)&lt;='Assumptions and Catalog'!$C$54,((D768+E768)*C768)*'Assumptions and Catalog'!$H$54+'Assumptions and Catalog'!$E$54+'Assumptions and Catalog'!$F$54,IF(((D768+E768)*C768)&lt;='Assumptions and Catalog'!$C$55,((D768+E768)*C768)*'Assumptions and Catalog'!$H$55+'Assumptions and Catalog'!$E$55+'Assumptions and Catalog'!$F$55,IF(((D768+E768)*C768)&lt;='Assumptions and Catalog'!$C$56,((D768+E768)*C768)*'Assumptions and Catalog'!$H$56+'Assumptions and Catalog'!$E$56+'Assumptions and Catalog'!$F$56,IF(((D768+E768)*C768)&lt;='Assumptions and Catalog'!$C$57,((D768+E768)*C768)*'Assumptions and Catalog'!$H$57+'Assumptions and Catalog'!$E$57+'Assumptions and Catalog'!$F$57,"Out of range")))))))),IF(((D768+E768)*C768)&lt;='Assumptions and Catalog'!$C$60,((D768+E768)*C768)*'Assumptions and Catalog'!$H$60+'Assumptions and Catalog'!$E$60+'Assumptions and Catalog'!$F$60,IF(((D768+E768)*C768)&lt;='Assumptions and Catalog'!$C$61,((D768+E768)*C768)*'Assumptions and Catalog'!$H$61+'Assumptions and Catalog'!$E$61+'Assumptions and Catalog'!$F$61,IF(((D768+E768)*C768)&lt;='Assumptions and Catalog'!$C$62,((D768+E768)*C768)*'Assumptions and Catalog'!$H$62+'Assumptions and Catalog'!$E$62+'Assumptions and Catalog'!$F$62,IF(((D768+E768)*C768)&lt;='Assumptions and Catalog'!$C$63,((D768+E768)*C768)*'Assumptions and Catalog'!$H$63+'Assumptions and Catalog'!$E$63+'Assumptions and Catalog'!$F$63,IF(((D768+E768)*C768)&lt;='Assumptions and Catalog'!$C$64,((D768+E768)*C768)*'Assumptions and Catalog'!$H$64+'Assumptions and Catalog'!$E$64+'Assumptions and Catalog'!$F$64,IF(((D768+E768)*C768)&lt;='Assumptions and Catalog'!$C$65,((D768+E768)*C768)*'Assumptions and Catalog'!$H$65+'Assumptions and Catalog'!$E$65+'Assumptions and Catalog'!$F$65,"Out of range")))))))))*(1+'Assumptions and Catalog'!$C$8)^(A768-1),0)</f>
        <v>8554.9666666666672</v>
      </c>
      <c r="N768" s="5">
        <f>IF(ISNUMBER(Inputs!$L$5),(IF(Inputs!$L$9="Actual flat rate",L768*Inputs!$L$10,IF(Inputs!$C$9="Residential",IF(L768&lt;='Assumptions and Catalog'!$C$50,L768*'Assumptions and Catalog'!$H$50+'Assumptions and Catalog'!$E$50+'Assumptions and Catalog'!$F$50,IF(L768&lt;='Assumptions and Catalog'!$C$51,L768*'Assumptions and Catalog'!$H$51+'Assumptions and Catalog'!$E$51+'Assumptions and Catalog'!$F$51,IF(L768&lt;='Assumptions and Catalog'!$C$52,L768*'Assumptions and Catalog'!$H$52+'Assumptions and Catalog'!$E$52+'Assumptions and Catalog'!$F$52,IF(L768&lt;='Assumptions and Catalog'!$C$53,L768*'Assumptions and Catalog'!$H$53+'Assumptions and Catalog'!$E$53+'Assumptions and Catalog'!$F$53,IF(L768&lt;='Assumptions and Catalog'!$C$54,L768*'Assumptions and Catalog'!$H$54+'Assumptions and Catalog'!$E$54+'Assumptions and Catalog'!$F$54,IF(L768&lt;='Assumptions and Catalog'!$C$55,L768*'Assumptions and Catalog'!$H$55+'Assumptions and Catalog'!$E$55+'Assumptions and Catalog'!$F$55,IF(L768&lt;='Assumptions and Catalog'!$C$56,L768*'Assumptions and Catalog'!$H$56+'Assumptions and Catalog'!$E$56+'Assumptions and Catalog'!$F$56,IF(L768&lt;='Assumptions and Catalog'!$C$57,L768*'Assumptions and Catalog'!$H$57+'Assumptions and Catalog'!$E$57+'Assumptions and Catalog'!$F$57,"Out of range")))))))),IF(L768&lt;='Assumptions and Catalog'!$C$60,L768*'Assumptions and Catalog'!$H$60+'Assumptions and Catalog'!$E$60+'Assumptions and Catalog'!$F$60,IF(L768&lt;='Assumptions and Catalog'!$C$61,L768*'Assumptions and Catalog'!$H$61+'Assumptions and Catalog'!$E$61+'Assumptions and Catalog'!$F$61,IF(L768&lt;='Assumptions and Catalog'!$C$62,L768*'Assumptions and Catalog'!$H$62+'Assumptions and Catalog'!$E$62+'Assumptions and Catalog'!$F$62,IF(L768&lt;='Assumptions and Catalog'!$C$63,L768*'Assumptions and Catalog'!$H$63+'Assumptions and Catalog'!$E$63+'Assumptions and Catalog'!$F$63,IF(L768&lt;='Assumptions and Catalog'!$C$64,L768*'Assumptions and Catalog'!$H$64+'Assumptions and Catalog'!$E$64+'Assumptions and Catalog'!$F$64,IF(L768&lt;='Assumptions and Catalog'!$C$65,L768*'Assumptions and Catalog'!$H$65+'Assumptions and Catalog'!$E$65+'Assumptions and Catalog'!$F$65,"Out of range")))))))))*(1+'Assumptions and Catalog'!$C$8)^(A768-1),0)</f>
        <v>5765.4981429645513</v>
      </c>
      <c r="O768" s="5">
        <f t="shared" si="55"/>
        <v>2789.4685237021158</v>
      </c>
      <c r="P768" s="5">
        <f>E$55*(1-L$14)*(1-'Assumptions and Catalog'!$C$23)^R768</f>
        <v>87.118133512374826</v>
      </c>
      <c r="Q768" s="5">
        <f>IF(ISNUMBER(Inputs!$L$5),(IF(Inputs!$L$9="Actual flat rate",((D768+E768)*C768-G768)*Inputs!$L$10,IF(Inputs!$C$9="Residential",IF(((D768+E768)*C768-G768)&lt;='Assumptions and Catalog'!$C$50,((D768+E768)*C768-G768)*'Assumptions and Catalog'!$H$50+'Assumptions and Catalog'!$E$50+'Assumptions and Catalog'!$F$50,IF(((D768+E768)*C768-G768)&lt;='Assumptions and Catalog'!$C$51,((D768+E768)*C768-G768)*'Assumptions and Catalog'!$H$51+'Assumptions and Catalog'!$E$51+'Assumptions and Catalog'!$F$51,IF(((D768+E768)*C768-G768)&lt;='Assumptions and Catalog'!$C$52,((D768+E768)*C768-G768)*'Assumptions and Catalog'!$H$52+'Assumptions and Catalog'!$E$52+'Assumptions and Catalog'!$F$52,IF(((D768+E768)*C768-G768)&lt;='Assumptions and Catalog'!$C$53,((D768+E768)*C768-G768)*'Assumptions and Catalog'!$H$53+'Assumptions and Catalog'!$E$53+'Assumptions and Catalog'!$F$53,IF(((D768+E768)*C768-G768)&lt;='Assumptions and Catalog'!$C$54,((D768+E768)*C768-G768)*'Assumptions and Catalog'!$H$54+'Assumptions and Catalog'!$E$54+'Assumptions and Catalog'!$F$54,IF(((D768+E768)*C768-G768)&lt;='Assumptions and Catalog'!$C$55,((D768+E768)*C768-G768)*'Assumptions and Catalog'!$H$55+'Assumptions and Catalog'!$E$55+'Assumptions and Catalog'!$F$55,IF(((D768+E768)*C768-G768)&lt;='Assumptions and Catalog'!$C$56,((D768+E768)*C768-G768)*'Assumptions and Catalog'!$H$56+'Assumptions and Catalog'!$E$56+'Assumptions and Catalog'!$F$56,IF(((D768+E768)*C768-G768)&lt;='Assumptions and Catalog'!$C$57,((D768+E768)*C768-G768)*'Assumptions and Catalog'!$H$57+'Assumptions and Catalog'!$E$57+'Assumptions and Catalog'!$F$57,"Out of range")))))))),IF(((D768+E768)*C768-G768)&lt;='Assumptions and Catalog'!$C$60,((D768+E768)*C768-G768)*'Assumptions and Catalog'!$H$60+'Assumptions and Catalog'!$E$60+'Assumptions and Catalog'!$F$60,IF(((D768+E768)*C768-G768)&lt;='Assumptions and Catalog'!$C$61,((D768+E768)*C768-G768)*'Assumptions and Catalog'!$H$61+'Assumptions and Catalog'!$E$61+'Assumptions and Catalog'!$F$61,IF(((D768+E768)*C768-G768)&lt;='Assumptions and Catalog'!$C$62,((D768+E768)*C768-G768)*'Assumptions and Catalog'!$H$62+'Assumptions and Catalog'!$E$62+'Assumptions and Catalog'!$F$62,IF(((D768+E768)*C768-G768)&lt;='Assumptions and Catalog'!$C$63,((D768+E768)*C768-G768)*'Assumptions and Catalog'!$H$63+'Assumptions and Catalog'!$E$63+'Assumptions and Catalog'!$F$63,IF(((D768+E768)*C768-G768)&lt;='Assumptions and Catalog'!$C$64,((D768+E768)*C768-G768)*'Assumptions and Catalog'!$H$64+'Assumptions and Catalog'!$E$64+'Assumptions and Catalog'!$F$64,IF(((D768+E768)*C768-G768)&lt;='Assumptions and Catalog'!$C$65,((D768+E768)*C768-G768)*'Assumptions and Catalog'!$H$65+'Assumptions and Catalog'!$E$65+'Assumptions and Catalog'!$F$65,"Out of range")))))))))*(1+'Assumptions and Catalog'!$C$8)^(A768-1),0)</f>
        <v>5765.4981429645513</v>
      </c>
      <c r="R768" s="5">
        <f>IF(AND('Assumptions and Catalog'!$C$19&gt;0,A768&gt;='Assumptions and Catalog'!$C$19),A768-'Assumptions and Catalog'!$C$19,A768-1)</f>
        <v>8</v>
      </c>
      <c r="S768" s="5">
        <f>F768+L768-(D768+E768)*C768-J768-K768-IF(E$52&gt;0,'Assumptions and Catalog'!$C$26*C768,0)</f>
        <v>0</v>
      </c>
      <c r="T768" s="5"/>
      <c r="U768" s="5"/>
    </row>
    <row r="769" spans="1:21" ht="23.1" customHeight="1" outlineLevel="1" x14ac:dyDescent="0.2">
      <c r="A769" s="5">
        <v>10</v>
      </c>
      <c r="B769" s="5">
        <v>1</v>
      </c>
      <c r="C769" s="5">
        <f>DAY(DATE('Assumptions and Catalog'!$C$24+A769-1,B769+1,0))</f>
        <v>31</v>
      </c>
      <c r="D769" s="5">
        <f>IF(ISNUMBER(Inputs!$L$5),Inputs!$L$5*Inputs!$L$6,0)</f>
        <v>40.35</v>
      </c>
      <c r="E769" s="5">
        <f>IF(ISNUMBER(Inputs!$L$5),Inputs!$L$5-D769,0)</f>
        <v>40.35</v>
      </c>
      <c r="F769" s="5">
        <f>E$51*'Assumptions and Catalog'!$C$31*C769*(1-'Assumptions and Catalog'!$C$10)^(A769-1)</f>
        <v>811.63628208762043</v>
      </c>
      <c r="G769" s="5">
        <f t="shared" si="52"/>
        <v>811.63628208762043</v>
      </c>
      <c r="H769" s="5">
        <f>I769/('Assumptions and Catalog'!$C$11*'Assumptions and Catalog'!$C$12)</f>
        <v>0</v>
      </c>
      <c r="I769" s="5">
        <f>MIN(E769*C769,P769*'Assumptions and Catalog'!$C$12*C769,(F769-G769)*'Assumptions and Catalog'!$C$11*'Assumptions and Catalog'!$C$12,E$56*'Assumptions and Catalog'!$C$14*'Assumptions and Catalog'!$C$11*'Assumptions and Catalog'!$C$12*C769,E$57*(24-'Assumptions and Catalog'!$C$13)*C769)</f>
        <v>0</v>
      </c>
      <c r="J769" s="5">
        <f t="shared" si="53"/>
        <v>0</v>
      </c>
      <c r="K769" s="5">
        <f t="shared" si="54"/>
        <v>0</v>
      </c>
      <c r="L769" s="5">
        <f>(D769+E769)*C769-G769-I769+0+IF(E$52&gt;0,'Assumptions and Catalog'!$C$26*C769,0)</f>
        <v>1690.0637179123798</v>
      </c>
      <c r="M769" s="5">
        <f>IF(ISNUMBER(Inputs!$L$5),(IF(Inputs!$L$9="Actual flat rate",((D769+E769)*C769)*Inputs!$L$10,IF(Inputs!$C$9="Residential",IF(((D769+E769)*C769)&lt;='Assumptions and Catalog'!$C$50,((D769+E769)*C769)*'Assumptions and Catalog'!$H$50+'Assumptions and Catalog'!$E$50+'Assumptions and Catalog'!$F$50,IF(((D769+E769)*C769)&lt;='Assumptions and Catalog'!$C$51,((D769+E769)*C769)*'Assumptions and Catalog'!$H$51+'Assumptions and Catalog'!$E$51+'Assumptions and Catalog'!$F$51,IF(((D769+E769)*C769)&lt;='Assumptions and Catalog'!$C$52,((D769+E769)*C769)*'Assumptions and Catalog'!$H$52+'Assumptions and Catalog'!$E$52+'Assumptions and Catalog'!$F$52,IF(((D769+E769)*C769)&lt;='Assumptions and Catalog'!$C$53,((D769+E769)*C769)*'Assumptions and Catalog'!$H$53+'Assumptions and Catalog'!$E$53+'Assumptions and Catalog'!$F$53,IF(((D769+E769)*C769)&lt;='Assumptions and Catalog'!$C$54,((D769+E769)*C769)*'Assumptions and Catalog'!$H$54+'Assumptions and Catalog'!$E$54+'Assumptions and Catalog'!$F$54,IF(((D769+E769)*C769)&lt;='Assumptions and Catalog'!$C$55,((D769+E769)*C769)*'Assumptions and Catalog'!$H$55+'Assumptions and Catalog'!$E$55+'Assumptions and Catalog'!$F$55,IF(((D769+E769)*C769)&lt;='Assumptions and Catalog'!$C$56,((D769+E769)*C769)*'Assumptions and Catalog'!$H$56+'Assumptions and Catalog'!$E$56+'Assumptions and Catalog'!$F$56,IF(((D769+E769)*C769)&lt;='Assumptions and Catalog'!$C$57,((D769+E769)*C769)*'Assumptions and Catalog'!$H$57+'Assumptions and Catalog'!$E$57+'Assumptions and Catalog'!$F$57,"Out of range")))))))),IF(((D769+E769)*C769)&lt;='Assumptions and Catalog'!$C$60,((D769+E769)*C769)*'Assumptions and Catalog'!$H$60+'Assumptions and Catalog'!$E$60+'Assumptions and Catalog'!$F$60,IF(((D769+E769)*C769)&lt;='Assumptions and Catalog'!$C$61,((D769+E769)*C769)*'Assumptions and Catalog'!$H$61+'Assumptions and Catalog'!$E$61+'Assumptions and Catalog'!$F$61,IF(((D769+E769)*C769)&lt;='Assumptions and Catalog'!$C$62,((D769+E769)*C769)*'Assumptions and Catalog'!$H$62+'Assumptions and Catalog'!$E$62+'Assumptions and Catalog'!$F$62,IF(((D769+E769)*C769)&lt;='Assumptions and Catalog'!$C$63,((D769+E769)*C769)*'Assumptions and Catalog'!$H$63+'Assumptions and Catalog'!$E$63+'Assumptions and Catalog'!$F$63,IF(((D769+E769)*C769)&lt;='Assumptions and Catalog'!$C$64,((D769+E769)*C769)*'Assumptions and Catalog'!$H$64+'Assumptions and Catalog'!$E$64+'Assumptions and Catalog'!$F$64,IF(((D769+E769)*C769)&lt;='Assumptions and Catalog'!$C$65,((D769+E769)*C769)*'Assumptions and Catalog'!$H$65+'Assumptions and Catalog'!$E$65+'Assumptions and Catalog'!$F$65,"Out of range")))))))))*(1+'Assumptions and Catalog'!$C$8)^(A769-1),0)</f>
        <v>8554.9666666666672</v>
      </c>
      <c r="N769" s="5">
        <f>IF(ISNUMBER(Inputs!$L$5),(IF(Inputs!$L$9="Actual flat rate",L769*Inputs!$L$10,IF(Inputs!$C$9="Residential",IF(L769&lt;='Assumptions and Catalog'!$C$50,L769*'Assumptions and Catalog'!$H$50+'Assumptions and Catalog'!$E$50+'Assumptions and Catalog'!$F$50,IF(L769&lt;='Assumptions and Catalog'!$C$51,L769*'Assumptions and Catalog'!$H$51+'Assumptions and Catalog'!$E$51+'Assumptions and Catalog'!$F$51,IF(L769&lt;='Assumptions and Catalog'!$C$52,L769*'Assumptions and Catalog'!$H$52+'Assumptions and Catalog'!$E$52+'Assumptions and Catalog'!$F$52,IF(L769&lt;='Assumptions and Catalog'!$C$53,L769*'Assumptions and Catalog'!$H$53+'Assumptions and Catalog'!$E$53+'Assumptions and Catalog'!$F$53,IF(L769&lt;='Assumptions and Catalog'!$C$54,L769*'Assumptions and Catalog'!$H$54+'Assumptions and Catalog'!$E$54+'Assumptions and Catalog'!$F$54,IF(L769&lt;='Assumptions and Catalog'!$C$55,L769*'Assumptions and Catalog'!$H$55+'Assumptions and Catalog'!$E$55+'Assumptions and Catalog'!$F$55,IF(L769&lt;='Assumptions and Catalog'!$C$56,L769*'Assumptions and Catalog'!$H$56+'Assumptions and Catalog'!$E$56+'Assumptions and Catalog'!$F$56,IF(L769&lt;='Assumptions and Catalog'!$C$57,L769*'Assumptions and Catalog'!$H$57+'Assumptions and Catalog'!$E$57+'Assumptions and Catalog'!$F$57,"Out of range")))))))),IF(L769&lt;='Assumptions and Catalog'!$C$60,L769*'Assumptions and Catalog'!$H$60+'Assumptions and Catalog'!$E$60+'Assumptions and Catalog'!$F$60,IF(L769&lt;='Assumptions and Catalog'!$C$61,L769*'Assumptions and Catalog'!$H$61+'Assumptions and Catalog'!$E$61+'Assumptions and Catalog'!$F$61,IF(L769&lt;='Assumptions and Catalog'!$C$62,L769*'Assumptions and Catalog'!$H$62+'Assumptions and Catalog'!$E$62+'Assumptions and Catalog'!$F$62,IF(L769&lt;='Assumptions and Catalog'!$C$63,L769*'Assumptions and Catalog'!$H$63+'Assumptions and Catalog'!$E$63+'Assumptions and Catalog'!$F$63,IF(L769&lt;='Assumptions and Catalog'!$C$64,L769*'Assumptions and Catalog'!$H$64+'Assumptions and Catalog'!$E$64+'Assumptions and Catalog'!$F$64,IF(L769&lt;='Assumptions and Catalog'!$C$65,L769*'Assumptions and Catalog'!$H$65+'Assumptions and Catalog'!$E$65+'Assumptions and Catalog'!$F$65,"Out of range")))))))))*(1+'Assumptions and Catalog'!$C$8)^(A769-1),0)</f>
        <v>5779.4454855830618</v>
      </c>
      <c r="O769" s="5">
        <f t="shared" si="55"/>
        <v>2775.5211810836054</v>
      </c>
      <c r="P769" s="5">
        <f>E$55*(1-L$14)*(1-'Assumptions and Catalog'!$C$23)^R769</f>
        <v>85.375770842127338</v>
      </c>
      <c r="Q769" s="5">
        <f>IF(ISNUMBER(Inputs!$L$5),(IF(Inputs!$L$9="Actual flat rate",((D769+E769)*C769-G769)*Inputs!$L$10,IF(Inputs!$C$9="Residential",IF(((D769+E769)*C769-G769)&lt;='Assumptions and Catalog'!$C$50,((D769+E769)*C769-G769)*'Assumptions and Catalog'!$H$50+'Assumptions and Catalog'!$E$50+'Assumptions and Catalog'!$F$50,IF(((D769+E769)*C769-G769)&lt;='Assumptions and Catalog'!$C$51,((D769+E769)*C769-G769)*'Assumptions and Catalog'!$H$51+'Assumptions and Catalog'!$E$51+'Assumptions and Catalog'!$F$51,IF(((D769+E769)*C769-G769)&lt;='Assumptions and Catalog'!$C$52,((D769+E769)*C769-G769)*'Assumptions and Catalog'!$H$52+'Assumptions and Catalog'!$E$52+'Assumptions and Catalog'!$F$52,IF(((D769+E769)*C769-G769)&lt;='Assumptions and Catalog'!$C$53,((D769+E769)*C769-G769)*'Assumptions and Catalog'!$H$53+'Assumptions and Catalog'!$E$53+'Assumptions and Catalog'!$F$53,IF(((D769+E769)*C769-G769)&lt;='Assumptions and Catalog'!$C$54,((D769+E769)*C769-G769)*'Assumptions and Catalog'!$H$54+'Assumptions and Catalog'!$E$54+'Assumptions and Catalog'!$F$54,IF(((D769+E769)*C769-G769)&lt;='Assumptions and Catalog'!$C$55,((D769+E769)*C769-G769)*'Assumptions and Catalog'!$H$55+'Assumptions and Catalog'!$E$55+'Assumptions and Catalog'!$F$55,IF(((D769+E769)*C769-G769)&lt;='Assumptions and Catalog'!$C$56,((D769+E769)*C769-G769)*'Assumptions and Catalog'!$H$56+'Assumptions and Catalog'!$E$56+'Assumptions and Catalog'!$F$56,IF(((D769+E769)*C769-G769)&lt;='Assumptions and Catalog'!$C$57,((D769+E769)*C769-G769)*'Assumptions and Catalog'!$H$57+'Assumptions and Catalog'!$E$57+'Assumptions and Catalog'!$F$57,"Out of range")))))))),IF(((D769+E769)*C769-G769)&lt;='Assumptions and Catalog'!$C$60,((D769+E769)*C769-G769)*'Assumptions and Catalog'!$H$60+'Assumptions and Catalog'!$E$60+'Assumptions and Catalog'!$F$60,IF(((D769+E769)*C769-G769)&lt;='Assumptions and Catalog'!$C$61,((D769+E769)*C769-G769)*'Assumptions and Catalog'!$H$61+'Assumptions and Catalog'!$E$61+'Assumptions and Catalog'!$F$61,IF(((D769+E769)*C769-G769)&lt;='Assumptions and Catalog'!$C$62,((D769+E769)*C769-G769)*'Assumptions and Catalog'!$H$62+'Assumptions and Catalog'!$E$62+'Assumptions and Catalog'!$F$62,IF(((D769+E769)*C769-G769)&lt;='Assumptions and Catalog'!$C$63,((D769+E769)*C769-G769)*'Assumptions and Catalog'!$H$63+'Assumptions and Catalog'!$E$63+'Assumptions and Catalog'!$F$63,IF(((D769+E769)*C769-G769)&lt;='Assumptions and Catalog'!$C$64,((D769+E769)*C769-G769)*'Assumptions and Catalog'!$H$64+'Assumptions and Catalog'!$E$64+'Assumptions and Catalog'!$F$64,IF(((D769+E769)*C769-G769)&lt;='Assumptions and Catalog'!$C$65,((D769+E769)*C769-G769)*'Assumptions and Catalog'!$H$65+'Assumptions and Catalog'!$E$65+'Assumptions and Catalog'!$F$65,"Out of range")))))))))*(1+'Assumptions and Catalog'!$C$8)^(A769-1),0)</f>
        <v>5779.4454855830618</v>
      </c>
      <c r="R769" s="5">
        <f>IF(AND('Assumptions and Catalog'!$C$19&gt;0,A769&gt;='Assumptions and Catalog'!$C$19),A769-'Assumptions and Catalog'!$C$19,A769-1)</f>
        <v>9</v>
      </c>
      <c r="S769" s="5">
        <f>F769+L769-(D769+E769)*C769-J769-K769-IF(E$52&gt;0,'Assumptions and Catalog'!$C$26*C769,0)</f>
        <v>0</v>
      </c>
      <c r="T769" s="5"/>
      <c r="U769" s="5"/>
    </row>
    <row r="770" spans="1:21" ht="23.1" customHeight="1" outlineLevel="1" x14ac:dyDescent="0.2">
      <c r="A770" s="5">
        <v>10</v>
      </c>
      <c r="B770" s="5">
        <v>2</v>
      </c>
      <c r="C770" s="5">
        <f>DAY(DATE('Assumptions and Catalog'!$C$24+A770-1,B770+1,0))</f>
        <v>29</v>
      </c>
      <c r="D770" s="5">
        <f>IF(ISNUMBER(Inputs!$L$5),Inputs!$L$5*Inputs!$L$6,0)</f>
        <v>40.35</v>
      </c>
      <c r="E770" s="5">
        <f>IF(ISNUMBER(Inputs!$L$5),Inputs!$L$5-D770,0)</f>
        <v>40.35</v>
      </c>
      <c r="F770" s="5">
        <f>E$51*'Assumptions and Catalog'!$C$31*C770*(1-'Assumptions and Catalog'!$C$10)^(A770-1)</f>
        <v>759.27265098519331</v>
      </c>
      <c r="G770" s="5">
        <f t="shared" si="52"/>
        <v>759.27265098519331</v>
      </c>
      <c r="H770" s="5">
        <f>I770/('Assumptions and Catalog'!$C$11*'Assumptions and Catalog'!$C$12)</f>
        <v>0</v>
      </c>
      <c r="I770" s="5">
        <f>MIN(E770*C770,P770*'Assumptions and Catalog'!$C$12*C770,(F770-G770)*'Assumptions and Catalog'!$C$11*'Assumptions and Catalog'!$C$12,E$56*'Assumptions and Catalog'!$C$14*'Assumptions and Catalog'!$C$11*'Assumptions and Catalog'!$C$12*C770,E$57*(24-'Assumptions and Catalog'!$C$13)*C770)</f>
        <v>0</v>
      </c>
      <c r="J770" s="5">
        <f t="shared" si="53"/>
        <v>0</v>
      </c>
      <c r="K770" s="5">
        <f t="shared" si="54"/>
        <v>0</v>
      </c>
      <c r="L770" s="5">
        <f>(D770+E770)*C770-G770-I770+0+IF(E$52&gt;0,'Assumptions and Catalog'!$C$26*C770,0)</f>
        <v>1581.027349014807</v>
      </c>
      <c r="M770" s="5">
        <f>IF(ISNUMBER(Inputs!$L$5),(IF(Inputs!$L$9="Actual flat rate",((D770+E770)*C770)*Inputs!$L$10,IF(Inputs!$C$9="Residential",IF(((D770+E770)*C770)&lt;='Assumptions and Catalog'!$C$50,((D770+E770)*C770)*'Assumptions and Catalog'!$H$50+'Assumptions and Catalog'!$E$50+'Assumptions and Catalog'!$F$50,IF(((D770+E770)*C770)&lt;='Assumptions and Catalog'!$C$51,((D770+E770)*C770)*'Assumptions and Catalog'!$H$51+'Assumptions and Catalog'!$E$51+'Assumptions and Catalog'!$F$51,IF(((D770+E770)*C770)&lt;='Assumptions and Catalog'!$C$52,((D770+E770)*C770)*'Assumptions and Catalog'!$H$52+'Assumptions and Catalog'!$E$52+'Assumptions and Catalog'!$F$52,IF(((D770+E770)*C770)&lt;='Assumptions and Catalog'!$C$53,((D770+E770)*C770)*'Assumptions and Catalog'!$H$53+'Assumptions and Catalog'!$E$53+'Assumptions and Catalog'!$F$53,IF(((D770+E770)*C770)&lt;='Assumptions and Catalog'!$C$54,((D770+E770)*C770)*'Assumptions and Catalog'!$H$54+'Assumptions and Catalog'!$E$54+'Assumptions and Catalog'!$F$54,IF(((D770+E770)*C770)&lt;='Assumptions and Catalog'!$C$55,((D770+E770)*C770)*'Assumptions and Catalog'!$H$55+'Assumptions and Catalog'!$E$55+'Assumptions and Catalog'!$F$55,IF(((D770+E770)*C770)&lt;='Assumptions and Catalog'!$C$56,((D770+E770)*C770)*'Assumptions and Catalog'!$H$56+'Assumptions and Catalog'!$E$56+'Assumptions and Catalog'!$F$56,IF(((D770+E770)*C770)&lt;='Assumptions and Catalog'!$C$57,((D770+E770)*C770)*'Assumptions and Catalog'!$H$57+'Assumptions and Catalog'!$E$57+'Assumptions and Catalog'!$F$57,"Out of range")))))))),IF(((D770+E770)*C770)&lt;='Assumptions and Catalog'!$C$60,((D770+E770)*C770)*'Assumptions and Catalog'!$H$60+'Assumptions and Catalog'!$E$60+'Assumptions and Catalog'!$F$60,IF(((D770+E770)*C770)&lt;='Assumptions and Catalog'!$C$61,((D770+E770)*C770)*'Assumptions and Catalog'!$H$61+'Assumptions and Catalog'!$E$61+'Assumptions and Catalog'!$F$61,IF(((D770+E770)*C770)&lt;='Assumptions and Catalog'!$C$62,((D770+E770)*C770)*'Assumptions and Catalog'!$H$62+'Assumptions and Catalog'!$E$62+'Assumptions and Catalog'!$F$62,IF(((D770+E770)*C770)&lt;='Assumptions and Catalog'!$C$63,((D770+E770)*C770)*'Assumptions and Catalog'!$H$63+'Assumptions and Catalog'!$E$63+'Assumptions and Catalog'!$F$63,IF(((D770+E770)*C770)&lt;='Assumptions and Catalog'!$C$64,((D770+E770)*C770)*'Assumptions and Catalog'!$H$64+'Assumptions and Catalog'!$E$64+'Assumptions and Catalog'!$F$64,IF(((D770+E770)*C770)&lt;='Assumptions and Catalog'!$C$65,((D770+E770)*C770)*'Assumptions and Catalog'!$H$65+'Assumptions and Catalog'!$E$65+'Assumptions and Catalog'!$F$65,"Out of range")))))))))*(1+'Assumptions and Catalog'!$C$8)^(A770-1),0)</f>
        <v>8003.0333333333338</v>
      </c>
      <c r="N770" s="5">
        <f>IF(ISNUMBER(Inputs!$L$5),(IF(Inputs!$L$9="Actual flat rate",L770*Inputs!$L$10,IF(Inputs!$C$9="Residential",IF(L770&lt;='Assumptions and Catalog'!$C$50,L770*'Assumptions and Catalog'!$H$50+'Assumptions and Catalog'!$E$50+'Assumptions and Catalog'!$F$50,IF(L770&lt;='Assumptions and Catalog'!$C$51,L770*'Assumptions and Catalog'!$H$51+'Assumptions and Catalog'!$E$51+'Assumptions and Catalog'!$F$51,IF(L770&lt;='Assumptions and Catalog'!$C$52,L770*'Assumptions and Catalog'!$H$52+'Assumptions and Catalog'!$E$52+'Assumptions and Catalog'!$F$52,IF(L770&lt;='Assumptions and Catalog'!$C$53,L770*'Assumptions and Catalog'!$H$53+'Assumptions and Catalog'!$E$53+'Assumptions and Catalog'!$F$53,IF(L770&lt;='Assumptions and Catalog'!$C$54,L770*'Assumptions and Catalog'!$H$54+'Assumptions and Catalog'!$E$54+'Assumptions and Catalog'!$F$54,IF(L770&lt;='Assumptions and Catalog'!$C$55,L770*'Assumptions and Catalog'!$H$55+'Assumptions and Catalog'!$E$55+'Assumptions and Catalog'!$F$55,IF(L770&lt;='Assumptions and Catalog'!$C$56,L770*'Assumptions and Catalog'!$H$56+'Assumptions and Catalog'!$E$56+'Assumptions and Catalog'!$F$56,IF(L770&lt;='Assumptions and Catalog'!$C$57,L770*'Assumptions and Catalog'!$H$57+'Assumptions and Catalog'!$E$57+'Assumptions and Catalog'!$F$57,"Out of range")))))))),IF(L770&lt;='Assumptions and Catalog'!$C$60,L770*'Assumptions and Catalog'!$H$60+'Assumptions and Catalog'!$E$60+'Assumptions and Catalog'!$F$60,IF(L770&lt;='Assumptions and Catalog'!$C$61,L770*'Assumptions and Catalog'!$H$61+'Assumptions and Catalog'!$E$61+'Assumptions and Catalog'!$F$61,IF(L770&lt;='Assumptions and Catalog'!$C$62,L770*'Assumptions and Catalog'!$H$62+'Assumptions and Catalog'!$E$62+'Assumptions and Catalog'!$F$62,IF(L770&lt;='Assumptions and Catalog'!$C$63,L770*'Assumptions and Catalog'!$H$63+'Assumptions and Catalog'!$E$63+'Assumptions and Catalog'!$F$63,IF(L770&lt;='Assumptions and Catalog'!$C$64,L770*'Assumptions and Catalog'!$H$64+'Assumptions and Catalog'!$E$64+'Assumptions and Catalog'!$F$64,IF(L770&lt;='Assumptions and Catalog'!$C$65,L770*'Assumptions and Catalog'!$H$65+'Assumptions and Catalog'!$E$65+'Assumptions and Catalog'!$F$65,"Out of range")))))))))*(1+'Assumptions and Catalog'!$C$8)^(A770-1),0)</f>
        <v>5406.5780349002835</v>
      </c>
      <c r="O770" s="5">
        <f t="shared" si="55"/>
        <v>2596.4552984330503</v>
      </c>
      <c r="P770" s="5">
        <f>E$55*(1-L$14)*(1-'Assumptions and Catalog'!$C$23)^R770</f>
        <v>85.375770842127338</v>
      </c>
      <c r="Q770" s="5">
        <f>IF(ISNUMBER(Inputs!$L$5),(IF(Inputs!$L$9="Actual flat rate",((D770+E770)*C770-G770)*Inputs!$L$10,IF(Inputs!$C$9="Residential",IF(((D770+E770)*C770-G770)&lt;='Assumptions and Catalog'!$C$50,((D770+E770)*C770-G770)*'Assumptions and Catalog'!$H$50+'Assumptions and Catalog'!$E$50+'Assumptions and Catalog'!$F$50,IF(((D770+E770)*C770-G770)&lt;='Assumptions and Catalog'!$C$51,((D770+E770)*C770-G770)*'Assumptions and Catalog'!$H$51+'Assumptions and Catalog'!$E$51+'Assumptions and Catalog'!$F$51,IF(((D770+E770)*C770-G770)&lt;='Assumptions and Catalog'!$C$52,((D770+E770)*C770-G770)*'Assumptions and Catalog'!$H$52+'Assumptions and Catalog'!$E$52+'Assumptions and Catalog'!$F$52,IF(((D770+E770)*C770-G770)&lt;='Assumptions and Catalog'!$C$53,((D770+E770)*C770-G770)*'Assumptions and Catalog'!$H$53+'Assumptions and Catalog'!$E$53+'Assumptions and Catalog'!$F$53,IF(((D770+E770)*C770-G770)&lt;='Assumptions and Catalog'!$C$54,((D770+E770)*C770-G770)*'Assumptions and Catalog'!$H$54+'Assumptions and Catalog'!$E$54+'Assumptions and Catalog'!$F$54,IF(((D770+E770)*C770-G770)&lt;='Assumptions and Catalog'!$C$55,((D770+E770)*C770-G770)*'Assumptions and Catalog'!$H$55+'Assumptions and Catalog'!$E$55+'Assumptions and Catalog'!$F$55,IF(((D770+E770)*C770-G770)&lt;='Assumptions and Catalog'!$C$56,((D770+E770)*C770-G770)*'Assumptions and Catalog'!$H$56+'Assumptions and Catalog'!$E$56+'Assumptions and Catalog'!$F$56,IF(((D770+E770)*C770-G770)&lt;='Assumptions and Catalog'!$C$57,((D770+E770)*C770-G770)*'Assumptions and Catalog'!$H$57+'Assumptions and Catalog'!$E$57+'Assumptions and Catalog'!$F$57,"Out of range")))))))),IF(((D770+E770)*C770-G770)&lt;='Assumptions and Catalog'!$C$60,((D770+E770)*C770-G770)*'Assumptions and Catalog'!$H$60+'Assumptions and Catalog'!$E$60+'Assumptions and Catalog'!$F$60,IF(((D770+E770)*C770-G770)&lt;='Assumptions and Catalog'!$C$61,((D770+E770)*C770-G770)*'Assumptions and Catalog'!$H$61+'Assumptions and Catalog'!$E$61+'Assumptions and Catalog'!$F$61,IF(((D770+E770)*C770-G770)&lt;='Assumptions and Catalog'!$C$62,((D770+E770)*C770-G770)*'Assumptions and Catalog'!$H$62+'Assumptions and Catalog'!$E$62+'Assumptions and Catalog'!$F$62,IF(((D770+E770)*C770-G770)&lt;='Assumptions and Catalog'!$C$63,((D770+E770)*C770-G770)*'Assumptions and Catalog'!$H$63+'Assumptions and Catalog'!$E$63+'Assumptions and Catalog'!$F$63,IF(((D770+E770)*C770-G770)&lt;='Assumptions and Catalog'!$C$64,((D770+E770)*C770-G770)*'Assumptions and Catalog'!$H$64+'Assumptions and Catalog'!$E$64+'Assumptions and Catalog'!$F$64,IF(((D770+E770)*C770-G770)&lt;='Assumptions and Catalog'!$C$65,((D770+E770)*C770-G770)*'Assumptions and Catalog'!$H$65+'Assumptions and Catalog'!$E$65+'Assumptions and Catalog'!$F$65,"Out of range")))))))))*(1+'Assumptions and Catalog'!$C$8)^(A770-1),0)</f>
        <v>5406.5780349002835</v>
      </c>
      <c r="R770" s="5">
        <f>IF(AND('Assumptions and Catalog'!$C$19&gt;0,A770&gt;='Assumptions and Catalog'!$C$19),A770-'Assumptions and Catalog'!$C$19,A770-1)</f>
        <v>9</v>
      </c>
      <c r="S770" s="5">
        <f>F770+L770-(D770+E770)*C770-J770-K770-IF(E$52&gt;0,'Assumptions and Catalog'!$C$26*C770,0)</f>
        <v>0</v>
      </c>
      <c r="T770" s="5"/>
      <c r="U770" s="5"/>
    </row>
    <row r="771" spans="1:21" ht="23.1" customHeight="1" outlineLevel="1" x14ac:dyDescent="0.2">
      <c r="A771" s="5">
        <v>10</v>
      </c>
      <c r="B771" s="5">
        <v>3</v>
      </c>
      <c r="C771" s="5">
        <f>DAY(DATE('Assumptions and Catalog'!$C$24+A771-1,B771+1,0))</f>
        <v>31</v>
      </c>
      <c r="D771" s="5">
        <f>IF(ISNUMBER(Inputs!$L$5),Inputs!$L$5*Inputs!$L$6,0)</f>
        <v>40.35</v>
      </c>
      <c r="E771" s="5">
        <f>IF(ISNUMBER(Inputs!$L$5),Inputs!$L$5-D771,0)</f>
        <v>40.35</v>
      </c>
      <c r="F771" s="5">
        <f>E$51*'Assumptions and Catalog'!$C$31*C771*(1-'Assumptions and Catalog'!$C$10)^(A771-1)</f>
        <v>811.63628208762043</v>
      </c>
      <c r="G771" s="5">
        <f t="shared" si="52"/>
        <v>811.63628208762043</v>
      </c>
      <c r="H771" s="5">
        <f>I771/('Assumptions and Catalog'!$C$11*'Assumptions and Catalog'!$C$12)</f>
        <v>0</v>
      </c>
      <c r="I771" s="5">
        <f>MIN(E771*C771,P771*'Assumptions and Catalog'!$C$12*C771,(F771-G771)*'Assumptions and Catalog'!$C$11*'Assumptions and Catalog'!$C$12,E$56*'Assumptions and Catalog'!$C$14*'Assumptions and Catalog'!$C$11*'Assumptions and Catalog'!$C$12*C771,E$57*(24-'Assumptions and Catalog'!$C$13)*C771)</f>
        <v>0</v>
      </c>
      <c r="J771" s="5">
        <f t="shared" si="53"/>
        <v>0</v>
      </c>
      <c r="K771" s="5">
        <f t="shared" si="54"/>
        <v>0</v>
      </c>
      <c r="L771" s="5">
        <f>(D771+E771)*C771-G771-I771+0+IF(E$52&gt;0,'Assumptions and Catalog'!$C$26*C771,0)</f>
        <v>1690.0637179123798</v>
      </c>
      <c r="M771" s="5">
        <f>IF(ISNUMBER(Inputs!$L$5),(IF(Inputs!$L$9="Actual flat rate",((D771+E771)*C771)*Inputs!$L$10,IF(Inputs!$C$9="Residential",IF(((D771+E771)*C771)&lt;='Assumptions and Catalog'!$C$50,((D771+E771)*C771)*'Assumptions and Catalog'!$H$50+'Assumptions and Catalog'!$E$50+'Assumptions and Catalog'!$F$50,IF(((D771+E771)*C771)&lt;='Assumptions and Catalog'!$C$51,((D771+E771)*C771)*'Assumptions and Catalog'!$H$51+'Assumptions and Catalog'!$E$51+'Assumptions and Catalog'!$F$51,IF(((D771+E771)*C771)&lt;='Assumptions and Catalog'!$C$52,((D771+E771)*C771)*'Assumptions and Catalog'!$H$52+'Assumptions and Catalog'!$E$52+'Assumptions and Catalog'!$F$52,IF(((D771+E771)*C771)&lt;='Assumptions and Catalog'!$C$53,((D771+E771)*C771)*'Assumptions and Catalog'!$H$53+'Assumptions and Catalog'!$E$53+'Assumptions and Catalog'!$F$53,IF(((D771+E771)*C771)&lt;='Assumptions and Catalog'!$C$54,((D771+E771)*C771)*'Assumptions and Catalog'!$H$54+'Assumptions and Catalog'!$E$54+'Assumptions and Catalog'!$F$54,IF(((D771+E771)*C771)&lt;='Assumptions and Catalog'!$C$55,((D771+E771)*C771)*'Assumptions and Catalog'!$H$55+'Assumptions and Catalog'!$E$55+'Assumptions and Catalog'!$F$55,IF(((D771+E771)*C771)&lt;='Assumptions and Catalog'!$C$56,((D771+E771)*C771)*'Assumptions and Catalog'!$H$56+'Assumptions and Catalog'!$E$56+'Assumptions and Catalog'!$F$56,IF(((D771+E771)*C771)&lt;='Assumptions and Catalog'!$C$57,((D771+E771)*C771)*'Assumptions and Catalog'!$H$57+'Assumptions and Catalog'!$E$57+'Assumptions and Catalog'!$F$57,"Out of range")))))))),IF(((D771+E771)*C771)&lt;='Assumptions and Catalog'!$C$60,((D771+E771)*C771)*'Assumptions and Catalog'!$H$60+'Assumptions and Catalog'!$E$60+'Assumptions and Catalog'!$F$60,IF(((D771+E771)*C771)&lt;='Assumptions and Catalog'!$C$61,((D771+E771)*C771)*'Assumptions and Catalog'!$H$61+'Assumptions and Catalog'!$E$61+'Assumptions and Catalog'!$F$61,IF(((D771+E771)*C771)&lt;='Assumptions and Catalog'!$C$62,((D771+E771)*C771)*'Assumptions and Catalog'!$H$62+'Assumptions and Catalog'!$E$62+'Assumptions and Catalog'!$F$62,IF(((D771+E771)*C771)&lt;='Assumptions and Catalog'!$C$63,((D771+E771)*C771)*'Assumptions and Catalog'!$H$63+'Assumptions and Catalog'!$E$63+'Assumptions and Catalog'!$F$63,IF(((D771+E771)*C771)&lt;='Assumptions and Catalog'!$C$64,((D771+E771)*C771)*'Assumptions and Catalog'!$H$64+'Assumptions and Catalog'!$E$64+'Assumptions and Catalog'!$F$64,IF(((D771+E771)*C771)&lt;='Assumptions and Catalog'!$C$65,((D771+E771)*C771)*'Assumptions and Catalog'!$H$65+'Assumptions and Catalog'!$E$65+'Assumptions and Catalog'!$F$65,"Out of range")))))))))*(1+'Assumptions and Catalog'!$C$8)^(A771-1),0)</f>
        <v>8554.9666666666672</v>
      </c>
      <c r="N771" s="5">
        <f>IF(ISNUMBER(Inputs!$L$5),(IF(Inputs!$L$9="Actual flat rate",L771*Inputs!$L$10,IF(Inputs!$C$9="Residential",IF(L771&lt;='Assumptions and Catalog'!$C$50,L771*'Assumptions and Catalog'!$H$50+'Assumptions and Catalog'!$E$50+'Assumptions and Catalog'!$F$50,IF(L771&lt;='Assumptions and Catalog'!$C$51,L771*'Assumptions and Catalog'!$H$51+'Assumptions and Catalog'!$E$51+'Assumptions and Catalog'!$F$51,IF(L771&lt;='Assumptions and Catalog'!$C$52,L771*'Assumptions and Catalog'!$H$52+'Assumptions and Catalog'!$E$52+'Assumptions and Catalog'!$F$52,IF(L771&lt;='Assumptions and Catalog'!$C$53,L771*'Assumptions and Catalog'!$H$53+'Assumptions and Catalog'!$E$53+'Assumptions and Catalog'!$F$53,IF(L771&lt;='Assumptions and Catalog'!$C$54,L771*'Assumptions and Catalog'!$H$54+'Assumptions and Catalog'!$E$54+'Assumptions and Catalog'!$F$54,IF(L771&lt;='Assumptions and Catalog'!$C$55,L771*'Assumptions and Catalog'!$H$55+'Assumptions and Catalog'!$E$55+'Assumptions and Catalog'!$F$55,IF(L771&lt;='Assumptions and Catalog'!$C$56,L771*'Assumptions and Catalog'!$H$56+'Assumptions and Catalog'!$E$56+'Assumptions and Catalog'!$F$56,IF(L771&lt;='Assumptions and Catalog'!$C$57,L771*'Assumptions and Catalog'!$H$57+'Assumptions and Catalog'!$E$57+'Assumptions and Catalog'!$F$57,"Out of range")))))))),IF(L771&lt;='Assumptions and Catalog'!$C$60,L771*'Assumptions and Catalog'!$H$60+'Assumptions and Catalog'!$E$60+'Assumptions and Catalog'!$F$60,IF(L771&lt;='Assumptions and Catalog'!$C$61,L771*'Assumptions and Catalog'!$H$61+'Assumptions and Catalog'!$E$61+'Assumptions and Catalog'!$F$61,IF(L771&lt;='Assumptions and Catalog'!$C$62,L771*'Assumptions and Catalog'!$H$62+'Assumptions and Catalog'!$E$62+'Assumptions and Catalog'!$F$62,IF(L771&lt;='Assumptions and Catalog'!$C$63,L771*'Assumptions and Catalog'!$H$63+'Assumptions and Catalog'!$E$63+'Assumptions and Catalog'!$F$63,IF(L771&lt;='Assumptions and Catalog'!$C$64,L771*'Assumptions and Catalog'!$H$64+'Assumptions and Catalog'!$E$64+'Assumptions and Catalog'!$F$64,IF(L771&lt;='Assumptions and Catalog'!$C$65,L771*'Assumptions and Catalog'!$H$65+'Assumptions and Catalog'!$E$65+'Assumptions and Catalog'!$F$65,"Out of range")))))))))*(1+'Assumptions and Catalog'!$C$8)^(A771-1),0)</f>
        <v>5779.4454855830618</v>
      </c>
      <c r="O771" s="5">
        <f t="shared" si="55"/>
        <v>2775.5211810836054</v>
      </c>
      <c r="P771" s="5">
        <f>E$55*(1-L$14)*(1-'Assumptions and Catalog'!$C$23)^R771</f>
        <v>85.375770842127338</v>
      </c>
      <c r="Q771" s="5">
        <f>IF(ISNUMBER(Inputs!$L$5),(IF(Inputs!$L$9="Actual flat rate",((D771+E771)*C771-G771)*Inputs!$L$10,IF(Inputs!$C$9="Residential",IF(((D771+E771)*C771-G771)&lt;='Assumptions and Catalog'!$C$50,((D771+E771)*C771-G771)*'Assumptions and Catalog'!$H$50+'Assumptions and Catalog'!$E$50+'Assumptions and Catalog'!$F$50,IF(((D771+E771)*C771-G771)&lt;='Assumptions and Catalog'!$C$51,((D771+E771)*C771-G771)*'Assumptions and Catalog'!$H$51+'Assumptions and Catalog'!$E$51+'Assumptions and Catalog'!$F$51,IF(((D771+E771)*C771-G771)&lt;='Assumptions and Catalog'!$C$52,((D771+E771)*C771-G771)*'Assumptions and Catalog'!$H$52+'Assumptions and Catalog'!$E$52+'Assumptions and Catalog'!$F$52,IF(((D771+E771)*C771-G771)&lt;='Assumptions and Catalog'!$C$53,((D771+E771)*C771-G771)*'Assumptions and Catalog'!$H$53+'Assumptions and Catalog'!$E$53+'Assumptions and Catalog'!$F$53,IF(((D771+E771)*C771-G771)&lt;='Assumptions and Catalog'!$C$54,((D771+E771)*C771-G771)*'Assumptions and Catalog'!$H$54+'Assumptions and Catalog'!$E$54+'Assumptions and Catalog'!$F$54,IF(((D771+E771)*C771-G771)&lt;='Assumptions and Catalog'!$C$55,((D771+E771)*C771-G771)*'Assumptions and Catalog'!$H$55+'Assumptions and Catalog'!$E$55+'Assumptions and Catalog'!$F$55,IF(((D771+E771)*C771-G771)&lt;='Assumptions and Catalog'!$C$56,((D771+E771)*C771-G771)*'Assumptions and Catalog'!$H$56+'Assumptions and Catalog'!$E$56+'Assumptions and Catalog'!$F$56,IF(((D771+E771)*C771-G771)&lt;='Assumptions and Catalog'!$C$57,((D771+E771)*C771-G771)*'Assumptions and Catalog'!$H$57+'Assumptions and Catalog'!$E$57+'Assumptions and Catalog'!$F$57,"Out of range")))))))),IF(((D771+E771)*C771-G771)&lt;='Assumptions and Catalog'!$C$60,((D771+E771)*C771-G771)*'Assumptions and Catalog'!$H$60+'Assumptions and Catalog'!$E$60+'Assumptions and Catalog'!$F$60,IF(((D771+E771)*C771-G771)&lt;='Assumptions and Catalog'!$C$61,((D771+E771)*C771-G771)*'Assumptions and Catalog'!$H$61+'Assumptions and Catalog'!$E$61+'Assumptions and Catalog'!$F$61,IF(((D771+E771)*C771-G771)&lt;='Assumptions and Catalog'!$C$62,((D771+E771)*C771-G771)*'Assumptions and Catalog'!$H$62+'Assumptions and Catalog'!$E$62+'Assumptions and Catalog'!$F$62,IF(((D771+E771)*C771-G771)&lt;='Assumptions and Catalog'!$C$63,((D771+E771)*C771-G771)*'Assumptions and Catalog'!$H$63+'Assumptions and Catalog'!$E$63+'Assumptions and Catalog'!$F$63,IF(((D771+E771)*C771-G771)&lt;='Assumptions and Catalog'!$C$64,((D771+E771)*C771-G771)*'Assumptions and Catalog'!$H$64+'Assumptions and Catalog'!$E$64+'Assumptions and Catalog'!$F$64,IF(((D771+E771)*C771-G771)&lt;='Assumptions and Catalog'!$C$65,((D771+E771)*C771-G771)*'Assumptions and Catalog'!$H$65+'Assumptions and Catalog'!$E$65+'Assumptions and Catalog'!$F$65,"Out of range")))))))))*(1+'Assumptions and Catalog'!$C$8)^(A771-1),0)</f>
        <v>5779.4454855830618</v>
      </c>
      <c r="R771" s="5">
        <f>IF(AND('Assumptions and Catalog'!$C$19&gt;0,A771&gt;='Assumptions and Catalog'!$C$19),A771-'Assumptions and Catalog'!$C$19,A771-1)</f>
        <v>9</v>
      </c>
      <c r="S771" s="5">
        <f>F771+L771-(D771+E771)*C771-J771-K771-IF(E$52&gt;0,'Assumptions and Catalog'!$C$26*C771,0)</f>
        <v>0</v>
      </c>
      <c r="T771" s="5"/>
      <c r="U771" s="5"/>
    </row>
    <row r="772" spans="1:21" ht="23.1" customHeight="1" outlineLevel="1" x14ac:dyDescent="0.2">
      <c r="A772" s="5">
        <v>10</v>
      </c>
      <c r="B772" s="5">
        <v>4</v>
      </c>
      <c r="C772" s="5">
        <f>DAY(DATE('Assumptions and Catalog'!$C$24+A772-1,B772+1,0))</f>
        <v>30</v>
      </c>
      <c r="D772" s="5">
        <f>IF(ISNUMBER(Inputs!$L$5),Inputs!$L$5*Inputs!$L$6,0)</f>
        <v>40.35</v>
      </c>
      <c r="E772" s="5">
        <f>IF(ISNUMBER(Inputs!$L$5),Inputs!$L$5-D772,0)</f>
        <v>40.35</v>
      </c>
      <c r="F772" s="5">
        <f>E$51*'Assumptions and Catalog'!$C$31*C772*(1-'Assumptions and Catalog'!$C$10)^(A772-1)</f>
        <v>785.45446653640681</v>
      </c>
      <c r="G772" s="5">
        <f t="shared" si="52"/>
        <v>785.45446653640681</v>
      </c>
      <c r="H772" s="5">
        <f>I772/('Assumptions and Catalog'!$C$11*'Assumptions and Catalog'!$C$12)</f>
        <v>0</v>
      </c>
      <c r="I772" s="5">
        <f>MIN(E772*C772,P772*'Assumptions and Catalog'!$C$12*C772,(F772-G772)*'Assumptions and Catalog'!$C$11*'Assumptions and Catalog'!$C$12,E$56*'Assumptions and Catalog'!$C$14*'Assumptions and Catalog'!$C$11*'Assumptions and Catalog'!$C$12*C772,E$57*(24-'Assumptions and Catalog'!$C$13)*C772)</f>
        <v>0</v>
      </c>
      <c r="J772" s="5">
        <f t="shared" si="53"/>
        <v>0</v>
      </c>
      <c r="K772" s="5">
        <f t="shared" si="54"/>
        <v>0</v>
      </c>
      <c r="L772" s="5">
        <f>(D772+E772)*C772-G772-I772+0+IF(E$52&gt;0,'Assumptions and Catalog'!$C$26*C772,0)</f>
        <v>1635.5455334635931</v>
      </c>
      <c r="M772" s="5">
        <f>IF(ISNUMBER(Inputs!$L$5),(IF(Inputs!$L$9="Actual flat rate",((D772+E772)*C772)*Inputs!$L$10,IF(Inputs!$C$9="Residential",IF(((D772+E772)*C772)&lt;='Assumptions and Catalog'!$C$50,((D772+E772)*C772)*'Assumptions and Catalog'!$H$50+'Assumptions and Catalog'!$E$50+'Assumptions and Catalog'!$F$50,IF(((D772+E772)*C772)&lt;='Assumptions and Catalog'!$C$51,((D772+E772)*C772)*'Assumptions and Catalog'!$H$51+'Assumptions and Catalog'!$E$51+'Assumptions and Catalog'!$F$51,IF(((D772+E772)*C772)&lt;='Assumptions and Catalog'!$C$52,((D772+E772)*C772)*'Assumptions and Catalog'!$H$52+'Assumptions and Catalog'!$E$52+'Assumptions and Catalog'!$F$52,IF(((D772+E772)*C772)&lt;='Assumptions and Catalog'!$C$53,((D772+E772)*C772)*'Assumptions and Catalog'!$H$53+'Assumptions and Catalog'!$E$53+'Assumptions and Catalog'!$F$53,IF(((D772+E772)*C772)&lt;='Assumptions and Catalog'!$C$54,((D772+E772)*C772)*'Assumptions and Catalog'!$H$54+'Assumptions and Catalog'!$E$54+'Assumptions and Catalog'!$F$54,IF(((D772+E772)*C772)&lt;='Assumptions and Catalog'!$C$55,((D772+E772)*C772)*'Assumptions and Catalog'!$H$55+'Assumptions and Catalog'!$E$55+'Assumptions and Catalog'!$F$55,IF(((D772+E772)*C772)&lt;='Assumptions and Catalog'!$C$56,((D772+E772)*C772)*'Assumptions and Catalog'!$H$56+'Assumptions and Catalog'!$E$56+'Assumptions and Catalog'!$F$56,IF(((D772+E772)*C772)&lt;='Assumptions and Catalog'!$C$57,((D772+E772)*C772)*'Assumptions and Catalog'!$H$57+'Assumptions and Catalog'!$E$57+'Assumptions and Catalog'!$F$57,"Out of range")))))))),IF(((D772+E772)*C772)&lt;='Assumptions and Catalog'!$C$60,((D772+E772)*C772)*'Assumptions and Catalog'!$H$60+'Assumptions and Catalog'!$E$60+'Assumptions and Catalog'!$F$60,IF(((D772+E772)*C772)&lt;='Assumptions and Catalog'!$C$61,((D772+E772)*C772)*'Assumptions and Catalog'!$H$61+'Assumptions and Catalog'!$E$61+'Assumptions and Catalog'!$F$61,IF(((D772+E772)*C772)&lt;='Assumptions and Catalog'!$C$62,((D772+E772)*C772)*'Assumptions and Catalog'!$H$62+'Assumptions and Catalog'!$E$62+'Assumptions and Catalog'!$F$62,IF(((D772+E772)*C772)&lt;='Assumptions and Catalog'!$C$63,((D772+E772)*C772)*'Assumptions and Catalog'!$H$63+'Assumptions and Catalog'!$E$63+'Assumptions and Catalog'!$F$63,IF(((D772+E772)*C772)&lt;='Assumptions and Catalog'!$C$64,((D772+E772)*C772)*'Assumptions and Catalog'!$H$64+'Assumptions and Catalog'!$E$64+'Assumptions and Catalog'!$F$64,IF(((D772+E772)*C772)&lt;='Assumptions and Catalog'!$C$65,((D772+E772)*C772)*'Assumptions and Catalog'!$H$65+'Assumptions and Catalog'!$E$65+'Assumptions and Catalog'!$F$65,"Out of range")))))))))*(1+'Assumptions and Catalog'!$C$8)^(A772-1),0)</f>
        <v>8279</v>
      </c>
      <c r="N772" s="5">
        <f>IF(ISNUMBER(Inputs!$L$5),(IF(Inputs!$L$9="Actual flat rate",L772*Inputs!$L$10,IF(Inputs!$C$9="Residential",IF(L772&lt;='Assumptions and Catalog'!$C$50,L772*'Assumptions and Catalog'!$H$50+'Assumptions and Catalog'!$E$50+'Assumptions and Catalog'!$F$50,IF(L772&lt;='Assumptions and Catalog'!$C$51,L772*'Assumptions and Catalog'!$H$51+'Assumptions and Catalog'!$E$51+'Assumptions and Catalog'!$F$51,IF(L772&lt;='Assumptions and Catalog'!$C$52,L772*'Assumptions and Catalog'!$H$52+'Assumptions and Catalog'!$E$52+'Assumptions and Catalog'!$F$52,IF(L772&lt;='Assumptions and Catalog'!$C$53,L772*'Assumptions and Catalog'!$H$53+'Assumptions and Catalog'!$E$53+'Assumptions and Catalog'!$F$53,IF(L772&lt;='Assumptions and Catalog'!$C$54,L772*'Assumptions and Catalog'!$H$54+'Assumptions and Catalog'!$E$54+'Assumptions and Catalog'!$F$54,IF(L772&lt;='Assumptions and Catalog'!$C$55,L772*'Assumptions and Catalog'!$H$55+'Assumptions and Catalog'!$E$55+'Assumptions and Catalog'!$F$55,IF(L772&lt;='Assumptions and Catalog'!$C$56,L772*'Assumptions and Catalog'!$H$56+'Assumptions and Catalog'!$E$56+'Assumptions and Catalog'!$F$56,IF(L772&lt;='Assumptions and Catalog'!$C$57,L772*'Assumptions and Catalog'!$H$57+'Assumptions and Catalog'!$E$57+'Assumptions and Catalog'!$F$57,"Out of range")))))))),IF(L772&lt;='Assumptions and Catalog'!$C$60,L772*'Assumptions and Catalog'!$H$60+'Assumptions and Catalog'!$E$60+'Assumptions and Catalog'!$F$60,IF(L772&lt;='Assumptions and Catalog'!$C$61,L772*'Assumptions and Catalog'!$H$61+'Assumptions and Catalog'!$E$61+'Assumptions and Catalog'!$F$61,IF(L772&lt;='Assumptions and Catalog'!$C$62,L772*'Assumptions and Catalog'!$H$62+'Assumptions and Catalog'!$E$62+'Assumptions and Catalog'!$F$62,IF(L772&lt;='Assumptions and Catalog'!$C$63,L772*'Assumptions and Catalog'!$H$63+'Assumptions and Catalog'!$E$63+'Assumptions and Catalog'!$F$63,IF(L772&lt;='Assumptions and Catalog'!$C$64,L772*'Assumptions and Catalog'!$H$64+'Assumptions and Catalog'!$E$64+'Assumptions and Catalog'!$F$64,IF(L772&lt;='Assumptions and Catalog'!$C$65,L772*'Assumptions and Catalog'!$H$65+'Assumptions and Catalog'!$E$65+'Assumptions and Catalog'!$F$65,"Out of range")))))))))*(1+'Assumptions and Catalog'!$C$8)^(A772-1),0)</f>
        <v>5593.0117602416713</v>
      </c>
      <c r="O772" s="5">
        <f t="shared" si="55"/>
        <v>2685.9882397583287</v>
      </c>
      <c r="P772" s="5">
        <f>E$55*(1-L$14)*(1-'Assumptions and Catalog'!$C$23)^R772</f>
        <v>85.375770842127338</v>
      </c>
      <c r="Q772" s="5">
        <f>IF(ISNUMBER(Inputs!$L$5),(IF(Inputs!$L$9="Actual flat rate",((D772+E772)*C772-G772)*Inputs!$L$10,IF(Inputs!$C$9="Residential",IF(((D772+E772)*C772-G772)&lt;='Assumptions and Catalog'!$C$50,((D772+E772)*C772-G772)*'Assumptions and Catalog'!$H$50+'Assumptions and Catalog'!$E$50+'Assumptions and Catalog'!$F$50,IF(((D772+E772)*C772-G772)&lt;='Assumptions and Catalog'!$C$51,((D772+E772)*C772-G772)*'Assumptions and Catalog'!$H$51+'Assumptions and Catalog'!$E$51+'Assumptions and Catalog'!$F$51,IF(((D772+E772)*C772-G772)&lt;='Assumptions and Catalog'!$C$52,((D772+E772)*C772-G772)*'Assumptions and Catalog'!$H$52+'Assumptions and Catalog'!$E$52+'Assumptions and Catalog'!$F$52,IF(((D772+E772)*C772-G772)&lt;='Assumptions and Catalog'!$C$53,((D772+E772)*C772-G772)*'Assumptions and Catalog'!$H$53+'Assumptions and Catalog'!$E$53+'Assumptions and Catalog'!$F$53,IF(((D772+E772)*C772-G772)&lt;='Assumptions and Catalog'!$C$54,((D772+E772)*C772-G772)*'Assumptions and Catalog'!$H$54+'Assumptions and Catalog'!$E$54+'Assumptions and Catalog'!$F$54,IF(((D772+E772)*C772-G772)&lt;='Assumptions and Catalog'!$C$55,((D772+E772)*C772-G772)*'Assumptions and Catalog'!$H$55+'Assumptions and Catalog'!$E$55+'Assumptions and Catalog'!$F$55,IF(((D772+E772)*C772-G772)&lt;='Assumptions and Catalog'!$C$56,((D772+E772)*C772-G772)*'Assumptions and Catalog'!$H$56+'Assumptions and Catalog'!$E$56+'Assumptions and Catalog'!$F$56,IF(((D772+E772)*C772-G772)&lt;='Assumptions and Catalog'!$C$57,((D772+E772)*C772-G772)*'Assumptions and Catalog'!$H$57+'Assumptions and Catalog'!$E$57+'Assumptions and Catalog'!$F$57,"Out of range")))))))),IF(((D772+E772)*C772-G772)&lt;='Assumptions and Catalog'!$C$60,((D772+E772)*C772-G772)*'Assumptions and Catalog'!$H$60+'Assumptions and Catalog'!$E$60+'Assumptions and Catalog'!$F$60,IF(((D772+E772)*C772-G772)&lt;='Assumptions and Catalog'!$C$61,((D772+E772)*C772-G772)*'Assumptions and Catalog'!$H$61+'Assumptions and Catalog'!$E$61+'Assumptions and Catalog'!$F$61,IF(((D772+E772)*C772-G772)&lt;='Assumptions and Catalog'!$C$62,((D772+E772)*C772-G772)*'Assumptions and Catalog'!$H$62+'Assumptions and Catalog'!$E$62+'Assumptions and Catalog'!$F$62,IF(((D772+E772)*C772-G772)&lt;='Assumptions and Catalog'!$C$63,((D772+E772)*C772-G772)*'Assumptions and Catalog'!$H$63+'Assumptions and Catalog'!$E$63+'Assumptions and Catalog'!$F$63,IF(((D772+E772)*C772-G772)&lt;='Assumptions and Catalog'!$C$64,((D772+E772)*C772-G772)*'Assumptions and Catalog'!$H$64+'Assumptions and Catalog'!$E$64+'Assumptions and Catalog'!$F$64,IF(((D772+E772)*C772-G772)&lt;='Assumptions and Catalog'!$C$65,((D772+E772)*C772-G772)*'Assumptions and Catalog'!$H$65+'Assumptions and Catalog'!$E$65+'Assumptions and Catalog'!$F$65,"Out of range")))))))))*(1+'Assumptions and Catalog'!$C$8)^(A772-1),0)</f>
        <v>5593.0117602416713</v>
      </c>
      <c r="R772" s="5">
        <f>IF(AND('Assumptions and Catalog'!$C$19&gt;0,A772&gt;='Assumptions and Catalog'!$C$19),A772-'Assumptions and Catalog'!$C$19,A772-1)</f>
        <v>9</v>
      </c>
      <c r="S772" s="5">
        <f>F772+L772-(D772+E772)*C772-J772-K772-IF(E$52&gt;0,'Assumptions and Catalog'!$C$26*C772,0)</f>
        <v>0</v>
      </c>
      <c r="T772" s="5"/>
      <c r="U772" s="5"/>
    </row>
    <row r="773" spans="1:21" ht="23.1" customHeight="1" outlineLevel="1" x14ac:dyDescent="0.2">
      <c r="A773" s="5">
        <v>10</v>
      </c>
      <c r="B773" s="5">
        <v>5</v>
      </c>
      <c r="C773" s="5">
        <f>DAY(DATE('Assumptions and Catalog'!$C$24+A773-1,B773+1,0))</f>
        <v>31</v>
      </c>
      <c r="D773" s="5">
        <f>IF(ISNUMBER(Inputs!$L$5),Inputs!$L$5*Inputs!$L$6,0)</f>
        <v>40.35</v>
      </c>
      <c r="E773" s="5">
        <f>IF(ISNUMBER(Inputs!$L$5),Inputs!$L$5-D773,0)</f>
        <v>40.35</v>
      </c>
      <c r="F773" s="5">
        <f>E$51*'Assumptions and Catalog'!$C$31*C773*(1-'Assumptions and Catalog'!$C$10)^(A773-1)</f>
        <v>811.63628208762043</v>
      </c>
      <c r="G773" s="5">
        <f t="shared" si="52"/>
        <v>811.63628208762043</v>
      </c>
      <c r="H773" s="5">
        <f>I773/('Assumptions and Catalog'!$C$11*'Assumptions and Catalog'!$C$12)</f>
        <v>0</v>
      </c>
      <c r="I773" s="5">
        <f>MIN(E773*C773,P773*'Assumptions and Catalog'!$C$12*C773,(F773-G773)*'Assumptions and Catalog'!$C$11*'Assumptions and Catalog'!$C$12,E$56*'Assumptions and Catalog'!$C$14*'Assumptions and Catalog'!$C$11*'Assumptions and Catalog'!$C$12*C773,E$57*(24-'Assumptions and Catalog'!$C$13)*C773)</f>
        <v>0</v>
      </c>
      <c r="J773" s="5">
        <f t="shared" si="53"/>
        <v>0</v>
      </c>
      <c r="K773" s="5">
        <f t="shared" si="54"/>
        <v>0</v>
      </c>
      <c r="L773" s="5">
        <f>(D773+E773)*C773-G773-I773+0+IF(E$52&gt;0,'Assumptions and Catalog'!$C$26*C773,0)</f>
        <v>1690.0637179123798</v>
      </c>
      <c r="M773" s="5">
        <f>IF(ISNUMBER(Inputs!$L$5),(IF(Inputs!$L$9="Actual flat rate",((D773+E773)*C773)*Inputs!$L$10,IF(Inputs!$C$9="Residential",IF(((D773+E773)*C773)&lt;='Assumptions and Catalog'!$C$50,((D773+E773)*C773)*'Assumptions and Catalog'!$H$50+'Assumptions and Catalog'!$E$50+'Assumptions and Catalog'!$F$50,IF(((D773+E773)*C773)&lt;='Assumptions and Catalog'!$C$51,((D773+E773)*C773)*'Assumptions and Catalog'!$H$51+'Assumptions and Catalog'!$E$51+'Assumptions and Catalog'!$F$51,IF(((D773+E773)*C773)&lt;='Assumptions and Catalog'!$C$52,((D773+E773)*C773)*'Assumptions and Catalog'!$H$52+'Assumptions and Catalog'!$E$52+'Assumptions and Catalog'!$F$52,IF(((D773+E773)*C773)&lt;='Assumptions and Catalog'!$C$53,((D773+E773)*C773)*'Assumptions and Catalog'!$H$53+'Assumptions and Catalog'!$E$53+'Assumptions and Catalog'!$F$53,IF(((D773+E773)*C773)&lt;='Assumptions and Catalog'!$C$54,((D773+E773)*C773)*'Assumptions and Catalog'!$H$54+'Assumptions and Catalog'!$E$54+'Assumptions and Catalog'!$F$54,IF(((D773+E773)*C773)&lt;='Assumptions and Catalog'!$C$55,((D773+E773)*C773)*'Assumptions and Catalog'!$H$55+'Assumptions and Catalog'!$E$55+'Assumptions and Catalog'!$F$55,IF(((D773+E773)*C773)&lt;='Assumptions and Catalog'!$C$56,((D773+E773)*C773)*'Assumptions and Catalog'!$H$56+'Assumptions and Catalog'!$E$56+'Assumptions and Catalog'!$F$56,IF(((D773+E773)*C773)&lt;='Assumptions and Catalog'!$C$57,((D773+E773)*C773)*'Assumptions and Catalog'!$H$57+'Assumptions and Catalog'!$E$57+'Assumptions and Catalog'!$F$57,"Out of range")))))))),IF(((D773+E773)*C773)&lt;='Assumptions and Catalog'!$C$60,((D773+E773)*C773)*'Assumptions and Catalog'!$H$60+'Assumptions and Catalog'!$E$60+'Assumptions and Catalog'!$F$60,IF(((D773+E773)*C773)&lt;='Assumptions and Catalog'!$C$61,((D773+E773)*C773)*'Assumptions and Catalog'!$H$61+'Assumptions and Catalog'!$E$61+'Assumptions and Catalog'!$F$61,IF(((D773+E773)*C773)&lt;='Assumptions and Catalog'!$C$62,((D773+E773)*C773)*'Assumptions and Catalog'!$H$62+'Assumptions and Catalog'!$E$62+'Assumptions and Catalog'!$F$62,IF(((D773+E773)*C773)&lt;='Assumptions and Catalog'!$C$63,((D773+E773)*C773)*'Assumptions and Catalog'!$H$63+'Assumptions and Catalog'!$E$63+'Assumptions and Catalog'!$F$63,IF(((D773+E773)*C773)&lt;='Assumptions and Catalog'!$C$64,((D773+E773)*C773)*'Assumptions and Catalog'!$H$64+'Assumptions and Catalog'!$E$64+'Assumptions and Catalog'!$F$64,IF(((D773+E773)*C773)&lt;='Assumptions and Catalog'!$C$65,((D773+E773)*C773)*'Assumptions and Catalog'!$H$65+'Assumptions and Catalog'!$E$65+'Assumptions and Catalog'!$F$65,"Out of range")))))))))*(1+'Assumptions and Catalog'!$C$8)^(A773-1),0)</f>
        <v>8554.9666666666672</v>
      </c>
      <c r="N773" s="5">
        <f>IF(ISNUMBER(Inputs!$L$5),(IF(Inputs!$L$9="Actual flat rate",L773*Inputs!$L$10,IF(Inputs!$C$9="Residential",IF(L773&lt;='Assumptions and Catalog'!$C$50,L773*'Assumptions and Catalog'!$H$50+'Assumptions and Catalog'!$E$50+'Assumptions and Catalog'!$F$50,IF(L773&lt;='Assumptions and Catalog'!$C$51,L773*'Assumptions and Catalog'!$H$51+'Assumptions and Catalog'!$E$51+'Assumptions and Catalog'!$F$51,IF(L773&lt;='Assumptions and Catalog'!$C$52,L773*'Assumptions and Catalog'!$H$52+'Assumptions and Catalog'!$E$52+'Assumptions and Catalog'!$F$52,IF(L773&lt;='Assumptions and Catalog'!$C$53,L773*'Assumptions and Catalog'!$H$53+'Assumptions and Catalog'!$E$53+'Assumptions and Catalog'!$F$53,IF(L773&lt;='Assumptions and Catalog'!$C$54,L773*'Assumptions and Catalog'!$H$54+'Assumptions and Catalog'!$E$54+'Assumptions and Catalog'!$F$54,IF(L773&lt;='Assumptions and Catalog'!$C$55,L773*'Assumptions and Catalog'!$H$55+'Assumptions and Catalog'!$E$55+'Assumptions and Catalog'!$F$55,IF(L773&lt;='Assumptions and Catalog'!$C$56,L773*'Assumptions and Catalog'!$H$56+'Assumptions and Catalog'!$E$56+'Assumptions and Catalog'!$F$56,IF(L773&lt;='Assumptions and Catalog'!$C$57,L773*'Assumptions and Catalog'!$H$57+'Assumptions and Catalog'!$E$57+'Assumptions and Catalog'!$F$57,"Out of range")))))))),IF(L773&lt;='Assumptions and Catalog'!$C$60,L773*'Assumptions and Catalog'!$H$60+'Assumptions and Catalog'!$E$60+'Assumptions and Catalog'!$F$60,IF(L773&lt;='Assumptions and Catalog'!$C$61,L773*'Assumptions and Catalog'!$H$61+'Assumptions and Catalog'!$E$61+'Assumptions and Catalog'!$F$61,IF(L773&lt;='Assumptions and Catalog'!$C$62,L773*'Assumptions and Catalog'!$H$62+'Assumptions and Catalog'!$E$62+'Assumptions and Catalog'!$F$62,IF(L773&lt;='Assumptions and Catalog'!$C$63,L773*'Assumptions and Catalog'!$H$63+'Assumptions and Catalog'!$E$63+'Assumptions and Catalog'!$F$63,IF(L773&lt;='Assumptions and Catalog'!$C$64,L773*'Assumptions and Catalog'!$H$64+'Assumptions and Catalog'!$E$64+'Assumptions and Catalog'!$F$64,IF(L773&lt;='Assumptions and Catalog'!$C$65,L773*'Assumptions and Catalog'!$H$65+'Assumptions and Catalog'!$E$65+'Assumptions and Catalog'!$F$65,"Out of range")))))))))*(1+'Assumptions and Catalog'!$C$8)^(A773-1),0)</f>
        <v>5779.4454855830618</v>
      </c>
      <c r="O773" s="5">
        <f t="shared" si="55"/>
        <v>2775.5211810836054</v>
      </c>
      <c r="P773" s="5">
        <f>E$55*(1-L$14)*(1-'Assumptions and Catalog'!$C$23)^R773</f>
        <v>85.375770842127338</v>
      </c>
      <c r="Q773" s="5">
        <f>IF(ISNUMBER(Inputs!$L$5),(IF(Inputs!$L$9="Actual flat rate",((D773+E773)*C773-G773)*Inputs!$L$10,IF(Inputs!$C$9="Residential",IF(((D773+E773)*C773-G773)&lt;='Assumptions and Catalog'!$C$50,((D773+E773)*C773-G773)*'Assumptions and Catalog'!$H$50+'Assumptions and Catalog'!$E$50+'Assumptions and Catalog'!$F$50,IF(((D773+E773)*C773-G773)&lt;='Assumptions and Catalog'!$C$51,((D773+E773)*C773-G773)*'Assumptions and Catalog'!$H$51+'Assumptions and Catalog'!$E$51+'Assumptions and Catalog'!$F$51,IF(((D773+E773)*C773-G773)&lt;='Assumptions and Catalog'!$C$52,((D773+E773)*C773-G773)*'Assumptions and Catalog'!$H$52+'Assumptions and Catalog'!$E$52+'Assumptions and Catalog'!$F$52,IF(((D773+E773)*C773-G773)&lt;='Assumptions and Catalog'!$C$53,((D773+E773)*C773-G773)*'Assumptions and Catalog'!$H$53+'Assumptions and Catalog'!$E$53+'Assumptions and Catalog'!$F$53,IF(((D773+E773)*C773-G773)&lt;='Assumptions and Catalog'!$C$54,((D773+E773)*C773-G773)*'Assumptions and Catalog'!$H$54+'Assumptions and Catalog'!$E$54+'Assumptions and Catalog'!$F$54,IF(((D773+E773)*C773-G773)&lt;='Assumptions and Catalog'!$C$55,((D773+E773)*C773-G773)*'Assumptions and Catalog'!$H$55+'Assumptions and Catalog'!$E$55+'Assumptions and Catalog'!$F$55,IF(((D773+E773)*C773-G773)&lt;='Assumptions and Catalog'!$C$56,((D773+E773)*C773-G773)*'Assumptions and Catalog'!$H$56+'Assumptions and Catalog'!$E$56+'Assumptions and Catalog'!$F$56,IF(((D773+E773)*C773-G773)&lt;='Assumptions and Catalog'!$C$57,((D773+E773)*C773-G773)*'Assumptions and Catalog'!$H$57+'Assumptions and Catalog'!$E$57+'Assumptions and Catalog'!$F$57,"Out of range")))))))),IF(((D773+E773)*C773-G773)&lt;='Assumptions and Catalog'!$C$60,((D773+E773)*C773-G773)*'Assumptions and Catalog'!$H$60+'Assumptions and Catalog'!$E$60+'Assumptions and Catalog'!$F$60,IF(((D773+E773)*C773-G773)&lt;='Assumptions and Catalog'!$C$61,((D773+E773)*C773-G773)*'Assumptions and Catalog'!$H$61+'Assumptions and Catalog'!$E$61+'Assumptions and Catalog'!$F$61,IF(((D773+E773)*C773-G773)&lt;='Assumptions and Catalog'!$C$62,((D773+E773)*C773-G773)*'Assumptions and Catalog'!$H$62+'Assumptions and Catalog'!$E$62+'Assumptions and Catalog'!$F$62,IF(((D773+E773)*C773-G773)&lt;='Assumptions and Catalog'!$C$63,((D773+E773)*C773-G773)*'Assumptions and Catalog'!$H$63+'Assumptions and Catalog'!$E$63+'Assumptions and Catalog'!$F$63,IF(((D773+E773)*C773-G773)&lt;='Assumptions and Catalog'!$C$64,((D773+E773)*C773-G773)*'Assumptions and Catalog'!$H$64+'Assumptions and Catalog'!$E$64+'Assumptions and Catalog'!$F$64,IF(((D773+E773)*C773-G773)&lt;='Assumptions and Catalog'!$C$65,((D773+E773)*C773-G773)*'Assumptions and Catalog'!$H$65+'Assumptions and Catalog'!$E$65+'Assumptions and Catalog'!$F$65,"Out of range")))))))))*(1+'Assumptions and Catalog'!$C$8)^(A773-1),0)</f>
        <v>5779.4454855830618</v>
      </c>
      <c r="R773" s="5">
        <f>IF(AND('Assumptions and Catalog'!$C$19&gt;0,A773&gt;='Assumptions and Catalog'!$C$19),A773-'Assumptions and Catalog'!$C$19,A773-1)</f>
        <v>9</v>
      </c>
      <c r="S773" s="5">
        <f>F773+L773-(D773+E773)*C773-J773-K773-IF(E$52&gt;0,'Assumptions and Catalog'!$C$26*C773,0)</f>
        <v>0</v>
      </c>
      <c r="T773" s="5"/>
      <c r="U773" s="5"/>
    </row>
    <row r="774" spans="1:21" ht="23.1" customHeight="1" outlineLevel="1" x14ac:dyDescent="0.2">
      <c r="A774" s="5">
        <v>10</v>
      </c>
      <c r="B774" s="5">
        <v>6</v>
      </c>
      <c r="C774" s="5">
        <f>DAY(DATE('Assumptions and Catalog'!$C$24+A774-1,B774+1,0))</f>
        <v>30</v>
      </c>
      <c r="D774" s="5">
        <f>IF(ISNUMBER(Inputs!$L$5),Inputs!$L$5*Inputs!$L$6,0)</f>
        <v>40.35</v>
      </c>
      <c r="E774" s="5">
        <f>IF(ISNUMBER(Inputs!$L$5),Inputs!$L$5-D774,0)</f>
        <v>40.35</v>
      </c>
      <c r="F774" s="5">
        <f>E$51*'Assumptions and Catalog'!$C$31*C774*(1-'Assumptions and Catalog'!$C$10)^(A774-1)</f>
        <v>785.45446653640681</v>
      </c>
      <c r="G774" s="5">
        <f t="shared" si="52"/>
        <v>785.45446653640681</v>
      </c>
      <c r="H774" s="5">
        <f>I774/('Assumptions and Catalog'!$C$11*'Assumptions and Catalog'!$C$12)</f>
        <v>0</v>
      </c>
      <c r="I774" s="5">
        <f>MIN(E774*C774,P774*'Assumptions and Catalog'!$C$12*C774,(F774-G774)*'Assumptions and Catalog'!$C$11*'Assumptions and Catalog'!$C$12,E$56*'Assumptions and Catalog'!$C$14*'Assumptions and Catalog'!$C$11*'Assumptions and Catalog'!$C$12*C774,E$57*(24-'Assumptions and Catalog'!$C$13)*C774)</f>
        <v>0</v>
      </c>
      <c r="J774" s="5">
        <f t="shared" si="53"/>
        <v>0</v>
      </c>
      <c r="K774" s="5">
        <f t="shared" si="54"/>
        <v>0</v>
      </c>
      <c r="L774" s="5">
        <f>(D774+E774)*C774-G774-I774+0+IF(E$52&gt;0,'Assumptions and Catalog'!$C$26*C774,0)</f>
        <v>1635.5455334635931</v>
      </c>
      <c r="M774" s="5">
        <f>IF(ISNUMBER(Inputs!$L$5),(IF(Inputs!$L$9="Actual flat rate",((D774+E774)*C774)*Inputs!$L$10,IF(Inputs!$C$9="Residential",IF(((D774+E774)*C774)&lt;='Assumptions and Catalog'!$C$50,((D774+E774)*C774)*'Assumptions and Catalog'!$H$50+'Assumptions and Catalog'!$E$50+'Assumptions and Catalog'!$F$50,IF(((D774+E774)*C774)&lt;='Assumptions and Catalog'!$C$51,((D774+E774)*C774)*'Assumptions and Catalog'!$H$51+'Assumptions and Catalog'!$E$51+'Assumptions and Catalog'!$F$51,IF(((D774+E774)*C774)&lt;='Assumptions and Catalog'!$C$52,((D774+E774)*C774)*'Assumptions and Catalog'!$H$52+'Assumptions and Catalog'!$E$52+'Assumptions and Catalog'!$F$52,IF(((D774+E774)*C774)&lt;='Assumptions and Catalog'!$C$53,((D774+E774)*C774)*'Assumptions and Catalog'!$H$53+'Assumptions and Catalog'!$E$53+'Assumptions and Catalog'!$F$53,IF(((D774+E774)*C774)&lt;='Assumptions and Catalog'!$C$54,((D774+E774)*C774)*'Assumptions and Catalog'!$H$54+'Assumptions and Catalog'!$E$54+'Assumptions and Catalog'!$F$54,IF(((D774+E774)*C774)&lt;='Assumptions and Catalog'!$C$55,((D774+E774)*C774)*'Assumptions and Catalog'!$H$55+'Assumptions and Catalog'!$E$55+'Assumptions and Catalog'!$F$55,IF(((D774+E774)*C774)&lt;='Assumptions and Catalog'!$C$56,((D774+E774)*C774)*'Assumptions and Catalog'!$H$56+'Assumptions and Catalog'!$E$56+'Assumptions and Catalog'!$F$56,IF(((D774+E774)*C774)&lt;='Assumptions and Catalog'!$C$57,((D774+E774)*C774)*'Assumptions and Catalog'!$H$57+'Assumptions and Catalog'!$E$57+'Assumptions and Catalog'!$F$57,"Out of range")))))))),IF(((D774+E774)*C774)&lt;='Assumptions and Catalog'!$C$60,((D774+E774)*C774)*'Assumptions and Catalog'!$H$60+'Assumptions and Catalog'!$E$60+'Assumptions and Catalog'!$F$60,IF(((D774+E774)*C774)&lt;='Assumptions and Catalog'!$C$61,((D774+E774)*C774)*'Assumptions and Catalog'!$H$61+'Assumptions and Catalog'!$E$61+'Assumptions and Catalog'!$F$61,IF(((D774+E774)*C774)&lt;='Assumptions and Catalog'!$C$62,((D774+E774)*C774)*'Assumptions and Catalog'!$H$62+'Assumptions and Catalog'!$E$62+'Assumptions and Catalog'!$F$62,IF(((D774+E774)*C774)&lt;='Assumptions and Catalog'!$C$63,((D774+E774)*C774)*'Assumptions and Catalog'!$H$63+'Assumptions and Catalog'!$E$63+'Assumptions and Catalog'!$F$63,IF(((D774+E774)*C774)&lt;='Assumptions and Catalog'!$C$64,((D774+E774)*C774)*'Assumptions and Catalog'!$H$64+'Assumptions and Catalog'!$E$64+'Assumptions and Catalog'!$F$64,IF(((D774+E774)*C774)&lt;='Assumptions and Catalog'!$C$65,((D774+E774)*C774)*'Assumptions and Catalog'!$H$65+'Assumptions and Catalog'!$E$65+'Assumptions and Catalog'!$F$65,"Out of range")))))))))*(1+'Assumptions and Catalog'!$C$8)^(A774-1),0)</f>
        <v>8279</v>
      </c>
      <c r="N774" s="5">
        <f>IF(ISNUMBER(Inputs!$L$5),(IF(Inputs!$L$9="Actual flat rate",L774*Inputs!$L$10,IF(Inputs!$C$9="Residential",IF(L774&lt;='Assumptions and Catalog'!$C$50,L774*'Assumptions and Catalog'!$H$50+'Assumptions and Catalog'!$E$50+'Assumptions and Catalog'!$F$50,IF(L774&lt;='Assumptions and Catalog'!$C$51,L774*'Assumptions and Catalog'!$H$51+'Assumptions and Catalog'!$E$51+'Assumptions and Catalog'!$F$51,IF(L774&lt;='Assumptions and Catalog'!$C$52,L774*'Assumptions and Catalog'!$H$52+'Assumptions and Catalog'!$E$52+'Assumptions and Catalog'!$F$52,IF(L774&lt;='Assumptions and Catalog'!$C$53,L774*'Assumptions and Catalog'!$H$53+'Assumptions and Catalog'!$E$53+'Assumptions and Catalog'!$F$53,IF(L774&lt;='Assumptions and Catalog'!$C$54,L774*'Assumptions and Catalog'!$H$54+'Assumptions and Catalog'!$E$54+'Assumptions and Catalog'!$F$54,IF(L774&lt;='Assumptions and Catalog'!$C$55,L774*'Assumptions and Catalog'!$H$55+'Assumptions and Catalog'!$E$55+'Assumptions and Catalog'!$F$55,IF(L774&lt;='Assumptions and Catalog'!$C$56,L774*'Assumptions and Catalog'!$H$56+'Assumptions and Catalog'!$E$56+'Assumptions and Catalog'!$F$56,IF(L774&lt;='Assumptions and Catalog'!$C$57,L774*'Assumptions and Catalog'!$H$57+'Assumptions and Catalog'!$E$57+'Assumptions and Catalog'!$F$57,"Out of range")))))))),IF(L774&lt;='Assumptions and Catalog'!$C$60,L774*'Assumptions and Catalog'!$H$60+'Assumptions and Catalog'!$E$60+'Assumptions and Catalog'!$F$60,IF(L774&lt;='Assumptions and Catalog'!$C$61,L774*'Assumptions and Catalog'!$H$61+'Assumptions and Catalog'!$E$61+'Assumptions and Catalog'!$F$61,IF(L774&lt;='Assumptions and Catalog'!$C$62,L774*'Assumptions and Catalog'!$H$62+'Assumptions and Catalog'!$E$62+'Assumptions and Catalog'!$F$62,IF(L774&lt;='Assumptions and Catalog'!$C$63,L774*'Assumptions and Catalog'!$H$63+'Assumptions and Catalog'!$E$63+'Assumptions and Catalog'!$F$63,IF(L774&lt;='Assumptions and Catalog'!$C$64,L774*'Assumptions and Catalog'!$H$64+'Assumptions and Catalog'!$E$64+'Assumptions and Catalog'!$F$64,IF(L774&lt;='Assumptions and Catalog'!$C$65,L774*'Assumptions and Catalog'!$H$65+'Assumptions and Catalog'!$E$65+'Assumptions and Catalog'!$F$65,"Out of range")))))))))*(1+'Assumptions and Catalog'!$C$8)^(A774-1),0)</f>
        <v>5593.0117602416713</v>
      </c>
      <c r="O774" s="5">
        <f t="shared" si="55"/>
        <v>2685.9882397583287</v>
      </c>
      <c r="P774" s="5">
        <f>E$55*(1-L$14)*(1-'Assumptions and Catalog'!$C$23)^R774</f>
        <v>85.375770842127338</v>
      </c>
      <c r="Q774" s="5">
        <f>IF(ISNUMBER(Inputs!$L$5),(IF(Inputs!$L$9="Actual flat rate",((D774+E774)*C774-G774)*Inputs!$L$10,IF(Inputs!$C$9="Residential",IF(((D774+E774)*C774-G774)&lt;='Assumptions and Catalog'!$C$50,((D774+E774)*C774-G774)*'Assumptions and Catalog'!$H$50+'Assumptions and Catalog'!$E$50+'Assumptions and Catalog'!$F$50,IF(((D774+E774)*C774-G774)&lt;='Assumptions and Catalog'!$C$51,((D774+E774)*C774-G774)*'Assumptions and Catalog'!$H$51+'Assumptions and Catalog'!$E$51+'Assumptions and Catalog'!$F$51,IF(((D774+E774)*C774-G774)&lt;='Assumptions and Catalog'!$C$52,((D774+E774)*C774-G774)*'Assumptions and Catalog'!$H$52+'Assumptions and Catalog'!$E$52+'Assumptions and Catalog'!$F$52,IF(((D774+E774)*C774-G774)&lt;='Assumptions and Catalog'!$C$53,((D774+E774)*C774-G774)*'Assumptions and Catalog'!$H$53+'Assumptions and Catalog'!$E$53+'Assumptions and Catalog'!$F$53,IF(((D774+E774)*C774-G774)&lt;='Assumptions and Catalog'!$C$54,((D774+E774)*C774-G774)*'Assumptions and Catalog'!$H$54+'Assumptions and Catalog'!$E$54+'Assumptions and Catalog'!$F$54,IF(((D774+E774)*C774-G774)&lt;='Assumptions and Catalog'!$C$55,((D774+E774)*C774-G774)*'Assumptions and Catalog'!$H$55+'Assumptions and Catalog'!$E$55+'Assumptions and Catalog'!$F$55,IF(((D774+E774)*C774-G774)&lt;='Assumptions and Catalog'!$C$56,((D774+E774)*C774-G774)*'Assumptions and Catalog'!$H$56+'Assumptions and Catalog'!$E$56+'Assumptions and Catalog'!$F$56,IF(((D774+E774)*C774-G774)&lt;='Assumptions and Catalog'!$C$57,((D774+E774)*C774-G774)*'Assumptions and Catalog'!$H$57+'Assumptions and Catalog'!$E$57+'Assumptions and Catalog'!$F$57,"Out of range")))))))),IF(((D774+E774)*C774-G774)&lt;='Assumptions and Catalog'!$C$60,((D774+E774)*C774-G774)*'Assumptions and Catalog'!$H$60+'Assumptions and Catalog'!$E$60+'Assumptions and Catalog'!$F$60,IF(((D774+E774)*C774-G774)&lt;='Assumptions and Catalog'!$C$61,((D774+E774)*C774-G774)*'Assumptions and Catalog'!$H$61+'Assumptions and Catalog'!$E$61+'Assumptions and Catalog'!$F$61,IF(((D774+E774)*C774-G774)&lt;='Assumptions and Catalog'!$C$62,((D774+E774)*C774-G774)*'Assumptions and Catalog'!$H$62+'Assumptions and Catalog'!$E$62+'Assumptions and Catalog'!$F$62,IF(((D774+E774)*C774-G774)&lt;='Assumptions and Catalog'!$C$63,((D774+E774)*C774-G774)*'Assumptions and Catalog'!$H$63+'Assumptions and Catalog'!$E$63+'Assumptions and Catalog'!$F$63,IF(((D774+E774)*C774-G774)&lt;='Assumptions and Catalog'!$C$64,((D774+E774)*C774-G774)*'Assumptions and Catalog'!$H$64+'Assumptions and Catalog'!$E$64+'Assumptions and Catalog'!$F$64,IF(((D774+E774)*C774-G774)&lt;='Assumptions and Catalog'!$C$65,((D774+E774)*C774-G774)*'Assumptions and Catalog'!$H$65+'Assumptions and Catalog'!$E$65+'Assumptions and Catalog'!$F$65,"Out of range")))))))))*(1+'Assumptions and Catalog'!$C$8)^(A774-1),0)</f>
        <v>5593.0117602416713</v>
      </c>
      <c r="R774" s="5">
        <f>IF(AND('Assumptions and Catalog'!$C$19&gt;0,A774&gt;='Assumptions and Catalog'!$C$19),A774-'Assumptions and Catalog'!$C$19,A774-1)</f>
        <v>9</v>
      </c>
      <c r="S774" s="5">
        <f>F774+L774-(D774+E774)*C774-J774-K774-IF(E$52&gt;0,'Assumptions and Catalog'!$C$26*C774,0)</f>
        <v>0</v>
      </c>
      <c r="T774" s="5"/>
      <c r="U774" s="5"/>
    </row>
    <row r="775" spans="1:21" ht="23.1" customHeight="1" outlineLevel="1" x14ac:dyDescent="0.2">
      <c r="A775" s="5">
        <v>10</v>
      </c>
      <c r="B775" s="5">
        <v>7</v>
      </c>
      <c r="C775" s="5">
        <f>DAY(DATE('Assumptions and Catalog'!$C$24+A775-1,B775+1,0))</f>
        <v>31</v>
      </c>
      <c r="D775" s="5">
        <f>IF(ISNUMBER(Inputs!$L$5),Inputs!$L$5*Inputs!$L$6,0)</f>
        <v>40.35</v>
      </c>
      <c r="E775" s="5">
        <f>IF(ISNUMBER(Inputs!$L$5),Inputs!$L$5-D775,0)</f>
        <v>40.35</v>
      </c>
      <c r="F775" s="5">
        <f>E$51*'Assumptions and Catalog'!$C$31*C775*(1-'Assumptions and Catalog'!$C$10)^(A775-1)</f>
        <v>811.63628208762043</v>
      </c>
      <c r="G775" s="5">
        <f t="shared" si="52"/>
        <v>811.63628208762043</v>
      </c>
      <c r="H775" s="5">
        <f>I775/('Assumptions and Catalog'!$C$11*'Assumptions and Catalog'!$C$12)</f>
        <v>0</v>
      </c>
      <c r="I775" s="5">
        <f>MIN(E775*C775,P775*'Assumptions and Catalog'!$C$12*C775,(F775-G775)*'Assumptions and Catalog'!$C$11*'Assumptions and Catalog'!$C$12,E$56*'Assumptions and Catalog'!$C$14*'Assumptions and Catalog'!$C$11*'Assumptions and Catalog'!$C$12*C775,E$57*(24-'Assumptions and Catalog'!$C$13)*C775)</f>
        <v>0</v>
      </c>
      <c r="J775" s="5">
        <f t="shared" si="53"/>
        <v>0</v>
      </c>
      <c r="K775" s="5">
        <f t="shared" si="54"/>
        <v>0</v>
      </c>
      <c r="L775" s="5">
        <f>(D775+E775)*C775-G775-I775+0+IF(E$52&gt;0,'Assumptions and Catalog'!$C$26*C775,0)</f>
        <v>1690.0637179123798</v>
      </c>
      <c r="M775" s="5">
        <f>IF(ISNUMBER(Inputs!$L$5),(IF(Inputs!$L$9="Actual flat rate",((D775+E775)*C775)*Inputs!$L$10,IF(Inputs!$C$9="Residential",IF(((D775+E775)*C775)&lt;='Assumptions and Catalog'!$C$50,((D775+E775)*C775)*'Assumptions and Catalog'!$H$50+'Assumptions and Catalog'!$E$50+'Assumptions and Catalog'!$F$50,IF(((D775+E775)*C775)&lt;='Assumptions and Catalog'!$C$51,((D775+E775)*C775)*'Assumptions and Catalog'!$H$51+'Assumptions and Catalog'!$E$51+'Assumptions and Catalog'!$F$51,IF(((D775+E775)*C775)&lt;='Assumptions and Catalog'!$C$52,((D775+E775)*C775)*'Assumptions and Catalog'!$H$52+'Assumptions and Catalog'!$E$52+'Assumptions and Catalog'!$F$52,IF(((D775+E775)*C775)&lt;='Assumptions and Catalog'!$C$53,((D775+E775)*C775)*'Assumptions and Catalog'!$H$53+'Assumptions and Catalog'!$E$53+'Assumptions and Catalog'!$F$53,IF(((D775+E775)*C775)&lt;='Assumptions and Catalog'!$C$54,((D775+E775)*C775)*'Assumptions and Catalog'!$H$54+'Assumptions and Catalog'!$E$54+'Assumptions and Catalog'!$F$54,IF(((D775+E775)*C775)&lt;='Assumptions and Catalog'!$C$55,((D775+E775)*C775)*'Assumptions and Catalog'!$H$55+'Assumptions and Catalog'!$E$55+'Assumptions and Catalog'!$F$55,IF(((D775+E775)*C775)&lt;='Assumptions and Catalog'!$C$56,((D775+E775)*C775)*'Assumptions and Catalog'!$H$56+'Assumptions and Catalog'!$E$56+'Assumptions and Catalog'!$F$56,IF(((D775+E775)*C775)&lt;='Assumptions and Catalog'!$C$57,((D775+E775)*C775)*'Assumptions and Catalog'!$H$57+'Assumptions and Catalog'!$E$57+'Assumptions and Catalog'!$F$57,"Out of range")))))))),IF(((D775+E775)*C775)&lt;='Assumptions and Catalog'!$C$60,((D775+E775)*C775)*'Assumptions and Catalog'!$H$60+'Assumptions and Catalog'!$E$60+'Assumptions and Catalog'!$F$60,IF(((D775+E775)*C775)&lt;='Assumptions and Catalog'!$C$61,((D775+E775)*C775)*'Assumptions and Catalog'!$H$61+'Assumptions and Catalog'!$E$61+'Assumptions and Catalog'!$F$61,IF(((D775+E775)*C775)&lt;='Assumptions and Catalog'!$C$62,((D775+E775)*C775)*'Assumptions and Catalog'!$H$62+'Assumptions and Catalog'!$E$62+'Assumptions and Catalog'!$F$62,IF(((D775+E775)*C775)&lt;='Assumptions and Catalog'!$C$63,((D775+E775)*C775)*'Assumptions and Catalog'!$H$63+'Assumptions and Catalog'!$E$63+'Assumptions and Catalog'!$F$63,IF(((D775+E775)*C775)&lt;='Assumptions and Catalog'!$C$64,((D775+E775)*C775)*'Assumptions and Catalog'!$H$64+'Assumptions and Catalog'!$E$64+'Assumptions and Catalog'!$F$64,IF(((D775+E775)*C775)&lt;='Assumptions and Catalog'!$C$65,((D775+E775)*C775)*'Assumptions and Catalog'!$H$65+'Assumptions and Catalog'!$E$65+'Assumptions and Catalog'!$F$65,"Out of range")))))))))*(1+'Assumptions and Catalog'!$C$8)^(A775-1),0)</f>
        <v>8554.9666666666672</v>
      </c>
      <c r="N775" s="5">
        <f>IF(ISNUMBER(Inputs!$L$5),(IF(Inputs!$L$9="Actual flat rate",L775*Inputs!$L$10,IF(Inputs!$C$9="Residential",IF(L775&lt;='Assumptions and Catalog'!$C$50,L775*'Assumptions and Catalog'!$H$50+'Assumptions and Catalog'!$E$50+'Assumptions and Catalog'!$F$50,IF(L775&lt;='Assumptions and Catalog'!$C$51,L775*'Assumptions and Catalog'!$H$51+'Assumptions and Catalog'!$E$51+'Assumptions and Catalog'!$F$51,IF(L775&lt;='Assumptions and Catalog'!$C$52,L775*'Assumptions and Catalog'!$H$52+'Assumptions and Catalog'!$E$52+'Assumptions and Catalog'!$F$52,IF(L775&lt;='Assumptions and Catalog'!$C$53,L775*'Assumptions and Catalog'!$H$53+'Assumptions and Catalog'!$E$53+'Assumptions and Catalog'!$F$53,IF(L775&lt;='Assumptions and Catalog'!$C$54,L775*'Assumptions and Catalog'!$H$54+'Assumptions and Catalog'!$E$54+'Assumptions and Catalog'!$F$54,IF(L775&lt;='Assumptions and Catalog'!$C$55,L775*'Assumptions and Catalog'!$H$55+'Assumptions and Catalog'!$E$55+'Assumptions and Catalog'!$F$55,IF(L775&lt;='Assumptions and Catalog'!$C$56,L775*'Assumptions and Catalog'!$H$56+'Assumptions and Catalog'!$E$56+'Assumptions and Catalog'!$F$56,IF(L775&lt;='Assumptions and Catalog'!$C$57,L775*'Assumptions and Catalog'!$H$57+'Assumptions and Catalog'!$E$57+'Assumptions and Catalog'!$F$57,"Out of range")))))))),IF(L775&lt;='Assumptions and Catalog'!$C$60,L775*'Assumptions and Catalog'!$H$60+'Assumptions and Catalog'!$E$60+'Assumptions and Catalog'!$F$60,IF(L775&lt;='Assumptions and Catalog'!$C$61,L775*'Assumptions and Catalog'!$H$61+'Assumptions and Catalog'!$E$61+'Assumptions and Catalog'!$F$61,IF(L775&lt;='Assumptions and Catalog'!$C$62,L775*'Assumptions and Catalog'!$H$62+'Assumptions and Catalog'!$E$62+'Assumptions and Catalog'!$F$62,IF(L775&lt;='Assumptions and Catalog'!$C$63,L775*'Assumptions and Catalog'!$H$63+'Assumptions and Catalog'!$E$63+'Assumptions and Catalog'!$F$63,IF(L775&lt;='Assumptions and Catalog'!$C$64,L775*'Assumptions and Catalog'!$H$64+'Assumptions and Catalog'!$E$64+'Assumptions and Catalog'!$F$64,IF(L775&lt;='Assumptions and Catalog'!$C$65,L775*'Assumptions and Catalog'!$H$65+'Assumptions and Catalog'!$E$65+'Assumptions and Catalog'!$F$65,"Out of range")))))))))*(1+'Assumptions and Catalog'!$C$8)^(A775-1),0)</f>
        <v>5779.4454855830618</v>
      </c>
      <c r="O775" s="5">
        <f t="shared" si="55"/>
        <v>2775.5211810836054</v>
      </c>
      <c r="P775" s="5">
        <f>E$55*(1-L$14)*(1-'Assumptions and Catalog'!$C$23)^R775</f>
        <v>85.375770842127338</v>
      </c>
      <c r="Q775" s="5">
        <f>IF(ISNUMBER(Inputs!$L$5),(IF(Inputs!$L$9="Actual flat rate",((D775+E775)*C775-G775)*Inputs!$L$10,IF(Inputs!$C$9="Residential",IF(((D775+E775)*C775-G775)&lt;='Assumptions and Catalog'!$C$50,((D775+E775)*C775-G775)*'Assumptions and Catalog'!$H$50+'Assumptions and Catalog'!$E$50+'Assumptions and Catalog'!$F$50,IF(((D775+E775)*C775-G775)&lt;='Assumptions and Catalog'!$C$51,((D775+E775)*C775-G775)*'Assumptions and Catalog'!$H$51+'Assumptions and Catalog'!$E$51+'Assumptions and Catalog'!$F$51,IF(((D775+E775)*C775-G775)&lt;='Assumptions and Catalog'!$C$52,((D775+E775)*C775-G775)*'Assumptions and Catalog'!$H$52+'Assumptions and Catalog'!$E$52+'Assumptions and Catalog'!$F$52,IF(((D775+E775)*C775-G775)&lt;='Assumptions and Catalog'!$C$53,((D775+E775)*C775-G775)*'Assumptions and Catalog'!$H$53+'Assumptions and Catalog'!$E$53+'Assumptions and Catalog'!$F$53,IF(((D775+E775)*C775-G775)&lt;='Assumptions and Catalog'!$C$54,((D775+E775)*C775-G775)*'Assumptions and Catalog'!$H$54+'Assumptions and Catalog'!$E$54+'Assumptions and Catalog'!$F$54,IF(((D775+E775)*C775-G775)&lt;='Assumptions and Catalog'!$C$55,((D775+E775)*C775-G775)*'Assumptions and Catalog'!$H$55+'Assumptions and Catalog'!$E$55+'Assumptions and Catalog'!$F$55,IF(((D775+E775)*C775-G775)&lt;='Assumptions and Catalog'!$C$56,((D775+E775)*C775-G775)*'Assumptions and Catalog'!$H$56+'Assumptions and Catalog'!$E$56+'Assumptions and Catalog'!$F$56,IF(((D775+E775)*C775-G775)&lt;='Assumptions and Catalog'!$C$57,((D775+E775)*C775-G775)*'Assumptions and Catalog'!$H$57+'Assumptions and Catalog'!$E$57+'Assumptions and Catalog'!$F$57,"Out of range")))))))),IF(((D775+E775)*C775-G775)&lt;='Assumptions and Catalog'!$C$60,((D775+E775)*C775-G775)*'Assumptions and Catalog'!$H$60+'Assumptions and Catalog'!$E$60+'Assumptions and Catalog'!$F$60,IF(((D775+E775)*C775-G775)&lt;='Assumptions and Catalog'!$C$61,((D775+E775)*C775-G775)*'Assumptions and Catalog'!$H$61+'Assumptions and Catalog'!$E$61+'Assumptions and Catalog'!$F$61,IF(((D775+E775)*C775-G775)&lt;='Assumptions and Catalog'!$C$62,((D775+E775)*C775-G775)*'Assumptions and Catalog'!$H$62+'Assumptions and Catalog'!$E$62+'Assumptions and Catalog'!$F$62,IF(((D775+E775)*C775-G775)&lt;='Assumptions and Catalog'!$C$63,((D775+E775)*C775-G775)*'Assumptions and Catalog'!$H$63+'Assumptions and Catalog'!$E$63+'Assumptions and Catalog'!$F$63,IF(((D775+E775)*C775-G775)&lt;='Assumptions and Catalog'!$C$64,((D775+E775)*C775-G775)*'Assumptions and Catalog'!$H$64+'Assumptions and Catalog'!$E$64+'Assumptions and Catalog'!$F$64,IF(((D775+E775)*C775-G775)&lt;='Assumptions and Catalog'!$C$65,((D775+E775)*C775-G775)*'Assumptions and Catalog'!$H$65+'Assumptions and Catalog'!$E$65+'Assumptions and Catalog'!$F$65,"Out of range")))))))))*(1+'Assumptions and Catalog'!$C$8)^(A775-1),0)</f>
        <v>5779.4454855830618</v>
      </c>
      <c r="R775" s="5">
        <f>IF(AND('Assumptions and Catalog'!$C$19&gt;0,A775&gt;='Assumptions and Catalog'!$C$19),A775-'Assumptions and Catalog'!$C$19,A775-1)</f>
        <v>9</v>
      </c>
      <c r="S775" s="5">
        <f>F775+L775-(D775+E775)*C775-J775-K775-IF(E$52&gt;0,'Assumptions and Catalog'!$C$26*C775,0)</f>
        <v>0</v>
      </c>
      <c r="T775" s="5"/>
      <c r="U775" s="5"/>
    </row>
    <row r="776" spans="1:21" ht="23.1" customHeight="1" outlineLevel="1" x14ac:dyDescent="0.2">
      <c r="A776" s="5">
        <v>10</v>
      </c>
      <c r="B776" s="5">
        <v>8</v>
      </c>
      <c r="C776" s="5">
        <f>DAY(DATE('Assumptions and Catalog'!$C$24+A776-1,B776+1,0))</f>
        <v>31</v>
      </c>
      <c r="D776" s="5">
        <f>IF(ISNUMBER(Inputs!$L$5),Inputs!$L$5*Inputs!$L$6,0)</f>
        <v>40.35</v>
      </c>
      <c r="E776" s="5">
        <f>IF(ISNUMBER(Inputs!$L$5),Inputs!$L$5-D776,0)</f>
        <v>40.35</v>
      </c>
      <c r="F776" s="5">
        <f>E$51*'Assumptions and Catalog'!$C$31*C776*(1-'Assumptions and Catalog'!$C$10)^(A776-1)</f>
        <v>811.63628208762043</v>
      </c>
      <c r="G776" s="5">
        <f t="shared" si="52"/>
        <v>811.63628208762043</v>
      </c>
      <c r="H776" s="5">
        <f>I776/('Assumptions and Catalog'!$C$11*'Assumptions and Catalog'!$C$12)</f>
        <v>0</v>
      </c>
      <c r="I776" s="5">
        <f>MIN(E776*C776,P776*'Assumptions and Catalog'!$C$12*C776,(F776-G776)*'Assumptions and Catalog'!$C$11*'Assumptions and Catalog'!$C$12,E$56*'Assumptions and Catalog'!$C$14*'Assumptions and Catalog'!$C$11*'Assumptions and Catalog'!$C$12*C776,E$57*(24-'Assumptions and Catalog'!$C$13)*C776)</f>
        <v>0</v>
      </c>
      <c r="J776" s="5">
        <f t="shared" si="53"/>
        <v>0</v>
      </c>
      <c r="K776" s="5">
        <f t="shared" si="54"/>
        <v>0</v>
      </c>
      <c r="L776" s="5">
        <f>(D776+E776)*C776-G776-I776+0+IF(E$52&gt;0,'Assumptions and Catalog'!$C$26*C776,0)</f>
        <v>1690.0637179123798</v>
      </c>
      <c r="M776" s="5">
        <f>IF(ISNUMBER(Inputs!$L$5),(IF(Inputs!$L$9="Actual flat rate",((D776+E776)*C776)*Inputs!$L$10,IF(Inputs!$C$9="Residential",IF(((D776+E776)*C776)&lt;='Assumptions and Catalog'!$C$50,((D776+E776)*C776)*'Assumptions and Catalog'!$H$50+'Assumptions and Catalog'!$E$50+'Assumptions and Catalog'!$F$50,IF(((D776+E776)*C776)&lt;='Assumptions and Catalog'!$C$51,((D776+E776)*C776)*'Assumptions and Catalog'!$H$51+'Assumptions and Catalog'!$E$51+'Assumptions and Catalog'!$F$51,IF(((D776+E776)*C776)&lt;='Assumptions and Catalog'!$C$52,((D776+E776)*C776)*'Assumptions and Catalog'!$H$52+'Assumptions and Catalog'!$E$52+'Assumptions and Catalog'!$F$52,IF(((D776+E776)*C776)&lt;='Assumptions and Catalog'!$C$53,((D776+E776)*C776)*'Assumptions and Catalog'!$H$53+'Assumptions and Catalog'!$E$53+'Assumptions and Catalog'!$F$53,IF(((D776+E776)*C776)&lt;='Assumptions and Catalog'!$C$54,((D776+E776)*C776)*'Assumptions and Catalog'!$H$54+'Assumptions and Catalog'!$E$54+'Assumptions and Catalog'!$F$54,IF(((D776+E776)*C776)&lt;='Assumptions and Catalog'!$C$55,((D776+E776)*C776)*'Assumptions and Catalog'!$H$55+'Assumptions and Catalog'!$E$55+'Assumptions and Catalog'!$F$55,IF(((D776+E776)*C776)&lt;='Assumptions and Catalog'!$C$56,((D776+E776)*C776)*'Assumptions and Catalog'!$H$56+'Assumptions and Catalog'!$E$56+'Assumptions and Catalog'!$F$56,IF(((D776+E776)*C776)&lt;='Assumptions and Catalog'!$C$57,((D776+E776)*C776)*'Assumptions and Catalog'!$H$57+'Assumptions and Catalog'!$E$57+'Assumptions and Catalog'!$F$57,"Out of range")))))))),IF(((D776+E776)*C776)&lt;='Assumptions and Catalog'!$C$60,((D776+E776)*C776)*'Assumptions and Catalog'!$H$60+'Assumptions and Catalog'!$E$60+'Assumptions and Catalog'!$F$60,IF(((D776+E776)*C776)&lt;='Assumptions and Catalog'!$C$61,((D776+E776)*C776)*'Assumptions and Catalog'!$H$61+'Assumptions and Catalog'!$E$61+'Assumptions and Catalog'!$F$61,IF(((D776+E776)*C776)&lt;='Assumptions and Catalog'!$C$62,((D776+E776)*C776)*'Assumptions and Catalog'!$H$62+'Assumptions and Catalog'!$E$62+'Assumptions and Catalog'!$F$62,IF(((D776+E776)*C776)&lt;='Assumptions and Catalog'!$C$63,((D776+E776)*C776)*'Assumptions and Catalog'!$H$63+'Assumptions and Catalog'!$E$63+'Assumptions and Catalog'!$F$63,IF(((D776+E776)*C776)&lt;='Assumptions and Catalog'!$C$64,((D776+E776)*C776)*'Assumptions and Catalog'!$H$64+'Assumptions and Catalog'!$E$64+'Assumptions and Catalog'!$F$64,IF(((D776+E776)*C776)&lt;='Assumptions and Catalog'!$C$65,((D776+E776)*C776)*'Assumptions and Catalog'!$H$65+'Assumptions and Catalog'!$E$65+'Assumptions and Catalog'!$F$65,"Out of range")))))))))*(1+'Assumptions and Catalog'!$C$8)^(A776-1),0)</f>
        <v>8554.9666666666672</v>
      </c>
      <c r="N776" s="5">
        <f>IF(ISNUMBER(Inputs!$L$5),(IF(Inputs!$L$9="Actual flat rate",L776*Inputs!$L$10,IF(Inputs!$C$9="Residential",IF(L776&lt;='Assumptions and Catalog'!$C$50,L776*'Assumptions and Catalog'!$H$50+'Assumptions and Catalog'!$E$50+'Assumptions and Catalog'!$F$50,IF(L776&lt;='Assumptions and Catalog'!$C$51,L776*'Assumptions and Catalog'!$H$51+'Assumptions and Catalog'!$E$51+'Assumptions and Catalog'!$F$51,IF(L776&lt;='Assumptions and Catalog'!$C$52,L776*'Assumptions and Catalog'!$H$52+'Assumptions and Catalog'!$E$52+'Assumptions and Catalog'!$F$52,IF(L776&lt;='Assumptions and Catalog'!$C$53,L776*'Assumptions and Catalog'!$H$53+'Assumptions and Catalog'!$E$53+'Assumptions and Catalog'!$F$53,IF(L776&lt;='Assumptions and Catalog'!$C$54,L776*'Assumptions and Catalog'!$H$54+'Assumptions and Catalog'!$E$54+'Assumptions and Catalog'!$F$54,IF(L776&lt;='Assumptions and Catalog'!$C$55,L776*'Assumptions and Catalog'!$H$55+'Assumptions and Catalog'!$E$55+'Assumptions and Catalog'!$F$55,IF(L776&lt;='Assumptions and Catalog'!$C$56,L776*'Assumptions and Catalog'!$H$56+'Assumptions and Catalog'!$E$56+'Assumptions and Catalog'!$F$56,IF(L776&lt;='Assumptions and Catalog'!$C$57,L776*'Assumptions and Catalog'!$H$57+'Assumptions and Catalog'!$E$57+'Assumptions and Catalog'!$F$57,"Out of range")))))))),IF(L776&lt;='Assumptions and Catalog'!$C$60,L776*'Assumptions and Catalog'!$H$60+'Assumptions and Catalog'!$E$60+'Assumptions and Catalog'!$F$60,IF(L776&lt;='Assumptions and Catalog'!$C$61,L776*'Assumptions and Catalog'!$H$61+'Assumptions and Catalog'!$E$61+'Assumptions and Catalog'!$F$61,IF(L776&lt;='Assumptions and Catalog'!$C$62,L776*'Assumptions and Catalog'!$H$62+'Assumptions and Catalog'!$E$62+'Assumptions and Catalog'!$F$62,IF(L776&lt;='Assumptions and Catalog'!$C$63,L776*'Assumptions and Catalog'!$H$63+'Assumptions and Catalog'!$E$63+'Assumptions and Catalog'!$F$63,IF(L776&lt;='Assumptions and Catalog'!$C$64,L776*'Assumptions and Catalog'!$H$64+'Assumptions and Catalog'!$E$64+'Assumptions and Catalog'!$F$64,IF(L776&lt;='Assumptions and Catalog'!$C$65,L776*'Assumptions and Catalog'!$H$65+'Assumptions and Catalog'!$E$65+'Assumptions and Catalog'!$F$65,"Out of range")))))))))*(1+'Assumptions and Catalog'!$C$8)^(A776-1),0)</f>
        <v>5779.4454855830618</v>
      </c>
      <c r="O776" s="5">
        <f t="shared" si="55"/>
        <v>2775.5211810836054</v>
      </c>
      <c r="P776" s="5">
        <f>E$55*(1-L$14)*(1-'Assumptions and Catalog'!$C$23)^R776</f>
        <v>85.375770842127338</v>
      </c>
      <c r="Q776" s="5">
        <f>IF(ISNUMBER(Inputs!$L$5),(IF(Inputs!$L$9="Actual flat rate",((D776+E776)*C776-G776)*Inputs!$L$10,IF(Inputs!$C$9="Residential",IF(((D776+E776)*C776-G776)&lt;='Assumptions and Catalog'!$C$50,((D776+E776)*C776-G776)*'Assumptions and Catalog'!$H$50+'Assumptions and Catalog'!$E$50+'Assumptions and Catalog'!$F$50,IF(((D776+E776)*C776-G776)&lt;='Assumptions and Catalog'!$C$51,((D776+E776)*C776-G776)*'Assumptions and Catalog'!$H$51+'Assumptions and Catalog'!$E$51+'Assumptions and Catalog'!$F$51,IF(((D776+E776)*C776-G776)&lt;='Assumptions and Catalog'!$C$52,((D776+E776)*C776-G776)*'Assumptions and Catalog'!$H$52+'Assumptions and Catalog'!$E$52+'Assumptions and Catalog'!$F$52,IF(((D776+E776)*C776-G776)&lt;='Assumptions and Catalog'!$C$53,((D776+E776)*C776-G776)*'Assumptions and Catalog'!$H$53+'Assumptions and Catalog'!$E$53+'Assumptions and Catalog'!$F$53,IF(((D776+E776)*C776-G776)&lt;='Assumptions and Catalog'!$C$54,((D776+E776)*C776-G776)*'Assumptions and Catalog'!$H$54+'Assumptions and Catalog'!$E$54+'Assumptions and Catalog'!$F$54,IF(((D776+E776)*C776-G776)&lt;='Assumptions and Catalog'!$C$55,((D776+E776)*C776-G776)*'Assumptions and Catalog'!$H$55+'Assumptions and Catalog'!$E$55+'Assumptions and Catalog'!$F$55,IF(((D776+E776)*C776-G776)&lt;='Assumptions and Catalog'!$C$56,((D776+E776)*C776-G776)*'Assumptions and Catalog'!$H$56+'Assumptions and Catalog'!$E$56+'Assumptions and Catalog'!$F$56,IF(((D776+E776)*C776-G776)&lt;='Assumptions and Catalog'!$C$57,((D776+E776)*C776-G776)*'Assumptions and Catalog'!$H$57+'Assumptions and Catalog'!$E$57+'Assumptions and Catalog'!$F$57,"Out of range")))))))),IF(((D776+E776)*C776-G776)&lt;='Assumptions and Catalog'!$C$60,((D776+E776)*C776-G776)*'Assumptions and Catalog'!$H$60+'Assumptions and Catalog'!$E$60+'Assumptions and Catalog'!$F$60,IF(((D776+E776)*C776-G776)&lt;='Assumptions and Catalog'!$C$61,((D776+E776)*C776-G776)*'Assumptions and Catalog'!$H$61+'Assumptions and Catalog'!$E$61+'Assumptions and Catalog'!$F$61,IF(((D776+E776)*C776-G776)&lt;='Assumptions and Catalog'!$C$62,((D776+E776)*C776-G776)*'Assumptions and Catalog'!$H$62+'Assumptions and Catalog'!$E$62+'Assumptions and Catalog'!$F$62,IF(((D776+E776)*C776-G776)&lt;='Assumptions and Catalog'!$C$63,((D776+E776)*C776-G776)*'Assumptions and Catalog'!$H$63+'Assumptions and Catalog'!$E$63+'Assumptions and Catalog'!$F$63,IF(((D776+E776)*C776-G776)&lt;='Assumptions and Catalog'!$C$64,((D776+E776)*C776-G776)*'Assumptions and Catalog'!$H$64+'Assumptions and Catalog'!$E$64+'Assumptions and Catalog'!$F$64,IF(((D776+E776)*C776-G776)&lt;='Assumptions and Catalog'!$C$65,((D776+E776)*C776-G776)*'Assumptions and Catalog'!$H$65+'Assumptions and Catalog'!$E$65+'Assumptions and Catalog'!$F$65,"Out of range")))))))))*(1+'Assumptions and Catalog'!$C$8)^(A776-1),0)</f>
        <v>5779.4454855830618</v>
      </c>
      <c r="R776" s="5">
        <f>IF(AND('Assumptions and Catalog'!$C$19&gt;0,A776&gt;='Assumptions and Catalog'!$C$19),A776-'Assumptions and Catalog'!$C$19,A776-1)</f>
        <v>9</v>
      </c>
      <c r="S776" s="5">
        <f>F776+L776-(D776+E776)*C776-J776-K776-IF(E$52&gt;0,'Assumptions and Catalog'!$C$26*C776,0)</f>
        <v>0</v>
      </c>
      <c r="T776" s="5"/>
      <c r="U776" s="5"/>
    </row>
    <row r="777" spans="1:21" ht="23.1" customHeight="1" outlineLevel="1" x14ac:dyDescent="0.2">
      <c r="A777" s="5">
        <v>10</v>
      </c>
      <c r="B777" s="5">
        <v>9</v>
      </c>
      <c r="C777" s="5">
        <f>DAY(DATE('Assumptions and Catalog'!$C$24+A777-1,B777+1,0))</f>
        <v>30</v>
      </c>
      <c r="D777" s="5">
        <f>IF(ISNUMBER(Inputs!$L$5),Inputs!$L$5*Inputs!$L$6,0)</f>
        <v>40.35</v>
      </c>
      <c r="E777" s="5">
        <f>IF(ISNUMBER(Inputs!$L$5),Inputs!$L$5-D777,0)</f>
        <v>40.35</v>
      </c>
      <c r="F777" s="5">
        <f>E$51*'Assumptions and Catalog'!$C$31*C777*(1-'Assumptions and Catalog'!$C$10)^(A777-1)</f>
        <v>785.45446653640681</v>
      </c>
      <c r="G777" s="5">
        <f t="shared" si="52"/>
        <v>785.45446653640681</v>
      </c>
      <c r="H777" s="5">
        <f>I777/('Assumptions and Catalog'!$C$11*'Assumptions and Catalog'!$C$12)</f>
        <v>0</v>
      </c>
      <c r="I777" s="5">
        <f>MIN(E777*C777,P777*'Assumptions and Catalog'!$C$12*C777,(F777-G777)*'Assumptions and Catalog'!$C$11*'Assumptions and Catalog'!$C$12,E$56*'Assumptions and Catalog'!$C$14*'Assumptions and Catalog'!$C$11*'Assumptions and Catalog'!$C$12*C777,E$57*(24-'Assumptions and Catalog'!$C$13)*C777)</f>
        <v>0</v>
      </c>
      <c r="J777" s="5">
        <f t="shared" si="53"/>
        <v>0</v>
      </c>
      <c r="K777" s="5">
        <f t="shared" si="54"/>
        <v>0</v>
      </c>
      <c r="L777" s="5">
        <f>(D777+E777)*C777-G777-I777+0+IF(E$52&gt;0,'Assumptions and Catalog'!$C$26*C777,0)</f>
        <v>1635.5455334635931</v>
      </c>
      <c r="M777" s="5">
        <f>IF(ISNUMBER(Inputs!$L$5),(IF(Inputs!$L$9="Actual flat rate",((D777+E777)*C777)*Inputs!$L$10,IF(Inputs!$C$9="Residential",IF(((D777+E777)*C777)&lt;='Assumptions and Catalog'!$C$50,((D777+E777)*C777)*'Assumptions and Catalog'!$H$50+'Assumptions and Catalog'!$E$50+'Assumptions and Catalog'!$F$50,IF(((D777+E777)*C777)&lt;='Assumptions and Catalog'!$C$51,((D777+E777)*C777)*'Assumptions and Catalog'!$H$51+'Assumptions and Catalog'!$E$51+'Assumptions and Catalog'!$F$51,IF(((D777+E777)*C777)&lt;='Assumptions and Catalog'!$C$52,((D777+E777)*C777)*'Assumptions and Catalog'!$H$52+'Assumptions and Catalog'!$E$52+'Assumptions and Catalog'!$F$52,IF(((D777+E777)*C777)&lt;='Assumptions and Catalog'!$C$53,((D777+E777)*C777)*'Assumptions and Catalog'!$H$53+'Assumptions and Catalog'!$E$53+'Assumptions and Catalog'!$F$53,IF(((D777+E777)*C777)&lt;='Assumptions and Catalog'!$C$54,((D777+E777)*C777)*'Assumptions and Catalog'!$H$54+'Assumptions and Catalog'!$E$54+'Assumptions and Catalog'!$F$54,IF(((D777+E777)*C777)&lt;='Assumptions and Catalog'!$C$55,((D777+E777)*C777)*'Assumptions and Catalog'!$H$55+'Assumptions and Catalog'!$E$55+'Assumptions and Catalog'!$F$55,IF(((D777+E777)*C777)&lt;='Assumptions and Catalog'!$C$56,((D777+E777)*C777)*'Assumptions and Catalog'!$H$56+'Assumptions and Catalog'!$E$56+'Assumptions and Catalog'!$F$56,IF(((D777+E777)*C777)&lt;='Assumptions and Catalog'!$C$57,((D777+E777)*C777)*'Assumptions and Catalog'!$H$57+'Assumptions and Catalog'!$E$57+'Assumptions and Catalog'!$F$57,"Out of range")))))))),IF(((D777+E777)*C777)&lt;='Assumptions and Catalog'!$C$60,((D777+E777)*C777)*'Assumptions and Catalog'!$H$60+'Assumptions and Catalog'!$E$60+'Assumptions and Catalog'!$F$60,IF(((D777+E777)*C777)&lt;='Assumptions and Catalog'!$C$61,((D777+E777)*C777)*'Assumptions and Catalog'!$H$61+'Assumptions and Catalog'!$E$61+'Assumptions and Catalog'!$F$61,IF(((D777+E777)*C777)&lt;='Assumptions and Catalog'!$C$62,((D777+E777)*C777)*'Assumptions and Catalog'!$H$62+'Assumptions and Catalog'!$E$62+'Assumptions and Catalog'!$F$62,IF(((D777+E777)*C777)&lt;='Assumptions and Catalog'!$C$63,((D777+E777)*C777)*'Assumptions and Catalog'!$H$63+'Assumptions and Catalog'!$E$63+'Assumptions and Catalog'!$F$63,IF(((D777+E777)*C777)&lt;='Assumptions and Catalog'!$C$64,((D777+E777)*C777)*'Assumptions and Catalog'!$H$64+'Assumptions and Catalog'!$E$64+'Assumptions and Catalog'!$F$64,IF(((D777+E777)*C777)&lt;='Assumptions and Catalog'!$C$65,((D777+E777)*C777)*'Assumptions and Catalog'!$H$65+'Assumptions and Catalog'!$E$65+'Assumptions and Catalog'!$F$65,"Out of range")))))))))*(1+'Assumptions and Catalog'!$C$8)^(A777-1),0)</f>
        <v>8279</v>
      </c>
      <c r="N777" s="5">
        <f>IF(ISNUMBER(Inputs!$L$5),(IF(Inputs!$L$9="Actual flat rate",L777*Inputs!$L$10,IF(Inputs!$C$9="Residential",IF(L777&lt;='Assumptions and Catalog'!$C$50,L777*'Assumptions and Catalog'!$H$50+'Assumptions and Catalog'!$E$50+'Assumptions and Catalog'!$F$50,IF(L777&lt;='Assumptions and Catalog'!$C$51,L777*'Assumptions and Catalog'!$H$51+'Assumptions and Catalog'!$E$51+'Assumptions and Catalog'!$F$51,IF(L777&lt;='Assumptions and Catalog'!$C$52,L777*'Assumptions and Catalog'!$H$52+'Assumptions and Catalog'!$E$52+'Assumptions and Catalog'!$F$52,IF(L777&lt;='Assumptions and Catalog'!$C$53,L777*'Assumptions and Catalog'!$H$53+'Assumptions and Catalog'!$E$53+'Assumptions and Catalog'!$F$53,IF(L777&lt;='Assumptions and Catalog'!$C$54,L777*'Assumptions and Catalog'!$H$54+'Assumptions and Catalog'!$E$54+'Assumptions and Catalog'!$F$54,IF(L777&lt;='Assumptions and Catalog'!$C$55,L777*'Assumptions and Catalog'!$H$55+'Assumptions and Catalog'!$E$55+'Assumptions and Catalog'!$F$55,IF(L777&lt;='Assumptions and Catalog'!$C$56,L777*'Assumptions and Catalog'!$H$56+'Assumptions and Catalog'!$E$56+'Assumptions and Catalog'!$F$56,IF(L777&lt;='Assumptions and Catalog'!$C$57,L777*'Assumptions and Catalog'!$H$57+'Assumptions and Catalog'!$E$57+'Assumptions and Catalog'!$F$57,"Out of range")))))))),IF(L777&lt;='Assumptions and Catalog'!$C$60,L777*'Assumptions and Catalog'!$H$60+'Assumptions and Catalog'!$E$60+'Assumptions and Catalog'!$F$60,IF(L777&lt;='Assumptions and Catalog'!$C$61,L777*'Assumptions and Catalog'!$H$61+'Assumptions and Catalog'!$E$61+'Assumptions and Catalog'!$F$61,IF(L777&lt;='Assumptions and Catalog'!$C$62,L777*'Assumptions and Catalog'!$H$62+'Assumptions and Catalog'!$E$62+'Assumptions and Catalog'!$F$62,IF(L777&lt;='Assumptions and Catalog'!$C$63,L777*'Assumptions and Catalog'!$H$63+'Assumptions and Catalog'!$E$63+'Assumptions and Catalog'!$F$63,IF(L777&lt;='Assumptions and Catalog'!$C$64,L777*'Assumptions and Catalog'!$H$64+'Assumptions and Catalog'!$E$64+'Assumptions and Catalog'!$F$64,IF(L777&lt;='Assumptions and Catalog'!$C$65,L777*'Assumptions and Catalog'!$H$65+'Assumptions and Catalog'!$E$65+'Assumptions and Catalog'!$F$65,"Out of range")))))))))*(1+'Assumptions and Catalog'!$C$8)^(A777-1),0)</f>
        <v>5593.0117602416713</v>
      </c>
      <c r="O777" s="5">
        <f t="shared" si="55"/>
        <v>2685.9882397583287</v>
      </c>
      <c r="P777" s="5">
        <f>E$55*(1-L$14)*(1-'Assumptions and Catalog'!$C$23)^R777</f>
        <v>85.375770842127338</v>
      </c>
      <c r="Q777" s="5">
        <f>IF(ISNUMBER(Inputs!$L$5),(IF(Inputs!$L$9="Actual flat rate",((D777+E777)*C777-G777)*Inputs!$L$10,IF(Inputs!$C$9="Residential",IF(((D777+E777)*C777-G777)&lt;='Assumptions and Catalog'!$C$50,((D777+E777)*C777-G777)*'Assumptions and Catalog'!$H$50+'Assumptions and Catalog'!$E$50+'Assumptions and Catalog'!$F$50,IF(((D777+E777)*C777-G777)&lt;='Assumptions and Catalog'!$C$51,((D777+E777)*C777-G777)*'Assumptions and Catalog'!$H$51+'Assumptions and Catalog'!$E$51+'Assumptions and Catalog'!$F$51,IF(((D777+E777)*C777-G777)&lt;='Assumptions and Catalog'!$C$52,((D777+E777)*C777-G777)*'Assumptions and Catalog'!$H$52+'Assumptions and Catalog'!$E$52+'Assumptions and Catalog'!$F$52,IF(((D777+E777)*C777-G777)&lt;='Assumptions and Catalog'!$C$53,((D777+E777)*C777-G777)*'Assumptions and Catalog'!$H$53+'Assumptions and Catalog'!$E$53+'Assumptions and Catalog'!$F$53,IF(((D777+E777)*C777-G777)&lt;='Assumptions and Catalog'!$C$54,((D777+E777)*C777-G777)*'Assumptions and Catalog'!$H$54+'Assumptions and Catalog'!$E$54+'Assumptions and Catalog'!$F$54,IF(((D777+E777)*C777-G777)&lt;='Assumptions and Catalog'!$C$55,((D777+E777)*C777-G777)*'Assumptions and Catalog'!$H$55+'Assumptions and Catalog'!$E$55+'Assumptions and Catalog'!$F$55,IF(((D777+E777)*C777-G777)&lt;='Assumptions and Catalog'!$C$56,((D777+E777)*C777-G777)*'Assumptions and Catalog'!$H$56+'Assumptions and Catalog'!$E$56+'Assumptions and Catalog'!$F$56,IF(((D777+E777)*C777-G777)&lt;='Assumptions and Catalog'!$C$57,((D777+E777)*C777-G777)*'Assumptions and Catalog'!$H$57+'Assumptions and Catalog'!$E$57+'Assumptions and Catalog'!$F$57,"Out of range")))))))),IF(((D777+E777)*C777-G777)&lt;='Assumptions and Catalog'!$C$60,((D777+E777)*C777-G777)*'Assumptions and Catalog'!$H$60+'Assumptions and Catalog'!$E$60+'Assumptions and Catalog'!$F$60,IF(((D777+E777)*C777-G777)&lt;='Assumptions and Catalog'!$C$61,((D777+E777)*C777-G777)*'Assumptions and Catalog'!$H$61+'Assumptions and Catalog'!$E$61+'Assumptions and Catalog'!$F$61,IF(((D777+E777)*C777-G777)&lt;='Assumptions and Catalog'!$C$62,((D777+E777)*C777-G777)*'Assumptions and Catalog'!$H$62+'Assumptions and Catalog'!$E$62+'Assumptions and Catalog'!$F$62,IF(((D777+E777)*C777-G777)&lt;='Assumptions and Catalog'!$C$63,((D777+E777)*C777-G777)*'Assumptions and Catalog'!$H$63+'Assumptions and Catalog'!$E$63+'Assumptions and Catalog'!$F$63,IF(((D777+E777)*C777-G777)&lt;='Assumptions and Catalog'!$C$64,((D777+E777)*C777-G777)*'Assumptions and Catalog'!$H$64+'Assumptions and Catalog'!$E$64+'Assumptions and Catalog'!$F$64,IF(((D777+E777)*C777-G777)&lt;='Assumptions and Catalog'!$C$65,((D777+E777)*C777-G777)*'Assumptions and Catalog'!$H$65+'Assumptions and Catalog'!$E$65+'Assumptions and Catalog'!$F$65,"Out of range")))))))))*(1+'Assumptions and Catalog'!$C$8)^(A777-1),0)</f>
        <v>5593.0117602416713</v>
      </c>
      <c r="R777" s="5">
        <f>IF(AND('Assumptions and Catalog'!$C$19&gt;0,A777&gt;='Assumptions and Catalog'!$C$19),A777-'Assumptions and Catalog'!$C$19,A777-1)</f>
        <v>9</v>
      </c>
      <c r="S777" s="5">
        <f>F777+L777-(D777+E777)*C777-J777-K777-IF(E$52&gt;0,'Assumptions and Catalog'!$C$26*C777,0)</f>
        <v>0</v>
      </c>
      <c r="T777" s="5"/>
      <c r="U777" s="5"/>
    </row>
    <row r="778" spans="1:21" ht="23.1" customHeight="1" outlineLevel="1" x14ac:dyDescent="0.2">
      <c r="A778" s="5">
        <v>10</v>
      </c>
      <c r="B778" s="5">
        <v>10</v>
      </c>
      <c r="C778" s="5">
        <f>DAY(DATE('Assumptions and Catalog'!$C$24+A778-1,B778+1,0))</f>
        <v>31</v>
      </c>
      <c r="D778" s="5">
        <f>IF(ISNUMBER(Inputs!$L$5),Inputs!$L$5*Inputs!$L$6,0)</f>
        <v>40.35</v>
      </c>
      <c r="E778" s="5">
        <f>IF(ISNUMBER(Inputs!$L$5),Inputs!$L$5-D778,0)</f>
        <v>40.35</v>
      </c>
      <c r="F778" s="5">
        <f>E$51*'Assumptions and Catalog'!$C$31*C778*(1-'Assumptions and Catalog'!$C$10)^(A778-1)</f>
        <v>811.63628208762043</v>
      </c>
      <c r="G778" s="5">
        <f t="shared" si="52"/>
        <v>811.63628208762043</v>
      </c>
      <c r="H778" s="5">
        <f>I778/('Assumptions and Catalog'!$C$11*'Assumptions and Catalog'!$C$12)</f>
        <v>0</v>
      </c>
      <c r="I778" s="5">
        <f>MIN(E778*C778,P778*'Assumptions and Catalog'!$C$12*C778,(F778-G778)*'Assumptions and Catalog'!$C$11*'Assumptions and Catalog'!$C$12,E$56*'Assumptions and Catalog'!$C$14*'Assumptions and Catalog'!$C$11*'Assumptions and Catalog'!$C$12*C778,E$57*(24-'Assumptions and Catalog'!$C$13)*C778)</f>
        <v>0</v>
      </c>
      <c r="J778" s="5">
        <f t="shared" si="53"/>
        <v>0</v>
      </c>
      <c r="K778" s="5">
        <f t="shared" si="54"/>
        <v>0</v>
      </c>
      <c r="L778" s="5">
        <f>(D778+E778)*C778-G778-I778+0+IF(E$52&gt;0,'Assumptions and Catalog'!$C$26*C778,0)</f>
        <v>1690.0637179123798</v>
      </c>
      <c r="M778" s="5">
        <f>IF(ISNUMBER(Inputs!$L$5),(IF(Inputs!$L$9="Actual flat rate",((D778+E778)*C778)*Inputs!$L$10,IF(Inputs!$C$9="Residential",IF(((D778+E778)*C778)&lt;='Assumptions and Catalog'!$C$50,((D778+E778)*C778)*'Assumptions and Catalog'!$H$50+'Assumptions and Catalog'!$E$50+'Assumptions and Catalog'!$F$50,IF(((D778+E778)*C778)&lt;='Assumptions and Catalog'!$C$51,((D778+E778)*C778)*'Assumptions and Catalog'!$H$51+'Assumptions and Catalog'!$E$51+'Assumptions and Catalog'!$F$51,IF(((D778+E778)*C778)&lt;='Assumptions and Catalog'!$C$52,((D778+E778)*C778)*'Assumptions and Catalog'!$H$52+'Assumptions and Catalog'!$E$52+'Assumptions and Catalog'!$F$52,IF(((D778+E778)*C778)&lt;='Assumptions and Catalog'!$C$53,((D778+E778)*C778)*'Assumptions and Catalog'!$H$53+'Assumptions and Catalog'!$E$53+'Assumptions and Catalog'!$F$53,IF(((D778+E778)*C778)&lt;='Assumptions and Catalog'!$C$54,((D778+E778)*C778)*'Assumptions and Catalog'!$H$54+'Assumptions and Catalog'!$E$54+'Assumptions and Catalog'!$F$54,IF(((D778+E778)*C778)&lt;='Assumptions and Catalog'!$C$55,((D778+E778)*C778)*'Assumptions and Catalog'!$H$55+'Assumptions and Catalog'!$E$55+'Assumptions and Catalog'!$F$55,IF(((D778+E778)*C778)&lt;='Assumptions and Catalog'!$C$56,((D778+E778)*C778)*'Assumptions and Catalog'!$H$56+'Assumptions and Catalog'!$E$56+'Assumptions and Catalog'!$F$56,IF(((D778+E778)*C778)&lt;='Assumptions and Catalog'!$C$57,((D778+E778)*C778)*'Assumptions and Catalog'!$H$57+'Assumptions and Catalog'!$E$57+'Assumptions and Catalog'!$F$57,"Out of range")))))))),IF(((D778+E778)*C778)&lt;='Assumptions and Catalog'!$C$60,((D778+E778)*C778)*'Assumptions and Catalog'!$H$60+'Assumptions and Catalog'!$E$60+'Assumptions and Catalog'!$F$60,IF(((D778+E778)*C778)&lt;='Assumptions and Catalog'!$C$61,((D778+E778)*C778)*'Assumptions and Catalog'!$H$61+'Assumptions and Catalog'!$E$61+'Assumptions and Catalog'!$F$61,IF(((D778+E778)*C778)&lt;='Assumptions and Catalog'!$C$62,((D778+E778)*C778)*'Assumptions and Catalog'!$H$62+'Assumptions and Catalog'!$E$62+'Assumptions and Catalog'!$F$62,IF(((D778+E778)*C778)&lt;='Assumptions and Catalog'!$C$63,((D778+E778)*C778)*'Assumptions and Catalog'!$H$63+'Assumptions and Catalog'!$E$63+'Assumptions and Catalog'!$F$63,IF(((D778+E778)*C778)&lt;='Assumptions and Catalog'!$C$64,((D778+E778)*C778)*'Assumptions and Catalog'!$H$64+'Assumptions and Catalog'!$E$64+'Assumptions and Catalog'!$F$64,IF(((D778+E778)*C778)&lt;='Assumptions and Catalog'!$C$65,((D778+E778)*C778)*'Assumptions and Catalog'!$H$65+'Assumptions and Catalog'!$E$65+'Assumptions and Catalog'!$F$65,"Out of range")))))))))*(1+'Assumptions and Catalog'!$C$8)^(A778-1),0)</f>
        <v>8554.9666666666672</v>
      </c>
      <c r="N778" s="5">
        <f>IF(ISNUMBER(Inputs!$L$5),(IF(Inputs!$L$9="Actual flat rate",L778*Inputs!$L$10,IF(Inputs!$C$9="Residential",IF(L778&lt;='Assumptions and Catalog'!$C$50,L778*'Assumptions and Catalog'!$H$50+'Assumptions and Catalog'!$E$50+'Assumptions and Catalog'!$F$50,IF(L778&lt;='Assumptions and Catalog'!$C$51,L778*'Assumptions and Catalog'!$H$51+'Assumptions and Catalog'!$E$51+'Assumptions and Catalog'!$F$51,IF(L778&lt;='Assumptions and Catalog'!$C$52,L778*'Assumptions and Catalog'!$H$52+'Assumptions and Catalog'!$E$52+'Assumptions and Catalog'!$F$52,IF(L778&lt;='Assumptions and Catalog'!$C$53,L778*'Assumptions and Catalog'!$H$53+'Assumptions and Catalog'!$E$53+'Assumptions and Catalog'!$F$53,IF(L778&lt;='Assumptions and Catalog'!$C$54,L778*'Assumptions and Catalog'!$H$54+'Assumptions and Catalog'!$E$54+'Assumptions and Catalog'!$F$54,IF(L778&lt;='Assumptions and Catalog'!$C$55,L778*'Assumptions and Catalog'!$H$55+'Assumptions and Catalog'!$E$55+'Assumptions and Catalog'!$F$55,IF(L778&lt;='Assumptions and Catalog'!$C$56,L778*'Assumptions and Catalog'!$H$56+'Assumptions and Catalog'!$E$56+'Assumptions and Catalog'!$F$56,IF(L778&lt;='Assumptions and Catalog'!$C$57,L778*'Assumptions and Catalog'!$H$57+'Assumptions and Catalog'!$E$57+'Assumptions and Catalog'!$F$57,"Out of range")))))))),IF(L778&lt;='Assumptions and Catalog'!$C$60,L778*'Assumptions and Catalog'!$H$60+'Assumptions and Catalog'!$E$60+'Assumptions and Catalog'!$F$60,IF(L778&lt;='Assumptions and Catalog'!$C$61,L778*'Assumptions and Catalog'!$H$61+'Assumptions and Catalog'!$E$61+'Assumptions and Catalog'!$F$61,IF(L778&lt;='Assumptions and Catalog'!$C$62,L778*'Assumptions and Catalog'!$H$62+'Assumptions and Catalog'!$E$62+'Assumptions and Catalog'!$F$62,IF(L778&lt;='Assumptions and Catalog'!$C$63,L778*'Assumptions and Catalog'!$H$63+'Assumptions and Catalog'!$E$63+'Assumptions and Catalog'!$F$63,IF(L778&lt;='Assumptions and Catalog'!$C$64,L778*'Assumptions and Catalog'!$H$64+'Assumptions and Catalog'!$E$64+'Assumptions and Catalog'!$F$64,IF(L778&lt;='Assumptions and Catalog'!$C$65,L778*'Assumptions and Catalog'!$H$65+'Assumptions and Catalog'!$E$65+'Assumptions and Catalog'!$F$65,"Out of range")))))))))*(1+'Assumptions and Catalog'!$C$8)^(A778-1),0)</f>
        <v>5779.4454855830618</v>
      </c>
      <c r="O778" s="5">
        <f t="shared" si="55"/>
        <v>2775.5211810836054</v>
      </c>
      <c r="P778" s="5">
        <f>E$55*(1-L$14)*(1-'Assumptions and Catalog'!$C$23)^R778</f>
        <v>85.375770842127338</v>
      </c>
      <c r="Q778" s="5">
        <f>IF(ISNUMBER(Inputs!$L$5),(IF(Inputs!$L$9="Actual flat rate",((D778+E778)*C778-G778)*Inputs!$L$10,IF(Inputs!$C$9="Residential",IF(((D778+E778)*C778-G778)&lt;='Assumptions and Catalog'!$C$50,((D778+E778)*C778-G778)*'Assumptions and Catalog'!$H$50+'Assumptions and Catalog'!$E$50+'Assumptions and Catalog'!$F$50,IF(((D778+E778)*C778-G778)&lt;='Assumptions and Catalog'!$C$51,((D778+E778)*C778-G778)*'Assumptions and Catalog'!$H$51+'Assumptions and Catalog'!$E$51+'Assumptions and Catalog'!$F$51,IF(((D778+E778)*C778-G778)&lt;='Assumptions and Catalog'!$C$52,((D778+E778)*C778-G778)*'Assumptions and Catalog'!$H$52+'Assumptions and Catalog'!$E$52+'Assumptions and Catalog'!$F$52,IF(((D778+E778)*C778-G778)&lt;='Assumptions and Catalog'!$C$53,((D778+E778)*C778-G778)*'Assumptions and Catalog'!$H$53+'Assumptions and Catalog'!$E$53+'Assumptions and Catalog'!$F$53,IF(((D778+E778)*C778-G778)&lt;='Assumptions and Catalog'!$C$54,((D778+E778)*C778-G778)*'Assumptions and Catalog'!$H$54+'Assumptions and Catalog'!$E$54+'Assumptions and Catalog'!$F$54,IF(((D778+E778)*C778-G778)&lt;='Assumptions and Catalog'!$C$55,((D778+E778)*C778-G778)*'Assumptions and Catalog'!$H$55+'Assumptions and Catalog'!$E$55+'Assumptions and Catalog'!$F$55,IF(((D778+E778)*C778-G778)&lt;='Assumptions and Catalog'!$C$56,((D778+E778)*C778-G778)*'Assumptions and Catalog'!$H$56+'Assumptions and Catalog'!$E$56+'Assumptions and Catalog'!$F$56,IF(((D778+E778)*C778-G778)&lt;='Assumptions and Catalog'!$C$57,((D778+E778)*C778-G778)*'Assumptions and Catalog'!$H$57+'Assumptions and Catalog'!$E$57+'Assumptions and Catalog'!$F$57,"Out of range")))))))),IF(((D778+E778)*C778-G778)&lt;='Assumptions and Catalog'!$C$60,((D778+E778)*C778-G778)*'Assumptions and Catalog'!$H$60+'Assumptions and Catalog'!$E$60+'Assumptions and Catalog'!$F$60,IF(((D778+E778)*C778-G778)&lt;='Assumptions and Catalog'!$C$61,((D778+E778)*C778-G778)*'Assumptions and Catalog'!$H$61+'Assumptions and Catalog'!$E$61+'Assumptions and Catalog'!$F$61,IF(((D778+E778)*C778-G778)&lt;='Assumptions and Catalog'!$C$62,((D778+E778)*C778-G778)*'Assumptions and Catalog'!$H$62+'Assumptions and Catalog'!$E$62+'Assumptions and Catalog'!$F$62,IF(((D778+E778)*C778-G778)&lt;='Assumptions and Catalog'!$C$63,((D778+E778)*C778-G778)*'Assumptions and Catalog'!$H$63+'Assumptions and Catalog'!$E$63+'Assumptions and Catalog'!$F$63,IF(((D778+E778)*C778-G778)&lt;='Assumptions and Catalog'!$C$64,((D778+E778)*C778-G778)*'Assumptions and Catalog'!$H$64+'Assumptions and Catalog'!$E$64+'Assumptions and Catalog'!$F$64,IF(((D778+E778)*C778-G778)&lt;='Assumptions and Catalog'!$C$65,((D778+E778)*C778-G778)*'Assumptions and Catalog'!$H$65+'Assumptions and Catalog'!$E$65+'Assumptions and Catalog'!$F$65,"Out of range")))))))))*(1+'Assumptions and Catalog'!$C$8)^(A778-1),0)</f>
        <v>5779.4454855830618</v>
      </c>
      <c r="R778" s="5">
        <f>IF(AND('Assumptions and Catalog'!$C$19&gt;0,A778&gt;='Assumptions and Catalog'!$C$19),A778-'Assumptions and Catalog'!$C$19,A778-1)</f>
        <v>9</v>
      </c>
      <c r="S778" s="5">
        <f>F778+L778-(D778+E778)*C778-J778-K778-IF(E$52&gt;0,'Assumptions and Catalog'!$C$26*C778,0)</f>
        <v>0</v>
      </c>
      <c r="T778" s="5"/>
      <c r="U778" s="5"/>
    </row>
    <row r="779" spans="1:21" ht="23.1" customHeight="1" outlineLevel="1" x14ac:dyDescent="0.2">
      <c r="A779" s="5">
        <v>10</v>
      </c>
      <c r="B779" s="5">
        <v>11</v>
      </c>
      <c r="C779" s="5">
        <f>DAY(DATE('Assumptions and Catalog'!$C$24+A779-1,B779+1,0))</f>
        <v>30</v>
      </c>
      <c r="D779" s="5">
        <f>IF(ISNUMBER(Inputs!$L$5),Inputs!$L$5*Inputs!$L$6,0)</f>
        <v>40.35</v>
      </c>
      <c r="E779" s="5">
        <f>IF(ISNUMBER(Inputs!$L$5),Inputs!$L$5-D779,0)</f>
        <v>40.35</v>
      </c>
      <c r="F779" s="5">
        <f>E$51*'Assumptions and Catalog'!$C$31*C779*(1-'Assumptions and Catalog'!$C$10)^(A779-1)</f>
        <v>785.45446653640681</v>
      </c>
      <c r="G779" s="5">
        <f t="shared" si="52"/>
        <v>785.45446653640681</v>
      </c>
      <c r="H779" s="5">
        <f>I779/('Assumptions and Catalog'!$C$11*'Assumptions and Catalog'!$C$12)</f>
        <v>0</v>
      </c>
      <c r="I779" s="5">
        <f>MIN(E779*C779,P779*'Assumptions and Catalog'!$C$12*C779,(F779-G779)*'Assumptions and Catalog'!$C$11*'Assumptions and Catalog'!$C$12,E$56*'Assumptions and Catalog'!$C$14*'Assumptions and Catalog'!$C$11*'Assumptions and Catalog'!$C$12*C779,E$57*(24-'Assumptions and Catalog'!$C$13)*C779)</f>
        <v>0</v>
      </c>
      <c r="J779" s="5">
        <f t="shared" si="53"/>
        <v>0</v>
      </c>
      <c r="K779" s="5">
        <f t="shared" si="54"/>
        <v>0</v>
      </c>
      <c r="L779" s="5">
        <f>(D779+E779)*C779-G779-I779+0+IF(E$52&gt;0,'Assumptions and Catalog'!$C$26*C779,0)</f>
        <v>1635.5455334635931</v>
      </c>
      <c r="M779" s="5">
        <f>IF(ISNUMBER(Inputs!$L$5),(IF(Inputs!$L$9="Actual flat rate",((D779+E779)*C779)*Inputs!$L$10,IF(Inputs!$C$9="Residential",IF(((D779+E779)*C779)&lt;='Assumptions and Catalog'!$C$50,((D779+E779)*C779)*'Assumptions and Catalog'!$H$50+'Assumptions and Catalog'!$E$50+'Assumptions and Catalog'!$F$50,IF(((D779+E779)*C779)&lt;='Assumptions and Catalog'!$C$51,((D779+E779)*C779)*'Assumptions and Catalog'!$H$51+'Assumptions and Catalog'!$E$51+'Assumptions and Catalog'!$F$51,IF(((D779+E779)*C779)&lt;='Assumptions and Catalog'!$C$52,((D779+E779)*C779)*'Assumptions and Catalog'!$H$52+'Assumptions and Catalog'!$E$52+'Assumptions and Catalog'!$F$52,IF(((D779+E779)*C779)&lt;='Assumptions and Catalog'!$C$53,((D779+E779)*C779)*'Assumptions and Catalog'!$H$53+'Assumptions and Catalog'!$E$53+'Assumptions and Catalog'!$F$53,IF(((D779+E779)*C779)&lt;='Assumptions and Catalog'!$C$54,((D779+E779)*C779)*'Assumptions and Catalog'!$H$54+'Assumptions and Catalog'!$E$54+'Assumptions and Catalog'!$F$54,IF(((D779+E779)*C779)&lt;='Assumptions and Catalog'!$C$55,((D779+E779)*C779)*'Assumptions and Catalog'!$H$55+'Assumptions and Catalog'!$E$55+'Assumptions and Catalog'!$F$55,IF(((D779+E779)*C779)&lt;='Assumptions and Catalog'!$C$56,((D779+E779)*C779)*'Assumptions and Catalog'!$H$56+'Assumptions and Catalog'!$E$56+'Assumptions and Catalog'!$F$56,IF(((D779+E779)*C779)&lt;='Assumptions and Catalog'!$C$57,((D779+E779)*C779)*'Assumptions and Catalog'!$H$57+'Assumptions and Catalog'!$E$57+'Assumptions and Catalog'!$F$57,"Out of range")))))))),IF(((D779+E779)*C779)&lt;='Assumptions and Catalog'!$C$60,((D779+E779)*C779)*'Assumptions and Catalog'!$H$60+'Assumptions and Catalog'!$E$60+'Assumptions and Catalog'!$F$60,IF(((D779+E779)*C779)&lt;='Assumptions and Catalog'!$C$61,((D779+E779)*C779)*'Assumptions and Catalog'!$H$61+'Assumptions and Catalog'!$E$61+'Assumptions and Catalog'!$F$61,IF(((D779+E779)*C779)&lt;='Assumptions and Catalog'!$C$62,((D779+E779)*C779)*'Assumptions and Catalog'!$H$62+'Assumptions and Catalog'!$E$62+'Assumptions and Catalog'!$F$62,IF(((D779+E779)*C779)&lt;='Assumptions and Catalog'!$C$63,((D779+E779)*C779)*'Assumptions and Catalog'!$H$63+'Assumptions and Catalog'!$E$63+'Assumptions and Catalog'!$F$63,IF(((D779+E779)*C779)&lt;='Assumptions and Catalog'!$C$64,((D779+E779)*C779)*'Assumptions and Catalog'!$H$64+'Assumptions and Catalog'!$E$64+'Assumptions and Catalog'!$F$64,IF(((D779+E779)*C779)&lt;='Assumptions and Catalog'!$C$65,((D779+E779)*C779)*'Assumptions and Catalog'!$H$65+'Assumptions and Catalog'!$E$65+'Assumptions and Catalog'!$F$65,"Out of range")))))))))*(1+'Assumptions and Catalog'!$C$8)^(A779-1),0)</f>
        <v>8279</v>
      </c>
      <c r="N779" s="5">
        <f>IF(ISNUMBER(Inputs!$L$5),(IF(Inputs!$L$9="Actual flat rate",L779*Inputs!$L$10,IF(Inputs!$C$9="Residential",IF(L779&lt;='Assumptions and Catalog'!$C$50,L779*'Assumptions and Catalog'!$H$50+'Assumptions and Catalog'!$E$50+'Assumptions and Catalog'!$F$50,IF(L779&lt;='Assumptions and Catalog'!$C$51,L779*'Assumptions and Catalog'!$H$51+'Assumptions and Catalog'!$E$51+'Assumptions and Catalog'!$F$51,IF(L779&lt;='Assumptions and Catalog'!$C$52,L779*'Assumptions and Catalog'!$H$52+'Assumptions and Catalog'!$E$52+'Assumptions and Catalog'!$F$52,IF(L779&lt;='Assumptions and Catalog'!$C$53,L779*'Assumptions and Catalog'!$H$53+'Assumptions and Catalog'!$E$53+'Assumptions and Catalog'!$F$53,IF(L779&lt;='Assumptions and Catalog'!$C$54,L779*'Assumptions and Catalog'!$H$54+'Assumptions and Catalog'!$E$54+'Assumptions and Catalog'!$F$54,IF(L779&lt;='Assumptions and Catalog'!$C$55,L779*'Assumptions and Catalog'!$H$55+'Assumptions and Catalog'!$E$55+'Assumptions and Catalog'!$F$55,IF(L779&lt;='Assumptions and Catalog'!$C$56,L779*'Assumptions and Catalog'!$H$56+'Assumptions and Catalog'!$E$56+'Assumptions and Catalog'!$F$56,IF(L779&lt;='Assumptions and Catalog'!$C$57,L779*'Assumptions and Catalog'!$H$57+'Assumptions and Catalog'!$E$57+'Assumptions and Catalog'!$F$57,"Out of range")))))))),IF(L779&lt;='Assumptions and Catalog'!$C$60,L779*'Assumptions and Catalog'!$H$60+'Assumptions and Catalog'!$E$60+'Assumptions and Catalog'!$F$60,IF(L779&lt;='Assumptions and Catalog'!$C$61,L779*'Assumptions and Catalog'!$H$61+'Assumptions and Catalog'!$E$61+'Assumptions and Catalog'!$F$61,IF(L779&lt;='Assumptions and Catalog'!$C$62,L779*'Assumptions and Catalog'!$H$62+'Assumptions and Catalog'!$E$62+'Assumptions and Catalog'!$F$62,IF(L779&lt;='Assumptions and Catalog'!$C$63,L779*'Assumptions and Catalog'!$H$63+'Assumptions and Catalog'!$E$63+'Assumptions and Catalog'!$F$63,IF(L779&lt;='Assumptions and Catalog'!$C$64,L779*'Assumptions and Catalog'!$H$64+'Assumptions and Catalog'!$E$64+'Assumptions and Catalog'!$F$64,IF(L779&lt;='Assumptions and Catalog'!$C$65,L779*'Assumptions and Catalog'!$H$65+'Assumptions and Catalog'!$E$65+'Assumptions and Catalog'!$F$65,"Out of range")))))))))*(1+'Assumptions and Catalog'!$C$8)^(A779-1),0)</f>
        <v>5593.0117602416713</v>
      </c>
      <c r="O779" s="5">
        <f t="shared" si="55"/>
        <v>2685.9882397583287</v>
      </c>
      <c r="P779" s="5">
        <f>E$55*(1-L$14)*(1-'Assumptions and Catalog'!$C$23)^R779</f>
        <v>85.375770842127338</v>
      </c>
      <c r="Q779" s="5">
        <f>IF(ISNUMBER(Inputs!$L$5),(IF(Inputs!$L$9="Actual flat rate",((D779+E779)*C779-G779)*Inputs!$L$10,IF(Inputs!$C$9="Residential",IF(((D779+E779)*C779-G779)&lt;='Assumptions and Catalog'!$C$50,((D779+E779)*C779-G779)*'Assumptions and Catalog'!$H$50+'Assumptions and Catalog'!$E$50+'Assumptions and Catalog'!$F$50,IF(((D779+E779)*C779-G779)&lt;='Assumptions and Catalog'!$C$51,((D779+E779)*C779-G779)*'Assumptions and Catalog'!$H$51+'Assumptions and Catalog'!$E$51+'Assumptions and Catalog'!$F$51,IF(((D779+E779)*C779-G779)&lt;='Assumptions and Catalog'!$C$52,((D779+E779)*C779-G779)*'Assumptions and Catalog'!$H$52+'Assumptions and Catalog'!$E$52+'Assumptions and Catalog'!$F$52,IF(((D779+E779)*C779-G779)&lt;='Assumptions and Catalog'!$C$53,((D779+E779)*C779-G779)*'Assumptions and Catalog'!$H$53+'Assumptions and Catalog'!$E$53+'Assumptions and Catalog'!$F$53,IF(((D779+E779)*C779-G779)&lt;='Assumptions and Catalog'!$C$54,((D779+E779)*C779-G779)*'Assumptions and Catalog'!$H$54+'Assumptions and Catalog'!$E$54+'Assumptions and Catalog'!$F$54,IF(((D779+E779)*C779-G779)&lt;='Assumptions and Catalog'!$C$55,((D779+E779)*C779-G779)*'Assumptions and Catalog'!$H$55+'Assumptions and Catalog'!$E$55+'Assumptions and Catalog'!$F$55,IF(((D779+E779)*C779-G779)&lt;='Assumptions and Catalog'!$C$56,((D779+E779)*C779-G779)*'Assumptions and Catalog'!$H$56+'Assumptions and Catalog'!$E$56+'Assumptions and Catalog'!$F$56,IF(((D779+E779)*C779-G779)&lt;='Assumptions and Catalog'!$C$57,((D779+E779)*C779-G779)*'Assumptions and Catalog'!$H$57+'Assumptions and Catalog'!$E$57+'Assumptions and Catalog'!$F$57,"Out of range")))))))),IF(((D779+E779)*C779-G779)&lt;='Assumptions and Catalog'!$C$60,((D779+E779)*C779-G779)*'Assumptions and Catalog'!$H$60+'Assumptions and Catalog'!$E$60+'Assumptions and Catalog'!$F$60,IF(((D779+E779)*C779-G779)&lt;='Assumptions and Catalog'!$C$61,((D779+E779)*C779-G779)*'Assumptions and Catalog'!$H$61+'Assumptions and Catalog'!$E$61+'Assumptions and Catalog'!$F$61,IF(((D779+E779)*C779-G779)&lt;='Assumptions and Catalog'!$C$62,((D779+E779)*C779-G779)*'Assumptions and Catalog'!$H$62+'Assumptions and Catalog'!$E$62+'Assumptions and Catalog'!$F$62,IF(((D779+E779)*C779-G779)&lt;='Assumptions and Catalog'!$C$63,((D779+E779)*C779-G779)*'Assumptions and Catalog'!$H$63+'Assumptions and Catalog'!$E$63+'Assumptions and Catalog'!$F$63,IF(((D779+E779)*C779-G779)&lt;='Assumptions and Catalog'!$C$64,((D779+E779)*C779-G779)*'Assumptions and Catalog'!$H$64+'Assumptions and Catalog'!$E$64+'Assumptions and Catalog'!$F$64,IF(((D779+E779)*C779-G779)&lt;='Assumptions and Catalog'!$C$65,((D779+E779)*C779-G779)*'Assumptions and Catalog'!$H$65+'Assumptions and Catalog'!$E$65+'Assumptions and Catalog'!$F$65,"Out of range")))))))))*(1+'Assumptions and Catalog'!$C$8)^(A779-1),0)</f>
        <v>5593.0117602416713</v>
      </c>
      <c r="R779" s="5">
        <f>IF(AND('Assumptions and Catalog'!$C$19&gt;0,A779&gt;='Assumptions and Catalog'!$C$19),A779-'Assumptions and Catalog'!$C$19,A779-1)</f>
        <v>9</v>
      </c>
      <c r="S779" s="5">
        <f>F779+L779-(D779+E779)*C779-J779-K779-IF(E$52&gt;0,'Assumptions and Catalog'!$C$26*C779,0)</f>
        <v>0</v>
      </c>
      <c r="T779" s="5"/>
      <c r="U779" s="5"/>
    </row>
    <row r="780" spans="1:21" ht="23.1" customHeight="1" outlineLevel="1" x14ac:dyDescent="0.2">
      <c r="A780" s="5">
        <v>10</v>
      </c>
      <c r="B780" s="5">
        <v>12</v>
      </c>
      <c r="C780" s="5">
        <f>DAY(DATE('Assumptions and Catalog'!$C$24+A780-1,B780+1,0))</f>
        <v>31</v>
      </c>
      <c r="D780" s="5">
        <f>IF(ISNUMBER(Inputs!$L$5),Inputs!$L$5*Inputs!$L$6,0)</f>
        <v>40.35</v>
      </c>
      <c r="E780" s="5">
        <f>IF(ISNUMBER(Inputs!$L$5),Inputs!$L$5-D780,0)</f>
        <v>40.35</v>
      </c>
      <c r="F780" s="5">
        <f>E$51*'Assumptions and Catalog'!$C$31*C780*(1-'Assumptions and Catalog'!$C$10)^(A780-1)</f>
        <v>811.63628208762043</v>
      </c>
      <c r="G780" s="5">
        <f t="shared" si="52"/>
        <v>811.63628208762043</v>
      </c>
      <c r="H780" s="5">
        <f>I780/('Assumptions and Catalog'!$C$11*'Assumptions and Catalog'!$C$12)</f>
        <v>0</v>
      </c>
      <c r="I780" s="5">
        <f>MIN(E780*C780,P780*'Assumptions and Catalog'!$C$12*C780,(F780-G780)*'Assumptions and Catalog'!$C$11*'Assumptions and Catalog'!$C$12,E$56*'Assumptions and Catalog'!$C$14*'Assumptions and Catalog'!$C$11*'Assumptions and Catalog'!$C$12*C780,E$57*(24-'Assumptions and Catalog'!$C$13)*C780)</f>
        <v>0</v>
      </c>
      <c r="J780" s="5">
        <f t="shared" si="53"/>
        <v>0</v>
      </c>
      <c r="K780" s="5">
        <f t="shared" si="54"/>
        <v>0</v>
      </c>
      <c r="L780" s="5">
        <f>(D780+E780)*C780-G780-I780+0+IF(E$52&gt;0,'Assumptions and Catalog'!$C$26*C780,0)</f>
        <v>1690.0637179123798</v>
      </c>
      <c r="M780" s="5">
        <f>IF(ISNUMBER(Inputs!$L$5),(IF(Inputs!$L$9="Actual flat rate",((D780+E780)*C780)*Inputs!$L$10,IF(Inputs!$C$9="Residential",IF(((D780+E780)*C780)&lt;='Assumptions and Catalog'!$C$50,((D780+E780)*C780)*'Assumptions and Catalog'!$H$50+'Assumptions and Catalog'!$E$50+'Assumptions and Catalog'!$F$50,IF(((D780+E780)*C780)&lt;='Assumptions and Catalog'!$C$51,((D780+E780)*C780)*'Assumptions and Catalog'!$H$51+'Assumptions and Catalog'!$E$51+'Assumptions and Catalog'!$F$51,IF(((D780+E780)*C780)&lt;='Assumptions and Catalog'!$C$52,((D780+E780)*C780)*'Assumptions and Catalog'!$H$52+'Assumptions and Catalog'!$E$52+'Assumptions and Catalog'!$F$52,IF(((D780+E780)*C780)&lt;='Assumptions and Catalog'!$C$53,((D780+E780)*C780)*'Assumptions and Catalog'!$H$53+'Assumptions and Catalog'!$E$53+'Assumptions and Catalog'!$F$53,IF(((D780+E780)*C780)&lt;='Assumptions and Catalog'!$C$54,((D780+E780)*C780)*'Assumptions and Catalog'!$H$54+'Assumptions and Catalog'!$E$54+'Assumptions and Catalog'!$F$54,IF(((D780+E780)*C780)&lt;='Assumptions and Catalog'!$C$55,((D780+E780)*C780)*'Assumptions and Catalog'!$H$55+'Assumptions and Catalog'!$E$55+'Assumptions and Catalog'!$F$55,IF(((D780+E780)*C780)&lt;='Assumptions and Catalog'!$C$56,((D780+E780)*C780)*'Assumptions and Catalog'!$H$56+'Assumptions and Catalog'!$E$56+'Assumptions and Catalog'!$F$56,IF(((D780+E780)*C780)&lt;='Assumptions and Catalog'!$C$57,((D780+E780)*C780)*'Assumptions and Catalog'!$H$57+'Assumptions and Catalog'!$E$57+'Assumptions and Catalog'!$F$57,"Out of range")))))))),IF(((D780+E780)*C780)&lt;='Assumptions and Catalog'!$C$60,((D780+E780)*C780)*'Assumptions and Catalog'!$H$60+'Assumptions and Catalog'!$E$60+'Assumptions and Catalog'!$F$60,IF(((D780+E780)*C780)&lt;='Assumptions and Catalog'!$C$61,((D780+E780)*C780)*'Assumptions and Catalog'!$H$61+'Assumptions and Catalog'!$E$61+'Assumptions and Catalog'!$F$61,IF(((D780+E780)*C780)&lt;='Assumptions and Catalog'!$C$62,((D780+E780)*C780)*'Assumptions and Catalog'!$H$62+'Assumptions and Catalog'!$E$62+'Assumptions and Catalog'!$F$62,IF(((D780+E780)*C780)&lt;='Assumptions and Catalog'!$C$63,((D780+E780)*C780)*'Assumptions and Catalog'!$H$63+'Assumptions and Catalog'!$E$63+'Assumptions and Catalog'!$F$63,IF(((D780+E780)*C780)&lt;='Assumptions and Catalog'!$C$64,((D780+E780)*C780)*'Assumptions and Catalog'!$H$64+'Assumptions and Catalog'!$E$64+'Assumptions and Catalog'!$F$64,IF(((D780+E780)*C780)&lt;='Assumptions and Catalog'!$C$65,((D780+E780)*C780)*'Assumptions and Catalog'!$H$65+'Assumptions and Catalog'!$E$65+'Assumptions and Catalog'!$F$65,"Out of range")))))))))*(1+'Assumptions and Catalog'!$C$8)^(A780-1),0)</f>
        <v>8554.9666666666672</v>
      </c>
      <c r="N780" s="5">
        <f>IF(ISNUMBER(Inputs!$L$5),(IF(Inputs!$L$9="Actual flat rate",L780*Inputs!$L$10,IF(Inputs!$C$9="Residential",IF(L780&lt;='Assumptions and Catalog'!$C$50,L780*'Assumptions and Catalog'!$H$50+'Assumptions and Catalog'!$E$50+'Assumptions and Catalog'!$F$50,IF(L780&lt;='Assumptions and Catalog'!$C$51,L780*'Assumptions and Catalog'!$H$51+'Assumptions and Catalog'!$E$51+'Assumptions and Catalog'!$F$51,IF(L780&lt;='Assumptions and Catalog'!$C$52,L780*'Assumptions and Catalog'!$H$52+'Assumptions and Catalog'!$E$52+'Assumptions and Catalog'!$F$52,IF(L780&lt;='Assumptions and Catalog'!$C$53,L780*'Assumptions and Catalog'!$H$53+'Assumptions and Catalog'!$E$53+'Assumptions and Catalog'!$F$53,IF(L780&lt;='Assumptions and Catalog'!$C$54,L780*'Assumptions and Catalog'!$H$54+'Assumptions and Catalog'!$E$54+'Assumptions and Catalog'!$F$54,IF(L780&lt;='Assumptions and Catalog'!$C$55,L780*'Assumptions and Catalog'!$H$55+'Assumptions and Catalog'!$E$55+'Assumptions and Catalog'!$F$55,IF(L780&lt;='Assumptions and Catalog'!$C$56,L780*'Assumptions and Catalog'!$H$56+'Assumptions and Catalog'!$E$56+'Assumptions and Catalog'!$F$56,IF(L780&lt;='Assumptions and Catalog'!$C$57,L780*'Assumptions and Catalog'!$H$57+'Assumptions and Catalog'!$E$57+'Assumptions and Catalog'!$F$57,"Out of range")))))))),IF(L780&lt;='Assumptions and Catalog'!$C$60,L780*'Assumptions and Catalog'!$H$60+'Assumptions and Catalog'!$E$60+'Assumptions and Catalog'!$F$60,IF(L780&lt;='Assumptions and Catalog'!$C$61,L780*'Assumptions and Catalog'!$H$61+'Assumptions and Catalog'!$E$61+'Assumptions and Catalog'!$F$61,IF(L780&lt;='Assumptions and Catalog'!$C$62,L780*'Assumptions and Catalog'!$H$62+'Assumptions and Catalog'!$E$62+'Assumptions and Catalog'!$F$62,IF(L780&lt;='Assumptions and Catalog'!$C$63,L780*'Assumptions and Catalog'!$H$63+'Assumptions and Catalog'!$E$63+'Assumptions and Catalog'!$F$63,IF(L780&lt;='Assumptions and Catalog'!$C$64,L780*'Assumptions and Catalog'!$H$64+'Assumptions and Catalog'!$E$64+'Assumptions and Catalog'!$F$64,IF(L780&lt;='Assumptions and Catalog'!$C$65,L780*'Assumptions and Catalog'!$H$65+'Assumptions and Catalog'!$E$65+'Assumptions and Catalog'!$F$65,"Out of range")))))))))*(1+'Assumptions and Catalog'!$C$8)^(A780-1),0)</f>
        <v>5779.4454855830618</v>
      </c>
      <c r="O780" s="5">
        <f t="shared" si="55"/>
        <v>2775.5211810836054</v>
      </c>
      <c r="P780" s="5">
        <f>E$55*(1-L$14)*(1-'Assumptions and Catalog'!$C$23)^R780</f>
        <v>85.375770842127338</v>
      </c>
      <c r="Q780" s="5">
        <f>IF(ISNUMBER(Inputs!$L$5),(IF(Inputs!$L$9="Actual flat rate",((D780+E780)*C780-G780)*Inputs!$L$10,IF(Inputs!$C$9="Residential",IF(((D780+E780)*C780-G780)&lt;='Assumptions and Catalog'!$C$50,((D780+E780)*C780-G780)*'Assumptions and Catalog'!$H$50+'Assumptions and Catalog'!$E$50+'Assumptions and Catalog'!$F$50,IF(((D780+E780)*C780-G780)&lt;='Assumptions and Catalog'!$C$51,((D780+E780)*C780-G780)*'Assumptions and Catalog'!$H$51+'Assumptions and Catalog'!$E$51+'Assumptions and Catalog'!$F$51,IF(((D780+E780)*C780-G780)&lt;='Assumptions and Catalog'!$C$52,((D780+E780)*C780-G780)*'Assumptions and Catalog'!$H$52+'Assumptions and Catalog'!$E$52+'Assumptions and Catalog'!$F$52,IF(((D780+E780)*C780-G780)&lt;='Assumptions and Catalog'!$C$53,((D780+E780)*C780-G780)*'Assumptions and Catalog'!$H$53+'Assumptions and Catalog'!$E$53+'Assumptions and Catalog'!$F$53,IF(((D780+E780)*C780-G780)&lt;='Assumptions and Catalog'!$C$54,((D780+E780)*C780-G780)*'Assumptions and Catalog'!$H$54+'Assumptions and Catalog'!$E$54+'Assumptions and Catalog'!$F$54,IF(((D780+E780)*C780-G780)&lt;='Assumptions and Catalog'!$C$55,((D780+E780)*C780-G780)*'Assumptions and Catalog'!$H$55+'Assumptions and Catalog'!$E$55+'Assumptions and Catalog'!$F$55,IF(((D780+E780)*C780-G780)&lt;='Assumptions and Catalog'!$C$56,((D780+E780)*C780-G780)*'Assumptions and Catalog'!$H$56+'Assumptions and Catalog'!$E$56+'Assumptions and Catalog'!$F$56,IF(((D780+E780)*C780-G780)&lt;='Assumptions and Catalog'!$C$57,((D780+E780)*C780-G780)*'Assumptions and Catalog'!$H$57+'Assumptions and Catalog'!$E$57+'Assumptions and Catalog'!$F$57,"Out of range")))))))),IF(((D780+E780)*C780-G780)&lt;='Assumptions and Catalog'!$C$60,((D780+E780)*C780-G780)*'Assumptions and Catalog'!$H$60+'Assumptions and Catalog'!$E$60+'Assumptions and Catalog'!$F$60,IF(((D780+E780)*C780-G780)&lt;='Assumptions and Catalog'!$C$61,((D780+E780)*C780-G780)*'Assumptions and Catalog'!$H$61+'Assumptions and Catalog'!$E$61+'Assumptions and Catalog'!$F$61,IF(((D780+E780)*C780-G780)&lt;='Assumptions and Catalog'!$C$62,((D780+E780)*C780-G780)*'Assumptions and Catalog'!$H$62+'Assumptions and Catalog'!$E$62+'Assumptions and Catalog'!$F$62,IF(((D780+E780)*C780-G780)&lt;='Assumptions and Catalog'!$C$63,((D780+E780)*C780-G780)*'Assumptions and Catalog'!$H$63+'Assumptions and Catalog'!$E$63+'Assumptions and Catalog'!$F$63,IF(((D780+E780)*C780-G780)&lt;='Assumptions and Catalog'!$C$64,((D780+E780)*C780-G780)*'Assumptions and Catalog'!$H$64+'Assumptions and Catalog'!$E$64+'Assumptions and Catalog'!$F$64,IF(((D780+E780)*C780-G780)&lt;='Assumptions and Catalog'!$C$65,((D780+E780)*C780-G780)*'Assumptions and Catalog'!$H$65+'Assumptions and Catalog'!$E$65+'Assumptions and Catalog'!$F$65,"Out of range")))))))))*(1+'Assumptions and Catalog'!$C$8)^(A780-1),0)</f>
        <v>5779.4454855830618</v>
      </c>
      <c r="R780" s="5">
        <f>IF(AND('Assumptions and Catalog'!$C$19&gt;0,A780&gt;='Assumptions and Catalog'!$C$19),A780-'Assumptions and Catalog'!$C$19,A780-1)</f>
        <v>9</v>
      </c>
      <c r="S780" s="5">
        <f>F780+L780-(D780+E780)*C780-J780-K780-IF(E$52&gt;0,'Assumptions and Catalog'!$C$26*C780,0)</f>
        <v>0</v>
      </c>
      <c r="T780" s="5"/>
      <c r="U780" s="5"/>
    </row>
    <row r="781" spans="1:21" ht="23.1" customHeight="1" outlineLevel="1" x14ac:dyDescent="0.2">
      <c r="A781" s="5">
        <v>11</v>
      </c>
      <c r="B781" s="5">
        <v>1</v>
      </c>
      <c r="C781" s="5">
        <f>DAY(DATE('Assumptions and Catalog'!$C$24+A781-1,B781+1,0))</f>
        <v>31</v>
      </c>
      <c r="D781" s="5">
        <f>IF(ISNUMBER(Inputs!$L$5),Inputs!$L$5*Inputs!$L$6,0)</f>
        <v>40.35</v>
      </c>
      <c r="E781" s="5">
        <f>IF(ISNUMBER(Inputs!$L$5),Inputs!$L$5-D781,0)</f>
        <v>40.35</v>
      </c>
      <c r="F781" s="5">
        <f>E$51*'Assumptions and Catalog'!$C$31*C781*(1-'Assumptions and Catalog'!$C$10)^(A781-1)</f>
        <v>807.57810067718231</v>
      </c>
      <c r="G781" s="5">
        <f t="shared" si="52"/>
        <v>807.57810067718231</v>
      </c>
      <c r="H781" s="5">
        <f>I781/('Assumptions and Catalog'!$C$11*'Assumptions and Catalog'!$C$12)</f>
        <v>0</v>
      </c>
      <c r="I781" s="5">
        <f>MIN(E781*C781,P781*'Assumptions and Catalog'!$C$12*C781,(F781-G781)*'Assumptions and Catalog'!$C$11*'Assumptions and Catalog'!$C$12,E$56*'Assumptions and Catalog'!$C$14*'Assumptions and Catalog'!$C$11*'Assumptions and Catalog'!$C$12*C781,E$57*(24-'Assumptions and Catalog'!$C$13)*C781)</f>
        <v>0</v>
      </c>
      <c r="J781" s="5">
        <f t="shared" si="53"/>
        <v>0</v>
      </c>
      <c r="K781" s="5">
        <f t="shared" si="54"/>
        <v>0</v>
      </c>
      <c r="L781" s="5">
        <f>(D781+E781)*C781-G781-I781+0+IF(E$52&gt;0,'Assumptions and Catalog'!$C$26*C781,0)</f>
        <v>1694.1218993228181</v>
      </c>
      <c r="M781" s="5">
        <f>IF(ISNUMBER(Inputs!$L$5),(IF(Inputs!$L$9="Actual flat rate",((D781+E781)*C781)*Inputs!$L$10,IF(Inputs!$C$9="Residential",IF(((D781+E781)*C781)&lt;='Assumptions and Catalog'!$C$50,((D781+E781)*C781)*'Assumptions and Catalog'!$H$50+'Assumptions and Catalog'!$E$50+'Assumptions and Catalog'!$F$50,IF(((D781+E781)*C781)&lt;='Assumptions and Catalog'!$C$51,((D781+E781)*C781)*'Assumptions and Catalog'!$H$51+'Assumptions and Catalog'!$E$51+'Assumptions and Catalog'!$F$51,IF(((D781+E781)*C781)&lt;='Assumptions and Catalog'!$C$52,((D781+E781)*C781)*'Assumptions and Catalog'!$H$52+'Assumptions and Catalog'!$E$52+'Assumptions and Catalog'!$F$52,IF(((D781+E781)*C781)&lt;='Assumptions and Catalog'!$C$53,((D781+E781)*C781)*'Assumptions and Catalog'!$H$53+'Assumptions and Catalog'!$E$53+'Assumptions and Catalog'!$F$53,IF(((D781+E781)*C781)&lt;='Assumptions and Catalog'!$C$54,((D781+E781)*C781)*'Assumptions and Catalog'!$H$54+'Assumptions and Catalog'!$E$54+'Assumptions and Catalog'!$F$54,IF(((D781+E781)*C781)&lt;='Assumptions and Catalog'!$C$55,((D781+E781)*C781)*'Assumptions and Catalog'!$H$55+'Assumptions and Catalog'!$E$55+'Assumptions and Catalog'!$F$55,IF(((D781+E781)*C781)&lt;='Assumptions and Catalog'!$C$56,((D781+E781)*C781)*'Assumptions and Catalog'!$H$56+'Assumptions and Catalog'!$E$56+'Assumptions and Catalog'!$F$56,IF(((D781+E781)*C781)&lt;='Assumptions and Catalog'!$C$57,((D781+E781)*C781)*'Assumptions and Catalog'!$H$57+'Assumptions and Catalog'!$E$57+'Assumptions and Catalog'!$F$57,"Out of range")))))))),IF(((D781+E781)*C781)&lt;='Assumptions and Catalog'!$C$60,((D781+E781)*C781)*'Assumptions and Catalog'!$H$60+'Assumptions and Catalog'!$E$60+'Assumptions and Catalog'!$F$60,IF(((D781+E781)*C781)&lt;='Assumptions and Catalog'!$C$61,((D781+E781)*C781)*'Assumptions and Catalog'!$H$61+'Assumptions and Catalog'!$E$61+'Assumptions and Catalog'!$F$61,IF(((D781+E781)*C781)&lt;='Assumptions and Catalog'!$C$62,((D781+E781)*C781)*'Assumptions and Catalog'!$H$62+'Assumptions and Catalog'!$E$62+'Assumptions and Catalog'!$F$62,IF(((D781+E781)*C781)&lt;='Assumptions and Catalog'!$C$63,((D781+E781)*C781)*'Assumptions and Catalog'!$H$63+'Assumptions and Catalog'!$E$63+'Assumptions and Catalog'!$F$63,IF(((D781+E781)*C781)&lt;='Assumptions and Catalog'!$C$64,((D781+E781)*C781)*'Assumptions and Catalog'!$H$64+'Assumptions and Catalog'!$E$64+'Assumptions and Catalog'!$F$64,IF(((D781+E781)*C781)&lt;='Assumptions and Catalog'!$C$65,((D781+E781)*C781)*'Assumptions and Catalog'!$H$65+'Assumptions and Catalog'!$E$65+'Assumptions and Catalog'!$F$65,"Out of range")))))))))*(1+'Assumptions and Catalog'!$C$8)^(A781-1),0)</f>
        <v>8554.9666666666672</v>
      </c>
      <c r="N781" s="5">
        <f>IF(ISNUMBER(Inputs!$L$5),(IF(Inputs!$L$9="Actual flat rate",L781*Inputs!$L$10,IF(Inputs!$C$9="Residential",IF(L781&lt;='Assumptions and Catalog'!$C$50,L781*'Assumptions and Catalog'!$H$50+'Assumptions and Catalog'!$E$50+'Assumptions and Catalog'!$F$50,IF(L781&lt;='Assumptions and Catalog'!$C$51,L781*'Assumptions and Catalog'!$H$51+'Assumptions and Catalog'!$E$51+'Assumptions and Catalog'!$F$51,IF(L781&lt;='Assumptions and Catalog'!$C$52,L781*'Assumptions and Catalog'!$H$52+'Assumptions and Catalog'!$E$52+'Assumptions and Catalog'!$F$52,IF(L781&lt;='Assumptions and Catalog'!$C$53,L781*'Assumptions and Catalog'!$H$53+'Assumptions and Catalog'!$E$53+'Assumptions and Catalog'!$F$53,IF(L781&lt;='Assumptions and Catalog'!$C$54,L781*'Assumptions and Catalog'!$H$54+'Assumptions and Catalog'!$E$54+'Assumptions and Catalog'!$F$54,IF(L781&lt;='Assumptions and Catalog'!$C$55,L781*'Assumptions and Catalog'!$H$55+'Assumptions and Catalog'!$E$55+'Assumptions and Catalog'!$F$55,IF(L781&lt;='Assumptions and Catalog'!$C$56,L781*'Assumptions and Catalog'!$H$56+'Assumptions and Catalog'!$E$56+'Assumptions and Catalog'!$F$56,IF(L781&lt;='Assumptions and Catalog'!$C$57,L781*'Assumptions and Catalog'!$H$57+'Assumptions and Catalog'!$E$57+'Assumptions and Catalog'!$F$57,"Out of range")))))))),IF(L781&lt;='Assumptions and Catalog'!$C$60,L781*'Assumptions and Catalog'!$H$60+'Assumptions and Catalog'!$E$60+'Assumptions and Catalog'!$F$60,IF(L781&lt;='Assumptions and Catalog'!$C$61,L781*'Assumptions and Catalog'!$H$61+'Assumptions and Catalog'!$E$61+'Assumptions and Catalog'!$F$61,IF(L781&lt;='Assumptions and Catalog'!$C$62,L781*'Assumptions and Catalog'!$H$62+'Assumptions and Catalog'!$E$62+'Assumptions and Catalog'!$F$62,IF(L781&lt;='Assumptions and Catalog'!$C$63,L781*'Assumptions and Catalog'!$H$63+'Assumptions and Catalog'!$E$63+'Assumptions and Catalog'!$F$63,IF(L781&lt;='Assumptions and Catalog'!$C$64,L781*'Assumptions and Catalog'!$H$64+'Assumptions and Catalog'!$E$64+'Assumptions and Catalog'!$F$64,IF(L781&lt;='Assumptions and Catalog'!$C$65,L781*'Assumptions and Catalog'!$H$65+'Assumptions and Catalog'!$E$65+'Assumptions and Catalog'!$F$65,"Out of range")))))))))*(1+'Assumptions and Catalog'!$C$8)^(A781-1),0)</f>
        <v>5793.3230914884798</v>
      </c>
      <c r="O781" s="5">
        <f t="shared" si="55"/>
        <v>2761.6435751781873</v>
      </c>
      <c r="P781" s="5">
        <f>E$55*(1-L$14)*(1-'Assumptions and Catalog'!$C$23)^R781</f>
        <v>102.4</v>
      </c>
      <c r="Q781" s="5">
        <f>IF(ISNUMBER(Inputs!$L$5),(IF(Inputs!$L$9="Actual flat rate",((D781+E781)*C781-G781)*Inputs!$L$10,IF(Inputs!$C$9="Residential",IF(((D781+E781)*C781-G781)&lt;='Assumptions and Catalog'!$C$50,((D781+E781)*C781-G781)*'Assumptions and Catalog'!$H$50+'Assumptions and Catalog'!$E$50+'Assumptions and Catalog'!$F$50,IF(((D781+E781)*C781-G781)&lt;='Assumptions and Catalog'!$C$51,((D781+E781)*C781-G781)*'Assumptions and Catalog'!$H$51+'Assumptions and Catalog'!$E$51+'Assumptions and Catalog'!$F$51,IF(((D781+E781)*C781-G781)&lt;='Assumptions and Catalog'!$C$52,((D781+E781)*C781-G781)*'Assumptions and Catalog'!$H$52+'Assumptions and Catalog'!$E$52+'Assumptions and Catalog'!$F$52,IF(((D781+E781)*C781-G781)&lt;='Assumptions and Catalog'!$C$53,((D781+E781)*C781-G781)*'Assumptions and Catalog'!$H$53+'Assumptions and Catalog'!$E$53+'Assumptions and Catalog'!$F$53,IF(((D781+E781)*C781-G781)&lt;='Assumptions and Catalog'!$C$54,((D781+E781)*C781-G781)*'Assumptions and Catalog'!$H$54+'Assumptions and Catalog'!$E$54+'Assumptions and Catalog'!$F$54,IF(((D781+E781)*C781-G781)&lt;='Assumptions and Catalog'!$C$55,((D781+E781)*C781-G781)*'Assumptions and Catalog'!$H$55+'Assumptions and Catalog'!$E$55+'Assumptions and Catalog'!$F$55,IF(((D781+E781)*C781-G781)&lt;='Assumptions and Catalog'!$C$56,((D781+E781)*C781-G781)*'Assumptions and Catalog'!$H$56+'Assumptions and Catalog'!$E$56+'Assumptions and Catalog'!$F$56,IF(((D781+E781)*C781-G781)&lt;='Assumptions and Catalog'!$C$57,((D781+E781)*C781-G781)*'Assumptions and Catalog'!$H$57+'Assumptions and Catalog'!$E$57+'Assumptions and Catalog'!$F$57,"Out of range")))))))),IF(((D781+E781)*C781-G781)&lt;='Assumptions and Catalog'!$C$60,((D781+E781)*C781-G781)*'Assumptions and Catalog'!$H$60+'Assumptions and Catalog'!$E$60+'Assumptions and Catalog'!$F$60,IF(((D781+E781)*C781-G781)&lt;='Assumptions and Catalog'!$C$61,((D781+E781)*C781-G781)*'Assumptions and Catalog'!$H$61+'Assumptions and Catalog'!$E$61+'Assumptions and Catalog'!$F$61,IF(((D781+E781)*C781-G781)&lt;='Assumptions and Catalog'!$C$62,((D781+E781)*C781-G781)*'Assumptions and Catalog'!$H$62+'Assumptions and Catalog'!$E$62+'Assumptions and Catalog'!$F$62,IF(((D781+E781)*C781-G781)&lt;='Assumptions and Catalog'!$C$63,((D781+E781)*C781-G781)*'Assumptions and Catalog'!$H$63+'Assumptions and Catalog'!$E$63+'Assumptions and Catalog'!$F$63,IF(((D781+E781)*C781-G781)&lt;='Assumptions and Catalog'!$C$64,((D781+E781)*C781-G781)*'Assumptions and Catalog'!$H$64+'Assumptions and Catalog'!$E$64+'Assumptions and Catalog'!$F$64,IF(((D781+E781)*C781-G781)&lt;='Assumptions and Catalog'!$C$65,((D781+E781)*C781-G781)*'Assumptions and Catalog'!$H$65+'Assumptions and Catalog'!$E$65+'Assumptions and Catalog'!$F$65,"Out of range")))))))))*(1+'Assumptions and Catalog'!$C$8)^(A781-1),0)</f>
        <v>5793.3230914884798</v>
      </c>
      <c r="R781" s="5">
        <f>IF(AND('Assumptions and Catalog'!$C$19&gt;0,A781&gt;='Assumptions and Catalog'!$C$19),A781-'Assumptions and Catalog'!$C$19,A781-1)</f>
        <v>0</v>
      </c>
      <c r="S781" s="5">
        <f>F781+L781-(D781+E781)*C781-J781-K781-IF(E$52&gt;0,'Assumptions and Catalog'!$C$26*C781,0)</f>
        <v>0</v>
      </c>
      <c r="T781" s="5"/>
      <c r="U781" s="5"/>
    </row>
    <row r="782" spans="1:21" ht="23.1" customHeight="1" outlineLevel="1" x14ac:dyDescent="0.2">
      <c r="A782" s="5">
        <v>11</v>
      </c>
      <c r="B782" s="5">
        <v>2</v>
      </c>
      <c r="C782" s="5">
        <f>DAY(DATE('Assumptions and Catalog'!$C$24+A782-1,B782+1,0))</f>
        <v>28</v>
      </c>
      <c r="D782" s="5">
        <f>IF(ISNUMBER(Inputs!$L$5),Inputs!$L$5*Inputs!$L$6,0)</f>
        <v>40.35</v>
      </c>
      <c r="E782" s="5">
        <f>IF(ISNUMBER(Inputs!$L$5),Inputs!$L$5-D782,0)</f>
        <v>40.35</v>
      </c>
      <c r="F782" s="5">
        <f>E$51*'Assumptions and Catalog'!$C$31*C782*(1-'Assumptions and Catalog'!$C$10)^(A782-1)</f>
        <v>729.42538125680994</v>
      </c>
      <c r="G782" s="5">
        <f t="shared" si="52"/>
        <v>729.42538125680994</v>
      </c>
      <c r="H782" s="5">
        <f>I782/('Assumptions and Catalog'!$C$11*'Assumptions and Catalog'!$C$12)</f>
        <v>0</v>
      </c>
      <c r="I782" s="5">
        <f>MIN(E782*C782,P782*'Assumptions and Catalog'!$C$12*C782,(F782-G782)*'Assumptions and Catalog'!$C$11*'Assumptions and Catalog'!$C$12,E$56*'Assumptions and Catalog'!$C$14*'Assumptions and Catalog'!$C$11*'Assumptions and Catalog'!$C$12*C782,E$57*(24-'Assumptions and Catalog'!$C$13)*C782)</f>
        <v>0</v>
      </c>
      <c r="J782" s="5">
        <f t="shared" si="53"/>
        <v>0</v>
      </c>
      <c r="K782" s="5">
        <f t="shared" si="54"/>
        <v>0</v>
      </c>
      <c r="L782" s="5">
        <f>(D782+E782)*C782-G782-I782+0+IF(E$52&gt;0,'Assumptions and Catalog'!$C$26*C782,0)</f>
        <v>1530.17461874319</v>
      </c>
      <c r="M782" s="5">
        <f>IF(ISNUMBER(Inputs!$L$5),(IF(Inputs!$L$9="Actual flat rate",((D782+E782)*C782)*Inputs!$L$10,IF(Inputs!$C$9="Residential",IF(((D782+E782)*C782)&lt;='Assumptions and Catalog'!$C$50,((D782+E782)*C782)*'Assumptions and Catalog'!$H$50+'Assumptions and Catalog'!$E$50+'Assumptions and Catalog'!$F$50,IF(((D782+E782)*C782)&lt;='Assumptions and Catalog'!$C$51,((D782+E782)*C782)*'Assumptions and Catalog'!$H$51+'Assumptions and Catalog'!$E$51+'Assumptions and Catalog'!$F$51,IF(((D782+E782)*C782)&lt;='Assumptions and Catalog'!$C$52,((D782+E782)*C782)*'Assumptions and Catalog'!$H$52+'Assumptions and Catalog'!$E$52+'Assumptions and Catalog'!$F$52,IF(((D782+E782)*C782)&lt;='Assumptions and Catalog'!$C$53,((D782+E782)*C782)*'Assumptions and Catalog'!$H$53+'Assumptions and Catalog'!$E$53+'Assumptions and Catalog'!$F$53,IF(((D782+E782)*C782)&lt;='Assumptions and Catalog'!$C$54,((D782+E782)*C782)*'Assumptions and Catalog'!$H$54+'Assumptions and Catalog'!$E$54+'Assumptions and Catalog'!$F$54,IF(((D782+E782)*C782)&lt;='Assumptions and Catalog'!$C$55,((D782+E782)*C782)*'Assumptions and Catalog'!$H$55+'Assumptions and Catalog'!$E$55+'Assumptions and Catalog'!$F$55,IF(((D782+E782)*C782)&lt;='Assumptions and Catalog'!$C$56,((D782+E782)*C782)*'Assumptions and Catalog'!$H$56+'Assumptions and Catalog'!$E$56+'Assumptions and Catalog'!$F$56,IF(((D782+E782)*C782)&lt;='Assumptions and Catalog'!$C$57,((D782+E782)*C782)*'Assumptions and Catalog'!$H$57+'Assumptions and Catalog'!$E$57+'Assumptions and Catalog'!$F$57,"Out of range")))))))),IF(((D782+E782)*C782)&lt;='Assumptions and Catalog'!$C$60,((D782+E782)*C782)*'Assumptions and Catalog'!$H$60+'Assumptions and Catalog'!$E$60+'Assumptions and Catalog'!$F$60,IF(((D782+E782)*C782)&lt;='Assumptions and Catalog'!$C$61,((D782+E782)*C782)*'Assumptions and Catalog'!$H$61+'Assumptions and Catalog'!$E$61+'Assumptions and Catalog'!$F$61,IF(((D782+E782)*C782)&lt;='Assumptions and Catalog'!$C$62,((D782+E782)*C782)*'Assumptions and Catalog'!$H$62+'Assumptions and Catalog'!$E$62+'Assumptions and Catalog'!$F$62,IF(((D782+E782)*C782)&lt;='Assumptions and Catalog'!$C$63,((D782+E782)*C782)*'Assumptions and Catalog'!$H$63+'Assumptions and Catalog'!$E$63+'Assumptions and Catalog'!$F$63,IF(((D782+E782)*C782)&lt;='Assumptions and Catalog'!$C$64,((D782+E782)*C782)*'Assumptions and Catalog'!$H$64+'Assumptions and Catalog'!$E$64+'Assumptions and Catalog'!$F$64,IF(((D782+E782)*C782)&lt;='Assumptions and Catalog'!$C$65,((D782+E782)*C782)*'Assumptions and Catalog'!$H$65+'Assumptions and Catalog'!$E$65+'Assumptions and Catalog'!$F$65,"Out of range")))))))))*(1+'Assumptions and Catalog'!$C$8)^(A782-1),0)</f>
        <v>7727.0666666666657</v>
      </c>
      <c r="N782" s="5">
        <f>IF(ISNUMBER(Inputs!$L$5),(IF(Inputs!$L$9="Actual flat rate",L782*Inputs!$L$10,IF(Inputs!$C$9="Residential",IF(L782&lt;='Assumptions and Catalog'!$C$50,L782*'Assumptions and Catalog'!$H$50+'Assumptions and Catalog'!$E$50+'Assumptions and Catalog'!$F$50,IF(L782&lt;='Assumptions and Catalog'!$C$51,L782*'Assumptions and Catalog'!$H$51+'Assumptions and Catalog'!$E$51+'Assumptions and Catalog'!$F$51,IF(L782&lt;='Assumptions and Catalog'!$C$52,L782*'Assumptions and Catalog'!$H$52+'Assumptions and Catalog'!$E$52+'Assumptions and Catalog'!$F$52,IF(L782&lt;='Assumptions and Catalog'!$C$53,L782*'Assumptions and Catalog'!$H$53+'Assumptions and Catalog'!$E$53+'Assumptions and Catalog'!$F$53,IF(L782&lt;='Assumptions and Catalog'!$C$54,L782*'Assumptions and Catalog'!$H$54+'Assumptions and Catalog'!$E$54+'Assumptions and Catalog'!$F$54,IF(L782&lt;='Assumptions and Catalog'!$C$55,L782*'Assumptions and Catalog'!$H$55+'Assumptions and Catalog'!$E$55+'Assumptions and Catalog'!$F$55,IF(L782&lt;='Assumptions and Catalog'!$C$56,L782*'Assumptions and Catalog'!$H$56+'Assumptions and Catalog'!$E$56+'Assumptions and Catalog'!$F$56,IF(L782&lt;='Assumptions and Catalog'!$C$57,L782*'Assumptions and Catalog'!$H$57+'Assumptions and Catalog'!$E$57+'Assumptions and Catalog'!$F$57,"Out of range")))))))),IF(L782&lt;='Assumptions and Catalog'!$C$60,L782*'Assumptions and Catalog'!$H$60+'Assumptions and Catalog'!$E$60+'Assumptions and Catalog'!$F$60,IF(L782&lt;='Assumptions and Catalog'!$C$61,L782*'Assumptions and Catalog'!$H$61+'Assumptions and Catalog'!$E$61+'Assumptions and Catalog'!$F$61,IF(L782&lt;='Assumptions and Catalog'!$C$62,L782*'Assumptions and Catalog'!$H$62+'Assumptions and Catalog'!$E$62+'Assumptions and Catalog'!$F$62,IF(L782&lt;='Assumptions and Catalog'!$C$63,L782*'Assumptions and Catalog'!$H$63+'Assumptions and Catalog'!$E$63+'Assumptions and Catalog'!$F$63,IF(L782&lt;='Assumptions and Catalog'!$C$64,L782*'Assumptions and Catalog'!$H$64+'Assumptions and Catalog'!$E$64+'Assumptions and Catalog'!$F$64,IF(L782&lt;='Assumptions and Catalog'!$C$65,L782*'Assumptions and Catalog'!$H$65+'Assumptions and Catalog'!$E$65+'Assumptions and Catalog'!$F$65,"Out of range")))))))))*(1+'Assumptions and Catalog'!$C$8)^(A782-1),0)</f>
        <v>5232.6789213444317</v>
      </c>
      <c r="O782" s="5">
        <f t="shared" si="55"/>
        <v>2494.387745322234</v>
      </c>
      <c r="P782" s="5">
        <f>E$55*(1-L$14)*(1-'Assumptions and Catalog'!$C$23)^R782</f>
        <v>102.4</v>
      </c>
      <c r="Q782" s="5">
        <f>IF(ISNUMBER(Inputs!$L$5),(IF(Inputs!$L$9="Actual flat rate",((D782+E782)*C782-G782)*Inputs!$L$10,IF(Inputs!$C$9="Residential",IF(((D782+E782)*C782-G782)&lt;='Assumptions and Catalog'!$C$50,((D782+E782)*C782-G782)*'Assumptions and Catalog'!$H$50+'Assumptions and Catalog'!$E$50+'Assumptions and Catalog'!$F$50,IF(((D782+E782)*C782-G782)&lt;='Assumptions and Catalog'!$C$51,((D782+E782)*C782-G782)*'Assumptions and Catalog'!$H$51+'Assumptions and Catalog'!$E$51+'Assumptions and Catalog'!$F$51,IF(((D782+E782)*C782-G782)&lt;='Assumptions and Catalog'!$C$52,((D782+E782)*C782-G782)*'Assumptions and Catalog'!$H$52+'Assumptions and Catalog'!$E$52+'Assumptions and Catalog'!$F$52,IF(((D782+E782)*C782-G782)&lt;='Assumptions and Catalog'!$C$53,((D782+E782)*C782-G782)*'Assumptions and Catalog'!$H$53+'Assumptions and Catalog'!$E$53+'Assumptions and Catalog'!$F$53,IF(((D782+E782)*C782-G782)&lt;='Assumptions and Catalog'!$C$54,((D782+E782)*C782-G782)*'Assumptions and Catalog'!$H$54+'Assumptions and Catalog'!$E$54+'Assumptions and Catalog'!$F$54,IF(((D782+E782)*C782-G782)&lt;='Assumptions and Catalog'!$C$55,((D782+E782)*C782-G782)*'Assumptions and Catalog'!$H$55+'Assumptions and Catalog'!$E$55+'Assumptions and Catalog'!$F$55,IF(((D782+E782)*C782-G782)&lt;='Assumptions and Catalog'!$C$56,((D782+E782)*C782-G782)*'Assumptions and Catalog'!$H$56+'Assumptions and Catalog'!$E$56+'Assumptions and Catalog'!$F$56,IF(((D782+E782)*C782-G782)&lt;='Assumptions and Catalog'!$C$57,((D782+E782)*C782-G782)*'Assumptions and Catalog'!$H$57+'Assumptions and Catalog'!$E$57+'Assumptions and Catalog'!$F$57,"Out of range")))))))),IF(((D782+E782)*C782-G782)&lt;='Assumptions and Catalog'!$C$60,((D782+E782)*C782-G782)*'Assumptions and Catalog'!$H$60+'Assumptions and Catalog'!$E$60+'Assumptions and Catalog'!$F$60,IF(((D782+E782)*C782-G782)&lt;='Assumptions and Catalog'!$C$61,((D782+E782)*C782-G782)*'Assumptions and Catalog'!$H$61+'Assumptions and Catalog'!$E$61+'Assumptions and Catalog'!$F$61,IF(((D782+E782)*C782-G782)&lt;='Assumptions and Catalog'!$C$62,((D782+E782)*C782-G782)*'Assumptions and Catalog'!$H$62+'Assumptions and Catalog'!$E$62+'Assumptions and Catalog'!$F$62,IF(((D782+E782)*C782-G782)&lt;='Assumptions and Catalog'!$C$63,((D782+E782)*C782-G782)*'Assumptions and Catalog'!$H$63+'Assumptions and Catalog'!$E$63+'Assumptions and Catalog'!$F$63,IF(((D782+E782)*C782-G782)&lt;='Assumptions and Catalog'!$C$64,((D782+E782)*C782-G782)*'Assumptions and Catalog'!$H$64+'Assumptions and Catalog'!$E$64+'Assumptions and Catalog'!$F$64,IF(((D782+E782)*C782-G782)&lt;='Assumptions and Catalog'!$C$65,((D782+E782)*C782-G782)*'Assumptions and Catalog'!$H$65+'Assumptions and Catalog'!$E$65+'Assumptions and Catalog'!$F$65,"Out of range")))))))))*(1+'Assumptions and Catalog'!$C$8)^(A782-1),0)</f>
        <v>5232.6789213444317</v>
      </c>
      <c r="R782" s="5">
        <f>IF(AND('Assumptions and Catalog'!$C$19&gt;0,A782&gt;='Assumptions and Catalog'!$C$19),A782-'Assumptions and Catalog'!$C$19,A782-1)</f>
        <v>0</v>
      </c>
      <c r="S782" s="5">
        <f>F782+L782-(D782+E782)*C782-J782-K782-IF(E$52&gt;0,'Assumptions and Catalog'!$C$26*C782,0)</f>
        <v>0</v>
      </c>
      <c r="T782" s="5"/>
      <c r="U782" s="5"/>
    </row>
    <row r="783" spans="1:21" ht="23.1" customHeight="1" outlineLevel="1" x14ac:dyDescent="0.2">
      <c r="A783" s="5">
        <v>11</v>
      </c>
      <c r="B783" s="5">
        <v>3</v>
      </c>
      <c r="C783" s="5">
        <f>DAY(DATE('Assumptions and Catalog'!$C$24+A783-1,B783+1,0))</f>
        <v>31</v>
      </c>
      <c r="D783" s="5">
        <f>IF(ISNUMBER(Inputs!$L$5),Inputs!$L$5*Inputs!$L$6,0)</f>
        <v>40.35</v>
      </c>
      <c r="E783" s="5">
        <f>IF(ISNUMBER(Inputs!$L$5),Inputs!$L$5-D783,0)</f>
        <v>40.35</v>
      </c>
      <c r="F783" s="5">
        <f>E$51*'Assumptions and Catalog'!$C$31*C783*(1-'Assumptions and Catalog'!$C$10)^(A783-1)</f>
        <v>807.57810067718231</v>
      </c>
      <c r="G783" s="5">
        <f t="shared" si="52"/>
        <v>807.57810067718231</v>
      </c>
      <c r="H783" s="5">
        <f>I783/('Assumptions and Catalog'!$C$11*'Assumptions and Catalog'!$C$12)</f>
        <v>0</v>
      </c>
      <c r="I783" s="5">
        <f>MIN(E783*C783,P783*'Assumptions and Catalog'!$C$12*C783,(F783-G783)*'Assumptions and Catalog'!$C$11*'Assumptions and Catalog'!$C$12,E$56*'Assumptions and Catalog'!$C$14*'Assumptions and Catalog'!$C$11*'Assumptions and Catalog'!$C$12*C783,E$57*(24-'Assumptions and Catalog'!$C$13)*C783)</f>
        <v>0</v>
      </c>
      <c r="J783" s="5">
        <f t="shared" si="53"/>
        <v>0</v>
      </c>
      <c r="K783" s="5">
        <f t="shared" si="54"/>
        <v>0</v>
      </c>
      <c r="L783" s="5">
        <f>(D783+E783)*C783-G783-I783+0+IF(E$52&gt;0,'Assumptions and Catalog'!$C$26*C783,0)</f>
        <v>1694.1218993228181</v>
      </c>
      <c r="M783" s="5">
        <f>IF(ISNUMBER(Inputs!$L$5),(IF(Inputs!$L$9="Actual flat rate",((D783+E783)*C783)*Inputs!$L$10,IF(Inputs!$C$9="Residential",IF(((D783+E783)*C783)&lt;='Assumptions and Catalog'!$C$50,((D783+E783)*C783)*'Assumptions and Catalog'!$H$50+'Assumptions and Catalog'!$E$50+'Assumptions and Catalog'!$F$50,IF(((D783+E783)*C783)&lt;='Assumptions and Catalog'!$C$51,((D783+E783)*C783)*'Assumptions and Catalog'!$H$51+'Assumptions and Catalog'!$E$51+'Assumptions and Catalog'!$F$51,IF(((D783+E783)*C783)&lt;='Assumptions and Catalog'!$C$52,((D783+E783)*C783)*'Assumptions and Catalog'!$H$52+'Assumptions and Catalog'!$E$52+'Assumptions and Catalog'!$F$52,IF(((D783+E783)*C783)&lt;='Assumptions and Catalog'!$C$53,((D783+E783)*C783)*'Assumptions and Catalog'!$H$53+'Assumptions and Catalog'!$E$53+'Assumptions and Catalog'!$F$53,IF(((D783+E783)*C783)&lt;='Assumptions and Catalog'!$C$54,((D783+E783)*C783)*'Assumptions and Catalog'!$H$54+'Assumptions and Catalog'!$E$54+'Assumptions and Catalog'!$F$54,IF(((D783+E783)*C783)&lt;='Assumptions and Catalog'!$C$55,((D783+E783)*C783)*'Assumptions and Catalog'!$H$55+'Assumptions and Catalog'!$E$55+'Assumptions and Catalog'!$F$55,IF(((D783+E783)*C783)&lt;='Assumptions and Catalog'!$C$56,((D783+E783)*C783)*'Assumptions and Catalog'!$H$56+'Assumptions and Catalog'!$E$56+'Assumptions and Catalog'!$F$56,IF(((D783+E783)*C783)&lt;='Assumptions and Catalog'!$C$57,((D783+E783)*C783)*'Assumptions and Catalog'!$H$57+'Assumptions and Catalog'!$E$57+'Assumptions and Catalog'!$F$57,"Out of range")))))))),IF(((D783+E783)*C783)&lt;='Assumptions and Catalog'!$C$60,((D783+E783)*C783)*'Assumptions and Catalog'!$H$60+'Assumptions and Catalog'!$E$60+'Assumptions and Catalog'!$F$60,IF(((D783+E783)*C783)&lt;='Assumptions and Catalog'!$C$61,((D783+E783)*C783)*'Assumptions and Catalog'!$H$61+'Assumptions and Catalog'!$E$61+'Assumptions and Catalog'!$F$61,IF(((D783+E783)*C783)&lt;='Assumptions and Catalog'!$C$62,((D783+E783)*C783)*'Assumptions and Catalog'!$H$62+'Assumptions and Catalog'!$E$62+'Assumptions and Catalog'!$F$62,IF(((D783+E783)*C783)&lt;='Assumptions and Catalog'!$C$63,((D783+E783)*C783)*'Assumptions and Catalog'!$H$63+'Assumptions and Catalog'!$E$63+'Assumptions and Catalog'!$F$63,IF(((D783+E783)*C783)&lt;='Assumptions and Catalog'!$C$64,((D783+E783)*C783)*'Assumptions and Catalog'!$H$64+'Assumptions and Catalog'!$E$64+'Assumptions and Catalog'!$F$64,IF(((D783+E783)*C783)&lt;='Assumptions and Catalog'!$C$65,((D783+E783)*C783)*'Assumptions and Catalog'!$H$65+'Assumptions and Catalog'!$E$65+'Assumptions and Catalog'!$F$65,"Out of range")))))))))*(1+'Assumptions and Catalog'!$C$8)^(A783-1),0)</f>
        <v>8554.9666666666672</v>
      </c>
      <c r="N783" s="5">
        <f>IF(ISNUMBER(Inputs!$L$5),(IF(Inputs!$L$9="Actual flat rate",L783*Inputs!$L$10,IF(Inputs!$C$9="Residential",IF(L783&lt;='Assumptions and Catalog'!$C$50,L783*'Assumptions and Catalog'!$H$50+'Assumptions and Catalog'!$E$50+'Assumptions and Catalog'!$F$50,IF(L783&lt;='Assumptions and Catalog'!$C$51,L783*'Assumptions and Catalog'!$H$51+'Assumptions and Catalog'!$E$51+'Assumptions and Catalog'!$F$51,IF(L783&lt;='Assumptions and Catalog'!$C$52,L783*'Assumptions and Catalog'!$H$52+'Assumptions and Catalog'!$E$52+'Assumptions and Catalog'!$F$52,IF(L783&lt;='Assumptions and Catalog'!$C$53,L783*'Assumptions and Catalog'!$H$53+'Assumptions and Catalog'!$E$53+'Assumptions and Catalog'!$F$53,IF(L783&lt;='Assumptions and Catalog'!$C$54,L783*'Assumptions and Catalog'!$H$54+'Assumptions and Catalog'!$E$54+'Assumptions and Catalog'!$F$54,IF(L783&lt;='Assumptions and Catalog'!$C$55,L783*'Assumptions and Catalog'!$H$55+'Assumptions and Catalog'!$E$55+'Assumptions and Catalog'!$F$55,IF(L783&lt;='Assumptions and Catalog'!$C$56,L783*'Assumptions and Catalog'!$H$56+'Assumptions and Catalog'!$E$56+'Assumptions and Catalog'!$F$56,IF(L783&lt;='Assumptions and Catalog'!$C$57,L783*'Assumptions and Catalog'!$H$57+'Assumptions and Catalog'!$E$57+'Assumptions and Catalog'!$F$57,"Out of range")))))))),IF(L783&lt;='Assumptions and Catalog'!$C$60,L783*'Assumptions and Catalog'!$H$60+'Assumptions and Catalog'!$E$60+'Assumptions and Catalog'!$F$60,IF(L783&lt;='Assumptions and Catalog'!$C$61,L783*'Assumptions and Catalog'!$H$61+'Assumptions and Catalog'!$E$61+'Assumptions and Catalog'!$F$61,IF(L783&lt;='Assumptions and Catalog'!$C$62,L783*'Assumptions and Catalog'!$H$62+'Assumptions and Catalog'!$E$62+'Assumptions and Catalog'!$F$62,IF(L783&lt;='Assumptions and Catalog'!$C$63,L783*'Assumptions and Catalog'!$H$63+'Assumptions and Catalog'!$E$63+'Assumptions and Catalog'!$F$63,IF(L783&lt;='Assumptions and Catalog'!$C$64,L783*'Assumptions and Catalog'!$H$64+'Assumptions and Catalog'!$E$64+'Assumptions and Catalog'!$F$64,IF(L783&lt;='Assumptions and Catalog'!$C$65,L783*'Assumptions and Catalog'!$H$65+'Assumptions and Catalog'!$E$65+'Assumptions and Catalog'!$F$65,"Out of range")))))))))*(1+'Assumptions and Catalog'!$C$8)^(A783-1),0)</f>
        <v>5793.3230914884798</v>
      </c>
      <c r="O783" s="5">
        <f t="shared" si="55"/>
        <v>2761.6435751781873</v>
      </c>
      <c r="P783" s="5">
        <f>E$55*(1-L$14)*(1-'Assumptions and Catalog'!$C$23)^R783</f>
        <v>102.4</v>
      </c>
      <c r="Q783" s="5">
        <f>IF(ISNUMBER(Inputs!$L$5),(IF(Inputs!$L$9="Actual flat rate",((D783+E783)*C783-G783)*Inputs!$L$10,IF(Inputs!$C$9="Residential",IF(((D783+E783)*C783-G783)&lt;='Assumptions and Catalog'!$C$50,((D783+E783)*C783-G783)*'Assumptions and Catalog'!$H$50+'Assumptions and Catalog'!$E$50+'Assumptions and Catalog'!$F$50,IF(((D783+E783)*C783-G783)&lt;='Assumptions and Catalog'!$C$51,((D783+E783)*C783-G783)*'Assumptions and Catalog'!$H$51+'Assumptions and Catalog'!$E$51+'Assumptions and Catalog'!$F$51,IF(((D783+E783)*C783-G783)&lt;='Assumptions and Catalog'!$C$52,((D783+E783)*C783-G783)*'Assumptions and Catalog'!$H$52+'Assumptions and Catalog'!$E$52+'Assumptions and Catalog'!$F$52,IF(((D783+E783)*C783-G783)&lt;='Assumptions and Catalog'!$C$53,((D783+E783)*C783-G783)*'Assumptions and Catalog'!$H$53+'Assumptions and Catalog'!$E$53+'Assumptions and Catalog'!$F$53,IF(((D783+E783)*C783-G783)&lt;='Assumptions and Catalog'!$C$54,((D783+E783)*C783-G783)*'Assumptions and Catalog'!$H$54+'Assumptions and Catalog'!$E$54+'Assumptions and Catalog'!$F$54,IF(((D783+E783)*C783-G783)&lt;='Assumptions and Catalog'!$C$55,((D783+E783)*C783-G783)*'Assumptions and Catalog'!$H$55+'Assumptions and Catalog'!$E$55+'Assumptions and Catalog'!$F$55,IF(((D783+E783)*C783-G783)&lt;='Assumptions and Catalog'!$C$56,((D783+E783)*C783-G783)*'Assumptions and Catalog'!$H$56+'Assumptions and Catalog'!$E$56+'Assumptions and Catalog'!$F$56,IF(((D783+E783)*C783-G783)&lt;='Assumptions and Catalog'!$C$57,((D783+E783)*C783-G783)*'Assumptions and Catalog'!$H$57+'Assumptions and Catalog'!$E$57+'Assumptions and Catalog'!$F$57,"Out of range")))))))),IF(((D783+E783)*C783-G783)&lt;='Assumptions and Catalog'!$C$60,((D783+E783)*C783-G783)*'Assumptions and Catalog'!$H$60+'Assumptions and Catalog'!$E$60+'Assumptions and Catalog'!$F$60,IF(((D783+E783)*C783-G783)&lt;='Assumptions and Catalog'!$C$61,((D783+E783)*C783-G783)*'Assumptions and Catalog'!$H$61+'Assumptions and Catalog'!$E$61+'Assumptions and Catalog'!$F$61,IF(((D783+E783)*C783-G783)&lt;='Assumptions and Catalog'!$C$62,((D783+E783)*C783-G783)*'Assumptions and Catalog'!$H$62+'Assumptions and Catalog'!$E$62+'Assumptions and Catalog'!$F$62,IF(((D783+E783)*C783-G783)&lt;='Assumptions and Catalog'!$C$63,((D783+E783)*C783-G783)*'Assumptions and Catalog'!$H$63+'Assumptions and Catalog'!$E$63+'Assumptions and Catalog'!$F$63,IF(((D783+E783)*C783-G783)&lt;='Assumptions and Catalog'!$C$64,((D783+E783)*C783-G783)*'Assumptions and Catalog'!$H$64+'Assumptions and Catalog'!$E$64+'Assumptions and Catalog'!$F$64,IF(((D783+E783)*C783-G783)&lt;='Assumptions and Catalog'!$C$65,((D783+E783)*C783-G783)*'Assumptions and Catalog'!$H$65+'Assumptions and Catalog'!$E$65+'Assumptions and Catalog'!$F$65,"Out of range")))))))))*(1+'Assumptions and Catalog'!$C$8)^(A783-1),0)</f>
        <v>5793.3230914884798</v>
      </c>
      <c r="R783" s="5">
        <f>IF(AND('Assumptions and Catalog'!$C$19&gt;0,A783&gt;='Assumptions and Catalog'!$C$19),A783-'Assumptions and Catalog'!$C$19,A783-1)</f>
        <v>0</v>
      </c>
      <c r="S783" s="5">
        <f>F783+L783-(D783+E783)*C783-J783-K783-IF(E$52&gt;0,'Assumptions and Catalog'!$C$26*C783,0)</f>
        <v>0</v>
      </c>
      <c r="T783" s="5"/>
      <c r="U783" s="5"/>
    </row>
    <row r="784" spans="1:21" ht="23.1" customHeight="1" outlineLevel="1" x14ac:dyDescent="0.2">
      <c r="A784" s="5">
        <v>11</v>
      </c>
      <c r="B784" s="5">
        <v>4</v>
      </c>
      <c r="C784" s="5">
        <f>DAY(DATE('Assumptions and Catalog'!$C$24+A784-1,B784+1,0))</f>
        <v>30</v>
      </c>
      <c r="D784" s="5">
        <f>IF(ISNUMBER(Inputs!$L$5),Inputs!$L$5*Inputs!$L$6,0)</f>
        <v>40.35</v>
      </c>
      <c r="E784" s="5">
        <f>IF(ISNUMBER(Inputs!$L$5),Inputs!$L$5-D784,0)</f>
        <v>40.35</v>
      </c>
      <c r="F784" s="5">
        <f>E$51*'Assumptions and Catalog'!$C$31*C784*(1-'Assumptions and Catalog'!$C$10)^(A784-1)</f>
        <v>781.52719420372489</v>
      </c>
      <c r="G784" s="5">
        <f t="shared" si="52"/>
        <v>781.52719420372489</v>
      </c>
      <c r="H784" s="5">
        <f>I784/('Assumptions and Catalog'!$C$11*'Assumptions and Catalog'!$C$12)</f>
        <v>0</v>
      </c>
      <c r="I784" s="5">
        <f>MIN(E784*C784,P784*'Assumptions and Catalog'!$C$12*C784,(F784-G784)*'Assumptions and Catalog'!$C$11*'Assumptions and Catalog'!$C$12,E$56*'Assumptions and Catalog'!$C$14*'Assumptions and Catalog'!$C$11*'Assumptions and Catalog'!$C$12*C784,E$57*(24-'Assumptions and Catalog'!$C$13)*C784)</f>
        <v>0</v>
      </c>
      <c r="J784" s="5">
        <f t="shared" si="53"/>
        <v>0</v>
      </c>
      <c r="K784" s="5">
        <f t="shared" si="54"/>
        <v>0</v>
      </c>
      <c r="L784" s="5">
        <f>(D784+E784)*C784-G784-I784+0+IF(E$52&gt;0,'Assumptions and Catalog'!$C$26*C784,0)</f>
        <v>1639.4728057962752</v>
      </c>
      <c r="M784" s="5">
        <f>IF(ISNUMBER(Inputs!$L$5),(IF(Inputs!$L$9="Actual flat rate",((D784+E784)*C784)*Inputs!$L$10,IF(Inputs!$C$9="Residential",IF(((D784+E784)*C784)&lt;='Assumptions and Catalog'!$C$50,((D784+E784)*C784)*'Assumptions and Catalog'!$H$50+'Assumptions and Catalog'!$E$50+'Assumptions and Catalog'!$F$50,IF(((D784+E784)*C784)&lt;='Assumptions and Catalog'!$C$51,((D784+E784)*C784)*'Assumptions and Catalog'!$H$51+'Assumptions and Catalog'!$E$51+'Assumptions and Catalog'!$F$51,IF(((D784+E784)*C784)&lt;='Assumptions and Catalog'!$C$52,((D784+E784)*C784)*'Assumptions and Catalog'!$H$52+'Assumptions and Catalog'!$E$52+'Assumptions and Catalog'!$F$52,IF(((D784+E784)*C784)&lt;='Assumptions and Catalog'!$C$53,((D784+E784)*C784)*'Assumptions and Catalog'!$H$53+'Assumptions and Catalog'!$E$53+'Assumptions and Catalog'!$F$53,IF(((D784+E784)*C784)&lt;='Assumptions and Catalog'!$C$54,((D784+E784)*C784)*'Assumptions and Catalog'!$H$54+'Assumptions and Catalog'!$E$54+'Assumptions and Catalog'!$F$54,IF(((D784+E784)*C784)&lt;='Assumptions and Catalog'!$C$55,((D784+E784)*C784)*'Assumptions and Catalog'!$H$55+'Assumptions and Catalog'!$E$55+'Assumptions and Catalog'!$F$55,IF(((D784+E784)*C784)&lt;='Assumptions and Catalog'!$C$56,((D784+E784)*C784)*'Assumptions and Catalog'!$H$56+'Assumptions and Catalog'!$E$56+'Assumptions and Catalog'!$F$56,IF(((D784+E784)*C784)&lt;='Assumptions and Catalog'!$C$57,((D784+E784)*C784)*'Assumptions and Catalog'!$H$57+'Assumptions and Catalog'!$E$57+'Assumptions and Catalog'!$F$57,"Out of range")))))))),IF(((D784+E784)*C784)&lt;='Assumptions and Catalog'!$C$60,((D784+E784)*C784)*'Assumptions and Catalog'!$H$60+'Assumptions and Catalog'!$E$60+'Assumptions and Catalog'!$F$60,IF(((D784+E784)*C784)&lt;='Assumptions and Catalog'!$C$61,((D784+E784)*C784)*'Assumptions and Catalog'!$H$61+'Assumptions and Catalog'!$E$61+'Assumptions and Catalog'!$F$61,IF(((D784+E784)*C784)&lt;='Assumptions and Catalog'!$C$62,((D784+E784)*C784)*'Assumptions and Catalog'!$H$62+'Assumptions and Catalog'!$E$62+'Assumptions and Catalog'!$F$62,IF(((D784+E784)*C784)&lt;='Assumptions and Catalog'!$C$63,((D784+E784)*C784)*'Assumptions and Catalog'!$H$63+'Assumptions and Catalog'!$E$63+'Assumptions and Catalog'!$F$63,IF(((D784+E784)*C784)&lt;='Assumptions and Catalog'!$C$64,((D784+E784)*C784)*'Assumptions and Catalog'!$H$64+'Assumptions and Catalog'!$E$64+'Assumptions and Catalog'!$F$64,IF(((D784+E784)*C784)&lt;='Assumptions and Catalog'!$C$65,((D784+E784)*C784)*'Assumptions and Catalog'!$H$65+'Assumptions and Catalog'!$E$65+'Assumptions and Catalog'!$F$65,"Out of range")))))))))*(1+'Assumptions and Catalog'!$C$8)^(A784-1),0)</f>
        <v>8279</v>
      </c>
      <c r="N784" s="5">
        <f>IF(ISNUMBER(Inputs!$L$5),(IF(Inputs!$L$9="Actual flat rate",L784*Inputs!$L$10,IF(Inputs!$C$9="Residential",IF(L784&lt;='Assumptions and Catalog'!$C$50,L784*'Assumptions and Catalog'!$H$50+'Assumptions and Catalog'!$E$50+'Assumptions and Catalog'!$F$50,IF(L784&lt;='Assumptions and Catalog'!$C$51,L784*'Assumptions and Catalog'!$H$51+'Assumptions and Catalog'!$E$51+'Assumptions and Catalog'!$F$51,IF(L784&lt;='Assumptions and Catalog'!$C$52,L784*'Assumptions and Catalog'!$H$52+'Assumptions and Catalog'!$E$52+'Assumptions and Catalog'!$F$52,IF(L784&lt;='Assumptions and Catalog'!$C$53,L784*'Assumptions and Catalog'!$H$53+'Assumptions and Catalog'!$E$53+'Assumptions and Catalog'!$F$53,IF(L784&lt;='Assumptions and Catalog'!$C$54,L784*'Assumptions and Catalog'!$H$54+'Assumptions and Catalog'!$E$54+'Assumptions and Catalog'!$F$54,IF(L784&lt;='Assumptions and Catalog'!$C$55,L784*'Assumptions and Catalog'!$H$55+'Assumptions and Catalog'!$E$55+'Assumptions and Catalog'!$F$55,IF(L784&lt;='Assumptions and Catalog'!$C$56,L784*'Assumptions and Catalog'!$H$56+'Assumptions and Catalog'!$E$56+'Assumptions and Catalog'!$F$56,IF(L784&lt;='Assumptions and Catalog'!$C$57,L784*'Assumptions and Catalog'!$H$57+'Assumptions and Catalog'!$E$57+'Assumptions and Catalog'!$F$57,"Out of range")))))))),IF(L784&lt;='Assumptions and Catalog'!$C$60,L784*'Assumptions and Catalog'!$H$60+'Assumptions and Catalog'!$E$60+'Assumptions and Catalog'!$F$60,IF(L784&lt;='Assumptions and Catalog'!$C$61,L784*'Assumptions and Catalog'!$H$61+'Assumptions and Catalog'!$E$61+'Assumptions and Catalog'!$F$61,IF(L784&lt;='Assumptions and Catalog'!$C$62,L784*'Assumptions and Catalog'!$H$62+'Assumptions and Catalog'!$E$62+'Assumptions and Catalog'!$F$62,IF(L784&lt;='Assumptions and Catalog'!$C$63,L784*'Assumptions and Catalog'!$H$63+'Assumptions and Catalog'!$E$63+'Assumptions and Catalog'!$F$63,IF(L784&lt;='Assumptions and Catalog'!$C$64,L784*'Assumptions and Catalog'!$H$64+'Assumptions and Catalog'!$E$64+'Assumptions and Catalog'!$F$64,IF(L784&lt;='Assumptions and Catalog'!$C$65,L784*'Assumptions and Catalog'!$H$65+'Assumptions and Catalog'!$E$65+'Assumptions and Catalog'!$F$65,"Out of range")))))))))*(1+'Assumptions and Catalog'!$C$8)^(A784-1),0)</f>
        <v>5606.4417014404635</v>
      </c>
      <c r="O784" s="5">
        <f t="shared" si="55"/>
        <v>2672.5582985595365</v>
      </c>
      <c r="P784" s="5">
        <f>E$55*(1-L$14)*(1-'Assumptions and Catalog'!$C$23)^R784</f>
        <v>102.4</v>
      </c>
      <c r="Q784" s="5">
        <f>IF(ISNUMBER(Inputs!$L$5),(IF(Inputs!$L$9="Actual flat rate",((D784+E784)*C784-G784)*Inputs!$L$10,IF(Inputs!$C$9="Residential",IF(((D784+E784)*C784-G784)&lt;='Assumptions and Catalog'!$C$50,((D784+E784)*C784-G784)*'Assumptions and Catalog'!$H$50+'Assumptions and Catalog'!$E$50+'Assumptions and Catalog'!$F$50,IF(((D784+E784)*C784-G784)&lt;='Assumptions and Catalog'!$C$51,((D784+E784)*C784-G784)*'Assumptions and Catalog'!$H$51+'Assumptions and Catalog'!$E$51+'Assumptions and Catalog'!$F$51,IF(((D784+E784)*C784-G784)&lt;='Assumptions and Catalog'!$C$52,((D784+E784)*C784-G784)*'Assumptions and Catalog'!$H$52+'Assumptions and Catalog'!$E$52+'Assumptions and Catalog'!$F$52,IF(((D784+E784)*C784-G784)&lt;='Assumptions and Catalog'!$C$53,((D784+E784)*C784-G784)*'Assumptions and Catalog'!$H$53+'Assumptions and Catalog'!$E$53+'Assumptions and Catalog'!$F$53,IF(((D784+E784)*C784-G784)&lt;='Assumptions and Catalog'!$C$54,((D784+E784)*C784-G784)*'Assumptions and Catalog'!$H$54+'Assumptions and Catalog'!$E$54+'Assumptions and Catalog'!$F$54,IF(((D784+E784)*C784-G784)&lt;='Assumptions and Catalog'!$C$55,((D784+E784)*C784-G784)*'Assumptions and Catalog'!$H$55+'Assumptions and Catalog'!$E$55+'Assumptions and Catalog'!$F$55,IF(((D784+E784)*C784-G784)&lt;='Assumptions and Catalog'!$C$56,((D784+E784)*C784-G784)*'Assumptions and Catalog'!$H$56+'Assumptions and Catalog'!$E$56+'Assumptions and Catalog'!$F$56,IF(((D784+E784)*C784-G784)&lt;='Assumptions and Catalog'!$C$57,((D784+E784)*C784-G784)*'Assumptions and Catalog'!$H$57+'Assumptions and Catalog'!$E$57+'Assumptions and Catalog'!$F$57,"Out of range")))))))),IF(((D784+E784)*C784-G784)&lt;='Assumptions and Catalog'!$C$60,((D784+E784)*C784-G784)*'Assumptions and Catalog'!$H$60+'Assumptions and Catalog'!$E$60+'Assumptions and Catalog'!$F$60,IF(((D784+E784)*C784-G784)&lt;='Assumptions and Catalog'!$C$61,((D784+E784)*C784-G784)*'Assumptions and Catalog'!$H$61+'Assumptions and Catalog'!$E$61+'Assumptions and Catalog'!$F$61,IF(((D784+E784)*C784-G784)&lt;='Assumptions and Catalog'!$C$62,((D784+E784)*C784-G784)*'Assumptions and Catalog'!$H$62+'Assumptions and Catalog'!$E$62+'Assumptions and Catalog'!$F$62,IF(((D784+E784)*C784-G784)&lt;='Assumptions and Catalog'!$C$63,((D784+E784)*C784-G784)*'Assumptions and Catalog'!$H$63+'Assumptions and Catalog'!$E$63+'Assumptions and Catalog'!$F$63,IF(((D784+E784)*C784-G784)&lt;='Assumptions and Catalog'!$C$64,((D784+E784)*C784-G784)*'Assumptions and Catalog'!$H$64+'Assumptions and Catalog'!$E$64+'Assumptions and Catalog'!$F$64,IF(((D784+E784)*C784-G784)&lt;='Assumptions and Catalog'!$C$65,((D784+E784)*C784-G784)*'Assumptions and Catalog'!$H$65+'Assumptions and Catalog'!$E$65+'Assumptions and Catalog'!$F$65,"Out of range")))))))))*(1+'Assumptions and Catalog'!$C$8)^(A784-1),0)</f>
        <v>5606.4417014404635</v>
      </c>
      <c r="R784" s="5">
        <f>IF(AND('Assumptions and Catalog'!$C$19&gt;0,A784&gt;='Assumptions and Catalog'!$C$19),A784-'Assumptions and Catalog'!$C$19,A784-1)</f>
        <v>0</v>
      </c>
      <c r="S784" s="5">
        <f>F784+L784-(D784+E784)*C784-J784-K784-IF(E$52&gt;0,'Assumptions and Catalog'!$C$26*C784,0)</f>
        <v>0</v>
      </c>
      <c r="T784" s="5"/>
      <c r="U784" s="5"/>
    </row>
    <row r="785" spans="1:21" ht="23.1" customHeight="1" outlineLevel="1" x14ac:dyDescent="0.2">
      <c r="A785" s="5">
        <v>11</v>
      </c>
      <c r="B785" s="5">
        <v>5</v>
      </c>
      <c r="C785" s="5">
        <f>DAY(DATE('Assumptions and Catalog'!$C$24+A785-1,B785+1,0))</f>
        <v>31</v>
      </c>
      <c r="D785" s="5">
        <f>IF(ISNUMBER(Inputs!$L$5),Inputs!$L$5*Inputs!$L$6,0)</f>
        <v>40.35</v>
      </c>
      <c r="E785" s="5">
        <f>IF(ISNUMBER(Inputs!$L$5),Inputs!$L$5-D785,0)</f>
        <v>40.35</v>
      </c>
      <c r="F785" s="5">
        <f>E$51*'Assumptions and Catalog'!$C$31*C785*(1-'Assumptions and Catalog'!$C$10)^(A785-1)</f>
        <v>807.57810067718231</v>
      </c>
      <c r="G785" s="5">
        <f t="shared" si="52"/>
        <v>807.57810067718231</v>
      </c>
      <c r="H785" s="5">
        <f>I785/('Assumptions and Catalog'!$C$11*'Assumptions and Catalog'!$C$12)</f>
        <v>0</v>
      </c>
      <c r="I785" s="5">
        <f>MIN(E785*C785,P785*'Assumptions and Catalog'!$C$12*C785,(F785-G785)*'Assumptions and Catalog'!$C$11*'Assumptions and Catalog'!$C$12,E$56*'Assumptions and Catalog'!$C$14*'Assumptions and Catalog'!$C$11*'Assumptions and Catalog'!$C$12*C785,E$57*(24-'Assumptions and Catalog'!$C$13)*C785)</f>
        <v>0</v>
      </c>
      <c r="J785" s="5">
        <f t="shared" si="53"/>
        <v>0</v>
      </c>
      <c r="K785" s="5">
        <f t="shared" si="54"/>
        <v>0</v>
      </c>
      <c r="L785" s="5">
        <f>(D785+E785)*C785-G785-I785+0+IF(E$52&gt;0,'Assumptions and Catalog'!$C$26*C785,0)</f>
        <v>1694.1218993228181</v>
      </c>
      <c r="M785" s="5">
        <f>IF(ISNUMBER(Inputs!$L$5),(IF(Inputs!$L$9="Actual flat rate",((D785+E785)*C785)*Inputs!$L$10,IF(Inputs!$C$9="Residential",IF(((D785+E785)*C785)&lt;='Assumptions and Catalog'!$C$50,((D785+E785)*C785)*'Assumptions and Catalog'!$H$50+'Assumptions and Catalog'!$E$50+'Assumptions and Catalog'!$F$50,IF(((D785+E785)*C785)&lt;='Assumptions and Catalog'!$C$51,((D785+E785)*C785)*'Assumptions and Catalog'!$H$51+'Assumptions and Catalog'!$E$51+'Assumptions and Catalog'!$F$51,IF(((D785+E785)*C785)&lt;='Assumptions and Catalog'!$C$52,((D785+E785)*C785)*'Assumptions and Catalog'!$H$52+'Assumptions and Catalog'!$E$52+'Assumptions and Catalog'!$F$52,IF(((D785+E785)*C785)&lt;='Assumptions and Catalog'!$C$53,((D785+E785)*C785)*'Assumptions and Catalog'!$H$53+'Assumptions and Catalog'!$E$53+'Assumptions and Catalog'!$F$53,IF(((D785+E785)*C785)&lt;='Assumptions and Catalog'!$C$54,((D785+E785)*C785)*'Assumptions and Catalog'!$H$54+'Assumptions and Catalog'!$E$54+'Assumptions and Catalog'!$F$54,IF(((D785+E785)*C785)&lt;='Assumptions and Catalog'!$C$55,((D785+E785)*C785)*'Assumptions and Catalog'!$H$55+'Assumptions and Catalog'!$E$55+'Assumptions and Catalog'!$F$55,IF(((D785+E785)*C785)&lt;='Assumptions and Catalog'!$C$56,((D785+E785)*C785)*'Assumptions and Catalog'!$H$56+'Assumptions and Catalog'!$E$56+'Assumptions and Catalog'!$F$56,IF(((D785+E785)*C785)&lt;='Assumptions and Catalog'!$C$57,((D785+E785)*C785)*'Assumptions and Catalog'!$H$57+'Assumptions and Catalog'!$E$57+'Assumptions and Catalog'!$F$57,"Out of range")))))))),IF(((D785+E785)*C785)&lt;='Assumptions and Catalog'!$C$60,((D785+E785)*C785)*'Assumptions and Catalog'!$H$60+'Assumptions and Catalog'!$E$60+'Assumptions and Catalog'!$F$60,IF(((D785+E785)*C785)&lt;='Assumptions and Catalog'!$C$61,((D785+E785)*C785)*'Assumptions and Catalog'!$H$61+'Assumptions and Catalog'!$E$61+'Assumptions and Catalog'!$F$61,IF(((D785+E785)*C785)&lt;='Assumptions and Catalog'!$C$62,((D785+E785)*C785)*'Assumptions and Catalog'!$H$62+'Assumptions and Catalog'!$E$62+'Assumptions and Catalog'!$F$62,IF(((D785+E785)*C785)&lt;='Assumptions and Catalog'!$C$63,((D785+E785)*C785)*'Assumptions and Catalog'!$H$63+'Assumptions and Catalog'!$E$63+'Assumptions and Catalog'!$F$63,IF(((D785+E785)*C785)&lt;='Assumptions and Catalog'!$C$64,((D785+E785)*C785)*'Assumptions and Catalog'!$H$64+'Assumptions and Catalog'!$E$64+'Assumptions and Catalog'!$F$64,IF(((D785+E785)*C785)&lt;='Assumptions and Catalog'!$C$65,((D785+E785)*C785)*'Assumptions and Catalog'!$H$65+'Assumptions and Catalog'!$E$65+'Assumptions and Catalog'!$F$65,"Out of range")))))))))*(1+'Assumptions and Catalog'!$C$8)^(A785-1),0)</f>
        <v>8554.9666666666672</v>
      </c>
      <c r="N785" s="5">
        <f>IF(ISNUMBER(Inputs!$L$5),(IF(Inputs!$L$9="Actual flat rate",L785*Inputs!$L$10,IF(Inputs!$C$9="Residential",IF(L785&lt;='Assumptions and Catalog'!$C$50,L785*'Assumptions and Catalog'!$H$50+'Assumptions and Catalog'!$E$50+'Assumptions and Catalog'!$F$50,IF(L785&lt;='Assumptions and Catalog'!$C$51,L785*'Assumptions and Catalog'!$H$51+'Assumptions and Catalog'!$E$51+'Assumptions and Catalog'!$F$51,IF(L785&lt;='Assumptions and Catalog'!$C$52,L785*'Assumptions and Catalog'!$H$52+'Assumptions and Catalog'!$E$52+'Assumptions and Catalog'!$F$52,IF(L785&lt;='Assumptions and Catalog'!$C$53,L785*'Assumptions and Catalog'!$H$53+'Assumptions and Catalog'!$E$53+'Assumptions and Catalog'!$F$53,IF(L785&lt;='Assumptions and Catalog'!$C$54,L785*'Assumptions and Catalog'!$H$54+'Assumptions and Catalog'!$E$54+'Assumptions and Catalog'!$F$54,IF(L785&lt;='Assumptions and Catalog'!$C$55,L785*'Assumptions and Catalog'!$H$55+'Assumptions and Catalog'!$E$55+'Assumptions and Catalog'!$F$55,IF(L785&lt;='Assumptions and Catalog'!$C$56,L785*'Assumptions and Catalog'!$H$56+'Assumptions and Catalog'!$E$56+'Assumptions and Catalog'!$F$56,IF(L785&lt;='Assumptions and Catalog'!$C$57,L785*'Assumptions and Catalog'!$H$57+'Assumptions and Catalog'!$E$57+'Assumptions and Catalog'!$F$57,"Out of range")))))))),IF(L785&lt;='Assumptions and Catalog'!$C$60,L785*'Assumptions and Catalog'!$H$60+'Assumptions and Catalog'!$E$60+'Assumptions and Catalog'!$F$60,IF(L785&lt;='Assumptions and Catalog'!$C$61,L785*'Assumptions and Catalog'!$H$61+'Assumptions and Catalog'!$E$61+'Assumptions and Catalog'!$F$61,IF(L785&lt;='Assumptions and Catalog'!$C$62,L785*'Assumptions and Catalog'!$H$62+'Assumptions and Catalog'!$E$62+'Assumptions and Catalog'!$F$62,IF(L785&lt;='Assumptions and Catalog'!$C$63,L785*'Assumptions and Catalog'!$H$63+'Assumptions and Catalog'!$E$63+'Assumptions and Catalog'!$F$63,IF(L785&lt;='Assumptions and Catalog'!$C$64,L785*'Assumptions and Catalog'!$H$64+'Assumptions and Catalog'!$E$64+'Assumptions and Catalog'!$F$64,IF(L785&lt;='Assumptions and Catalog'!$C$65,L785*'Assumptions and Catalog'!$H$65+'Assumptions and Catalog'!$E$65+'Assumptions and Catalog'!$F$65,"Out of range")))))))))*(1+'Assumptions and Catalog'!$C$8)^(A785-1),0)</f>
        <v>5793.3230914884798</v>
      </c>
      <c r="O785" s="5">
        <f t="shared" si="55"/>
        <v>2761.6435751781873</v>
      </c>
      <c r="P785" s="5">
        <f>E$55*(1-L$14)*(1-'Assumptions and Catalog'!$C$23)^R785</f>
        <v>102.4</v>
      </c>
      <c r="Q785" s="5">
        <f>IF(ISNUMBER(Inputs!$L$5),(IF(Inputs!$L$9="Actual flat rate",((D785+E785)*C785-G785)*Inputs!$L$10,IF(Inputs!$C$9="Residential",IF(((D785+E785)*C785-G785)&lt;='Assumptions and Catalog'!$C$50,((D785+E785)*C785-G785)*'Assumptions and Catalog'!$H$50+'Assumptions and Catalog'!$E$50+'Assumptions and Catalog'!$F$50,IF(((D785+E785)*C785-G785)&lt;='Assumptions and Catalog'!$C$51,((D785+E785)*C785-G785)*'Assumptions and Catalog'!$H$51+'Assumptions and Catalog'!$E$51+'Assumptions and Catalog'!$F$51,IF(((D785+E785)*C785-G785)&lt;='Assumptions and Catalog'!$C$52,((D785+E785)*C785-G785)*'Assumptions and Catalog'!$H$52+'Assumptions and Catalog'!$E$52+'Assumptions and Catalog'!$F$52,IF(((D785+E785)*C785-G785)&lt;='Assumptions and Catalog'!$C$53,((D785+E785)*C785-G785)*'Assumptions and Catalog'!$H$53+'Assumptions and Catalog'!$E$53+'Assumptions and Catalog'!$F$53,IF(((D785+E785)*C785-G785)&lt;='Assumptions and Catalog'!$C$54,((D785+E785)*C785-G785)*'Assumptions and Catalog'!$H$54+'Assumptions and Catalog'!$E$54+'Assumptions and Catalog'!$F$54,IF(((D785+E785)*C785-G785)&lt;='Assumptions and Catalog'!$C$55,((D785+E785)*C785-G785)*'Assumptions and Catalog'!$H$55+'Assumptions and Catalog'!$E$55+'Assumptions and Catalog'!$F$55,IF(((D785+E785)*C785-G785)&lt;='Assumptions and Catalog'!$C$56,((D785+E785)*C785-G785)*'Assumptions and Catalog'!$H$56+'Assumptions and Catalog'!$E$56+'Assumptions and Catalog'!$F$56,IF(((D785+E785)*C785-G785)&lt;='Assumptions and Catalog'!$C$57,((D785+E785)*C785-G785)*'Assumptions and Catalog'!$H$57+'Assumptions and Catalog'!$E$57+'Assumptions and Catalog'!$F$57,"Out of range")))))))),IF(((D785+E785)*C785-G785)&lt;='Assumptions and Catalog'!$C$60,((D785+E785)*C785-G785)*'Assumptions and Catalog'!$H$60+'Assumptions and Catalog'!$E$60+'Assumptions and Catalog'!$F$60,IF(((D785+E785)*C785-G785)&lt;='Assumptions and Catalog'!$C$61,((D785+E785)*C785-G785)*'Assumptions and Catalog'!$H$61+'Assumptions and Catalog'!$E$61+'Assumptions and Catalog'!$F$61,IF(((D785+E785)*C785-G785)&lt;='Assumptions and Catalog'!$C$62,((D785+E785)*C785-G785)*'Assumptions and Catalog'!$H$62+'Assumptions and Catalog'!$E$62+'Assumptions and Catalog'!$F$62,IF(((D785+E785)*C785-G785)&lt;='Assumptions and Catalog'!$C$63,((D785+E785)*C785-G785)*'Assumptions and Catalog'!$H$63+'Assumptions and Catalog'!$E$63+'Assumptions and Catalog'!$F$63,IF(((D785+E785)*C785-G785)&lt;='Assumptions and Catalog'!$C$64,((D785+E785)*C785-G785)*'Assumptions and Catalog'!$H$64+'Assumptions and Catalog'!$E$64+'Assumptions and Catalog'!$F$64,IF(((D785+E785)*C785-G785)&lt;='Assumptions and Catalog'!$C$65,((D785+E785)*C785-G785)*'Assumptions and Catalog'!$H$65+'Assumptions and Catalog'!$E$65+'Assumptions and Catalog'!$F$65,"Out of range")))))))))*(1+'Assumptions and Catalog'!$C$8)^(A785-1),0)</f>
        <v>5793.3230914884798</v>
      </c>
      <c r="R785" s="5">
        <f>IF(AND('Assumptions and Catalog'!$C$19&gt;0,A785&gt;='Assumptions and Catalog'!$C$19),A785-'Assumptions and Catalog'!$C$19,A785-1)</f>
        <v>0</v>
      </c>
      <c r="S785" s="5">
        <f>F785+L785-(D785+E785)*C785-J785-K785-IF(E$52&gt;0,'Assumptions and Catalog'!$C$26*C785,0)</f>
        <v>0</v>
      </c>
      <c r="T785" s="5"/>
      <c r="U785" s="5"/>
    </row>
    <row r="786" spans="1:21" ht="23.1" customHeight="1" outlineLevel="1" x14ac:dyDescent="0.2">
      <c r="A786" s="5">
        <v>11</v>
      </c>
      <c r="B786" s="5">
        <v>6</v>
      </c>
      <c r="C786" s="5">
        <f>DAY(DATE('Assumptions and Catalog'!$C$24+A786-1,B786+1,0))</f>
        <v>30</v>
      </c>
      <c r="D786" s="5">
        <f>IF(ISNUMBER(Inputs!$L$5),Inputs!$L$5*Inputs!$L$6,0)</f>
        <v>40.35</v>
      </c>
      <c r="E786" s="5">
        <f>IF(ISNUMBER(Inputs!$L$5),Inputs!$L$5-D786,0)</f>
        <v>40.35</v>
      </c>
      <c r="F786" s="5">
        <f>E$51*'Assumptions and Catalog'!$C$31*C786*(1-'Assumptions and Catalog'!$C$10)^(A786-1)</f>
        <v>781.52719420372489</v>
      </c>
      <c r="G786" s="5">
        <f t="shared" si="52"/>
        <v>781.52719420372489</v>
      </c>
      <c r="H786" s="5">
        <f>I786/('Assumptions and Catalog'!$C$11*'Assumptions and Catalog'!$C$12)</f>
        <v>0</v>
      </c>
      <c r="I786" s="5">
        <f>MIN(E786*C786,P786*'Assumptions and Catalog'!$C$12*C786,(F786-G786)*'Assumptions and Catalog'!$C$11*'Assumptions and Catalog'!$C$12,E$56*'Assumptions and Catalog'!$C$14*'Assumptions and Catalog'!$C$11*'Assumptions and Catalog'!$C$12*C786,E$57*(24-'Assumptions and Catalog'!$C$13)*C786)</f>
        <v>0</v>
      </c>
      <c r="J786" s="5">
        <f t="shared" si="53"/>
        <v>0</v>
      </c>
      <c r="K786" s="5">
        <f t="shared" si="54"/>
        <v>0</v>
      </c>
      <c r="L786" s="5">
        <f>(D786+E786)*C786-G786-I786+0+IF(E$52&gt;0,'Assumptions and Catalog'!$C$26*C786,0)</f>
        <v>1639.4728057962752</v>
      </c>
      <c r="M786" s="5">
        <f>IF(ISNUMBER(Inputs!$L$5),(IF(Inputs!$L$9="Actual flat rate",((D786+E786)*C786)*Inputs!$L$10,IF(Inputs!$C$9="Residential",IF(((D786+E786)*C786)&lt;='Assumptions and Catalog'!$C$50,((D786+E786)*C786)*'Assumptions and Catalog'!$H$50+'Assumptions and Catalog'!$E$50+'Assumptions and Catalog'!$F$50,IF(((D786+E786)*C786)&lt;='Assumptions and Catalog'!$C$51,((D786+E786)*C786)*'Assumptions and Catalog'!$H$51+'Assumptions and Catalog'!$E$51+'Assumptions and Catalog'!$F$51,IF(((D786+E786)*C786)&lt;='Assumptions and Catalog'!$C$52,((D786+E786)*C786)*'Assumptions and Catalog'!$H$52+'Assumptions and Catalog'!$E$52+'Assumptions and Catalog'!$F$52,IF(((D786+E786)*C786)&lt;='Assumptions and Catalog'!$C$53,((D786+E786)*C786)*'Assumptions and Catalog'!$H$53+'Assumptions and Catalog'!$E$53+'Assumptions and Catalog'!$F$53,IF(((D786+E786)*C786)&lt;='Assumptions and Catalog'!$C$54,((D786+E786)*C786)*'Assumptions and Catalog'!$H$54+'Assumptions and Catalog'!$E$54+'Assumptions and Catalog'!$F$54,IF(((D786+E786)*C786)&lt;='Assumptions and Catalog'!$C$55,((D786+E786)*C786)*'Assumptions and Catalog'!$H$55+'Assumptions and Catalog'!$E$55+'Assumptions and Catalog'!$F$55,IF(((D786+E786)*C786)&lt;='Assumptions and Catalog'!$C$56,((D786+E786)*C786)*'Assumptions and Catalog'!$H$56+'Assumptions and Catalog'!$E$56+'Assumptions and Catalog'!$F$56,IF(((D786+E786)*C786)&lt;='Assumptions and Catalog'!$C$57,((D786+E786)*C786)*'Assumptions and Catalog'!$H$57+'Assumptions and Catalog'!$E$57+'Assumptions and Catalog'!$F$57,"Out of range")))))))),IF(((D786+E786)*C786)&lt;='Assumptions and Catalog'!$C$60,((D786+E786)*C786)*'Assumptions and Catalog'!$H$60+'Assumptions and Catalog'!$E$60+'Assumptions and Catalog'!$F$60,IF(((D786+E786)*C786)&lt;='Assumptions and Catalog'!$C$61,((D786+E786)*C786)*'Assumptions and Catalog'!$H$61+'Assumptions and Catalog'!$E$61+'Assumptions and Catalog'!$F$61,IF(((D786+E786)*C786)&lt;='Assumptions and Catalog'!$C$62,((D786+E786)*C786)*'Assumptions and Catalog'!$H$62+'Assumptions and Catalog'!$E$62+'Assumptions and Catalog'!$F$62,IF(((D786+E786)*C786)&lt;='Assumptions and Catalog'!$C$63,((D786+E786)*C786)*'Assumptions and Catalog'!$H$63+'Assumptions and Catalog'!$E$63+'Assumptions and Catalog'!$F$63,IF(((D786+E786)*C786)&lt;='Assumptions and Catalog'!$C$64,((D786+E786)*C786)*'Assumptions and Catalog'!$H$64+'Assumptions and Catalog'!$E$64+'Assumptions and Catalog'!$F$64,IF(((D786+E786)*C786)&lt;='Assumptions and Catalog'!$C$65,((D786+E786)*C786)*'Assumptions and Catalog'!$H$65+'Assumptions and Catalog'!$E$65+'Assumptions and Catalog'!$F$65,"Out of range")))))))))*(1+'Assumptions and Catalog'!$C$8)^(A786-1),0)</f>
        <v>8279</v>
      </c>
      <c r="N786" s="5">
        <f>IF(ISNUMBER(Inputs!$L$5),(IF(Inputs!$L$9="Actual flat rate",L786*Inputs!$L$10,IF(Inputs!$C$9="Residential",IF(L786&lt;='Assumptions and Catalog'!$C$50,L786*'Assumptions and Catalog'!$H$50+'Assumptions and Catalog'!$E$50+'Assumptions and Catalog'!$F$50,IF(L786&lt;='Assumptions and Catalog'!$C$51,L786*'Assumptions and Catalog'!$H$51+'Assumptions and Catalog'!$E$51+'Assumptions and Catalog'!$F$51,IF(L786&lt;='Assumptions and Catalog'!$C$52,L786*'Assumptions and Catalog'!$H$52+'Assumptions and Catalog'!$E$52+'Assumptions and Catalog'!$F$52,IF(L786&lt;='Assumptions and Catalog'!$C$53,L786*'Assumptions and Catalog'!$H$53+'Assumptions and Catalog'!$E$53+'Assumptions and Catalog'!$F$53,IF(L786&lt;='Assumptions and Catalog'!$C$54,L786*'Assumptions and Catalog'!$H$54+'Assumptions and Catalog'!$E$54+'Assumptions and Catalog'!$F$54,IF(L786&lt;='Assumptions and Catalog'!$C$55,L786*'Assumptions and Catalog'!$H$55+'Assumptions and Catalog'!$E$55+'Assumptions and Catalog'!$F$55,IF(L786&lt;='Assumptions and Catalog'!$C$56,L786*'Assumptions and Catalog'!$H$56+'Assumptions and Catalog'!$E$56+'Assumptions and Catalog'!$F$56,IF(L786&lt;='Assumptions and Catalog'!$C$57,L786*'Assumptions and Catalog'!$H$57+'Assumptions and Catalog'!$E$57+'Assumptions and Catalog'!$F$57,"Out of range")))))))),IF(L786&lt;='Assumptions and Catalog'!$C$60,L786*'Assumptions and Catalog'!$H$60+'Assumptions and Catalog'!$E$60+'Assumptions and Catalog'!$F$60,IF(L786&lt;='Assumptions and Catalog'!$C$61,L786*'Assumptions and Catalog'!$H$61+'Assumptions and Catalog'!$E$61+'Assumptions and Catalog'!$F$61,IF(L786&lt;='Assumptions and Catalog'!$C$62,L786*'Assumptions and Catalog'!$H$62+'Assumptions and Catalog'!$E$62+'Assumptions and Catalog'!$F$62,IF(L786&lt;='Assumptions and Catalog'!$C$63,L786*'Assumptions and Catalog'!$H$63+'Assumptions and Catalog'!$E$63+'Assumptions and Catalog'!$F$63,IF(L786&lt;='Assumptions and Catalog'!$C$64,L786*'Assumptions and Catalog'!$H$64+'Assumptions and Catalog'!$E$64+'Assumptions and Catalog'!$F$64,IF(L786&lt;='Assumptions and Catalog'!$C$65,L786*'Assumptions and Catalog'!$H$65+'Assumptions and Catalog'!$E$65+'Assumptions and Catalog'!$F$65,"Out of range")))))))))*(1+'Assumptions and Catalog'!$C$8)^(A786-1),0)</f>
        <v>5606.4417014404635</v>
      </c>
      <c r="O786" s="5">
        <f t="shared" si="55"/>
        <v>2672.5582985595365</v>
      </c>
      <c r="P786" s="5">
        <f>E$55*(1-L$14)*(1-'Assumptions and Catalog'!$C$23)^R786</f>
        <v>102.4</v>
      </c>
      <c r="Q786" s="5">
        <f>IF(ISNUMBER(Inputs!$L$5),(IF(Inputs!$L$9="Actual flat rate",((D786+E786)*C786-G786)*Inputs!$L$10,IF(Inputs!$C$9="Residential",IF(((D786+E786)*C786-G786)&lt;='Assumptions and Catalog'!$C$50,((D786+E786)*C786-G786)*'Assumptions and Catalog'!$H$50+'Assumptions and Catalog'!$E$50+'Assumptions and Catalog'!$F$50,IF(((D786+E786)*C786-G786)&lt;='Assumptions and Catalog'!$C$51,((D786+E786)*C786-G786)*'Assumptions and Catalog'!$H$51+'Assumptions and Catalog'!$E$51+'Assumptions and Catalog'!$F$51,IF(((D786+E786)*C786-G786)&lt;='Assumptions and Catalog'!$C$52,((D786+E786)*C786-G786)*'Assumptions and Catalog'!$H$52+'Assumptions and Catalog'!$E$52+'Assumptions and Catalog'!$F$52,IF(((D786+E786)*C786-G786)&lt;='Assumptions and Catalog'!$C$53,((D786+E786)*C786-G786)*'Assumptions and Catalog'!$H$53+'Assumptions and Catalog'!$E$53+'Assumptions and Catalog'!$F$53,IF(((D786+E786)*C786-G786)&lt;='Assumptions and Catalog'!$C$54,((D786+E786)*C786-G786)*'Assumptions and Catalog'!$H$54+'Assumptions and Catalog'!$E$54+'Assumptions and Catalog'!$F$54,IF(((D786+E786)*C786-G786)&lt;='Assumptions and Catalog'!$C$55,((D786+E786)*C786-G786)*'Assumptions and Catalog'!$H$55+'Assumptions and Catalog'!$E$55+'Assumptions and Catalog'!$F$55,IF(((D786+E786)*C786-G786)&lt;='Assumptions and Catalog'!$C$56,((D786+E786)*C786-G786)*'Assumptions and Catalog'!$H$56+'Assumptions and Catalog'!$E$56+'Assumptions and Catalog'!$F$56,IF(((D786+E786)*C786-G786)&lt;='Assumptions and Catalog'!$C$57,((D786+E786)*C786-G786)*'Assumptions and Catalog'!$H$57+'Assumptions and Catalog'!$E$57+'Assumptions and Catalog'!$F$57,"Out of range")))))))),IF(((D786+E786)*C786-G786)&lt;='Assumptions and Catalog'!$C$60,((D786+E786)*C786-G786)*'Assumptions and Catalog'!$H$60+'Assumptions and Catalog'!$E$60+'Assumptions and Catalog'!$F$60,IF(((D786+E786)*C786-G786)&lt;='Assumptions and Catalog'!$C$61,((D786+E786)*C786-G786)*'Assumptions and Catalog'!$H$61+'Assumptions and Catalog'!$E$61+'Assumptions and Catalog'!$F$61,IF(((D786+E786)*C786-G786)&lt;='Assumptions and Catalog'!$C$62,((D786+E786)*C786-G786)*'Assumptions and Catalog'!$H$62+'Assumptions and Catalog'!$E$62+'Assumptions and Catalog'!$F$62,IF(((D786+E786)*C786-G786)&lt;='Assumptions and Catalog'!$C$63,((D786+E786)*C786-G786)*'Assumptions and Catalog'!$H$63+'Assumptions and Catalog'!$E$63+'Assumptions and Catalog'!$F$63,IF(((D786+E786)*C786-G786)&lt;='Assumptions and Catalog'!$C$64,((D786+E786)*C786-G786)*'Assumptions and Catalog'!$H$64+'Assumptions and Catalog'!$E$64+'Assumptions and Catalog'!$F$64,IF(((D786+E786)*C786-G786)&lt;='Assumptions and Catalog'!$C$65,((D786+E786)*C786-G786)*'Assumptions and Catalog'!$H$65+'Assumptions and Catalog'!$E$65+'Assumptions and Catalog'!$F$65,"Out of range")))))))))*(1+'Assumptions and Catalog'!$C$8)^(A786-1),0)</f>
        <v>5606.4417014404635</v>
      </c>
      <c r="R786" s="5">
        <f>IF(AND('Assumptions and Catalog'!$C$19&gt;0,A786&gt;='Assumptions and Catalog'!$C$19),A786-'Assumptions and Catalog'!$C$19,A786-1)</f>
        <v>0</v>
      </c>
      <c r="S786" s="5">
        <f>F786+L786-(D786+E786)*C786-J786-K786-IF(E$52&gt;0,'Assumptions and Catalog'!$C$26*C786,0)</f>
        <v>0</v>
      </c>
      <c r="T786" s="5"/>
      <c r="U786" s="5"/>
    </row>
    <row r="787" spans="1:21" ht="23.1" customHeight="1" outlineLevel="1" x14ac:dyDescent="0.2">
      <c r="A787" s="5">
        <v>11</v>
      </c>
      <c r="B787" s="5">
        <v>7</v>
      </c>
      <c r="C787" s="5">
        <f>DAY(DATE('Assumptions and Catalog'!$C$24+A787-1,B787+1,0))</f>
        <v>31</v>
      </c>
      <c r="D787" s="5">
        <f>IF(ISNUMBER(Inputs!$L$5),Inputs!$L$5*Inputs!$L$6,0)</f>
        <v>40.35</v>
      </c>
      <c r="E787" s="5">
        <f>IF(ISNUMBER(Inputs!$L$5),Inputs!$L$5-D787,0)</f>
        <v>40.35</v>
      </c>
      <c r="F787" s="5">
        <f>E$51*'Assumptions and Catalog'!$C$31*C787*(1-'Assumptions and Catalog'!$C$10)^(A787-1)</f>
        <v>807.57810067718231</v>
      </c>
      <c r="G787" s="5">
        <f t="shared" si="52"/>
        <v>807.57810067718231</v>
      </c>
      <c r="H787" s="5">
        <f>I787/('Assumptions and Catalog'!$C$11*'Assumptions and Catalog'!$C$12)</f>
        <v>0</v>
      </c>
      <c r="I787" s="5">
        <f>MIN(E787*C787,P787*'Assumptions and Catalog'!$C$12*C787,(F787-G787)*'Assumptions and Catalog'!$C$11*'Assumptions and Catalog'!$C$12,E$56*'Assumptions and Catalog'!$C$14*'Assumptions and Catalog'!$C$11*'Assumptions and Catalog'!$C$12*C787,E$57*(24-'Assumptions and Catalog'!$C$13)*C787)</f>
        <v>0</v>
      </c>
      <c r="J787" s="5">
        <f t="shared" si="53"/>
        <v>0</v>
      </c>
      <c r="K787" s="5">
        <f t="shared" si="54"/>
        <v>0</v>
      </c>
      <c r="L787" s="5">
        <f>(D787+E787)*C787-G787-I787+0+IF(E$52&gt;0,'Assumptions and Catalog'!$C$26*C787,0)</f>
        <v>1694.1218993228181</v>
      </c>
      <c r="M787" s="5">
        <f>IF(ISNUMBER(Inputs!$L$5),(IF(Inputs!$L$9="Actual flat rate",((D787+E787)*C787)*Inputs!$L$10,IF(Inputs!$C$9="Residential",IF(((D787+E787)*C787)&lt;='Assumptions and Catalog'!$C$50,((D787+E787)*C787)*'Assumptions and Catalog'!$H$50+'Assumptions and Catalog'!$E$50+'Assumptions and Catalog'!$F$50,IF(((D787+E787)*C787)&lt;='Assumptions and Catalog'!$C$51,((D787+E787)*C787)*'Assumptions and Catalog'!$H$51+'Assumptions and Catalog'!$E$51+'Assumptions and Catalog'!$F$51,IF(((D787+E787)*C787)&lt;='Assumptions and Catalog'!$C$52,((D787+E787)*C787)*'Assumptions and Catalog'!$H$52+'Assumptions and Catalog'!$E$52+'Assumptions and Catalog'!$F$52,IF(((D787+E787)*C787)&lt;='Assumptions and Catalog'!$C$53,((D787+E787)*C787)*'Assumptions and Catalog'!$H$53+'Assumptions and Catalog'!$E$53+'Assumptions and Catalog'!$F$53,IF(((D787+E787)*C787)&lt;='Assumptions and Catalog'!$C$54,((D787+E787)*C787)*'Assumptions and Catalog'!$H$54+'Assumptions and Catalog'!$E$54+'Assumptions and Catalog'!$F$54,IF(((D787+E787)*C787)&lt;='Assumptions and Catalog'!$C$55,((D787+E787)*C787)*'Assumptions and Catalog'!$H$55+'Assumptions and Catalog'!$E$55+'Assumptions and Catalog'!$F$55,IF(((D787+E787)*C787)&lt;='Assumptions and Catalog'!$C$56,((D787+E787)*C787)*'Assumptions and Catalog'!$H$56+'Assumptions and Catalog'!$E$56+'Assumptions and Catalog'!$F$56,IF(((D787+E787)*C787)&lt;='Assumptions and Catalog'!$C$57,((D787+E787)*C787)*'Assumptions and Catalog'!$H$57+'Assumptions and Catalog'!$E$57+'Assumptions and Catalog'!$F$57,"Out of range")))))))),IF(((D787+E787)*C787)&lt;='Assumptions and Catalog'!$C$60,((D787+E787)*C787)*'Assumptions and Catalog'!$H$60+'Assumptions and Catalog'!$E$60+'Assumptions and Catalog'!$F$60,IF(((D787+E787)*C787)&lt;='Assumptions and Catalog'!$C$61,((D787+E787)*C787)*'Assumptions and Catalog'!$H$61+'Assumptions and Catalog'!$E$61+'Assumptions and Catalog'!$F$61,IF(((D787+E787)*C787)&lt;='Assumptions and Catalog'!$C$62,((D787+E787)*C787)*'Assumptions and Catalog'!$H$62+'Assumptions and Catalog'!$E$62+'Assumptions and Catalog'!$F$62,IF(((D787+E787)*C787)&lt;='Assumptions and Catalog'!$C$63,((D787+E787)*C787)*'Assumptions and Catalog'!$H$63+'Assumptions and Catalog'!$E$63+'Assumptions and Catalog'!$F$63,IF(((D787+E787)*C787)&lt;='Assumptions and Catalog'!$C$64,((D787+E787)*C787)*'Assumptions and Catalog'!$H$64+'Assumptions and Catalog'!$E$64+'Assumptions and Catalog'!$F$64,IF(((D787+E787)*C787)&lt;='Assumptions and Catalog'!$C$65,((D787+E787)*C787)*'Assumptions and Catalog'!$H$65+'Assumptions and Catalog'!$E$65+'Assumptions and Catalog'!$F$65,"Out of range")))))))))*(1+'Assumptions and Catalog'!$C$8)^(A787-1),0)</f>
        <v>8554.9666666666672</v>
      </c>
      <c r="N787" s="5">
        <f>IF(ISNUMBER(Inputs!$L$5),(IF(Inputs!$L$9="Actual flat rate",L787*Inputs!$L$10,IF(Inputs!$C$9="Residential",IF(L787&lt;='Assumptions and Catalog'!$C$50,L787*'Assumptions and Catalog'!$H$50+'Assumptions and Catalog'!$E$50+'Assumptions and Catalog'!$F$50,IF(L787&lt;='Assumptions and Catalog'!$C$51,L787*'Assumptions and Catalog'!$H$51+'Assumptions and Catalog'!$E$51+'Assumptions and Catalog'!$F$51,IF(L787&lt;='Assumptions and Catalog'!$C$52,L787*'Assumptions and Catalog'!$H$52+'Assumptions and Catalog'!$E$52+'Assumptions and Catalog'!$F$52,IF(L787&lt;='Assumptions and Catalog'!$C$53,L787*'Assumptions and Catalog'!$H$53+'Assumptions and Catalog'!$E$53+'Assumptions and Catalog'!$F$53,IF(L787&lt;='Assumptions and Catalog'!$C$54,L787*'Assumptions and Catalog'!$H$54+'Assumptions and Catalog'!$E$54+'Assumptions and Catalog'!$F$54,IF(L787&lt;='Assumptions and Catalog'!$C$55,L787*'Assumptions and Catalog'!$H$55+'Assumptions and Catalog'!$E$55+'Assumptions and Catalog'!$F$55,IF(L787&lt;='Assumptions and Catalog'!$C$56,L787*'Assumptions and Catalog'!$H$56+'Assumptions and Catalog'!$E$56+'Assumptions and Catalog'!$F$56,IF(L787&lt;='Assumptions and Catalog'!$C$57,L787*'Assumptions and Catalog'!$H$57+'Assumptions and Catalog'!$E$57+'Assumptions and Catalog'!$F$57,"Out of range")))))))),IF(L787&lt;='Assumptions and Catalog'!$C$60,L787*'Assumptions and Catalog'!$H$60+'Assumptions and Catalog'!$E$60+'Assumptions and Catalog'!$F$60,IF(L787&lt;='Assumptions and Catalog'!$C$61,L787*'Assumptions and Catalog'!$H$61+'Assumptions and Catalog'!$E$61+'Assumptions and Catalog'!$F$61,IF(L787&lt;='Assumptions and Catalog'!$C$62,L787*'Assumptions and Catalog'!$H$62+'Assumptions and Catalog'!$E$62+'Assumptions and Catalog'!$F$62,IF(L787&lt;='Assumptions and Catalog'!$C$63,L787*'Assumptions and Catalog'!$H$63+'Assumptions and Catalog'!$E$63+'Assumptions and Catalog'!$F$63,IF(L787&lt;='Assumptions and Catalog'!$C$64,L787*'Assumptions and Catalog'!$H$64+'Assumptions and Catalog'!$E$64+'Assumptions and Catalog'!$F$64,IF(L787&lt;='Assumptions and Catalog'!$C$65,L787*'Assumptions and Catalog'!$H$65+'Assumptions and Catalog'!$E$65+'Assumptions and Catalog'!$F$65,"Out of range")))))))))*(1+'Assumptions and Catalog'!$C$8)^(A787-1),0)</f>
        <v>5793.3230914884798</v>
      </c>
      <c r="O787" s="5">
        <f t="shared" si="55"/>
        <v>2761.6435751781873</v>
      </c>
      <c r="P787" s="5">
        <f>E$55*(1-L$14)*(1-'Assumptions and Catalog'!$C$23)^R787</f>
        <v>102.4</v>
      </c>
      <c r="Q787" s="5">
        <f>IF(ISNUMBER(Inputs!$L$5),(IF(Inputs!$L$9="Actual flat rate",((D787+E787)*C787-G787)*Inputs!$L$10,IF(Inputs!$C$9="Residential",IF(((D787+E787)*C787-G787)&lt;='Assumptions and Catalog'!$C$50,((D787+E787)*C787-G787)*'Assumptions and Catalog'!$H$50+'Assumptions and Catalog'!$E$50+'Assumptions and Catalog'!$F$50,IF(((D787+E787)*C787-G787)&lt;='Assumptions and Catalog'!$C$51,((D787+E787)*C787-G787)*'Assumptions and Catalog'!$H$51+'Assumptions and Catalog'!$E$51+'Assumptions and Catalog'!$F$51,IF(((D787+E787)*C787-G787)&lt;='Assumptions and Catalog'!$C$52,((D787+E787)*C787-G787)*'Assumptions and Catalog'!$H$52+'Assumptions and Catalog'!$E$52+'Assumptions and Catalog'!$F$52,IF(((D787+E787)*C787-G787)&lt;='Assumptions and Catalog'!$C$53,((D787+E787)*C787-G787)*'Assumptions and Catalog'!$H$53+'Assumptions and Catalog'!$E$53+'Assumptions and Catalog'!$F$53,IF(((D787+E787)*C787-G787)&lt;='Assumptions and Catalog'!$C$54,((D787+E787)*C787-G787)*'Assumptions and Catalog'!$H$54+'Assumptions and Catalog'!$E$54+'Assumptions and Catalog'!$F$54,IF(((D787+E787)*C787-G787)&lt;='Assumptions and Catalog'!$C$55,((D787+E787)*C787-G787)*'Assumptions and Catalog'!$H$55+'Assumptions and Catalog'!$E$55+'Assumptions and Catalog'!$F$55,IF(((D787+E787)*C787-G787)&lt;='Assumptions and Catalog'!$C$56,((D787+E787)*C787-G787)*'Assumptions and Catalog'!$H$56+'Assumptions and Catalog'!$E$56+'Assumptions and Catalog'!$F$56,IF(((D787+E787)*C787-G787)&lt;='Assumptions and Catalog'!$C$57,((D787+E787)*C787-G787)*'Assumptions and Catalog'!$H$57+'Assumptions and Catalog'!$E$57+'Assumptions and Catalog'!$F$57,"Out of range")))))))),IF(((D787+E787)*C787-G787)&lt;='Assumptions and Catalog'!$C$60,((D787+E787)*C787-G787)*'Assumptions and Catalog'!$H$60+'Assumptions and Catalog'!$E$60+'Assumptions and Catalog'!$F$60,IF(((D787+E787)*C787-G787)&lt;='Assumptions and Catalog'!$C$61,((D787+E787)*C787-G787)*'Assumptions and Catalog'!$H$61+'Assumptions and Catalog'!$E$61+'Assumptions and Catalog'!$F$61,IF(((D787+E787)*C787-G787)&lt;='Assumptions and Catalog'!$C$62,((D787+E787)*C787-G787)*'Assumptions and Catalog'!$H$62+'Assumptions and Catalog'!$E$62+'Assumptions and Catalog'!$F$62,IF(((D787+E787)*C787-G787)&lt;='Assumptions and Catalog'!$C$63,((D787+E787)*C787-G787)*'Assumptions and Catalog'!$H$63+'Assumptions and Catalog'!$E$63+'Assumptions and Catalog'!$F$63,IF(((D787+E787)*C787-G787)&lt;='Assumptions and Catalog'!$C$64,((D787+E787)*C787-G787)*'Assumptions and Catalog'!$H$64+'Assumptions and Catalog'!$E$64+'Assumptions and Catalog'!$F$64,IF(((D787+E787)*C787-G787)&lt;='Assumptions and Catalog'!$C$65,((D787+E787)*C787-G787)*'Assumptions and Catalog'!$H$65+'Assumptions and Catalog'!$E$65+'Assumptions and Catalog'!$F$65,"Out of range")))))))))*(1+'Assumptions and Catalog'!$C$8)^(A787-1),0)</f>
        <v>5793.3230914884798</v>
      </c>
      <c r="R787" s="5">
        <f>IF(AND('Assumptions and Catalog'!$C$19&gt;0,A787&gt;='Assumptions and Catalog'!$C$19),A787-'Assumptions and Catalog'!$C$19,A787-1)</f>
        <v>0</v>
      </c>
      <c r="S787" s="5">
        <f>F787+L787-(D787+E787)*C787-J787-K787-IF(E$52&gt;0,'Assumptions and Catalog'!$C$26*C787,0)</f>
        <v>0</v>
      </c>
      <c r="T787" s="5"/>
      <c r="U787" s="5"/>
    </row>
    <row r="788" spans="1:21" ht="23.1" customHeight="1" outlineLevel="1" x14ac:dyDescent="0.2">
      <c r="A788" s="5">
        <v>11</v>
      </c>
      <c r="B788" s="5">
        <v>8</v>
      </c>
      <c r="C788" s="5">
        <f>DAY(DATE('Assumptions and Catalog'!$C$24+A788-1,B788+1,0))</f>
        <v>31</v>
      </c>
      <c r="D788" s="5">
        <f>IF(ISNUMBER(Inputs!$L$5),Inputs!$L$5*Inputs!$L$6,0)</f>
        <v>40.35</v>
      </c>
      <c r="E788" s="5">
        <f>IF(ISNUMBER(Inputs!$L$5),Inputs!$L$5-D788,0)</f>
        <v>40.35</v>
      </c>
      <c r="F788" s="5">
        <f>E$51*'Assumptions and Catalog'!$C$31*C788*(1-'Assumptions and Catalog'!$C$10)^(A788-1)</f>
        <v>807.57810067718231</v>
      </c>
      <c r="G788" s="5">
        <f t="shared" si="52"/>
        <v>807.57810067718231</v>
      </c>
      <c r="H788" s="5">
        <f>I788/('Assumptions and Catalog'!$C$11*'Assumptions and Catalog'!$C$12)</f>
        <v>0</v>
      </c>
      <c r="I788" s="5">
        <f>MIN(E788*C788,P788*'Assumptions and Catalog'!$C$12*C788,(F788-G788)*'Assumptions and Catalog'!$C$11*'Assumptions and Catalog'!$C$12,E$56*'Assumptions and Catalog'!$C$14*'Assumptions and Catalog'!$C$11*'Assumptions and Catalog'!$C$12*C788,E$57*(24-'Assumptions and Catalog'!$C$13)*C788)</f>
        <v>0</v>
      </c>
      <c r="J788" s="5">
        <f t="shared" si="53"/>
        <v>0</v>
      </c>
      <c r="K788" s="5">
        <f t="shared" si="54"/>
        <v>0</v>
      </c>
      <c r="L788" s="5">
        <f>(D788+E788)*C788-G788-I788+0+IF(E$52&gt;0,'Assumptions and Catalog'!$C$26*C788,0)</f>
        <v>1694.1218993228181</v>
      </c>
      <c r="M788" s="5">
        <f>IF(ISNUMBER(Inputs!$L$5),(IF(Inputs!$L$9="Actual flat rate",((D788+E788)*C788)*Inputs!$L$10,IF(Inputs!$C$9="Residential",IF(((D788+E788)*C788)&lt;='Assumptions and Catalog'!$C$50,((D788+E788)*C788)*'Assumptions and Catalog'!$H$50+'Assumptions and Catalog'!$E$50+'Assumptions and Catalog'!$F$50,IF(((D788+E788)*C788)&lt;='Assumptions and Catalog'!$C$51,((D788+E788)*C788)*'Assumptions and Catalog'!$H$51+'Assumptions and Catalog'!$E$51+'Assumptions and Catalog'!$F$51,IF(((D788+E788)*C788)&lt;='Assumptions and Catalog'!$C$52,((D788+E788)*C788)*'Assumptions and Catalog'!$H$52+'Assumptions and Catalog'!$E$52+'Assumptions and Catalog'!$F$52,IF(((D788+E788)*C788)&lt;='Assumptions and Catalog'!$C$53,((D788+E788)*C788)*'Assumptions and Catalog'!$H$53+'Assumptions and Catalog'!$E$53+'Assumptions and Catalog'!$F$53,IF(((D788+E788)*C788)&lt;='Assumptions and Catalog'!$C$54,((D788+E788)*C788)*'Assumptions and Catalog'!$H$54+'Assumptions and Catalog'!$E$54+'Assumptions and Catalog'!$F$54,IF(((D788+E788)*C788)&lt;='Assumptions and Catalog'!$C$55,((D788+E788)*C788)*'Assumptions and Catalog'!$H$55+'Assumptions and Catalog'!$E$55+'Assumptions and Catalog'!$F$55,IF(((D788+E788)*C788)&lt;='Assumptions and Catalog'!$C$56,((D788+E788)*C788)*'Assumptions and Catalog'!$H$56+'Assumptions and Catalog'!$E$56+'Assumptions and Catalog'!$F$56,IF(((D788+E788)*C788)&lt;='Assumptions and Catalog'!$C$57,((D788+E788)*C788)*'Assumptions and Catalog'!$H$57+'Assumptions and Catalog'!$E$57+'Assumptions and Catalog'!$F$57,"Out of range")))))))),IF(((D788+E788)*C788)&lt;='Assumptions and Catalog'!$C$60,((D788+E788)*C788)*'Assumptions and Catalog'!$H$60+'Assumptions and Catalog'!$E$60+'Assumptions and Catalog'!$F$60,IF(((D788+E788)*C788)&lt;='Assumptions and Catalog'!$C$61,((D788+E788)*C788)*'Assumptions and Catalog'!$H$61+'Assumptions and Catalog'!$E$61+'Assumptions and Catalog'!$F$61,IF(((D788+E788)*C788)&lt;='Assumptions and Catalog'!$C$62,((D788+E788)*C788)*'Assumptions and Catalog'!$H$62+'Assumptions and Catalog'!$E$62+'Assumptions and Catalog'!$F$62,IF(((D788+E788)*C788)&lt;='Assumptions and Catalog'!$C$63,((D788+E788)*C788)*'Assumptions and Catalog'!$H$63+'Assumptions and Catalog'!$E$63+'Assumptions and Catalog'!$F$63,IF(((D788+E788)*C788)&lt;='Assumptions and Catalog'!$C$64,((D788+E788)*C788)*'Assumptions and Catalog'!$H$64+'Assumptions and Catalog'!$E$64+'Assumptions and Catalog'!$F$64,IF(((D788+E788)*C788)&lt;='Assumptions and Catalog'!$C$65,((D788+E788)*C788)*'Assumptions and Catalog'!$H$65+'Assumptions and Catalog'!$E$65+'Assumptions and Catalog'!$F$65,"Out of range")))))))))*(1+'Assumptions and Catalog'!$C$8)^(A788-1),0)</f>
        <v>8554.9666666666672</v>
      </c>
      <c r="N788" s="5">
        <f>IF(ISNUMBER(Inputs!$L$5),(IF(Inputs!$L$9="Actual flat rate",L788*Inputs!$L$10,IF(Inputs!$C$9="Residential",IF(L788&lt;='Assumptions and Catalog'!$C$50,L788*'Assumptions and Catalog'!$H$50+'Assumptions and Catalog'!$E$50+'Assumptions and Catalog'!$F$50,IF(L788&lt;='Assumptions and Catalog'!$C$51,L788*'Assumptions and Catalog'!$H$51+'Assumptions and Catalog'!$E$51+'Assumptions and Catalog'!$F$51,IF(L788&lt;='Assumptions and Catalog'!$C$52,L788*'Assumptions and Catalog'!$H$52+'Assumptions and Catalog'!$E$52+'Assumptions and Catalog'!$F$52,IF(L788&lt;='Assumptions and Catalog'!$C$53,L788*'Assumptions and Catalog'!$H$53+'Assumptions and Catalog'!$E$53+'Assumptions and Catalog'!$F$53,IF(L788&lt;='Assumptions and Catalog'!$C$54,L788*'Assumptions and Catalog'!$H$54+'Assumptions and Catalog'!$E$54+'Assumptions and Catalog'!$F$54,IF(L788&lt;='Assumptions and Catalog'!$C$55,L788*'Assumptions and Catalog'!$H$55+'Assumptions and Catalog'!$E$55+'Assumptions and Catalog'!$F$55,IF(L788&lt;='Assumptions and Catalog'!$C$56,L788*'Assumptions and Catalog'!$H$56+'Assumptions and Catalog'!$E$56+'Assumptions and Catalog'!$F$56,IF(L788&lt;='Assumptions and Catalog'!$C$57,L788*'Assumptions and Catalog'!$H$57+'Assumptions and Catalog'!$E$57+'Assumptions and Catalog'!$F$57,"Out of range")))))))),IF(L788&lt;='Assumptions and Catalog'!$C$60,L788*'Assumptions and Catalog'!$H$60+'Assumptions and Catalog'!$E$60+'Assumptions and Catalog'!$F$60,IF(L788&lt;='Assumptions and Catalog'!$C$61,L788*'Assumptions and Catalog'!$H$61+'Assumptions and Catalog'!$E$61+'Assumptions and Catalog'!$F$61,IF(L788&lt;='Assumptions and Catalog'!$C$62,L788*'Assumptions and Catalog'!$H$62+'Assumptions and Catalog'!$E$62+'Assumptions and Catalog'!$F$62,IF(L788&lt;='Assumptions and Catalog'!$C$63,L788*'Assumptions and Catalog'!$H$63+'Assumptions and Catalog'!$E$63+'Assumptions and Catalog'!$F$63,IF(L788&lt;='Assumptions and Catalog'!$C$64,L788*'Assumptions and Catalog'!$H$64+'Assumptions and Catalog'!$E$64+'Assumptions and Catalog'!$F$64,IF(L788&lt;='Assumptions and Catalog'!$C$65,L788*'Assumptions and Catalog'!$H$65+'Assumptions and Catalog'!$E$65+'Assumptions and Catalog'!$F$65,"Out of range")))))))))*(1+'Assumptions and Catalog'!$C$8)^(A788-1),0)</f>
        <v>5793.3230914884798</v>
      </c>
      <c r="O788" s="5">
        <f t="shared" si="55"/>
        <v>2761.6435751781873</v>
      </c>
      <c r="P788" s="5">
        <f>E$55*(1-L$14)*(1-'Assumptions and Catalog'!$C$23)^R788</f>
        <v>102.4</v>
      </c>
      <c r="Q788" s="5">
        <f>IF(ISNUMBER(Inputs!$L$5),(IF(Inputs!$L$9="Actual flat rate",((D788+E788)*C788-G788)*Inputs!$L$10,IF(Inputs!$C$9="Residential",IF(((D788+E788)*C788-G788)&lt;='Assumptions and Catalog'!$C$50,((D788+E788)*C788-G788)*'Assumptions and Catalog'!$H$50+'Assumptions and Catalog'!$E$50+'Assumptions and Catalog'!$F$50,IF(((D788+E788)*C788-G788)&lt;='Assumptions and Catalog'!$C$51,((D788+E788)*C788-G788)*'Assumptions and Catalog'!$H$51+'Assumptions and Catalog'!$E$51+'Assumptions and Catalog'!$F$51,IF(((D788+E788)*C788-G788)&lt;='Assumptions and Catalog'!$C$52,((D788+E788)*C788-G788)*'Assumptions and Catalog'!$H$52+'Assumptions and Catalog'!$E$52+'Assumptions and Catalog'!$F$52,IF(((D788+E788)*C788-G788)&lt;='Assumptions and Catalog'!$C$53,((D788+E788)*C788-G788)*'Assumptions and Catalog'!$H$53+'Assumptions and Catalog'!$E$53+'Assumptions and Catalog'!$F$53,IF(((D788+E788)*C788-G788)&lt;='Assumptions and Catalog'!$C$54,((D788+E788)*C788-G788)*'Assumptions and Catalog'!$H$54+'Assumptions and Catalog'!$E$54+'Assumptions and Catalog'!$F$54,IF(((D788+E788)*C788-G788)&lt;='Assumptions and Catalog'!$C$55,((D788+E788)*C788-G788)*'Assumptions and Catalog'!$H$55+'Assumptions and Catalog'!$E$55+'Assumptions and Catalog'!$F$55,IF(((D788+E788)*C788-G788)&lt;='Assumptions and Catalog'!$C$56,((D788+E788)*C788-G788)*'Assumptions and Catalog'!$H$56+'Assumptions and Catalog'!$E$56+'Assumptions and Catalog'!$F$56,IF(((D788+E788)*C788-G788)&lt;='Assumptions and Catalog'!$C$57,((D788+E788)*C788-G788)*'Assumptions and Catalog'!$H$57+'Assumptions and Catalog'!$E$57+'Assumptions and Catalog'!$F$57,"Out of range")))))))),IF(((D788+E788)*C788-G788)&lt;='Assumptions and Catalog'!$C$60,((D788+E788)*C788-G788)*'Assumptions and Catalog'!$H$60+'Assumptions and Catalog'!$E$60+'Assumptions and Catalog'!$F$60,IF(((D788+E788)*C788-G788)&lt;='Assumptions and Catalog'!$C$61,((D788+E788)*C788-G788)*'Assumptions and Catalog'!$H$61+'Assumptions and Catalog'!$E$61+'Assumptions and Catalog'!$F$61,IF(((D788+E788)*C788-G788)&lt;='Assumptions and Catalog'!$C$62,((D788+E788)*C788-G788)*'Assumptions and Catalog'!$H$62+'Assumptions and Catalog'!$E$62+'Assumptions and Catalog'!$F$62,IF(((D788+E788)*C788-G788)&lt;='Assumptions and Catalog'!$C$63,((D788+E788)*C788-G788)*'Assumptions and Catalog'!$H$63+'Assumptions and Catalog'!$E$63+'Assumptions and Catalog'!$F$63,IF(((D788+E788)*C788-G788)&lt;='Assumptions and Catalog'!$C$64,((D788+E788)*C788-G788)*'Assumptions and Catalog'!$H$64+'Assumptions and Catalog'!$E$64+'Assumptions and Catalog'!$F$64,IF(((D788+E788)*C788-G788)&lt;='Assumptions and Catalog'!$C$65,((D788+E788)*C788-G788)*'Assumptions and Catalog'!$H$65+'Assumptions and Catalog'!$E$65+'Assumptions and Catalog'!$F$65,"Out of range")))))))))*(1+'Assumptions and Catalog'!$C$8)^(A788-1),0)</f>
        <v>5793.3230914884798</v>
      </c>
      <c r="R788" s="5">
        <f>IF(AND('Assumptions and Catalog'!$C$19&gt;0,A788&gt;='Assumptions and Catalog'!$C$19),A788-'Assumptions and Catalog'!$C$19,A788-1)</f>
        <v>0</v>
      </c>
      <c r="S788" s="5">
        <f>F788+L788-(D788+E788)*C788-J788-K788-IF(E$52&gt;0,'Assumptions and Catalog'!$C$26*C788,0)</f>
        <v>0</v>
      </c>
      <c r="T788" s="5"/>
      <c r="U788" s="5"/>
    </row>
    <row r="789" spans="1:21" ht="23.1" customHeight="1" outlineLevel="1" x14ac:dyDescent="0.2">
      <c r="A789" s="5">
        <v>11</v>
      </c>
      <c r="B789" s="5">
        <v>9</v>
      </c>
      <c r="C789" s="5">
        <f>DAY(DATE('Assumptions and Catalog'!$C$24+A789-1,B789+1,0))</f>
        <v>30</v>
      </c>
      <c r="D789" s="5">
        <f>IF(ISNUMBER(Inputs!$L$5),Inputs!$L$5*Inputs!$L$6,0)</f>
        <v>40.35</v>
      </c>
      <c r="E789" s="5">
        <f>IF(ISNUMBER(Inputs!$L$5),Inputs!$L$5-D789,0)</f>
        <v>40.35</v>
      </c>
      <c r="F789" s="5">
        <f>E$51*'Assumptions and Catalog'!$C$31*C789*(1-'Assumptions and Catalog'!$C$10)^(A789-1)</f>
        <v>781.52719420372489</v>
      </c>
      <c r="G789" s="5">
        <f t="shared" ref="G789:G852" si="56">MIN(F789,D789*C789)</f>
        <v>781.52719420372489</v>
      </c>
      <c r="H789" s="5">
        <f>I789/('Assumptions and Catalog'!$C$11*'Assumptions and Catalog'!$C$12)</f>
        <v>0</v>
      </c>
      <c r="I789" s="5">
        <f>MIN(E789*C789,P789*'Assumptions and Catalog'!$C$12*C789,(F789-G789)*'Assumptions and Catalog'!$C$11*'Assumptions and Catalog'!$C$12,E$56*'Assumptions and Catalog'!$C$14*'Assumptions and Catalog'!$C$11*'Assumptions and Catalog'!$C$12*C789,E$57*(24-'Assumptions and Catalog'!$C$13)*C789)</f>
        <v>0</v>
      </c>
      <c r="J789" s="5">
        <f t="shared" ref="J789:J852" si="57">MAX(F789-G789-H789,0)</f>
        <v>0</v>
      </c>
      <c r="K789" s="5">
        <f t="shared" ref="K789:K852" si="58">H789-I789</f>
        <v>0</v>
      </c>
      <c r="L789" s="5">
        <f>(D789+E789)*C789-G789-I789+0+IF(E$52&gt;0,'Assumptions and Catalog'!$C$26*C789,0)</f>
        <v>1639.4728057962752</v>
      </c>
      <c r="M789" s="5">
        <f>IF(ISNUMBER(Inputs!$L$5),(IF(Inputs!$L$9="Actual flat rate",((D789+E789)*C789)*Inputs!$L$10,IF(Inputs!$C$9="Residential",IF(((D789+E789)*C789)&lt;='Assumptions and Catalog'!$C$50,((D789+E789)*C789)*'Assumptions and Catalog'!$H$50+'Assumptions and Catalog'!$E$50+'Assumptions and Catalog'!$F$50,IF(((D789+E789)*C789)&lt;='Assumptions and Catalog'!$C$51,((D789+E789)*C789)*'Assumptions and Catalog'!$H$51+'Assumptions and Catalog'!$E$51+'Assumptions and Catalog'!$F$51,IF(((D789+E789)*C789)&lt;='Assumptions and Catalog'!$C$52,((D789+E789)*C789)*'Assumptions and Catalog'!$H$52+'Assumptions and Catalog'!$E$52+'Assumptions and Catalog'!$F$52,IF(((D789+E789)*C789)&lt;='Assumptions and Catalog'!$C$53,((D789+E789)*C789)*'Assumptions and Catalog'!$H$53+'Assumptions and Catalog'!$E$53+'Assumptions and Catalog'!$F$53,IF(((D789+E789)*C789)&lt;='Assumptions and Catalog'!$C$54,((D789+E789)*C789)*'Assumptions and Catalog'!$H$54+'Assumptions and Catalog'!$E$54+'Assumptions and Catalog'!$F$54,IF(((D789+E789)*C789)&lt;='Assumptions and Catalog'!$C$55,((D789+E789)*C789)*'Assumptions and Catalog'!$H$55+'Assumptions and Catalog'!$E$55+'Assumptions and Catalog'!$F$55,IF(((D789+E789)*C789)&lt;='Assumptions and Catalog'!$C$56,((D789+E789)*C789)*'Assumptions and Catalog'!$H$56+'Assumptions and Catalog'!$E$56+'Assumptions and Catalog'!$F$56,IF(((D789+E789)*C789)&lt;='Assumptions and Catalog'!$C$57,((D789+E789)*C789)*'Assumptions and Catalog'!$H$57+'Assumptions and Catalog'!$E$57+'Assumptions and Catalog'!$F$57,"Out of range")))))))),IF(((D789+E789)*C789)&lt;='Assumptions and Catalog'!$C$60,((D789+E789)*C789)*'Assumptions and Catalog'!$H$60+'Assumptions and Catalog'!$E$60+'Assumptions and Catalog'!$F$60,IF(((D789+E789)*C789)&lt;='Assumptions and Catalog'!$C$61,((D789+E789)*C789)*'Assumptions and Catalog'!$H$61+'Assumptions and Catalog'!$E$61+'Assumptions and Catalog'!$F$61,IF(((D789+E789)*C789)&lt;='Assumptions and Catalog'!$C$62,((D789+E789)*C789)*'Assumptions and Catalog'!$H$62+'Assumptions and Catalog'!$E$62+'Assumptions and Catalog'!$F$62,IF(((D789+E789)*C789)&lt;='Assumptions and Catalog'!$C$63,((D789+E789)*C789)*'Assumptions and Catalog'!$H$63+'Assumptions and Catalog'!$E$63+'Assumptions and Catalog'!$F$63,IF(((D789+E789)*C789)&lt;='Assumptions and Catalog'!$C$64,((D789+E789)*C789)*'Assumptions and Catalog'!$H$64+'Assumptions and Catalog'!$E$64+'Assumptions and Catalog'!$F$64,IF(((D789+E789)*C789)&lt;='Assumptions and Catalog'!$C$65,((D789+E789)*C789)*'Assumptions and Catalog'!$H$65+'Assumptions and Catalog'!$E$65+'Assumptions and Catalog'!$F$65,"Out of range")))))))))*(1+'Assumptions and Catalog'!$C$8)^(A789-1),0)</f>
        <v>8279</v>
      </c>
      <c r="N789" s="5">
        <f>IF(ISNUMBER(Inputs!$L$5),(IF(Inputs!$L$9="Actual flat rate",L789*Inputs!$L$10,IF(Inputs!$C$9="Residential",IF(L789&lt;='Assumptions and Catalog'!$C$50,L789*'Assumptions and Catalog'!$H$50+'Assumptions and Catalog'!$E$50+'Assumptions and Catalog'!$F$50,IF(L789&lt;='Assumptions and Catalog'!$C$51,L789*'Assumptions and Catalog'!$H$51+'Assumptions and Catalog'!$E$51+'Assumptions and Catalog'!$F$51,IF(L789&lt;='Assumptions and Catalog'!$C$52,L789*'Assumptions and Catalog'!$H$52+'Assumptions and Catalog'!$E$52+'Assumptions and Catalog'!$F$52,IF(L789&lt;='Assumptions and Catalog'!$C$53,L789*'Assumptions and Catalog'!$H$53+'Assumptions and Catalog'!$E$53+'Assumptions and Catalog'!$F$53,IF(L789&lt;='Assumptions and Catalog'!$C$54,L789*'Assumptions and Catalog'!$H$54+'Assumptions and Catalog'!$E$54+'Assumptions and Catalog'!$F$54,IF(L789&lt;='Assumptions and Catalog'!$C$55,L789*'Assumptions and Catalog'!$H$55+'Assumptions and Catalog'!$E$55+'Assumptions and Catalog'!$F$55,IF(L789&lt;='Assumptions and Catalog'!$C$56,L789*'Assumptions and Catalog'!$H$56+'Assumptions and Catalog'!$E$56+'Assumptions and Catalog'!$F$56,IF(L789&lt;='Assumptions and Catalog'!$C$57,L789*'Assumptions and Catalog'!$H$57+'Assumptions and Catalog'!$E$57+'Assumptions and Catalog'!$F$57,"Out of range")))))))),IF(L789&lt;='Assumptions and Catalog'!$C$60,L789*'Assumptions and Catalog'!$H$60+'Assumptions and Catalog'!$E$60+'Assumptions and Catalog'!$F$60,IF(L789&lt;='Assumptions and Catalog'!$C$61,L789*'Assumptions and Catalog'!$H$61+'Assumptions and Catalog'!$E$61+'Assumptions and Catalog'!$F$61,IF(L789&lt;='Assumptions and Catalog'!$C$62,L789*'Assumptions and Catalog'!$H$62+'Assumptions and Catalog'!$E$62+'Assumptions and Catalog'!$F$62,IF(L789&lt;='Assumptions and Catalog'!$C$63,L789*'Assumptions and Catalog'!$H$63+'Assumptions and Catalog'!$E$63+'Assumptions and Catalog'!$F$63,IF(L789&lt;='Assumptions and Catalog'!$C$64,L789*'Assumptions and Catalog'!$H$64+'Assumptions and Catalog'!$E$64+'Assumptions and Catalog'!$F$64,IF(L789&lt;='Assumptions and Catalog'!$C$65,L789*'Assumptions and Catalog'!$H$65+'Assumptions and Catalog'!$E$65+'Assumptions and Catalog'!$F$65,"Out of range")))))))))*(1+'Assumptions and Catalog'!$C$8)^(A789-1),0)</f>
        <v>5606.4417014404635</v>
      </c>
      <c r="O789" s="5">
        <f t="shared" ref="O789:O852" si="59">M789-N789</f>
        <v>2672.5582985595365</v>
      </c>
      <c r="P789" s="5">
        <f>E$55*(1-L$14)*(1-'Assumptions and Catalog'!$C$23)^R789</f>
        <v>102.4</v>
      </c>
      <c r="Q789" s="5">
        <f>IF(ISNUMBER(Inputs!$L$5),(IF(Inputs!$L$9="Actual flat rate",((D789+E789)*C789-G789)*Inputs!$L$10,IF(Inputs!$C$9="Residential",IF(((D789+E789)*C789-G789)&lt;='Assumptions and Catalog'!$C$50,((D789+E789)*C789-G789)*'Assumptions and Catalog'!$H$50+'Assumptions and Catalog'!$E$50+'Assumptions and Catalog'!$F$50,IF(((D789+E789)*C789-G789)&lt;='Assumptions and Catalog'!$C$51,((D789+E789)*C789-G789)*'Assumptions and Catalog'!$H$51+'Assumptions and Catalog'!$E$51+'Assumptions and Catalog'!$F$51,IF(((D789+E789)*C789-G789)&lt;='Assumptions and Catalog'!$C$52,((D789+E789)*C789-G789)*'Assumptions and Catalog'!$H$52+'Assumptions and Catalog'!$E$52+'Assumptions and Catalog'!$F$52,IF(((D789+E789)*C789-G789)&lt;='Assumptions and Catalog'!$C$53,((D789+E789)*C789-G789)*'Assumptions and Catalog'!$H$53+'Assumptions and Catalog'!$E$53+'Assumptions and Catalog'!$F$53,IF(((D789+E789)*C789-G789)&lt;='Assumptions and Catalog'!$C$54,((D789+E789)*C789-G789)*'Assumptions and Catalog'!$H$54+'Assumptions and Catalog'!$E$54+'Assumptions and Catalog'!$F$54,IF(((D789+E789)*C789-G789)&lt;='Assumptions and Catalog'!$C$55,((D789+E789)*C789-G789)*'Assumptions and Catalog'!$H$55+'Assumptions and Catalog'!$E$55+'Assumptions and Catalog'!$F$55,IF(((D789+E789)*C789-G789)&lt;='Assumptions and Catalog'!$C$56,((D789+E789)*C789-G789)*'Assumptions and Catalog'!$H$56+'Assumptions and Catalog'!$E$56+'Assumptions and Catalog'!$F$56,IF(((D789+E789)*C789-G789)&lt;='Assumptions and Catalog'!$C$57,((D789+E789)*C789-G789)*'Assumptions and Catalog'!$H$57+'Assumptions and Catalog'!$E$57+'Assumptions and Catalog'!$F$57,"Out of range")))))))),IF(((D789+E789)*C789-G789)&lt;='Assumptions and Catalog'!$C$60,((D789+E789)*C789-G789)*'Assumptions and Catalog'!$H$60+'Assumptions and Catalog'!$E$60+'Assumptions and Catalog'!$F$60,IF(((D789+E789)*C789-G789)&lt;='Assumptions and Catalog'!$C$61,((D789+E789)*C789-G789)*'Assumptions and Catalog'!$H$61+'Assumptions and Catalog'!$E$61+'Assumptions and Catalog'!$F$61,IF(((D789+E789)*C789-G789)&lt;='Assumptions and Catalog'!$C$62,((D789+E789)*C789-G789)*'Assumptions and Catalog'!$H$62+'Assumptions and Catalog'!$E$62+'Assumptions and Catalog'!$F$62,IF(((D789+E789)*C789-G789)&lt;='Assumptions and Catalog'!$C$63,((D789+E789)*C789-G789)*'Assumptions and Catalog'!$H$63+'Assumptions and Catalog'!$E$63+'Assumptions and Catalog'!$F$63,IF(((D789+E789)*C789-G789)&lt;='Assumptions and Catalog'!$C$64,((D789+E789)*C789-G789)*'Assumptions and Catalog'!$H$64+'Assumptions and Catalog'!$E$64+'Assumptions and Catalog'!$F$64,IF(((D789+E789)*C789-G789)&lt;='Assumptions and Catalog'!$C$65,((D789+E789)*C789-G789)*'Assumptions and Catalog'!$H$65+'Assumptions and Catalog'!$E$65+'Assumptions and Catalog'!$F$65,"Out of range")))))))))*(1+'Assumptions and Catalog'!$C$8)^(A789-1),0)</f>
        <v>5606.4417014404635</v>
      </c>
      <c r="R789" s="5">
        <f>IF(AND('Assumptions and Catalog'!$C$19&gt;0,A789&gt;='Assumptions and Catalog'!$C$19),A789-'Assumptions and Catalog'!$C$19,A789-1)</f>
        <v>0</v>
      </c>
      <c r="S789" s="5">
        <f>F789+L789-(D789+E789)*C789-J789-K789-IF(E$52&gt;0,'Assumptions and Catalog'!$C$26*C789,0)</f>
        <v>0</v>
      </c>
      <c r="T789" s="5"/>
      <c r="U789" s="5"/>
    </row>
    <row r="790" spans="1:21" ht="23.1" customHeight="1" outlineLevel="1" x14ac:dyDescent="0.2">
      <c r="A790" s="5">
        <v>11</v>
      </c>
      <c r="B790" s="5">
        <v>10</v>
      </c>
      <c r="C790" s="5">
        <f>DAY(DATE('Assumptions and Catalog'!$C$24+A790-1,B790+1,0))</f>
        <v>31</v>
      </c>
      <c r="D790" s="5">
        <f>IF(ISNUMBER(Inputs!$L$5),Inputs!$L$5*Inputs!$L$6,0)</f>
        <v>40.35</v>
      </c>
      <c r="E790" s="5">
        <f>IF(ISNUMBER(Inputs!$L$5),Inputs!$L$5-D790,0)</f>
        <v>40.35</v>
      </c>
      <c r="F790" s="5">
        <f>E$51*'Assumptions and Catalog'!$C$31*C790*(1-'Assumptions and Catalog'!$C$10)^(A790-1)</f>
        <v>807.57810067718231</v>
      </c>
      <c r="G790" s="5">
        <f t="shared" si="56"/>
        <v>807.57810067718231</v>
      </c>
      <c r="H790" s="5">
        <f>I790/('Assumptions and Catalog'!$C$11*'Assumptions and Catalog'!$C$12)</f>
        <v>0</v>
      </c>
      <c r="I790" s="5">
        <f>MIN(E790*C790,P790*'Assumptions and Catalog'!$C$12*C790,(F790-G790)*'Assumptions and Catalog'!$C$11*'Assumptions and Catalog'!$C$12,E$56*'Assumptions and Catalog'!$C$14*'Assumptions and Catalog'!$C$11*'Assumptions and Catalog'!$C$12*C790,E$57*(24-'Assumptions and Catalog'!$C$13)*C790)</f>
        <v>0</v>
      </c>
      <c r="J790" s="5">
        <f t="shared" si="57"/>
        <v>0</v>
      </c>
      <c r="K790" s="5">
        <f t="shared" si="58"/>
        <v>0</v>
      </c>
      <c r="L790" s="5">
        <f>(D790+E790)*C790-G790-I790+0+IF(E$52&gt;0,'Assumptions and Catalog'!$C$26*C790,0)</f>
        <v>1694.1218993228181</v>
      </c>
      <c r="M790" s="5">
        <f>IF(ISNUMBER(Inputs!$L$5),(IF(Inputs!$L$9="Actual flat rate",((D790+E790)*C790)*Inputs!$L$10,IF(Inputs!$C$9="Residential",IF(((D790+E790)*C790)&lt;='Assumptions and Catalog'!$C$50,((D790+E790)*C790)*'Assumptions and Catalog'!$H$50+'Assumptions and Catalog'!$E$50+'Assumptions and Catalog'!$F$50,IF(((D790+E790)*C790)&lt;='Assumptions and Catalog'!$C$51,((D790+E790)*C790)*'Assumptions and Catalog'!$H$51+'Assumptions and Catalog'!$E$51+'Assumptions and Catalog'!$F$51,IF(((D790+E790)*C790)&lt;='Assumptions and Catalog'!$C$52,((D790+E790)*C790)*'Assumptions and Catalog'!$H$52+'Assumptions and Catalog'!$E$52+'Assumptions and Catalog'!$F$52,IF(((D790+E790)*C790)&lt;='Assumptions and Catalog'!$C$53,((D790+E790)*C790)*'Assumptions and Catalog'!$H$53+'Assumptions and Catalog'!$E$53+'Assumptions and Catalog'!$F$53,IF(((D790+E790)*C790)&lt;='Assumptions and Catalog'!$C$54,((D790+E790)*C790)*'Assumptions and Catalog'!$H$54+'Assumptions and Catalog'!$E$54+'Assumptions and Catalog'!$F$54,IF(((D790+E790)*C790)&lt;='Assumptions and Catalog'!$C$55,((D790+E790)*C790)*'Assumptions and Catalog'!$H$55+'Assumptions and Catalog'!$E$55+'Assumptions and Catalog'!$F$55,IF(((D790+E790)*C790)&lt;='Assumptions and Catalog'!$C$56,((D790+E790)*C790)*'Assumptions and Catalog'!$H$56+'Assumptions and Catalog'!$E$56+'Assumptions and Catalog'!$F$56,IF(((D790+E790)*C790)&lt;='Assumptions and Catalog'!$C$57,((D790+E790)*C790)*'Assumptions and Catalog'!$H$57+'Assumptions and Catalog'!$E$57+'Assumptions and Catalog'!$F$57,"Out of range")))))))),IF(((D790+E790)*C790)&lt;='Assumptions and Catalog'!$C$60,((D790+E790)*C790)*'Assumptions and Catalog'!$H$60+'Assumptions and Catalog'!$E$60+'Assumptions and Catalog'!$F$60,IF(((D790+E790)*C790)&lt;='Assumptions and Catalog'!$C$61,((D790+E790)*C790)*'Assumptions and Catalog'!$H$61+'Assumptions and Catalog'!$E$61+'Assumptions and Catalog'!$F$61,IF(((D790+E790)*C790)&lt;='Assumptions and Catalog'!$C$62,((D790+E790)*C790)*'Assumptions and Catalog'!$H$62+'Assumptions and Catalog'!$E$62+'Assumptions and Catalog'!$F$62,IF(((D790+E790)*C790)&lt;='Assumptions and Catalog'!$C$63,((D790+E790)*C790)*'Assumptions and Catalog'!$H$63+'Assumptions and Catalog'!$E$63+'Assumptions and Catalog'!$F$63,IF(((D790+E790)*C790)&lt;='Assumptions and Catalog'!$C$64,((D790+E790)*C790)*'Assumptions and Catalog'!$H$64+'Assumptions and Catalog'!$E$64+'Assumptions and Catalog'!$F$64,IF(((D790+E790)*C790)&lt;='Assumptions and Catalog'!$C$65,((D790+E790)*C790)*'Assumptions and Catalog'!$H$65+'Assumptions and Catalog'!$E$65+'Assumptions and Catalog'!$F$65,"Out of range")))))))))*(1+'Assumptions and Catalog'!$C$8)^(A790-1),0)</f>
        <v>8554.9666666666672</v>
      </c>
      <c r="N790" s="5">
        <f>IF(ISNUMBER(Inputs!$L$5),(IF(Inputs!$L$9="Actual flat rate",L790*Inputs!$L$10,IF(Inputs!$C$9="Residential",IF(L790&lt;='Assumptions and Catalog'!$C$50,L790*'Assumptions and Catalog'!$H$50+'Assumptions and Catalog'!$E$50+'Assumptions and Catalog'!$F$50,IF(L790&lt;='Assumptions and Catalog'!$C$51,L790*'Assumptions and Catalog'!$H$51+'Assumptions and Catalog'!$E$51+'Assumptions and Catalog'!$F$51,IF(L790&lt;='Assumptions and Catalog'!$C$52,L790*'Assumptions and Catalog'!$H$52+'Assumptions and Catalog'!$E$52+'Assumptions and Catalog'!$F$52,IF(L790&lt;='Assumptions and Catalog'!$C$53,L790*'Assumptions and Catalog'!$H$53+'Assumptions and Catalog'!$E$53+'Assumptions and Catalog'!$F$53,IF(L790&lt;='Assumptions and Catalog'!$C$54,L790*'Assumptions and Catalog'!$H$54+'Assumptions and Catalog'!$E$54+'Assumptions and Catalog'!$F$54,IF(L790&lt;='Assumptions and Catalog'!$C$55,L790*'Assumptions and Catalog'!$H$55+'Assumptions and Catalog'!$E$55+'Assumptions and Catalog'!$F$55,IF(L790&lt;='Assumptions and Catalog'!$C$56,L790*'Assumptions and Catalog'!$H$56+'Assumptions and Catalog'!$E$56+'Assumptions and Catalog'!$F$56,IF(L790&lt;='Assumptions and Catalog'!$C$57,L790*'Assumptions and Catalog'!$H$57+'Assumptions and Catalog'!$E$57+'Assumptions and Catalog'!$F$57,"Out of range")))))))),IF(L790&lt;='Assumptions and Catalog'!$C$60,L790*'Assumptions and Catalog'!$H$60+'Assumptions and Catalog'!$E$60+'Assumptions and Catalog'!$F$60,IF(L790&lt;='Assumptions and Catalog'!$C$61,L790*'Assumptions and Catalog'!$H$61+'Assumptions and Catalog'!$E$61+'Assumptions and Catalog'!$F$61,IF(L790&lt;='Assumptions and Catalog'!$C$62,L790*'Assumptions and Catalog'!$H$62+'Assumptions and Catalog'!$E$62+'Assumptions and Catalog'!$F$62,IF(L790&lt;='Assumptions and Catalog'!$C$63,L790*'Assumptions and Catalog'!$H$63+'Assumptions and Catalog'!$E$63+'Assumptions and Catalog'!$F$63,IF(L790&lt;='Assumptions and Catalog'!$C$64,L790*'Assumptions and Catalog'!$H$64+'Assumptions and Catalog'!$E$64+'Assumptions and Catalog'!$F$64,IF(L790&lt;='Assumptions and Catalog'!$C$65,L790*'Assumptions and Catalog'!$H$65+'Assumptions and Catalog'!$E$65+'Assumptions and Catalog'!$F$65,"Out of range")))))))))*(1+'Assumptions and Catalog'!$C$8)^(A790-1),0)</f>
        <v>5793.3230914884798</v>
      </c>
      <c r="O790" s="5">
        <f t="shared" si="59"/>
        <v>2761.6435751781873</v>
      </c>
      <c r="P790" s="5">
        <f>E$55*(1-L$14)*(1-'Assumptions and Catalog'!$C$23)^R790</f>
        <v>102.4</v>
      </c>
      <c r="Q790" s="5">
        <f>IF(ISNUMBER(Inputs!$L$5),(IF(Inputs!$L$9="Actual flat rate",((D790+E790)*C790-G790)*Inputs!$L$10,IF(Inputs!$C$9="Residential",IF(((D790+E790)*C790-G790)&lt;='Assumptions and Catalog'!$C$50,((D790+E790)*C790-G790)*'Assumptions and Catalog'!$H$50+'Assumptions and Catalog'!$E$50+'Assumptions and Catalog'!$F$50,IF(((D790+E790)*C790-G790)&lt;='Assumptions and Catalog'!$C$51,((D790+E790)*C790-G790)*'Assumptions and Catalog'!$H$51+'Assumptions and Catalog'!$E$51+'Assumptions and Catalog'!$F$51,IF(((D790+E790)*C790-G790)&lt;='Assumptions and Catalog'!$C$52,((D790+E790)*C790-G790)*'Assumptions and Catalog'!$H$52+'Assumptions and Catalog'!$E$52+'Assumptions and Catalog'!$F$52,IF(((D790+E790)*C790-G790)&lt;='Assumptions and Catalog'!$C$53,((D790+E790)*C790-G790)*'Assumptions and Catalog'!$H$53+'Assumptions and Catalog'!$E$53+'Assumptions and Catalog'!$F$53,IF(((D790+E790)*C790-G790)&lt;='Assumptions and Catalog'!$C$54,((D790+E790)*C790-G790)*'Assumptions and Catalog'!$H$54+'Assumptions and Catalog'!$E$54+'Assumptions and Catalog'!$F$54,IF(((D790+E790)*C790-G790)&lt;='Assumptions and Catalog'!$C$55,((D790+E790)*C790-G790)*'Assumptions and Catalog'!$H$55+'Assumptions and Catalog'!$E$55+'Assumptions and Catalog'!$F$55,IF(((D790+E790)*C790-G790)&lt;='Assumptions and Catalog'!$C$56,((D790+E790)*C790-G790)*'Assumptions and Catalog'!$H$56+'Assumptions and Catalog'!$E$56+'Assumptions and Catalog'!$F$56,IF(((D790+E790)*C790-G790)&lt;='Assumptions and Catalog'!$C$57,((D790+E790)*C790-G790)*'Assumptions and Catalog'!$H$57+'Assumptions and Catalog'!$E$57+'Assumptions and Catalog'!$F$57,"Out of range")))))))),IF(((D790+E790)*C790-G790)&lt;='Assumptions and Catalog'!$C$60,((D790+E790)*C790-G790)*'Assumptions and Catalog'!$H$60+'Assumptions and Catalog'!$E$60+'Assumptions and Catalog'!$F$60,IF(((D790+E790)*C790-G790)&lt;='Assumptions and Catalog'!$C$61,((D790+E790)*C790-G790)*'Assumptions and Catalog'!$H$61+'Assumptions and Catalog'!$E$61+'Assumptions and Catalog'!$F$61,IF(((D790+E790)*C790-G790)&lt;='Assumptions and Catalog'!$C$62,((D790+E790)*C790-G790)*'Assumptions and Catalog'!$H$62+'Assumptions and Catalog'!$E$62+'Assumptions and Catalog'!$F$62,IF(((D790+E790)*C790-G790)&lt;='Assumptions and Catalog'!$C$63,((D790+E790)*C790-G790)*'Assumptions and Catalog'!$H$63+'Assumptions and Catalog'!$E$63+'Assumptions and Catalog'!$F$63,IF(((D790+E790)*C790-G790)&lt;='Assumptions and Catalog'!$C$64,((D790+E790)*C790-G790)*'Assumptions and Catalog'!$H$64+'Assumptions and Catalog'!$E$64+'Assumptions and Catalog'!$F$64,IF(((D790+E790)*C790-G790)&lt;='Assumptions and Catalog'!$C$65,((D790+E790)*C790-G790)*'Assumptions and Catalog'!$H$65+'Assumptions and Catalog'!$E$65+'Assumptions and Catalog'!$F$65,"Out of range")))))))))*(1+'Assumptions and Catalog'!$C$8)^(A790-1),0)</f>
        <v>5793.3230914884798</v>
      </c>
      <c r="R790" s="5">
        <f>IF(AND('Assumptions and Catalog'!$C$19&gt;0,A790&gt;='Assumptions and Catalog'!$C$19),A790-'Assumptions and Catalog'!$C$19,A790-1)</f>
        <v>0</v>
      </c>
      <c r="S790" s="5">
        <f>F790+L790-(D790+E790)*C790-J790-K790-IF(E$52&gt;0,'Assumptions and Catalog'!$C$26*C790,0)</f>
        <v>0</v>
      </c>
      <c r="T790" s="5"/>
      <c r="U790" s="5"/>
    </row>
    <row r="791" spans="1:21" ht="23.1" customHeight="1" outlineLevel="1" x14ac:dyDescent="0.2">
      <c r="A791" s="5">
        <v>11</v>
      </c>
      <c r="B791" s="5">
        <v>11</v>
      </c>
      <c r="C791" s="5">
        <f>DAY(DATE('Assumptions and Catalog'!$C$24+A791-1,B791+1,0))</f>
        <v>30</v>
      </c>
      <c r="D791" s="5">
        <f>IF(ISNUMBER(Inputs!$L$5),Inputs!$L$5*Inputs!$L$6,0)</f>
        <v>40.35</v>
      </c>
      <c r="E791" s="5">
        <f>IF(ISNUMBER(Inputs!$L$5),Inputs!$L$5-D791,0)</f>
        <v>40.35</v>
      </c>
      <c r="F791" s="5">
        <f>E$51*'Assumptions and Catalog'!$C$31*C791*(1-'Assumptions and Catalog'!$C$10)^(A791-1)</f>
        <v>781.52719420372489</v>
      </c>
      <c r="G791" s="5">
        <f t="shared" si="56"/>
        <v>781.52719420372489</v>
      </c>
      <c r="H791" s="5">
        <f>I791/('Assumptions and Catalog'!$C$11*'Assumptions and Catalog'!$C$12)</f>
        <v>0</v>
      </c>
      <c r="I791" s="5">
        <f>MIN(E791*C791,P791*'Assumptions and Catalog'!$C$12*C791,(F791-G791)*'Assumptions and Catalog'!$C$11*'Assumptions and Catalog'!$C$12,E$56*'Assumptions and Catalog'!$C$14*'Assumptions and Catalog'!$C$11*'Assumptions and Catalog'!$C$12*C791,E$57*(24-'Assumptions and Catalog'!$C$13)*C791)</f>
        <v>0</v>
      </c>
      <c r="J791" s="5">
        <f t="shared" si="57"/>
        <v>0</v>
      </c>
      <c r="K791" s="5">
        <f t="shared" si="58"/>
        <v>0</v>
      </c>
      <c r="L791" s="5">
        <f>(D791+E791)*C791-G791-I791+0+IF(E$52&gt;0,'Assumptions and Catalog'!$C$26*C791,0)</f>
        <v>1639.4728057962752</v>
      </c>
      <c r="M791" s="5">
        <f>IF(ISNUMBER(Inputs!$L$5),(IF(Inputs!$L$9="Actual flat rate",((D791+E791)*C791)*Inputs!$L$10,IF(Inputs!$C$9="Residential",IF(((D791+E791)*C791)&lt;='Assumptions and Catalog'!$C$50,((D791+E791)*C791)*'Assumptions and Catalog'!$H$50+'Assumptions and Catalog'!$E$50+'Assumptions and Catalog'!$F$50,IF(((D791+E791)*C791)&lt;='Assumptions and Catalog'!$C$51,((D791+E791)*C791)*'Assumptions and Catalog'!$H$51+'Assumptions and Catalog'!$E$51+'Assumptions and Catalog'!$F$51,IF(((D791+E791)*C791)&lt;='Assumptions and Catalog'!$C$52,((D791+E791)*C791)*'Assumptions and Catalog'!$H$52+'Assumptions and Catalog'!$E$52+'Assumptions and Catalog'!$F$52,IF(((D791+E791)*C791)&lt;='Assumptions and Catalog'!$C$53,((D791+E791)*C791)*'Assumptions and Catalog'!$H$53+'Assumptions and Catalog'!$E$53+'Assumptions and Catalog'!$F$53,IF(((D791+E791)*C791)&lt;='Assumptions and Catalog'!$C$54,((D791+E791)*C791)*'Assumptions and Catalog'!$H$54+'Assumptions and Catalog'!$E$54+'Assumptions and Catalog'!$F$54,IF(((D791+E791)*C791)&lt;='Assumptions and Catalog'!$C$55,((D791+E791)*C791)*'Assumptions and Catalog'!$H$55+'Assumptions and Catalog'!$E$55+'Assumptions and Catalog'!$F$55,IF(((D791+E791)*C791)&lt;='Assumptions and Catalog'!$C$56,((D791+E791)*C791)*'Assumptions and Catalog'!$H$56+'Assumptions and Catalog'!$E$56+'Assumptions and Catalog'!$F$56,IF(((D791+E791)*C791)&lt;='Assumptions and Catalog'!$C$57,((D791+E791)*C791)*'Assumptions and Catalog'!$H$57+'Assumptions and Catalog'!$E$57+'Assumptions and Catalog'!$F$57,"Out of range")))))))),IF(((D791+E791)*C791)&lt;='Assumptions and Catalog'!$C$60,((D791+E791)*C791)*'Assumptions and Catalog'!$H$60+'Assumptions and Catalog'!$E$60+'Assumptions and Catalog'!$F$60,IF(((D791+E791)*C791)&lt;='Assumptions and Catalog'!$C$61,((D791+E791)*C791)*'Assumptions and Catalog'!$H$61+'Assumptions and Catalog'!$E$61+'Assumptions and Catalog'!$F$61,IF(((D791+E791)*C791)&lt;='Assumptions and Catalog'!$C$62,((D791+E791)*C791)*'Assumptions and Catalog'!$H$62+'Assumptions and Catalog'!$E$62+'Assumptions and Catalog'!$F$62,IF(((D791+E791)*C791)&lt;='Assumptions and Catalog'!$C$63,((D791+E791)*C791)*'Assumptions and Catalog'!$H$63+'Assumptions and Catalog'!$E$63+'Assumptions and Catalog'!$F$63,IF(((D791+E791)*C791)&lt;='Assumptions and Catalog'!$C$64,((D791+E791)*C791)*'Assumptions and Catalog'!$H$64+'Assumptions and Catalog'!$E$64+'Assumptions and Catalog'!$F$64,IF(((D791+E791)*C791)&lt;='Assumptions and Catalog'!$C$65,((D791+E791)*C791)*'Assumptions and Catalog'!$H$65+'Assumptions and Catalog'!$E$65+'Assumptions and Catalog'!$F$65,"Out of range")))))))))*(1+'Assumptions and Catalog'!$C$8)^(A791-1),0)</f>
        <v>8279</v>
      </c>
      <c r="N791" s="5">
        <f>IF(ISNUMBER(Inputs!$L$5),(IF(Inputs!$L$9="Actual flat rate",L791*Inputs!$L$10,IF(Inputs!$C$9="Residential",IF(L791&lt;='Assumptions and Catalog'!$C$50,L791*'Assumptions and Catalog'!$H$50+'Assumptions and Catalog'!$E$50+'Assumptions and Catalog'!$F$50,IF(L791&lt;='Assumptions and Catalog'!$C$51,L791*'Assumptions and Catalog'!$H$51+'Assumptions and Catalog'!$E$51+'Assumptions and Catalog'!$F$51,IF(L791&lt;='Assumptions and Catalog'!$C$52,L791*'Assumptions and Catalog'!$H$52+'Assumptions and Catalog'!$E$52+'Assumptions and Catalog'!$F$52,IF(L791&lt;='Assumptions and Catalog'!$C$53,L791*'Assumptions and Catalog'!$H$53+'Assumptions and Catalog'!$E$53+'Assumptions and Catalog'!$F$53,IF(L791&lt;='Assumptions and Catalog'!$C$54,L791*'Assumptions and Catalog'!$H$54+'Assumptions and Catalog'!$E$54+'Assumptions and Catalog'!$F$54,IF(L791&lt;='Assumptions and Catalog'!$C$55,L791*'Assumptions and Catalog'!$H$55+'Assumptions and Catalog'!$E$55+'Assumptions and Catalog'!$F$55,IF(L791&lt;='Assumptions and Catalog'!$C$56,L791*'Assumptions and Catalog'!$H$56+'Assumptions and Catalog'!$E$56+'Assumptions and Catalog'!$F$56,IF(L791&lt;='Assumptions and Catalog'!$C$57,L791*'Assumptions and Catalog'!$H$57+'Assumptions and Catalog'!$E$57+'Assumptions and Catalog'!$F$57,"Out of range")))))))),IF(L791&lt;='Assumptions and Catalog'!$C$60,L791*'Assumptions and Catalog'!$H$60+'Assumptions and Catalog'!$E$60+'Assumptions and Catalog'!$F$60,IF(L791&lt;='Assumptions and Catalog'!$C$61,L791*'Assumptions and Catalog'!$H$61+'Assumptions and Catalog'!$E$61+'Assumptions and Catalog'!$F$61,IF(L791&lt;='Assumptions and Catalog'!$C$62,L791*'Assumptions and Catalog'!$H$62+'Assumptions and Catalog'!$E$62+'Assumptions and Catalog'!$F$62,IF(L791&lt;='Assumptions and Catalog'!$C$63,L791*'Assumptions and Catalog'!$H$63+'Assumptions and Catalog'!$E$63+'Assumptions and Catalog'!$F$63,IF(L791&lt;='Assumptions and Catalog'!$C$64,L791*'Assumptions and Catalog'!$H$64+'Assumptions and Catalog'!$E$64+'Assumptions and Catalog'!$F$64,IF(L791&lt;='Assumptions and Catalog'!$C$65,L791*'Assumptions and Catalog'!$H$65+'Assumptions and Catalog'!$E$65+'Assumptions and Catalog'!$F$65,"Out of range")))))))))*(1+'Assumptions and Catalog'!$C$8)^(A791-1),0)</f>
        <v>5606.4417014404635</v>
      </c>
      <c r="O791" s="5">
        <f t="shared" si="59"/>
        <v>2672.5582985595365</v>
      </c>
      <c r="P791" s="5">
        <f>E$55*(1-L$14)*(1-'Assumptions and Catalog'!$C$23)^R791</f>
        <v>102.4</v>
      </c>
      <c r="Q791" s="5">
        <f>IF(ISNUMBER(Inputs!$L$5),(IF(Inputs!$L$9="Actual flat rate",((D791+E791)*C791-G791)*Inputs!$L$10,IF(Inputs!$C$9="Residential",IF(((D791+E791)*C791-G791)&lt;='Assumptions and Catalog'!$C$50,((D791+E791)*C791-G791)*'Assumptions and Catalog'!$H$50+'Assumptions and Catalog'!$E$50+'Assumptions and Catalog'!$F$50,IF(((D791+E791)*C791-G791)&lt;='Assumptions and Catalog'!$C$51,((D791+E791)*C791-G791)*'Assumptions and Catalog'!$H$51+'Assumptions and Catalog'!$E$51+'Assumptions and Catalog'!$F$51,IF(((D791+E791)*C791-G791)&lt;='Assumptions and Catalog'!$C$52,((D791+E791)*C791-G791)*'Assumptions and Catalog'!$H$52+'Assumptions and Catalog'!$E$52+'Assumptions and Catalog'!$F$52,IF(((D791+E791)*C791-G791)&lt;='Assumptions and Catalog'!$C$53,((D791+E791)*C791-G791)*'Assumptions and Catalog'!$H$53+'Assumptions and Catalog'!$E$53+'Assumptions and Catalog'!$F$53,IF(((D791+E791)*C791-G791)&lt;='Assumptions and Catalog'!$C$54,((D791+E791)*C791-G791)*'Assumptions and Catalog'!$H$54+'Assumptions and Catalog'!$E$54+'Assumptions and Catalog'!$F$54,IF(((D791+E791)*C791-G791)&lt;='Assumptions and Catalog'!$C$55,((D791+E791)*C791-G791)*'Assumptions and Catalog'!$H$55+'Assumptions and Catalog'!$E$55+'Assumptions and Catalog'!$F$55,IF(((D791+E791)*C791-G791)&lt;='Assumptions and Catalog'!$C$56,((D791+E791)*C791-G791)*'Assumptions and Catalog'!$H$56+'Assumptions and Catalog'!$E$56+'Assumptions and Catalog'!$F$56,IF(((D791+E791)*C791-G791)&lt;='Assumptions and Catalog'!$C$57,((D791+E791)*C791-G791)*'Assumptions and Catalog'!$H$57+'Assumptions and Catalog'!$E$57+'Assumptions and Catalog'!$F$57,"Out of range")))))))),IF(((D791+E791)*C791-G791)&lt;='Assumptions and Catalog'!$C$60,((D791+E791)*C791-G791)*'Assumptions and Catalog'!$H$60+'Assumptions and Catalog'!$E$60+'Assumptions and Catalog'!$F$60,IF(((D791+E791)*C791-G791)&lt;='Assumptions and Catalog'!$C$61,((D791+E791)*C791-G791)*'Assumptions and Catalog'!$H$61+'Assumptions and Catalog'!$E$61+'Assumptions and Catalog'!$F$61,IF(((D791+E791)*C791-G791)&lt;='Assumptions and Catalog'!$C$62,((D791+E791)*C791-G791)*'Assumptions and Catalog'!$H$62+'Assumptions and Catalog'!$E$62+'Assumptions and Catalog'!$F$62,IF(((D791+E791)*C791-G791)&lt;='Assumptions and Catalog'!$C$63,((D791+E791)*C791-G791)*'Assumptions and Catalog'!$H$63+'Assumptions and Catalog'!$E$63+'Assumptions and Catalog'!$F$63,IF(((D791+E791)*C791-G791)&lt;='Assumptions and Catalog'!$C$64,((D791+E791)*C791-G791)*'Assumptions and Catalog'!$H$64+'Assumptions and Catalog'!$E$64+'Assumptions and Catalog'!$F$64,IF(((D791+E791)*C791-G791)&lt;='Assumptions and Catalog'!$C$65,((D791+E791)*C791-G791)*'Assumptions and Catalog'!$H$65+'Assumptions and Catalog'!$E$65+'Assumptions and Catalog'!$F$65,"Out of range")))))))))*(1+'Assumptions and Catalog'!$C$8)^(A791-1),0)</f>
        <v>5606.4417014404635</v>
      </c>
      <c r="R791" s="5">
        <f>IF(AND('Assumptions and Catalog'!$C$19&gt;0,A791&gt;='Assumptions and Catalog'!$C$19),A791-'Assumptions and Catalog'!$C$19,A791-1)</f>
        <v>0</v>
      </c>
      <c r="S791" s="5">
        <f>F791+L791-(D791+E791)*C791-J791-K791-IF(E$52&gt;0,'Assumptions and Catalog'!$C$26*C791,0)</f>
        <v>0</v>
      </c>
      <c r="T791" s="5"/>
      <c r="U791" s="5"/>
    </row>
    <row r="792" spans="1:21" ht="23.1" customHeight="1" outlineLevel="1" x14ac:dyDescent="0.2">
      <c r="A792" s="5">
        <v>11</v>
      </c>
      <c r="B792" s="5">
        <v>12</v>
      </c>
      <c r="C792" s="5">
        <f>DAY(DATE('Assumptions and Catalog'!$C$24+A792-1,B792+1,0))</f>
        <v>31</v>
      </c>
      <c r="D792" s="5">
        <f>IF(ISNUMBER(Inputs!$L$5),Inputs!$L$5*Inputs!$L$6,0)</f>
        <v>40.35</v>
      </c>
      <c r="E792" s="5">
        <f>IF(ISNUMBER(Inputs!$L$5),Inputs!$L$5-D792,0)</f>
        <v>40.35</v>
      </c>
      <c r="F792" s="5">
        <f>E$51*'Assumptions and Catalog'!$C$31*C792*(1-'Assumptions and Catalog'!$C$10)^(A792-1)</f>
        <v>807.57810067718231</v>
      </c>
      <c r="G792" s="5">
        <f t="shared" si="56"/>
        <v>807.57810067718231</v>
      </c>
      <c r="H792" s="5">
        <f>I792/('Assumptions and Catalog'!$C$11*'Assumptions and Catalog'!$C$12)</f>
        <v>0</v>
      </c>
      <c r="I792" s="5">
        <f>MIN(E792*C792,P792*'Assumptions and Catalog'!$C$12*C792,(F792-G792)*'Assumptions and Catalog'!$C$11*'Assumptions and Catalog'!$C$12,E$56*'Assumptions and Catalog'!$C$14*'Assumptions and Catalog'!$C$11*'Assumptions and Catalog'!$C$12*C792,E$57*(24-'Assumptions and Catalog'!$C$13)*C792)</f>
        <v>0</v>
      </c>
      <c r="J792" s="5">
        <f t="shared" si="57"/>
        <v>0</v>
      </c>
      <c r="K792" s="5">
        <f t="shared" si="58"/>
        <v>0</v>
      </c>
      <c r="L792" s="5">
        <f>(D792+E792)*C792-G792-I792+0+IF(E$52&gt;0,'Assumptions and Catalog'!$C$26*C792,0)</f>
        <v>1694.1218993228181</v>
      </c>
      <c r="M792" s="5">
        <f>IF(ISNUMBER(Inputs!$L$5),(IF(Inputs!$L$9="Actual flat rate",((D792+E792)*C792)*Inputs!$L$10,IF(Inputs!$C$9="Residential",IF(((D792+E792)*C792)&lt;='Assumptions and Catalog'!$C$50,((D792+E792)*C792)*'Assumptions and Catalog'!$H$50+'Assumptions and Catalog'!$E$50+'Assumptions and Catalog'!$F$50,IF(((D792+E792)*C792)&lt;='Assumptions and Catalog'!$C$51,((D792+E792)*C792)*'Assumptions and Catalog'!$H$51+'Assumptions and Catalog'!$E$51+'Assumptions and Catalog'!$F$51,IF(((D792+E792)*C792)&lt;='Assumptions and Catalog'!$C$52,((D792+E792)*C792)*'Assumptions and Catalog'!$H$52+'Assumptions and Catalog'!$E$52+'Assumptions and Catalog'!$F$52,IF(((D792+E792)*C792)&lt;='Assumptions and Catalog'!$C$53,((D792+E792)*C792)*'Assumptions and Catalog'!$H$53+'Assumptions and Catalog'!$E$53+'Assumptions and Catalog'!$F$53,IF(((D792+E792)*C792)&lt;='Assumptions and Catalog'!$C$54,((D792+E792)*C792)*'Assumptions and Catalog'!$H$54+'Assumptions and Catalog'!$E$54+'Assumptions and Catalog'!$F$54,IF(((D792+E792)*C792)&lt;='Assumptions and Catalog'!$C$55,((D792+E792)*C792)*'Assumptions and Catalog'!$H$55+'Assumptions and Catalog'!$E$55+'Assumptions and Catalog'!$F$55,IF(((D792+E792)*C792)&lt;='Assumptions and Catalog'!$C$56,((D792+E792)*C792)*'Assumptions and Catalog'!$H$56+'Assumptions and Catalog'!$E$56+'Assumptions and Catalog'!$F$56,IF(((D792+E792)*C792)&lt;='Assumptions and Catalog'!$C$57,((D792+E792)*C792)*'Assumptions and Catalog'!$H$57+'Assumptions and Catalog'!$E$57+'Assumptions and Catalog'!$F$57,"Out of range")))))))),IF(((D792+E792)*C792)&lt;='Assumptions and Catalog'!$C$60,((D792+E792)*C792)*'Assumptions and Catalog'!$H$60+'Assumptions and Catalog'!$E$60+'Assumptions and Catalog'!$F$60,IF(((D792+E792)*C792)&lt;='Assumptions and Catalog'!$C$61,((D792+E792)*C792)*'Assumptions and Catalog'!$H$61+'Assumptions and Catalog'!$E$61+'Assumptions and Catalog'!$F$61,IF(((D792+E792)*C792)&lt;='Assumptions and Catalog'!$C$62,((D792+E792)*C792)*'Assumptions and Catalog'!$H$62+'Assumptions and Catalog'!$E$62+'Assumptions and Catalog'!$F$62,IF(((D792+E792)*C792)&lt;='Assumptions and Catalog'!$C$63,((D792+E792)*C792)*'Assumptions and Catalog'!$H$63+'Assumptions and Catalog'!$E$63+'Assumptions and Catalog'!$F$63,IF(((D792+E792)*C792)&lt;='Assumptions and Catalog'!$C$64,((D792+E792)*C792)*'Assumptions and Catalog'!$H$64+'Assumptions and Catalog'!$E$64+'Assumptions and Catalog'!$F$64,IF(((D792+E792)*C792)&lt;='Assumptions and Catalog'!$C$65,((D792+E792)*C792)*'Assumptions and Catalog'!$H$65+'Assumptions and Catalog'!$E$65+'Assumptions and Catalog'!$F$65,"Out of range")))))))))*(1+'Assumptions and Catalog'!$C$8)^(A792-1),0)</f>
        <v>8554.9666666666672</v>
      </c>
      <c r="N792" s="5">
        <f>IF(ISNUMBER(Inputs!$L$5),(IF(Inputs!$L$9="Actual flat rate",L792*Inputs!$L$10,IF(Inputs!$C$9="Residential",IF(L792&lt;='Assumptions and Catalog'!$C$50,L792*'Assumptions and Catalog'!$H$50+'Assumptions and Catalog'!$E$50+'Assumptions and Catalog'!$F$50,IF(L792&lt;='Assumptions and Catalog'!$C$51,L792*'Assumptions and Catalog'!$H$51+'Assumptions and Catalog'!$E$51+'Assumptions and Catalog'!$F$51,IF(L792&lt;='Assumptions and Catalog'!$C$52,L792*'Assumptions and Catalog'!$H$52+'Assumptions and Catalog'!$E$52+'Assumptions and Catalog'!$F$52,IF(L792&lt;='Assumptions and Catalog'!$C$53,L792*'Assumptions and Catalog'!$H$53+'Assumptions and Catalog'!$E$53+'Assumptions and Catalog'!$F$53,IF(L792&lt;='Assumptions and Catalog'!$C$54,L792*'Assumptions and Catalog'!$H$54+'Assumptions and Catalog'!$E$54+'Assumptions and Catalog'!$F$54,IF(L792&lt;='Assumptions and Catalog'!$C$55,L792*'Assumptions and Catalog'!$H$55+'Assumptions and Catalog'!$E$55+'Assumptions and Catalog'!$F$55,IF(L792&lt;='Assumptions and Catalog'!$C$56,L792*'Assumptions and Catalog'!$H$56+'Assumptions and Catalog'!$E$56+'Assumptions and Catalog'!$F$56,IF(L792&lt;='Assumptions and Catalog'!$C$57,L792*'Assumptions and Catalog'!$H$57+'Assumptions and Catalog'!$E$57+'Assumptions and Catalog'!$F$57,"Out of range")))))))),IF(L792&lt;='Assumptions and Catalog'!$C$60,L792*'Assumptions and Catalog'!$H$60+'Assumptions and Catalog'!$E$60+'Assumptions and Catalog'!$F$60,IF(L792&lt;='Assumptions and Catalog'!$C$61,L792*'Assumptions and Catalog'!$H$61+'Assumptions and Catalog'!$E$61+'Assumptions and Catalog'!$F$61,IF(L792&lt;='Assumptions and Catalog'!$C$62,L792*'Assumptions and Catalog'!$H$62+'Assumptions and Catalog'!$E$62+'Assumptions and Catalog'!$F$62,IF(L792&lt;='Assumptions and Catalog'!$C$63,L792*'Assumptions and Catalog'!$H$63+'Assumptions and Catalog'!$E$63+'Assumptions and Catalog'!$F$63,IF(L792&lt;='Assumptions and Catalog'!$C$64,L792*'Assumptions and Catalog'!$H$64+'Assumptions and Catalog'!$E$64+'Assumptions and Catalog'!$F$64,IF(L792&lt;='Assumptions and Catalog'!$C$65,L792*'Assumptions and Catalog'!$H$65+'Assumptions and Catalog'!$E$65+'Assumptions and Catalog'!$F$65,"Out of range")))))))))*(1+'Assumptions and Catalog'!$C$8)^(A792-1),0)</f>
        <v>5793.3230914884798</v>
      </c>
      <c r="O792" s="5">
        <f t="shared" si="59"/>
        <v>2761.6435751781873</v>
      </c>
      <c r="P792" s="5">
        <f>E$55*(1-L$14)*(1-'Assumptions and Catalog'!$C$23)^R792</f>
        <v>102.4</v>
      </c>
      <c r="Q792" s="5">
        <f>IF(ISNUMBER(Inputs!$L$5),(IF(Inputs!$L$9="Actual flat rate",((D792+E792)*C792-G792)*Inputs!$L$10,IF(Inputs!$C$9="Residential",IF(((D792+E792)*C792-G792)&lt;='Assumptions and Catalog'!$C$50,((D792+E792)*C792-G792)*'Assumptions and Catalog'!$H$50+'Assumptions and Catalog'!$E$50+'Assumptions and Catalog'!$F$50,IF(((D792+E792)*C792-G792)&lt;='Assumptions and Catalog'!$C$51,((D792+E792)*C792-G792)*'Assumptions and Catalog'!$H$51+'Assumptions and Catalog'!$E$51+'Assumptions and Catalog'!$F$51,IF(((D792+E792)*C792-G792)&lt;='Assumptions and Catalog'!$C$52,((D792+E792)*C792-G792)*'Assumptions and Catalog'!$H$52+'Assumptions and Catalog'!$E$52+'Assumptions and Catalog'!$F$52,IF(((D792+E792)*C792-G792)&lt;='Assumptions and Catalog'!$C$53,((D792+E792)*C792-G792)*'Assumptions and Catalog'!$H$53+'Assumptions and Catalog'!$E$53+'Assumptions and Catalog'!$F$53,IF(((D792+E792)*C792-G792)&lt;='Assumptions and Catalog'!$C$54,((D792+E792)*C792-G792)*'Assumptions and Catalog'!$H$54+'Assumptions and Catalog'!$E$54+'Assumptions and Catalog'!$F$54,IF(((D792+E792)*C792-G792)&lt;='Assumptions and Catalog'!$C$55,((D792+E792)*C792-G792)*'Assumptions and Catalog'!$H$55+'Assumptions and Catalog'!$E$55+'Assumptions and Catalog'!$F$55,IF(((D792+E792)*C792-G792)&lt;='Assumptions and Catalog'!$C$56,((D792+E792)*C792-G792)*'Assumptions and Catalog'!$H$56+'Assumptions and Catalog'!$E$56+'Assumptions and Catalog'!$F$56,IF(((D792+E792)*C792-G792)&lt;='Assumptions and Catalog'!$C$57,((D792+E792)*C792-G792)*'Assumptions and Catalog'!$H$57+'Assumptions and Catalog'!$E$57+'Assumptions and Catalog'!$F$57,"Out of range")))))))),IF(((D792+E792)*C792-G792)&lt;='Assumptions and Catalog'!$C$60,((D792+E792)*C792-G792)*'Assumptions and Catalog'!$H$60+'Assumptions and Catalog'!$E$60+'Assumptions and Catalog'!$F$60,IF(((D792+E792)*C792-G792)&lt;='Assumptions and Catalog'!$C$61,((D792+E792)*C792-G792)*'Assumptions and Catalog'!$H$61+'Assumptions and Catalog'!$E$61+'Assumptions and Catalog'!$F$61,IF(((D792+E792)*C792-G792)&lt;='Assumptions and Catalog'!$C$62,((D792+E792)*C792-G792)*'Assumptions and Catalog'!$H$62+'Assumptions and Catalog'!$E$62+'Assumptions and Catalog'!$F$62,IF(((D792+E792)*C792-G792)&lt;='Assumptions and Catalog'!$C$63,((D792+E792)*C792-G792)*'Assumptions and Catalog'!$H$63+'Assumptions and Catalog'!$E$63+'Assumptions and Catalog'!$F$63,IF(((D792+E792)*C792-G792)&lt;='Assumptions and Catalog'!$C$64,((D792+E792)*C792-G792)*'Assumptions and Catalog'!$H$64+'Assumptions and Catalog'!$E$64+'Assumptions and Catalog'!$F$64,IF(((D792+E792)*C792-G792)&lt;='Assumptions and Catalog'!$C$65,((D792+E792)*C792-G792)*'Assumptions and Catalog'!$H$65+'Assumptions and Catalog'!$E$65+'Assumptions and Catalog'!$F$65,"Out of range")))))))))*(1+'Assumptions and Catalog'!$C$8)^(A792-1),0)</f>
        <v>5793.3230914884798</v>
      </c>
      <c r="R792" s="5">
        <f>IF(AND('Assumptions and Catalog'!$C$19&gt;0,A792&gt;='Assumptions and Catalog'!$C$19),A792-'Assumptions and Catalog'!$C$19,A792-1)</f>
        <v>0</v>
      </c>
      <c r="S792" s="5">
        <f>F792+L792-(D792+E792)*C792-J792-K792-IF(E$52&gt;0,'Assumptions and Catalog'!$C$26*C792,0)</f>
        <v>0</v>
      </c>
      <c r="T792" s="5"/>
      <c r="U792" s="5"/>
    </row>
    <row r="793" spans="1:21" ht="23.1" customHeight="1" outlineLevel="1" x14ac:dyDescent="0.2">
      <c r="A793" s="5">
        <v>12</v>
      </c>
      <c r="B793" s="5">
        <v>1</v>
      </c>
      <c r="C793" s="5">
        <f>DAY(DATE('Assumptions and Catalog'!$C$24+A793-1,B793+1,0))</f>
        <v>31</v>
      </c>
      <c r="D793" s="5">
        <f>IF(ISNUMBER(Inputs!$L$5),Inputs!$L$5*Inputs!$L$6,0)</f>
        <v>40.35</v>
      </c>
      <c r="E793" s="5">
        <f>IF(ISNUMBER(Inputs!$L$5),Inputs!$L$5-D793,0)</f>
        <v>40.35</v>
      </c>
      <c r="F793" s="5">
        <f>E$51*'Assumptions and Catalog'!$C$31*C793*(1-'Assumptions and Catalog'!$C$10)^(A793-1)</f>
        <v>803.54021017379637</v>
      </c>
      <c r="G793" s="5">
        <f t="shared" si="56"/>
        <v>803.54021017379637</v>
      </c>
      <c r="H793" s="5">
        <f>I793/('Assumptions and Catalog'!$C$11*'Assumptions and Catalog'!$C$12)</f>
        <v>0</v>
      </c>
      <c r="I793" s="5">
        <f>MIN(E793*C793,P793*'Assumptions and Catalog'!$C$12*C793,(F793-G793)*'Assumptions and Catalog'!$C$11*'Assumptions and Catalog'!$C$12,E$56*'Assumptions and Catalog'!$C$14*'Assumptions and Catalog'!$C$11*'Assumptions and Catalog'!$C$12*C793,E$57*(24-'Assumptions and Catalog'!$C$13)*C793)</f>
        <v>0</v>
      </c>
      <c r="J793" s="5">
        <f t="shared" si="57"/>
        <v>0</v>
      </c>
      <c r="K793" s="5">
        <f t="shared" si="58"/>
        <v>0</v>
      </c>
      <c r="L793" s="5">
        <f>(D793+E793)*C793-G793-I793+0+IF(E$52&gt;0,'Assumptions and Catalog'!$C$26*C793,0)</f>
        <v>1698.1597898262039</v>
      </c>
      <c r="M793" s="5">
        <f>IF(ISNUMBER(Inputs!$L$5),(IF(Inputs!$L$9="Actual flat rate",((D793+E793)*C793)*Inputs!$L$10,IF(Inputs!$C$9="Residential",IF(((D793+E793)*C793)&lt;='Assumptions and Catalog'!$C$50,((D793+E793)*C793)*'Assumptions and Catalog'!$H$50+'Assumptions and Catalog'!$E$50+'Assumptions and Catalog'!$F$50,IF(((D793+E793)*C793)&lt;='Assumptions and Catalog'!$C$51,((D793+E793)*C793)*'Assumptions and Catalog'!$H$51+'Assumptions and Catalog'!$E$51+'Assumptions and Catalog'!$F$51,IF(((D793+E793)*C793)&lt;='Assumptions and Catalog'!$C$52,((D793+E793)*C793)*'Assumptions and Catalog'!$H$52+'Assumptions and Catalog'!$E$52+'Assumptions and Catalog'!$F$52,IF(((D793+E793)*C793)&lt;='Assumptions and Catalog'!$C$53,((D793+E793)*C793)*'Assumptions and Catalog'!$H$53+'Assumptions and Catalog'!$E$53+'Assumptions and Catalog'!$F$53,IF(((D793+E793)*C793)&lt;='Assumptions and Catalog'!$C$54,((D793+E793)*C793)*'Assumptions and Catalog'!$H$54+'Assumptions and Catalog'!$E$54+'Assumptions and Catalog'!$F$54,IF(((D793+E793)*C793)&lt;='Assumptions and Catalog'!$C$55,((D793+E793)*C793)*'Assumptions and Catalog'!$H$55+'Assumptions and Catalog'!$E$55+'Assumptions and Catalog'!$F$55,IF(((D793+E793)*C793)&lt;='Assumptions and Catalog'!$C$56,((D793+E793)*C793)*'Assumptions and Catalog'!$H$56+'Assumptions and Catalog'!$E$56+'Assumptions and Catalog'!$F$56,IF(((D793+E793)*C793)&lt;='Assumptions and Catalog'!$C$57,((D793+E793)*C793)*'Assumptions and Catalog'!$H$57+'Assumptions and Catalog'!$E$57+'Assumptions and Catalog'!$F$57,"Out of range")))))))),IF(((D793+E793)*C793)&lt;='Assumptions and Catalog'!$C$60,((D793+E793)*C793)*'Assumptions and Catalog'!$H$60+'Assumptions and Catalog'!$E$60+'Assumptions and Catalog'!$F$60,IF(((D793+E793)*C793)&lt;='Assumptions and Catalog'!$C$61,((D793+E793)*C793)*'Assumptions and Catalog'!$H$61+'Assumptions and Catalog'!$E$61+'Assumptions and Catalog'!$F$61,IF(((D793+E793)*C793)&lt;='Assumptions and Catalog'!$C$62,((D793+E793)*C793)*'Assumptions and Catalog'!$H$62+'Assumptions and Catalog'!$E$62+'Assumptions and Catalog'!$F$62,IF(((D793+E793)*C793)&lt;='Assumptions and Catalog'!$C$63,((D793+E793)*C793)*'Assumptions and Catalog'!$H$63+'Assumptions and Catalog'!$E$63+'Assumptions and Catalog'!$F$63,IF(((D793+E793)*C793)&lt;='Assumptions and Catalog'!$C$64,((D793+E793)*C793)*'Assumptions and Catalog'!$H$64+'Assumptions and Catalog'!$E$64+'Assumptions and Catalog'!$F$64,IF(((D793+E793)*C793)&lt;='Assumptions and Catalog'!$C$65,((D793+E793)*C793)*'Assumptions and Catalog'!$H$65+'Assumptions and Catalog'!$E$65+'Assumptions and Catalog'!$F$65,"Out of range")))))))))*(1+'Assumptions and Catalog'!$C$8)^(A793-1),0)</f>
        <v>8554.9666666666672</v>
      </c>
      <c r="N793" s="5">
        <f>IF(ISNUMBER(Inputs!$L$5),(IF(Inputs!$L$9="Actual flat rate",L793*Inputs!$L$10,IF(Inputs!$C$9="Residential",IF(L793&lt;='Assumptions and Catalog'!$C$50,L793*'Assumptions and Catalog'!$H$50+'Assumptions and Catalog'!$E$50+'Assumptions and Catalog'!$F$50,IF(L793&lt;='Assumptions and Catalog'!$C$51,L793*'Assumptions and Catalog'!$H$51+'Assumptions and Catalog'!$E$51+'Assumptions and Catalog'!$F$51,IF(L793&lt;='Assumptions and Catalog'!$C$52,L793*'Assumptions and Catalog'!$H$52+'Assumptions and Catalog'!$E$52+'Assumptions and Catalog'!$F$52,IF(L793&lt;='Assumptions and Catalog'!$C$53,L793*'Assumptions and Catalog'!$H$53+'Assumptions and Catalog'!$E$53+'Assumptions and Catalog'!$F$53,IF(L793&lt;='Assumptions and Catalog'!$C$54,L793*'Assumptions and Catalog'!$H$54+'Assumptions and Catalog'!$E$54+'Assumptions and Catalog'!$F$54,IF(L793&lt;='Assumptions and Catalog'!$C$55,L793*'Assumptions and Catalog'!$H$55+'Assumptions and Catalog'!$E$55+'Assumptions and Catalog'!$F$55,IF(L793&lt;='Assumptions and Catalog'!$C$56,L793*'Assumptions and Catalog'!$H$56+'Assumptions and Catalog'!$E$56+'Assumptions and Catalog'!$F$56,IF(L793&lt;='Assumptions and Catalog'!$C$57,L793*'Assumptions and Catalog'!$H$57+'Assumptions and Catalog'!$E$57+'Assumptions and Catalog'!$F$57,"Out of range")))))))),IF(L793&lt;='Assumptions and Catalog'!$C$60,L793*'Assumptions and Catalog'!$H$60+'Assumptions and Catalog'!$E$60+'Assumptions and Catalog'!$F$60,IF(L793&lt;='Assumptions and Catalog'!$C$61,L793*'Assumptions and Catalog'!$H$61+'Assumptions and Catalog'!$E$61+'Assumptions and Catalog'!$F$61,IF(L793&lt;='Assumptions and Catalog'!$C$62,L793*'Assumptions and Catalog'!$H$62+'Assumptions and Catalog'!$E$62+'Assumptions and Catalog'!$F$62,IF(L793&lt;='Assumptions and Catalog'!$C$63,L793*'Assumptions and Catalog'!$H$63+'Assumptions and Catalog'!$E$63+'Assumptions and Catalog'!$F$63,IF(L793&lt;='Assumptions and Catalog'!$C$64,L793*'Assumptions and Catalog'!$H$64+'Assumptions and Catalog'!$E$64+'Assumptions and Catalog'!$F$64,IF(L793&lt;='Assumptions and Catalog'!$C$65,L793*'Assumptions and Catalog'!$H$65+'Assumptions and Catalog'!$E$65+'Assumptions and Catalog'!$F$65,"Out of range")))))))))*(1+'Assumptions and Catalog'!$C$8)^(A793-1),0)</f>
        <v>5807.1313093643703</v>
      </c>
      <c r="O793" s="5">
        <f t="shared" si="59"/>
        <v>2747.8353573022969</v>
      </c>
      <c r="P793" s="5">
        <f>E$55*(1-L$14)*(1-'Assumptions and Catalog'!$C$23)^R793</f>
        <v>100.352</v>
      </c>
      <c r="Q793" s="5">
        <f>IF(ISNUMBER(Inputs!$L$5),(IF(Inputs!$L$9="Actual flat rate",((D793+E793)*C793-G793)*Inputs!$L$10,IF(Inputs!$C$9="Residential",IF(((D793+E793)*C793-G793)&lt;='Assumptions and Catalog'!$C$50,((D793+E793)*C793-G793)*'Assumptions and Catalog'!$H$50+'Assumptions and Catalog'!$E$50+'Assumptions and Catalog'!$F$50,IF(((D793+E793)*C793-G793)&lt;='Assumptions and Catalog'!$C$51,((D793+E793)*C793-G793)*'Assumptions and Catalog'!$H$51+'Assumptions and Catalog'!$E$51+'Assumptions and Catalog'!$F$51,IF(((D793+E793)*C793-G793)&lt;='Assumptions and Catalog'!$C$52,((D793+E793)*C793-G793)*'Assumptions and Catalog'!$H$52+'Assumptions and Catalog'!$E$52+'Assumptions and Catalog'!$F$52,IF(((D793+E793)*C793-G793)&lt;='Assumptions and Catalog'!$C$53,((D793+E793)*C793-G793)*'Assumptions and Catalog'!$H$53+'Assumptions and Catalog'!$E$53+'Assumptions and Catalog'!$F$53,IF(((D793+E793)*C793-G793)&lt;='Assumptions and Catalog'!$C$54,((D793+E793)*C793-G793)*'Assumptions and Catalog'!$H$54+'Assumptions and Catalog'!$E$54+'Assumptions and Catalog'!$F$54,IF(((D793+E793)*C793-G793)&lt;='Assumptions and Catalog'!$C$55,((D793+E793)*C793-G793)*'Assumptions and Catalog'!$H$55+'Assumptions and Catalog'!$E$55+'Assumptions and Catalog'!$F$55,IF(((D793+E793)*C793-G793)&lt;='Assumptions and Catalog'!$C$56,((D793+E793)*C793-G793)*'Assumptions and Catalog'!$H$56+'Assumptions and Catalog'!$E$56+'Assumptions and Catalog'!$F$56,IF(((D793+E793)*C793-G793)&lt;='Assumptions and Catalog'!$C$57,((D793+E793)*C793-G793)*'Assumptions and Catalog'!$H$57+'Assumptions and Catalog'!$E$57+'Assumptions and Catalog'!$F$57,"Out of range")))))))),IF(((D793+E793)*C793-G793)&lt;='Assumptions and Catalog'!$C$60,((D793+E793)*C793-G793)*'Assumptions and Catalog'!$H$60+'Assumptions and Catalog'!$E$60+'Assumptions and Catalog'!$F$60,IF(((D793+E793)*C793-G793)&lt;='Assumptions and Catalog'!$C$61,((D793+E793)*C793-G793)*'Assumptions and Catalog'!$H$61+'Assumptions and Catalog'!$E$61+'Assumptions and Catalog'!$F$61,IF(((D793+E793)*C793-G793)&lt;='Assumptions and Catalog'!$C$62,((D793+E793)*C793-G793)*'Assumptions and Catalog'!$H$62+'Assumptions and Catalog'!$E$62+'Assumptions and Catalog'!$F$62,IF(((D793+E793)*C793-G793)&lt;='Assumptions and Catalog'!$C$63,((D793+E793)*C793-G793)*'Assumptions and Catalog'!$H$63+'Assumptions and Catalog'!$E$63+'Assumptions and Catalog'!$F$63,IF(((D793+E793)*C793-G793)&lt;='Assumptions and Catalog'!$C$64,((D793+E793)*C793-G793)*'Assumptions and Catalog'!$H$64+'Assumptions and Catalog'!$E$64+'Assumptions and Catalog'!$F$64,IF(((D793+E793)*C793-G793)&lt;='Assumptions and Catalog'!$C$65,((D793+E793)*C793-G793)*'Assumptions and Catalog'!$H$65+'Assumptions and Catalog'!$E$65+'Assumptions and Catalog'!$F$65,"Out of range")))))))))*(1+'Assumptions and Catalog'!$C$8)^(A793-1),0)</f>
        <v>5807.1313093643703</v>
      </c>
      <c r="R793" s="5">
        <f>IF(AND('Assumptions and Catalog'!$C$19&gt;0,A793&gt;='Assumptions and Catalog'!$C$19),A793-'Assumptions and Catalog'!$C$19,A793-1)</f>
        <v>1</v>
      </c>
      <c r="S793" s="5">
        <f>F793+L793-(D793+E793)*C793-J793-K793-IF(E$52&gt;0,'Assumptions and Catalog'!$C$26*C793,0)</f>
        <v>0</v>
      </c>
      <c r="T793" s="5"/>
      <c r="U793" s="5"/>
    </row>
    <row r="794" spans="1:21" ht="23.1" customHeight="1" outlineLevel="1" x14ac:dyDescent="0.2">
      <c r="A794" s="5">
        <v>12</v>
      </c>
      <c r="B794" s="5">
        <v>2</v>
      </c>
      <c r="C794" s="5">
        <f>DAY(DATE('Assumptions and Catalog'!$C$24+A794-1,B794+1,0))</f>
        <v>28</v>
      </c>
      <c r="D794" s="5">
        <f>IF(ISNUMBER(Inputs!$L$5),Inputs!$L$5*Inputs!$L$6,0)</f>
        <v>40.35</v>
      </c>
      <c r="E794" s="5">
        <f>IF(ISNUMBER(Inputs!$L$5),Inputs!$L$5-D794,0)</f>
        <v>40.35</v>
      </c>
      <c r="F794" s="5">
        <f>E$51*'Assumptions and Catalog'!$C$31*C794*(1-'Assumptions and Catalog'!$C$10)^(A794-1)</f>
        <v>725.7782543505258</v>
      </c>
      <c r="G794" s="5">
        <f t="shared" si="56"/>
        <v>725.7782543505258</v>
      </c>
      <c r="H794" s="5">
        <f>I794/('Assumptions and Catalog'!$C$11*'Assumptions and Catalog'!$C$12)</f>
        <v>0</v>
      </c>
      <c r="I794" s="5">
        <f>MIN(E794*C794,P794*'Assumptions and Catalog'!$C$12*C794,(F794-G794)*'Assumptions and Catalog'!$C$11*'Assumptions and Catalog'!$C$12,E$56*'Assumptions and Catalog'!$C$14*'Assumptions and Catalog'!$C$11*'Assumptions and Catalog'!$C$12*C794,E$57*(24-'Assumptions and Catalog'!$C$13)*C794)</f>
        <v>0</v>
      </c>
      <c r="J794" s="5">
        <f t="shared" si="57"/>
        <v>0</v>
      </c>
      <c r="K794" s="5">
        <f t="shared" si="58"/>
        <v>0</v>
      </c>
      <c r="L794" s="5">
        <f>(D794+E794)*C794-G794-I794+0+IF(E$52&gt;0,'Assumptions and Catalog'!$C$26*C794,0)</f>
        <v>1533.821745649474</v>
      </c>
      <c r="M794" s="5">
        <f>IF(ISNUMBER(Inputs!$L$5),(IF(Inputs!$L$9="Actual flat rate",((D794+E794)*C794)*Inputs!$L$10,IF(Inputs!$C$9="Residential",IF(((D794+E794)*C794)&lt;='Assumptions and Catalog'!$C$50,((D794+E794)*C794)*'Assumptions and Catalog'!$H$50+'Assumptions and Catalog'!$E$50+'Assumptions and Catalog'!$F$50,IF(((D794+E794)*C794)&lt;='Assumptions and Catalog'!$C$51,((D794+E794)*C794)*'Assumptions and Catalog'!$H$51+'Assumptions and Catalog'!$E$51+'Assumptions and Catalog'!$F$51,IF(((D794+E794)*C794)&lt;='Assumptions and Catalog'!$C$52,((D794+E794)*C794)*'Assumptions and Catalog'!$H$52+'Assumptions and Catalog'!$E$52+'Assumptions and Catalog'!$F$52,IF(((D794+E794)*C794)&lt;='Assumptions and Catalog'!$C$53,((D794+E794)*C794)*'Assumptions and Catalog'!$H$53+'Assumptions and Catalog'!$E$53+'Assumptions and Catalog'!$F$53,IF(((D794+E794)*C794)&lt;='Assumptions and Catalog'!$C$54,((D794+E794)*C794)*'Assumptions and Catalog'!$H$54+'Assumptions and Catalog'!$E$54+'Assumptions and Catalog'!$F$54,IF(((D794+E794)*C794)&lt;='Assumptions and Catalog'!$C$55,((D794+E794)*C794)*'Assumptions and Catalog'!$H$55+'Assumptions and Catalog'!$E$55+'Assumptions and Catalog'!$F$55,IF(((D794+E794)*C794)&lt;='Assumptions and Catalog'!$C$56,((D794+E794)*C794)*'Assumptions and Catalog'!$H$56+'Assumptions and Catalog'!$E$56+'Assumptions and Catalog'!$F$56,IF(((D794+E794)*C794)&lt;='Assumptions and Catalog'!$C$57,((D794+E794)*C794)*'Assumptions and Catalog'!$H$57+'Assumptions and Catalog'!$E$57+'Assumptions and Catalog'!$F$57,"Out of range")))))))),IF(((D794+E794)*C794)&lt;='Assumptions and Catalog'!$C$60,((D794+E794)*C794)*'Assumptions and Catalog'!$H$60+'Assumptions and Catalog'!$E$60+'Assumptions and Catalog'!$F$60,IF(((D794+E794)*C794)&lt;='Assumptions and Catalog'!$C$61,((D794+E794)*C794)*'Assumptions and Catalog'!$H$61+'Assumptions and Catalog'!$E$61+'Assumptions and Catalog'!$F$61,IF(((D794+E794)*C794)&lt;='Assumptions and Catalog'!$C$62,((D794+E794)*C794)*'Assumptions and Catalog'!$H$62+'Assumptions and Catalog'!$E$62+'Assumptions and Catalog'!$F$62,IF(((D794+E794)*C794)&lt;='Assumptions and Catalog'!$C$63,((D794+E794)*C794)*'Assumptions and Catalog'!$H$63+'Assumptions and Catalog'!$E$63+'Assumptions and Catalog'!$F$63,IF(((D794+E794)*C794)&lt;='Assumptions and Catalog'!$C$64,((D794+E794)*C794)*'Assumptions and Catalog'!$H$64+'Assumptions and Catalog'!$E$64+'Assumptions and Catalog'!$F$64,IF(((D794+E794)*C794)&lt;='Assumptions and Catalog'!$C$65,((D794+E794)*C794)*'Assumptions and Catalog'!$H$65+'Assumptions and Catalog'!$E$65+'Assumptions and Catalog'!$F$65,"Out of range")))))))))*(1+'Assumptions and Catalog'!$C$8)^(A794-1),0)</f>
        <v>7727.0666666666657</v>
      </c>
      <c r="N794" s="5">
        <f>IF(ISNUMBER(Inputs!$L$5),(IF(Inputs!$L$9="Actual flat rate",L794*Inputs!$L$10,IF(Inputs!$C$9="Residential",IF(L794&lt;='Assumptions and Catalog'!$C$50,L794*'Assumptions and Catalog'!$H$50+'Assumptions and Catalog'!$E$50+'Assumptions and Catalog'!$F$50,IF(L794&lt;='Assumptions and Catalog'!$C$51,L794*'Assumptions and Catalog'!$H$51+'Assumptions and Catalog'!$E$51+'Assumptions and Catalog'!$F$51,IF(L794&lt;='Assumptions and Catalog'!$C$52,L794*'Assumptions and Catalog'!$H$52+'Assumptions and Catalog'!$E$52+'Assumptions and Catalog'!$F$52,IF(L794&lt;='Assumptions and Catalog'!$C$53,L794*'Assumptions and Catalog'!$H$53+'Assumptions and Catalog'!$E$53+'Assumptions and Catalog'!$F$53,IF(L794&lt;='Assumptions and Catalog'!$C$54,L794*'Assumptions and Catalog'!$H$54+'Assumptions and Catalog'!$E$54+'Assumptions and Catalog'!$F$54,IF(L794&lt;='Assumptions and Catalog'!$C$55,L794*'Assumptions and Catalog'!$H$55+'Assumptions and Catalog'!$E$55+'Assumptions and Catalog'!$F$55,IF(L794&lt;='Assumptions and Catalog'!$C$56,L794*'Assumptions and Catalog'!$H$56+'Assumptions and Catalog'!$E$56+'Assumptions and Catalog'!$F$56,IF(L794&lt;='Assumptions and Catalog'!$C$57,L794*'Assumptions and Catalog'!$H$57+'Assumptions and Catalog'!$E$57+'Assumptions and Catalog'!$F$57,"Out of range")))))))),IF(L794&lt;='Assumptions and Catalog'!$C$60,L794*'Assumptions and Catalog'!$H$60+'Assumptions and Catalog'!$E$60+'Assumptions and Catalog'!$F$60,IF(L794&lt;='Assumptions and Catalog'!$C$61,L794*'Assumptions and Catalog'!$H$61+'Assumptions and Catalog'!$E$61+'Assumptions and Catalog'!$F$61,IF(L794&lt;='Assumptions and Catalog'!$C$62,L794*'Assumptions and Catalog'!$H$62+'Assumptions and Catalog'!$E$62+'Assumptions and Catalog'!$F$62,IF(L794&lt;='Assumptions and Catalog'!$C$63,L794*'Assumptions and Catalog'!$H$63+'Assumptions and Catalog'!$E$63+'Assumptions and Catalog'!$F$63,IF(L794&lt;='Assumptions and Catalog'!$C$64,L794*'Assumptions and Catalog'!$H$64+'Assumptions and Catalog'!$E$64+'Assumptions and Catalog'!$F$64,IF(L794&lt;='Assumptions and Catalog'!$C$65,L794*'Assumptions and Catalog'!$H$65+'Assumptions and Catalog'!$E$65+'Assumptions and Catalog'!$F$65,"Out of range")))))))))*(1+'Assumptions and Catalog'!$C$8)^(A794-1),0)</f>
        <v>5245.1508600710431</v>
      </c>
      <c r="O794" s="5">
        <f t="shared" si="59"/>
        <v>2481.9158065956226</v>
      </c>
      <c r="P794" s="5">
        <f>E$55*(1-L$14)*(1-'Assumptions and Catalog'!$C$23)^R794</f>
        <v>100.352</v>
      </c>
      <c r="Q794" s="5">
        <f>IF(ISNUMBER(Inputs!$L$5),(IF(Inputs!$L$9="Actual flat rate",((D794+E794)*C794-G794)*Inputs!$L$10,IF(Inputs!$C$9="Residential",IF(((D794+E794)*C794-G794)&lt;='Assumptions and Catalog'!$C$50,((D794+E794)*C794-G794)*'Assumptions and Catalog'!$H$50+'Assumptions and Catalog'!$E$50+'Assumptions and Catalog'!$F$50,IF(((D794+E794)*C794-G794)&lt;='Assumptions and Catalog'!$C$51,((D794+E794)*C794-G794)*'Assumptions and Catalog'!$H$51+'Assumptions and Catalog'!$E$51+'Assumptions and Catalog'!$F$51,IF(((D794+E794)*C794-G794)&lt;='Assumptions and Catalog'!$C$52,((D794+E794)*C794-G794)*'Assumptions and Catalog'!$H$52+'Assumptions and Catalog'!$E$52+'Assumptions and Catalog'!$F$52,IF(((D794+E794)*C794-G794)&lt;='Assumptions and Catalog'!$C$53,((D794+E794)*C794-G794)*'Assumptions and Catalog'!$H$53+'Assumptions and Catalog'!$E$53+'Assumptions and Catalog'!$F$53,IF(((D794+E794)*C794-G794)&lt;='Assumptions and Catalog'!$C$54,((D794+E794)*C794-G794)*'Assumptions and Catalog'!$H$54+'Assumptions and Catalog'!$E$54+'Assumptions and Catalog'!$F$54,IF(((D794+E794)*C794-G794)&lt;='Assumptions and Catalog'!$C$55,((D794+E794)*C794-G794)*'Assumptions and Catalog'!$H$55+'Assumptions and Catalog'!$E$55+'Assumptions and Catalog'!$F$55,IF(((D794+E794)*C794-G794)&lt;='Assumptions and Catalog'!$C$56,((D794+E794)*C794-G794)*'Assumptions and Catalog'!$H$56+'Assumptions and Catalog'!$E$56+'Assumptions and Catalog'!$F$56,IF(((D794+E794)*C794-G794)&lt;='Assumptions and Catalog'!$C$57,((D794+E794)*C794-G794)*'Assumptions and Catalog'!$H$57+'Assumptions and Catalog'!$E$57+'Assumptions and Catalog'!$F$57,"Out of range")))))))),IF(((D794+E794)*C794-G794)&lt;='Assumptions and Catalog'!$C$60,((D794+E794)*C794-G794)*'Assumptions and Catalog'!$H$60+'Assumptions and Catalog'!$E$60+'Assumptions and Catalog'!$F$60,IF(((D794+E794)*C794-G794)&lt;='Assumptions and Catalog'!$C$61,((D794+E794)*C794-G794)*'Assumptions and Catalog'!$H$61+'Assumptions and Catalog'!$E$61+'Assumptions and Catalog'!$F$61,IF(((D794+E794)*C794-G794)&lt;='Assumptions and Catalog'!$C$62,((D794+E794)*C794-G794)*'Assumptions and Catalog'!$H$62+'Assumptions and Catalog'!$E$62+'Assumptions and Catalog'!$F$62,IF(((D794+E794)*C794-G794)&lt;='Assumptions and Catalog'!$C$63,((D794+E794)*C794-G794)*'Assumptions and Catalog'!$H$63+'Assumptions and Catalog'!$E$63+'Assumptions and Catalog'!$F$63,IF(((D794+E794)*C794-G794)&lt;='Assumptions and Catalog'!$C$64,((D794+E794)*C794-G794)*'Assumptions and Catalog'!$H$64+'Assumptions and Catalog'!$E$64+'Assumptions and Catalog'!$F$64,IF(((D794+E794)*C794-G794)&lt;='Assumptions and Catalog'!$C$65,((D794+E794)*C794-G794)*'Assumptions and Catalog'!$H$65+'Assumptions and Catalog'!$E$65+'Assumptions and Catalog'!$F$65,"Out of range")))))))))*(1+'Assumptions and Catalog'!$C$8)^(A794-1),0)</f>
        <v>5245.1508600710431</v>
      </c>
      <c r="R794" s="5">
        <f>IF(AND('Assumptions and Catalog'!$C$19&gt;0,A794&gt;='Assumptions and Catalog'!$C$19),A794-'Assumptions and Catalog'!$C$19,A794-1)</f>
        <v>1</v>
      </c>
      <c r="S794" s="5">
        <f>F794+L794-(D794+E794)*C794-J794-K794-IF(E$52&gt;0,'Assumptions and Catalog'!$C$26*C794,0)</f>
        <v>0</v>
      </c>
      <c r="T794" s="5"/>
      <c r="U794" s="5"/>
    </row>
    <row r="795" spans="1:21" ht="23.1" customHeight="1" outlineLevel="1" x14ac:dyDescent="0.2">
      <c r="A795" s="5">
        <v>12</v>
      </c>
      <c r="B795" s="5">
        <v>3</v>
      </c>
      <c r="C795" s="5">
        <f>DAY(DATE('Assumptions and Catalog'!$C$24+A795-1,B795+1,0))</f>
        <v>31</v>
      </c>
      <c r="D795" s="5">
        <f>IF(ISNUMBER(Inputs!$L$5),Inputs!$L$5*Inputs!$L$6,0)</f>
        <v>40.35</v>
      </c>
      <c r="E795" s="5">
        <f>IF(ISNUMBER(Inputs!$L$5),Inputs!$L$5-D795,0)</f>
        <v>40.35</v>
      </c>
      <c r="F795" s="5">
        <f>E$51*'Assumptions and Catalog'!$C$31*C795*(1-'Assumptions and Catalog'!$C$10)^(A795-1)</f>
        <v>803.54021017379637</v>
      </c>
      <c r="G795" s="5">
        <f t="shared" si="56"/>
        <v>803.54021017379637</v>
      </c>
      <c r="H795" s="5">
        <f>I795/('Assumptions and Catalog'!$C$11*'Assumptions and Catalog'!$C$12)</f>
        <v>0</v>
      </c>
      <c r="I795" s="5">
        <f>MIN(E795*C795,P795*'Assumptions and Catalog'!$C$12*C795,(F795-G795)*'Assumptions and Catalog'!$C$11*'Assumptions and Catalog'!$C$12,E$56*'Assumptions and Catalog'!$C$14*'Assumptions and Catalog'!$C$11*'Assumptions and Catalog'!$C$12*C795,E$57*(24-'Assumptions and Catalog'!$C$13)*C795)</f>
        <v>0</v>
      </c>
      <c r="J795" s="5">
        <f t="shared" si="57"/>
        <v>0</v>
      </c>
      <c r="K795" s="5">
        <f t="shared" si="58"/>
        <v>0</v>
      </c>
      <c r="L795" s="5">
        <f>(D795+E795)*C795-G795-I795+0+IF(E$52&gt;0,'Assumptions and Catalog'!$C$26*C795,0)</f>
        <v>1698.1597898262039</v>
      </c>
      <c r="M795" s="5">
        <f>IF(ISNUMBER(Inputs!$L$5),(IF(Inputs!$L$9="Actual flat rate",((D795+E795)*C795)*Inputs!$L$10,IF(Inputs!$C$9="Residential",IF(((D795+E795)*C795)&lt;='Assumptions and Catalog'!$C$50,((D795+E795)*C795)*'Assumptions and Catalog'!$H$50+'Assumptions and Catalog'!$E$50+'Assumptions and Catalog'!$F$50,IF(((D795+E795)*C795)&lt;='Assumptions and Catalog'!$C$51,((D795+E795)*C795)*'Assumptions and Catalog'!$H$51+'Assumptions and Catalog'!$E$51+'Assumptions and Catalog'!$F$51,IF(((D795+E795)*C795)&lt;='Assumptions and Catalog'!$C$52,((D795+E795)*C795)*'Assumptions and Catalog'!$H$52+'Assumptions and Catalog'!$E$52+'Assumptions and Catalog'!$F$52,IF(((D795+E795)*C795)&lt;='Assumptions and Catalog'!$C$53,((D795+E795)*C795)*'Assumptions and Catalog'!$H$53+'Assumptions and Catalog'!$E$53+'Assumptions and Catalog'!$F$53,IF(((D795+E795)*C795)&lt;='Assumptions and Catalog'!$C$54,((D795+E795)*C795)*'Assumptions and Catalog'!$H$54+'Assumptions and Catalog'!$E$54+'Assumptions and Catalog'!$F$54,IF(((D795+E795)*C795)&lt;='Assumptions and Catalog'!$C$55,((D795+E795)*C795)*'Assumptions and Catalog'!$H$55+'Assumptions and Catalog'!$E$55+'Assumptions and Catalog'!$F$55,IF(((D795+E795)*C795)&lt;='Assumptions and Catalog'!$C$56,((D795+E795)*C795)*'Assumptions and Catalog'!$H$56+'Assumptions and Catalog'!$E$56+'Assumptions and Catalog'!$F$56,IF(((D795+E795)*C795)&lt;='Assumptions and Catalog'!$C$57,((D795+E795)*C795)*'Assumptions and Catalog'!$H$57+'Assumptions and Catalog'!$E$57+'Assumptions and Catalog'!$F$57,"Out of range")))))))),IF(((D795+E795)*C795)&lt;='Assumptions and Catalog'!$C$60,((D795+E795)*C795)*'Assumptions and Catalog'!$H$60+'Assumptions and Catalog'!$E$60+'Assumptions and Catalog'!$F$60,IF(((D795+E795)*C795)&lt;='Assumptions and Catalog'!$C$61,((D795+E795)*C795)*'Assumptions and Catalog'!$H$61+'Assumptions and Catalog'!$E$61+'Assumptions and Catalog'!$F$61,IF(((D795+E795)*C795)&lt;='Assumptions and Catalog'!$C$62,((D795+E795)*C795)*'Assumptions and Catalog'!$H$62+'Assumptions and Catalog'!$E$62+'Assumptions and Catalog'!$F$62,IF(((D795+E795)*C795)&lt;='Assumptions and Catalog'!$C$63,((D795+E795)*C795)*'Assumptions and Catalog'!$H$63+'Assumptions and Catalog'!$E$63+'Assumptions and Catalog'!$F$63,IF(((D795+E795)*C795)&lt;='Assumptions and Catalog'!$C$64,((D795+E795)*C795)*'Assumptions and Catalog'!$H$64+'Assumptions and Catalog'!$E$64+'Assumptions and Catalog'!$F$64,IF(((D795+E795)*C795)&lt;='Assumptions and Catalog'!$C$65,((D795+E795)*C795)*'Assumptions and Catalog'!$H$65+'Assumptions and Catalog'!$E$65+'Assumptions and Catalog'!$F$65,"Out of range")))))))))*(1+'Assumptions and Catalog'!$C$8)^(A795-1),0)</f>
        <v>8554.9666666666672</v>
      </c>
      <c r="N795" s="5">
        <f>IF(ISNUMBER(Inputs!$L$5),(IF(Inputs!$L$9="Actual flat rate",L795*Inputs!$L$10,IF(Inputs!$C$9="Residential",IF(L795&lt;='Assumptions and Catalog'!$C$50,L795*'Assumptions and Catalog'!$H$50+'Assumptions and Catalog'!$E$50+'Assumptions and Catalog'!$F$50,IF(L795&lt;='Assumptions and Catalog'!$C$51,L795*'Assumptions and Catalog'!$H$51+'Assumptions and Catalog'!$E$51+'Assumptions and Catalog'!$F$51,IF(L795&lt;='Assumptions and Catalog'!$C$52,L795*'Assumptions and Catalog'!$H$52+'Assumptions and Catalog'!$E$52+'Assumptions and Catalog'!$F$52,IF(L795&lt;='Assumptions and Catalog'!$C$53,L795*'Assumptions and Catalog'!$H$53+'Assumptions and Catalog'!$E$53+'Assumptions and Catalog'!$F$53,IF(L795&lt;='Assumptions and Catalog'!$C$54,L795*'Assumptions and Catalog'!$H$54+'Assumptions and Catalog'!$E$54+'Assumptions and Catalog'!$F$54,IF(L795&lt;='Assumptions and Catalog'!$C$55,L795*'Assumptions and Catalog'!$H$55+'Assumptions and Catalog'!$E$55+'Assumptions and Catalog'!$F$55,IF(L795&lt;='Assumptions and Catalog'!$C$56,L795*'Assumptions and Catalog'!$H$56+'Assumptions and Catalog'!$E$56+'Assumptions and Catalog'!$F$56,IF(L795&lt;='Assumptions and Catalog'!$C$57,L795*'Assumptions and Catalog'!$H$57+'Assumptions and Catalog'!$E$57+'Assumptions and Catalog'!$F$57,"Out of range")))))))),IF(L795&lt;='Assumptions and Catalog'!$C$60,L795*'Assumptions and Catalog'!$H$60+'Assumptions and Catalog'!$E$60+'Assumptions and Catalog'!$F$60,IF(L795&lt;='Assumptions and Catalog'!$C$61,L795*'Assumptions and Catalog'!$H$61+'Assumptions and Catalog'!$E$61+'Assumptions and Catalog'!$F$61,IF(L795&lt;='Assumptions and Catalog'!$C$62,L795*'Assumptions and Catalog'!$H$62+'Assumptions and Catalog'!$E$62+'Assumptions and Catalog'!$F$62,IF(L795&lt;='Assumptions and Catalog'!$C$63,L795*'Assumptions and Catalog'!$H$63+'Assumptions and Catalog'!$E$63+'Assumptions and Catalog'!$F$63,IF(L795&lt;='Assumptions and Catalog'!$C$64,L795*'Assumptions and Catalog'!$H$64+'Assumptions and Catalog'!$E$64+'Assumptions and Catalog'!$F$64,IF(L795&lt;='Assumptions and Catalog'!$C$65,L795*'Assumptions and Catalog'!$H$65+'Assumptions and Catalog'!$E$65+'Assumptions and Catalog'!$F$65,"Out of range")))))))))*(1+'Assumptions and Catalog'!$C$8)^(A795-1),0)</f>
        <v>5807.1313093643703</v>
      </c>
      <c r="O795" s="5">
        <f t="shared" si="59"/>
        <v>2747.8353573022969</v>
      </c>
      <c r="P795" s="5">
        <f>E$55*(1-L$14)*(1-'Assumptions and Catalog'!$C$23)^R795</f>
        <v>100.352</v>
      </c>
      <c r="Q795" s="5">
        <f>IF(ISNUMBER(Inputs!$L$5),(IF(Inputs!$L$9="Actual flat rate",((D795+E795)*C795-G795)*Inputs!$L$10,IF(Inputs!$C$9="Residential",IF(((D795+E795)*C795-G795)&lt;='Assumptions and Catalog'!$C$50,((D795+E795)*C795-G795)*'Assumptions and Catalog'!$H$50+'Assumptions and Catalog'!$E$50+'Assumptions and Catalog'!$F$50,IF(((D795+E795)*C795-G795)&lt;='Assumptions and Catalog'!$C$51,((D795+E795)*C795-G795)*'Assumptions and Catalog'!$H$51+'Assumptions and Catalog'!$E$51+'Assumptions and Catalog'!$F$51,IF(((D795+E795)*C795-G795)&lt;='Assumptions and Catalog'!$C$52,((D795+E795)*C795-G795)*'Assumptions and Catalog'!$H$52+'Assumptions and Catalog'!$E$52+'Assumptions and Catalog'!$F$52,IF(((D795+E795)*C795-G795)&lt;='Assumptions and Catalog'!$C$53,((D795+E795)*C795-G795)*'Assumptions and Catalog'!$H$53+'Assumptions and Catalog'!$E$53+'Assumptions and Catalog'!$F$53,IF(((D795+E795)*C795-G795)&lt;='Assumptions and Catalog'!$C$54,((D795+E795)*C795-G795)*'Assumptions and Catalog'!$H$54+'Assumptions and Catalog'!$E$54+'Assumptions and Catalog'!$F$54,IF(((D795+E795)*C795-G795)&lt;='Assumptions and Catalog'!$C$55,((D795+E795)*C795-G795)*'Assumptions and Catalog'!$H$55+'Assumptions and Catalog'!$E$55+'Assumptions and Catalog'!$F$55,IF(((D795+E795)*C795-G795)&lt;='Assumptions and Catalog'!$C$56,((D795+E795)*C795-G795)*'Assumptions and Catalog'!$H$56+'Assumptions and Catalog'!$E$56+'Assumptions and Catalog'!$F$56,IF(((D795+E795)*C795-G795)&lt;='Assumptions and Catalog'!$C$57,((D795+E795)*C795-G795)*'Assumptions and Catalog'!$H$57+'Assumptions and Catalog'!$E$57+'Assumptions and Catalog'!$F$57,"Out of range")))))))),IF(((D795+E795)*C795-G795)&lt;='Assumptions and Catalog'!$C$60,((D795+E795)*C795-G795)*'Assumptions and Catalog'!$H$60+'Assumptions and Catalog'!$E$60+'Assumptions and Catalog'!$F$60,IF(((D795+E795)*C795-G795)&lt;='Assumptions and Catalog'!$C$61,((D795+E795)*C795-G795)*'Assumptions and Catalog'!$H$61+'Assumptions and Catalog'!$E$61+'Assumptions and Catalog'!$F$61,IF(((D795+E795)*C795-G795)&lt;='Assumptions and Catalog'!$C$62,((D795+E795)*C795-G795)*'Assumptions and Catalog'!$H$62+'Assumptions and Catalog'!$E$62+'Assumptions and Catalog'!$F$62,IF(((D795+E795)*C795-G795)&lt;='Assumptions and Catalog'!$C$63,((D795+E795)*C795-G795)*'Assumptions and Catalog'!$H$63+'Assumptions and Catalog'!$E$63+'Assumptions and Catalog'!$F$63,IF(((D795+E795)*C795-G795)&lt;='Assumptions and Catalog'!$C$64,((D795+E795)*C795-G795)*'Assumptions and Catalog'!$H$64+'Assumptions and Catalog'!$E$64+'Assumptions and Catalog'!$F$64,IF(((D795+E795)*C795-G795)&lt;='Assumptions and Catalog'!$C$65,((D795+E795)*C795-G795)*'Assumptions and Catalog'!$H$65+'Assumptions and Catalog'!$E$65+'Assumptions and Catalog'!$F$65,"Out of range")))))))))*(1+'Assumptions and Catalog'!$C$8)^(A795-1),0)</f>
        <v>5807.1313093643703</v>
      </c>
      <c r="R795" s="5">
        <f>IF(AND('Assumptions and Catalog'!$C$19&gt;0,A795&gt;='Assumptions and Catalog'!$C$19),A795-'Assumptions and Catalog'!$C$19,A795-1)</f>
        <v>1</v>
      </c>
      <c r="S795" s="5">
        <f>F795+L795-(D795+E795)*C795-J795-K795-IF(E$52&gt;0,'Assumptions and Catalog'!$C$26*C795,0)</f>
        <v>0</v>
      </c>
      <c r="T795" s="5"/>
      <c r="U795" s="5"/>
    </row>
    <row r="796" spans="1:21" ht="23.1" customHeight="1" outlineLevel="1" x14ac:dyDescent="0.2">
      <c r="A796" s="5">
        <v>12</v>
      </c>
      <c r="B796" s="5">
        <v>4</v>
      </c>
      <c r="C796" s="5">
        <f>DAY(DATE('Assumptions and Catalog'!$C$24+A796-1,B796+1,0))</f>
        <v>30</v>
      </c>
      <c r="D796" s="5">
        <f>IF(ISNUMBER(Inputs!$L$5),Inputs!$L$5*Inputs!$L$6,0)</f>
        <v>40.35</v>
      </c>
      <c r="E796" s="5">
        <f>IF(ISNUMBER(Inputs!$L$5),Inputs!$L$5-D796,0)</f>
        <v>40.35</v>
      </c>
      <c r="F796" s="5">
        <f>E$51*'Assumptions and Catalog'!$C$31*C796*(1-'Assumptions and Catalog'!$C$10)^(A796-1)</f>
        <v>777.61955823270625</v>
      </c>
      <c r="G796" s="5">
        <f t="shared" si="56"/>
        <v>777.61955823270625</v>
      </c>
      <c r="H796" s="5">
        <f>I796/('Assumptions and Catalog'!$C$11*'Assumptions and Catalog'!$C$12)</f>
        <v>0</v>
      </c>
      <c r="I796" s="5">
        <f>MIN(E796*C796,P796*'Assumptions and Catalog'!$C$12*C796,(F796-G796)*'Assumptions and Catalog'!$C$11*'Assumptions and Catalog'!$C$12,E$56*'Assumptions and Catalog'!$C$14*'Assumptions and Catalog'!$C$11*'Assumptions and Catalog'!$C$12*C796,E$57*(24-'Assumptions and Catalog'!$C$13)*C796)</f>
        <v>0</v>
      </c>
      <c r="J796" s="5">
        <f t="shared" si="57"/>
        <v>0</v>
      </c>
      <c r="K796" s="5">
        <f t="shared" si="58"/>
        <v>0</v>
      </c>
      <c r="L796" s="5">
        <f>(D796+E796)*C796-G796-I796+0+IF(E$52&gt;0,'Assumptions and Catalog'!$C$26*C796,0)</f>
        <v>1643.3804417672936</v>
      </c>
      <c r="M796" s="5">
        <f>IF(ISNUMBER(Inputs!$L$5),(IF(Inputs!$L$9="Actual flat rate",((D796+E796)*C796)*Inputs!$L$10,IF(Inputs!$C$9="Residential",IF(((D796+E796)*C796)&lt;='Assumptions and Catalog'!$C$50,((D796+E796)*C796)*'Assumptions and Catalog'!$H$50+'Assumptions and Catalog'!$E$50+'Assumptions and Catalog'!$F$50,IF(((D796+E796)*C796)&lt;='Assumptions and Catalog'!$C$51,((D796+E796)*C796)*'Assumptions and Catalog'!$H$51+'Assumptions and Catalog'!$E$51+'Assumptions and Catalog'!$F$51,IF(((D796+E796)*C796)&lt;='Assumptions and Catalog'!$C$52,((D796+E796)*C796)*'Assumptions and Catalog'!$H$52+'Assumptions and Catalog'!$E$52+'Assumptions and Catalog'!$F$52,IF(((D796+E796)*C796)&lt;='Assumptions and Catalog'!$C$53,((D796+E796)*C796)*'Assumptions and Catalog'!$H$53+'Assumptions and Catalog'!$E$53+'Assumptions and Catalog'!$F$53,IF(((D796+E796)*C796)&lt;='Assumptions and Catalog'!$C$54,((D796+E796)*C796)*'Assumptions and Catalog'!$H$54+'Assumptions and Catalog'!$E$54+'Assumptions and Catalog'!$F$54,IF(((D796+E796)*C796)&lt;='Assumptions and Catalog'!$C$55,((D796+E796)*C796)*'Assumptions and Catalog'!$H$55+'Assumptions and Catalog'!$E$55+'Assumptions and Catalog'!$F$55,IF(((D796+E796)*C796)&lt;='Assumptions and Catalog'!$C$56,((D796+E796)*C796)*'Assumptions and Catalog'!$H$56+'Assumptions and Catalog'!$E$56+'Assumptions and Catalog'!$F$56,IF(((D796+E796)*C796)&lt;='Assumptions and Catalog'!$C$57,((D796+E796)*C796)*'Assumptions and Catalog'!$H$57+'Assumptions and Catalog'!$E$57+'Assumptions and Catalog'!$F$57,"Out of range")))))))),IF(((D796+E796)*C796)&lt;='Assumptions and Catalog'!$C$60,((D796+E796)*C796)*'Assumptions and Catalog'!$H$60+'Assumptions and Catalog'!$E$60+'Assumptions and Catalog'!$F$60,IF(((D796+E796)*C796)&lt;='Assumptions and Catalog'!$C$61,((D796+E796)*C796)*'Assumptions and Catalog'!$H$61+'Assumptions and Catalog'!$E$61+'Assumptions and Catalog'!$F$61,IF(((D796+E796)*C796)&lt;='Assumptions and Catalog'!$C$62,((D796+E796)*C796)*'Assumptions and Catalog'!$H$62+'Assumptions and Catalog'!$E$62+'Assumptions and Catalog'!$F$62,IF(((D796+E796)*C796)&lt;='Assumptions and Catalog'!$C$63,((D796+E796)*C796)*'Assumptions and Catalog'!$H$63+'Assumptions and Catalog'!$E$63+'Assumptions and Catalog'!$F$63,IF(((D796+E796)*C796)&lt;='Assumptions and Catalog'!$C$64,((D796+E796)*C796)*'Assumptions and Catalog'!$H$64+'Assumptions and Catalog'!$E$64+'Assumptions and Catalog'!$F$64,IF(((D796+E796)*C796)&lt;='Assumptions and Catalog'!$C$65,((D796+E796)*C796)*'Assumptions and Catalog'!$H$65+'Assumptions and Catalog'!$E$65+'Assumptions and Catalog'!$F$65,"Out of range")))))))))*(1+'Assumptions and Catalog'!$C$8)^(A796-1),0)</f>
        <v>8279</v>
      </c>
      <c r="N796" s="5">
        <f>IF(ISNUMBER(Inputs!$L$5),(IF(Inputs!$L$9="Actual flat rate",L796*Inputs!$L$10,IF(Inputs!$C$9="Residential",IF(L796&lt;='Assumptions and Catalog'!$C$50,L796*'Assumptions and Catalog'!$H$50+'Assumptions and Catalog'!$E$50+'Assumptions and Catalog'!$F$50,IF(L796&lt;='Assumptions and Catalog'!$C$51,L796*'Assumptions and Catalog'!$H$51+'Assumptions and Catalog'!$E$51+'Assumptions and Catalog'!$F$51,IF(L796&lt;='Assumptions and Catalog'!$C$52,L796*'Assumptions and Catalog'!$H$52+'Assumptions and Catalog'!$E$52+'Assumptions and Catalog'!$F$52,IF(L796&lt;='Assumptions and Catalog'!$C$53,L796*'Assumptions and Catalog'!$H$53+'Assumptions and Catalog'!$E$53+'Assumptions and Catalog'!$F$53,IF(L796&lt;='Assumptions and Catalog'!$C$54,L796*'Assumptions and Catalog'!$H$54+'Assumptions and Catalog'!$E$54+'Assumptions and Catalog'!$F$54,IF(L796&lt;='Assumptions and Catalog'!$C$55,L796*'Assumptions and Catalog'!$H$55+'Assumptions and Catalog'!$E$55+'Assumptions and Catalog'!$F$55,IF(L796&lt;='Assumptions and Catalog'!$C$56,L796*'Assumptions and Catalog'!$H$56+'Assumptions and Catalog'!$E$56+'Assumptions and Catalog'!$F$56,IF(L796&lt;='Assumptions and Catalog'!$C$57,L796*'Assumptions and Catalog'!$H$57+'Assumptions and Catalog'!$E$57+'Assumptions and Catalog'!$F$57,"Out of range")))))))),IF(L796&lt;='Assumptions and Catalog'!$C$60,L796*'Assumptions and Catalog'!$H$60+'Assumptions and Catalog'!$E$60+'Assumptions and Catalog'!$F$60,IF(L796&lt;='Assumptions and Catalog'!$C$61,L796*'Assumptions and Catalog'!$H$61+'Assumptions and Catalog'!$E$61+'Assumptions and Catalog'!$F$61,IF(L796&lt;='Assumptions and Catalog'!$C$62,L796*'Assumptions and Catalog'!$H$62+'Assumptions and Catalog'!$E$62+'Assumptions and Catalog'!$F$62,IF(L796&lt;='Assumptions and Catalog'!$C$63,L796*'Assumptions and Catalog'!$H$63+'Assumptions and Catalog'!$E$63+'Assumptions and Catalog'!$F$63,IF(L796&lt;='Assumptions and Catalog'!$C$64,L796*'Assumptions and Catalog'!$H$64+'Assumptions and Catalog'!$E$64+'Assumptions and Catalog'!$F$64,IF(L796&lt;='Assumptions and Catalog'!$C$65,L796*'Assumptions and Catalog'!$H$65+'Assumptions and Catalog'!$E$65+'Assumptions and Catalog'!$F$65,"Out of range")))))))))*(1+'Assumptions and Catalog'!$C$8)^(A796-1),0)</f>
        <v>5619.80449293326</v>
      </c>
      <c r="O796" s="5">
        <f t="shared" si="59"/>
        <v>2659.19550706674</v>
      </c>
      <c r="P796" s="5">
        <f>E$55*(1-L$14)*(1-'Assumptions and Catalog'!$C$23)^R796</f>
        <v>100.352</v>
      </c>
      <c r="Q796" s="5">
        <f>IF(ISNUMBER(Inputs!$L$5),(IF(Inputs!$L$9="Actual flat rate",((D796+E796)*C796-G796)*Inputs!$L$10,IF(Inputs!$C$9="Residential",IF(((D796+E796)*C796-G796)&lt;='Assumptions and Catalog'!$C$50,((D796+E796)*C796-G796)*'Assumptions and Catalog'!$H$50+'Assumptions and Catalog'!$E$50+'Assumptions and Catalog'!$F$50,IF(((D796+E796)*C796-G796)&lt;='Assumptions and Catalog'!$C$51,((D796+E796)*C796-G796)*'Assumptions and Catalog'!$H$51+'Assumptions and Catalog'!$E$51+'Assumptions and Catalog'!$F$51,IF(((D796+E796)*C796-G796)&lt;='Assumptions and Catalog'!$C$52,((D796+E796)*C796-G796)*'Assumptions and Catalog'!$H$52+'Assumptions and Catalog'!$E$52+'Assumptions and Catalog'!$F$52,IF(((D796+E796)*C796-G796)&lt;='Assumptions and Catalog'!$C$53,((D796+E796)*C796-G796)*'Assumptions and Catalog'!$H$53+'Assumptions and Catalog'!$E$53+'Assumptions and Catalog'!$F$53,IF(((D796+E796)*C796-G796)&lt;='Assumptions and Catalog'!$C$54,((D796+E796)*C796-G796)*'Assumptions and Catalog'!$H$54+'Assumptions and Catalog'!$E$54+'Assumptions and Catalog'!$F$54,IF(((D796+E796)*C796-G796)&lt;='Assumptions and Catalog'!$C$55,((D796+E796)*C796-G796)*'Assumptions and Catalog'!$H$55+'Assumptions and Catalog'!$E$55+'Assumptions and Catalog'!$F$55,IF(((D796+E796)*C796-G796)&lt;='Assumptions and Catalog'!$C$56,((D796+E796)*C796-G796)*'Assumptions and Catalog'!$H$56+'Assumptions and Catalog'!$E$56+'Assumptions and Catalog'!$F$56,IF(((D796+E796)*C796-G796)&lt;='Assumptions and Catalog'!$C$57,((D796+E796)*C796-G796)*'Assumptions and Catalog'!$H$57+'Assumptions and Catalog'!$E$57+'Assumptions and Catalog'!$F$57,"Out of range")))))))),IF(((D796+E796)*C796-G796)&lt;='Assumptions and Catalog'!$C$60,((D796+E796)*C796-G796)*'Assumptions and Catalog'!$H$60+'Assumptions and Catalog'!$E$60+'Assumptions and Catalog'!$F$60,IF(((D796+E796)*C796-G796)&lt;='Assumptions and Catalog'!$C$61,((D796+E796)*C796-G796)*'Assumptions and Catalog'!$H$61+'Assumptions and Catalog'!$E$61+'Assumptions and Catalog'!$F$61,IF(((D796+E796)*C796-G796)&lt;='Assumptions and Catalog'!$C$62,((D796+E796)*C796-G796)*'Assumptions and Catalog'!$H$62+'Assumptions and Catalog'!$E$62+'Assumptions and Catalog'!$F$62,IF(((D796+E796)*C796-G796)&lt;='Assumptions and Catalog'!$C$63,((D796+E796)*C796-G796)*'Assumptions and Catalog'!$H$63+'Assumptions and Catalog'!$E$63+'Assumptions and Catalog'!$F$63,IF(((D796+E796)*C796-G796)&lt;='Assumptions and Catalog'!$C$64,((D796+E796)*C796-G796)*'Assumptions and Catalog'!$H$64+'Assumptions and Catalog'!$E$64+'Assumptions and Catalog'!$F$64,IF(((D796+E796)*C796-G796)&lt;='Assumptions and Catalog'!$C$65,((D796+E796)*C796-G796)*'Assumptions and Catalog'!$H$65+'Assumptions and Catalog'!$E$65+'Assumptions and Catalog'!$F$65,"Out of range")))))))))*(1+'Assumptions and Catalog'!$C$8)^(A796-1),0)</f>
        <v>5619.80449293326</v>
      </c>
      <c r="R796" s="5">
        <f>IF(AND('Assumptions and Catalog'!$C$19&gt;0,A796&gt;='Assumptions and Catalog'!$C$19),A796-'Assumptions and Catalog'!$C$19,A796-1)</f>
        <v>1</v>
      </c>
      <c r="S796" s="5">
        <f>F796+L796-(D796+E796)*C796-J796-K796-IF(E$52&gt;0,'Assumptions and Catalog'!$C$26*C796,0)</f>
        <v>0</v>
      </c>
      <c r="T796" s="5"/>
      <c r="U796" s="5"/>
    </row>
    <row r="797" spans="1:21" ht="23.1" customHeight="1" outlineLevel="1" x14ac:dyDescent="0.2">
      <c r="A797" s="5">
        <v>12</v>
      </c>
      <c r="B797" s="5">
        <v>5</v>
      </c>
      <c r="C797" s="5">
        <f>DAY(DATE('Assumptions and Catalog'!$C$24+A797-1,B797+1,0))</f>
        <v>31</v>
      </c>
      <c r="D797" s="5">
        <f>IF(ISNUMBER(Inputs!$L$5),Inputs!$L$5*Inputs!$L$6,0)</f>
        <v>40.35</v>
      </c>
      <c r="E797" s="5">
        <f>IF(ISNUMBER(Inputs!$L$5),Inputs!$L$5-D797,0)</f>
        <v>40.35</v>
      </c>
      <c r="F797" s="5">
        <f>E$51*'Assumptions and Catalog'!$C$31*C797*(1-'Assumptions and Catalog'!$C$10)^(A797-1)</f>
        <v>803.54021017379637</v>
      </c>
      <c r="G797" s="5">
        <f t="shared" si="56"/>
        <v>803.54021017379637</v>
      </c>
      <c r="H797" s="5">
        <f>I797/('Assumptions and Catalog'!$C$11*'Assumptions and Catalog'!$C$12)</f>
        <v>0</v>
      </c>
      <c r="I797" s="5">
        <f>MIN(E797*C797,P797*'Assumptions and Catalog'!$C$12*C797,(F797-G797)*'Assumptions and Catalog'!$C$11*'Assumptions and Catalog'!$C$12,E$56*'Assumptions and Catalog'!$C$14*'Assumptions and Catalog'!$C$11*'Assumptions and Catalog'!$C$12*C797,E$57*(24-'Assumptions and Catalog'!$C$13)*C797)</f>
        <v>0</v>
      </c>
      <c r="J797" s="5">
        <f t="shared" si="57"/>
        <v>0</v>
      </c>
      <c r="K797" s="5">
        <f t="shared" si="58"/>
        <v>0</v>
      </c>
      <c r="L797" s="5">
        <f>(D797+E797)*C797-G797-I797+0+IF(E$52&gt;0,'Assumptions and Catalog'!$C$26*C797,0)</f>
        <v>1698.1597898262039</v>
      </c>
      <c r="M797" s="5">
        <f>IF(ISNUMBER(Inputs!$L$5),(IF(Inputs!$L$9="Actual flat rate",((D797+E797)*C797)*Inputs!$L$10,IF(Inputs!$C$9="Residential",IF(((D797+E797)*C797)&lt;='Assumptions and Catalog'!$C$50,((D797+E797)*C797)*'Assumptions and Catalog'!$H$50+'Assumptions and Catalog'!$E$50+'Assumptions and Catalog'!$F$50,IF(((D797+E797)*C797)&lt;='Assumptions and Catalog'!$C$51,((D797+E797)*C797)*'Assumptions and Catalog'!$H$51+'Assumptions and Catalog'!$E$51+'Assumptions and Catalog'!$F$51,IF(((D797+E797)*C797)&lt;='Assumptions and Catalog'!$C$52,((D797+E797)*C797)*'Assumptions and Catalog'!$H$52+'Assumptions and Catalog'!$E$52+'Assumptions and Catalog'!$F$52,IF(((D797+E797)*C797)&lt;='Assumptions and Catalog'!$C$53,((D797+E797)*C797)*'Assumptions and Catalog'!$H$53+'Assumptions and Catalog'!$E$53+'Assumptions and Catalog'!$F$53,IF(((D797+E797)*C797)&lt;='Assumptions and Catalog'!$C$54,((D797+E797)*C797)*'Assumptions and Catalog'!$H$54+'Assumptions and Catalog'!$E$54+'Assumptions and Catalog'!$F$54,IF(((D797+E797)*C797)&lt;='Assumptions and Catalog'!$C$55,((D797+E797)*C797)*'Assumptions and Catalog'!$H$55+'Assumptions and Catalog'!$E$55+'Assumptions and Catalog'!$F$55,IF(((D797+E797)*C797)&lt;='Assumptions and Catalog'!$C$56,((D797+E797)*C797)*'Assumptions and Catalog'!$H$56+'Assumptions and Catalog'!$E$56+'Assumptions and Catalog'!$F$56,IF(((D797+E797)*C797)&lt;='Assumptions and Catalog'!$C$57,((D797+E797)*C797)*'Assumptions and Catalog'!$H$57+'Assumptions and Catalog'!$E$57+'Assumptions and Catalog'!$F$57,"Out of range")))))))),IF(((D797+E797)*C797)&lt;='Assumptions and Catalog'!$C$60,((D797+E797)*C797)*'Assumptions and Catalog'!$H$60+'Assumptions and Catalog'!$E$60+'Assumptions and Catalog'!$F$60,IF(((D797+E797)*C797)&lt;='Assumptions and Catalog'!$C$61,((D797+E797)*C797)*'Assumptions and Catalog'!$H$61+'Assumptions and Catalog'!$E$61+'Assumptions and Catalog'!$F$61,IF(((D797+E797)*C797)&lt;='Assumptions and Catalog'!$C$62,((D797+E797)*C797)*'Assumptions and Catalog'!$H$62+'Assumptions and Catalog'!$E$62+'Assumptions and Catalog'!$F$62,IF(((D797+E797)*C797)&lt;='Assumptions and Catalog'!$C$63,((D797+E797)*C797)*'Assumptions and Catalog'!$H$63+'Assumptions and Catalog'!$E$63+'Assumptions and Catalog'!$F$63,IF(((D797+E797)*C797)&lt;='Assumptions and Catalog'!$C$64,((D797+E797)*C797)*'Assumptions and Catalog'!$H$64+'Assumptions and Catalog'!$E$64+'Assumptions and Catalog'!$F$64,IF(((D797+E797)*C797)&lt;='Assumptions and Catalog'!$C$65,((D797+E797)*C797)*'Assumptions and Catalog'!$H$65+'Assumptions and Catalog'!$E$65+'Assumptions and Catalog'!$F$65,"Out of range")))))))))*(1+'Assumptions and Catalog'!$C$8)^(A797-1),0)</f>
        <v>8554.9666666666672</v>
      </c>
      <c r="N797" s="5">
        <f>IF(ISNUMBER(Inputs!$L$5),(IF(Inputs!$L$9="Actual flat rate",L797*Inputs!$L$10,IF(Inputs!$C$9="Residential",IF(L797&lt;='Assumptions and Catalog'!$C$50,L797*'Assumptions and Catalog'!$H$50+'Assumptions and Catalog'!$E$50+'Assumptions and Catalog'!$F$50,IF(L797&lt;='Assumptions and Catalog'!$C$51,L797*'Assumptions and Catalog'!$H$51+'Assumptions and Catalog'!$E$51+'Assumptions and Catalog'!$F$51,IF(L797&lt;='Assumptions and Catalog'!$C$52,L797*'Assumptions and Catalog'!$H$52+'Assumptions and Catalog'!$E$52+'Assumptions and Catalog'!$F$52,IF(L797&lt;='Assumptions and Catalog'!$C$53,L797*'Assumptions and Catalog'!$H$53+'Assumptions and Catalog'!$E$53+'Assumptions and Catalog'!$F$53,IF(L797&lt;='Assumptions and Catalog'!$C$54,L797*'Assumptions and Catalog'!$H$54+'Assumptions and Catalog'!$E$54+'Assumptions and Catalog'!$F$54,IF(L797&lt;='Assumptions and Catalog'!$C$55,L797*'Assumptions and Catalog'!$H$55+'Assumptions and Catalog'!$E$55+'Assumptions and Catalog'!$F$55,IF(L797&lt;='Assumptions and Catalog'!$C$56,L797*'Assumptions and Catalog'!$H$56+'Assumptions and Catalog'!$E$56+'Assumptions and Catalog'!$F$56,IF(L797&lt;='Assumptions and Catalog'!$C$57,L797*'Assumptions and Catalog'!$H$57+'Assumptions and Catalog'!$E$57+'Assumptions and Catalog'!$F$57,"Out of range")))))))),IF(L797&lt;='Assumptions and Catalog'!$C$60,L797*'Assumptions and Catalog'!$H$60+'Assumptions and Catalog'!$E$60+'Assumptions and Catalog'!$F$60,IF(L797&lt;='Assumptions and Catalog'!$C$61,L797*'Assumptions and Catalog'!$H$61+'Assumptions and Catalog'!$E$61+'Assumptions and Catalog'!$F$61,IF(L797&lt;='Assumptions and Catalog'!$C$62,L797*'Assumptions and Catalog'!$H$62+'Assumptions and Catalog'!$E$62+'Assumptions and Catalog'!$F$62,IF(L797&lt;='Assumptions and Catalog'!$C$63,L797*'Assumptions and Catalog'!$H$63+'Assumptions and Catalog'!$E$63+'Assumptions and Catalog'!$F$63,IF(L797&lt;='Assumptions and Catalog'!$C$64,L797*'Assumptions and Catalog'!$H$64+'Assumptions and Catalog'!$E$64+'Assumptions and Catalog'!$F$64,IF(L797&lt;='Assumptions and Catalog'!$C$65,L797*'Assumptions and Catalog'!$H$65+'Assumptions and Catalog'!$E$65+'Assumptions and Catalog'!$F$65,"Out of range")))))))))*(1+'Assumptions and Catalog'!$C$8)^(A797-1),0)</f>
        <v>5807.1313093643703</v>
      </c>
      <c r="O797" s="5">
        <f t="shared" si="59"/>
        <v>2747.8353573022969</v>
      </c>
      <c r="P797" s="5">
        <f>E$55*(1-L$14)*(1-'Assumptions and Catalog'!$C$23)^R797</f>
        <v>100.352</v>
      </c>
      <c r="Q797" s="5">
        <f>IF(ISNUMBER(Inputs!$L$5),(IF(Inputs!$L$9="Actual flat rate",((D797+E797)*C797-G797)*Inputs!$L$10,IF(Inputs!$C$9="Residential",IF(((D797+E797)*C797-G797)&lt;='Assumptions and Catalog'!$C$50,((D797+E797)*C797-G797)*'Assumptions and Catalog'!$H$50+'Assumptions and Catalog'!$E$50+'Assumptions and Catalog'!$F$50,IF(((D797+E797)*C797-G797)&lt;='Assumptions and Catalog'!$C$51,((D797+E797)*C797-G797)*'Assumptions and Catalog'!$H$51+'Assumptions and Catalog'!$E$51+'Assumptions and Catalog'!$F$51,IF(((D797+E797)*C797-G797)&lt;='Assumptions and Catalog'!$C$52,((D797+E797)*C797-G797)*'Assumptions and Catalog'!$H$52+'Assumptions and Catalog'!$E$52+'Assumptions and Catalog'!$F$52,IF(((D797+E797)*C797-G797)&lt;='Assumptions and Catalog'!$C$53,((D797+E797)*C797-G797)*'Assumptions and Catalog'!$H$53+'Assumptions and Catalog'!$E$53+'Assumptions and Catalog'!$F$53,IF(((D797+E797)*C797-G797)&lt;='Assumptions and Catalog'!$C$54,((D797+E797)*C797-G797)*'Assumptions and Catalog'!$H$54+'Assumptions and Catalog'!$E$54+'Assumptions and Catalog'!$F$54,IF(((D797+E797)*C797-G797)&lt;='Assumptions and Catalog'!$C$55,((D797+E797)*C797-G797)*'Assumptions and Catalog'!$H$55+'Assumptions and Catalog'!$E$55+'Assumptions and Catalog'!$F$55,IF(((D797+E797)*C797-G797)&lt;='Assumptions and Catalog'!$C$56,((D797+E797)*C797-G797)*'Assumptions and Catalog'!$H$56+'Assumptions and Catalog'!$E$56+'Assumptions and Catalog'!$F$56,IF(((D797+E797)*C797-G797)&lt;='Assumptions and Catalog'!$C$57,((D797+E797)*C797-G797)*'Assumptions and Catalog'!$H$57+'Assumptions and Catalog'!$E$57+'Assumptions and Catalog'!$F$57,"Out of range")))))))),IF(((D797+E797)*C797-G797)&lt;='Assumptions and Catalog'!$C$60,((D797+E797)*C797-G797)*'Assumptions and Catalog'!$H$60+'Assumptions and Catalog'!$E$60+'Assumptions and Catalog'!$F$60,IF(((D797+E797)*C797-G797)&lt;='Assumptions and Catalog'!$C$61,((D797+E797)*C797-G797)*'Assumptions and Catalog'!$H$61+'Assumptions and Catalog'!$E$61+'Assumptions and Catalog'!$F$61,IF(((D797+E797)*C797-G797)&lt;='Assumptions and Catalog'!$C$62,((D797+E797)*C797-G797)*'Assumptions and Catalog'!$H$62+'Assumptions and Catalog'!$E$62+'Assumptions and Catalog'!$F$62,IF(((D797+E797)*C797-G797)&lt;='Assumptions and Catalog'!$C$63,((D797+E797)*C797-G797)*'Assumptions and Catalog'!$H$63+'Assumptions and Catalog'!$E$63+'Assumptions and Catalog'!$F$63,IF(((D797+E797)*C797-G797)&lt;='Assumptions and Catalog'!$C$64,((D797+E797)*C797-G797)*'Assumptions and Catalog'!$H$64+'Assumptions and Catalog'!$E$64+'Assumptions and Catalog'!$F$64,IF(((D797+E797)*C797-G797)&lt;='Assumptions and Catalog'!$C$65,((D797+E797)*C797-G797)*'Assumptions and Catalog'!$H$65+'Assumptions and Catalog'!$E$65+'Assumptions and Catalog'!$F$65,"Out of range")))))))))*(1+'Assumptions and Catalog'!$C$8)^(A797-1),0)</f>
        <v>5807.1313093643703</v>
      </c>
      <c r="R797" s="5">
        <f>IF(AND('Assumptions and Catalog'!$C$19&gt;0,A797&gt;='Assumptions and Catalog'!$C$19),A797-'Assumptions and Catalog'!$C$19,A797-1)</f>
        <v>1</v>
      </c>
      <c r="S797" s="5">
        <f>F797+L797-(D797+E797)*C797-J797-K797-IF(E$52&gt;0,'Assumptions and Catalog'!$C$26*C797,0)</f>
        <v>0</v>
      </c>
      <c r="T797" s="5"/>
      <c r="U797" s="5"/>
    </row>
    <row r="798" spans="1:21" ht="23.1" customHeight="1" outlineLevel="1" x14ac:dyDescent="0.2">
      <c r="A798" s="5">
        <v>12</v>
      </c>
      <c r="B798" s="5">
        <v>6</v>
      </c>
      <c r="C798" s="5">
        <f>DAY(DATE('Assumptions and Catalog'!$C$24+A798-1,B798+1,0))</f>
        <v>30</v>
      </c>
      <c r="D798" s="5">
        <f>IF(ISNUMBER(Inputs!$L$5),Inputs!$L$5*Inputs!$L$6,0)</f>
        <v>40.35</v>
      </c>
      <c r="E798" s="5">
        <f>IF(ISNUMBER(Inputs!$L$5),Inputs!$L$5-D798,0)</f>
        <v>40.35</v>
      </c>
      <c r="F798" s="5">
        <f>E$51*'Assumptions and Catalog'!$C$31*C798*(1-'Assumptions and Catalog'!$C$10)^(A798-1)</f>
        <v>777.61955823270625</v>
      </c>
      <c r="G798" s="5">
        <f t="shared" si="56"/>
        <v>777.61955823270625</v>
      </c>
      <c r="H798" s="5">
        <f>I798/('Assumptions and Catalog'!$C$11*'Assumptions and Catalog'!$C$12)</f>
        <v>0</v>
      </c>
      <c r="I798" s="5">
        <f>MIN(E798*C798,P798*'Assumptions and Catalog'!$C$12*C798,(F798-G798)*'Assumptions and Catalog'!$C$11*'Assumptions and Catalog'!$C$12,E$56*'Assumptions and Catalog'!$C$14*'Assumptions and Catalog'!$C$11*'Assumptions and Catalog'!$C$12*C798,E$57*(24-'Assumptions and Catalog'!$C$13)*C798)</f>
        <v>0</v>
      </c>
      <c r="J798" s="5">
        <f t="shared" si="57"/>
        <v>0</v>
      </c>
      <c r="K798" s="5">
        <f t="shared" si="58"/>
        <v>0</v>
      </c>
      <c r="L798" s="5">
        <f>(D798+E798)*C798-G798-I798+0+IF(E$52&gt;0,'Assumptions and Catalog'!$C$26*C798,0)</f>
        <v>1643.3804417672936</v>
      </c>
      <c r="M798" s="5">
        <f>IF(ISNUMBER(Inputs!$L$5),(IF(Inputs!$L$9="Actual flat rate",((D798+E798)*C798)*Inputs!$L$10,IF(Inputs!$C$9="Residential",IF(((D798+E798)*C798)&lt;='Assumptions and Catalog'!$C$50,((D798+E798)*C798)*'Assumptions and Catalog'!$H$50+'Assumptions and Catalog'!$E$50+'Assumptions and Catalog'!$F$50,IF(((D798+E798)*C798)&lt;='Assumptions and Catalog'!$C$51,((D798+E798)*C798)*'Assumptions and Catalog'!$H$51+'Assumptions and Catalog'!$E$51+'Assumptions and Catalog'!$F$51,IF(((D798+E798)*C798)&lt;='Assumptions and Catalog'!$C$52,((D798+E798)*C798)*'Assumptions and Catalog'!$H$52+'Assumptions and Catalog'!$E$52+'Assumptions and Catalog'!$F$52,IF(((D798+E798)*C798)&lt;='Assumptions and Catalog'!$C$53,((D798+E798)*C798)*'Assumptions and Catalog'!$H$53+'Assumptions and Catalog'!$E$53+'Assumptions and Catalog'!$F$53,IF(((D798+E798)*C798)&lt;='Assumptions and Catalog'!$C$54,((D798+E798)*C798)*'Assumptions and Catalog'!$H$54+'Assumptions and Catalog'!$E$54+'Assumptions and Catalog'!$F$54,IF(((D798+E798)*C798)&lt;='Assumptions and Catalog'!$C$55,((D798+E798)*C798)*'Assumptions and Catalog'!$H$55+'Assumptions and Catalog'!$E$55+'Assumptions and Catalog'!$F$55,IF(((D798+E798)*C798)&lt;='Assumptions and Catalog'!$C$56,((D798+E798)*C798)*'Assumptions and Catalog'!$H$56+'Assumptions and Catalog'!$E$56+'Assumptions and Catalog'!$F$56,IF(((D798+E798)*C798)&lt;='Assumptions and Catalog'!$C$57,((D798+E798)*C798)*'Assumptions and Catalog'!$H$57+'Assumptions and Catalog'!$E$57+'Assumptions and Catalog'!$F$57,"Out of range")))))))),IF(((D798+E798)*C798)&lt;='Assumptions and Catalog'!$C$60,((D798+E798)*C798)*'Assumptions and Catalog'!$H$60+'Assumptions and Catalog'!$E$60+'Assumptions and Catalog'!$F$60,IF(((D798+E798)*C798)&lt;='Assumptions and Catalog'!$C$61,((D798+E798)*C798)*'Assumptions and Catalog'!$H$61+'Assumptions and Catalog'!$E$61+'Assumptions and Catalog'!$F$61,IF(((D798+E798)*C798)&lt;='Assumptions and Catalog'!$C$62,((D798+E798)*C798)*'Assumptions and Catalog'!$H$62+'Assumptions and Catalog'!$E$62+'Assumptions and Catalog'!$F$62,IF(((D798+E798)*C798)&lt;='Assumptions and Catalog'!$C$63,((D798+E798)*C798)*'Assumptions and Catalog'!$H$63+'Assumptions and Catalog'!$E$63+'Assumptions and Catalog'!$F$63,IF(((D798+E798)*C798)&lt;='Assumptions and Catalog'!$C$64,((D798+E798)*C798)*'Assumptions and Catalog'!$H$64+'Assumptions and Catalog'!$E$64+'Assumptions and Catalog'!$F$64,IF(((D798+E798)*C798)&lt;='Assumptions and Catalog'!$C$65,((D798+E798)*C798)*'Assumptions and Catalog'!$H$65+'Assumptions and Catalog'!$E$65+'Assumptions and Catalog'!$F$65,"Out of range")))))))))*(1+'Assumptions and Catalog'!$C$8)^(A798-1),0)</f>
        <v>8279</v>
      </c>
      <c r="N798" s="5">
        <f>IF(ISNUMBER(Inputs!$L$5),(IF(Inputs!$L$9="Actual flat rate",L798*Inputs!$L$10,IF(Inputs!$C$9="Residential",IF(L798&lt;='Assumptions and Catalog'!$C$50,L798*'Assumptions and Catalog'!$H$50+'Assumptions and Catalog'!$E$50+'Assumptions and Catalog'!$F$50,IF(L798&lt;='Assumptions and Catalog'!$C$51,L798*'Assumptions and Catalog'!$H$51+'Assumptions and Catalog'!$E$51+'Assumptions and Catalog'!$F$51,IF(L798&lt;='Assumptions and Catalog'!$C$52,L798*'Assumptions and Catalog'!$H$52+'Assumptions and Catalog'!$E$52+'Assumptions and Catalog'!$F$52,IF(L798&lt;='Assumptions and Catalog'!$C$53,L798*'Assumptions and Catalog'!$H$53+'Assumptions and Catalog'!$E$53+'Assumptions and Catalog'!$F$53,IF(L798&lt;='Assumptions and Catalog'!$C$54,L798*'Assumptions and Catalog'!$H$54+'Assumptions and Catalog'!$E$54+'Assumptions and Catalog'!$F$54,IF(L798&lt;='Assumptions and Catalog'!$C$55,L798*'Assumptions and Catalog'!$H$55+'Assumptions and Catalog'!$E$55+'Assumptions and Catalog'!$F$55,IF(L798&lt;='Assumptions and Catalog'!$C$56,L798*'Assumptions and Catalog'!$H$56+'Assumptions and Catalog'!$E$56+'Assumptions and Catalog'!$F$56,IF(L798&lt;='Assumptions and Catalog'!$C$57,L798*'Assumptions and Catalog'!$H$57+'Assumptions and Catalog'!$E$57+'Assumptions and Catalog'!$F$57,"Out of range")))))))),IF(L798&lt;='Assumptions and Catalog'!$C$60,L798*'Assumptions and Catalog'!$H$60+'Assumptions and Catalog'!$E$60+'Assumptions and Catalog'!$F$60,IF(L798&lt;='Assumptions and Catalog'!$C$61,L798*'Assumptions and Catalog'!$H$61+'Assumptions and Catalog'!$E$61+'Assumptions and Catalog'!$F$61,IF(L798&lt;='Assumptions and Catalog'!$C$62,L798*'Assumptions and Catalog'!$H$62+'Assumptions and Catalog'!$E$62+'Assumptions and Catalog'!$F$62,IF(L798&lt;='Assumptions and Catalog'!$C$63,L798*'Assumptions and Catalog'!$H$63+'Assumptions and Catalog'!$E$63+'Assumptions and Catalog'!$F$63,IF(L798&lt;='Assumptions and Catalog'!$C$64,L798*'Assumptions and Catalog'!$H$64+'Assumptions and Catalog'!$E$64+'Assumptions and Catalog'!$F$64,IF(L798&lt;='Assumptions and Catalog'!$C$65,L798*'Assumptions and Catalog'!$H$65+'Assumptions and Catalog'!$E$65+'Assumptions and Catalog'!$F$65,"Out of range")))))))))*(1+'Assumptions and Catalog'!$C$8)^(A798-1),0)</f>
        <v>5619.80449293326</v>
      </c>
      <c r="O798" s="5">
        <f t="shared" si="59"/>
        <v>2659.19550706674</v>
      </c>
      <c r="P798" s="5">
        <f>E$55*(1-L$14)*(1-'Assumptions and Catalog'!$C$23)^R798</f>
        <v>100.352</v>
      </c>
      <c r="Q798" s="5">
        <f>IF(ISNUMBER(Inputs!$L$5),(IF(Inputs!$L$9="Actual flat rate",((D798+E798)*C798-G798)*Inputs!$L$10,IF(Inputs!$C$9="Residential",IF(((D798+E798)*C798-G798)&lt;='Assumptions and Catalog'!$C$50,((D798+E798)*C798-G798)*'Assumptions and Catalog'!$H$50+'Assumptions and Catalog'!$E$50+'Assumptions and Catalog'!$F$50,IF(((D798+E798)*C798-G798)&lt;='Assumptions and Catalog'!$C$51,((D798+E798)*C798-G798)*'Assumptions and Catalog'!$H$51+'Assumptions and Catalog'!$E$51+'Assumptions and Catalog'!$F$51,IF(((D798+E798)*C798-G798)&lt;='Assumptions and Catalog'!$C$52,((D798+E798)*C798-G798)*'Assumptions and Catalog'!$H$52+'Assumptions and Catalog'!$E$52+'Assumptions and Catalog'!$F$52,IF(((D798+E798)*C798-G798)&lt;='Assumptions and Catalog'!$C$53,((D798+E798)*C798-G798)*'Assumptions and Catalog'!$H$53+'Assumptions and Catalog'!$E$53+'Assumptions and Catalog'!$F$53,IF(((D798+E798)*C798-G798)&lt;='Assumptions and Catalog'!$C$54,((D798+E798)*C798-G798)*'Assumptions and Catalog'!$H$54+'Assumptions and Catalog'!$E$54+'Assumptions and Catalog'!$F$54,IF(((D798+E798)*C798-G798)&lt;='Assumptions and Catalog'!$C$55,((D798+E798)*C798-G798)*'Assumptions and Catalog'!$H$55+'Assumptions and Catalog'!$E$55+'Assumptions and Catalog'!$F$55,IF(((D798+E798)*C798-G798)&lt;='Assumptions and Catalog'!$C$56,((D798+E798)*C798-G798)*'Assumptions and Catalog'!$H$56+'Assumptions and Catalog'!$E$56+'Assumptions and Catalog'!$F$56,IF(((D798+E798)*C798-G798)&lt;='Assumptions and Catalog'!$C$57,((D798+E798)*C798-G798)*'Assumptions and Catalog'!$H$57+'Assumptions and Catalog'!$E$57+'Assumptions and Catalog'!$F$57,"Out of range")))))))),IF(((D798+E798)*C798-G798)&lt;='Assumptions and Catalog'!$C$60,((D798+E798)*C798-G798)*'Assumptions and Catalog'!$H$60+'Assumptions and Catalog'!$E$60+'Assumptions and Catalog'!$F$60,IF(((D798+E798)*C798-G798)&lt;='Assumptions and Catalog'!$C$61,((D798+E798)*C798-G798)*'Assumptions and Catalog'!$H$61+'Assumptions and Catalog'!$E$61+'Assumptions and Catalog'!$F$61,IF(((D798+E798)*C798-G798)&lt;='Assumptions and Catalog'!$C$62,((D798+E798)*C798-G798)*'Assumptions and Catalog'!$H$62+'Assumptions and Catalog'!$E$62+'Assumptions and Catalog'!$F$62,IF(((D798+E798)*C798-G798)&lt;='Assumptions and Catalog'!$C$63,((D798+E798)*C798-G798)*'Assumptions and Catalog'!$H$63+'Assumptions and Catalog'!$E$63+'Assumptions and Catalog'!$F$63,IF(((D798+E798)*C798-G798)&lt;='Assumptions and Catalog'!$C$64,((D798+E798)*C798-G798)*'Assumptions and Catalog'!$H$64+'Assumptions and Catalog'!$E$64+'Assumptions and Catalog'!$F$64,IF(((D798+E798)*C798-G798)&lt;='Assumptions and Catalog'!$C$65,((D798+E798)*C798-G798)*'Assumptions and Catalog'!$H$65+'Assumptions and Catalog'!$E$65+'Assumptions and Catalog'!$F$65,"Out of range")))))))))*(1+'Assumptions and Catalog'!$C$8)^(A798-1),0)</f>
        <v>5619.80449293326</v>
      </c>
      <c r="R798" s="5">
        <f>IF(AND('Assumptions and Catalog'!$C$19&gt;0,A798&gt;='Assumptions and Catalog'!$C$19),A798-'Assumptions and Catalog'!$C$19,A798-1)</f>
        <v>1</v>
      </c>
      <c r="S798" s="5">
        <f>F798+L798-(D798+E798)*C798-J798-K798-IF(E$52&gt;0,'Assumptions and Catalog'!$C$26*C798,0)</f>
        <v>0</v>
      </c>
      <c r="T798" s="5"/>
      <c r="U798" s="5"/>
    </row>
    <row r="799" spans="1:21" ht="23.1" customHeight="1" outlineLevel="1" x14ac:dyDescent="0.2">
      <c r="A799" s="5">
        <v>12</v>
      </c>
      <c r="B799" s="5">
        <v>7</v>
      </c>
      <c r="C799" s="5">
        <f>DAY(DATE('Assumptions and Catalog'!$C$24+A799-1,B799+1,0))</f>
        <v>31</v>
      </c>
      <c r="D799" s="5">
        <f>IF(ISNUMBER(Inputs!$L$5),Inputs!$L$5*Inputs!$L$6,0)</f>
        <v>40.35</v>
      </c>
      <c r="E799" s="5">
        <f>IF(ISNUMBER(Inputs!$L$5),Inputs!$L$5-D799,0)</f>
        <v>40.35</v>
      </c>
      <c r="F799" s="5">
        <f>E$51*'Assumptions and Catalog'!$C$31*C799*(1-'Assumptions and Catalog'!$C$10)^(A799-1)</f>
        <v>803.54021017379637</v>
      </c>
      <c r="G799" s="5">
        <f t="shared" si="56"/>
        <v>803.54021017379637</v>
      </c>
      <c r="H799" s="5">
        <f>I799/('Assumptions and Catalog'!$C$11*'Assumptions and Catalog'!$C$12)</f>
        <v>0</v>
      </c>
      <c r="I799" s="5">
        <f>MIN(E799*C799,P799*'Assumptions and Catalog'!$C$12*C799,(F799-G799)*'Assumptions and Catalog'!$C$11*'Assumptions and Catalog'!$C$12,E$56*'Assumptions and Catalog'!$C$14*'Assumptions and Catalog'!$C$11*'Assumptions and Catalog'!$C$12*C799,E$57*(24-'Assumptions and Catalog'!$C$13)*C799)</f>
        <v>0</v>
      </c>
      <c r="J799" s="5">
        <f t="shared" si="57"/>
        <v>0</v>
      </c>
      <c r="K799" s="5">
        <f t="shared" si="58"/>
        <v>0</v>
      </c>
      <c r="L799" s="5">
        <f>(D799+E799)*C799-G799-I799+0+IF(E$52&gt;0,'Assumptions and Catalog'!$C$26*C799,0)</f>
        <v>1698.1597898262039</v>
      </c>
      <c r="M799" s="5">
        <f>IF(ISNUMBER(Inputs!$L$5),(IF(Inputs!$L$9="Actual flat rate",((D799+E799)*C799)*Inputs!$L$10,IF(Inputs!$C$9="Residential",IF(((D799+E799)*C799)&lt;='Assumptions and Catalog'!$C$50,((D799+E799)*C799)*'Assumptions and Catalog'!$H$50+'Assumptions and Catalog'!$E$50+'Assumptions and Catalog'!$F$50,IF(((D799+E799)*C799)&lt;='Assumptions and Catalog'!$C$51,((D799+E799)*C799)*'Assumptions and Catalog'!$H$51+'Assumptions and Catalog'!$E$51+'Assumptions and Catalog'!$F$51,IF(((D799+E799)*C799)&lt;='Assumptions and Catalog'!$C$52,((D799+E799)*C799)*'Assumptions and Catalog'!$H$52+'Assumptions and Catalog'!$E$52+'Assumptions and Catalog'!$F$52,IF(((D799+E799)*C799)&lt;='Assumptions and Catalog'!$C$53,((D799+E799)*C799)*'Assumptions and Catalog'!$H$53+'Assumptions and Catalog'!$E$53+'Assumptions and Catalog'!$F$53,IF(((D799+E799)*C799)&lt;='Assumptions and Catalog'!$C$54,((D799+E799)*C799)*'Assumptions and Catalog'!$H$54+'Assumptions and Catalog'!$E$54+'Assumptions and Catalog'!$F$54,IF(((D799+E799)*C799)&lt;='Assumptions and Catalog'!$C$55,((D799+E799)*C799)*'Assumptions and Catalog'!$H$55+'Assumptions and Catalog'!$E$55+'Assumptions and Catalog'!$F$55,IF(((D799+E799)*C799)&lt;='Assumptions and Catalog'!$C$56,((D799+E799)*C799)*'Assumptions and Catalog'!$H$56+'Assumptions and Catalog'!$E$56+'Assumptions and Catalog'!$F$56,IF(((D799+E799)*C799)&lt;='Assumptions and Catalog'!$C$57,((D799+E799)*C799)*'Assumptions and Catalog'!$H$57+'Assumptions and Catalog'!$E$57+'Assumptions and Catalog'!$F$57,"Out of range")))))))),IF(((D799+E799)*C799)&lt;='Assumptions and Catalog'!$C$60,((D799+E799)*C799)*'Assumptions and Catalog'!$H$60+'Assumptions and Catalog'!$E$60+'Assumptions and Catalog'!$F$60,IF(((D799+E799)*C799)&lt;='Assumptions and Catalog'!$C$61,((D799+E799)*C799)*'Assumptions and Catalog'!$H$61+'Assumptions and Catalog'!$E$61+'Assumptions and Catalog'!$F$61,IF(((D799+E799)*C799)&lt;='Assumptions and Catalog'!$C$62,((D799+E799)*C799)*'Assumptions and Catalog'!$H$62+'Assumptions and Catalog'!$E$62+'Assumptions and Catalog'!$F$62,IF(((D799+E799)*C799)&lt;='Assumptions and Catalog'!$C$63,((D799+E799)*C799)*'Assumptions and Catalog'!$H$63+'Assumptions and Catalog'!$E$63+'Assumptions and Catalog'!$F$63,IF(((D799+E799)*C799)&lt;='Assumptions and Catalog'!$C$64,((D799+E799)*C799)*'Assumptions and Catalog'!$H$64+'Assumptions and Catalog'!$E$64+'Assumptions and Catalog'!$F$64,IF(((D799+E799)*C799)&lt;='Assumptions and Catalog'!$C$65,((D799+E799)*C799)*'Assumptions and Catalog'!$H$65+'Assumptions and Catalog'!$E$65+'Assumptions and Catalog'!$F$65,"Out of range")))))))))*(1+'Assumptions and Catalog'!$C$8)^(A799-1),0)</f>
        <v>8554.9666666666672</v>
      </c>
      <c r="N799" s="5">
        <f>IF(ISNUMBER(Inputs!$L$5),(IF(Inputs!$L$9="Actual flat rate",L799*Inputs!$L$10,IF(Inputs!$C$9="Residential",IF(L799&lt;='Assumptions and Catalog'!$C$50,L799*'Assumptions and Catalog'!$H$50+'Assumptions and Catalog'!$E$50+'Assumptions and Catalog'!$F$50,IF(L799&lt;='Assumptions and Catalog'!$C$51,L799*'Assumptions and Catalog'!$H$51+'Assumptions and Catalog'!$E$51+'Assumptions and Catalog'!$F$51,IF(L799&lt;='Assumptions and Catalog'!$C$52,L799*'Assumptions and Catalog'!$H$52+'Assumptions and Catalog'!$E$52+'Assumptions and Catalog'!$F$52,IF(L799&lt;='Assumptions and Catalog'!$C$53,L799*'Assumptions and Catalog'!$H$53+'Assumptions and Catalog'!$E$53+'Assumptions and Catalog'!$F$53,IF(L799&lt;='Assumptions and Catalog'!$C$54,L799*'Assumptions and Catalog'!$H$54+'Assumptions and Catalog'!$E$54+'Assumptions and Catalog'!$F$54,IF(L799&lt;='Assumptions and Catalog'!$C$55,L799*'Assumptions and Catalog'!$H$55+'Assumptions and Catalog'!$E$55+'Assumptions and Catalog'!$F$55,IF(L799&lt;='Assumptions and Catalog'!$C$56,L799*'Assumptions and Catalog'!$H$56+'Assumptions and Catalog'!$E$56+'Assumptions and Catalog'!$F$56,IF(L799&lt;='Assumptions and Catalog'!$C$57,L799*'Assumptions and Catalog'!$H$57+'Assumptions and Catalog'!$E$57+'Assumptions and Catalog'!$F$57,"Out of range")))))))),IF(L799&lt;='Assumptions and Catalog'!$C$60,L799*'Assumptions and Catalog'!$H$60+'Assumptions and Catalog'!$E$60+'Assumptions and Catalog'!$F$60,IF(L799&lt;='Assumptions and Catalog'!$C$61,L799*'Assumptions and Catalog'!$H$61+'Assumptions and Catalog'!$E$61+'Assumptions and Catalog'!$F$61,IF(L799&lt;='Assumptions and Catalog'!$C$62,L799*'Assumptions and Catalog'!$H$62+'Assumptions and Catalog'!$E$62+'Assumptions and Catalog'!$F$62,IF(L799&lt;='Assumptions and Catalog'!$C$63,L799*'Assumptions and Catalog'!$H$63+'Assumptions and Catalog'!$E$63+'Assumptions and Catalog'!$F$63,IF(L799&lt;='Assumptions and Catalog'!$C$64,L799*'Assumptions and Catalog'!$H$64+'Assumptions and Catalog'!$E$64+'Assumptions and Catalog'!$F$64,IF(L799&lt;='Assumptions and Catalog'!$C$65,L799*'Assumptions and Catalog'!$H$65+'Assumptions and Catalog'!$E$65+'Assumptions and Catalog'!$F$65,"Out of range")))))))))*(1+'Assumptions and Catalog'!$C$8)^(A799-1),0)</f>
        <v>5807.1313093643703</v>
      </c>
      <c r="O799" s="5">
        <f t="shared" si="59"/>
        <v>2747.8353573022969</v>
      </c>
      <c r="P799" s="5">
        <f>E$55*(1-L$14)*(1-'Assumptions and Catalog'!$C$23)^R799</f>
        <v>100.352</v>
      </c>
      <c r="Q799" s="5">
        <f>IF(ISNUMBER(Inputs!$L$5),(IF(Inputs!$L$9="Actual flat rate",((D799+E799)*C799-G799)*Inputs!$L$10,IF(Inputs!$C$9="Residential",IF(((D799+E799)*C799-G799)&lt;='Assumptions and Catalog'!$C$50,((D799+E799)*C799-G799)*'Assumptions and Catalog'!$H$50+'Assumptions and Catalog'!$E$50+'Assumptions and Catalog'!$F$50,IF(((D799+E799)*C799-G799)&lt;='Assumptions and Catalog'!$C$51,((D799+E799)*C799-G799)*'Assumptions and Catalog'!$H$51+'Assumptions and Catalog'!$E$51+'Assumptions and Catalog'!$F$51,IF(((D799+E799)*C799-G799)&lt;='Assumptions and Catalog'!$C$52,((D799+E799)*C799-G799)*'Assumptions and Catalog'!$H$52+'Assumptions and Catalog'!$E$52+'Assumptions and Catalog'!$F$52,IF(((D799+E799)*C799-G799)&lt;='Assumptions and Catalog'!$C$53,((D799+E799)*C799-G799)*'Assumptions and Catalog'!$H$53+'Assumptions and Catalog'!$E$53+'Assumptions and Catalog'!$F$53,IF(((D799+E799)*C799-G799)&lt;='Assumptions and Catalog'!$C$54,((D799+E799)*C799-G799)*'Assumptions and Catalog'!$H$54+'Assumptions and Catalog'!$E$54+'Assumptions and Catalog'!$F$54,IF(((D799+E799)*C799-G799)&lt;='Assumptions and Catalog'!$C$55,((D799+E799)*C799-G799)*'Assumptions and Catalog'!$H$55+'Assumptions and Catalog'!$E$55+'Assumptions and Catalog'!$F$55,IF(((D799+E799)*C799-G799)&lt;='Assumptions and Catalog'!$C$56,((D799+E799)*C799-G799)*'Assumptions and Catalog'!$H$56+'Assumptions and Catalog'!$E$56+'Assumptions and Catalog'!$F$56,IF(((D799+E799)*C799-G799)&lt;='Assumptions and Catalog'!$C$57,((D799+E799)*C799-G799)*'Assumptions and Catalog'!$H$57+'Assumptions and Catalog'!$E$57+'Assumptions and Catalog'!$F$57,"Out of range")))))))),IF(((D799+E799)*C799-G799)&lt;='Assumptions and Catalog'!$C$60,((D799+E799)*C799-G799)*'Assumptions and Catalog'!$H$60+'Assumptions and Catalog'!$E$60+'Assumptions and Catalog'!$F$60,IF(((D799+E799)*C799-G799)&lt;='Assumptions and Catalog'!$C$61,((D799+E799)*C799-G799)*'Assumptions and Catalog'!$H$61+'Assumptions and Catalog'!$E$61+'Assumptions and Catalog'!$F$61,IF(((D799+E799)*C799-G799)&lt;='Assumptions and Catalog'!$C$62,((D799+E799)*C799-G799)*'Assumptions and Catalog'!$H$62+'Assumptions and Catalog'!$E$62+'Assumptions and Catalog'!$F$62,IF(((D799+E799)*C799-G799)&lt;='Assumptions and Catalog'!$C$63,((D799+E799)*C799-G799)*'Assumptions and Catalog'!$H$63+'Assumptions and Catalog'!$E$63+'Assumptions and Catalog'!$F$63,IF(((D799+E799)*C799-G799)&lt;='Assumptions and Catalog'!$C$64,((D799+E799)*C799-G799)*'Assumptions and Catalog'!$H$64+'Assumptions and Catalog'!$E$64+'Assumptions and Catalog'!$F$64,IF(((D799+E799)*C799-G799)&lt;='Assumptions and Catalog'!$C$65,((D799+E799)*C799-G799)*'Assumptions and Catalog'!$H$65+'Assumptions and Catalog'!$E$65+'Assumptions and Catalog'!$F$65,"Out of range")))))))))*(1+'Assumptions and Catalog'!$C$8)^(A799-1),0)</f>
        <v>5807.1313093643703</v>
      </c>
      <c r="R799" s="5">
        <f>IF(AND('Assumptions and Catalog'!$C$19&gt;0,A799&gt;='Assumptions and Catalog'!$C$19),A799-'Assumptions and Catalog'!$C$19,A799-1)</f>
        <v>1</v>
      </c>
      <c r="S799" s="5">
        <f>F799+L799-(D799+E799)*C799-J799-K799-IF(E$52&gt;0,'Assumptions and Catalog'!$C$26*C799,0)</f>
        <v>0</v>
      </c>
      <c r="T799" s="5"/>
      <c r="U799" s="5"/>
    </row>
    <row r="800" spans="1:21" ht="23.1" customHeight="1" outlineLevel="1" x14ac:dyDescent="0.2">
      <c r="A800" s="5">
        <v>12</v>
      </c>
      <c r="B800" s="5">
        <v>8</v>
      </c>
      <c r="C800" s="5">
        <f>DAY(DATE('Assumptions and Catalog'!$C$24+A800-1,B800+1,0))</f>
        <v>31</v>
      </c>
      <c r="D800" s="5">
        <f>IF(ISNUMBER(Inputs!$L$5),Inputs!$L$5*Inputs!$L$6,0)</f>
        <v>40.35</v>
      </c>
      <c r="E800" s="5">
        <f>IF(ISNUMBER(Inputs!$L$5),Inputs!$L$5-D800,0)</f>
        <v>40.35</v>
      </c>
      <c r="F800" s="5">
        <f>E$51*'Assumptions and Catalog'!$C$31*C800*(1-'Assumptions and Catalog'!$C$10)^(A800-1)</f>
        <v>803.54021017379637</v>
      </c>
      <c r="G800" s="5">
        <f t="shared" si="56"/>
        <v>803.54021017379637</v>
      </c>
      <c r="H800" s="5">
        <f>I800/('Assumptions and Catalog'!$C$11*'Assumptions and Catalog'!$C$12)</f>
        <v>0</v>
      </c>
      <c r="I800" s="5">
        <f>MIN(E800*C800,P800*'Assumptions and Catalog'!$C$12*C800,(F800-G800)*'Assumptions and Catalog'!$C$11*'Assumptions and Catalog'!$C$12,E$56*'Assumptions and Catalog'!$C$14*'Assumptions and Catalog'!$C$11*'Assumptions and Catalog'!$C$12*C800,E$57*(24-'Assumptions and Catalog'!$C$13)*C800)</f>
        <v>0</v>
      </c>
      <c r="J800" s="5">
        <f t="shared" si="57"/>
        <v>0</v>
      </c>
      <c r="K800" s="5">
        <f t="shared" si="58"/>
        <v>0</v>
      </c>
      <c r="L800" s="5">
        <f>(D800+E800)*C800-G800-I800+0+IF(E$52&gt;0,'Assumptions and Catalog'!$C$26*C800,0)</f>
        <v>1698.1597898262039</v>
      </c>
      <c r="M800" s="5">
        <f>IF(ISNUMBER(Inputs!$L$5),(IF(Inputs!$L$9="Actual flat rate",((D800+E800)*C800)*Inputs!$L$10,IF(Inputs!$C$9="Residential",IF(((D800+E800)*C800)&lt;='Assumptions and Catalog'!$C$50,((D800+E800)*C800)*'Assumptions and Catalog'!$H$50+'Assumptions and Catalog'!$E$50+'Assumptions and Catalog'!$F$50,IF(((D800+E800)*C800)&lt;='Assumptions and Catalog'!$C$51,((D800+E800)*C800)*'Assumptions and Catalog'!$H$51+'Assumptions and Catalog'!$E$51+'Assumptions and Catalog'!$F$51,IF(((D800+E800)*C800)&lt;='Assumptions and Catalog'!$C$52,((D800+E800)*C800)*'Assumptions and Catalog'!$H$52+'Assumptions and Catalog'!$E$52+'Assumptions and Catalog'!$F$52,IF(((D800+E800)*C800)&lt;='Assumptions and Catalog'!$C$53,((D800+E800)*C800)*'Assumptions and Catalog'!$H$53+'Assumptions and Catalog'!$E$53+'Assumptions and Catalog'!$F$53,IF(((D800+E800)*C800)&lt;='Assumptions and Catalog'!$C$54,((D800+E800)*C800)*'Assumptions and Catalog'!$H$54+'Assumptions and Catalog'!$E$54+'Assumptions and Catalog'!$F$54,IF(((D800+E800)*C800)&lt;='Assumptions and Catalog'!$C$55,((D800+E800)*C800)*'Assumptions and Catalog'!$H$55+'Assumptions and Catalog'!$E$55+'Assumptions and Catalog'!$F$55,IF(((D800+E800)*C800)&lt;='Assumptions and Catalog'!$C$56,((D800+E800)*C800)*'Assumptions and Catalog'!$H$56+'Assumptions and Catalog'!$E$56+'Assumptions and Catalog'!$F$56,IF(((D800+E800)*C800)&lt;='Assumptions and Catalog'!$C$57,((D800+E800)*C800)*'Assumptions and Catalog'!$H$57+'Assumptions and Catalog'!$E$57+'Assumptions and Catalog'!$F$57,"Out of range")))))))),IF(((D800+E800)*C800)&lt;='Assumptions and Catalog'!$C$60,((D800+E800)*C800)*'Assumptions and Catalog'!$H$60+'Assumptions and Catalog'!$E$60+'Assumptions and Catalog'!$F$60,IF(((D800+E800)*C800)&lt;='Assumptions and Catalog'!$C$61,((D800+E800)*C800)*'Assumptions and Catalog'!$H$61+'Assumptions and Catalog'!$E$61+'Assumptions and Catalog'!$F$61,IF(((D800+E800)*C800)&lt;='Assumptions and Catalog'!$C$62,((D800+E800)*C800)*'Assumptions and Catalog'!$H$62+'Assumptions and Catalog'!$E$62+'Assumptions and Catalog'!$F$62,IF(((D800+E800)*C800)&lt;='Assumptions and Catalog'!$C$63,((D800+E800)*C800)*'Assumptions and Catalog'!$H$63+'Assumptions and Catalog'!$E$63+'Assumptions and Catalog'!$F$63,IF(((D800+E800)*C800)&lt;='Assumptions and Catalog'!$C$64,((D800+E800)*C800)*'Assumptions and Catalog'!$H$64+'Assumptions and Catalog'!$E$64+'Assumptions and Catalog'!$F$64,IF(((D800+E800)*C800)&lt;='Assumptions and Catalog'!$C$65,((D800+E800)*C800)*'Assumptions and Catalog'!$H$65+'Assumptions and Catalog'!$E$65+'Assumptions and Catalog'!$F$65,"Out of range")))))))))*(1+'Assumptions and Catalog'!$C$8)^(A800-1),0)</f>
        <v>8554.9666666666672</v>
      </c>
      <c r="N800" s="5">
        <f>IF(ISNUMBER(Inputs!$L$5),(IF(Inputs!$L$9="Actual flat rate",L800*Inputs!$L$10,IF(Inputs!$C$9="Residential",IF(L800&lt;='Assumptions and Catalog'!$C$50,L800*'Assumptions and Catalog'!$H$50+'Assumptions and Catalog'!$E$50+'Assumptions and Catalog'!$F$50,IF(L800&lt;='Assumptions and Catalog'!$C$51,L800*'Assumptions and Catalog'!$H$51+'Assumptions and Catalog'!$E$51+'Assumptions and Catalog'!$F$51,IF(L800&lt;='Assumptions and Catalog'!$C$52,L800*'Assumptions and Catalog'!$H$52+'Assumptions and Catalog'!$E$52+'Assumptions and Catalog'!$F$52,IF(L800&lt;='Assumptions and Catalog'!$C$53,L800*'Assumptions and Catalog'!$H$53+'Assumptions and Catalog'!$E$53+'Assumptions and Catalog'!$F$53,IF(L800&lt;='Assumptions and Catalog'!$C$54,L800*'Assumptions and Catalog'!$H$54+'Assumptions and Catalog'!$E$54+'Assumptions and Catalog'!$F$54,IF(L800&lt;='Assumptions and Catalog'!$C$55,L800*'Assumptions and Catalog'!$H$55+'Assumptions and Catalog'!$E$55+'Assumptions and Catalog'!$F$55,IF(L800&lt;='Assumptions and Catalog'!$C$56,L800*'Assumptions and Catalog'!$H$56+'Assumptions and Catalog'!$E$56+'Assumptions and Catalog'!$F$56,IF(L800&lt;='Assumptions and Catalog'!$C$57,L800*'Assumptions and Catalog'!$H$57+'Assumptions and Catalog'!$E$57+'Assumptions and Catalog'!$F$57,"Out of range")))))))),IF(L800&lt;='Assumptions and Catalog'!$C$60,L800*'Assumptions and Catalog'!$H$60+'Assumptions and Catalog'!$E$60+'Assumptions and Catalog'!$F$60,IF(L800&lt;='Assumptions and Catalog'!$C$61,L800*'Assumptions and Catalog'!$H$61+'Assumptions and Catalog'!$E$61+'Assumptions and Catalog'!$F$61,IF(L800&lt;='Assumptions and Catalog'!$C$62,L800*'Assumptions and Catalog'!$H$62+'Assumptions and Catalog'!$E$62+'Assumptions and Catalog'!$F$62,IF(L800&lt;='Assumptions and Catalog'!$C$63,L800*'Assumptions and Catalog'!$H$63+'Assumptions and Catalog'!$E$63+'Assumptions and Catalog'!$F$63,IF(L800&lt;='Assumptions and Catalog'!$C$64,L800*'Assumptions and Catalog'!$H$64+'Assumptions and Catalog'!$E$64+'Assumptions and Catalog'!$F$64,IF(L800&lt;='Assumptions and Catalog'!$C$65,L800*'Assumptions and Catalog'!$H$65+'Assumptions and Catalog'!$E$65+'Assumptions and Catalog'!$F$65,"Out of range")))))))))*(1+'Assumptions and Catalog'!$C$8)^(A800-1),0)</f>
        <v>5807.1313093643703</v>
      </c>
      <c r="O800" s="5">
        <f t="shared" si="59"/>
        <v>2747.8353573022969</v>
      </c>
      <c r="P800" s="5">
        <f>E$55*(1-L$14)*(1-'Assumptions and Catalog'!$C$23)^R800</f>
        <v>100.352</v>
      </c>
      <c r="Q800" s="5">
        <f>IF(ISNUMBER(Inputs!$L$5),(IF(Inputs!$L$9="Actual flat rate",((D800+E800)*C800-G800)*Inputs!$L$10,IF(Inputs!$C$9="Residential",IF(((D800+E800)*C800-G800)&lt;='Assumptions and Catalog'!$C$50,((D800+E800)*C800-G800)*'Assumptions and Catalog'!$H$50+'Assumptions and Catalog'!$E$50+'Assumptions and Catalog'!$F$50,IF(((D800+E800)*C800-G800)&lt;='Assumptions and Catalog'!$C$51,((D800+E800)*C800-G800)*'Assumptions and Catalog'!$H$51+'Assumptions and Catalog'!$E$51+'Assumptions and Catalog'!$F$51,IF(((D800+E800)*C800-G800)&lt;='Assumptions and Catalog'!$C$52,((D800+E800)*C800-G800)*'Assumptions and Catalog'!$H$52+'Assumptions and Catalog'!$E$52+'Assumptions and Catalog'!$F$52,IF(((D800+E800)*C800-G800)&lt;='Assumptions and Catalog'!$C$53,((D800+E800)*C800-G800)*'Assumptions and Catalog'!$H$53+'Assumptions and Catalog'!$E$53+'Assumptions and Catalog'!$F$53,IF(((D800+E800)*C800-G800)&lt;='Assumptions and Catalog'!$C$54,((D800+E800)*C800-G800)*'Assumptions and Catalog'!$H$54+'Assumptions and Catalog'!$E$54+'Assumptions and Catalog'!$F$54,IF(((D800+E800)*C800-G800)&lt;='Assumptions and Catalog'!$C$55,((D800+E800)*C800-G800)*'Assumptions and Catalog'!$H$55+'Assumptions and Catalog'!$E$55+'Assumptions and Catalog'!$F$55,IF(((D800+E800)*C800-G800)&lt;='Assumptions and Catalog'!$C$56,((D800+E800)*C800-G800)*'Assumptions and Catalog'!$H$56+'Assumptions and Catalog'!$E$56+'Assumptions and Catalog'!$F$56,IF(((D800+E800)*C800-G800)&lt;='Assumptions and Catalog'!$C$57,((D800+E800)*C800-G800)*'Assumptions and Catalog'!$H$57+'Assumptions and Catalog'!$E$57+'Assumptions and Catalog'!$F$57,"Out of range")))))))),IF(((D800+E800)*C800-G800)&lt;='Assumptions and Catalog'!$C$60,((D800+E800)*C800-G800)*'Assumptions and Catalog'!$H$60+'Assumptions and Catalog'!$E$60+'Assumptions and Catalog'!$F$60,IF(((D800+E800)*C800-G800)&lt;='Assumptions and Catalog'!$C$61,((D800+E800)*C800-G800)*'Assumptions and Catalog'!$H$61+'Assumptions and Catalog'!$E$61+'Assumptions and Catalog'!$F$61,IF(((D800+E800)*C800-G800)&lt;='Assumptions and Catalog'!$C$62,((D800+E800)*C800-G800)*'Assumptions and Catalog'!$H$62+'Assumptions and Catalog'!$E$62+'Assumptions and Catalog'!$F$62,IF(((D800+E800)*C800-G800)&lt;='Assumptions and Catalog'!$C$63,((D800+E800)*C800-G800)*'Assumptions and Catalog'!$H$63+'Assumptions and Catalog'!$E$63+'Assumptions and Catalog'!$F$63,IF(((D800+E800)*C800-G800)&lt;='Assumptions and Catalog'!$C$64,((D800+E800)*C800-G800)*'Assumptions and Catalog'!$H$64+'Assumptions and Catalog'!$E$64+'Assumptions and Catalog'!$F$64,IF(((D800+E800)*C800-G800)&lt;='Assumptions and Catalog'!$C$65,((D800+E800)*C800-G800)*'Assumptions and Catalog'!$H$65+'Assumptions and Catalog'!$E$65+'Assumptions and Catalog'!$F$65,"Out of range")))))))))*(1+'Assumptions and Catalog'!$C$8)^(A800-1),0)</f>
        <v>5807.1313093643703</v>
      </c>
      <c r="R800" s="5">
        <f>IF(AND('Assumptions and Catalog'!$C$19&gt;0,A800&gt;='Assumptions and Catalog'!$C$19),A800-'Assumptions and Catalog'!$C$19,A800-1)</f>
        <v>1</v>
      </c>
      <c r="S800" s="5">
        <f>F800+L800-(D800+E800)*C800-J800-K800-IF(E$52&gt;0,'Assumptions and Catalog'!$C$26*C800,0)</f>
        <v>0</v>
      </c>
      <c r="T800" s="5"/>
      <c r="U800" s="5"/>
    </row>
    <row r="801" spans="1:21" ht="23.1" customHeight="1" outlineLevel="1" x14ac:dyDescent="0.2">
      <c r="A801" s="5">
        <v>12</v>
      </c>
      <c r="B801" s="5">
        <v>9</v>
      </c>
      <c r="C801" s="5">
        <f>DAY(DATE('Assumptions and Catalog'!$C$24+A801-1,B801+1,0))</f>
        <v>30</v>
      </c>
      <c r="D801" s="5">
        <f>IF(ISNUMBER(Inputs!$L$5),Inputs!$L$5*Inputs!$L$6,0)</f>
        <v>40.35</v>
      </c>
      <c r="E801" s="5">
        <f>IF(ISNUMBER(Inputs!$L$5),Inputs!$L$5-D801,0)</f>
        <v>40.35</v>
      </c>
      <c r="F801" s="5">
        <f>E$51*'Assumptions and Catalog'!$C$31*C801*(1-'Assumptions and Catalog'!$C$10)^(A801-1)</f>
        <v>777.61955823270625</v>
      </c>
      <c r="G801" s="5">
        <f t="shared" si="56"/>
        <v>777.61955823270625</v>
      </c>
      <c r="H801" s="5">
        <f>I801/('Assumptions and Catalog'!$C$11*'Assumptions and Catalog'!$C$12)</f>
        <v>0</v>
      </c>
      <c r="I801" s="5">
        <f>MIN(E801*C801,P801*'Assumptions and Catalog'!$C$12*C801,(F801-G801)*'Assumptions and Catalog'!$C$11*'Assumptions and Catalog'!$C$12,E$56*'Assumptions and Catalog'!$C$14*'Assumptions and Catalog'!$C$11*'Assumptions and Catalog'!$C$12*C801,E$57*(24-'Assumptions and Catalog'!$C$13)*C801)</f>
        <v>0</v>
      </c>
      <c r="J801" s="5">
        <f t="shared" si="57"/>
        <v>0</v>
      </c>
      <c r="K801" s="5">
        <f t="shared" si="58"/>
        <v>0</v>
      </c>
      <c r="L801" s="5">
        <f>(D801+E801)*C801-G801-I801+0+IF(E$52&gt;0,'Assumptions and Catalog'!$C$26*C801,0)</f>
        <v>1643.3804417672936</v>
      </c>
      <c r="M801" s="5">
        <f>IF(ISNUMBER(Inputs!$L$5),(IF(Inputs!$L$9="Actual flat rate",((D801+E801)*C801)*Inputs!$L$10,IF(Inputs!$C$9="Residential",IF(((D801+E801)*C801)&lt;='Assumptions and Catalog'!$C$50,((D801+E801)*C801)*'Assumptions and Catalog'!$H$50+'Assumptions and Catalog'!$E$50+'Assumptions and Catalog'!$F$50,IF(((D801+E801)*C801)&lt;='Assumptions and Catalog'!$C$51,((D801+E801)*C801)*'Assumptions and Catalog'!$H$51+'Assumptions and Catalog'!$E$51+'Assumptions and Catalog'!$F$51,IF(((D801+E801)*C801)&lt;='Assumptions and Catalog'!$C$52,((D801+E801)*C801)*'Assumptions and Catalog'!$H$52+'Assumptions and Catalog'!$E$52+'Assumptions and Catalog'!$F$52,IF(((D801+E801)*C801)&lt;='Assumptions and Catalog'!$C$53,((D801+E801)*C801)*'Assumptions and Catalog'!$H$53+'Assumptions and Catalog'!$E$53+'Assumptions and Catalog'!$F$53,IF(((D801+E801)*C801)&lt;='Assumptions and Catalog'!$C$54,((D801+E801)*C801)*'Assumptions and Catalog'!$H$54+'Assumptions and Catalog'!$E$54+'Assumptions and Catalog'!$F$54,IF(((D801+E801)*C801)&lt;='Assumptions and Catalog'!$C$55,((D801+E801)*C801)*'Assumptions and Catalog'!$H$55+'Assumptions and Catalog'!$E$55+'Assumptions and Catalog'!$F$55,IF(((D801+E801)*C801)&lt;='Assumptions and Catalog'!$C$56,((D801+E801)*C801)*'Assumptions and Catalog'!$H$56+'Assumptions and Catalog'!$E$56+'Assumptions and Catalog'!$F$56,IF(((D801+E801)*C801)&lt;='Assumptions and Catalog'!$C$57,((D801+E801)*C801)*'Assumptions and Catalog'!$H$57+'Assumptions and Catalog'!$E$57+'Assumptions and Catalog'!$F$57,"Out of range")))))))),IF(((D801+E801)*C801)&lt;='Assumptions and Catalog'!$C$60,((D801+E801)*C801)*'Assumptions and Catalog'!$H$60+'Assumptions and Catalog'!$E$60+'Assumptions and Catalog'!$F$60,IF(((D801+E801)*C801)&lt;='Assumptions and Catalog'!$C$61,((D801+E801)*C801)*'Assumptions and Catalog'!$H$61+'Assumptions and Catalog'!$E$61+'Assumptions and Catalog'!$F$61,IF(((D801+E801)*C801)&lt;='Assumptions and Catalog'!$C$62,((D801+E801)*C801)*'Assumptions and Catalog'!$H$62+'Assumptions and Catalog'!$E$62+'Assumptions and Catalog'!$F$62,IF(((D801+E801)*C801)&lt;='Assumptions and Catalog'!$C$63,((D801+E801)*C801)*'Assumptions and Catalog'!$H$63+'Assumptions and Catalog'!$E$63+'Assumptions and Catalog'!$F$63,IF(((D801+E801)*C801)&lt;='Assumptions and Catalog'!$C$64,((D801+E801)*C801)*'Assumptions and Catalog'!$H$64+'Assumptions and Catalog'!$E$64+'Assumptions and Catalog'!$F$64,IF(((D801+E801)*C801)&lt;='Assumptions and Catalog'!$C$65,((D801+E801)*C801)*'Assumptions and Catalog'!$H$65+'Assumptions and Catalog'!$E$65+'Assumptions and Catalog'!$F$65,"Out of range")))))))))*(1+'Assumptions and Catalog'!$C$8)^(A801-1),0)</f>
        <v>8279</v>
      </c>
      <c r="N801" s="5">
        <f>IF(ISNUMBER(Inputs!$L$5),(IF(Inputs!$L$9="Actual flat rate",L801*Inputs!$L$10,IF(Inputs!$C$9="Residential",IF(L801&lt;='Assumptions and Catalog'!$C$50,L801*'Assumptions and Catalog'!$H$50+'Assumptions and Catalog'!$E$50+'Assumptions and Catalog'!$F$50,IF(L801&lt;='Assumptions and Catalog'!$C$51,L801*'Assumptions and Catalog'!$H$51+'Assumptions and Catalog'!$E$51+'Assumptions and Catalog'!$F$51,IF(L801&lt;='Assumptions and Catalog'!$C$52,L801*'Assumptions and Catalog'!$H$52+'Assumptions and Catalog'!$E$52+'Assumptions and Catalog'!$F$52,IF(L801&lt;='Assumptions and Catalog'!$C$53,L801*'Assumptions and Catalog'!$H$53+'Assumptions and Catalog'!$E$53+'Assumptions and Catalog'!$F$53,IF(L801&lt;='Assumptions and Catalog'!$C$54,L801*'Assumptions and Catalog'!$H$54+'Assumptions and Catalog'!$E$54+'Assumptions and Catalog'!$F$54,IF(L801&lt;='Assumptions and Catalog'!$C$55,L801*'Assumptions and Catalog'!$H$55+'Assumptions and Catalog'!$E$55+'Assumptions and Catalog'!$F$55,IF(L801&lt;='Assumptions and Catalog'!$C$56,L801*'Assumptions and Catalog'!$H$56+'Assumptions and Catalog'!$E$56+'Assumptions and Catalog'!$F$56,IF(L801&lt;='Assumptions and Catalog'!$C$57,L801*'Assumptions and Catalog'!$H$57+'Assumptions and Catalog'!$E$57+'Assumptions and Catalog'!$F$57,"Out of range")))))))),IF(L801&lt;='Assumptions and Catalog'!$C$60,L801*'Assumptions and Catalog'!$H$60+'Assumptions and Catalog'!$E$60+'Assumptions and Catalog'!$F$60,IF(L801&lt;='Assumptions and Catalog'!$C$61,L801*'Assumptions and Catalog'!$H$61+'Assumptions and Catalog'!$E$61+'Assumptions and Catalog'!$F$61,IF(L801&lt;='Assumptions and Catalog'!$C$62,L801*'Assumptions and Catalog'!$H$62+'Assumptions and Catalog'!$E$62+'Assumptions and Catalog'!$F$62,IF(L801&lt;='Assumptions and Catalog'!$C$63,L801*'Assumptions and Catalog'!$H$63+'Assumptions and Catalog'!$E$63+'Assumptions and Catalog'!$F$63,IF(L801&lt;='Assumptions and Catalog'!$C$64,L801*'Assumptions and Catalog'!$H$64+'Assumptions and Catalog'!$E$64+'Assumptions and Catalog'!$F$64,IF(L801&lt;='Assumptions and Catalog'!$C$65,L801*'Assumptions and Catalog'!$H$65+'Assumptions and Catalog'!$E$65+'Assumptions and Catalog'!$F$65,"Out of range")))))))))*(1+'Assumptions and Catalog'!$C$8)^(A801-1),0)</f>
        <v>5619.80449293326</v>
      </c>
      <c r="O801" s="5">
        <f t="shared" si="59"/>
        <v>2659.19550706674</v>
      </c>
      <c r="P801" s="5">
        <f>E$55*(1-L$14)*(1-'Assumptions and Catalog'!$C$23)^R801</f>
        <v>100.352</v>
      </c>
      <c r="Q801" s="5">
        <f>IF(ISNUMBER(Inputs!$L$5),(IF(Inputs!$L$9="Actual flat rate",((D801+E801)*C801-G801)*Inputs!$L$10,IF(Inputs!$C$9="Residential",IF(((D801+E801)*C801-G801)&lt;='Assumptions and Catalog'!$C$50,((D801+E801)*C801-G801)*'Assumptions and Catalog'!$H$50+'Assumptions and Catalog'!$E$50+'Assumptions and Catalog'!$F$50,IF(((D801+E801)*C801-G801)&lt;='Assumptions and Catalog'!$C$51,((D801+E801)*C801-G801)*'Assumptions and Catalog'!$H$51+'Assumptions and Catalog'!$E$51+'Assumptions and Catalog'!$F$51,IF(((D801+E801)*C801-G801)&lt;='Assumptions and Catalog'!$C$52,((D801+E801)*C801-G801)*'Assumptions and Catalog'!$H$52+'Assumptions and Catalog'!$E$52+'Assumptions and Catalog'!$F$52,IF(((D801+E801)*C801-G801)&lt;='Assumptions and Catalog'!$C$53,((D801+E801)*C801-G801)*'Assumptions and Catalog'!$H$53+'Assumptions and Catalog'!$E$53+'Assumptions and Catalog'!$F$53,IF(((D801+E801)*C801-G801)&lt;='Assumptions and Catalog'!$C$54,((D801+E801)*C801-G801)*'Assumptions and Catalog'!$H$54+'Assumptions and Catalog'!$E$54+'Assumptions and Catalog'!$F$54,IF(((D801+E801)*C801-G801)&lt;='Assumptions and Catalog'!$C$55,((D801+E801)*C801-G801)*'Assumptions and Catalog'!$H$55+'Assumptions and Catalog'!$E$55+'Assumptions and Catalog'!$F$55,IF(((D801+E801)*C801-G801)&lt;='Assumptions and Catalog'!$C$56,((D801+E801)*C801-G801)*'Assumptions and Catalog'!$H$56+'Assumptions and Catalog'!$E$56+'Assumptions and Catalog'!$F$56,IF(((D801+E801)*C801-G801)&lt;='Assumptions and Catalog'!$C$57,((D801+E801)*C801-G801)*'Assumptions and Catalog'!$H$57+'Assumptions and Catalog'!$E$57+'Assumptions and Catalog'!$F$57,"Out of range")))))))),IF(((D801+E801)*C801-G801)&lt;='Assumptions and Catalog'!$C$60,((D801+E801)*C801-G801)*'Assumptions and Catalog'!$H$60+'Assumptions and Catalog'!$E$60+'Assumptions and Catalog'!$F$60,IF(((D801+E801)*C801-G801)&lt;='Assumptions and Catalog'!$C$61,((D801+E801)*C801-G801)*'Assumptions and Catalog'!$H$61+'Assumptions and Catalog'!$E$61+'Assumptions and Catalog'!$F$61,IF(((D801+E801)*C801-G801)&lt;='Assumptions and Catalog'!$C$62,((D801+E801)*C801-G801)*'Assumptions and Catalog'!$H$62+'Assumptions and Catalog'!$E$62+'Assumptions and Catalog'!$F$62,IF(((D801+E801)*C801-G801)&lt;='Assumptions and Catalog'!$C$63,((D801+E801)*C801-G801)*'Assumptions and Catalog'!$H$63+'Assumptions and Catalog'!$E$63+'Assumptions and Catalog'!$F$63,IF(((D801+E801)*C801-G801)&lt;='Assumptions and Catalog'!$C$64,((D801+E801)*C801-G801)*'Assumptions and Catalog'!$H$64+'Assumptions and Catalog'!$E$64+'Assumptions and Catalog'!$F$64,IF(((D801+E801)*C801-G801)&lt;='Assumptions and Catalog'!$C$65,((D801+E801)*C801-G801)*'Assumptions and Catalog'!$H$65+'Assumptions and Catalog'!$E$65+'Assumptions and Catalog'!$F$65,"Out of range")))))))))*(1+'Assumptions and Catalog'!$C$8)^(A801-1),0)</f>
        <v>5619.80449293326</v>
      </c>
      <c r="R801" s="5">
        <f>IF(AND('Assumptions and Catalog'!$C$19&gt;0,A801&gt;='Assumptions and Catalog'!$C$19),A801-'Assumptions and Catalog'!$C$19,A801-1)</f>
        <v>1</v>
      </c>
      <c r="S801" s="5">
        <f>F801+L801-(D801+E801)*C801-J801-K801-IF(E$52&gt;0,'Assumptions and Catalog'!$C$26*C801,0)</f>
        <v>0</v>
      </c>
      <c r="T801" s="5"/>
      <c r="U801" s="5"/>
    </row>
    <row r="802" spans="1:21" ht="23.1" customHeight="1" outlineLevel="1" x14ac:dyDescent="0.2">
      <c r="A802" s="5">
        <v>12</v>
      </c>
      <c r="B802" s="5">
        <v>10</v>
      </c>
      <c r="C802" s="5">
        <f>DAY(DATE('Assumptions and Catalog'!$C$24+A802-1,B802+1,0))</f>
        <v>31</v>
      </c>
      <c r="D802" s="5">
        <f>IF(ISNUMBER(Inputs!$L$5),Inputs!$L$5*Inputs!$L$6,0)</f>
        <v>40.35</v>
      </c>
      <c r="E802" s="5">
        <f>IF(ISNUMBER(Inputs!$L$5),Inputs!$L$5-D802,0)</f>
        <v>40.35</v>
      </c>
      <c r="F802" s="5">
        <f>E$51*'Assumptions and Catalog'!$C$31*C802*(1-'Assumptions and Catalog'!$C$10)^(A802-1)</f>
        <v>803.54021017379637</v>
      </c>
      <c r="G802" s="5">
        <f t="shared" si="56"/>
        <v>803.54021017379637</v>
      </c>
      <c r="H802" s="5">
        <f>I802/('Assumptions and Catalog'!$C$11*'Assumptions and Catalog'!$C$12)</f>
        <v>0</v>
      </c>
      <c r="I802" s="5">
        <f>MIN(E802*C802,P802*'Assumptions and Catalog'!$C$12*C802,(F802-G802)*'Assumptions and Catalog'!$C$11*'Assumptions and Catalog'!$C$12,E$56*'Assumptions and Catalog'!$C$14*'Assumptions and Catalog'!$C$11*'Assumptions and Catalog'!$C$12*C802,E$57*(24-'Assumptions and Catalog'!$C$13)*C802)</f>
        <v>0</v>
      </c>
      <c r="J802" s="5">
        <f t="shared" si="57"/>
        <v>0</v>
      </c>
      <c r="K802" s="5">
        <f t="shared" si="58"/>
        <v>0</v>
      </c>
      <c r="L802" s="5">
        <f>(D802+E802)*C802-G802-I802+0+IF(E$52&gt;0,'Assumptions and Catalog'!$C$26*C802,0)</f>
        <v>1698.1597898262039</v>
      </c>
      <c r="M802" s="5">
        <f>IF(ISNUMBER(Inputs!$L$5),(IF(Inputs!$L$9="Actual flat rate",((D802+E802)*C802)*Inputs!$L$10,IF(Inputs!$C$9="Residential",IF(((D802+E802)*C802)&lt;='Assumptions and Catalog'!$C$50,((D802+E802)*C802)*'Assumptions and Catalog'!$H$50+'Assumptions and Catalog'!$E$50+'Assumptions and Catalog'!$F$50,IF(((D802+E802)*C802)&lt;='Assumptions and Catalog'!$C$51,((D802+E802)*C802)*'Assumptions and Catalog'!$H$51+'Assumptions and Catalog'!$E$51+'Assumptions and Catalog'!$F$51,IF(((D802+E802)*C802)&lt;='Assumptions and Catalog'!$C$52,((D802+E802)*C802)*'Assumptions and Catalog'!$H$52+'Assumptions and Catalog'!$E$52+'Assumptions and Catalog'!$F$52,IF(((D802+E802)*C802)&lt;='Assumptions and Catalog'!$C$53,((D802+E802)*C802)*'Assumptions and Catalog'!$H$53+'Assumptions and Catalog'!$E$53+'Assumptions and Catalog'!$F$53,IF(((D802+E802)*C802)&lt;='Assumptions and Catalog'!$C$54,((D802+E802)*C802)*'Assumptions and Catalog'!$H$54+'Assumptions and Catalog'!$E$54+'Assumptions and Catalog'!$F$54,IF(((D802+E802)*C802)&lt;='Assumptions and Catalog'!$C$55,((D802+E802)*C802)*'Assumptions and Catalog'!$H$55+'Assumptions and Catalog'!$E$55+'Assumptions and Catalog'!$F$55,IF(((D802+E802)*C802)&lt;='Assumptions and Catalog'!$C$56,((D802+E802)*C802)*'Assumptions and Catalog'!$H$56+'Assumptions and Catalog'!$E$56+'Assumptions and Catalog'!$F$56,IF(((D802+E802)*C802)&lt;='Assumptions and Catalog'!$C$57,((D802+E802)*C802)*'Assumptions and Catalog'!$H$57+'Assumptions and Catalog'!$E$57+'Assumptions and Catalog'!$F$57,"Out of range")))))))),IF(((D802+E802)*C802)&lt;='Assumptions and Catalog'!$C$60,((D802+E802)*C802)*'Assumptions and Catalog'!$H$60+'Assumptions and Catalog'!$E$60+'Assumptions and Catalog'!$F$60,IF(((D802+E802)*C802)&lt;='Assumptions and Catalog'!$C$61,((D802+E802)*C802)*'Assumptions and Catalog'!$H$61+'Assumptions and Catalog'!$E$61+'Assumptions and Catalog'!$F$61,IF(((D802+E802)*C802)&lt;='Assumptions and Catalog'!$C$62,((D802+E802)*C802)*'Assumptions and Catalog'!$H$62+'Assumptions and Catalog'!$E$62+'Assumptions and Catalog'!$F$62,IF(((D802+E802)*C802)&lt;='Assumptions and Catalog'!$C$63,((D802+E802)*C802)*'Assumptions and Catalog'!$H$63+'Assumptions and Catalog'!$E$63+'Assumptions and Catalog'!$F$63,IF(((D802+E802)*C802)&lt;='Assumptions and Catalog'!$C$64,((D802+E802)*C802)*'Assumptions and Catalog'!$H$64+'Assumptions and Catalog'!$E$64+'Assumptions and Catalog'!$F$64,IF(((D802+E802)*C802)&lt;='Assumptions and Catalog'!$C$65,((D802+E802)*C802)*'Assumptions and Catalog'!$H$65+'Assumptions and Catalog'!$E$65+'Assumptions and Catalog'!$F$65,"Out of range")))))))))*(1+'Assumptions and Catalog'!$C$8)^(A802-1),0)</f>
        <v>8554.9666666666672</v>
      </c>
      <c r="N802" s="5">
        <f>IF(ISNUMBER(Inputs!$L$5),(IF(Inputs!$L$9="Actual flat rate",L802*Inputs!$L$10,IF(Inputs!$C$9="Residential",IF(L802&lt;='Assumptions and Catalog'!$C$50,L802*'Assumptions and Catalog'!$H$50+'Assumptions and Catalog'!$E$50+'Assumptions and Catalog'!$F$50,IF(L802&lt;='Assumptions and Catalog'!$C$51,L802*'Assumptions and Catalog'!$H$51+'Assumptions and Catalog'!$E$51+'Assumptions and Catalog'!$F$51,IF(L802&lt;='Assumptions and Catalog'!$C$52,L802*'Assumptions and Catalog'!$H$52+'Assumptions and Catalog'!$E$52+'Assumptions and Catalog'!$F$52,IF(L802&lt;='Assumptions and Catalog'!$C$53,L802*'Assumptions and Catalog'!$H$53+'Assumptions and Catalog'!$E$53+'Assumptions and Catalog'!$F$53,IF(L802&lt;='Assumptions and Catalog'!$C$54,L802*'Assumptions and Catalog'!$H$54+'Assumptions and Catalog'!$E$54+'Assumptions and Catalog'!$F$54,IF(L802&lt;='Assumptions and Catalog'!$C$55,L802*'Assumptions and Catalog'!$H$55+'Assumptions and Catalog'!$E$55+'Assumptions and Catalog'!$F$55,IF(L802&lt;='Assumptions and Catalog'!$C$56,L802*'Assumptions and Catalog'!$H$56+'Assumptions and Catalog'!$E$56+'Assumptions and Catalog'!$F$56,IF(L802&lt;='Assumptions and Catalog'!$C$57,L802*'Assumptions and Catalog'!$H$57+'Assumptions and Catalog'!$E$57+'Assumptions and Catalog'!$F$57,"Out of range")))))))),IF(L802&lt;='Assumptions and Catalog'!$C$60,L802*'Assumptions and Catalog'!$H$60+'Assumptions and Catalog'!$E$60+'Assumptions and Catalog'!$F$60,IF(L802&lt;='Assumptions and Catalog'!$C$61,L802*'Assumptions and Catalog'!$H$61+'Assumptions and Catalog'!$E$61+'Assumptions and Catalog'!$F$61,IF(L802&lt;='Assumptions and Catalog'!$C$62,L802*'Assumptions and Catalog'!$H$62+'Assumptions and Catalog'!$E$62+'Assumptions and Catalog'!$F$62,IF(L802&lt;='Assumptions and Catalog'!$C$63,L802*'Assumptions and Catalog'!$H$63+'Assumptions and Catalog'!$E$63+'Assumptions and Catalog'!$F$63,IF(L802&lt;='Assumptions and Catalog'!$C$64,L802*'Assumptions and Catalog'!$H$64+'Assumptions and Catalog'!$E$64+'Assumptions and Catalog'!$F$64,IF(L802&lt;='Assumptions and Catalog'!$C$65,L802*'Assumptions and Catalog'!$H$65+'Assumptions and Catalog'!$E$65+'Assumptions and Catalog'!$F$65,"Out of range")))))))))*(1+'Assumptions and Catalog'!$C$8)^(A802-1),0)</f>
        <v>5807.1313093643703</v>
      </c>
      <c r="O802" s="5">
        <f t="shared" si="59"/>
        <v>2747.8353573022969</v>
      </c>
      <c r="P802" s="5">
        <f>E$55*(1-L$14)*(1-'Assumptions and Catalog'!$C$23)^R802</f>
        <v>100.352</v>
      </c>
      <c r="Q802" s="5">
        <f>IF(ISNUMBER(Inputs!$L$5),(IF(Inputs!$L$9="Actual flat rate",((D802+E802)*C802-G802)*Inputs!$L$10,IF(Inputs!$C$9="Residential",IF(((D802+E802)*C802-G802)&lt;='Assumptions and Catalog'!$C$50,((D802+E802)*C802-G802)*'Assumptions and Catalog'!$H$50+'Assumptions and Catalog'!$E$50+'Assumptions and Catalog'!$F$50,IF(((D802+E802)*C802-G802)&lt;='Assumptions and Catalog'!$C$51,((D802+E802)*C802-G802)*'Assumptions and Catalog'!$H$51+'Assumptions and Catalog'!$E$51+'Assumptions and Catalog'!$F$51,IF(((D802+E802)*C802-G802)&lt;='Assumptions and Catalog'!$C$52,((D802+E802)*C802-G802)*'Assumptions and Catalog'!$H$52+'Assumptions and Catalog'!$E$52+'Assumptions and Catalog'!$F$52,IF(((D802+E802)*C802-G802)&lt;='Assumptions and Catalog'!$C$53,((D802+E802)*C802-G802)*'Assumptions and Catalog'!$H$53+'Assumptions and Catalog'!$E$53+'Assumptions and Catalog'!$F$53,IF(((D802+E802)*C802-G802)&lt;='Assumptions and Catalog'!$C$54,((D802+E802)*C802-G802)*'Assumptions and Catalog'!$H$54+'Assumptions and Catalog'!$E$54+'Assumptions and Catalog'!$F$54,IF(((D802+E802)*C802-G802)&lt;='Assumptions and Catalog'!$C$55,((D802+E802)*C802-G802)*'Assumptions and Catalog'!$H$55+'Assumptions and Catalog'!$E$55+'Assumptions and Catalog'!$F$55,IF(((D802+E802)*C802-G802)&lt;='Assumptions and Catalog'!$C$56,((D802+E802)*C802-G802)*'Assumptions and Catalog'!$H$56+'Assumptions and Catalog'!$E$56+'Assumptions and Catalog'!$F$56,IF(((D802+E802)*C802-G802)&lt;='Assumptions and Catalog'!$C$57,((D802+E802)*C802-G802)*'Assumptions and Catalog'!$H$57+'Assumptions and Catalog'!$E$57+'Assumptions and Catalog'!$F$57,"Out of range")))))))),IF(((D802+E802)*C802-G802)&lt;='Assumptions and Catalog'!$C$60,((D802+E802)*C802-G802)*'Assumptions and Catalog'!$H$60+'Assumptions and Catalog'!$E$60+'Assumptions and Catalog'!$F$60,IF(((D802+E802)*C802-G802)&lt;='Assumptions and Catalog'!$C$61,((D802+E802)*C802-G802)*'Assumptions and Catalog'!$H$61+'Assumptions and Catalog'!$E$61+'Assumptions and Catalog'!$F$61,IF(((D802+E802)*C802-G802)&lt;='Assumptions and Catalog'!$C$62,((D802+E802)*C802-G802)*'Assumptions and Catalog'!$H$62+'Assumptions and Catalog'!$E$62+'Assumptions and Catalog'!$F$62,IF(((D802+E802)*C802-G802)&lt;='Assumptions and Catalog'!$C$63,((D802+E802)*C802-G802)*'Assumptions and Catalog'!$H$63+'Assumptions and Catalog'!$E$63+'Assumptions and Catalog'!$F$63,IF(((D802+E802)*C802-G802)&lt;='Assumptions and Catalog'!$C$64,((D802+E802)*C802-G802)*'Assumptions and Catalog'!$H$64+'Assumptions and Catalog'!$E$64+'Assumptions and Catalog'!$F$64,IF(((D802+E802)*C802-G802)&lt;='Assumptions and Catalog'!$C$65,((D802+E802)*C802-G802)*'Assumptions and Catalog'!$H$65+'Assumptions and Catalog'!$E$65+'Assumptions and Catalog'!$F$65,"Out of range")))))))))*(1+'Assumptions and Catalog'!$C$8)^(A802-1),0)</f>
        <v>5807.1313093643703</v>
      </c>
      <c r="R802" s="5">
        <f>IF(AND('Assumptions and Catalog'!$C$19&gt;0,A802&gt;='Assumptions and Catalog'!$C$19),A802-'Assumptions and Catalog'!$C$19,A802-1)</f>
        <v>1</v>
      </c>
      <c r="S802" s="5">
        <f>F802+L802-(D802+E802)*C802-J802-K802-IF(E$52&gt;0,'Assumptions and Catalog'!$C$26*C802,0)</f>
        <v>0</v>
      </c>
      <c r="T802" s="5"/>
      <c r="U802" s="5"/>
    </row>
    <row r="803" spans="1:21" ht="23.1" customHeight="1" outlineLevel="1" x14ac:dyDescent="0.2">
      <c r="A803" s="5">
        <v>12</v>
      </c>
      <c r="B803" s="5">
        <v>11</v>
      </c>
      <c r="C803" s="5">
        <f>DAY(DATE('Assumptions and Catalog'!$C$24+A803-1,B803+1,0))</f>
        <v>30</v>
      </c>
      <c r="D803" s="5">
        <f>IF(ISNUMBER(Inputs!$L$5),Inputs!$L$5*Inputs!$L$6,0)</f>
        <v>40.35</v>
      </c>
      <c r="E803" s="5">
        <f>IF(ISNUMBER(Inputs!$L$5),Inputs!$L$5-D803,0)</f>
        <v>40.35</v>
      </c>
      <c r="F803" s="5">
        <f>E$51*'Assumptions and Catalog'!$C$31*C803*(1-'Assumptions and Catalog'!$C$10)^(A803-1)</f>
        <v>777.61955823270625</v>
      </c>
      <c r="G803" s="5">
        <f t="shared" si="56"/>
        <v>777.61955823270625</v>
      </c>
      <c r="H803" s="5">
        <f>I803/('Assumptions and Catalog'!$C$11*'Assumptions and Catalog'!$C$12)</f>
        <v>0</v>
      </c>
      <c r="I803" s="5">
        <f>MIN(E803*C803,P803*'Assumptions and Catalog'!$C$12*C803,(F803-G803)*'Assumptions and Catalog'!$C$11*'Assumptions and Catalog'!$C$12,E$56*'Assumptions and Catalog'!$C$14*'Assumptions and Catalog'!$C$11*'Assumptions and Catalog'!$C$12*C803,E$57*(24-'Assumptions and Catalog'!$C$13)*C803)</f>
        <v>0</v>
      </c>
      <c r="J803" s="5">
        <f t="shared" si="57"/>
        <v>0</v>
      </c>
      <c r="K803" s="5">
        <f t="shared" si="58"/>
        <v>0</v>
      </c>
      <c r="L803" s="5">
        <f>(D803+E803)*C803-G803-I803+0+IF(E$52&gt;0,'Assumptions and Catalog'!$C$26*C803,0)</f>
        <v>1643.3804417672936</v>
      </c>
      <c r="M803" s="5">
        <f>IF(ISNUMBER(Inputs!$L$5),(IF(Inputs!$L$9="Actual flat rate",((D803+E803)*C803)*Inputs!$L$10,IF(Inputs!$C$9="Residential",IF(((D803+E803)*C803)&lt;='Assumptions and Catalog'!$C$50,((D803+E803)*C803)*'Assumptions and Catalog'!$H$50+'Assumptions and Catalog'!$E$50+'Assumptions and Catalog'!$F$50,IF(((D803+E803)*C803)&lt;='Assumptions and Catalog'!$C$51,((D803+E803)*C803)*'Assumptions and Catalog'!$H$51+'Assumptions and Catalog'!$E$51+'Assumptions and Catalog'!$F$51,IF(((D803+E803)*C803)&lt;='Assumptions and Catalog'!$C$52,((D803+E803)*C803)*'Assumptions and Catalog'!$H$52+'Assumptions and Catalog'!$E$52+'Assumptions and Catalog'!$F$52,IF(((D803+E803)*C803)&lt;='Assumptions and Catalog'!$C$53,((D803+E803)*C803)*'Assumptions and Catalog'!$H$53+'Assumptions and Catalog'!$E$53+'Assumptions and Catalog'!$F$53,IF(((D803+E803)*C803)&lt;='Assumptions and Catalog'!$C$54,((D803+E803)*C803)*'Assumptions and Catalog'!$H$54+'Assumptions and Catalog'!$E$54+'Assumptions and Catalog'!$F$54,IF(((D803+E803)*C803)&lt;='Assumptions and Catalog'!$C$55,((D803+E803)*C803)*'Assumptions and Catalog'!$H$55+'Assumptions and Catalog'!$E$55+'Assumptions and Catalog'!$F$55,IF(((D803+E803)*C803)&lt;='Assumptions and Catalog'!$C$56,((D803+E803)*C803)*'Assumptions and Catalog'!$H$56+'Assumptions and Catalog'!$E$56+'Assumptions and Catalog'!$F$56,IF(((D803+E803)*C803)&lt;='Assumptions and Catalog'!$C$57,((D803+E803)*C803)*'Assumptions and Catalog'!$H$57+'Assumptions and Catalog'!$E$57+'Assumptions and Catalog'!$F$57,"Out of range")))))))),IF(((D803+E803)*C803)&lt;='Assumptions and Catalog'!$C$60,((D803+E803)*C803)*'Assumptions and Catalog'!$H$60+'Assumptions and Catalog'!$E$60+'Assumptions and Catalog'!$F$60,IF(((D803+E803)*C803)&lt;='Assumptions and Catalog'!$C$61,((D803+E803)*C803)*'Assumptions and Catalog'!$H$61+'Assumptions and Catalog'!$E$61+'Assumptions and Catalog'!$F$61,IF(((D803+E803)*C803)&lt;='Assumptions and Catalog'!$C$62,((D803+E803)*C803)*'Assumptions and Catalog'!$H$62+'Assumptions and Catalog'!$E$62+'Assumptions and Catalog'!$F$62,IF(((D803+E803)*C803)&lt;='Assumptions and Catalog'!$C$63,((D803+E803)*C803)*'Assumptions and Catalog'!$H$63+'Assumptions and Catalog'!$E$63+'Assumptions and Catalog'!$F$63,IF(((D803+E803)*C803)&lt;='Assumptions and Catalog'!$C$64,((D803+E803)*C803)*'Assumptions and Catalog'!$H$64+'Assumptions and Catalog'!$E$64+'Assumptions and Catalog'!$F$64,IF(((D803+E803)*C803)&lt;='Assumptions and Catalog'!$C$65,((D803+E803)*C803)*'Assumptions and Catalog'!$H$65+'Assumptions and Catalog'!$E$65+'Assumptions and Catalog'!$F$65,"Out of range")))))))))*(1+'Assumptions and Catalog'!$C$8)^(A803-1),0)</f>
        <v>8279</v>
      </c>
      <c r="N803" s="5">
        <f>IF(ISNUMBER(Inputs!$L$5),(IF(Inputs!$L$9="Actual flat rate",L803*Inputs!$L$10,IF(Inputs!$C$9="Residential",IF(L803&lt;='Assumptions and Catalog'!$C$50,L803*'Assumptions and Catalog'!$H$50+'Assumptions and Catalog'!$E$50+'Assumptions and Catalog'!$F$50,IF(L803&lt;='Assumptions and Catalog'!$C$51,L803*'Assumptions and Catalog'!$H$51+'Assumptions and Catalog'!$E$51+'Assumptions and Catalog'!$F$51,IF(L803&lt;='Assumptions and Catalog'!$C$52,L803*'Assumptions and Catalog'!$H$52+'Assumptions and Catalog'!$E$52+'Assumptions and Catalog'!$F$52,IF(L803&lt;='Assumptions and Catalog'!$C$53,L803*'Assumptions and Catalog'!$H$53+'Assumptions and Catalog'!$E$53+'Assumptions and Catalog'!$F$53,IF(L803&lt;='Assumptions and Catalog'!$C$54,L803*'Assumptions and Catalog'!$H$54+'Assumptions and Catalog'!$E$54+'Assumptions and Catalog'!$F$54,IF(L803&lt;='Assumptions and Catalog'!$C$55,L803*'Assumptions and Catalog'!$H$55+'Assumptions and Catalog'!$E$55+'Assumptions and Catalog'!$F$55,IF(L803&lt;='Assumptions and Catalog'!$C$56,L803*'Assumptions and Catalog'!$H$56+'Assumptions and Catalog'!$E$56+'Assumptions and Catalog'!$F$56,IF(L803&lt;='Assumptions and Catalog'!$C$57,L803*'Assumptions and Catalog'!$H$57+'Assumptions and Catalog'!$E$57+'Assumptions and Catalog'!$F$57,"Out of range")))))))),IF(L803&lt;='Assumptions and Catalog'!$C$60,L803*'Assumptions and Catalog'!$H$60+'Assumptions and Catalog'!$E$60+'Assumptions and Catalog'!$F$60,IF(L803&lt;='Assumptions and Catalog'!$C$61,L803*'Assumptions and Catalog'!$H$61+'Assumptions and Catalog'!$E$61+'Assumptions and Catalog'!$F$61,IF(L803&lt;='Assumptions and Catalog'!$C$62,L803*'Assumptions and Catalog'!$H$62+'Assumptions and Catalog'!$E$62+'Assumptions and Catalog'!$F$62,IF(L803&lt;='Assumptions and Catalog'!$C$63,L803*'Assumptions and Catalog'!$H$63+'Assumptions and Catalog'!$E$63+'Assumptions and Catalog'!$F$63,IF(L803&lt;='Assumptions and Catalog'!$C$64,L803*'Assumptions and Catalog'!$H$64+'Assumptions and Catalog'!$E$64+'Assumptions and Catalog'!$F$64,IF(L803&lt;='Assumptions and Catalog'!$C$65,L803*'Assumptions and Catalog'!$H$65+'Assumptions and Catalog'!$E$65+'Assumptions and Catalog'!$F$65,"Out of range")))))))))*(1+'Assumptions and Catalog'!$C$8)^(A803-1),0)</f>
        <v>5619.80449293326</v>
      </c>
      <c r="O803" s="5">
        <f t="shared" si="59"/>
        <v>2659.19550706674</v>
      </c>
      <c r="P803" s="5">
        <f>E$55*(1-L$14)*(1-'Assumptions and Catalog'!$C$23)^R803</f>
        <v>100.352</v>
      </c>
      <c r="Q803" s="5">
        <f>IF(ISNUMBER(Inputs!$L$5),(IF(Inputs!$L$9="Actual flat rate",((D803+E803)*C803-G803)*Inputs!$L$10,IF(Inputs!$C$9="Residential",IF(((D803+E803)*C803-G803)&lt;='Assumptions and Catalog'!$C$50,((D803+E803)*C803-G803)*'Assumptions and Catalog'!$H$50+'Assumptions and Catalog'!$E$50+'Assumptions and Catalog'!$F$50,IF(((D803+E803)*C803-G803)&lt;='Assumptions and Catalog'!$C$51,((D803+E803)*C803-G803)*'Assumptions and Catalog'!$H$51+'Assumptions and Catalog'!$E$51+'Assumptions and Catalog'!$F$51,IF(((D803+E803)*C803-G803)&lt;='Assumptions and Catalog'!$C$52,((D803+E803)*C803-G803)*'Assumptions and Catalog'!$H$52+'Assumptions and Catalog'!$E$52+'Assumptions and Catalog'!$F$52,IF(((D803+E803)*C803-G803)&lt;='Assumptions and Catalog'!$C$53,((D803+E803)*C803-G803)*'Assumptions and Catalog'!$H$53+'Assumptions and Catalog'!$E$53+'Assumptions and Catalog'!$F$53,IF(((D803+E803)*C803-G803)&lt;='Assumptions and Catalog'!$C$54,((D803+E803)*C803-G803)*'Assumptions and Catalog'!$H$54+'Assumptions and Catalog'!$E$54+'Assumptions and Catalog'!$F$54,IF(((D803+E803)*C803-G803)&lt;='Assumptions and Catalog'!$C$55,((D803+E803)*C803-G803)*'Assumptions and Catalog'!$H$55+'Assumptions and Catalog'!$E$55+'Assumptions and Catalog'!$F$55,IF(((D803+E803)*C803-G803)&lt;='Assumptions and Catalog'!$C$56,((D803+E803)*C803-G803)*'Assumptions and Catalog'!$H$56+'Assumptions and Catalog'!$E$56+'Assumptions and Catalog'!$F$56,IF(((D803+E803)*C803-G803)&lt;='Assumptions and Catalog'!$C$57,((D803+E803)*C803-G803)*'Assumptions and Catalog'!$H$57+'Assumptions and Catalog'!$E$57+'Assumptions and Catalog'!$F$57,"Out of range")))))))),IF(((D803+E803)*C803-G803)&lt;='Assumptions and Catalog'!$C$60,((D803+E803)*C803-G803)*'Assumptions and Catalog'!$H$60+'Assumptions and Catalog'!$E$60+'Assumptions and Catalog'!$F$60,IF(((D803+E803)*C803-G803)&lt;='Assumptions and Catalog'!$C$61,((D803+E803)*C803-G803)*'Assumptions and Catalog'!$H$61+'Assumptions and Catalog'!$E$61+'Assumptions and Catalog'!$F$61,IF(((D803+E803)*C803-G803)&lt;='Assumptions and Catalog'!$C$62,((D803+E803)*C803-G803)*'Assumptions and Catalog'!$H$62+'Assumptions and Catalog'!$E$62+'Assumptions and Catalog'!$F$62,IF(((D803+E803)*C803-G803)&lt;='Assumptions and Catalog'!$C$63,((D803+E803)*C803-G803)*'Assumptions and Catalog'!$H$63+'Assumptions and Catalog'!$E$63+'Assumptions and Catalog'!$F$63,IF(((D803+E803)*C803-G803)&lt;='Assumptions and Catalog'!$C$64,((D803+E803)*C803-G803)*'Assumptions and Catalog'!$H$64+'Assumptions and Catalog'!$E$64+'Assumptions and Catalog'!$F$64,IF(((D803+E803)*C803-G803)&lt;='Assumptions and Catalog'!$C$65,((D803+E803)*C803-G803)*'Assumptions and Catalog'!$H$65+'Assumptions and Catalog'!$E$65+'Assumptions and Catalog'!$F$65,"Out of range")))))))))*(1+'Assumptions and Catalog'!$C$8)^(A803-1),0)</f>
        <v>5619.80449293326</v>
      </c>
      <c r="R803" s="5">
        <f>IF(AND('Assumptions and Catalog'!$C$19&gt;0,A803&gt;='Assumptions and Catalog'!$C$19),A803-'Assumptions and Catalog'!$C$19,A803-1)</f>
        <v>1</v>
      </c>
      <c r="S803" s="5">
        <f>F803+L803-(D803+E803)*C803-J803-K803-IF(E$52&gt;0,'Assumptions and Catalog'!$C$26*C803,0)</f>
        <v>0</v>
      </c>
      <c r="T803" s="5"/>
      <c r="U803" s="5"/>
    </row>
    <row r="804" spans="1:21" ht="23.1" customHeight="1" outlineLevel="1" x14ac:dyDescent="0.2">
      <c r="A804" s="5">
        <v>12</v>
      </c>
      <c r="B804" s="5">
        <v>12</v>
      </c>
      <c r="C804" s="5">
        <f>DAY(DATE('Assumptions and Catalog'!$C$24+A804-1,B804+1,0))</f>
        <v>31</v>
      </c>
      <c r="D804" s="5">
        <f>IF(ISNUMBER(Inputs!$L$5),Inputs!$L$5*Inputs!$L$6,0)</f>
        <v>40.35</v>
      </c>
      <c r="E804" s="5">
        <f>IF(ISNUMBER(Inputs!$L$5),Inputs!$L$5-D804,0)</f>
        <v>40.35</v>
      </c>
      <c r="F804" s="5">
        <f>E$51*'Assumptions and Catalog'!$C$31*C804*(1-'Assumptions and Catalog'!$C$10)^(A804-1)</f>
        <v>803.54021017379637</v>
      </c>
      <c r="G804" s="5">
        <f t="shared" si="56"/>
        <v>803.54021017379637</v>
      </c>
      <c r="H804" s="5">
        <f>I804/('Assumptions and Catalog'!$C$11*'Assumptions and Catalog'!$C$12)</f>
        <v>0</v>
      </c>
      <c r="I804" s="5">
        <f>MIN(E804*C804,P804*'Assumptions and Catalog'!$C$12*C804,(F804-G804)*'Assumptions and Catalog'!$C$11*'Assumptions and Catalog'!$C$12,E$56*'Assumptions and Catalog'!$C$14*'Assumptions and Catalog'!$C$11*'Assumptions and Catalog'!$C$12*C804,E$57*(24-'Assumptions and Catalog'!$C$13)*C804)</f>
        <v>0</v>
      </c>
      <c r="J804" s="5">
        <f t="shared" si="57"/>
        <v>0</v>
      </c>
      <c r="K804" s="5">
        <f t="shared" si="58"/>
        <v>0</v>
      </c>
      <c r="L804" s="5">
        <f>(D804+E804)*C804-G804-I804+0+IF(E$52&gt;0,'Assumptions and Catalog'!$C$26*C804,0)</f>
        <v>1698.1597898262039</v>
      </c>
      <c r="M804" s="5">
        <f>IF(ISNUMBER(Inputs!$L$5),(IF(Inputs!$L$9="Actual flat rate",((D804+E804)*C804)*Inputs!$L$10,IF(Inputs!$C$9="Residential",IF(((D804+E804)*C804)&lt;='Assumptions and Catalog'!$C$50,((D804+E804)*C804)*'Assumptions and Catalog'!$H$50+'Assumptions and Catalog'!$E$50+'Assumptions and Catalog'!$F$50,IF(((D804+E804)*C804)&lt;='Assumptions and Catalog'!$C$51,((D804+E804)*C804)*'Assumptions and Catalog'!$H$51+'Assumptions and Catalog'!$E$51+'Assumptions and Catalog'!$F$51,IF(((D804+E804)*C804)&lt;='Assumptions and Catalog'!$C$52,((D804+E804)*C804)*'Assumptions and Catalog'!$H$52+'Assumptions and Catalog'!$E$52+'Assumptions and Catalog'!$F$52,IF(((D804+E804)*C804)&lt;='Assumptions and Catalog'!$C$53,((D804+E804)*C804)*'Assumptions and Catalog'!$H$53+'Assumptions and Catalog'!$E$53+'Assumptions and Catalog'!$F$53,IF(((D804+E804)*C804)&lt;='Assumptions and Catalog'!$C$54,((D804+E804)*C804)*'Assumptions and Catalog'!$H$54+'Assumptions and Catalog'!$E$54+'Assumptions and Catalog'!$F$54,IF(((D804+E804)*C804)&lt;='Assumptions and Catalog'!$C$55,((D804+E804)*C804)*'Assumptions and Catalog'!$H$55+'Assumptions and Catalog'!$E$55+'Assumptions and Catalog'!$F$55,IF(((D804+E804)*C804)&lt;='Assumptions and Catalog'!$C$56,((D804+E804)*C804)*'Assumptions and Catalog'!$H$56+'Assumptions and Catalog'!$E$56+'Assumptions and Catalog'!$F$56,IF(((D804+E804)*C804)&lt;='Assumptions and Catalog'!$C$57,((D804+E804)*C804)*'Assumptions and Catalog'!$H$57+'Assumptions and Catalog'!$E$57+'Assumptions and Catalog'!$F$57,"Out of range")))))))),IF(((D804+E804)*C804)&lt;='Assumptions and Catalog'!$C$60,((D804+E804)*C804)*'Assumptions and Catalog'!$H$60+'Assumptions and Catalog'!$E$60+'Assumptions and Catalog'!$F$60,IF(((D804+E804)*C804)&lt;='Assumptions and Catalog'!$C$61,((D804+E804)*C804)*'Assumptions and Catalog'!$H$61+'Assumptions and Catalog'!$E$61+'Assumptions and Catalog'!$F$61,IF(((D804+E804)*C804)&lt;='Assumptions and Catalog'!$C$62,((D804+E804)*C804)*'Assumptions and Catalog'!$H$62+'Assumptions and Catalog'!$E$62+'Assumptions and Catalog'!$F$62,IF(((D804+E804)*C804)&lt;='Assumptions and Catalog'!$C$63,((D804+E804)*C804)*'Assumptions and Catalog'!$H$63+'Assumptions and Catalog'!$E$63+'Assumptions and Catalog'!$F$63,IF(((D804+E804)*C804)&lt;='Assumptions and Catalog'!$C$64,((D804+E804)*C804)*'Assumptions and Catalog'!$H$64+'Assumptions and Catalog'!$E$64+'Assumptions and Catalog'!$F$64,IF(((D804+E804)*C804)&lt;='Assumptions and Catalog'!$C$65,((D804+E804)*C804)*'Assumptions and Catalog'!$H$65+'Assumptions and Catalog'!$E$65+'Assumptions and Catalog'!$F$65,"Out of range")))))))))*(1+'Assumptions and Catalog'!$C$8)^(A804-1),0)</f>
        <v>8554.9666666666672</v>
      </c>
      <c r="N804" s="5">
        <f>IF(ISNUMBER(Inputs!$L$5),(IF(Inputs!$L$9="Actual flat rate",L804*Inputs!$L$10,IF(Inputs!$C$9="Residential",IF(L804&lt;='Assumptions and Catalog'!$C$50,L804*'Assumptions and Catalog'!$H$50+'Assumptions and Catalog'!$E$50+'Assumptions and Catalog'!$F$50,IF(L804&lt;='Assumptions and Catalog'!$C$51,L804*'Assumptions and Catalog'!$H$51+'Assumptions and Catalog'!$E$51+'Assumptions and Catalog'!$F$51,IF(L804&lt;='Assumptions and Catalog'!$C$52,L804*'Assumptions and Catalog'!$H$52+'Assumptions and Catalog'!$E$52+'Assumptions and Catalog'!$F$52,IF(L804&lt;='Assumptions and Catalog'!$C$53,L804*'Assumptions and Catalog'!$H$53+'Assumptions and Catalog'!$E$53+'Assumptions and Catalog'!$F$53,IF(L804&lt;='Assumptions and Catalog'!$C$54,L804*'Assumptions and Catalog'!$H$54+'Assumptions and Catalog'!$E$54+'Assumptions and Catalog'!$F$54,IF(L804&lt;='Assumptions and Catalog'!$C$55,L804*'Assumptions and Catalog'!$H$55+'Assumptions and Catalog'!$E$55+'Assumptions and Catalog'!$F$55,IF(L804&lt;='Assumptions and Catalog'!$C$56,L804*'Assumptions and Catalog'!$H$56+'Assumptions and Catalog'!$E$56+'Assumptions and Catalog'!$F$56,IF(L804&lt;='Assumptions and Catalog'!$C$57,L804*'Assumptions and Catalog'!$H$57+'Assumptions and Catalog'!$E$57+'Assumptions and Catalog'!$F$57,"Out of range")))))))),IF(L804&lt;='Assumptions and Catalog'!$C$60,L804*'Assumptions and Catalog'!$H$60+'Assumptions and Catalog'!$E$60+'Assumptions and Catalog'!$F$60,IF(L804&lt;='Assumptions and Catalog'!$C$61,L804*'Assumptions and Catalog'!$H$61+'Assumptions and Catalog'!$E$61+'Assumptions and Catalog'!$F$61,IF(L804&lt;='Assumptions and Catalog'!$C$62,L804*'Assumptions and Catalog'!$H$62+'Assumptions and Catalog'!$E$62+'Assumptions and Catalog'!$F$62,IF(L804&lt;='Assumptions and Catalog'!$C$63,L804*'Assumptions and Catalog'!$H$63+'Assumptions and Catalog'!$E$63+'Assumptions and Catalog'!$F$63,IF(L804&lt;='Assumptions and Catalog'!$C$64,L804*'Assumptions and Catalog'!$H$64+'Assumptions and Catalog'!$E$64+'Assumptions and Catalog'!$F$64,IF(L804&lt;='Assumptions and Catalog'!$C$65,L804*'Assumptions and Catalog'!$H$65+'Assumptions and Catalog'!$E$65+'Assumptions and Catalog'!$F$65,"Out of range")))))))))*(1+'Assumptions and Catalog'!$C$8)^(A804-1),0)</f>
        <v>5807.1313093643703</v>
      </c>
      <c r="O804" s="5">
        <f t="shared" si="59"/>
        <v>2747.8353573022969</v>
      </c>
      <c r="P804" s="5">
        <f>E$55*(1-L$14)*(1-'Assumptions and Catalog'!$C$23)^R804</f>
        <v>100.352</v>
      </c>
      <c r="Q804" s="5">
        <f>IF(ISNUMBER(Inputs!$L$5),(IF(Inputs!$L$9="Actual flat rate",((D804+E804)*C804-G804)*Inputs!$L$10,IF(Inputs!$C$9="Residential",IF(((D804+E804)*C804-G804)&lt;='Assumptions and Catalog'!$C$50,((D804+E804)*C804-G804)*'Assumptions and Catalog'!$H$50+'Assumptions and Catalog'!$E$50+'Assumptions and Catalog'!$F$50,IF(((D804+E804)*C804-G804)&lt;='Assumptions and Catalog'!$C$51,((D804+E804)*C804-G804)*'Assumptions and Catalog'!$H$51+'Assumptions and Catalog'!$E$51+'Assumptions and Catalog'!$F$51,IF(((D804+E804)*C804-G804)&lt;='Assumptions and Catalog'!$C$52,((D804+E804)*C804-G804)*'Assumptions and Catalog'!$H$52+'Assumptions and Catalog'!$E$52+'Assumptions and Catalog'!$F$52,IF(((D804+E804)*C804-G804)&lt;='Assumptions and Catalog'!$C$53,((D804+E804)*C804-G804)*'Assumptions and Catalog'!$H$53+'Assumptions and Catalog'!$E$53+'Assumptions and Catalog'!$F$53,IF(((D804+E804)*C804-G804)&lt;='Assumptions and Catalog'!$C$54,((D804+E804)*C804-G804)*'Assumptions and Catalog'!$H$54+'Assumptions and Catalog'!$E$54+'Assumptions and Catalog'!$F$54,IF(((D804+E804)*C804-G804)&lt;='Assumptions and Catalog'!$C$55,((D804+E804)*C804-G804)*'Assumptions and Catalog'!$H$55+'Assumptions and Catalog'!$E$55+'Assumptions and Catalog'!$F$55,IF(((D804+E804)*C804-G804)&lt;='Assumptions and Catalog'!$C$56,((D804+E804)*C804-G804)*'Assumptions and Catalog'!$H$56+'Assumptions and Catalog'!$E$56+'Assumptions and Catalog'!$F$56,IF(((D804+E804)*C804-G804)&lt;='Assumptions and Catalog'!$C$57,((D804+E804)*C804-G804)*'Assumptions and Catalog'!$H$57+'Assumptions and Catalog'!$E$57+'Assumptions and Catalog'!$F$57,"Out of range")))))))),IF(((D804+E804)*C804-G804)&lt;='Assumptions and Catalog'!$C$60,((D804+E804)*C804-G804)*'Assumptions and Catalog'!$H$60+'Assumptions and Catalog'!$E$60+'Assumptions and Catalog'!$F$60,IF(((D804+E804)*C804-G804)&lt;='Assumptions and Catalog'!$C$61,((D804+E804)*C804-G804)*'Assumptions and Catalog'!$H$61+'Assumptions and Catalog'!$E$61+'Assumptions and Catalog'!$F$61,IF(((D804+E804)*C804-G804)&lt;='Assumptions and Catalog'!$C$62,((D804+E804)*C804-G804)*'Assumptions and Catalog'!$H$62+'Assumptions and Catalog'!$E$62+'Assumptions and Catalog'!$F$62,IF(((D804+E804)*C804-G804)&lt;='Assumptions and Catalog'!$C$63,((D804+E804)*C804-G804)*'Assumptions and Catalog'!$H$63+'Assumptions and Catalog'!$E$63+'Assumptions and Catalog'!$F$63,IF(((D804+E804)*C804-G804)&lt;='Assumptions and Catalog'!$C$64,((D804+E804)*C804-G804)*'Assumptions and Catalog'!$H$64+'Assumptions and Catalog'!$E$64+'Assumptions and Catalog'!$F$64,IF(((D804+E804)*C804-G804)&lt;='Assumptions and Catalog'!$C$65,((D804+E804)*C804-G804)*'Assumptions and Catalog'!$H$65+'Assumptions and Catalog'!$E$65+'Assumptions and Catalog'!$F$65,"Out of range")))))))))*(1+'Assumptions and Catalog'!$C$8)^(A804-1),0)</f>
        <v>5807.1313093643703</v>
      </c>
      <c r="R804" s="5">
        <f>IF(AND('Assumptions and Catalog'!$C$19&gt;0,A804&gt;='Assumptions and Catalog'!$C$19),A804-'Assumptions and Catalog'!$C$19,A804-1)</f>
        <v>1</v>
      </c>
      <c r="S804" s="5">
        <f>F804+L804-(D804+E804)*C804-J804-K804-IF(E$52&gt;0,'Assumptions and Catalog'!$C$26*C804,0)</f>
        <v>0</v>
      </c>
      <c r="T804" s="5"/>
      <c r="U804" s="5"/>
    </row>
    <row r="805" spans="1:21" ht="23.1" customHeight="1" outlineLevel="1" x14ac:dyDescent="0.2">
      <c r="A805" s="5">
        <v>13</v>
      </c>
      <c r="B805" s="5">
        <v>1</v>
      </c>
      <c r="C805" s="5">
        <f>DAY(DATE('Assumptions and Catalog'!$C$24+A805-1,B805+1,0))</f>
        <v>31</v>
      </c>
      <c r="D805" s="5">
        <f>IF(ISNUMBER(Inputs!$L$5),Inputs!$L$5*Inputs!$L$6,0)</f>
        <v>40.35</v>
      </c>
      <c r="E805" s="5">
        <f>IF(ISNUMBER(Inputs!$L$5),Inputs!$L$5-D805,0)</f>
        <v>40.35</v>
      </c>
      <c r="F805" s="5">
        <f>E$51*'Assumptions and Catalog'!$C$31*C805*(1-'Assumptions and Catalog'!$C$10)^(A805-1)</f>
        <v>799.52250912292754</v>
      </c>
      <c r="G805" s="5">
        <f t="shared" si="56"/>
        <v>799.52250912292754</v>
      </c>
      <c r="H805" s="5">
        <f>I805/('Assumptions and Catalog'!$C$11*'Assumptions and Catalog'!$C$12)</f>
        <v>0</v>
      </c>
      <c r="I805" s="5">
        <f>MIN(E805*C805,P805*'Assumptions and Catalog'!$C$12*C805,(F805-G805)*'Assumptions and Catalog'!$C$11*'Assumptions and Catalog'!$C$12,E$56*'Assumptions and Catalog'!$C$14*'Assumptions and Catalog'!$C$11*'Assumptions and Catalog'!$C$12*C805,E$57*(24-'Assumptions and Catalog'!$C$13)*C805)</f>
        <v>0</v>
      </c>
      <c r="J805" s="5">
        <f t="shared" si="57"/>
        <v>0</v>
      </c>
      <c r="K805" s="5">
        <f t="shared" si="58"/>
        <v>0</v>
      </c>
      <c r="L805" s="5">
        <f>(D805+E805)*C805-G805-I805+0+IF(E$52&gt;0,'Assumptions and Catalog'!$C$26*C805,0)</f>
        <v>1702.1774908770726</v>
      </c>
      <c r="M805" s="5">
        <f>IF(ISNUMBER(Inputs!$L$5),(IF(Inputs!$L$9="Actual flat rate",((D805+E805)*C805)*Inputs!$L$10,IF(Inputs!$C$9="Residential",IF(((D805+E805)*C805)&lt;='Assumptions and Catalog'!$C$50,((D805+E805)*C805)*'Assumptions and Catalog'!$H$50+'Assumptions and Catalog'!$E$50+'Assumptions and Catalog'!$F$50,IF(((D805+E805)*C805)&lt;='Assumptions and Catalog'!$C$51,((D805+E805)*C805)*'Assumptions and Catalog'!$H$51+'Assumptions and Catalog'!$E$51+'Assumptions and Catalog'!$F$51,IF(((D805+E805)*C805)&lt;='Assumptions and Catalog'!$C$52,((D805+E805)*C805)*'Assumptions and Catalog'!$H$52+'Assumptions and Catalog'!$E$52+'Assumptions and Catalog'!$F$52,IF(((D805+E805)*C805)&lt;='Assumptions and Catalog'!$C$53,((D805+E805)*C805)*'Assumptions and Catalog'!$H$53+'Assumptions and Catalog'!$E$53+'Assumptions and Catalog'!$F$53,IF(((D805+E805)*C805)&lt;='Assumptions and Catalog'!$C$54,((D805+E805)*C805)*'Assumptions and Catalog'!$H$54+'Assumptions and Catalog'!$E$54+'Assumptions and Catalog'!$F$54,IF(((D805+E805)*C805)&lt;='Assumptions and Catalog'!$C$55,((D805+E805)*C805)*'Assumptions and Catalog'!$H$55+'Assumptions and Catalog'!$E$55+'Assumptions and Catalog'!$F$55,IF(((D805+E805)*C805)&lt;='Assumptions and Catalog'!$C$56,((D805+E805)*C805)*'Assumptions and Catalog'!$H$56+'Assumptions and Catalog'!$E$56+'Assumptions and Catalog'!$F$56,IF(((D805+E805)*C805)&lt;='Assumptions and Catalog'!$C$57,((D805+E805)*C805)*'Assumptions and Catalog'!$H$57+'Assumptions and Catalog'!$E$57+'Assumptions and Catalog'!$F$57,"Out of range")))))))),IF(((D805+E805)*C805)&lt;='Assumptions and Catalog'!$C$60,((D805+E805)*C805)*'Assumptions and Catalog'!$H$60+'Assumptions and Catalog'!$E$60+'Assumptions and Catalog'!$F$60,IF(((D805+E805)*C805)&lt;='Assumptions and Catalog'!$C$61,((D805+E805)*C805)*'Assumptions and Catalog'!$H$61+'Assumptions and Catalog'!$E$61+'Assumptions and Catalog'!$F$61,IF(((D805+E805)*C805)&lt;='Assumptions and Catalog'!$C$62,((D805+E805)*C805)*'Assumptions and Catalog'!$H$62+'Assumptions and Catalog'!$E$62+'Assumptions and Catalog'!$F$62,IF(((D805+E805)*C805)&lt;='Assumptions and Catalog'!$C$63,((D805+E805)*C805)*'Assumptions and Catalog'!$H$63+'Assumptions and Catalog'!$E$63+'Assumptions and Catalog'!$F$63,IF(((D805+E805)*C805)&lt;='Assumptions and Catalog'!$C$64,((D805+E805)*C805)*'Assumptions and Catalog'!$H$64+'Assumptions and Catalog'!$E$64+'Assumptions and Catalog'!$F$64,IF(((D805+E805)*C805)&lt;='Assumptions and Catalog'!$C$65,((D805+E805)*C805)*'Assumptions and Catalog'!$H$65+'Assumptions and Catalog'!$E$65+'Assumptions and Catalog'!$F$65,"Out of range")))))))))*(1+'Assumptions and Catalog'!$C$8)^(A805-1),0)</f>
        <v>8554.9666666666672</v>
      </c>
      <c r="N805" s="5">
        <f>IF(ISNUMBER(Inputs!$L$5),(IF(Inputs!$L$9="Actual flat rate",L805*Inputs!$L$10,IF(Inputs!$C$9="Residential",IF(L805&lt;='Assumptions and Catalog'!$C$50,L805*'Assumptions and Catalog'!$H$50+'Assumptions and Catalog'!$E$50+'Assumptions and Catalog'!$F$50,IF(L805&lt;='Assumptions and Catalog'!$C$51,L805*'Assumptions and Catalog'!$H$51+'Assumptions and Catalog'!$E$51+'Assumptions and Catalog'!$F$51,IF(L805&lt;='Assumptions and Catalog'!$C$52,L805*'Assumptions and Catalog'!$H$52+'Assumptions and Catalog'!$E$52+'Assumptions and Catalog'!$F$52,IF(L805&lt;='Assumptions and Catalog'!$C$53,L805*'Assumptions and Catalog'!$H$53+'Assumptions and Catalog'!$E$53+'Assumptions and Catalog'!$F$53,IF(L805&lt;='Assumptions and Catalog'!$C$54,L805*'Assumptions and Catalog'!$H$54+'Assumptions and Catalog'!$E$54+'Assumptions and Catalog'!$F$54,IF(L805&lt;='Assumptions and Catalog'!$C$55,L805*'Assumptions and Catalog'!$H$55+'Assumptions and Catalog'!$E$55+'Assumptions and Catalog'!$F$55,IF(L805&lt;='Assumptions and Catalog'!$C$56,L805*'Assumptions and Catalog'!$H$56+'Assumptions and Catalog'!$E$56+'Assumptions and Catalog'!$F$56,IF(L805&lt;='Assumptions and Catalog'!$C$57,L805*'Assumptions and Catalog'!$H$57+'Assumptions and Catalog'!$E$57+'Assumptions and Catalog'!$F$57,"Out of range")))))))),IF(L805&lt;='Assumptions and Catalog'!$C$60,L805*'Assumptions and Catalog'!$H$60+'Assumptions and Catalog'!$E$60+'Assumptions and Catalog'!$F$60,IF(L805&lt;='Assumptions and Catalog'!$C$61,L805*'Assumptions and Catalog'!$H$61+'Assumptions and Catalog'!$E$61+'Assumptions and Catalog'!$F$61,IF(L805&lt;='Assumptions and Catalog'!$C$62,L805*'Assumptions and Catalog'!$H$62+'Assumptions and Catalog'!$E$62+'Assumptions and Catalog'!$F$62,IF(L805&lt;='Assumptions and Catalog'!$C$63,L805*'Assumptions and Catalog'!$H$63+'Assumptions and Catalog'!$E$63+'Assumptions and Catalog'!$F$63,IF(L805&lt;='Assumptions and Catalog'!$C$64,L805*'Assumptions and Catalog'!$H$64+'Assumptions and Catalog'!$E$64+'Assumptions and Catalog'!$F$64,IF(L805&lt;='Assumptions and Catalog'!$C$65,L805*'Assumptions and Catalog'!$H$65+'Assumptions and Catalog'!$E$65+'Assumptions and Catalog'!$F$65,"Out of range")))))))))*(1+'Assumptions and Catalog'!$C$8)^(A805-1),0)</f>
        <v>5820.8704861508813</v>
      </c>
      <c r="O805" s="5">
        <f t="shared" si="59"/>
        <v>2734.0961805157858</v>
      </c>
      <c r="P805" s="5">
        <f>E$55*(1-L$14)*(1-'Assumptions and Catalog'!$C$23)^R805</f>
        <v>98.34496</v>
      </c>
      <c r="Q805" s="5">
        <f>IF(ISNUMBER(Inputs!$L$5),(IF(Inputs!$L$9="Actual flat rate",((D805+E805)*C805-G805)*Inputs!$L$10,IF(Inputs!$C$9="Residential",IF(((D805+E805)*C805-G805)&lt;='Assumptions and Catalog'!$C$50,((D805+E805)*C805-G805)*'Assumptions and Catalog'!$H$50+'Assumptions and Catalog'!$E$50+'Assumptions and Catalog'!$F$50,IF(((D805+E805)*C805-G805)&lt;='Assumptions and Catalog'!$C$51,((D805+E805)*C805-G805)*'Assumptions and Catalog'!$H$51+'Assumptions and Catalog'!$E$51+'Assumptions and Catalog'!$F$51,IF(((D805+E805)*C805-G805)&lt;='Assumptions and Catalog'!$C$52,((D805+E805)*C805-G805)*'Assumptions and Catalog'!$H$52+'Assumptions and Catalog'!$E$52+'Assumptions and Catalog'!$F$52,IF(((D805+E805)*C805-G805)&lt;='Assumptions and Catalog'!$C$53,((D805+E805)*C805-G805)*'Assumptions and Catalog'!$H$53+'Assumptions and Catalog'!$E$53+'Assumptions and Catalog'!$F$53,IF(((D805+E805)*C805-G805)&lt;='Assumptions and Catalog'!$C$54,((D805+E805)*C805-G805)*'Assumptions and Catalog'!$H$54+'Assumptions and Catalog'!$E$54+'Assumptions and Catalog'!$F$54,IF(((D805+E805)*C805-G805)&lt;='Assumptions and Catalog'!$C$55,((D805+E805)*C805-G805)*'Assumptions and Catalog'!$H$55+'Assumptions and Catalog'!$E$55+'Assumptions and Catalog'!$F$55,IF(((D805+E805)*C805-G805)&lt;='Assumptions and Catalog'!$C$56,((D805+E805)*C805-G805)*'Assumptions and Catalog'!$H$56+'Assumptions and Catalog'!$E$56+'Assumptions and Catalog'!$F$56,IF(((D805+E805)*C805-G805)&lt;='Assumptions and Catalog'!$C$57,((D805+E805)*C805-G805)*'Assumptions and Catalog'!$H$57+'Assumptions and Catalog'!$E$57+'Assumptions and Catalog'!$F$57,"Out of range")))))))),IF(((D805+E805)*C805-G805)&lt;='Assumptions and Catalog'!$C$60,((D805+E805)*C805-G805)*'Assumptions and Catalog'!$H$60+'Assumptions and Catalog'!$E$60+'Assumptions and Catalog'!$F$60,IF(((D805+E805)*C805-G805)&lt;='Assumptions and Catalog'!$C$61,((D805+E805)*C805-G805)*'Assumptions and Catalog'!$H$61+'Assumptions and Catalog'!$E$61+'Assumptions and Catalog'!$F$61,IF(((D805+E805)*C805-G805)&lt;='Assumptions and Catalog'!$C$62,((D805+E805)*C805-G805)*'Assumptions and Catalog'!$H$62+'Assumptions and Catalog'!$E$62+'Assumptions and Catalog'!$F$62,IF(((D805+E805)*C805-G805)&lt;='Assumptions and Catalog'!$C$63,((D805+E805)*C805-G805)*'Assumptions and Catalog'!$H$63+'Assumptions and Catalog'!$E$63+'Assumptions and Catalog'!$F$63,IF(((D805+E805)*C805-G805)&lt;='Assumptions and Catalog'!$C$64,((D805+E805)*C805-G805)*'Assumptions and Catalog'!$H$64+'Assumptions and Catalog'!$E$64+'Assumptions and Catalog'!$F$64,IF(((D805+E805)*C805-G805)&lt;='Assumptions and Catalog'!$C$65,((D805+E805)*C805-G805)*'Assumptions and Catalog'!$H$65+'Assumptions and Catalog'!$E$65+'Assumptions and Catalog'!$F$65,"Out of range")))))))))*(1+'Assumptions and Catalog'!$C$8)^(A805-1),0)</f>
        <v>5820.8704861508813</v>
      </c>
      <c r="R805" s="5">
        <f>IF(AND('Assumptions and Catalog'!$C$19&gt;0,A805&gt;='Assumptions and Catalog'!$C$19),A805-'Assumptions and Catalog'!$C$19,A805-1)</f>
        <v>2</v>
      </c>
      <c r="S805" s="5">
        <f>F805+L805-(D805+E805)*C805-J805-K805-IF(E$52&gt;0,'Assumptions and Catalog'!$C$26*C805,0)</f>
        <v>0</v>
      </c>
      <c r="T805" s="5"/>
      <c r="U805" s="5"/>
    </row>
    <row r="806" spans="1:21" ht="23.1" customHeight="1" outlineLevel="1" x14ac:dyDescent="0.2">
      <c r="A806" s="5">
        <v>13</v>
      </c>
      <c r="B806" s="5">
        <v>2</v>
      </c>
      <c r="C806" s="5">
        <f>DAY(DATE('Assumptions and Catalog'!$C$24+A806-1,B806+1,0))</f>
        <v>28</v>
      </c>
      <c r="D806" s="5">
        <f>IF(ISNUMBER(Inputs!$L$5),Inputs!$L$5*Inputs!$L$6,0)</f>
        <v>40.35</v>
      </c>
      <c r="E806" s="5">
        <f>IF(ISNUMBER(Inputs!$L$5),Inputs!$L$5-D806,0)</f>
        <v>40.35</v>
      </c>
      <c r="F806" s="5">
        <f>E$51*'Assumptions and Catalog'!$C$31*C806*(1-'Assumptions and Catalog'!$C$10)^(A806-1)</f>
        <v>722.14936307877326</v>
      </c>
      <c r="G806" s="5">
        <f t="shared" si="56"/>
        <v>722.14936307877326</v>
      </c>
      <c r="H806" s="5">
        <f>I806/('Assumptions and Catalog'!$C$11*'Assumptions and Catalog'!$C$12)</f>
        <v>0</v>
      </c>
      <c r="I806" s="5">
        <f>MIN(E806*C806,P806*'Assumptions and Catalog'!$C$12*C806,(F806-G806)*'Assumptions and Catalog'!$C$11*'Assumptions and Catalog'!$C$12,E$56*'Assumptions and Catalog'!$C$14*'Assumptions and Catalog'!$C$11*'Assumptions and Catalog'!$C$12*C806,E$57*(24-'Assumptions and Catalog'!$C$13)*C806)</f>
        <v>0</v>
      </c>
      <c r="J806" s="5">
        <f t="shared" si="57"/>
        <v>0</v>
      </c>
      <c r="K806" s="5">
        <f t="shared" si="58"/>
        <v>0</v>
      </c>
      <c r="L806" s="5">
        <f>(D806+E806)*C806-G806-I806+0+IF(E$52&gt;0,'Assumptions and Catalog'!$C$26*C806,0)</f>
        <v>1537.4506369212268</v>
      </c>
      <c r="M806" s="5">
        <f>IF(ISNUMBER(Inputs!$L$5),(IF(Inputs!$L$9="Actual flat rate",((D806+E806)*C806)*Inputs!$L$10,IF(Inputs!$C$9="Residential",IF(((D806+E806)*C806)&lt;='Assumptions and Catalog'!$C$50,((D806+E806)*C806)*'Assumptions and Catalog'!$H$50+'Assumptions and Catalog'!$E$50+'Assumptions and Catalog'!$F$50,IF(((D806+E806)*C806)&lt;='Assumptions and Catalog'!$C$51,((D806+E806)*C806)*'Assumptions and Catalog'!$H$51+'Assumptions and Catalog'!$E$51+'Assumptions and Catalog'!$F$51,IF(((D806+E806)*C806)&lt;='Assumptions and Catalog'!$C$52,((D806+E806)*C806)*'Assumptions and Catalog'!$H$52+'Assumptions and Catalog'!$E$52+'Assumptions and Catalog'!$F$52,IF(((D806+E806)*C806)&lt;='Assumptions and Catalog'!$C$53,((D806+E806)*C806)*'Assumptions and Catalog'!$H$53+'Assumptions and Catalog'!$E$53+'Assumptions and Catalog'!$F$53,IF(((D806+E806)*C806)&lt;='Assumptions and Catalog'!$C$54,((D806+E806)*C806)*'Assumptions and Catalog'!$H$54+'Assumptions and Catalog'!$E$54+'Assumptions and Catalog'!$F$54,IF(((D806+E806)*C806)&lt;='Assumptions and Catalog'!$C$55,((D806+E806)*C806)*'Assumptions and Catalog'!$H$55+'Assumptions and Catalog'!$E$55+'Assumptions and Catalog'!$F$55,IF(((D806+E806)*C806)&lt;='Assumptions and Catalog'!$C$56,((D806+E806)*C806)*'Assumptions and Catalog'!$H$56+'Assumptions and Catalog'!$E$56+'Assumptions and Catalog'!$F$56,IF(((D806+E806)*C806)&lt;='Assumptions and Catalog'!$C$57,((D806+E806)*C806)*'Assumptions and Catalog'!$H$57+'Assumptions and Catalog'!$E$57+'Assumptions and Catalog'!$F$57,"Out of range")))))))),IF(((D806+E806)*C806)&lt;='Assumptions and Catalog'!$C$60,((D806+E806)*C806)*'Assumptions and Catalog'!$H$60+'Assumptions and Catalog'!$E$60+'Assumptions and Catalog'!$F$60,IF(((D806+E806)*C806)&lt;='Assumptions and Catalog'!$C$61,((D806+E806)*C806)*'Assumptions and Catalog'!$H$61+'Assumptions and Catalog'!$E$61+'Assumptions and Catalog'!$F$61,IF(((D806+E806)*C806)&lt;='Assumptions and Catalog'!$C$62,((D806+E806)*C806)*'Assumptions and Catalog'!$H$62+'Assumptions and Catalog'!$E$62+'Assumptions and Catalog'!$F$62,IF(((D806+E806)*C806)&lt;='Assumptions and Catalog'!$C$63,((D806+E806)*C806)*'Assumptions and Catalog'!$H$63+'Assumptions and Catalog'!$E$63+'Assumptions and Catalog'!$F$63,IF(((D806+E806)*C806)&lt;='Assumptions and Catalog'!$C$64,((D806+E806)*C806)*'Assumptions and Catalog'!$H$64+'Assumptions and Catalog'!$E$64+'Assumptions and Catalog'!$F$64,IF(((D806+E806)*C806)&lt;='Assumptions and Catalog'!$C$65,((D806+E806)*C806)*'Assumptions and Catalog'!$H$65+'Assumptions and Catalog'!$E$65+'Assumptions and Catalog'!$F$65,"Out of range")))))))))*(1+'Assumptions and Catalog'!$C$8)^(A806-1),0)</f>
        <v>7727.0666666666657</v>
      </c>
      <c r="N806" s="5">
        <f>IF(ISNUMBER(Inputs!$L$5),(IF(Inputs!$L$9="Actual flat rate",L806*Inputs!$L$10,IF(Inputs!$C$9="Residential",IF(L806&lt;='Assumptions and Catalog'!$C$50,L806*'Assumptions and Catalog'!$H$50+'Assumptions and Catalog'!$E$50+'Assumptions and Catalog'!$F$50,IF(L806&lt;='Assumptions and Catalog'!$C$51,L806*'Assumptions and Catalog'!$H$51+'Assumptions and Catalog'!$E$51+'Assumptions and Catalog'!$F$51,IF(L806&lt;='Assumptions and Catalog'!$C$52,L806*'Assumptions and Catalog'!$H$52+'Assumptions and Catalog'!$E$52+'Assumptions and Catalog'!$F$52,IF(L806&lt;='Assumptions and Catalog'!$C$53,L806*'Assumptions and Catalog'!$H$53+'Assumptions and Catalog'!$E$53+'Assumptions and Catalog'!$F$53,IF(L806&lt;='Assumptions and Catalog'!$C$54,L806*'Assumptions and Catalog'!$H$54+'Assumptions and Catalog'!$E$54+'Assumptions and Catalog'!$F$54,IF(L806&lt;='Assumptions and Catalog'!$C$55,L806*'Assumptions and Catalog'!$H$55+'Assumptions and Catalog'!$E$55+'Assumptions and Catalog'!$F$55,IF(L806&lt;='Assumptions and Catalog'!$C$56,L806*'Assumptions and Catalog'!$H$56+'Assumptions and Catalog'!$E$56+'Assumptions and Catalog'!$F$56,IF(L806&lt;='Assumptions and Catalog'!$C$57,L806*'Assumptions and Catalog'!$H$57+'Assumptions and Catalog'!$E$57+'Assumptions and Catalog'!$F$57,"Out of range")))))))),IF(L806&lt;='Assumptions and Catalog'!$C$60,L806*'Assumptions and Catalog'!$H$60+'Assumptions and Catalog'!$E$60+'Assumptions and Catalog'!$F$60,IF(L806&lt;='Assumptions and Catalog'!$C$61,L806*'Assumptions and Catalog'!$H$61+'Assumptions and Catalog'!$E$61+'Assumptions and Catalog'!$F$61,IF(L806&lt;='Assumptions and Catalog'!$C$62,L806*'Assumptions and Catalog'!$H$62+'Assumptions and Catalog'!$E$62+'Assumptions and Catalog'!$F$62,IF(L806&lt;='Assumptions and Catalog'!$C$63,L806*'Assumptions and Catalog'!$H$63+'Assumptions and Catalog'!$E$63+'Assumptions and Catalog'!$F$63,IF(L806&lt;='Assumptions and Catalog'!$C$64,L806*'Assumptions and Catalog'!$H$64+'Assumptions and Catalog'!$E$64+'Assumptions and Catalog'!$F$64,IF(L806&lt;='Assumptions and Catalog'!$C$65,L806*'Assumptions and Catalog'!$H$65+'Assumptions and Catalog'!$E$65+'Assumptions and Catalog'!$F$65,"Out of range")))))))))*(1+'Assumptions and Catalog'!$C$8)^(A806-1),0)</f>
        <v>5257.5604391040215</v>
      </c>
      <c r="O806" s="5">
        <f t="shared" si="59"/>
        <v>2469.5062275626442</v>
      </c>
      <c r="P806" s="5">
        <f>E$55*(1-L$14)*(1-'Assumptions and Catalog'!$C$23)^R806</f>
        <v>98.34496</v>
      </c>
      <c r="Q806" s="5">
        <f>IF(ISNUMBER(Inputs!$L$5),(IF(Inputs!$L$9="Actual flat rate",((D806+E806)*C806-G806)*Inputs!$L$10,IF(Inputs!$C$9="Residential",IF(((D806+E806)*C806-G806)&lt;='Assumptions and Catalog'!$C$50,((D806+E806)*C806-G806)*'Assumptions and Catalog'!$H$50+'Assumptions and Catalog'!$E$50+'Assumptions and Catalog'!$F$50,IF(((D806+E806)*C806-G806)&lt;='Assumptions and Catalog'!$C$51,((D806+E806)*C806-G806)*'Assumptions and Catalog'!$H$51+'Assumptions and Catalog'!$E$51+'Assumptions and Catalog'!$F$51,IF(((D806+E806)*C806-G806)&lt;='Assumptions and Catalog'!$C$52,((D806+E806)*C806-G806)*'Assumptions and Catalog'!$H$52+'Assumptions and Catalog'!$E$52+'Assumptions and Catalog'!$F$52,IF(((D806+E806)*C806-G806)&lt;='Assumptions and Catalog'!$C$53,((D806+E806)*C806-G806)*'Assumptions and Catalog'!$H$53+'Assumptions and Catalog'!$E$53+'Assumptions and Catalog'!$F$53,IF(((D806+E806)*C806-G806)&lt;='Assumptions and Catalog'!$C$54,((D806+E806)*C806-G806)*'Assumptions and Catalog'!$H$54+'Assumptions and Catalog'!$E$54+'Assumptions and Catalog'!$F$54,IF(((D806+E806)*C806-G806)&lt;='Assumptions and Catalog'!$C$55,((D806+E806)*C806-G806)*'Assumptions and Catalog'!$H$55+'Assumptions and Catalog'!$E$55+'Assumptions and Catalog'!$F$55,IF(((D806+E806)*C806-G806)&lt;='Assumptions and Catalog'!$C$56,((D806+E806)*C806-G806)*'Assumptions and Catalog'!$H$56+'Assumptions and Catalog'!$E$56+'Assumptions and Catalog'!$F$56,IF(((D806+E806)*C806-G806)&lt;='Assumptions and Catalog'!$C$57,((D806+E806)*C806-G806)*'Assumptions and Catalog'!$H$57+'Assumptions and Catalog'!$E$57+'Assumptions and Catalog'!$F$57,"Out of range")))))))),IF(((D806+E806)*C806-G806)&lt;='Assumptions and Catalog'!$C$60,((D806+E806)*C806-G806)*'Assumptions and Catalog'!$H$60+'Assumptions and Catalog'!$E$60+'Assumptions and Catalog'!$F$60,IF(((D806+E806)*C806-G806)&lt;='Assumptions and Catalog'!$C$61,((D806+E806)*C806-G806)*'Assumptions and Catalog'!$H$61+'Assumptions and Catalog'!$E$61+'Assumptions and Catalog'!$F$61,IF(((D806+E806)*C806-G806)&lt;='Assumptions and Catalog'!$C$62,((D806+E806)*C806-G806)*'Assumptions and Catalog'!$H$62+'Assumptions and Catalog'!$E$62+'Assumptions and Catalog'!$F$62,IF(((D806+E806)*C806-G806)&lt;='Assumptions and Catalog'!$C$63,((D806+E806)*C806-G806)*'Assumptions and Catalog'!$H$63+'Assumptions and Catalog'!$E$63+'Assumptions and Catalog'!$F$63,IF(((D806+E806)*C806-G806)&lt;='Assumptions and Catalog'!$C$64,((D806+E806)*C806-G806)*'Assumptions and Catalog'!$H$64+'Assumptions and Catalog'!$E$64+'Assumptions and Catalog'!$F$64,IF(((D806+E806)*C806-G806)&lt;='Assumptions and Catalog'!$C$65,((D806+E806)*C806-G806)*'Assumptions and Catalog'!$H$65+'Assumptions and Catalog'!$E$65+'Assumptions and Catalog'!$F$65,"Out of range")))))))))*(1+'Assumptions and Catalog'!$C$8)^(A806-1),0)</f>
        <v>5257.5604391040215</v>
      </c>
      <c r="R806" s="5">
        <f>IF(AND('Assumptions and Catalog'!$C$19&gt;0,A806&gt;='Assumptions and Catalog'!$C$19),A806-'Assumptions and Catalog'!$C$19,A806-1)</f>
        <v>2</v>
      </c>
      <c r="S806" s="5">
        <f>F806+L806-(D806+E806)*C806-J806-K806-IF(E$52&gt;0,'Assumptions and Catalog'!$C$26*C806,0)</f>
        <v>0</v>
      </c>
      <c r="T806" s="5"/>
      <c r="U806" s="5"/>
    </row>
    <row r="807" spans="1:21" ht="23.1" customHeight="1" outlineLevel="1" x14ac:dyDescent="0.2">
      <c r="A807" s="5">
        <v>13</v>
      </c>
      <c r="B807" s="5">
        <v>3</v>
      </c>
      <c r="C807" s="5">
        <f>DAY(DATE('Assumptions and Catalog'!$C$24+A807-1,B807+1,0))</f>
        <v>31</v>
      </c>
      <c r="D807" s="5">
        <f>IF(ISNUMBER(Inputs!$L$5),Inputs!$L$5*Inputs!$L$6,0)</f>
        <v>40.35</v>
      </c>
      <c r="E807" s="5">
        <f>IF(ISNUMBER(Inputs!$L$5),Inputs!$L$5-D807,0)</f>
        <v>40.35</v>
      </c>
      <c r="F807" s="5">
        <f>E$51*'Assumptions and Catalog'!$C$31*C807*(1-'Assumptions and Catalog'!$C$10)^(A807-1)</f>
        <v>799.52250912292754</v>
      </c>
      <c r="G807" s="5">
        <f t="shared" si="56"/>
        <v>799.52250912292754</v>
      </c>
      <c r="H807" s="5">
        <f>I807/('Assumptions and Catalog'!$C$11*'Assumptions and Catalog'!$C$12)</f>
        <v>0</v>
      </c>
      <c r="I807" s="5">
        <f>MIN(E807*C807,P807*'Assumptions and Catalog'!$C$12*C807,(F807-G807)*'Assumptions and Catalog'!$C$11*'Assumptions and Catalog'!$C$12,E$56*'Assumptions and Catalog'!$C$14*'Assumptions and Catalog'!$C$11*'Assumptions and Catalog'!$C$12*C807,E$57*(24-'Assumptions and Catalog'!$C$13)*C807)</f>
        <v>0</v>
      </c>
      <c r="J807" s="5">
        <f t="shared" si="57"/>
        <v>0</v>
      </c>
      <c r="K807" s="5">
        <f t="shared" si="58"/>
        <v>0</v>
      </c>
      <c r="L807" s="5">
        <f>(D807+E807)*C807-G807-I807+0+IF(E$52&gt;0,'Assumptions and Catalog'!$C$26*C807,0)</f>
        <v>1702.1774908770726</v>
      </c>
      <c r="M807" s="5">
        <f>IF(ISNUMBER(Inputs!$L$5),(IF(Inputs!$L$9="Actual flat rate",((D807+E807)*C807)*Inputs!$L$10,IF(Inputs!$C$9="Residential",IF(((D807+E807)*C807)&lt;='Assumptions and Catalog'!$C$50,((D807+E807)*C807)*'Assumptions and Catalog'!$H$50+'Assumptions and Catalog'!$E$50+'Assumptions and Catalog'!$F$50,IF(((D807+E807)*C807)&lt;='Assumptions and Catalog'!$C$51,((D807+E807)*C807)*'Assumptions and Catalog'!$H$51+'Assumptions and Catalog'!$E$51+'Assumptions and Catalog'!$F$51,IF(((D807+E807)*C807)&lt;='Assumptions and Catalog'!$C$52,((D807+E807)*C807)*'Assumptions and Catalog'!$H$52+'Assumptions and Catalog'!$E$52+'Assumptions and Catalog'!$F$52,IF(((D807+E807)*C807)&lt;='Assumptions and Catalog'!$C$53,((D807+E807)*C807)*'Assumptions and Catalog'!$H$53+'Assumptions and Catalog'!$E$53+'Assumptions and Catalog'!$F$53,IF(((D807+E807)*C807)&lt;='Assumptions and Catalog'!$C$54,((D807+E807)*C807)*'Assumptions and Catalog'!$H$54+'Assumptions and Catalog'!$E$54+'Assumptions and Catalog'!$F$54,IF(((D807+E807)*C807)&lt;='Assumptions and Catalog'!$C$55,((D807+E807)*C807)*'Assumptions and Catalog'!$H$55+'Assumptions and Catalog'!$E$55+'Assumptions and Catalog'!$F$55,IF(((D807+E807)*C807)&lt;='Assumptions and Catalog'!$C$56,((D807+E807)*C807)*'Assumptions and Catalog'!$H$56+'Assumptions and Catalog'!$E$56+'Assumptions and Catalog'!$F$56,IF(((D807+E807)*C807)&lt;='Assumptions and Catalog'!$C$57,((D807+E807)*C807)*'Assumptions and Catalog'!$H$57+'Assumptions and Catalog'!$E$57+'Assumptions and Catalog'!$F$57,"Out of range")))))))),IF(((D807+E807)*C807)&lt;='Assumptions and Catalog'!$C$60,((D807+E807)*C807)*'Assumptions and Catalog'!$H$60+'Assumptions and Catalog'!$E$60+'Assumptions and Catalog'!$F$60,IF(((D807+E807)*C807)&lt;='Assumptions and Catalog'!$C$61,((D807+E807)*C807)*'Assumptions and Catalog'!$H$61+'Assumptions and Catalog'!$E$61+'Assumptions and Catalog'!$F$61,IF(((D807+E807)*C807)&lt;='Assumptions and Catalog'!$C$62,((D807+E807)*C807)*'Assumptions and Catalog'!$H$62+'Assumptions and Catalog'!$E$62+'Assumptions and Catalog'!$F$62,IF(((D807+E807)*C807)&lt;='Assumptions and Catalog'!$C$63,((D807+E807)*C807)*'Assumptions and Catalog'!$H$63+'Assumptions and Catalog'!$E$63+'Assumptions and Catalog'!$F$63,IF(((D807+E807)*C807)&lt;='Assumptions and Catalog'!$C$64,((D807+E807)*C807)*'Assumptions and Catalog'!$H$64+'Assumptions and Catalog'!$E$64+'Assumptions and Catalog'!$F$64,IF(((D807+E807)*C807)&lt;='Assumptions and Catalog'!$C$65,((D807+E807)*C807)*'Assumptions and Catalog'!$H$65+'Assumptions and Catalog'!$E$65+'Assumptions and Catalog'!$F$65,"Out of range")))))))))*(1+'Assumptions and Catalog'!$C$8)^(A807-1),0)</f>
        <v>8554.9666666666672</v>
      </c>
      <c r="N807" s="5">
        <f>IF(ISNUMBER(Inputs!$L$5),(IF(Inputs!$L$9="Actual flat rate",L807*Inputs!$L$10,IF(Inputs!$C$9="Residential",IF(L807&lt;='Assumptions and Catalog'!$C$50,L807*'Assumptions and Catalog'!$H$50+'Assumptions and Catalog'!$E$50+'Assumptions and Catalog'!$F$50,IF(L807&lt;='Assumptions and Catalog'!$C$51,L807*'Assumptions and Catalog'!$H$51+'Assumptions and Catalog'!$E$51+'Assumptions and Catalog'!$F$51,IF(L807&lt;='Assumptions and Catalog'!$C$52,L807*'Assumptions and Catalog'!$H$52+'Assumptions and Catalog'!$E$52+'Assumptions and Catalog'!$F$52,IF(L807&lt;='Assumptions and Catalog'!$C$53,L807*'Assumptions and Catalog'!$H$53+'Assumptions and Catalog'!$E$53+'Assumptions and Catalog'!$F$53,IF(L807&lt;='Assumptions and Catalog'!$C$54,L807*'Assumptions and Catalog'!$H$54+'Assumptions and Catalog'!$E$54+'Assumptions and Catalog'!$F$54,IF(L807&lt;='Assumptions and Catalog'!$C$55,L807*'Assumptions and Catalog'!$H$55+'Assumptions and Catalog'!$E$55+'Assumptions and Catalog'!$F$55,IF(L807&lt;='Assumptions and Catalog'!$C$56,L807*'Assumptions and Catalog'!$H$56+'Assumptions and Catalog'!$E$56+'Assumptions and Catalog'!$F$56,IF(L807&lt;='Assumptions and Catalog'!$C$57,L807*'Assumptions and Catalog'!$H$57+'Assumptions and Catalog'!$E$57+'Assumptions and Catalog'!$F$57,"Out of range")))))))),IF(L807&lt;='Assumptions and Catalog'!$C$60,L807*'Assumptions and Catalog'!$H$60+'Assumptions and Catalog'!$E$60+'Assumptions and Catalog'!$F$60,IF(L807&lt;='Assumptions and Catalog'!$C$61,L807*'Assumptions and Catalog'!$H$61+'Assumptions and Catalog'!$E$61+'Assumptions and Catalog'!$F$61,IF(L807&lt;='Assumptions and Catalog'!$C$62,L807*'Assumptions and Catalog'!$H$62+'Assumptions and Catalog'!$E$62+'Assumptions and Catalog'!$F$62,IF(L807&lt;='Assumptions and Catalog'!$C$63,L807*'Assumptions and Catalog'!$H$63+'Assumptions and Catalog'!$E$63+'Assumptions and Catalog'!$F$63,IF(L807&lt;='Assumptions and Catalog'!$C$64,L807*'Assumptions and Catalog'!$H$64+'Assumptions and Catalog'!$E$64+'Assumptions and Catalog'!$F$64,IF(L807&lt;='Assumptions and Catalog'!$C$65,L807*'Assumptions and Catalog'!$H$65+'Assumptions and Catalog'!$E$65+'Assumptions and Catalog'!$F$65,"Out of range")))))))))*(1+'Assumptions and Catalog'!$C$8)^(A807-1),0)</f>
        <v>5820.8704861508813</v>
      </c>
      <c r="O807" s="5">
        <f t="shared" si="59"/>
        <v>2734.0961805157858</v>
      </c>
      <c r="P807" s="5">
        <f>E$55*(1-L$14)*(1-'Assumptions and Catalog'!$C$23)^R807</f>
        <v>98.34496</v>
      </c>
      <c r="Q807" s="5">
        <f>IF(ISNUMBER(Inputs!$L$5),(IF(Inputs!$L$9="Actual flat rate",((D807+E807)*C807-G807)*Inputs!$L$10,IF(Inputs!$C$9="Residential",IF(((D807+E807)*C807-G807)&lt;='Assumptions and Catalog'!$C$50,((D807+E807)*C807-G807)*'Assumptions and Catalog'!$H$50+'Assumptions and Catalog'!$E$50+'Assumptions and Catalog'!$F$50,IF(((D807+E807)*C807-G807)&lt;='Assumptions and Catalog'!$C$51,((D807+E807)*C807-G807)*'Assumptions and Catalog'!$H$51+'Assumptions and Catalog'!$E$51+'Assumptions and Catalog'!$F$51,IF(((D807+E807)*C807-G807)&lt;='Assumptions and Catalog'!$C$52,((D807+E807)*C807-G807)*'Assumptions and Catalog'!$H$52+'Assumptions and Catalog'!$E$52+'Assumptions and Catalog'!$F$52,IF(((D807+E807)*C807-G807)&lt;='Assumptions and Catalog'!$C$53,((D807+E807)*C807-G807)*'Assumptions and Catalog'!$H$53+'Assumptions and Catalog'!$E$53+'Assumptions and Catalog'!$F$53,IF(((D807+E807)*C807-G807)&lt;='Assumptions and Catalog'!$C$54,((D807+E807)*C807-G807)*'Assumptions and Catalog'!$H$54+'Assumptions and Catalog'!$E$54+'Assumptions and Catalog'!$F$54,IF(((D807+E807)*C807-G807)&lt;='Assumptions and Catalog'!$C$55,((D807+E807)*C807-G807)*'Assumptions and Catalog'!$H$55+'Assumptions and Catalog'!$E$55+'Assumptions and Catalog'!$F$55,IF(((D807+E807)*C807-G807)&lt;='Assumptions and Catalog'!$C$56,((D807+E807)*C807-G807)*'Assumptions and Catalog'!$H$56+'Assumptions and Catalog'!$E$56+'Assumptions and Catalog'!$F$56,IF(((D807+E807)*C807-G807)&lt;='Assumptions and Catalog'!$C$57,((D807+E807)*C807-G807)*'Assumptions and Catalog'!$H$57+'Assumptions and Catalog'!$E$57+'Assumptions and Catalog'!$F$57,"Out of range")))))))),IF(((D807+E807)*C807-G807)&lt;='Assumptions and Catalog'!$C$60,((D807+E807)*C807-G807)*'Assumptions and Catalog'!$H$60+'Assumptions and Catalog'!$E$60+'Assumptions and Catalog'!$F$60,IF(((D807+E807)*C807-G807)&lt;='Assumptions and Catalog'!$C$61,((D807+E807)*C807-G807)*'Assumptions and Catalog'!$H$61+'Assumptions and Catalog'!$E$61+'Assumptions and Catalog'!$F$61,IF(((D807+E807)*C807-G807)&lt;='Assumptions and Catalog'!$C$62,((D807+E807)*C807-G807)*'Assumptions and Catalog'!$H$62+'Assumptions and Catalog'!$E$62+'Assumptions and Catalog'!$F$62,IF(((D807+E807)*C807-G807)&lt;='Assumptions and Catalog'!$C$63,((D807+E807)*C807-G807)*'Assumptions and Catalog'!$H$63+'Assumptions and Catalog'!$E$63+'Assumptions and Catalog'!$F$63,IF(((D807+E807)*C807-G807)&lt;='Assumptions and Catalog'!$C$64,((D807+E807)*C807-G807)*'Assumptions and Catalog'!$H$64+'Assumptions and Catalog'!$E$64+'Assumptions and Catalog'!$F$64,IF(((D807+E807)*C807-G807)&lt;='Assumptions and Catalog'!$C$65,((D807+E807)*C807-G807)*'Assumptions and Catalog'!$H$65+'Assumptions and Catalog'!$E$65+'Assumptions and Catalog'!$F$65,"Out of range")))))))))*(1+'Assumptions and Catalog'!$C$8)^(A807-1),0)</f>
        <v>5820.8704861508813</v>
      </c>
      <c r="R807" s="5">
        <f>IF(AND('Assumptions and Catalog'!$C$19&gt;0,A807&gt;='Assumptions and Catalog'!$C$19),A807-'Assumptions and Catalog'!$C$19,A807-1)</f>
        <v>2</v>
      </c>
      <c r="S807" s="5">
        <f>F807+L807-(D807+E807)*C807-J807-K807-IF(E$52&gt;0,'Assumptions and Catalog'!$C$26*C807,0)</f>
        <v>0</v>
      </c>
      <c r="T807" s="5"/>
      <c r="U807" s="5"/>
    </row>
    <row r="808" spans="1:21" ht="23.1" customHeight="1" outlineLevel="1" x14ac:dyDescent="0.2">
      <c r="A808" s="5">
        <v>13</v>
      </c>
      <c r="B808" s="5">
        <v>4</v>
      </c>
      <c r="C808" s="5">
        <f>DAY(DATE('Assumptions and Catalog'!$C$24+A808-1,B808+1,0))</f>
        <v>30</v>
      </c>
      <c r="D808" s="5">
        <f>IF(ISNUMBER(Inputs!$L$5),Inputs!$L$5*Inputs!$L$6,0)</f>
        <v>40.35</v>
      </c>
      <c r="E808" s="5">
        <f>IF(ISNUMBER(Inputs!$L$5),Inputs!$L$5-D808,0)</f>
        <v>40.35</v>
      </c>
      <c r="F808" s="5">
        <f>E$51*'Assumptions and Catalog'!$C$31*C808*(1-'Assumptions and Catalog'!$C$10)^(A808-1)</f>
        <v>773.73146044154271</v>
      </c>
      <c r="G808" s="5">
        <f t="shared" si="56"/>
        <v>773.73146044154271</v>
      </c>
      <c r="H808" s="5">
        <f>I808/('Assumptions and Catalog'!$C$11*'Assumptions and Catalog'!$C$12)</f>
        <v>0</v>
      </c>
      <c r="I808" s="5">
        <f>MIN(E808*C808,P808*'Assumptions and Catalog'!$C$12*C808,(F808-G808)*'Assumptions and Catalog'!$C$11*'Assumptions and Catalog'!$C$12,E$56*'Assumptions and Catalog'!$C$14*'Assumptions and Catalog'!$C$11*'Assumptions and Catalog'!$C$12*C808,E$57*(24-'Assumptions and Catalog'!$C$13)*C808)</f>
        <v>0</v>
      </c>
      <c r="J808" s="5">
        <f t="shared" si="57"/>
        <v>0</v>
      </c>
      <c r="K808" s="5">
        <f t="shared" si="58"/>
        <v>0</v>
      </c>
      <c r="L808" s="5">
        <f>(D808+E808)*C808-G808-I808+0+IF(E$52&gt;0,'Assumptions and Catalog'!$C$26*C808,0)</f>
        <v>1647.2685395584572</v>
      </c>
      <c r="M808" s="5">
        <f>IF(ISNUMBER(Inputs!$L$5),(IF(Inputs!$L$9="Actual flat rate",((D808+E808)*C808)*Inputs!$L$10,IF(Inputs!$C$9="Residential",IF(((D808+E808)*C808)&lt;='Assumptions and Catalog'!$C$50,((D808+E808)*C808)*'Assumptions and Catalog'!$H$50+'Assumptions and Catalog'!$E$50+'Assumptions and Catalog'!$F$50,IF(((D808+E808)*C808)&lt;='Assumptions and Catalog'!$C$51,((D808+E808)*C808)*'Assumptions and Catalog'!$H$51+'Assumptions and Catalog'!$E$51+'Assumptions and Catalog'!$F$51,IF(((D808+E808)*C808)&lt;='Assumptions and Catalog'!$C$52,((D808+E808)*C808)*'Assumptions and Catalog'!$H$52+'Assumptions and Catalog'!$E$52+'Assumptions and Catalog'!$F$52,IF(((D808+E808)*C808)&lt;='Assumptions and Catalog'!$C$53,((D808+E808)*C808)*'Assumptions and Catalog'!$H$53+'Assumptions and Catalog'!$E$53+'Assumptions and Catalog'!$F$53,IF(((D808+E808)*C808)&lt;='Assumptions and Catalog'!$C$54,((D808+E808)*C808)*'Assumptions and Catalog'!$H$54+'Assumptions and Catalog'!$E$54+'Assumptions and Catalog'!$F$54,IF(((D808+E808)*C808)&lt;='Assumptions and Catalog'!$C$55,((D808+E808)*C808)*'Assumptions and Catalog'!$H$55+'Assumptions and Catalog'!$E$55+'Assumptions and Catalog'!$F$55,IF(((D808+E808)*C808)&lt;='Assumptions and Catalog'!$C$56,((D808+E808)*C808)*'Assumptions and Catalog'!$H$56+'Assumptions and Catalog'!$E$56+'Assumptions and Catalog'!$F$56,IF(((D808+E808)*C808)&lt;='Assumptions and Catalog'!$C$57,((D808+E808)*C808)*'Assumptions and Catalog'!$H$57+'Assumptions and Catalog'!$E$57+'Assumptions and Catalog'!$F$57,"Out of range")))))))),IF(((D808+E808)*C808)&lt;='Assumptions and Catalog'!$C$60,((D808+E808)*C808)*'Assumptions and Catalog'!$H$60+'Assumptions and Catalog'!$E$60+'Assumptions and Catalog'!$F$60,IF(((D808+E808)*C808)&lt;='Assumptions and Catalog'!$C$61,((D808+E808)*C808)*'Assumptions and Catalog'!$H$61+'Assumptions and Catalog'!$E$61+'Assumptions and Catalog'!$F$61,IF(((D808+E808)*C808)&lt;='Assumptions and Catalog'!$C$62,((D808+E808)*C808)*'Assumptions and Catalog'!$H$62+'Assumptions and Catalog'!$E$62+'Assumptions and Catalog'!$F$62,IF(((D808+E808)*C808)&lt;='Assumptions and Catalog'!$C$63,((D808+E808)*C808)*'Assumptions and Catalog'!$H$63+'Assumptions and Catalog'!$E$63+'Assumptions and Catalog'!$F$63,IF(((D808+E808)*C808)&lt;='Assumptions and Catalog'!$C$64,((D808+E808)*C808)*'Assumptions and Catalog'!$H$64+'Assumptions and Catalog'!$E$64+'Assumptions and Catalog'!$F$64,IF(((D808+E808)*C808)&lt;='Assumptions and Catalog'!$C$65,((D808+E808)*C808)*'Assumptions and Catalog'!$H$65+'Assumptions and Catalog'!$E$65+'Assumptions and Catalog'!$F$65,"Out of range")))))))))*(1+'Assumptions and Catalog'!$C$8)^(A808-1),0)</f>
        <v>8279</v>
      </c>
      <c r="N808" s="5">
        <f>IF(ISNUMBER(Inputs!$L$5),(IF(Inputs!$L$9="Actual flat rate",L808*Inputs!$L$10,IF(Inputs!$C$9="Residential",IF(L808&lt;='Assumptions and Catalog'!$C$50,L808*'Assumptions and Catalog'!$H$50+'Assumptions and Catalog'!$E$50+'Assumptions and Catalog'!$F$50,IF(L808&lt;='Assumptions and Catalog'!$C$51,L808*'Assumptions and Catalog'!$H$51+'Assumptions and Catalog'!$E$51+'Assumptions and Catalog'!$F$51,IF(L808&lt;='Assumptions and Catalog'!$C$52,L808*'Assumptions and Catalog'!$H$52+'Assumptions and Catalog'!$E$52+'Assumptions and Catalog'!$F$52,IF(L808&lt;='Assumptions and Catalog'!$C$53,L808*'Assumptions and Catalog'!$H$53+'Assumptions and Catalog'!$E$53+'Assumptions and Catalog'!$F$53,IF(L808&lt;='Assumptions and Catalog'!$C$54,L808*'Assumptions and Catalog'!$H$54+'Assumptions and Catalog'!$E$54+'Assumptions and Catalog'!$F$54,IF(L808&lt;='Assumptions and Catalog'!$C$55,L808*'Assumptions and Catalog'!$H$55+'Assumptions and Catalog'!$E$55+'Assumptions and Catalog'!$F$55,IF(L808&lt;='Assumptions and Catalog'!$C$56,L808*'Assumptions and Catalog'!$H$56+'Assumptions and Catalog'!$E$56+'Assumptions and Catalog'!$F$56,IF(L808&lt;='Assumptions and Catalog'!$C$57,L808*'Assumptions and Catalog'!$H$57+'Assumptions and Catalog'!$E$57+'Assumptions and Catalog'!$F$57,"Out of range")))))))),IF(L808&lt;='Assumptions and Catalog'!$C$60,L808*'Assumptions and Catalog'!$H$60+'Assumptions and Catalog'!$E$60+'Assumptions and Catalog'!$F$60,IF(L808&lt;='Assumptions and Catalog'!$C$61,L808*'Assumptions and Catalog'!$H$61+'Assumptions and Catalog'!$E$61+'Assumptions and Catalog'!$F$61,IF(L808&lt;='Assumptions and Catalog'!$C$62,L808*'Assumptions and Catalog'!$H$62+'Assumptions and Catalog'!$E$62+'Assumptions and Catalog'!$F$62,IF(L808&lt;='Assumptions and Catalog'!$C$63,L808*'Assumptions and Catalog'!$H$63+'Assumptions and Catalog'!$E$63+'Assumptions and Catalog'!$F$63,IF(L808&lt;='Assumptions and Catalog'!$C$64,L808*'Assumptions and Catalog'!$H$64+'Assumptions and Catalog'!$E$64+'Assumptions and Catalog'!$F$64,IF(L808&lt;='Assumptions and Catalog'!$C$65,L808*'Assumptions and Catalog'!$H$65+'Assumptions and Catalog'!$E$65+'Assumptions and Catalog'!$F$65,"Out of range")))))))))*(1+'Assumptions and Catalog'!$C$8)^(A808-1),0)</f>
        <v>5633.1004704685938</v>
      </c>
      <c r="O808" s="5">
        <f t="shared" si="59"/>
        <v>2645.8995295314062</v>
      </c>
      <c r="P808" s="5">
        <f>E$55*(1-L$14)*(1-'Assumptions and Catalog'!$C$23)^R808</f>
        <v>98.34496</v>
      </c>
      <c r="Q808" s="5">
        <f>IF(ISNUMBER(Inputs!$L$5),(IF(Inputs!$L$9="Actual flat rate",((D808+E808)*C808-G808)*Inputs!$L$10,IF(Inputs!$C$9="Residential",IF(((D808+E808)*C808-G808)&lt;='Assumptions and Catalog'!$C$50,((D808+E808)*C808-G808)*'Assumptions and Catalog'!$H$50+'Assumptions and Catalog'!$E$50+'Assumptions and Catalog'!$F$50,IF(((D808+E808)*C808-G808)&lt;='Assumptions and Catalog'!$C$51,((D808+E808)*C808-G808)*'Assumptions and Catalog'!$H$51+'Assumptions and Catalog'!$E$51+'Assumptions and Catalog'!$F$51,IF(((D808+E808)*C808-G808)&lt;='Assumptions and Catalog'!$C$52,((D808+E808)*C808-G808)*'Assumptions and Catalog'!$H$52+'Assumptions and Catalog'!$E$52+'Assumptions and Catalog'!$F$52,IF(((D808+E808)*C808-G808)&lt;='Assumptions and Catalog'!$C$53,((D808+E808)*C808-G808)*'Assumptions and Catalog'!$H$53+'Assumptions and Catalog'!$E$53+'Assumptions and Catalog'!$F$53,IF(((D808+E808)*C808-G808)&lt;='Assumptions and Catalog'!$C$54,((D808+E808)*C808-G808)*'Assumptions and Catalog'!$H$54+'Assumptions and Catalog'!$E$54+'Assumptions and Catalog'!$F$54,IF(((D808+E808)*C808-G808)&lt;='Assumptions and Catalog'!$C$55,((D808+E808)*C808-G808)*'Assumptions and Catalog'!$H$55+'Assumptions and Catalog'!$E$55+'Assumptions and Catalog'!$F$55,IF(((D808+E808)*C808-G808)&lt;='Assumptions and Catalog'!$C$56,((D808+E808)*C808-G808)*'Assumptions and Catalog'!$H$56+'Assumptions and Catalog'!$E$56+'Assumptions and Catalog'!$F$56,IF(((D808+E808)*C808-G808)&lt;='Assumptions and Catalog'!$C$57,((D808+E808)*C808-G808)*'Assumptions and Catalog'!$H$57+'Assumptions and Catalog'!$E$57+'Assumptions and Catalog'!$F$57,"Out of range")))))))),IF(((D808+E808)*C808-G808)&lt;='Assumptions and Catalog'!$C$60,((D808+E808)*C808-G808)*'Assumptions and Catalog'!$H$60+'Assumptions and Catalog'!$E$60+'Assumptions and Catalog'!$F$60,IF(((D808+E808)*C808-G808)&lt;='Assumptions and Catalog'!$C$61,((D808+E808)*C808-G808)*'Assumptions and Catalog'!$H$61+'Assumptions and Catalog'!$E$61+'Assumptions and Catalog'!$F$61,IF(((D808+E808)*C808-G808)&lt;='Assumptions and Catalog'!$C$62,((D808+E808)*C808-G808)*'Assumptions and Catalog'!$H$62+'Assumptions and Catalog'!$E$62+'Assumptions and Catalog'!$F$62,IF(((D808+E808)*C808-G808)&lt;='Assumptions and Catalog'!$C$63,((D808+E808)*C808-G808)*'Assumptions and Catalog'!$H$63+'Assumptions and Catalog'!$E$63+'Assumptions and Catalog'!$F$63,IF(((D808+E808)*C808-G808)&lt;='Assumptions and Catalog'!$C$64,((D808+E808)*C808-G808)*'Assumptions and Catalog'!$H$64+'Assumptions and Catalog'!$E$64+'Assumptions and Catalog'!$F$64,IF(((D808+E808)*C808-G808)&lt;='Assumptions and Catalog'!$C$65,((D808+E808)*C808-G808)*'Assumptions and Catalog'!$H$65+'Assumptions and Catalog'!$E$65+'Assumptions and Catalog'!$F$65,"Out of range")))))))))*(1+'Assumptions and Catalog'!$C$8)^(A808-1),0)</f>
        <v>5633.1004704685938</v>
      </c>
      <c r="R808" s="5">
        <f>IF(AND('Assumptions and Catalog'!$C$19&gt;0,A808&gt;='Assumptions and Catalog'!$C$19),A808-'Assumptions and Catalog'!$C$19,A808-1)</f>
        <v>2</v>
      </c>
      <c r="S808" s="5">
        <f>F808+L808-(D808+E808)*C808-J808-K808-IF(E$52&gt;0,'Assumptions and Catalog'!$C$26*C808,0)</f>
        <v>0</v>
      </c>
      <c r="T808" s="5"/>
      <c r="U808" s="5"/>
    </row>
    <row r="809" spans="1:21" ht="23.1" customHeight="1" outlineLevel="1" x14ac:dyDescent="0.2">
      <c r="A809" s="5">
        <v>13</v>
      </c>
      <c r="B809" s="5">
        <v>5</v>
      </c>
      <c r="C809" s="5">
        <f>DAY(DATE('Assumptions and Catalog'!$C$24+A809-1,B809+1,0))</f>
        <v>31</v>
      </c>
      <c r="D809" s="5">
        <f>IF(ISNUMBER(Inputs!$L$5),Inputs!$L$5*Inputs!$L$6,0)</f>
        <v>40.35</v>
      </c>
      <c r="E809" s="5">
        <f>IF(ISNUMBER(Inputs!$L$5),Inputs!$L$5-D809,0)</f>
        <v>40.35</v>
      </c>
      <c r="F809" s="5">
        <f>E$51*'Assumptions and Catalog'!$C$31*C809*(1-'Assumptions and Catalog'!$C$10)^(A809-1)</f>
        <v>799.52250912292754</v>
      </c>
      <c r="G809" s="5">
        <f t="shared" si="56"/>
        <v>799.52250912292754</v>
      </c>
      <c r="H809" s="5">
        <f>I809/('Assumptions and Catalog'!$C$11*'Assumptions and Catalog'!$C$12)</f>
        <v>0</v>
      </c>
      <c r="I809" s="5">
        <f>MIN(E809*C809,P809*'Assumptions and Catalog'!$C$12*C809,(F809-G809)*'Assumptions and Catalog'!$C$11*'Assumptions and Catalog'!$C$12,E$56*'Assumptions and Catalog'!$C$14*'Assumptions and Catalog'!$C$11*'Assumptions and Catalog'!$C$12*C809,E$57*(24-'Assumptions and Catalog'!$C$13)*C809)</f>
        <v>0</v>
      </c>
      <c r="J809" s="5">
        <f t="shared" si="57"/>
        <v>0</v>
      </c>
      <c r="K809" s="5">
        <f t="shared" si="58"/>
        <v>0</v>
      </c>
      <c r="L809" s="5">
        <f>(D809+E809)*C809-G809-I809+0+IF(E$52&gt;0,'Assumptions and Catalog'!$C$26*C809,0)</f>
        <v>1702.1774908770726</v>
      </c>
      <c r="M809" s="5">
        <f>IF(ISNUMBER(Inputs!$L$5),(IF(Inputs!$L$9="Actual flat rate",((D809+E809)*C809)*Inputs!$L$10,IF(Inputs!$C$9="Residential",IF(((D809+E809)*C809)&lt;='Assumptions and Catalog'!$C$50,((D809+E809)*C809)*'Assumptions and Catalog'!$H$50+'Assumptions and Catalog'!$E$50+'Assumptions and Catalog'!$F$50,IF(((D809+E809)*C809)&lt;='Assumptions and Catalog'!$C$51,((D809+E809)*C809)*'Assumptions and Catalog'!$H$51+'Assumptions and Catalog'!$E$51+'Assumptions and Catalog'!$F$51,IF(((D809+E809)*C809)&lt;='Assumptions and Catalog'!$C$52,((D809+E809)*C809)*'Assumptions and Catalog'!$H$52+'Assumptions and Catalog'!$E$52+'Assumptions and Catalog'!$F$52,IF(((D809+E809)*C809)&lt;='Assumptions and Catalog'!$C$53,((D809+E809)*C809)*'Assumptions and Catalog'!$H$53+'Assumptions and Catalog'!$E$53+'Assumptions and Catalog'!$F$53,IF(((D809+E809)*C809)&lt;='Assumptions and Catalog'!$C$54,((D809+E809)*C809)*'Assumptions and Catalog'!$H$54+'Assumptions and Catalog'!$E$54+'Assumptions and Catalog'!$F$54,IF(((D809+E809)*C809)&lt;='Assumptions and Catalog'!$C$55,((D809+E809)*C809)*'Assumptions and Catalog'!$H$55+'Assumptions and Catalog'!$E$55+'Assumptions and Catalog'!$F$55,IF(((D809+E809)*C809)&lt;='Assumptions and Catalog'!$C$56,((D809+E809)*C809)*'Assumptions and Catalog'!$H$56+'Assumptions and Catalog'!$E$56+'Assumptions and Catalog'!$F$56,IF(((D809+E809)*C809)&lt;='Assumptions and Catalog'!$C$57,((D809+E809)*C809)*'Assumptions and Catalog'!$H$57+'Assumptions and Catalog'!$E$57+'Assumptions and Catalog'!$F$57,"Out of range")))))))),IF(((D809+E809)*C809)&lt;='Assumptions and Catalog'!$C$60,((D809+E809)*C809)*'Assumptions and Catalog'!$H$60+'Assumptions and Catalog'!$E$60+'Assumptions and Catalog'!$F$60,IF(((D809+E809)*C809)&lt;='Assumptions and Catalog'!$C$61,((D809+E809)*C809)*'Assumptions and Catalog'!$H$61+'Assumptions and Catalog'!$E$61+'Assumptions and Catalog'!$F$61,IF(((D809+E809)*C809)&lt;='Assumptions and Catalog'!$C$62,((D809+E809)*C809)*'Assumptions and Catalog'!$H$62+'Assumptions and Catalog'!$E$62+'Assumptions and Catalog'!$F$62,IF(((D809+E809)*C809)&lt;='Assumptions and Catalog'!$C$63,((D809+E809)*C809)*'Assumptions and Catalog'!$H$63+'Assumptions and Catalog'!$E$63+'Assumptions and Catalog'!$F$63,IF(((D809+E809)*C809)&lt;='Assumptions and Catalog'!$C$64,((D809+E809)*C809)*'Assumptions and Catalog'!$H$64+'Assumptions and Catalog'!$E$64+'Assumptions and Catalog'!$F$64,IF(((D809+E809)*C809)&lt;='Assumptions and Catalog'!$C$65,((D809+E809)*C809)*'Assumptions and Catalog'!$H$65+'Assumptions and Catalog'!$E$65+'Assumptions and Catalog'!$F$65,"Out of range")))))))))*(1+'Assumptions and Catalog'!$C$8)^(A809-1),0)</f>
        <v>8554.9666666666672</v>
      </c>
      <c r="N809" s="5">
        <f>IF(ISNUMBER(Inputs!$L$5),(IF(Inputs!$L$9="Actual flat rate",L809*Inputs!$L$10,IF(Inputs!$C$9="Residential",IF(L809&lt;='Assumptions and Catalog'!$C$50,L809*'Assumptions and Catalog'!$H$50+'Assumptions and Catalog'!$E$50+'Assumptions and Catalog'!$F$50,IF(L809&lt;='Assumptions and Catalog'!$C$51,L809*'Assumptions and Catalog'!$H$51+'Assumptions and Catalog'!$E$51+'Assumptions and Catalog'!$F$51,IF(L809&lt;='Assumptions and Catalog'!$C$52,L809*'Assumptions and Catalog'!$H$52+'Assumptions and Catalog'!$E$52+'Assumptions and Catalog'!$F$52,IF(L809&lt;='Assumptions and Catalog'!$C$53,L809*'Assumptions and Catalog'!$H$53+'Assumptions and Catalog'!$E$53+'Assumptions and Catalog'!$F$53,IF(L809&lt;='Assumptions and Catalog'!$C$54,L809*'Assumptions and Catalog'!$H$54+'Assumptions and Catalog'!$E$54+'Assumptions and Catalog'!$F$54,IF(L809&lt;='Assumptions and Catalog'!$C$55,L809*'Assumptions and Catalog'!$H$55+'Assumptions and Catalog'!$E$55+'Assumptions and Catalog'!$F$55,IF(L809&lt;='Assumptions and Catalog'!$C$56,L809*'Assumptions and Catalog'!$H$56+'Assumptions and Catalog'!$E$56+'Assumptions and Catalog'!$F$56,IF(L809&lt;='Assumptions and Catalog'!$C$57,L809*'Assumptions and Catalog'!$H$57+'Assumptions and Catalog'!$E$57+'Assumptions and Catalog'!$F$57,"Out of range")))))))),IF(L809&lt;='Assumptions and Catalog'!$C$60,L809*'Assumptions and Catalog'!$H$60+'Assumptions and Catalog'!$E$60+'Assumptions and Catalog'!$F$60,IF(L809&lt;='Assumptions and Catalog'!$C$61,L809*'Assumptions and Catalog'!$H$61+'Assumptions and Catalog'!$E$61+'Assumptions and Catalog'!$F$61,IF(L809&lt;='Assumptions and Catalog'!$C$62,L809*'Assumptions and Catalog'!$H$62+'Assumptions and Catalog'!$E$62+'Assumptions and Catalog'!$F$62,IF(L809&lt;='Assumptions and Catalog'!$C$63,L809*'Assumptions and Catalog'!$H$63+'Assumptions and Catalog'!$E$63+'Assumptions and Catalog'!$F$63,IF(L809&lt;='Assumptions and Catalog'!$C$64,L809*'Assumptions and Catalog'!$H$64+'Assumptions and Catalog'!$E$64+'Assumptions and Catalog'!$F$64,IF(L809&lt;='Assumptions and Catalog'!$C$65,L809*'Assumptions and Catalog'!$H$65+'Assumptions and Catalog'!$E$65+'Assumptions and Catalog'!$F$65,"Out of range")))))))))*(1+'Assumptions and Catalog'!$C$8)^(A809-1),0)</f>
        <v>5820.8704861508813</v>
      </c>
      <c r="O809" s="5">
        <f t="shared" si="59"/>
        <v>2734.0961805157858</v>
      </c>
      <c r="P809" s="5">
        <f>E$55*(1-L$14)*(1-'Assumptions and Catalog'!$C$23)^R809</f>
        <v>98.34496</v>
      </c>
      <c r="Q809" s="5">
        <f>IF(ISNUMBER(Inputs!$L$5),(IF(Inputs!$L$9="Actual flat rate",((D809+E809)*C809-G809)*Inputs!$L$10,IF(Inputs!$C$9="Residential",IF(((D809+E809)*C809-G809)&lt;='Assumptions and Catalog'!$C$50,((D809+E809)*C809-G809)*'Assumptions and Catalog'!$H$50+'Assumptions and Catalog'!$E$50+'Assumptions and Catalog'!$F$50,IF(((D809+E809)*C809-G809)&lt;='Assumptions and Catalog'!$C$51,((D809+E809)*C809-G809)*'Assumptions and Catalog'!$H$51+'Assumptions and Catalog'!$E$51+'Assumptions and Catalog'!$F$51,IF(((D809+E809)*C809-G809)&lt;='Assumptions and Catalog'!$C$52,((D809+E809)*C809-G809)*'Assumptions and Catalog'!$H$52+'Assumptions and Catalog'!$E$52+'Assumptions and Catalog'!$F$52,IF(((D809+E809)*C809-G809)&lt;='Assumptions and Catalog'!$C$53,((D809+E809)*C809-G809)*'Assumptions and Catalog'!$H$53+'Assumptions and Catalog'!$E$53+'Assumptions and Catalog'!$F$53,IF(((D809+E809)*C809-G809)&lt;='Assumptions and Catalog'!$C$54,((D809+E809)*C809-G809)*'Assumptions and Catalog'!$H$54+'Assumptions and Catalog'!$E$54+'Assumptions and Catalog'!$F$54,IF(((D809+E809)*C809-G809)&lt;='Assumptions and Catalog'!$C$55,((D809+E809)*C809-G809)*'Assumptions and Catalog'!$H$55+'Assumptions and Catalog'!$E$55+'Assumptions and Catalog'!$F$55,IF(((D809+E809)*C809-G809)&lt;='Assumptions and Catalog'!$C$56,((D809+E809)*C809-G809)*'Assumptions and Catalog'!$H$56+'Assumptions and Catalog'!$E$56+'Assumptions and Catalog'!$F$56,IF(((D809+E809)*C809-G809)&lt;='Assumptions and Catalog'!$C$57,((D809+E809)*C809-G809)*'Assumptions and Catalog'!$H$57+'Assumptions and Catalog'!$E$57+'Assumptions and Catalog'!$F$57,"Out of range")))))))),IF(((D809+E809)*C809-G809)&lt;='Assumptions and Catalog'!$C$60,((D809+E809)*C809-G809)*'Assumptions and Catalog'!$H$60+'Assumptions and Catalog'!$E$60+'Assumptions and Catalog'!$F$60,IF(((D809+E809)*C809-G809)&lt;='Assumptions and Catalog'!$C$61,((D809+E809)*C809-G809)*'Assumptions and Catalog'!$H$61+'Assumptions and Catalog'!$E$61+'Assumptions and Catalog'!$F$61,IF(((D809+E809)*C809-G809)&lt;='Assumptions and Catalog'!$C$62,((D809+E809)*C809-G809)*'Assumptions and Catalog'!$H$62+'Assumptions and Catalog'!$E$62+'Assumptions and Catalog'!$F$62,IF(((D809+E809)*C809-G809)&lt;='Assumptions and Catalog'!$C$63,((D809+E809)*C809-G809)*'Assumptions and Catalog'!$H$63+'Assumptions and Catalog'!$E$63+'Assumptions and Catalog'!$F$63,IF(((D809+E809)*C809-G809)&lt;='Assumptions and Catalog'!$C$64,((D809+E809)*C809-G809)*'Assumptions and Catalog'!$H$64+'Assumptions and Catalog'!$E$64+'Assumptions and Catalog'!$F$64,IF(((D809+E809)*C809-G809)&lt;='Assumptions and Catalog'!$C$65,((D809+E809)*C809-G809)*'Assumptions and Catalog'!$H$65+'Assumptions and Catalog'!$E$65+'Assumptions and Catalog'!$F$65,"Out of range")))))))))*(1+'Assumptions and Catalog'!$C$8)^(A809-1),0)</f>
        <v>5820.8704861508813</v>
      </c>
      <c r="R809" s="5">
        <f>IF(AND('Assumptions and Catalog'!$C$19&gt;0,A809&gt;='Assumptions and Catalog'!$C$19),A809-'Assumptions and Catalog'!$C$19,A809-1)</f>
        <v>2</v>
      </c>
      <c r="S809" s="5">
        <f>F809+L809-(D809+E809)*C809-J809-K809-IF(E$52&gt;0,'Assumptions and Catalog'!$C$26*C809,0)</f>
        <v>0</v>
      </c>
      <c r="T809" s="5"/>
      <c r="U809" s="5"/>
    </row>
    <row r="810" spans="1:21" ht="23.1" customHeight="1" outlineLevel="1" x14ac:dyDescent="0.2">
      <c r="A810" s="5">
        <v>13</v>
      </c>
      <c r="B810" s="5">
        <v>6</v>
      </c>
      <c r="C810" s="5">
        <f>DAY(DATE('Assumptions and Catalog'!$C$24+A810-1,B810+1,0))</f>
        <v>30</v>
      </c>
      <c r="D810" s="5">
        <f>IF(ISNUMBER(Inputs!$L$5),Inputs!$L$5*Inputs!$L$6,0)</f>
        <v>40.35</v>
      </c>
      <c r="E810" s="5">
        <f>IF(ISNUMBER(Inputs!$L$5),Inputs!$L$5-D810,0)</f>
        <v>40.35</v>
      </c>
      <c r="F810" s="5">
        <f>E$51*'Assumptions and Catalog'!$C$31*C810*(1-'Assumptions and Catalog'!$C$10)^(A810-1)</f>
        <v>773.73146044154271</v>
      </c>
      <c r="G810" s="5">
        <f t="shared" si="56"/>
        <v>773.73146044154271</v>
      </c>
      <c r="H810" s="5">
        <f>I810/('Assumptions and Catalog'!$C$11*'Assumptions and Catalog'!$C$12)</f>
        <v>0</v>
      </c>
      <c r="I810" s="5">
        <f>MIN(E810*C810,P810*'Assumptions and Catalog'!$C$12*C810,(F810-G810)*'Assumptions and Catalog'!$C$11*'Assumptions and Catalog'!$C$12,E$56*'Assumptions and Catalog'!$C$14*'Assumptions and Catalog'!$C$11*'Assumptions and Catalog'!$C$12*C810,E$57*(24-'Assumptions and Catalog'!$C$13)*C810)</f>
        <v>0</v>
      </c>
      <c r="J810" s="5">
        <f t="shared" si="57"/>
        <v>0</v>
      </c>
      <c r="K810" s="5">
        <f t="shared" si="58"/>
        <v>0</v>
      </c>
      <c r="L810" s="5">
        <f>(D810+E810)*C810-G810-I810+0+IF(E$52&gt;0,'Assumptions and Catalog'!$C$26*C810,0)</f>
        <v>1647.2685395584572</v>
      </c>
      <c r="M810" s="5">
        <f>IF(ISNUMBER(Inputs!$L$5),(IF(Inputs!$L$9="Actual flat rate",((D810+E810)*C810)*Inputs!$L$10,IF(Inputs!$C$9="Residential",IF(((D810+E810)*C810)&lt;='Assumptions and Catalog'!$C$50,((D810+E810)*C810)*'Assumptions and Catalog'!$H$50+'Assumptions and Catalog'!$E$50+'Assumptions and Catalog'!$F$50,IF(((D810+E810)*C810)&lt;='Assumptions and Catalog'!$C$51,((D810+E810)*C810)*'Assumptions and Catalog'!$H$51+'Assumptions and Catalog'!$E$51+'Assumptions and Catalog'!$F$51,IF(((D810+E810)*C810)&lt;='Assumptions and Catalog'!$C$52,((D810+E810)*C810)*'Assumptions and Catalog'!$H$52+'Assumptions and Catalog'!$E$52+'Assumptions and Catalog'!$F$52,IF(((D810+E810)*C810)&lt;='Assumptions and Catalog'!$C$53,((D810+E810)*C810)*'Assumptions and Catalog'!$H$53+'Assumptions and Catalog'!$E$53+'Assumptions and Catalog'!$F$53,IF(((D810+E810)*C810)&lt;='Assumptions and Catalog'!$C$54,((D810+E810)*C810)*'Assumptions and Catalog'!$H$54+'Assumptions and Catalog'!$E$54+'Assumptions and Catalog'!$F$54,IF(((D810+E810)*C810)&lt;='Assumptions and Catalog'!$C$55,((D810+E810)*C810)*'Assumptions and Catalog'!$H$55+'Assumptions and Catalog'!$E$55+'Assumptions and Catalog'!$F$55,IF(((D810+E810)*C810)&lt;='Assumptions and Catalog'!$C$56,((D810+E810)*C810)*'Assumptions and Catalog'!$H$56+'Assumptions and Catalog'!$E$56+'Assumptions and Catalog'!$F$56,IF(((D810+E810)*C810)&lt;='Assumptions and Catalog'!$C$57,((D810+E810)*C810)*'Assumptions and Catalog'!$H$57+'Assumptions and Catalog'!$E$57+'Assumptions and Catalog'!$F$57,"Out of range")))))))),IF(((D810+E810)*C810)&lt;='Assumptions and Catalog'!$C$60,((D810+E810)*C810)*'Assumptions and Catalog'!$H$60+'Assumptions and Catalog'!$E$60+'Assumptions and Catalog'!$F$60,IF(((D810+E810)*C810)&lt;='Assumptions and Catalog'!$C$61,((D810+E810)*C810)*'Assumptions and Catalog'!$H$61+'Assumptions and Catalog'!$E$61+'Assumptions and Catalog'!$F$61,IF(((D810+E810)*C810)&lt;='Assumptions and Catalog'!$C$62,((D810+E810)*C810)*'Assumptions and Catalog'!$H$62+'Assumptions and Catalog'!$E$62+'Assumptions and Catalog'!$F$62,IF(((D810+E810)*C810)&lt;='Assumptions and Catalog'!$C$63,((D810+E810)*C810)*'Assumptions and Catalog'!$H$63+'Assumptions and Catalog'!$E$63+'Assumptions and Catalog'!$F$63,IF(((D810+E810)*C810)&lt;='Assumptions and Catalog'!$C$64,((D810+E810)*C810)*'Assumptions and Catalog'!$H$64+'Assumptions and Catalog'!$E$64+'Assumptions and Catalog'!$F$64,IF(((D810+E810)*C810)&lt;='Assumptions and Catalog'!$C$65,((D810+E810)*C810)*'Assumptions and Catalog'!$H$65+'Assumptions and Catalog'!$E$65+'Assumptions and Catalog'!$F$65,"Out of range")))))))))*(1+'Assumptions and Catalog'!$C$8)^(A810-1),0)</f>
        <v>8279</v>
      </c>
      <c r="N810" s="5">
        <f>IF(ISNUMBER(Inputs!$L$5),(IF(Inputs!$L$9="Actual flat rate",L810*Inputs!$L$10,IF(Inputs!$C$9="Residential",IF(L810&lt;='Assumptions and Catalog'!$C$50,L810*'Assumptions and Catalog'!$H$50+'Assumptions and Catalog'!$E$50+'Assumptions and Catalog'!$F$50,IF(L810&lt;='Assumptions and Catalog'!$C$51,L810*'Assumptions and Catalog'!$H$51+'Assumptions and Catalog'!$E$51+'Assumptions and Catalog'!$F$51,IF(L810&lt;='Assumptions and Catalog'!$C$52,L810*'Assumptions and Catalog'!$H$52+'Assumptions and Catalog'!$E$52+'Assumptions and Catalog'!$F$52,IF(L810&lt;='Assumptions and Catalog'!$C$53,L810*'Assumptions and Catalog'!$H$53+'Assumptions and Catalog'!$E$53+'Assumptions and Catalog'!$F$53,IF(L810&lt;='Assumptions and Catalog'!$C$54,L810*'Assumptions and Catalog'!$H$54+'Assumptions and Catalog'!$E$54+'Assumptions and Catalog'!$F$54,IF(L810&lt;='Assumptions and Catalog'!$C$55,L810*'Assumptions and Catalog'!$H$55+'Assumptions and Catalog'!$E$55+'Assumptions and Catalog'!$F$55,IF(L810&lt;='Assumptions and Catalog'!$C$56,L810*'Assumptions and Catalog'!$H$56+'Assumptions and Catalog'!$E$56+'Assumptions and Catalog'!$F$56,IF(L810&lt;='Assumptions and Catalog'!$C$57,L810*'Assumptions and Catalog'!$H$57+'Assumptions and Catalog'!$E$57+'Assumptions and Catalog'!$F$57,"Out of range")))))))),IF(L810&lt;='Assumptions and Catalog'!$C$60,L810*'Assumptions and Catalog'!$H$60+'Assumptions and Catalog'!$E$60+'Assumptions and Catalog'!$F$60,IF(L810&lt;='Assumptions and Catalog'!$C$61,L810*'Assumptions and Catalog'!$H$61+'Assumptions and Catalog'!$E$61+'Assumptions and Catalog'!$F$61,IF(L810&lt;='Assumptions and Catalog'!$C$62,L810*'Assumptions and Catalog'!$H$62+'Assumptions and Catalog'!$E$62+'Assumptions and Catalog'!$F$62,IF(L810&lt;='Assumptions and Catalog'!$C$63,L810*'Assumptions and Catalog'!$H$63+'Assumptions and Catalog'!$E$63+'Assumptions and Catalog'!$F$63,IF(L810&lt;='Assumptions and Catalog'!$C$64,L810*'Assumptions and Catalog'!$H$64+'Assumptions and Catalog'!$E$64+'Assumptions and Catalog'!$F$64,IF(L810&lt;='Assumptions and Catalog'!$C$65,L810*'Assumptions and Catalog'!$H$65+'Assumptions and Catalog'!$E$65+'Assumptions and Catalog'!$F$65,"Out of range")))))))))*(1+'Assumptions and Catalog'!$C$8)^(A810-1),0)</f>
        <v>5633.1004704685938</v>
      </c>
      <c r="O810" s="5">
        <f t="shared" si="59"/>
        <v>2645.8995295314062</v>
      </c>
      <c r="P810" s="5">
        <f>E$55*(1-L$14)*(1-'Assumptions and Catalog'!$C$23)^R810</f>
        <v>98.34496</v>
      </c>
      <c r="Q810" s="5">
        <f>IF(ISNUMBER(Inputs!$L$5),(IF(Inputs!$L$9="Actual flat rate",((D810+E810)*C810-G810)*Inputs!$L$10,IF(Inputs!$C$9="Residential",IF(((D810+E810)*C810-G810)&lt;='Assumptions and Catalog'!$C$50,((D810+E810)*C810-G810)*'Assumptions and Catalog'!$H$50+'Assumptions and Catalog'!$E$50+'Assumptions and Catalog'!$F$50,IF(((D810+E810)*C810-G810)&lt;='Assumptions and Catalog'!$C$51,((D810+E810)*C810-G810)*'Assumptions and Catalog'!$H$51+'Assumptions and Catalog'!$E$51+'Assumptions and Catalog'!$F$51,IF(((D810+E810)*C810-G810)&lt;='Assumptions and Catalog'!$C$52,((D810+E810)*C810-G810)*'Assumptions and Catalog'!$H$52+'Assumptions and Catalog'!$E$52+'Assumptions and Catalog'!$F$52,IF(((D810+E810)*C810-G810)&lt;='Assumptions and Catalog'!$C$53,((D810+E810)*C810-G810)*'Assumptions and Catalog'!$H$53+'Assumptions and Catalog'!$E$53+'Assumptions and Catalog'!$F$53,IF(((D810+E810)*C810-G810)&lt;='Assumptions and Catalog'!$C$54,((D810+E810)*C810-G810)*'Assumptions and Catalog'!$H$54+'Assumptions and Catalog'!$E$54+'Assumptions and Catalog'!$F$54,IF(((D810+E810)*C810-G810)&lt;='Assumptions and Catalog'!$C$55,((D810+E810)*C810-G810)*'Assumptions and Catalog'!$H$55+'Assumptions and Catalog'!$E$55+'Assumptions and Catalog'!$F$55,IF(((D810+E810)*C810-G810)&lt;='Assumptions and Catalog'!$C$56,((D810+E810)*C810-G810)*'Assumptions and Catalog'!$H$56+'Assumptions and Catalog'!$E$56+'Assumptions and Catalog'!$F$56,IF(((D810+E810)*C810-G810)&lt;='Assumptions and Catalog'!$C$57,((D810+E810)*C810-G810)*'Assumptions and Catalog'!$H$57+'Assumptions and Catalog'!$E$57+'Assumptions and Catalog'!$F$57,"Out of range")))))))),IF(((D810+E810)*C810-G810)&lt;='Assumptions and Catalog'!$C$60,((D810+E810)*C810-G810)*'Assumptions and Catalog'!$H$60+'Assumptions and Catalog'!$E$60+'Assumptions and Catalog'!$F$60,IF(((D810+E810)*C810-G810)&lt;='Assumptions and Catalog'!$C$61,((D810+E810)*C810-G810)*'Assumptions and Catalog'!$H$61+'Assumptions and Catalog'!$E$61+'Assumptions and Catalog'!$F$61,IF(((D810+E810)*C810-G810)&lt;='Assumptions and Catalog'!$C$62,((D810+E810)*C810-G810)*'Assumptions and Catalog'!$H$62+'Assumptions and Catalog'!$E$62+'Assumptions and Catalog'!$F$62,IF(((D810+E810)*C810-G810)&lt;='Assumptions and Catalog'!$C$63,((D810+E810)*C810-G810)*'Assumptions and Catalog'!$H$63+'Assumptions and Catalog'!$E$63+'Assumptions and Catalog'!$F$63,IF(((D810+E810)*C810-G810)&lt;='Assumptions and Catalog'!$C$64,((D810+E810)*C810-G810)*'Assumptions and Catalog'!$H$64+'Assumptions and Catalog'!$E$64+'Assumptions and Catalog'!$F$64,IF(((D810+E810)*C810-G810)&lt;='Assumptions and Catalog'!$C$65,((D810+E810)*C810-G810)*'Assumptions and Catalog'!$H$65+'Assumptions and Catalog'!$E$65+'Assumptions and Catalog'!$F$65,"Out of range")))))))))*(1+'Assumptions and Catalog'!$C$8)^(A810-1),0)</f>
        <v>5633.1004704685938</v>
      </c>
      <c r="R810" s="5">
        <f>IF(AND('Assumptions and Catalog'!$C$19&gt;0,A810&gt;='Assumptions and Catalog'!$C$19),A810-'Assumptions and Catalog'!$C$19,A810-1)</f>
        <v>2</v>
      </c>
      <c r="S810" s="5">
        <f>F810+L810-(D810+E810)*C810-J810-K810-IF(E$52&gt;0,'Assumptions and Catalog'!$C$26*C810,0)</f>
        <v>0</v>
      </c>
      <c r="T810" s="5"/>
      <c r="U810" s="5"/>
    </row>
    <row r="811" spans="1:21" ht="23.1" customHeight="1" outlineLevel="1" x14ac:dyDescent="0.2">
      <c r="A811" s="5">
        <v>13</v>
      </c>
      <c r="B811" s="5">
        <v>7</v>
      </c>
      <c r="C811" s="5">
        <f>DAY(DATE('Assumptions and Catalog'!$C$24+A811-1,B811+1,0))</f>
        <v>31</v>
      </c>
      <c r="D811" s="5">
        <f>IF(ISNUMBER(Inputs!$L$5),Inputs!$L$5*Inputs!$L$6,0)</f>
        <v>40.35</v>
      </c>
      <c r="E811" s="5">
        <f>IF(ISNUMBER(Inputs!$L$5),Inputs!$L$5-D811,0)</f>
        <v>40.35</v>
      </c>
      <c r="F811" s="5">
        <f>E$51*'Assumptions and Catalog'!$C$31*C811*(1-'Assumptions and Catalog'!$C$10)^(A811-1)</f>
        <v>799.52250912292754</v>
      </c>
      <c r="G811" s="5">
        <f t="shared" si="56"/>
        <v>799.52250912292754</v>
      </c>
      <c r="H811" s="5">
        <f>I811/('Assumptions and Catalog'!$C$11*'Assumptions and Catalog'!$C$12)</f>
        <v>0</v>
      </c>
      <c r="I811" s="5">
        <f>MIN(E811*C811,P811*'Assumptions and Catalog'!$C$12*C811,(F811-G811)*'Assumptions and Catalog'!$C$11*'Assumptions and Catalog'!$C$12,E$56*'Assumptions and Catalog'!$C$14*'Assumptions and Catalog'!$C$11*'Assumptions and Catalog'!$C$12*C811,E$57*(24-'Assumptions and Catalog'!$C$13)*C811)</f>
        <v>0</v>
      </c>
      <c r="J811" s="5">
        <f t="shared" si="57"/>
        <v>0</v>
      </c>
      <c r="K811" s="5">
        <f t="shared" si="58"/>
        <v>0</v>
      </c>
      <c r="L811" s="5">
        <f>(D811+E811)*C811-G811-I811+0+IF(E$52&gt;0,'Assumptions and Catalog'!$C$26*C811,0)</f>
        <v>1702.1774908770726</v>
      </c>
      <c r="M811" s="5">
        <f>IF(ISNUMBER(Inputs!$L$5),(IF(Inputs!$L$9="Actual flat rate",((D811+E811)*C811)*Inputs!$L$10,IF(Inputs!$C$9="Residential",IF(((D811+E811)*C811)&lt;='Assumptions and Catalog'!$C$50,((D811+E811)*C811)*'Assumptions and Catalog'!$H$50+'Assumptions and Catalog'!$E$50+'Assumptions and Catalog'!$F$50,IF(((D811+E811)*C811)&lt;='Assumptions and Catalog'!$C$51,((D811+E811)*C811)*'Assumptions and Catalog'!$H$51+'Assumptions and Catalog'!$E$51+'Assumptions and Catalog'!$F$51,IF(((D811+E811)*C811)&lt;='Assumptions and Catalog'!$C$52,((D811+E811)*C811)*'Assumptions and Catalog'!$H$52+'Assumptions and Catalog'!$E$52+'Assumptions and Catalog'!$F$52,IF(((D811+E811)*C811)&lt;='Assumptions and Catalog'!$C$53,((D811+E811)*C811)*'Assumptions and Catalog'!$H$53+'Assumptions and Catalog'!$E$53+'Assumptions and Catalog'!$F$53,IF(((D811+E811)*C811)&lt;='Assumptions and Catalog'!$C$54,((D811+E811)*C811)*'Assumptions and Catalog'!$H$54+'Assumptions and Catalog'!$E$54+'Assumptions and Catalog'!$F$54,IF(((D811+E811)*C811)&lt;='Assumptions and Catalog'!$C$55,((D811+E811)*C811)*'Assumptions and Catalog'!$H$55+'Assumptions and Catalog'!$E$55+'Assumptions and Catalog'!$F$55,IF(((D811+E811)*C811)&lt;='Assumptions and Catalog'!$C$56,((D811+E811)*C811)*'Assumptions and Catalog'!$H$56+'Assumptions and Catalog'!$E$56+'Assumptions and Catalog'!$F$56,IF(((D811+E811)*C811)&lt;='Assumptions and Catalog'!$C$57,((D811+E811)*C811)*'Assumptions and Catalog'!$H$57+'Assumptions and Catalog'!$E$57+'Assumptions and Catalog'!$F$57,"Out of range")))))))),IF(((D811+E811)*C811)&lt;='Assumptions and Catalog'!$C$60,((D811+E811)*C811)*'Assumptions and Catalog'!$H$60+'Assumptions and Catalog'!$E$60+'Assumptions and Catalog'!$F$60,IF(((D811+E811)*C811)&lt;='Assumptions and Catalog'!$C$61,((D811+E811)*C811)*'Assumptions and Catalog'!$H$61+'Assumptions and Catalog'!$E$61+'Assumptions and Catalog'!$F$61,IF(((D811+E811)*C811)&lt;='Assumptions and Catalog'!$C$62,((D811+E811)*C811)*'Assumptions and Catalog'!$H$62+'Assumptions and Catalog'!$E$62+'Assumptions and Catalog'!$F$62,IF(((D811+E811)*C811)&lt;='Assumptions and Catalog'!$C$63,((D811+E811)*C811)*'Assumptions and Catalog'!$H$63+'Assumptions and Catalog'!$E$63+'Assumptions and Catalog'!$F$63,IF(((D811+E811)*C811)&lt;='Assumptions and Catalog'!$C$64,((D811+E811)*C811)*'Assumptions and Catalog'!$H$64+'Assumptions and Catalog'!$E$64+'Assumptions and Catalog'!$F$64,IF(((D811+E811)*C811)&lt;='Assumptions and Catalog'!$C$65,((D811+E811)*C811)*'Assumptions and Catalog'!$H$65+'Assumptions and Catalog'!$E$65+'Assumptions and Catalog'!$F$65,"Out of range")))))))))*(1+'Assumptions and Catalog'!$C$8)^(A811-1),0)</f>
        <v>8554.9666666666672</v>
      </c>
      <c r="N811" s="5">
        <f>IF(ISNUMBER(Inputs!$L$5),(IF(Inputs!$L$9="Actual flat rate",L811*Inputs!$L$10,IF(Inputs!$C$9="Residential",IF(L811&lt;='Assumptions and Catalog'!$C$50,L811*'Assumptions and Catalog'!$H$50+'Assumptions and Catalog'!$E$50+'Assumptions and Catalog'!$F$50,IF(L811&lt;='Assumptions and Catalog'!$C$51,L811*'Assumptions and Catalog'!$H$51+'Assumptions and Catalog'!$E$51+'Assumptions and Catalog'!$F$51,IF(L811&lt;='Assumptions and Catalog'!$C$52,L811*'Assumptions and Catalog'!$H$52+'Assumptions and Catalog'!$E$52+'Assumptions and Catalog'!$F$52,IF(L811&lt;='Assumptions and Catalog'!$C$53,L811*'Assumptions and Catalog'!$H$53+'Assumptions and Catalog'!$E$53+'Assumptions and Catalog'!$F$53,IF(L811&lt;='Assumptions and Catalog'!$C$54,L811*'Assumptions and Catalog'!$H$54+'Assumptions and Catalog'!$E$54+'Assumptions and Catalog'!$F$54,IF(L811&lt;='Assumptions and Catalog'!$C$55,L811*'Assumptions and Catalog'!$H$55+'Assumptions and Catalog'!$E$55+'Assumptions and Catalog'!$F$55,IF(L811&lt;='Assumptions and Catalog'!$C$56,L811*'Assumptions and Catalog'!$H$56+'Assumptions and Catalog'!$E$56+'Assumptions and Catalog'!$F$56,IF(L811&lt;='Assumptions and Catalog'!$C$57,L811*'Assumptions and Catalog'!$H$57+'Assumptions and Catalog'!$E$57+'Assumptions and Catalog'!$F$57,"Out of range")))))))),IF(L811&lt;='Assumptions and Catalog'!$C$60,L811*'Assumptions and Catalog'!$H$60+'Assumptions and Catalog'!$E$60+'Assumptions and Catalog'!$F$60,IF(L811&lt;='Assumptions and Catalog'!$C$61,L811*'Assumptions and Catalog'!$H$61+'Assumptions and Catalog'!$E$61+'Assumptions and Catalog'!$F$61,IF(L811&lt;='Assumptions and Catalog'!$C$62,L811*'Assumptions and Catalog'!$H$62+'Assumptions and Catalog'!$E$62+'Assumptions and Catalog'!$F$62,IF(L811&lt;='Assumptions and Catalog'!$C$63,L811*'Assumptions and Catalog'!$H$63+'Assumptions and Catalog'!$E$63+'Assumptions and Catalog'!$F$63,IF(L811&lt;='Assumptions and Catalog'!$C$64,L811*'Assumptions and Catalog'!$H$64+'Assumptions and Catalog'!$E$64+'Assumptions and Catalog'!$F$64,IF(L811&lt;='Assumptions and Catalog'!$C$65,L811*'Assumptions and Catalog'!$H$65+'Assumptions and Catalog'!$E$65+'Assumptions and Catalog'!$F$65,"Out of range")))))))))*(1+'Assumptions and Catalog'!$C$8)^(A811-1),0)</f>
        <v>5820.8704861508813</v>
      </c>
      <c r="O811" s="5">
        <f t="shared" si="59"/>
        <v>2734.0961805157858</v>
      </c>
      <c r="P811" s="5">
        <f>E$55*(1-L$14)*(1-'Assumptions and Catalog'!$C$23)^R811</f>
        <v>98.34496</v>
      </c>
      <c r="Q811" s="5">
        <f>IF(ISNUMBER(Inputs!$L$5),(IF(Inputs!$L$9="Actual flat rate",((D811+E811)*C811-G811)*Inputs!$L$10,IF(Inputs!$C$9="Residential",IF(((D811+E811)*C811-G811)&lt;='Assumptions and Catalog'!$C$50,((D811+E811)*C811-G811)*'Assumptions and Catalog'!$H$50+'Assumptions and Catalog'!$E$50+'Assumptions and Catalog'!$F$50,IF(((D811+E811)*C811-G811)&lt;='Assumptions and Catalog'!$C$51,((D811+E811)*C811-G811)*'Assumptions and Catalog'!$H$51+'Assumptions and Catalog'!$E$51+'Assumptions and Catalog'!$F$51,IF(((D811+E811)*C811-G811)&lt;='Assumptions and Catalog'!$C$52,((D811+E811)*C811-G811)*'Assumptions and Catalog'!$H$52+'Assumptions and Catalog'!$E$52+'Assumptions and Catalog'!$F$52,IF(((D811+E811)*C811-G811)&lt;='Assumptions and Catalog'!$C$53,((D811+E811)*C811-G811)*'Assumptions and Catalog'!$H$53+'Assumptions and Catalog'!$E$53+'Assumptions and Catalog'!$F$53,IF(((D811+E811)*C811-G811)&lt;='Assumptions and Catalog'!$C$54,((D811+E811)*C811-G811)*'Assumptions and Catalog'!$H$54+'Assumptions and Catalog'!$E$54+'Assumptions and Catalog'!$F$54,IF(((D811+E811)*C811-G811)&lt;='Assumptions and Catalog'!$C$55,((D811+E811)*C811-G811)*'Assumptions and Catalog'!$H$55+'Assumptions and Catalog'!$E$55+'Assumptions and Catalog'!$F$55,IF(((D811+E811)*C811-G811)&lt;='Assumptions and Catalog'!$C$56,((D811+E811)*C811-G811)*'Assumptions and Catalog'!$H$56+'Assumptions and Catalog'!$E$56+'Assumptions and Catalog'!$F$56,IF(((D811+E811)*C811-G811)&lt;='Assumptions and Catalog'!$C$57,((D811+E811)*C811-G811)*'Assumptions and Catalog'!$H$57+'Assumptions and Catalog'!$E$57+'Assumptions and Catalog'!$F$57,"Out of range")))))))),IF(((D811+E811)*C811-G811)&lt;='Assumptions and Catalog'!$C$60,((D811+E811)*C811-G811)*'Assumptions and Catalog'!$H$60+'Assumptions and Catalog'!$E$60+'Assumptions and Catalog'!$F$60,IF(((D811+E811)*C811-G811)&lt;='Assumptions and Catalog'!$C$61,((D811+E811)*C811-G811)*'Assumptions and Catalog'!$H$61+'Assumptions and Catalog'!$E$61+'Assumptions and Catalog'!$F$61,IF(((D811+E811)*C811-G811)&lt;='Assumptions and Catalog'!$C$62,((D811+E811)*C811-G811)*'Assumptions and Catalog'!$H$62+'Assumptions and Catalog'!$E$62+'Assumptions and Catalog'!$F$62,IF(((D811+E811)*C811-G811)&lt;='Assumptions and Catalog'!$C$63,((D811+E811)*C811-G811)*'Assumptions and Catalog'!$H$63+'Assumptions and Catalog'!$E$63+'Assumptions and Catalog'!$F$63,IF(((D811+E811)*C811-G811)&lt;='Assumptions and Catalog'!$C$64,((D811+E811)*C811-G811)*'Assumptions and Catalog'!$H$64+'Assumptions and Catalog'!$E$64+'Assumptions and Catalog'!$F$64,IF(((D811+E811)*C811-G811)&lt;='Assumptions and Catalog'!$C$65,((D811+E811)*C811-G811)*'Assumptions and Catalog'!$H$65+'Assumptions and Catalog'!$E$65+'Assumptions and Catalog'!$F$65,"Out of range")))))))))*(1+'Assumptions and Catalog'!$C$8)^(A811-1),0)</f>
        <v>5820.8704861508813</v>
      </c>
      <c r="R811" s="5">
        <f>IF(AND('Assumptions and Catalog'!$C$19&gt;0,A811&gt;='Assumptions and Catalog'!$C$19),A811-'Assumptions and Catalog'!$C$19,A811-1)</f>
        <v>2</v>
      </c>
      <c r="S811" s="5">
        <f>F811+L811-(D811+E811)*C811-J811-K811-IF(E$52&gt;0,'Assumptions and Catalog'!$C$26*C811,0)</f>
        <v>0</v>
      </c>
      <c r="T811" s="5"/>
      <c r="U811" s="5"/>
    </row>
    <row r="812" spans="1:21" ht="23.1" customHeight="1" outlineLevel="1" x14ac:dyDescent="0.2">
      <c r="A812" s="5">
        <v>13</v>
      </c>
      <c r="B812" s="5">
        <v>8</v>
      </c>
      <c r="C812" s="5">
        <f>DAY(DATE('Assumptions and Catalog'!$C$24+A812-1,B812+1,0))</f>
        <v>31</v>
      </c>
      <c r="D812" s="5">
        <f>IF(ISNUMBER(Inputs!$L$5),Inputs!$L$5*Inputs!$L$6,0)</f>
        <v>40.35</v>
      </c>
      <c r="E812" s="5">
        <f>IF(ISNUMBER(Inputs!$L$5),Inputs!$L$5-D812,0)</f>
        <v>40.35</v>
      </c>
      <c r="F812" s="5">
        <f>E$51*'Assumptions and Catalog'!$C$31*C812*(1-'Assumptions and Catalog'!$C$10)^(A812-1)</f>
        <v>799.52250912292754</v>
      </c>
      <c r="G812" s="5">
        <f t="shared" si="56"/>
        <v>799.52250912292754</v>
      </c>
      <c r="H812" s="5">
        <f>I812/('Assumptions and Catalog'!$C$11*'Assumptions and Catalog'!$C$12)</f>
        <v>0</v>
      </c>
      <c r="I812" s="5">
        <f>MIN(E812*C812,P812*'Assumptions and Catalog'!$C$12*C812,(F812-G812)*'Assumptions and Catalog'!$C$11*'Assumptions and Catalog'!$C$12,E$56*'Assumptions and Catalog'!$C$14*'Assumptions and Catalog'!$C$11*'Assumptions and Catalog'!$C$12*C812,E$57*(24-'Assumptions and Catalog'!$C$13)*C812)</f>
        <v>0</v>
      </c>
      <c r="J812" s="5">
        <f t="shared" si="57"/>
        <v>0</v>
      </c>
      <c r="K812" s="5">
        <f t="shared" si="58"/>
        <v>0</v>
      </c>
      <c r="L812" s="5">
        <f>(D812+E812)*C812-G812-I812+0+IF(E$52&gt;0,'Assumptions and Catalog'!$C$26*C812,0)</f>
        <v>1702.1774908770726</v>
      </c>
      <c r="M812" s="5">
        <f>IF(ISNUMBER(Inputs!$L$5),(IF(Inputs!$L$9="Actual flat rate",((D812+E812)*C812)*Inputs!$L$10,IF(Inputs!$C$9="Residential",IF(((D812+E812)*C812)&lt;='Assumptions and Catalog'!$C$50,((D812+E812)*C812)*'Assumptions and Catalog'!$H$50+'Assumptions and Catalog'!$E$50+'Assumptions and Catalog'!$F$50,IF(((D812+E812)*C812)&lt;='Assumptions and Catalog'!$C$51,((D812+E812)*C812)*'Assumptions and Catalog'!$H$51+'Assumptions and Catalog'!$E$51+'Assumptions and Catalog'!$F$51,IF(((D812+E812)*C812)&lt;='Assumptions and Catalog'!$C$52,((D812+E812)*C812)*'Assumptions and Catalog'!$H$52+'Assumptions and Catalog'!$E$52+'Assumptions and Catalog'!$F$52,IF(((D812+E812)*C812)&lt;='Assumptions and Catalog'!$C$53,((D812+E812)*C812)*'Assumptions and Catalog'!$H$53+'Assumptions and Catalog'!$E$53+'Assumptions and Catalog'!$F$53,IF(((D812+E812)*C812)&lt;='Assumptions and Catalog'!$C$54,((D812+E812)*C812)*'Assumptions and Catalog'!$H$54+'Assumptions and Catalog'!$E$54+'Assumptions and Catalog'!$F$54,IF(((D812+E812)*C812)&lt;='Assumptions and Catalog'!$C$55,((D812+E812)*C812)*'Assumptions and Catalog'!$H$55+'Assumptions and Catalog'!$E$55+'Assumptions and Catalog'!$F$55,IF(((D812+E812)*C812)&lt;='Assumptions and Catalog'!$C$56,((D812+E812)*C812)*'Assumptions and Catalog'!$H$56+'Assumptions and Catalog'!$E$56+'Assumptions and Catalog'!$F$56,IF(((D812+E812)*C812)&lt;='Assumptions and Catalog'!$C$57,((D812+E812)*C812)*'Assumptions and Catalog'!$H$57+'Assumptions and Catalog'!$E$57+'Assumptions and Catalog'!$F$57,"Out of range")))))))),IF(((D812+E812)*C812)&lt;='Assumptions and Catalog'!$C$60,((D812+E812)*C812)*'Assumptions and Catalog'!$H$60+'Assumptions and Catalog'!$E$60+'Assumptions and Catalog'!$F$60,IF(((D812+E812)*C812)&lt;='Assumptions and Catalog'!$C$61,((D812+E812)*C812)*'Assumptions and Catalog'!$H$61+'Assumptions and Catalog'!$E$61+'Assumptions and Catalog'!$F$61,IF(((D812+E812)*C812)&lt;='Assumptions and Catalog'!$C$62,((D812+E812)*C812)*'Assumptions and Catalog'!$H$62+'Assumptions and Catalog'!$E$62+'Assumptions and Catalog'!$F$62,IF(((D812+E812)*C812)&lt;='Assumptions and Catalog'!$C$63,((D812+E812)*C812)*'Assumptions and Catalog'!$H$63+'Assumptions and Catalog'!$E$63+'Assumptions and Catalog'!$F$63,IF(((D812+E812)*C812)&lt;='Assumptions and Catalog'!$C$64,((D812+E812)*C812)*'Assumptions and Catalog'!$H$64+'Assumptions and Catalog'!$E$64+'Assumptions and Catalog'!$F$64,IF(((D812+E812)*C812)&lt;='Assumptions and Catalog'!$C$65,((D812+E812)*C812)*'Assumptions and Catalog'!$H$65+'Assumptions and Catalog'!$E$65+'Assumptions and Catalog'!$F$65,"Out of range")))))))))*(1+'Assumptions and Catalog'!$C$8)^(A812-1),0)</f>
        <v>8554.9666666666672</v>
      </c>
      <c r="N812" s="5">
        <f>IF(ISNUMBER(Inputs!$L$5),(IF(Inputs!$L$9="Actual flat rate",L812*Inputs!$L$10,IF(Inputs!$C$9="Residential",IF(L812&lt;='Assumptions and Catalog'!$C$50,L812*'Assumptions and Catalog'!$H$50+'Assumptions and Catalog'!$E$50+'Assumptions and Catalog'!$F$50,IF(L812&lt;='Assumptions and Catalog'!$C$51,L812*'Assumptions and Catalog'!$H$51+'Assumptions and Catalog'!$E$51+'Assumptions and Catalog'!$F$51,IF(L812&lt;='Assumptions and Catalog'!$C$52,L812*'Assumptions and Catalog'!$H$52+'Assumptions and Catalog'!$E$52+'Assumptions and Catalog'!$F$52,IF(L812&lt;='Assumptions and Catalog'!$C$53,L812*'Assumptions and Catalog'!$H$53+'Assumptions and Catalog'!$E$53+'Assumptions and Catalog'!$F$53,IF(L812&lt;='Assumptions and Catalog'!$C$54,L812*'Assumptions and Catalog'!$H$54+'Assumptions and Catalog'!$E$54+'Assumptions and Catalog'!$F$54,IF(L812&lt;='Assumptions and Catalog'!$C$55,L812*'Assumptions and Catalog'!$H$55+'Assumptions and Catalog'!$E$55+'Assumptions and Catalog'!$F$55,IF(L812&lt;='Assumptions and Catalog'!$C$56,L812*'Assumptions and Catalog'!$H$56+'Assumptions and Catalog'!$E$56+'Assumptions and Catalog'!$F$56,IF(L812&lt;='Assumptions and Catalog'!$C$57,L812*'Assumptions and Catalog'!$H$57+'Assumptions and Catalog'!$E$57+'Assumptions and Catalog'!$F$57,"Out of range")))))))),IF(L812&lt;='Assumptions and Catalog'!$C$60,L812*'Assumptions and Catalog'!$H$60+'Assumptions and Catalog'!$E$60+'Assumptions and Catalog'!$F$60,IF(L812&lt;='Assumptions and Catalog'!$C$61,L812*'Assumptions and Catalog'!$H$61+'Assumptions and Catalog'!$E$61+'Assumptions and Catalog'!$F$61,IF(L812&lt;='Assumptions and Catalog'!$C$62,L812*'Assumptions and Catalog'!$H$62+'Assumptions and Catalog'!$E$62+'Assumptions and Catalog'!$F$62,IF(L812&lt;='Assumptions and Catalog'!$C$63,L812*'Assumptions and Catalog'!$H$63+'Assumptions and Catalog'!$E$63+'Assumptions and Catalog'!$F$63,IF(L812&lt;='Assumptions and Catalog'!$C$64,L812*'Assumptions and Catalog'!$H$64+'Assumptions and Catalog'!$E$64+'Assumptions and Catalog'!$F$64,IF(L812&lt;='Assumptions and Catalog'!$C$65,L812*'Assumptions and Catalog'!$H$65+'Assumptions and Catalog'!$E$65+'Assumptions and Catalog'!$F$65,"Out of range")))))))))*(1+'Assumptions and Catalog'!$C$8)^(A812-1),0)</f>
        <v>5820.8704861508813</v>
      </c>
      <c r="O812" s="5">
        <f t="shared" si="59"/>
        <v>2734.0961805157858</v>
      </c>
      <c r="P812" s="5">
        <f>E$55*(1-L$14)*(1-'Assumptions and Catalog'!$C$23)^R812</f>
        <v>98.34496</v>
      </c>
      <c r="Q812" s="5">
        <f>IF(ISNUMBER(Inputs!$L$5),(IF(Inputs!$L$9="Actual flat rate",((D812+E812)*C812-G812)*Inputs!$L$10,IF(Inputs!$C$9="Residential",IF(((D812+E812)*C812-G812)&lt;='Assumptions and Catalog'!$C$50,((D812+E812)*C812-G812)*'Assumptions and Catalog'!$H$50+'Assumptions and Catalog'!$E$50+'Assumptions and Catalog'!$F$50,IF(((D812+E812)*C812-G812)&lt;='Assumptions and Catalog'!$C$51,((D812+E812)*C812-G812)*'Assumptions and Catalog'!$H$51+'Assumptions and Catalog'!$E$51+'Assumptions and Catalog'!$F$51,IF(((D812+E812)*C812-G812)&lt;='Assumptions and Catalog'!$C$52,((D812+E812)*C812-G812)*'Assumptions and Catalog'!$H$52+'Assumptions and Catalog'!$E$52+'Assumptions and Catalog'!$F$52,IF(((D812+E812)*C812-G812)&lt;='Assumptions and Catalog'!$C$53,((D812+E812)*C812-G812)*'Assumptions and Catalog'!$H$53+'Assumptions and Catalog'!$E$53+'Assumptions and Catalog'!$F$53,IF(((D812+E812)*C812-G812)&lt;='Assumptions and Catalog'!$C$54,((D812+E812)*C812-G812)*'Assumptions and Catalog'!$H$54+'Assumptions and Catalog'!$E$54+'Assumptions and Catalog'!$F$54,IF(((D812+E812)*C812-G812)&lt;='Assumptions and Catalog'!$C$55,((D812+E812)*C812-G812)*'Assumptions and Catalog'!$H$55+'Assumptions and Catalog'!$E$55+'Assumptions and Catalog'!$F$55,IF(((D812+E812)*C812-G812)&lt;='Assumptions and Catalog'!$C$56,((D812+E812)*C812-G812)*'Assumptions and Catalog'!$H$56+'Assumptions and Catalog'!$E$56+'Assumptions and Catalog'!$F$56,IF(((D812+E812)*C812-G812)&lt;='Assumptions and Catalog'!$C$57,((D812+E812)*C812-G812)*'Assumptions and Catalog'!$H$57+'Assumptions and Catalog'!$E$57+'Assumptions and Catalog'!$F$57,"Out of range")))))))),IF(((D812+E812)*C812-G812)&lt;='Assumptions and Catalog'!$C$60,((D812+E812)*C812-G812)*'Assumptions and Catalog'!$H$60+'Assumptions and Catalog'!$E$60+'Assumptions and Catalog'!$F$60,IF(((D812+E812)*C812-G812)&lt;='Assumptions and Catalog'!$C$61,((D812+E812)*C812-G812)*'Assumptions and Catalog'!$H$61+'Assumptions and Catalog'!$E$61+'Assumptions and Catalog'!$F$61,IF(((D812+E812)*C812-G812)&lt;='Assumptions and Catalog'!$C$62,((D812+E812)*C812-G812)*'Assumptions and Catalog'!$H$62+'Assumptions and Catalog'!$E$62+'Assumptions and Catalog'!$F$62,IF(((D812+E812)*C812-G812)&lt;='Assumptions and Catalog'!$C$63,((D812+E812)*C812-G812)*'Assumptions and Catalog'!$H$63+'Assumptions and Catalog'!$E$63+'Assumptions and Catalog'!$F$63,IF(((D812+E812)*C812-G812)&lt;='Assumptions and Catalog'!$C$64,((D812+E812)*C812-G812)*'Assumptions and Catalog'!$H$64+'Assumptions and Catalog'!$E$64+'Assumptions and Catalog'!$F$64,IF(((D812+E812)*C812-G812)&lt;='Assumptions and Catalog'!$C$65,((D812+E812)*C812-G812)*'Assumptions and Catalog'!$H$65+'Assumptions and Catalog'!$E$65+'Assumptions and Catalog'!$F$65,"Out of range")))))))))*(1+'Assumptions and Catalog'!$C$8)^(A812-1),0)</f>
        <v>5820.8704861508813</v>
      </c>
      <c r="R812" s="5">
        <f>IF(AND('Assumptions and Catalog'!$C$19&gt;0,A812&gt;='Assumptions and Catalog'!$C$19),A812-'Assumptions and Catalog'!$C$19,A812-1)</f>
        <v>2</v>
      </c>
      <c r="S812" s="5">
        <f>F812+L812-(D812+E812)*C812-J812-K812-IF(E$52&gt;0,'Assumptions and Catalog'!$C$26*C812,0)</f>
        <v>0</v>
      </c>
      <c r="T812" s="5"/>
      <c r="U812" s="5"/>
    </row>
    <row r="813" spans="1:21" ht="23.1" customHeight="1" outlineLevel="1" x14ac:dyDescent="0.2">
      <c r="A813" s="5">
        <v>13</v>
      </c>
      <c r="B813" s="5">
        <v>9</v>
      </c>
      <c r="C813" s="5">
        <f>DAY(DATE('Assumptions and Catalog'!$C$24+A813-1,B813+1,0))</f>
        <v>30</v>
      </c>
      <c r="D813" s="5">
        <f>IF(ISNUMBER(Inputs!$L$5),Inputs!$L$5*Inputs!$L$6,0)</f>
        <v>40.35</v>
      </c>
      <c r="E813" s="5">
        <f>IF(ISNUMBER(Inputs!$L$5),Inputs!$L$5-D813,0)</f>
        <v>40.35</v>
      </c>
      <c r="F813" s="5">
        <f>E$51*'Assumptions and Catalog'!$C$31*C813*(1-'Assumptions and Catalog'!$C$10)^(A813-1)</f>
        <v>773.73146044154271</v>
      </c>
      <c r="G813" s="5">
        <f t="shared" si="56"/>
        <v>773.73146044154271</v>
      </c>
      <c r="H813" s="5">
        <f>I813/('Assumptions and Catalog'!$C$11*'Assumptions and Catalog'!$C$12)</f>
        <v>0</v>
      </c>
      <c r="I813" s="5">
        <f>MIN(E813*C813,P813*'Assumptions and Catalog'!$C$12*C813,(F813-G813)*'Assumptions and Catalog'!$C$11*'Assumptions and Catalog'!$C$12,E$56*'Assumptions and Catalog'!$C$14*'Assumptions and Catalog'!$C$11*'Assumptions and Catalog'!$C$12*C813,E$57*(24-'Assumptions and Catalog'!$C$13)*C813)</f>
        <v>0</v>
      </c>
      <c r="J813" s="5">
        <f t="shared" si="57"/>
        <v>0</v>
      </c>
      <c r="K813" s="5">
        <f t="shared" si="58"/>
        <v>0</v>
      </c>
      <c r="L813" s="5">
        <f>(D813+E813)*C813-G813-I813+0+IF(E$52&gt;0,'Assumptions and Catalog'!$C$26*C813,0)</f>
        <v>1647.2685395584572</v>
      </c>
      <c r="M813" s="5">
        <f>IF(ISNUMBER(Inputs!$L$5),(IF(Inputs!$L$9="Actual flat rate",((D813+E813)*C813)*Inputs!$L$10,IF(Inputs!$C$9="Residential",IF(((D813+E813)*C813)&lt;='Assumptions and Catalog'!$C$50,((D813+E813)*C813)*'Assumptions and Catalog'!$H$50+'Assumptions and Catalog'!$E$50+'Assumptions and Catalog'!$F$50,IF(((D813+E813)*C813)&lt;='Assumptions and Catalog'!$C$51,((D813+E813)*C813)*'Assumptions and Catalog'!$H$51+'Assumptions and Catalog'!$E$51+'Assumptions and Catalog'!$F$51,IF(((D813+E813)*C813)&lt;='Assumptions and Catalog'!$C$52,((D813+E813)*C813)*'Assumptions and Catalog'!$H$52+'Assumptions and Catalog'!$E$52+'Assumptions and Catalog'!$F$52,IF(((D813+E813)*C813)&lt;='Assumptions and Catalog'!$C$53,((D813+E813)*C813)*'Assumptions and Catalog'!$H$53+'Assumptions and Catalog'!$E$53+'Assumptions and Catalog'!$F$53,IF(((D813+E813)*C813)&lt;='Assumptions and Catalog'!$C$54,((D813+E813)*C813)*'Assumptions and Catalog'!$H$54+'Assumptions and Catalog'!$E$54+'Assumptions and Catalog'!$F$54,IF(((D813+E813)*C813)&lt;='Assumptions and Catalog'!$C$55,((D813+E813)*C813)*'Assumptions and Catalog'!$H$55+'Assumptions and Catalog'!$E$55+'Assumptions and Catalog'!$F$55,IF(((D813+E813)*C813)&lt;='Assumptions and Catalog'!$C$56,((D813+E813)*C813)*'Assumptions and Catalog'!$H$56+'Assumptions and Catalog'!$E$56+'Assumptions and Catalog'!$F$56,IF(((D813+E813)*C813)&lt;='Assumptions and Catalog'!$C$57,((D813+E813)*C813)*'Assumptions and Catalog'!$H$57+'Assumptions and Catalog'!$E$57+'Assumptions and Catalog'!$F$57,"Out of range")))))))),IF(((D813+E813)*C813)&lt;='Assumptions and Catalog'!$C$60,((D813+E813)*C813)*'Assumptions and Catalog'!$H$60+'Assumptions and Catalog'!$E$60+'Assumptions and Catalog'!$F$60,IF(((D813+E813)*C813)&lt;='Assumptions and Catalog'!$C$61,((D813+E813)*C813)*'Assumptions and Catalog'!$H$61+'Assumptions and Catalog'!$E$61+'Assumptions and Catalog'!$F$61,IF(((D813+E813)*C813)&lt;='Assumptions and Catalog'!$C$62,((D813+E813)*C813)*'Assumptions and Catalog'!$H$62+'Assumptions and Catalog'!$E$62+'Assumptions and Catalog'!$F$62,IF(((D813+E813)*C813)&lt;='Assumptions and Catalog'!$C$63,((D813+E813)*C813)*'Assumptions and Catalog'!$H$63+'Assumptions and Catalog'!$E$63+'Assumptions and Catalog'!$F$63,IF(((D813+E813)*C813)&lt;='Assumptions and Catalog'!$C$64,((D813+E813)*C813)*'Assumptions and Catalog'!$H$64+'Assumptions and Catalog'!$E$64+'Assumptions and Catalog'!$F$64,IF(((D813+E813)*C813)&lt;='Assumptions and Catalog'!$C$65,((D813+E813)*C813)*'Assumptions and Catalog'!$H$65+'Assumptions and Catalog'!$E$65+'Assumptions and Catalog'!$F$65,"Out of range")))))))))*(1+'Assumptions and Catalog'!$C$8)^(A813-1),0)</f>
        <v>8279</v>
      </c>
      <c r="N813" s="5">
        <f>IF(ISNUMBER(Inputs!$L$5),(IF(Inputs!$L$9="Actual flat rate",L813*Inputs!$L$10,IF(Inputs!$C$9="Residential",IF(L813&lt;='Assumptions and Catalog'!$C$50,L813*'Assumptions and Catalog'!$H$50+'Assumptions and Catalog'!$E$50+'Assumptions and Catalog'!$F$50,IF(L813&lt;='Assumptions and Catalog'!$C$51,L813*'Assumptions and Catalog'!$H$51+'Assumptions and Catalog'!$E$51+'Assumptions and Catalog'!$F$51,IF(L813&lt;='Assumptions and Catalog'!$C$52,L813*'Assumptions and Catalog'!$H$52+'Assumptions and Catalog'!$E$52+'Assumptions and Catalog'!$F$52,IF(L813&lt;='Assumptions and Catalog'!$C$53,L813*'Assumptions and Catalog'!$H$53+'Assumptions and Catalog'!$E$53+'Assumptions and Catalog'!$F$53,IF(L813&lt;='Assumptions and Catalog'!$C$54,L813*'Assumptions and Catalog'!$H$54+'Assumptions and Catalog'!$E$54+'Assumptions and Catalog'!$F$54,IF(L813&lt;='Assumptions and Catalog'!$C$55,L813*'Assumptions and Catalog'!$H$55+'Assumptions and Catalog'!$E$55+'Assumptions and Catalog'!$F$55,IF(L813&lt;='Assumptions and Catalog'!$C$56,L813*'Assumptions and Catalog'!$H$56+'Assumptions and Catalog'!$E$56+'Assumptions and Catalog'!$F$56,IF(L813&lt;='Assumptions and Catalog'!$C$57,L813*'Assumptions and Catalog'!$H$57+'Assumptions and Catalog'!$E$57+'Assumptions and Catalog'!$F$57,"Out of range")))))))),IF(L813&lt;='Assumptions and Catalog'!$C$60,L813*'Assumptions and Catalog'!$H$60+'Assumptions and Catalog'!$E$60+'Assumptions and Catalog'!$F$60,IF(L813&lt;='Assumptions and Catalog'!$C$61,L813*'Assumptions and Catalog'!$H$61+'Assumptions and Catalog'!$E$61+'Assumptions and Catalog'!$F$61,IF(L813&lt;='Assumptions and Catalog'!$C$62,L813*'Assumptions and Catalog'!$H$62+'Assumptions and Catalog'!$E$62+'Assumptions and Catalog'!$F$62,IF(L813&lt;='Assumptions and Catalog'!$C$63,L813*'Assumptions and Catalog'!$H$63+'Assumptions and Catalog'!$E$63+'Assumptions and Catalog'!$F$63,IF(L813&lt;='Assumptions and Catalog'!$C$64,L813*'Assumptions and Catalog'!$H$64+'Assumptions and Catalog'!$E$64+'Assumptions and Catalog'!$F$64,IF(L813&lt;='Assumptions and Catalog'!$C$65,L813*'Assumptions and Catalog'!$H$65+'Assumptions and Catalog'!$E$65+'Assumptions and Catalog'!$F$65,"Out of range")))))))))*(1+'Assumptions and Catalog'!$C$8)^(A813-1),0)</f>
        <v>5633.1004704685938</v>
      </c>
      <c r="O813" s="5">
        <f t="shared" si="59"/>
        <v>2645.8995295314062</v>
      </c>
      <c r="P813" s="5">
        <f>E$55*(1-L$14)*(1-'Assumptions and Catalog'!$C$23)^R813</f>
        <v>98.34496</v>
      </c>
      <c r="Q813" s="5">
        <f>IF(ISNUMBER(Inputs!$L$5),(IF(Inputs!$L$9="Actual flat rate",((D813+E813)*C813-G813)*Inputs!$L$10,IF(Inputs!$C$9="Residential",IF(((D813+E813)*C813-G813)&lt;='Assumptions and Catalog'!$C$50,((D813+E813)*C813-G813)*'Assumptions and Catalog'!$H$50+'Assumptions and Catalog'!$E$50+'Assumptions and Catalog'!$F$50,IF(((D813+E813)*C813-G813)&lt;='Assumptions and Catalog'!$C$51,((D813+E813)*C813-G813)*'Assumptions and Catalog'!$H$51+'Assumptions and Catalog'!$E$51+'Assumptions and Catalog'!$F$51,IF(((D813+E813)*C813-G813)&lt;='Assumptions and Catalog'!$C$52,((D813+E813)*C813-G813)*'Assumptions and Catalog'!$H$52+'Assumptions and Catalog'!$E$52+'Assumptions and Catalog'!$F$52,IF(((D813+E813)*C813-G813)&lt;='Assumptions and Catalog'!$C$53,((D813+E813)*C813-G813)*'Assumptions and Catalog'!$H$53+'Assumptions and Catalog'!$E$53+'Assumptions and Catalog'!$F$53,IF(((D813+E813)*C813-G813)&lt;='Assumptions and Catalog'!$C$54,((D813+E813)*C813-G813)*'Assumptions and Catalog'!$H$54+'Assumptions and Catalog'!$E$54+'Assumptions and Catalog'!$F$54,IF(((D813+E813)*C813-G813)&lt;='Assumptions and Catalog'!$C$55,((D813+E813)*C813-G813)*'Assumptions and Catalog'!$H$55+'Assumptions and Catalog'!$E$55+'Assumptions and Catalog'!$F$55,IF(((D813+E813)*C813-G813)&lt;='Assumptions and Catalog'!$C$56,((D813+E813)*C813-G813)*'Assumptions and Catalog'!$H$56+'Assumptions and Catalog'!$E$56+'Assumptions and Catalog'!$F$56,IF(((D813+E813)*C813-G813)&lt;='Assumptions and Catalog'!$C$57,((D813+E813)*C813-G813)*'Assumptions and Catalog'!$H$57+'Assumptions and Catalog'!$E$57+'Assumptions and Catalog'!$F$57,"Out of range")))))))),IF(((D813+E813)*C813-G813)&lt;='Assumptions and Catalog'!$C$60,((D813+E813)*C813-G813)*'Assumptions and Catalog'!$H$60+'Assumptions and Catalog'!$E$60+'Assumptions and Catalog'!$F$60,IF(((D813+E813)*C813-G813)&lt;='Assumptions and Catalog'!$C$61,((D813+E813)*C813-G813)*'Assumptions and Catalog'!$H$61+'Assumptions and Catalog'!$E$61+'Assumptions and Catalog'!$F$61,IF(((D813+E813)*C813-G813)&lt;='Assumptions and Catalog'!$C$62,((D813+E813)*C813-G813)*'Assumptions and Catalog'!$H$62+'Assumptions and Catalog'!$E$62+'Assumptions and Catalog'!$F$62,IF(((D813+E813)*C813-G813)&lt;='Assumptions and Catalog'!$C$63,((D813+E813)*C813-G813)*'Assumptions and Catalog'!$H$63+'Assumptions and Catalog'!$E$63+'Assumptions and Catalog'!$F$63,IF(((D813+E813)*C813-G813)&lt;='Assumptions and Catalog'!$C$64,((D813+E813)*C813-G813)*'Assumptions and Catalog'!$H$64+'Assumptions and Catalog'!$E$64+'Assumptions and Catalog'!$F$64,IF(((D813+E813)*C813-G813)&lt;='Assumptions and Catalog'!$C$65,((D813+E813)*C813-G813)*'Assumptions and Catalog'!$H$65+'Assumptions and Catalog'!$E$65+'Assumptions and Catalog'!$F$65,"Out of range")))))))))*(1+'Assumptions and Catalog'!$C$8)^(A813-1),0)</f>
        <v>5633.1004704685938</v>
      </c>
      <c r="R813" s="5">
        <f>IF(AND('Assumptions and Catalog'!$C$19&gt;0,A813&gt;='Assumptions and Catalog'!$C$19),A813-'Assumptions and Catalog'!$C$19,A813-1)</f>
        <v>2</v>
      </c>
      <c r="S813" s="5">
        <f>F813+L813-(D813+E813)*C813-J813-K813-IF(E$52&gt;0,'Assumptions and Catalog'!$C$26*C813,0)</f>
        <v>0</v>
      </c>
      <c r="T813" s="5"/>
      <c r="U813" s="5"/>
    </row>
    <row r="814" spans="1:21" ht="23.1" customHeight="1" outlineLevel="1" x14ac:dyDescent="0.2">
      <c r="A814" s="5">
        <v>13</v>
      </c>
      <c r="B814" s="5">
        <v>10</v>
      </c>
      <c r="C814" s="5">
        <f>DAY(DATE('Assumptions and Catalog'!$C$24+A814-1,B814+1,0))</f>
        <v>31</v>
      </c>
      <c r="D814" s="5">
        <f>IF(ISNUMBER(Inputs!$L$5),Inputs!$L$5*Inputs!$L$6,0)</f>
        <v>40.35</v>
      </c>
      <c r="E814" s="5">
        <f>IF(ISNUMBER(Inputs!$L$5),Inputs!$L$5-D814,0)</f>
        <v>40.35</v>
      </c>
      <c r="F814" s="5">
        <f>E$51*'Assumptions and Catalog'!$C$31*C814*(1-'Assumptions and Catalog'!$C$10)^(A814-1)</f>
        <v>799.52250912292754</v>
      </c>
      <c r="G814" s="5">
        <f t="shared" si="56"/>
        <v>799.52250912292754</v>
      </c>
      <c r="H814" s="5">
        <f>I814/('Assumptions and Catalog'!$C$11*'Assumptions and Catalog'!$C$12)</f>
        <v>0</v>
      </c>
      <c r="I814" s="5">
        <f>MIN(E814*C814,P814*'Assumptions and Catalog'!$C$12*C814,(F814-G814)*'Assumptions and Catalog'!$C$11*'Assumptions and Catalog'!$C$12,E$56*'Assumptions and Catalog'!$C$14*'Assumptions and Catalog'!$C$11*'Assumptions and Catalog'!$C$12*C814,E$57*(24-'Assumptions and Catalog'!$C$13)*C814)</f>
        <v>0</v>
      </c>
      <c r="J814" s="5">
        <f t="shared" si="57"/>
        <v>0</v>
      </c>
      <c r="K814" s="5">
        <f t="shared" si="58"/>
        <v>0</v>
      </c>
      <c r="L814" s="5">
        <f>(D814+E814)*C814-G814-I814+0+IF(E$52&gt;0,'Assumptions and Catalog'!$C$26*C814,0)</f>
        <v>1702.1774908770726</v>
      </c>
      <c r="M814" s="5">
        <f>IF(ISNUMBER(Inputs!$L$5),(IF(Inputs!$L$9="Actual flat rate",((D814+E814)*C814)*Inputs!$L$10,IF(Inputs!$C$9="Residential",IF(((D814+E814)*C814)&lt;='Assumptions and Catalog'!$C$50,((D814+E814)*C814)*'Assumptions and Catalog'!$H$50+'Assumptions and Catalog'!$E$50+'Assumptions and Catalog'!$F$50,IF(((D814+E814)*C814)&lt;='Assumptions and Catalog'!$C$51,((D814+E814)*C814)*'Assumptions and Catalog'!$H$51+'Assumptions and Catalog'!$E$51+'Assumptions and Catalog'!$F$51,IF(((D814+E814)*C814)&lt;='Assumptions and Catalog'!$C$52,((D814+E814)*C814)*'Assumptions and Catalog'!$H$52+'Assumptions and Catalog'!$E$52+'Assumptions and Catalog'!$F$52,IF(((D814+E814)*C814)&lt;='Assumptions and Catalog'!$C$53,((D814+E814)*C814)*'Assumptions and Catalog'!$H$53+'Assumptions and Catalog'!$E$53+'Assumptions and Catalog'!$F$53,IF(((D814+E814)*C814)&lt;='Assumptions and Catalog'!$C$54,((D814+E814)*C814)*'Assumptions and Catalog'!$H$54+'Assumptions and Catalog'!$E$54+'Assumptions and Catalog'!$F$54,IF(((D814+E814)*C814)&lt;='Assumptions and Catalog'!$C$55,((D814+E814)*C814)*'Assumptions and Catalog'!$H$55+'Assumptions and Catalog'!$E$55+'Assumptions and Catalog'!$F$55,IF(((D814+E814)*C814)&lt;='Assumptions and Catalog'!$C$56,((D814+E814)*C814)*'Assumptions and Catalog'!$H$56+'Assumptions and Catalog'!$E$56+'Assumptions and Catalog'!$F$56,IF(((D814+E814)*C814)&lt;='Assumptions and Catalog'!$C$57,((D814+E814)*C814)*'Assumptions and Catalog'!$H$57+'Assumptions and Catalog'!$E$57+'Assumptions and Catalog'!$F$57,"Out of range")))))))),IF(((D814+E814)*C814)&lt;='Assumptions and Catalog'!$C$60,((D814+E814)*C814)*'Assumptions and Catalog'!$H$60+'Assumptions and Catalog'!$E$60+'Assumptions and Catalog'!$F$60,IF(((D814+E814)*C814)&lt;='Assumptions and Catalog'!$C$61,((D814+E814)*C814)*'Assumptions and Catalog'!$H$61+'Assumptions and Catalog'!$E$61+'Assumptions and Catalog'!$F$61,IF(((D814+E814)*C814)&lt;='Assumptions and Catalog'!$C$62,((D814+E814)*C814)*'Assumptions and Catalog'!$H$62+'Assumptions and Catalog'!$E$62+'Assumptions and Catalog'!$F$62,IF(((D814+E814)*C814)&lt;='Assumptions and Catalog'!$C$63,((D814+E814)*C814)*'Assumptions and Catalog'!$H$63+'Assumptions and Catalog'!$E$63+'Assumptions and Catalog'!$F$63,IF(((D814+E814)*C814)&lt;='Assumptions and Catalog'!$C$64,((D814+E814)*C814)*'Assumptions and Catalog'!$H$64+'Assumptions and Catalog'!$E$64+'Assumptions and Catalog'!$F$64,IF(((D814+E814)*C814)&lt;='Assumptions and Catalog'!$C$65,((D814+E814)*C814)*'Assumptions and Catalog'!$H$65+'Assumptions and Catalog'!$E$65+'Assumptions and Catalog'!$F$65,"Out of range")))))))))*(1+'Assumptions and Catalog'!$C$8)^(A814-1),0)</f>
        <v>8554.9666666666672</v>
      </c>
      <c r="N814" s="5">
        <f>IF(ISNUMBER(Inputs!$L$5),(IF(Inputs!$L$9="Actual flat rate",L814*Inputs!$L$10,IF(Inputs!$C$9="Residential",IF(L814&lt;='Assumptions and Catalog'!$C$50,L814*'Assumptions and Catalog'!$H$50+'Assumptions and Catalog'!$E$50+'Assumptions and Catalog'!$F$50,IF(L814&lt;='Assumptions and Catalog'!$C$51,L814*'Assumptions and Catalog'!$H$51+'Assumptions and Catalog'!$E$51+'Assumptions and Catalog'!$F$51,IF(L814&lt;='Assumptions and Catalog'!$C$52,L814*'Assumptions and Catalog'!$H$52+'Assumptions and Catalog'!$E$52+'Assumptions and Catalog'!$F$52,IF(L814&lt;='Assumptions and Catalog'!$C$53,L814*'Assumptions and Catalog'!$H$53+'Assumptions and Catalog'!$E$53+'Assumptions and Catalog'!$F$53,IF(L814&lt;='Assumptions and Catalog'!$C$54,L814*'Assumptions and Catalog'!$H$54+'Assumptions and Catalog'!$E$54+'Assumptions and Catalog'!$F$54,IF(L814&lt;='Assumptions and Catalog'!$C$55,L814*'Assumptions and Catalog'!$H$55+'Assumptions and Catalog'!$E$55+'Assumptions and Catalog'!$F$55,IF(L814&lt;='Assumptions and Catalog'!$C$56,L814*'Assumptions and Catalog'!$H$56+'Assumptions and Catalog'!$E$56+'Assumptions and Catalog'!$F$56,IF(L814&lt;='Assumptions and Catalog'!$C$57,L814*'Assumptions and Catalog'!$H$57+'Assumptions and Catalog'!$E$57+'Assumptions and Catalog'!$F$57,"Out of range")))))))),IF(L814&lt;='Assumptions and Catalog'!$C$60,L814*'Assumptions and Catalog'!$H$60+'Assumptions and Catalog'!$E$60+'Assumptions and Catalog'!$F$60,IF(L814&lt;='Assumptions and Catalog'!$C$61,L814*'Assumptions and Catalog'!$H$61+'Assumptions and Catalog'!$E$61+'Assumptions and Catalog'!$F$61,IF(L814&lt;='Assumptions and Catalog'!$C$62,L814*'Assumptions and Catalog'!$H$62+'Assumptions and Catalog'!$E$62+'Assumptions and Catalog'!$F$62,IF(L814&lt;='Assumptions and Catalog'!$C$63,L814*'Assumptions and Catalog'!$H$63+'Assumptions and Catalog'!$E$63+'Assumptions and Catalog'!$F$63,IF(L814&lt;='Assumptions and Catalog'!$C$64,L814*'Assumptions and Catalog'!$H$64+'Assumptions and Catalog'!$E$64+'Assumptions and Catalog'!$F$64,IF(L814&lt;='Assumptions and Catalog'!$C$65,L814*'Assumptions and Catalog'!$H$65+'Assumptions and Catalog'!$E$65+'Assumptions and Catalog'!$F$65,"Out of range")))))))))*(1+'Assumptions and Catalog'!$C$8)^(A814-1),0)</f>
        <v>5820.8704861508813</v>
      </c>
      <c r="O814" s="5">
        <f t="shared" si="59"/>
        <v>2734.0961805157858</v>
      </c>
      <c r="P814" s="5">
        <f>E$55*(1-L$14)*(1-'Assumptions and Catalog'!$C$23)^R814</f>
        <v>98.34496</v>
      </c>
      <c r="Q814" s="5">
        <f>IF(ISNUMBER(Inputs!$L$5),(IF(Inputs!$L$9="Actual flat rate",((D814+E814)*C814-G814)*Inputs!$L$10,IF(Inputs!$C$9="Residential",IF(((D814+E814)*C814-G814)&lt;='Assumptions and Catalog'!$C$50,((D814+E814)*C814-G814)*'Assumptions and Catalog'!$H$50+'Assumptions and Catalog'!$E$50+'Assumptions and Catalog'!$F$50,IF(((D814+E814)*C814-G814)&lt;='Assumptions and Catalog'!$C$51,((D814+E814)*C814-G814)*'Assumptions and Catalog'!$H$51+'Assumptions and Catalog'!$E$51+'Assumptions and Catalog'!$F$51,IF(((D814+E814)*C814-G814)&lt;='Assumptions and Catalog'!$C$52,((D814+E814)*C814-G814)*'Assumptions and Catalog'!$H$52+'Assumptions and Catalog'!$E$52+'Assumptions and Catalog'!$F$52,IF(((D814+E814)*C814-G814)&lt;='Assumptions and Catalog'!$C$53,((D814+E814)*C814-G814)*'Assumptions and Catalog'!$H$53+'Assumptions and Catalog'!$E$53+'Assumptions and Catalog'!$F$53,IF(((D814+E814)*C814-G814)&lt;='Assumptions and Catalog'!$C$54,((D814+E814)*C814-G814)*'Assumptions and Catalog'!$H$54+'Assumptions and Catalog'!$E$54+'Assumptions and Catalog'!$F$54,IF(((D814+E814)*C814-G814)&lt;='Assumptions and Catalog'!$C$55,((D814+E814)*C814-G814)*'Assumptions and Catalog'!$H$55+'Assumptions and Catalog'!$E$55+'Assumptions and Catalog'!$F$55,IF(((D814+E814)*C814-G814)&lt;='Assumptions and Catalog'!$C$56,((D814+E814)*C814-G814)*'Assumptions and Catalog'!$H$56+'Assumptions and Catalog'!$E$56+'Assumptions and Catalog'!$F$56,IF(((D814+E814)*C814-G814)&lt;='Assumptions and Catalog'!$C$57,((D814+E814)*C814-G814)*'Assumptions and Catalog'!$H$57+'Assumptions and Catalog'!$E$57+'Assumptions and Catalog'!$F$57,"Out of range")))))))),IF(((D814+E814)*C814-G814)&lt;='Assumptions and Catalog'!$C$60,((D814+E814)*C814-G814)*'Assumptions and Catalog'!$H$60+'Assumptions and Catalog'!$E$60+'Assumptions and Catalog'!$F$60,IF(((D814+E814)*C814-G814)&lt;='Assumptions and Catalog'!$C$61,((D814+E814)*C814-G814)*'Assumptions and Catalog'!$H$61+'Assumptions and Catalog'!$E$61+'Assumptions and Catalog'!$F$61,IF(((D814+E814)*C814-G814)&lt;='Assumptions and Catalog'!$C$62,((D814+E814)*C814-G814)*'Assumptions and Catalog'!$H$62+'Assumptions and Catalog'!$E$62+'Assumptions and Catalog'!$F$62,IF(((D814+E814)*C814-G814)&lt;='Assumptions and Catalog'!$C$63,((D814+E814)*C814-G814)*'Assumptions and Catalog'!$H$63+'Assumptions and Catalog'!$E$63+'Assumptions and Catalog'!$F$63,IF(((D814+E814)*C814-G814)&lt;='Assumptions and Catalog'!$C$64,((D814+E814)*C814-G814)*'Assumptions and Catalog'!$H$64+'Assumptions and Catalog'!$E$64+'Assumptions and Catalog'!$F$64,IF(((D814+E814)*C814-G814)&lt;='Assumptions and Catalog'!$C$65,((D814+E814)*C814-G814)*'Assumptions and Catalog'!$H$65+'Assumptions and Catalog'!$E$65+'Assumptions and Catalog'!$F$65,"Out of range")))))))))*(1+'Assumptions and Catalog'!$C$8)^(A814-1),0)</f>
        <v>5820.8704861508813</v>
      </c>
      <c r="R814" s="5">
        <f>IF(AND('Assumptions and Catalog'!$C$19&gt;0,A814&gt;='Assumptions and Catalog'!$C$19),A814-'Assumptions and Catalog'!$C$19,A814-1)</f>
        <v>2</v>
      </c>
      <c r="S814" s="5">
        <f>F814+L814-(D814+E814)*C814-J814-K814-IF(E$52&gt;0,'Assumptions and Catalog'!$C$26*C814,0)</f>
        <v>0</v>
      </c>
      <c r="T814" s="5"/>
      <c r="U814" s="5"/>
    </row>
    <row r="815" spans="1:21" ht="23.1" customHeight="1" outlineLevel="1" x14ac:dyDescent="0.2">
      <c r="A815" s="5">
        <v>13</v>
      </c>
      <c r="B815" s="5">
        <v>11</v>
      </c>
      <c r="C815" s="5">
        <f>DAY(DATE('Assumptions and Catalog'!$C$24+A815-1,B815+1,0))</f>
        <v>30</v>
      </c>
      <c r="D815" s="5">
        <f>IF(ISNUMBER(Inputs!$L$5),Inputs!$L$5*Inputs!$L$6,0)</f>
        <v>40.35</v>
      </c>
      <c r="E815" s="5">
        <f>IF(ISNUMBER(Inputs!$L$5),Inputs!$L$5-D815,0)</f>
        <v>40.35</v>
      </c>
      <c r="F815" s="5">
        <f>E$51*'Assumptions and Catalog'!$C$31*C815*(1-'Assumptions and Catalog'!$C$10)^(A815-1)</f>
        <v>773.73146044154271</v>
      </c>
      <c r="G815" s="5">
        <f t="shared" si="56"/>
        <v>773.73146044154271</v>
      </c>
      <c r="H815" s="5">
        <f>I815/('Assumptions and Catalog'!$C$11*'Assumptions and Catalog'!$C$12)</f>
        <v>0</v>
      </c>
      <c r="I815" s="5">
        <f>MIN(E815*C815,P815*'Assumptions and Catalog'!$C$12*C815,(F815-G815)*'Assumptions and Catalog'!$C$11*'Assumptions and Catalog'!$C$12,E$56*'Assumptions and Catalog'!$C$14*'Assumptions and Catalog'!$C$11*'Assumptions and Catalog'!$C$12*C815,E$57*(24-'Assumptions and Catalog'!$C$13)*C815)</f>
        <v>0</v>
      </c>
      <c r="J815" s="5">
        <f t="shared" si="57"/>
        <v>0</v>
      </c>
      <c r="K815" s="5">
        <f t="shared" si="58"/>
        <v>0</v>
      </c>
      <c r="L815" s="5">
        <f>(D815+E815)*C815-G815-I815+0+IF(E$52&gt;0,'Assumptions and Catalog'!$C$26*C815,0)</f>
        <v>1647.2685395584572</v>
      </c>
      <c r="M815" s="5">
        <f>IF(ISNUMBER(Inputs!$L$5),(IF(Inputs!$L$9="Actual flat rate",((D815+E815)*C815)*Inputs!$L$10,IF(Inputs!$C$9="Residential",IF(((D815+E815)*C815)&lt;='Assumptions and Catalog'!$C$50,((D815+E815)*C815)*'Assumptions and Catalog'!$H$50+'Assumptions and Catalog'!$E$50+'Assumptions and Catalog'!$F$50,IF(((D815+E815)*C815)&lt;='Assumptions and Catalog'!$C$51,((D815+E815)*C815)*'Assumptions and Catalog'!$H$51+'Assumptions and Catalog'!$E$51+'Assumptions and Catalog'!$F$51,IF(((D815+E815)*C815)&lt;='Assumptions and Catalog'!$C$52,((D815+E815)*C815)*'Assumptions and Catalog'!$H$52+'Assumptions and Catalog'!$E$52+'Assumptions and Catalog'!$F$52,IF(((D815+E815)*C815)&lt;='Assumptions and Catalog'!$C$53,((D815+E815)*C815)*'Assumptions and Catalog'!$H$53+'Assumptions and Catalog'!$E$53+'Assumptions and Catalog'!$F$53,IF(((D815+E815)*C815)&lt;='Assumptions and Catalog'!$C$54,((D815+E815)*C815)*'Assumptions and Catalog'!$H$54+'Assumptions and Catalog'!$E$54+'Assumptions and Catalog'!$F$54,IF(((D815+E815)*C815)&lt;='Assumptions and Catalog'!$C$55,((D815+E815)*C815)*'Assumptions and Catalog'!$H$55+'Assumptions and Catalog'!$E$55+'Assumptions and Catalog'!$F$55,IF(((D815+E815)*C815)&lt;='Assumptions and Catalog'!$C$56,((D815+E815)*C815)*'Assumptions and Catalog'!$H$56+'Assumptions and Catalog'!$E$56+'Assumptions and Catalog'!$F$56,IF(((D815+E815)*C815)&lt;='Assumptions and Catalog'!$C$57,((D815+E815)*C815)*'Assumptions and Catalog'!$H$57+'Assumptions and Catalog'!$E$57+'Assumptions and Catalog'!$F$57,"Out of range")))))))),IF(((D815+E815)*C815)&lt;='Assumptions and Catalog'!$C$60,((D815+E815)*C815)*'Assumptions and Catalog'!$H$60+'Assumptions and Catalog'!$E$60+'Assumptions and Catalog'!$F$60,IF(((D815+E815)*C815)&lt;='Assumptions and Catalog'!$C$61,((D815+E815)*C815)*'Assumptions and Catalog'!$H$61+'Assumptions and Catalog'!$E$61+'Assumptions and Catalog'!$F$61,IF(((D815+E815)*C815)&lt;='Assumptions and Catalog'!$C$62,((D815+E815)*C815)*'Assumptions and Catalog'!$H$62+'Assumptions and Catalog'!$E$62+'Assumptions and Catalog'!$F$62,IF(((D815+E815)*C815)&lt;='Assumptions and Catalog'!$C$63,((D815+E815)*C815)*'Assumptions and Catalog'!$H$63+'Assumptions and Catalog'!$E$63+'Assumptions and Catalog'!$F$63,IF(((D815+E815)*C815)&lt;='Assumptions and Catalog'!$C$64,((D815+E815)*C815)*'Assumptions and Catalog'!$H$64+'Assumptions and Catalog'!$E$64+'Assumptions and Catalog'!$F$64,IF(((D815+E815)*C815)&lt;='Assumptions and Catalog'!$C$65,((D815+E815)*C815)*'Assumptions and Catalog'!$H$65+'Assumptions and Catalog'!$E$65+'Assumptions and Catalog'!$F$65,"Out of range")))))))))*(1+'Assumptions and Catalog'!$C$8)^(A815-1),0)</f>
        <v>8279</v>
      </c>
      <c r="N815" s="5">
        <f>IF(ISNUMBER(Inputs!$L$5),(IF(Inputs!$L$9="Actual flat rate",L815*Inputs!$L$10,IF(Inputs!$C$9="Residential",IF(L815&lt;='Assumptions and Catalog'!$C$50,L815*'Assumptions and Catalog'!$H$50+'Assumptions and Catalog'!$E$50+'Assumptions and Catalog'!$F$50,IF(L815&lt;='Assumptions and Catalog'!$C$51,L815*'Assumptions and Catalog'!$H$51+'Assumptions and Catalog'!$E$51+'Assumptions and Catalog'!$F$51,IF(L815&lt;='Assumptions and Catalog'!$C$52,L815*'Assumptions and Catalog'!$H$52+'Assumptions and Catalog'!$E$52+'Assumptions and Catalog'!$F$52,IF(L815&lt;='Assumptions and Catalog'!$C$53,L815*'Assumptions and Catalog'!$H$53+'Assumptions and Catalog'!$E$53+'Assumptions and Catalog'!$F$53,IF(L815&lt;='Assumptions and Catalog'!$C$54,L815*'Assumptions and Catalog'!$H$54+'Assumptions and Catalog'!$E$54+'Assumptions and Catalog'!$F$54,IF(L815&lt;='Assumptions and Catalog'!$C$55,L815*'Assumptions and Catalog'!$H$55+'Assumptions and Catalog'!$E$55+'Assumptions and Catalog'!$F$55,IF(L815&lt;='Assumptions and Catalog'!$C$56,L815*'Assumptions and Catalog'!$H$56+'Assumptions and Catalog'!$E$56+'Assumptions and Catalog'!$F$56,IF(L815&lt;='Assumptions and Catalog'!$C$57,L815*'Assumptions and Catalog'!$H$57+'Assumptions and Catalog'!$E$57+'Assumptions and Catalog'!$F$57,"Out of range")))))))),IF(L815&lt;='Assumptions and Catalog'!$C$60,L815*'Assumptions and Catalog'!$H$60+'Assumptions and Catalog'!$E$60+'Assumptions and Catalog'!$F$60,IF(L815&lt;='Assumptions and Catalog'!$C$61,L815*'Assumptions and Catalog'!$H$61+'Assumptions and Catalog'!$E$61+'Assumptions and Catalog'!$F$61,IF(L815&lt;='Assumptions and Catalog'!$C$62,L815*'Assumptions and Catalog'!$H$62+'Assumptions and Catalog'!$E$62+'Assumptions and Catalog'!$F$62,IF(L815&lt;='Assumptions and Catalog'!$C$63,L815*'Assumptions and Catalog'!$H$63+'Assumptions and Catalog'!$E$63+'Assumptions and Catalog'!$F$63,IF(L815&lt;='Assumptions and Catalog'!$C$64,L815*'Assumptions and Catalog'!$H$64+'Assumptions and Catalog'!$E$64+'Assumptions and Catalog'!$F$64,IF(L815&lt;='Assumptions and Catalog'!$C$65,L815*'Assumptions and Catalog'!$H$65+'Assumptions and Catalog'!$E$65+'Assumptions and Catalog'!$F$65,"Out of range")))))))))*(1+'Assumptions and Catalog'!$C$8)^(A815-1),0)</f>
        <v>5633.1004704685938</v>
      </c>
      <c r="O815" s="5">
        <f t="shared" si="59"/>
        <v>2645.8995295314062</v>
      </c>
      <c r="P815" s="5">
        <f>E$55*(1-L$14)*(1-'Assumptions and Catalog'!$C$23)^R815</f>
        <v>98.34496</v>
      </c>
      <c r="Q815" s="5">
        <f>IF(ISNUMBER(Inputs!$L$5),(IF(Inputs!$L$9="Actual flat rate",((D815+E815)*C815-G815)*Inputs!$L$10,IF(Inputs!$C$9="Residential",IF(((D815+E815)*C815-G815)&lt;='Assumptions and Catalog'!$C$50,((D815+E815)*C815-G815)*'Assumptions and Catalog'!$H$50+'Assumptions and Catalog'!$E$50+'Assumptions and Catalog'!$F$50,IF(((D815+E815)*C815-G815)&lt;='Assumptions and Catalog'!$C$51,((D815+E815)*C815-G815)*'Assumptions and Catalog'!$H$51+'Assumptions and Catalog'!$E$51+'Assumptions and Catalog'!$F$51,IF(((D815+E815)*C815-G815)&lt;='Assumptions and Catalog'!$C$52,((D815+E815)*C815-G815)*'Assumptions and Catalog'!$H$52+'Assumptions and Catalog'!$E$52+'Assumptions and Catalog'!$F$52,IF(((D815+E815)*C815-G815)&lt;='Assumptions and Catalog'!$C$53,((D815+E815)*C815-G815)*'Assumptions and Catalog'!$H$53+'Assumptions and Catalog'!$E$53+'Assumptions and Catalog'!$F$53,IF(((D815+E815)*C815-G815)&lt;='Assumptions and Catalog'!$C$54,((D815+E815)*C815-G815)*'Assumptions and Catalog'!$H$54+'Assumptions and Catalog'!$E$54+'Assumptions and Catalog'!$F$54,IF(((D815+E815)*C815-G815)&lt;='Assumptions and Catalog'!$C$55,((D815+E815)*C815-G815)*'Assumptions and Catalog'!$H$55+'Assumptions and Catalog'!$E$55+'Assumptions and Catalog'!$F$55,IF(((D815+E815)*C815-G815)&lt;='Assumptions and Catalog'!$C$56,((D815+E815)*C815-G815)*'Assumptions and Catalog'!$H$56+'Assumptions and Catalog'!$E$56+'Assumptions and Catalog'!$F$56,IF(((D815+E815)*C815-G815)&lt;='Assumptions and Catalog'!$C$57,((D815+E815)*C815-G815)*'Assumptions and Catalog'!$H$57+'Assumptions and Catalog'!$E$57+'Assumptions and Catalog'!$F$57,"Out of range")))))))),IF(((D815+E815)*C815-G815)&lt;='Assumptions and Catalog'!$C$60,((D815+E815)*C815-G815)*'Assumptions and Catalog'!$H$60+'Assumptions and Catalog'!$E$60+'Assumptions and Catalog'!$F$60,IF(((D815+E815)*C815-G815)&lt;='Assumptions and Catalog'!$C$61,((D815+E815)*C815-G815)*'Assumptions and Catalog'!$H$61+'Assumptions and Catalog'!$E$61+'Assumptions and Catalog'!$F$61,IF(((D815+E815)*C815-G815)&lt;='Assumptions and Catalog'!$C$62,((D815+E815)*C815-G815)*'Assumptions and Catalog'!$H$62+'Assumptions and Catalog'!$E$62+'Assumptions and Catalog'!$F$62,IF(((D815+E815)*C815-G815)&lt;='Assumptions and Catalog'!$C$63,((D815+E815)*C815-G815)*'Assumptions and Catalog'!$H$63+'Assumptions and Catalog'!$E$63+'Assumptions and Catalog'!$F$63,IF(((D815+E815)*C815-G815)&lt;='Assumptions and Catalog'!$C$64,((D815+E815)*C815-G815)*'Assumptions and Catalog'!$H$64+'Assumptions and Catalog'!$E$64+'Assumptions and Catalog'!$F$64,IF(((D815+E815)*C815-G815)&lt;='Assumptions and Catalog'!$C$65,((D815+E815)*C815-G815)*'Assumptions and Catalog'!$H$65+'Assumptions and Catalog'!$E$65+'Assumptions and Catalog'!$F$65,"Out of range")))))))))*(1+'Assumptions and Catalog'!$C$8)^(A815-1),0)</f>
        <v>5633.1004704685938</v>
      </c>
      <c r="R815" s="5">
        <f>IF(AND('Assumptions and Catalog'!$C$19&gt;0,A815&gt;='Assumptions and Catalog'!$C$19),A815-'Assumptions and Catalog'!$C$19,A815-1)</f>
        <v>2</v>
      </c>
      <c r="S815" s="5">
        <f>F815+L815-(D815+E815)*C815-J815-K815-IF(E$52&gt;0,'Assumptions and Catalog'!$C$26*C815,0)</f>
        <v>0</v>
      </c>
      <c r="T815" s="5"/>
      <c r="U815" s="5"/>
    </row>
    <row r="816" spans="1:21" ht="23.1" customHeight="1" outlineLevel="1" x14ac:dyDescent="0.2">
      <c r="A816" s="5">
        <v>13</v>
      </c>
      <c r="B816" s="5">
        <v>12</v>
      </c>
      <c r="C816" s="5">
        <f>DAY(DATE('Assumptions and Catalog'!$C$24+A816-1,B816+1,0))</f>
        <v>31</v>
      </c>
      <c r="D816" s="5">
        <f>IF(ISNUMBER(Inputs!$L$5),Inputs!$L$5*Inputs!$L$6,0)</f>
        <v>40.35</v>
      </c>
      <c r="E816" s="5">
        <f>IF(ISNUMBER(Inputs!$L$5),Inputs!$L$5-D816,0)</f>
        <v>40.35</v>
      </c>
      <c r="F816" s="5">
        <f>E$51*'Assumptions and Catalog'!$C$31*C816*(1-'Assumptions and Catalog'!$C$10)^(A816-1)</f>
        <v>799.52250912292754</v>
      </c>
      <c r="G816" s="5">
        <f t="shared" si="56"/>
        <v>799.52250912292754</v>
      </c>
      <c r="H816" s="5">
        <f>I816/('Assumptions and Catalog'!$C$11*'Assumptions and Catalog'!$C$12)</f>
        <v>0</v>
      </c>
      <c r="I816" s="5">
        <f>MIN(E816*C816,P816*'Assumptions and Catalog'!$C$12*C816,(F816-G816)*'Assumptions and Catalog'!$C$11*'Assumptions and Catalog'!$C$12,E$56*'Assumptions and Catalog'!$C$14*'Assumptions and Catalog'!$C$11*'Assumptions and Catalog'!$C$12*C816,E$57*(24-'Assumptions and Catalog'!$C$13)*C816)</f>
        <v>0</v>
      </c>
      <c r="J816" s="5">
        <f t="shared" si="57"/>
        <v>0</v>
      </c>
      <c r="K816" s="5">
        <f t="shared" si="58"/>
        <v>0</v>
      </c>
      <c r="L816" s="5">
        <f>(D816+E816)*C816-G816-I816+0+IF(E$52&gt;0,'Assumptions and Catalog'!$C$26*C816,0)</f>
        <v>1702.1774908770726</v>
      </c>
      <c r="M816" s="5">
        <f>IF(ISNUMBER(Inputs!$L$5),(IF(Inputs!$L$9="Actual flat rate",((D816+E816)*C816)*Inputs!$L$10,IF(Inputs!$C$9="Residential",IF(((D816+E816)*C816)&lt;='Assumptions and Catalog'!$C$50,((D816+E816)*C816)*'Assumptions and Catalog'!$H$50+'Assumptions and Catalog'!$E$50+'Assumptions and Catalog'!$F$50,IF(((D816+E816)*C816)&lt;='Assumptions and Catalog'!$C$51,((D816+E816)*C816)*'Assumptions and Catalog'!$H$51+'Assumptions and Catalog'!$E$51+'Assumptions and Catalog'!$F$51,IF(((D816+E816)*C816)&lt;='Assumptions and Catalog'!$C$52,((D816+E816)*C816)*'Assumptions and Catalog'!$H$52+'Assumptions and Catalog'!$E$52+'Assumptions and Catalog'!$F$52,IF(((D816+E816)*C816)&lt;='Assumptions and Catalog'!$C$53,((D816+E816)*C816)*'Assumptions and Catalog'!$H$53+'Assumptions and Catalog'!$E$53+'Assumptions and Catalog'!$F$53,IF(((D816+E816)*C816)&lt;='Assumptions and Catalog'!$C$54,((D816+E816)*C816)*'Assumptions and Catalog'!$H$54+'Assumptions and Catalog'!$E$54+'Assumptions and Catalog'!$F$54,IF(((D816+E816)*C816)&lt;='Assumptions and Catalog'!$C$55,((D816+E816)*C816)*'Assumptions and Catalog'!$H$55+'Assumptions and Catalog'!$E$55+'Assumptions and Catalog'!$F$55,IF(((D816+E816)*C816)&lt;='Assumptions and Catalog'!$C$56,((D816+E816)*C816)*'Assumptions and Catalog'!$H$56+'Assumptions and Catalog'!$E$56+'Assumptions and Catalog'!$F$56,IF(((D816+E816)*C816)&lt;='Assumptions and Catalog'!$C$57,((D816+E816)*C816)*'Assumptions and Catalog'!$H$57+'Assumptions and Catalog'!$E$57+'Assumptions and Catalog'!$F$57,"Out of range")))))))),IF(((D816+E816)*C816)&lt;='Assumptions and Catalog'!$C$60,((D816+E816)*C816)*'Assumptions and Catalog'!$H$60+'Assumptions and Catalog'!$E$60+'Assumptions and Catalog'!$F$60,IF(((D816+E816)*C816)&lt;='Assumptions and Catalog'!$C$61,((D816+E816)*C816)*'Assumptions and Catalog'!$H$61+'Assumptions and Catalog'!$E$61+'Assumptions and Catalog'!$F$61,IF(((D816+E816)*C816)&lt;='Assumptions and Catalog'!$C$62,((D816+E816)*C816)*'Assumptions and Catalog'!$H$62+'Assumptions and Catalog'!$E$62+'Assumptions and Catalog'!$F$62,IF(((D816+E816)*C816)&lt;='Assumptions and Catalog'!$C$63,((D816+E816)*C816)*'Assumptions and Catalog'!$H$63+'Assumptions and Catalog'!$E$63+'Assumptions and Catalog'!$F$63,IF(((D816+E816)*C816)&lt;='Assumptions and Catalog'!$C$64,((D816+E816)*C816)*'Assumptions and Catalog'!$H$64+'Assumptions and Catalog'!$E$64+'Assumptions and Catalog'!$F$64,IF(((D816+E816)*C816)&lt;='Assumptions and Catalog'!$C$65,((D816+E816)*C816)*'Assumptions and Catalog'!$H$65+'Assumptions and Catalog'!$E$65+'Assumptions and Catalog'!$F$65,"Out of range")))))))))*(1+'Assumptions and Catalog'!$C$8)^(A816-1),0)</f>
        <v>8554.9666666666672</v>
      </c>
      <c r="N816" s="5">
        <f>IF(ISNUMBER(Inputs!$L$5),(IF(Inputs!$L$9="Actual flat rate",L816*Inputs!$L$10,IF(Inputs!$C$9="Residential",IF(L816&lt;='Assumptions and Catalog'!$C$50,L816*'Assumptions and Catalog'!$H$50+'Assumptions and Catalog'!$E$50+'Assumptions and Catalog'!$F$50,IF(L816&lt;='Assumptions and Catalog'!$C$51,L816*'Assumptions and Catalog'!$H$51+'Assumptions and Catalog'!$E$51+'Assumptions and Catalog'!$F$51,IF(L816&lt;='Assumptions and Catalog'!$C$52,L816*'Assumptions and Catalog'!$H$52+'Assumptions and Catalog'!$E$52+'Assumptions and Catalog'!$F$52,IF(L816&lt;='Assumptions and Catalog'!$C$53,L816*'Assumptions and Catalog'!$H$53+'Assumptions and Catalog'!$E$53+'Assumptions and Catalog'!$F$53,IF(L816&lt;='Assumptions and Catalog'!$C$54,L816*'Assumptions and Catalog'!$H$54+'Assumptions and Catalog'!$E$54+'Assumptions and Catalog'!$F$54,IF(L816&lt;='Assumptions and Catalog'!$C$55,L816*'Assumptions and Catalog'!$H$55+'Assumptions and Catalog'!$E$55+'Assumptions and Catalog'!$F$55,IF(L816&lt;='Assumptions and Catalog'!$C$56,L816*'Assumptions and Catalog'!$H$56+'Assumptions and Catalog'!$E$56+'Assumptions and Catalog'!$F$56,IF(L816&lt;='Assumptions and Catalog'!$C$57,L816*'Assumptions and Catalog'!$H$57+'Assumptions and Catalog'!$E$57+'Assumptions and Catalog'!$F$57,"Out of range")))))))),IF(L816&lt;='Assumptions and Catalog'!$C$60,L816*'Assumptions and Catalog'!$H$60+'Assumptions and Catalog'!$E$60+'Assumptions and Catalog'!$F$60,IF(L816&lt;='Assumptions and Catalog'!$C$61,L816*'Assumptions and Catalog'!$H$61+'Assumptions and Catalog'!$E$61+'Assumptions and Catalog'!$F$61,IF(L816&lt;='Assumptions and Catalog'!$C$62,L816*'Assumptions and Catalog'!$H$62+'Assumptions and Catalog'!$E$62+'Assumptions and Catalog'!$F$62,IF(L816&lt;='Assumptions and Catalog'!$C$63,L816*'Assumptions and Catalog'!$H$63+'Assumptions and Catalog'!$E$63+'Assumptions and Catalog'!$F$63,IF(L816&lt;='Assumptions and Catalog'!$C$64,L816*'Assumptions and Catalog'!$H$64+'Assumptions and Catalog'!$E$64+'Assumptions and Catalog'!$F$64,IF(L816&lt;='Assumptions and Catalog'!$C$65,L816*'Assumptions and Catalog'!$H$65+'Assumptions and Catalog'!$E$65+'Assumptions and Catalog'!$F$65,"Out of range")))))))))*(1+'Assumptions and Catalog'!$C$8)^(A816-1),0)</f>
        <v>5820.8704861508813</v>
      </c>
      <c r="O816" s="5">
        <f t="shared" si="59"/>
        <v>2734.0961805157858</v>
      </c>
      <c r="P816" s="5">
        <f>E$55*(1-L$14)*(1-'Assumptions and Catalog'!$C$23)^R816</f>
        <v>98.34496</v>
      </c>
      <c r="Q816" s="5">
        <f>IF(ISNUMBER(Inputs!$L$5),(IF(Inputs!$L$9="Actual flat rate",((D816+E816)*C816-G816)*Inputs!$L$10,IF(Inputs!$C$9="Residential",IF(((D816+E816)*C816-G816)&lt;='Assumptions and Catalog'!$C$50,((D816+E816)*C816-G816)*'Assumptions and Catalog'!$H$50+'Assumptions and Catalog'!$E$50+'Assumptions and Catalog'!$F$50,IF(((D816+E816)*C816-G816)&lt;='Assumptions and Catalog'!$C$51,((D816+E816)*C816-G816)*'Assumptions and Catalog'!$H$51+'Assumptions and Catalog'!$E$51+'Assumptions and Catalog'!$F$51,IF(((D816+E816)*C816-G816)&lt;='Assumptions and Catalog'!$C$52,((D816+E816)*C816-G816)*'Assumptions and Catalog'!$H$52+'Assumptions and Catalog'!$E$52+'Assumptions and Catalog'!$F$52,IF(((D816+E816)*C816-G816)&lt;='Assumptions and Catalog'!$C$53,((D816+E816)*C816-G816)*'Assumptions and Catalog'!$H$53+'Assumptions and Catalog'!$E$53+'Assumptions and Catalog'!$F$53,IF(((D816+E816)*C816-G816)&lt;='Assumptions and Catalog'!$C$54,((D816+E816)*C816-G816)*'Assumptions and Catalog'!$H$54+'Assumptions and Catalog'!$E$54+'Assumptions and Catalog'!$F$54,IF(((D816+E816)*C816-G816)&lt;='Assumptions and Catalog'!$C$55,((D816+E816)*C816-G816)*'Assumptions and Catalog'!$H$55+'Assumptions and Catalog'!$E$55+'Assumptions and Catalog'!$F$55,IF(((D816+E816)*C816-G816)&lt;='Assumptions and Catalog'!$C$56,((D816+E816)*C816-G816)*'Assumptions and Catalog'!$H$56+'Assumptions and Catalog'!$E$56+'Assumptions and Catalog'!$F$56,IF(((D816+E816)*C816-G816)&lt;='Assumptions and Catalog'!$C$57,((D816+E816)*C816-G816)*'Assumptions and Catalog'!$H$57+'Assumptions and Catalog'!$E$57+'Assumptions and Catalog'!$F$57,"Out of range")))))))),IF(((D816+E816)*C816-G816)&lt;='Assumptions and Catalog'!$C$60,((D816+E816)*C816-G816)*'Assumptions and Catalog'!$H$60+'Assumptions and Catalog'!$E$60+'Assumptions and Catalog'!$F$60,IF(((D816+E816)*C816-G816)&lt;='Assumptions and Catalog'!$C$61,((D816+E816)*C816-G816)*'Assumptions and Catalog'!$H$61+'Assumptions and Catalog'!$E$61+'Assumptions and Catalog'!$F$61,IF(((D816+E816)*C816-G816)&lt;='Assumptions and Catalog'!$C$62,((D816+E816)*C816-G816)*'Assumptions and Catalog'!$H$62+'Assumptions and Catalog'!$E$62+'Assumptions and Catalog'!$F$62,IF(((D816+E816)*C816-G816)&lt;='Assumptions and Catalog'!$C$63,((D816+E816)*C816-G816)*'Assumptions and Catalog'!$H$63+'Assumptions and Catalog'!$E$63+'Assumptions and Catalog'!$F$63,IF(((D816+E816)*C816-G816)&lt;='Assumptions and Catalog'!$C$64,((D816+E816)*C816-G816)*'Assumptions and Catalog'!$H$64+'Assumptions and Catalog'!$E$64+'Assumptions and Catalog'!$F$64,IF(((D816+E816)*C816-G816)&lt;='Assumptions and Catalog'!$C$65,((D816+E816)*C816-G816)*'Assumptions and Catalog'!$H$65+'Assumptions and Catalog'!$E$65+'Assumptions and Catalog'!$F$65,"Out of range")))))))))*(1+'Assumptions and Catalog'!$C$8)^(A816-1),0)</f>
        <v>5820.8704861508813</v>
      </c>
      <c r="R816" s="5">
        <f>IF(AND('Assumptions and Catalog'!$C$19&gt;0,A816&gt;='Assumptions and Catalog'!$C$19),A816-'Assumptions and Catalog'!$C$19,A816-1)</f>
        <v>2</v>
      </c>
      <c r="S816" s="5">
        <f>F816+L816-(D816+E816)*C816-J816-K816-IF(E$52&gt;0,'Assumptions and Catalog'!$C$26*C816,0)</f>
        <v>0</v>
      </c>
      <c r="T816" s="5"/>
      <c r="U816" s="5"/>
    </row>
    <row r="817" spans="1:21" ht="23.1" customHeight="1" outlineLevel="1" x14ac:dyDescent="0.2">
      <c r="A817" s="5">
        <v>14</v>
      </c>
      <c r="B817" s="5">
        <v>1</v>
      </c>
      <c r="C817" s="5">
        <f>DAY(DATE('Assumptions and Catalog'!$C$24+A817-1,B817+1,0))</f>
        <v>31</v>
      </c>
      <c r="D817" s="5">
        <f>IF(ISNUMBER(Inputs!$L$5),Inputs!$L$5*Inputs!$L$6,0)</f>
        <v>40.35</v>
      </c>
      <c r="E817" s="5">
        <f>IF(ISNUMBER(Inputs!$L$5),Inputs!$L$5-D817,0)</f>
        <v>40.35</v>
      </c>
      <c r="F817" s="5">
        <f>E$51*'Assumptions and Catalog'!$C$31*C817*(1-'Assumptions and Catalog'!$C$10)^(A817-1)</f>
        <v>795.52489657731292</v>
      </c>
      <c r="G817" s="5">
        <f t="shared" si="56"/>
        <v>795.52489657731292</v>
      </c>
      <c r="H817" s="5">
        <f>I817/('Assumptions and Catalog'!$C$11*'Assumptions and Catalog'!$C$12)</f>
        <v>0</v>
      </c>
      <c r="I817" s="5">
        <f>MIN(E817*C817,P817*'Assumptions and Catalog'!$C$12*C817,(F817-G817)*'Assumptions and Catalog'!$C$11*'Assumptions and Catalog'!$C$12,E$56*'Assumptions and Catalog'!$C$14*'Assumptions and Catalog'!$C$11*'Assumptions and Catalog'!$C$12*C817,E$57*(24-'Assumptions and Catalog'!$C$13)*C817)</f>
        <v>0</v>
      </c>
      <c r="J817" s="5">
        <f t="shared" si="57"/>
        <v>0</v>
      </c>
      <c r="K817" s="5">
        <f t="shared" si="58"/>
        <v>0</v>
      </c>
      <c r="L817" s="5">
        <f>(D817+E817)*C817-G817-I817+0+IF(E$52&gt;0,'Assumptions and Catalog'!$C$26*C817,0)</f>
        <v>1706.1751034226872</v>
      </c>
      <c r="M817" s="5">
        <f>IF(ISNUMBER(Inputs!$L$5),(IF(Inputs!$L$9="Actual flat rate",((D817+E817)*C817)*Inputs!$L$10,IF(Inputs!$C$9="Residential",IF(((D817+E817)*C817)&lt;='Assumptions and Catalog'!$C$50,((D817+E817)*C817)*'Assumptions and Catalog'!$H$50+'Assumptions and Catalog'!$E$50+'Assumptions and Catalog'!$F$50,IF(((D817+E817)*C817)&lt;='Assumptions and Catalog'!$C$51,((D817+E817)*C817)*'Assumptions and Catalog'!$H$51+'Assumptions and Catalog'!$E$51+'Assumptions and Catalog'!$F$51,IF(((D817+E817)*C817)&lt;='Assumptions and Catalog'!$C$52,((D817+E817)*C817)*'Assumptions and Catalog'!$H$52+'Assumptions and Catalog'!$E$52+'Assumptions and Catalog'!$F$52,IF(((D817+E817)*C817)&lt;='Assumptions and Catalog'!$C$53,((D817+E817)*C817)*'Assumptions and Catalog'!$H$53+'Assumptions and Catalog'!$E$53+'Assumptions and Catalog'!$F$53,IF(((D817+E817)*C817)&lt;='Assumptions and Catalog'!$C$54,((D817+E817)*C817)*'Assumptions and Catalog'!$H$54+'Assumptions and Catalog'!$E$54+'Assumptions and Catalog'!$F$54,IF(((D817+E817)*C817)&lt;='Assumptions and Catalog'!$C$55,((D817+E817)*C817)*'Assumptions and Catalog'!$H$55+'Assumptions and Catalog'!$E$55+'Assumptions and Catalog'!$F$55,IF(((D817+E817)*C817)&lt;='Assumptions and Catalog'!$C$56,((D817+E817)*C817)*'Assumptions and Catalog'!$H$56+'Assumptions and Catalog'!$E$56+'Assumptions and Catalog'!$F$56,IF(((D817+E817)*C817)&lt;='Assumptions and Catalog'!$C$57,((D817+E817)*C817)*'Assumptions and Catalog'!$H$57+'Assumptions and Catalog'!$E$57+'Assumptions and Catalog'!$F$57,"Out of range")))))))),IF(((D817+E817)*C817)&lt;='Assumptions and Catalog'!$C$60,((D817+E817)*C817)*'Assumptions and Catalog'!$H$60+'Assumptions and Catalog'!$E$60+'Assumptions and Catalog'!$F$60,IF(((D817+E817)*C817)&lt;='Assumptions and Catalog'!$C$61,((D817+E817)*C817)*'Assumptions and Catalog'!$H$61+'Assumptions and Catalog'!$E$61+'Assumptions and Catalog'!$F$61,IF(((D817+E817)*C817)&lt;='Assumptions and Catalog'!$C$62,((D817+E817)*C817)*'Assumptions and Catalog'!$H$62+'Assumptions and Catalog'!$E$62+'Assumptions and Catalog'!$F$62,IF(((D817+E817)*C817)&lt;='Assumptions and Catalog'!$C$63,((D817+E817)*C817)*'Assumptions and Catalog'!$H$63+'Assumptions and Catalog'!$E$63+'Assumptions and Catalog'!$F$63,IF(((D817+E817)*C817)&lt;='Assumptions and Catalog'!$C$64,((D817+E817)*C817)*'Assumptions and Catalog'!$H$64+'Assumptions and Catalog'!$E$64+'Assumptions and Catalog'!$F$64,IF(((D817+E817)*C817)&lt;='Assumptions and Catalog'!$C$65,((D817+E817)*C817)*'Assumptions and Catalog'!$H$65+'Assumptions and Catalog'!$E$65+'Assumptions and Catalog'!$F$65,"Out of range")))))))))*(1+'Assumptions and Catalog'!$C$8)^(A817-1),0)</f>
        <v>8554.9666666666672</v>
      </c>
      <c r="N817" s="5">
        <f>IF(ISNUMBER(Inputs!$L$5),(IF(Inputs!$L$9="Actual flat rate",L817*Inputs!$L$10,IF(Inputs!$C$9="Residential",IF(L817&lt;='Assumptions and Catalog'!$C$50,L817*'Assumptions and Catalog'!$H$50+'Assumptions and Catalog'!$E$50+'Assumptions and Catalog'!$F$50,IF(L817&lt;='Assumptions and Catalog'!$C$51,L817*'Assumptions and Catalog'!$H$51+'Assumptions and Catalog'!$E$51+'Assumptions and Catalog'!$F$51,IF(L817&lt;='Assumptions and Catalog'!$C$52,L817*'Assumptions and Catalog'!$H$52+'Assumptions and Catalog'!$E$52+'Assumptions and Catalog'!$F$52,IF(L817&lt;='Assumptions and Catalog'!$C$53,L817*'Assumptions and Catalog'!$H$53+'Assumptions and Catalog'!$E$53+'Assumptions and Catalog'!$F$53,IF(L817&lt;='Assumptions and Catalog'!$C$54,L817*'Assumptions and Catalog'!$H$54+'Assumptions and Catalog'!$E$54+'Assumptions and Catalog'!$F$54,IF(L817&lt;='Assumptions and Catalog'!$C$55,L817*'Assumptions and Catalog'!$H$55+'Assumptions and Catalog'!$E$55+'Assumptions and Catalog'!$F$55,IF(L817&lt;='Assumptions and Catalog'!$C$56,L817*'Assumptions and Catalog'!$H$56+'Assumptions and Catalog'!$E$56+'Assumptions and Catalog'!$F$56,IF(L817&lt;='Assumptions and Catalog'!$C$57,L817*'Assumptions and Catalog'!$H$57+'Assumptions and Catalog'!$E$57+'Assumptions and Catalog'!$F$57,"Out of range")))))))),IF(L817&lt;='Assumptions and Catalog'!$C$60,L817*'Assumptions and Catalog'!$H$60+'Assumptions and Catalog'!$E$60+'Assumptions and Catalog'!$F$60,IF(L817&lt;='Assumptions and Catalog'!$C$61,L817*'Assumptions and Catalog'!$H$61+'Assumptions and Catalog'!$E$61+'Assumptions and Catalog'!$F$61,IF(L817&lt;='Assumptions and Catalog'!$C$62,L817*'Assumptions and Catalog'!$H$62+'Assumptions and Catalog'!$E$62+'Assumptions and Catalog'!$F$62,IF(L817&lt;='Assumptions and Catalog'!$C$63,L817*'Assumptions and Catalog'!$H$63+'Assumptions and Catalog'!$E$63+'Assumptions and Catalog'!$F$63,IF(L817&lt;='Assumptions and Catalog'!$C$64,L817*'Assumptions and Catalog'!$H$64+'Assumptions and Catalog'!$E$64+'Assumptions and Catalog'!$F$64,IF(L817&lt;='Assumptions and Catalog'!$C$65,L817*'Assumptions and Catalog'!$H$65+'Assumptions and Catalog'!$E$65+'Assumptions and Catalog'!$F$65,"Out of range")))))))))*(1+'Assumptions and Catalog'!$C$8)^(A817-1),0)</f>
        <v>5834.54096705346</v>
      </c>
      <c r="O817" s="5">
        <f t="shared" si="59"/>
        <v>2720.4256996132071</v>
      </c>
      <c r="P817" s="5">
        <f>E$55*(1-L$14)*(1-'Assumptions and Catalog'!$C$23)^R817</f>
        <v>96.3780608</v>
      </c>
      <c r="Q817" s="5">
        <f>IF(ISNUMBER(Inputs!$L$5),(IF(Inputs!$L$9="Actual flat rate",((D817+E817)*C817-G817)*Inputs!$L$10,IF(Inputs!$C$9="Residential",IF(((D817+E817)*C817-G817)&lt;='Assumptions and Catalog'!$C$50,((D817+E817)*C817-G817)*'Assumptions and Catalog'!$H$50+'Assumptions and Catalog'!$E$50+'Assumptions and Catalog'!$F$50,IF(((D817+E817)*C817-G817)&lt;='Assumptions and Catalog'!$C$51,((D817+E817)*C817-G817)*'Assumptions and Catalog'!$H$51+'Assumptions and Catalog'!$E$51+'Assumptions and Catalog'!$F$51,IF(((D817+E817)*C817-G817)&lt;='Assumptions and Catalog'!$C$52,((D817+E817)*C817-G817)*'Assumptions and Catalog'!$H$52+'Assumptions and Catalog'!$E$52+'Assumptions and Catalog'!$F$52,IF(((D817+E817)*C817-G817)&lt;='Assumptions and Catalog'!$C$53,((D817+E817)*C817-G817)*'Assumptions and Catalog'!$H$53+'Assumptions and Catalog'!$E$53+'Assumptions and Catalog'!$F$53,IF(((D817+E817)*C817-G817)&lt;='Assumptions and Catalog'!$C$54,((D817+E817)*C817-G817)*'Assumptions and Catalog'!$H$54+'Assumptions and Catalog'!$E$54+'Assumptions and Catalog'!$F$54,IF(((D817+E817)*C817-G817)&lt;='Assumptions and Catalog'!$C$55,((D817+E817)*C817-G817)*'Assumptions and Catalog'!$H$55+'Assumptions and Catalog'!$E$55+'Assumptions and Catalog'!$F$55,IF(((D817+E817)*C817-G817)&lt;='Assumptions and Catalog'!$C$56,((D817+E817)*C817-G817)*'Assumptions and Catalog'!$H$56+'Assumptions and Catalog'!$E$56+'Assumptions and Catalog'!$F$56,IF(((D817+E817)*C817-G817)&lt;='Assumptions and Catalog'!$C$57,((D817+E817)*C817-G817)*'Assumptions and Catalog'!$H$57+'Assumptions and Catalog'!$E$57+'Assumptions and Catalog'!$F$57,"Out of range")))))))),IF(((D817+E817)*C817-G817)&lt;='Assumptions and Catalog'!$C$60,((D817+E817)*C817-G817)*'Assumptions and Catalog'!$H$60+'Assumptions and Catalog'!$E$60+'Assumptions and Catalog'!$F$60,IF(((D817+E817)*C817-G817)&lt;='Assumptions and Catalog'!$C$61,((D817+E817)*C817-G817)*'Assumptions and Catalog'!$H$61+'Assumptions and Catalog'!$E$61+'Assumptions and Catalog'!$F$61,IF(((D817+E817)*C817-G817)&lt;='Assumptions and Catalog'!$C$62,((D817+E817)*C817-G817)*'Assumptions and Catalog'!$H$62+'Assumptions and Catalog'!$E$62+'Assumptions and Catalog'!$F$62,IF(((D817+E817)*C817-G817)&lt;='Assumptions and Catalog'!$C$63,((D817+E817)*C817-G817)*'Assumptions and Catalog'!$H$63+'Assumptions and Catalog'!$E$63+'Assumptions and Catalog'!$F$63,IF(((D817+E817)*C817-G817)&lt;='Assumptions and Catalog'!$C$64,((D817+E817)*C817-G817)*'Assumptions and Catalog'!$H$64+'Assumptions and Catalog'!$E$64+'Assumptions and Catalog'!$F$64,IF(((D817+E817)*C817-G817)&lt;='Assumptions and Catalog'!$C$65,((D817+E817)*C817-G817)*'Assumptions and Catalog'!$H$65+'Assumptions and Catalog'!$E$65+'Assumptions and Catalog'!$F$65,"Out of range")))))))))*(1+'Assumptions and Catalog'!$C$8)^(A817-1),0)</f>
        <v>5834.54096705346</v>
      </c>
      <c r="R817" s="5">
        <f>IF(AND('Assumptions and Catalog'!$C$19&gt;0,A817&gt;='Assumptions and Catalog'!$C$19),A817-'Assumptions and Catalog'!$C$19,A817-1)</f>
        <v>3</v>
      </c>
      <c r="S817" s="5">
        <f>F817+L817-(D817+E817)*C817-J817-K817-IF(E$52&gt;0,'Assumptions and Catalog'!$C$26*C817,0)</f>
        <v>0</v>
      </c>
      <c r="T817" s="5"/>
      <c r="U817" s="5"/>
    </row>
    <row r="818" spans="1:21" ht="23.1" customHeight="1" outlineLevel="1" x14ac:dyDescent="0.2">
      <c r="A818" s="5">
        <v>14</v>
      </c>
      <c r="B818" s="5">
        <v>2</v>
      </c>
      <c r="C818" s="5">
        <f>DAY(DATE('Assumptions and Catalog'!$C$24+A818-1,B818+1,0))</f>
        <v>29</v>
      </c>
      <c r="D818" s="5">
        <f>IF(ISNUMBER(Inputs!$L$5),Inputs!$L$5*Inputs!$L$6,0)</f>
        <v>40.35</v>
      </c>
      <c r="E818" s="5">
        <f>IF(ISNUMBER(Inputs!$L$5),Inputs!$L$5-D818,0)</f>
        <v>40.35</v>
      </c>
      <c r="F818" s="5">
        <f>E$51*'Assumptions and Catalog'!$C$31*C818*(1-'Assumptions and Catalog'!$C$10)^(A818-1)</f>
        <v>744.20070970135725</v>
      </c>
      <c r="G818" s="5">
        <f t="shared" si="56"/>
        <v>744.20070970135725</v>
      </c>
      <c r="H818" s="5">
        <f>I818/('Assumptions and Catalog'!$C$11*'Assumptions and Catalog'!$C$12)</f>
        <v>0</v>
      </c>
      <c r="I818" s="5">
        <f>MIN(E818*C818,P818*'Assumptions and Catalog'!$C$12*C818,(F818-G818)*'Assumptions and Catalog'!$C$11*'Assumptions and Catalog'!$C$12,E$56*'Assumptions and Catalog'!$C$14*'Assumptions and Catalog'!$C$11*'Assumptions and Catalog'!$C$12*C818,E$57*(24-'Assumptions and Catalog'!$C$13)*C818)</f>
        <v>0</v>
      </c>
      <c r="J818" s="5">
        <f t="shared" si="57"/>
        <v>0</v>
      </c>
      <c r="K818" s="5">
        <f t="shared" si="58"/>
        <v>0</v>
      </c>
      <c r="L818" s="5">
        <f>(D818+E818)*C818-G818-I818+0+IF(E$52&gt;0,'Assumptions and Catalog'!$C$26*C818,0)</f>
        <v>1596.0992902986429</v>
      </c>
      <c r="M818" s="5">
        <f>IF(ISNUMBER(Inputs!$L$5),(IF(Inputs!$L$9="Actual flat rate",((D818+E818)*C818)*Inputs!$L$10,IF(Inputs!$C$9="Residential",IF(((D818+E818)*C818)&lt;='Assumptions and Catalog'!$C$50,((D818+E818)*C818)*'Assumptions and Catalog'!$H$50+'Assumptions and Catalog'!$E$50+'Assumptions and Catalog'!$F$50,IF(((D818+E818)*C818)&lt;='Assumptions and Catalog'!$C$51,((D818+E818)*C818)*'Assumptions and Catalog'!$H$51+'Assumptions and Catalog'!$E$51+'Assumptions and Catalog'!$F$51,IF(((D818+E818)*C818)&lt;='Assumptions and Catalog'!$C$52,((D818+E818)*C818)*'Assumptions and Catalog'!$H$52+'Assumptions and Catalog'!$E$52+'Assumptions and Catalog'!$F$52,IF(((D818+E818)*C818)&lt;='Assumptions and Catalog'!$C$53,((D818+E818)*C818)*'Assumptions and Catalog'!$H$53+'Assumptions and Catalog'!$E$53+'Assumptions and Catalog'!$F$53,IF(((D818+E818)*C818)&lt;='Assumptions and Catalog'!$C$54,((D818+E818)*C818)*'Assumptions and Catalog'!$H$54+'Assumptions and Catalog'!$E$54+'Assumptions and Catalog'!$F$54,IF(((D818+E818)*C818)&lt;='Assumptions and Catalog'!$C$55,((D818+E818)*C818)*'Assumptions and Catalog'!$H$55+'Assumptions and Catalog'!$E$55+'Assumptions and Catalog'!$F$55,IF(((D818+E818)*C818)&lt;='Assumptions and Catalog'!$C$56,((D818+E818)*C818)*'Assumptions and Catalog'!$H$56+'Assumptions and Catalog'!$E$56+'Assumptions and Catalog'!$F$56,IF(((D818+E818)*C818)&lt;='Assumptions and Catalog'!$C$57,((D818+E818)*C818)*'Assumptions and Catalog'!$H$57+'Assumptions and Catalog'!$E$57+'Assumptions and Catalog'!$F$57,"Out of range")))))))),IF(((D818+E818)*C818)&lt;='Assumptions and Catalog'!$C$60,((D818+E818)*C818)*'Assumptions and Catalog'!$H$60+'Assumptions and Catalog'!$E$60+'Assumptions and Catalog'!$F$60,IF(((D818+E818)*C818)&lt;='Assumptions and Catalog'!$C$61,((D818+E818)*C818)*'Assumptions and Catalog'!$H$61+'Assumptions and Catalog'!$E$61+'Assumptions and Catalog'!$F$61,IF(((D818+E818)*C818)&lt;='Assumptions and Catalog'!$C$62,((D818+E818)*C818)*'Assumptions and Catalog'!$H$62+'Assumptions and Catalog'!$E$62+'Assumptions and Catalog'!$F$62,IF(((D818+E818)*C818)&lt;='Assumptions and Catalog'!$C$63,((D818+E818)*C818)*'Assumptions and Catalog'!$H$63+'Assumptions and Catalog'!$E$63+'Assumptions and Catalog'!$F$63,IF(((D818+E818)*C818)&lt;='Assumptions and Catalog'!$C$64,((D818+E818)*C818)*'Assumptions and Catalog'!$H$64+'Assumptions and Catalog'!$E$64+'Assumptions and Catalog'!$F$64,IF(((D818+E818)*C818)&lt;='Assumptions and Catalog'!$C$65,((D818+E818)*C818)*'Assumptions and Catalog'!$H$65+'Assumptions and Catalog'!$E$65+'Assumptions and Catalog'!$F$65,"Out of range")))))))))*(1+'Assumptions and Catalog'!$C$8)^(A818-1),0)</f>
        <v>8003.0333333333338</v>
      </c>
      <c r="N818" s="5">
        <f>IF(ISNUMBER(Inputs!$L$5),(IF(Inputs!$L$9="Actual flat rate",L818*Inputs!$L$10,IF(Inputs!$C$9="Residential",IF(L818&lt;='Assumptions and Catalog'!$C$50,L818*'Assumptions and Catalog'!$H$50+'Assumptions and Catalog'!$E$50+'Assumptions and Catalog'!$F$50,IF(L818&lt;='Assumptions and Catalog'!$C$51,L818*'Assumptions and Catalog'!$H$51+'Assumptions and Catalog'!$E$51+'Assumptions and Catalog'!$F$51,IF(L818&lt;='Assumptions and Catalog'!$C$52,L818*'Assumptions and Catalog'!$H$52+'Assumptions and Catalog'!$E$52+'Assumptions and Catalog'!$F$52,IF(L818&lt;='Assumptions and Catalog'!$C$53,L818*'Assumptions and Catalog'!$H$53+'Assumptions and Catalog'!$E$53+'Assumptions and Catalog'!$F$53,IF(L818&lt;='Assumptions and Catalog'!$C$54,L818*'Assumptions and Catalog'!$H$54+'Assumptions and Catalog'!$E$54+'Assumptions and Catalog'!$F$54,IF(L818&lt;='Assumptions and Catalog'!$C$55,L818*'Assumptions and Catalog'!$H$55+'Assumptions and Catalog'!$E$55+'Assumptions and Catalog'!$F$55,IF(L818&lt;='Assumptions and Catalog'!$C$56,L818*'Assumptions and Catalog'!$H$56+'Assumptions and Catalog'!$E$56+'Assumptions and Catalog'!$F$56,IF(L818&lt;='Assumptions and Catalog'!$C$57,L818*'Assumptions and Catalog'!$H$57+'Assumptions and Catalog'!$E$57+'Assumptions and Catalog'!$F$57,"Out of range")))))))),IF(L818&lt;='Assumptions and Catalog'!$C$60,L818*'Assumptions and Catalog'!$H$60+'Assumptions and Catalog'!$E$60+'Assumptions and Catalog'!$F$60,IF(L818&lt;='Assumptions and Catalog'!$C$61,L818*'Assumptions and Catalog'!$H$61+'Assumptions and Catalog'!$E$61+'Assumptions and Catalog'!$F$61,IF(L818&lt;='Assumptions and Catalog'!$C$62,L818*'Assumptions and Catalog'!$H$62+'Assumptions and Catalog'!$E$62+'Assumptions and Catalog'!$F$62,IF(L818&lt;='Assumptions and Catalog'!$C$63,L818*'Assumptions and Catalog'!$H$63+'Assumptions and Catalog'!$E$63+'Assumptions and Catalog'!$F$63,IF(L818&lt;='Assumptions and Catalog'!$C$64,L818*'Assumptions and Catalog'!$H$64+'Assumptions and Catalog'!$E$64+'Assumptions and Catalog'!$F$64,IF(L818&lt;='Assumptions and Catalog'!$C$65,L818*'Assumptions and Catalog'!$H$65+'Assumptions and Catalog'!$E$65+'Assumptions and Catalog'!$F$65,"Out of range")))))))))*(1+'Assumptions and Catalog'!$C$8)^(A818-1),0)</f>
        <v>5458.1189691790432</v>
      </c>
      <c r="O818" s="5">
        <f t="shared" si="59"/>
        <v>2544.9143641542905</v>
      </c>
      <c r="P818" s="5">
        <f>E$55*(1-L$14)*(1-'Assumptions and Catalog'!$C$23)^R818</f>
        <v>96.3780608</v>
      </c>
      <c r="Q818" s="5">
        <f>IF(ISNUMBER(Inputs!$L$5),(IF(Inputs!$L$9="Actual flat rate",((D818+E818)*C818-G818)*Inputs!$L$10,IF(Inputs!$C$9="Residential",IF(((D818+E818)*C818-G818)&lt;='Assumptions and Catalog'!$C$50,((D818+E818)*C818-G818)*'Assumptions and Catalog'!$H$50+'Assumptions and Catalog'!$E$50+'Assumptions and Catalog'!$F$50,IF(((D818+E818)*C818-G818)&lt;='Assumptions and Catalog'!$C$51,((D818+E818)*C818-G818)*'Assumptions and Catalog'!$H$51+'Assumptions and Catalog'!$E$51+'Assumptions and Catalog'!$F$51,IF(((D818+E818)*C818-G818)&lt;='Assumptions and Catalog'!$C$52,((D818+E818)*C818-G818)*'Assumptions and Catalog'!$H$52+'Assumptions and Catalog'!$E$52+'Assumptions and Catalog'!$F$52,IF(((D818+E818)*C818-G818)&lt;='Assumptions and Catalog'!$C$53,((D818+E818)*C818-G818)*'Assumptions and Catalog'!$H$53+'Assumptions and Catalog'!$E$53+'Assumptions and Catalog'!$F$53,IF(((D818+E818)*C818-G818)&lt;='Assumptions and Catalog'!$C$54,((D818+E818)*C818-G818)*'Assumptions and Catalog'!$H$54+'Assumptions and Catalog'!$E$54+'Assumptions and Catalog'!$F$54,IF(((D818+E818)*C818-G818)&lt;='Assumptions and Catalog'!$C$55,((D818+E818)*C818-G818)*'Assumptions and Catalog'!$H$55+'Assumptions and Catalog'!$E$55+'Assumptions and Catalog'!$F$55,IF(((D818+E818)*C818-G818)&lt;='Assumptions and Catalog'!$C$56,((D818+E818)*C818-G818)*'Assumptions and Catalog'!$H$56+'Assumptions and Catalog'!$E$56+'Assumptions and Catalog'!$F$56,IF(((D818+E818)*C818-G818)&lt;='Assumptions and Catalog'!$C$57,((D818+E818)*C818-G818)*'Assumptions and Catalog'!$H$57+'Assumptions and Catalog'!$E$57+'Assumptions and Catalog'!$F$57,"Out of range")))))))),IF(((D818+E818)*C818-G818)&lt;='Assumptions and Catalog'!$C$60,((D818+E818)*C818-G818)*'Assumptions and Catalog'!$H$60+'Assumptions and Catalog'!$E$60+'Assumptions and Catalog'!$F$60,IF(((D818+E818)*C818-G818)&lt;='Assumptions and Catalog'!$C$61,((D818+E818)*C818-G818)*'Assumptions and Catalog'!$H$61+'Assumptions and Catalog'!$E$61+'Assumptions and Catalog'!$F$61,IF(((D818+E818)*C818-G818)&lt;='Assumptions and Catalog'!$C$62,((D818+E818)*C818-G818)*'Assumptions and Catalog'!$H$62+'Assumptions and Catalog'!$E$62+'Assumptions and Catalog'!$F$62,IF(((D818+E818)*C818-G818)&lt;='Assumptions and Catalog'!$C$63,((D818+E818)*C818-G818)*'Assumptions and Catalog'!$H$63+'Assumptions and Catalog'!$E$63+'Assumptions and Catalog'!$F$63,IF(((D818+E818)*C818-G818)&lt;='Assumptions and Catalog'!$C$64,((D818+E818)*C818-G818)*'Assumptions and Catalog'!$H$64+'Assumptions and Catalog'!$E$64+'Assumptions and Catalog'!$F$64,IF(((D818+E818)*C818-G818)&lt;='Assumptions and Catalog'!$C$65,((D818+E818)*C818-G818)*'Assumptions and Catalog'!$H$65+'Assumptions and Catalog'!$E$65+'Assumptions and Catalog'!$F$65,"Out of range")))))))))*(1+'Assumptions and Catalog'!$C$8)^(A818-1),0)</f>
        <v>5458.1189691790432</v>
      </c>
      <c r="R818" s="5">
        <f>IF(AND('Assumptions and Catalog'!$C$19&gt;0,A818&gt;='Assumptions and Catalog'!$C$19),A818-'Assumptions and Catalog'!$C$19,A818-1)</f>
        <v>3</v>
      </c>
      <c r="S818" s="5">
        <f>F818+L818-(D818+E818)*C818-J818-K818-IF(E$52&gt;0,'Assumptions and Catalog'!$C$26*C818,0)</f>
        <v>0</v>
      </c>
      <c r="T818" s="5"/>
      <c r="U818" s="5"/>
    </row>
    <row r="819" spans="1:21" ht="23.1" customHeight="1" outlineLevel="1" x14ac:dyDescent="0.2">
      <c r="A819" s="5">
        <v>14</v>
      </c>
      <c r="B819" s="5">
        <v>3</v>
      </c>
      <c r="C819" s="5">
        <f>DAY(DATE('Assumptions and Catalog'!$C$24+A819-1,B819+1,0))</f>
        <v>31</v>
      </c>
      <c r="D819" s="5">
        <f>IF(ISNUMBER(Inputs!$L$5),Inputs!$L$5*Inputs!$L$6,0)</f>
        <v>40.35</v>
      </c>
      <c r="E819" s="5">
        <f>IF(ISNUMBER(Inputs!$L$5),Inputs!$L$5-D819,0)</f>
        <v>40.35</v>
      </c>
      <c r="F819" s="5">
        <f>E$51*'Assumptions and Catalog'!$C$31*C819*(1-'Assumptions and Catalog'!$C$10)^(A819-1)</f>
        <v>795.52489657731292</v>
      </c>
      <c r="G819" s="5">
        <f t="shared" si="56"/>
        <v>795.52489657731292</v>
      </c>
      <c r="H819" s="5">
        <f>I819/('Assumptions and Catalog'!$C$11*'Assumptions and Catalog'!$C$12)</f>
        <v>0</v>
      </c>
      <c r="I819" s="5">
        <f>MIN(E819*C819,P819*'Assumptions and Catalog'!$C$12*C819,(F819-G819)*'Assumptions and Catalog'!$C$11*'Assumptions and Catalog'!$C$12,E$56*'Assumptions and Catalog'!$C$14*'Assumptions and Catalog'!$C$11*'Assumptions and Catalog'!$C$12*C819,E$57*(24-'Assumptions and Catalog'!$C$13)*C819)</f>
        <v>0</v>
      </c>
      <c r="J819" s="5">
        <f t="shared" si="57"/>
        <v>0</v>
      </c>
      <c r="K819" s="5">
        <f t="shared" si="58"/>
        <v>0</v>
      </c>
      <c r="L819" s="5">
        <f>(D819+E819)*C819-G819-I819+0+IF(E$52&gt;0,'Assumptions and Catalog'!$C$26*C819,0)</f>
        <v>1706.1751034226872</v>
      </c>
      <c r="M819" s="5">
        <f>IF(ISNUMBER(Inputs!$L$5),(IF(Inputs!$L$9="Actual flat rate",((D819+E819)*C819)*Inputs!$L$10,IF(Inputs!$C$9="Residential",IF(((D819+E819)*C819)&lt;='Assumptions and Catalog'!$C$50,((D819+E819)*C819)*'Assumptions and Catalog'!$H$50+'Assumptions and Catalog'!$E$50+'Assumptions and Catalog'!$F$50,IF(((D819+E819)*C819)&lt;='Assumptions and Catalog'!$C$51,((D819+E819)*C819)*'Assumptions and Catalog'!$H$51+'Assumptions and Catalog'!$E$51+'Assumptions and Catalog'!$F$51,IF(((D819+E819)*C819)&lt;='Assumptions and Catalog'!$C$52,((D819+E819)*C819)*'Assumptions and Catalog'!$H$52+'Assumptions and Catalog'!$E$52+'Assumptions and Catalog'!$F$52,IF(((D819+E819)*C819)&lt;='Assumptions and Catalog'!$C$53,((D819+E819)*C819)*'Assumptions and Catalog'!$H$53+'Assumptions and Catalog'!$E$53+'Assumptions and Catalog'!$F$53,IF(((D819+E819)*C819)&lt;='Assumptions and Catalog'!$C$54,((D819+E819)*C819)*'Assumptions and Catalog'!$H$54+'Assumptions and Catalog'!$E$54+'Assumptions and Catalog'!$F$54,IF(((D819+E819)*C819)&lt;='Assumptions and Catalog'!$C$55,((D819+E819)*C819)*'Assumptions and Catalog'!$H$55+'Assumptions and Catalog'!$E$55+'Assumptions and Catalog'!$F$55,IF(((D819+E819)*C819)&lt;='Assumptions and Catalog'!$C$56,((D819+E819)*C819)*'Assumptions and Catalog'!$H$56+'Assumptions and Catalog'!$E$56+'Assumptions and Catalog'!$F$56,IF(((D819+E819)*C819)&lt;='Assumptions and Catalog'!$C$57,((D819+E819)*C819)*'Assumptions and Catalog'!$H$57+'Assumptions and Catalog'!$E$57+'Assumptions and Catalog'!$F$57,"Out of range")))))))),IF(((D819+E819)*C819)&lt;='Assumptions and Catalog'!$C$60,((D819+E819)*C819)*'Assumptions and Catalog'!$H$60+'Assumptions and Catalog'!$E$60+'Assumptions and Catalog'!$F$60,IF(((D819+E819)*C819)&lt;='Assumptions and Catalog'!$C$61,((D819+E819)*C819)*'Assumptions and Catalog'!$H$61+'Assumptions and Catalog'!$E$61+'Assumptions and Catalog'!$F$61,IF(((D819+E819)*C819)&lt;='Assumptions and Catalog'!$C$62,((D819+E819)*C819)*'Assumptions and Catalog'!$H$62+'Assumptions and Catalog'!$E$62+'Assumptions and Catalog'!$F$62,IF(((D819+E819)*C819)&lt;='Assumptions and Catalog'!$C$63,((D819+E819)*C819)*'Assumptions and Catalog'!$H$63+'Assumptions and Catalog'!$E$63+'Assumptions and Catalog'!$F$63,IF(((D819+E819)*C819)&lt;='Assumptions and Catalog'!$C$64,((D819+E819)*C819)*'Assumptions and Catalog'!$H$64+'Assumptions and Catalog'!$E$64+'Assumptions and Catalog'!$F$64,IF(((D819+E819)*C819)&lt;='Assumptions and Catalog'!$C$65,((D819+E819)*C819)*'Assumptions and Catalog'!$H$65+'Assumptions and Catalog'!$E$65+'Assumptions and Catalog'!$F$65,"Out of range")))))))))*(1+'Assumptions and Catalog'!$C$8)^(A819-1),0)</f>
        <v>8554.9666666666672</v>
      </c>
      <c r="N819" s="5">
        <f>IF(ISNUMBER(Inputs!$L$5),(IF(Inputs!$L$9="Actual flat rate",L819*Inputs!$L$10,IF(Inputs!$C$9="Residential",IF(L819&lt;='Assumptions and Catalog'!$C$50,L819*'Assumptions and Catalog'!$H$50+'Assumptions and Catalog'!$E$50+'Assumptions and Catalog'!$F$50,IF(L819&lt;='Assumptions and Catalog'!$C$51,L819*'Assumptions and Catalog'!$H$51+'Assumptions and Catalog'!$E$51+'Assumptions and Catalog'!$F$51,IF(L819&lt;='Assumptions and Catalog'!$C$52,L819*'Assumptions and Catalog'!$H$52+'Assumptions and Catalog'!$E$52+'Assumptions and Catalog'!$F$52,IF(L819&lt;='Assumptions and Catalog'!$C$53,L819*'Assumptions and Catalog'!$H$53+'Assumptions and Catalog'!$E$53+'Assumptions and Catalog'!$F$53,IF(L819&lt;='Assumptions and Catalog'!$C$54,L819*'Assumptions and Catalog'!$H$54+'Assumptions and Catalog'!$E$54+'Assumptions and Catalog'!$F$54,IF(L819&lt;='Assumptions and Catalog'!$C$55,L819*'Assumptions and Catalog'!$H$55+'Assumptions and Catalog'!$E$55+'Assumptions and Catalog'!$F$55,IF(L819&lt;='Assumptions and Catalog'!$C$56,L819*'Assumptions and Catalog'!$H$56+'Assumptions and Catalog'!$E$56+'Assumptions and Catalog'!$F$56,IF(L819&lt;='Assumptions and Catalog'!$C$57,L819*'Assumptions and Catalog'!$H$57+'Assumptions and Catalog'!$E$57+'Assumptions and Catalog'!$F$57,"Out of range")))))))),IF(L819&lt;='Assumptions and Catalog'!$C$60,L819*'Assumptions and Catalog'!$H$60+'Assumptions and Catalog'!$E$60+'Assumptions and Catalog'!$F$60,IF(L819&lt;='Assumptions and Catalog'!$C$61,L819*'Assumptions and Catalog'!$H$61+'Assumptions and Catalog'!$E$61+'Assumptions and Catalog'!$F$61,IF(L819&lt;='Assumptions and Catalog'!$C$62,L819*'Assumptions and Catalog'!$H$62+'Assumptions and Catalog'!$E$62+'Assumptions and Catalog'!$F$62,IF(L819&lt;='Assumptions and Catalog'!$C$63,L819*'Assumptions and Catalog'!$H$63+'Assumptions and Catalog'!$E$63+'Assumptions and Catalog'!$F$63,IF(L819&lt;='Assumptions and Catalog'!$C$64,L819*'Assumptions and Catalog'!$H$64+'Assumptions and Catalog'!$E$64+'Assumptions and Catalog'!$F$64,IF(L819&lt;='Assumptions and Catalog'!$C$65,L819*'Assumptions and Catalog'!$H$65+'Assumptions and Catalog'!$E$65+'Assumptions and Catalog'!$F$65,"Out of range")))))))))*(1+'Assumptions and Catalog'!$C$8)^(A819-1),0)</f>
        <v>5834.54096705346</v>
      </c>
      <c r="O819" s="5">
        <f t="shared" si="59"/>
        <v>2720.4256996132071</v>
      </c>
      <c r="P819" s="5">
        <f>E$55*(1-L$14)*(1-'Assumptions and Catalog'!$C$23)^R819</f>
        <v>96.3780608</v>
      </c>
      <c r="Q819" s="5">
        <f>IF(ISNUMBER(Inputs!$L$5),(IF(Inputs!$L$9="Actual flat rate",((D819+E819)*C819-G819)*Inputs!$L$10,IF(Inputs!$C$9="Residential",IF(((D819+E819)*C819-G819)&lt;='Assumptions and Catalog'!$C$50,((D819+E819)*C819-G819)*'Assumptions and Catalog'!$H$50+'Assumptions and Catalog'!$E$50+'Assumptions and Catalog'!$F$50,IF(((D819+E819)*C819-G819)&lt;='Assumptions and Catalog'!$C$51,((D819+E819)*C819-G819)*'Assumptions and Catalog'!$H$51+'Assumptions and Catalog'!$E$51+'Assumptions and Catalog'!$F$51,IF(((D819+E819)*C819-G819)&lt;='Assumptions and Catalog'!$C$52,((D819+E819)*C819-G819)*'Assumptions and Catalog'!$H$52+'Assumptions and Catalog'!$E$52+'Assumptions and Catalog'!$F$52,IF(((D819+E819)*C819-G819)&lt;='Assumptions and Catalog'!$C$53,((D819+E819)*C819-G819)*'Assumptions and Catalog'!$H$53+'Assumptions and Catalog'!$E$53+'Assumptions and Catalog'!$F$53,IF(((D819+E819)*C819-G819)&lt;='Assumptions and Catalog'!$C$54,((D819+E819)*C819-G819)*'Assumptions and Catalog'!$H$54+'Assumptions and Catalog'!$E$54+'Assumptions and Catalog'!$F$54,IF(((D819+E819)*C819-G819)&lt;='Assumptions and Catalog'!$C$55,((D819+E819)*C819-G819)*'Assumptions and Catalog'!$H$55+'Assumptions and Catalog'!$E$55+'Assumptions and Catalog'!$F$55,IF(((D819+E819)*C819-G819)&lt;='Assumptions and Catalog'!$C$56,((D819+E819)*C819-G819)*'Assumptions and Catalog'!$H$56+'Assumptions and Catalog'!$E$56+'Assumptions and Catalog'!$F$56,IF(((D819+E819)*C819-G819)&lt;='Assumptions and Catalog'!$C$57,((D819+E819)*C819-G819)*'Assumptions and Catalog'!$H$57+'Assumptions and Catalog'!$E$57+'Assumptions and Catalog'!$F$57,"Out of range")))))))),IF(((D819+E819)*C819-G819)&lt;='Assumptions and Catalog'!$C$60,((D819+E819)*C819-G819)*'Assumptions and Catalog'!$H$60+'Assumptions and Catalog'!$E$60+'Assumptions and Catalog'!$F$60,IF(((D819+E819)*C819-G819)&lt;='Assumptions and Catalog'!$C$61,((D819+E819)*C819-G819)*'Assumptions and Catalog'!$H$61+'Assumptions and Catalog'!$E$61+'Assumptions and Catalog'!$F$61,IF(((D819+E819)*C819-G819)&lt;='Assumptions and Catalog'!$C$62,((D819+E819)*C819-G819)*'Assumptions and Catalog'!$H$62+'Assumptions and Catalog'!$E$62+'Assumptions and Catalog'!$F$62,IF(((D819+E819)*C819-G819)&lt;='Assumptions and Catalog'!$C$63,((D819+E819)*C819-G819)*'Assumptions and Catalog'!$H$63+'Assumptions and Catalog'!$E$63+'Assumptions and Catalog'!$F$63,IF(((D819+E819)*C819-G819)&lt;='Assumptions and Catalog'!$C$64,((D819+E819)*C819-G819)*'Assumptions and Catalog'!$H$64+'Assumptions and Catalog'!$E$64+'Assumptions and Catalog'!$F$64,IF(((D819+E819)*C819-G819)&lt;='Assumptions and Catalog'!$C$65,((D819+E819)*C819-G819)*'Assumptions and Catalog'!$H$65+'Assumptions and Catalog'!$E$65+'Assumptions and Catalog'!$F$65,"Out of range")))))))))*(1+'Assumptions and Catalog'!$C$8)^(A819-1),0)</f>
        <v>5834.54096705346</v>
      </c>
      <c r="R819" s="5">
        <f>IF(AND('Assumptions and Catalog'!$C$19&gt;0,A819&gt;='Assumptions and Catalog'!$C$19),A819-'Assumptions and Catalog'!$C$19,A819-1)</f>
        <v>3</v>
      </c>
      <c r="S819" s="5">
        <f>F819+L819-(D819+E819)*C819-J819-K819-IF(E$52&gt;0,'Assumptions and Catalog'!$C$26*C819,0)</f>
        <v>0</v>
      </c>
      <c r="T819" s="5"/>
      <c r="U819" s="5"/>
    </row>
    <row r="820" spans="1:21" ht="23.1" customHeight="1" outlineLevel="1" x14ac:dyDescent="0.2">
      <c r="A820" s="5">
        <v>14</v>
      </c>
      <c r="B820" s="5">
        <v>4</v>
      </c>
      <c r="C820" s="5">
        <f>DAY(DATE('Assumptions and Catalog'!$C$24+A820-1,B820+1,0))</f>
        <v>30</v>
      </c>
      <c r="D820" s="5">
        <f>IF(ISNUMBER(Inputs!$L$5),Inputs!$L$5*Inputs!$L$6,0)</f>
        <v>40.35</v>
      </c>
      <c r="E820" s="5">
        <f>IF(ISNUMBER(Inputs!$L$5),Inputs!$L$5-D820,0)</f>
        <v>40.35</v>
      </c>
      <c r="F820" s="5">
        <f>E$51*'Assumptions and Catalog'!$C$31*C820*(1-'Assumptions and Catalog'!$C$10)^(A820-1)</f>
        <v>769.86280313933503</v>
      </c>
      <c r="G820" s="5">
        <f t="shared" si="56"/>
        <v>769.86280313933503</v>
      </c>
      <c r="H820" s="5">
        <f>I820/('Assumptions and Catalog'!$C$11*'Assumptions and Catalog'!$C$12)</f>
        <v>0</v>
      </c>
      <c r="I820" s="5">
        <f>MIN(E820*C820,P820*'Assumptions and Catalog'!$C$12*C820,(F820-G820)*'Assumptions and Catalog'!$C$11*'Assumptions and Catalog'!$C$12,E$56*'Assumptions and Catalog'!$C$14*'Assumptions and Catalog'!$C$11*'Assumptions and Catalog'!$C$12*C820,E$57*(24-'Assumptions and Catalog'!$C$13)*C820)</f>
        <v>0</v>
      </c>
      <c r="J820" s="5">
        <f t="shared" si="57"/>
        <v>0</v>
      </c>
      <c r="K820" s="5">
        <f t="shared" si="58"/>
        <v>0</v>
      </c>
      <c r="L820" s="5">
        <f>(D820+E820)*C820-G820-I820+0+IF(E$52&gt;0,'Assumptions and Catalog'!$C$26*C820,0)</f>
        <v>1651.137196860665</v>
      </c>
      <c r="M820" s="5">
        <f>IF(ISNUMBER(Inputs!$L$5),(IF(Inputs!$L$9="Actual flat rate",((D820+E820)*C820)*Inputs!$L$10,IF(Inputs!$C$9="Residential",IF(((D820+E820)*C820)&lt;='Assumptions and Catalog'!$C$50,((D820+E820)*C820)*'Assumptions and Catalog'!$H$50+'Assumptions and Catalog'!$E$50+'Assumptions and Catalog'!$F$50,IF(((D820+E820)*C820)&lt;='Assumptions and Catalog'!$C$51,((D820+E820)*C820)*'Assumptions and Catalog'!$H$51+'Assumptions and Catalog'!$E$51+'Assumptions and Catalog'!$F$51,IF(((D820+E820)*C820)&lt;='Assumptions and Catalog'!$C$52,((D820+E820)*C820)*'Assumptions and Catalog'!$H$52+'Assumptions and Catalog'!$E$52+'Assumptions and Catalog'!$F$52,IF(((D820+E820)*C820)&lt;='Assumptions and Catalog'!$C$53,((D820+E820)*C820)*'Assumptions and Catalog'!$H$53+'Assumptions and Catalog'!$E$53+'Assumptions and Catalog'!$F$53,IF(((D820+E820)*C820)&lt;='Assumptions and Catalog'!$C$54,((D820+E820)*C820)*'Assumptions and Catalog'!$H$54+'Assumptions and Catalog'!$E$54+'Assumptions and Catalog'!$F$54,IF(((D820+E820)*C820)&lt;='Assumptions and Catalog'!$C$55,((D820+E820)*C820)*'Assumptions and Catalog'!$H$55+'Assumptions and Catalog'!$E$55+'Assumptions and Catalog'!$F$55,IF(((D820+E820)*C820)&lt;='Assumptions and Catalog'!$C$56,((D820+E820)*C820)*'Assumptions and Catalog'!$H$56+'Assumptions and Catalog'!$E$56+'Assumptions and Catalog'!$F$56,IF(((D820+E820)*C820)&lt;='Assumptions and Catalog'!$C$57,((D820+E820)*C820)*'Assumptions and Catalog'!$H$57+'Assumptions and Catalog'!$E$57+'Assumptions and Catalog'!$F$57,"Out of range")))))))),IF(((D820+E820)*C820)&lt;='Assumptions and Catalog'!$C$60,((D820+E820)*C820)*'Assumptions and Catalog'!$H$60+'Assumptions and Catalog'!$E$60+'Assumptions and Catalog'!$F$60,IF(((D820+E820)*C820)&lt;='Assumptions and Catalog'!$C$61,((D820+E820)*C820)*'Assumptions and Catalog'!$H$61+'Assumptions and Catalog'!$E$61+'Assumptions and Catalog'!$F$61,IF(((D820+E820)*C820)&lt;='Assumptions and Catalog'!$C$62,((D820+E820)*C820)*'Assumptions and Catalog'!$H$62+'Assumptions and Catalog'!$E$62+'Assumptions and Catalog'!$F$62,IF(((D820+E820)*C820)&lt;='Assumptions and Catalog'!$C$63,((D820+E820)*C820)*'Assumptions and Catalog'!$H$63+'Assumptions and Catalog'!$E$63+'Assumptions and Catalog'!$F$63,IF(((D820+E820)*C820)&lt;='Assumptions and Catalog'!$C$64,((D820+E820)*C820)*'Assumptions and Catalog'!$H$64+'Assumptions and Catalog'!$E$64+'Assumptions and Catalog'!$F$64,IF(((D820+E820)*C820)&lt;='Assumptions and Catalog'!$C$65,((D820+E820)*C820)*'Assumptions and Catalog'!$H$65+'Assumptions and Catalog'!$E$65+'Assumptions and Catalog'!$F$65,"Out of range")))))))))*(1+'Assumptions and Catalog'!$C$8)^(A820-1),0)</f>
        <v>8279</v>
      </c>
      <c r="N820" s="5">
        <f>IF(ISNUMBER(Inputs!$L$5),(IF(Inputs!$L$9="Actual flat rate",L820*Inputs!$L$10,IF(Inputs!$C$9="Residential",IF(L820&lt;='Assumptions and Catalog'!$C$50,L820*'Assumptions and Catalog'!$H$50+'Assumptions and Catalog'!$E$50+'Assumptions and Catalog'!$F$50,IF(L820&lt;='Assumptions and Catalog'!$C$51,L820*'Assumptions and Catalog'!$H$51+'Assumptions and Catalog'!$E$51+'Assumptions and Catalog'!$F$51,IF(L820&lt;='Assumptions and Catalog'!$C$52,L820*'Assumptions and Catalog'!$H$52+'Assumptions and Catalog'!$E$52+'Assumptions and Catalog'!$F$52,IF(L820&lt;='Assumptions and Catalog'!$C$53,L820*'Assumptions and Catalog'!$H$53+'Assumptions and Catalog'!$E$53+'Assumptions and Catalog'!$F$53,IF(L820&lt;='Assumptions and Catalog'!$C$54,L820*'Assumptions and Catalog'!$H$54+'Assumptions and Catalog'!$E$54+'Assumptions and Catalog'!$F$54,IF(L820&lt;='Assumptions and Catalog'!$C$55,L820*'Assumptions and Catalog'!$H$55+'Assumptions and Catalog'!$E$55+'Assumptions and Catalog'!$F$55,IF(L820&lt;='Assumptions and Catalog'!$C$56,L820*'Assumptions and Catalog'!$H$56+'Assumptions and Catalog'!$E$56+'Assumptions and Catalog'!$F$56,IF(L820&lt;='Assumptions and Catalog'!$C$57,L820*'Assumptions and Catalog'!$H$57+'Assumptions and Catalog'!$E$57+'Assumptions and Catalog'!$F$57,"Out of range")))))))),IF(L820&lt;='Assumptions and Catalog'!$C$60,L820*'Assumptions and Catalog'!$H$60+'Assumptions and Catalog'!$E$60+'Assumptions and Catalog'!$F$60,IF(L820&lt;='Assumptions and Catalog'!$C$61,L820*'Assumptions and Catalog'!$H$61+'Assumptions and Catalog'!$E$61+'Assumptions and Catalog'!$F$61,IF(L820&lt;='Assumptions and Catalog'!$C$62,L820*'Assumptions and Catalog'!$H$62+'Assumptions and Catalog'!$E$62+'Assumptions and Catalog'!$F$62,IF(L820&lt;='Assumptions and Catalog'!$C$63,L820*'Assumptions and Catalog'!$H$63+'Assumptions and Catalog'!$E$63+'Assumptions and Catalog'!$F$63,IF(L820&lt;='Assumptions and Catalog'!$C$64,L820*'Assumptions and Catalog'!$H$64+'Assumptions and Catalog'!$E$64+'Assumptions and Catalog'!$F$64,IF(L820&lt;='Assumptions and Catalog'!$C$65,L820*'Assumptions and Catalog'!$H$65+'Assumptions and Catalog'!$E$65+'Assumptions and Catalog'!$F$65,"Out of range")))))))))*(1+'Assumptions and Catalog'!$C$8)^(A820-1),0)</f>
        <v>5646.3299681162516</v>
      </c>
      <c r="O820" s="5">
        <f t="shared" si="59"/>
        <v>2632.6700318837484</v>
      </c>
      <c r="P820" s="5">
        <f>E$55*(1-L$14)*(1-'Assumptions and Catalog'!$C$23)^R820</f>
        <v>96.3780608</v>
      </c>
      <c r="Q820" s="5">
        <f>IF(ISNUMBER(Inputs!$L$5),(IF(Inputs!$L$9="Actual flat rate",((D820+E820)*C820-G820)*Inputs!$L$10,IF(Inputs!$C$9="Residential",IF(((D820+E820)*C820-G820)&lt;='Assumptions and Catalog'!$C$50,((D820+E820)*C820-G820)*'Assumptions and Catalog'!$H$50+'Assumptions and Catalog'!$E$50+'Assumptions and Catalog'!$F$50,IF(((D820+E820)*C820-G820)&lt;='Assumptions and Catalog'!$C$51,((D820+E820)*C820-G820)*'Assumptions and Catalog'!$H$51+'Assumptions and Catalog'!$E$51+'Assumptions and Catalog'!$F$51,IF(((D820+E820)*C820-G820)&lt;='Assumptions and Catalog'!$C$52,((D820+E820)*C820-G820)*'Assumptions and Catalog'!$H$52+'Assumptions and Catalog'!$E$52+'Assumptions and Catalog'!$F$52,IF(((D820+E820)*C820-G820)&lt;='Assumptions and Catalog'!$C$53,((D820+E820)*C820-G820)*'Assumptions and Catalog'!$H$53+'Assumptions and Catalog'!$E$53+'Assumptions and Catalog'!$F$53,IF(((D820+E820)*C820-G820)&lt;='Assumptions and Catalog'!$C$54,((D820+E820)*C820-G820)*'Assumptions and Catalog'!$H$54+'Assumptions and Catalog'!$E$54+'Assumptions and Catalog'!$F$54,IF(((D820+E820)*C820-G820)&lt;='Assumptions and Catalog'!$C$55,((D820+E820)*C820-G820)*'Assumptions and Catalog'!$H$55+'Assumptions and Catalog'!$E$55+'Assumptions and Catalog'!$F$55,IF(((D820+E820)*C820-G820)&lt;='Assumptions and Catalog'!$C$56,((D820+E820)*C820-G820)*'Assumptions and Catalog'!$H$56+'Assumptions and Catalog'!$E$56+'Assumptions and Catalog'!$F$56,IF(((D820+E820)*C820-G820)&lt;='Assumptions and Catalog'!$C$57,((D820+E820)*C820-G820)*'Assumptions and Catalog'!$H$57+'Assumptions and Catalog'!$E$57+'Assumptions and Catalog'!$F$57,"Out of range")))))))),IF(((D820+E820)*C820-G820)&lt;='Assumptions and Catalog'!$C$60,((D820+E820)*C820-G820)*'Assumptions and Catalog'!$H$60+'Assumptions and Catalog'!$E$60+'Assumptions and Catalog'!$F$60,IF(((D820+E820)*C820-G820)&lt;='Assumptions and Catalog'!$C$61,((D820+E820)*C820-G820)*'Assumptions and Catalog'!$H$61+'Assumptions and Catalog'!$E$61+'Assumptions and Catalog'!$F$61,IF(((D820+E820)*C820-G820)&lt;='Assumptions and Catalog'!$C$62,((D820+E820)*C820-G820)*'Assumptions and Catalog'!$H$62+'Assumptions and Catalog'!$E$62+'Assumptions and Catalog'!$F$62,IF(((D820+E820)*C820-G820)&lt;='Assumptions and Catalog'!$C$63,((D820+E820)*C820-G820)*'Assumptions and Catalog'!$H$63+'Assumptions and Catalog'!$E$63+'Assumptions and Catalog'!$F$63,IF(((D820+E820)*C820-G820)&lt;='Assumptions and Catalog'!$C$64,((D820+E820)*C820-G820)*'Assumptions and Catalog'!$H$64+'Assumptions and Catalog'!$E$64+'Assumptions and Catalog'!$F$64,IF(((D820+E820)*C820-G820)&lt;='Assumptions and Catalog'!$C$65,((D820+E820)*C820-G820)*'Assumptions and Catalog'!$H$65+'Assumptions and Catalog'!$E$65+'Assumptions and Catalog'!$F$65,"Out of range")))))))))*(1+'Assumptions and Catalog'!$C$8)^(A820-1),0)</f>
        <v>5646.3299681162516</v>
      </c>
      <c r="R820" s="5">
        <f>IF(AND('Assumptions and Catalog'!$C$19&gt;0,A820&gt;='Assumptions and Catalog'!$C$19),A820-'Assumptions and Catalog'!$C$19,A820-1)</f>
        <v>3</v>
      </c>
      <c r="S820" s="5">
        <f>F820+L820-(D820+E820)*C820-J820-K820-IF(E$52&gt;0,'Assumptions and Catalog'!$C$26*C820,0)</f>
        <v>0</v>
      </c>
      <c r="T820" s="5"/>
      <c r="U820" s="5"/>
    </row>
    <row r="821" spans="1:21" ht="23.1" customHeight="1" outlineLevel="1" x14ac:dyDescent="0.2">
      <c r="A821" s="5">
        <v>14</v>
      </c>
      <c r="B821" s="5">
        <v>5</v>
      </c>
      <c r="C821" s="5">
        <f>DAY(DATE('Assumptions and Catalog'!$C$24+A821-1,B821+1,0))</f>
        <v>31</v>
      </c>
      <c r="D821" s="5">
        <f>IF(ISNUMBER(Inputs!$L$5),Inputs!$L$5*Inputs!$L$6,0)</f>
        <v>40.35</v>
      </c>
      <c r="E821" s="5">
        <f>IF(ISNUMBER(Inputs!$L$5),Inputs!$L$5-D821,0)</f>
        <v>40.35</v>
      </c>
      <c r="F821" s="5">
        <f>E$51*'Assumptions and Catalog'!$C$31*C821*(1-'Assumptions and Catalog'!$C$10)^(A821-1)</f>
        <v>795.52489657731292</v>
      </c>
      <c r="G821" s="5">
        <f t="shared" si="56"/>
        <v>795.52489657731292</v>
      </c>
      <c r="H821" s="5">
        <f>I821/('Assumptions and Catalog'!$C$11*'Assumptions and Catalog'!$C$12)</f>
        <v>0</v>
      </c>
      <c r="I821" s="5">
        <f>MIN(E821*C821,P821*'Assumptions and Catalog'!$C$12*C821,(F821-G821)*'Assumptions and Catalog'!$C$11*'Assumptions and Catalog'!$C$12,E$56*'Assumptions and Catalog'!$C$14*'Assumptions and Catalog'!$C$11*'Assumptions and Catalog'!$C$12*C821,E$57*(24-'Assumptions and Catalog'!$C$13)*C821)</f>
        <v>0</v>
      </c>
      <c r="J821" s="5">
        <f t="shared" si="57"/>
        <v>0</v>
      </c>
      <c r="K821" s="5">
        <f t="shared" si="58"/>
        <v>0</v>
      </c>
      <c r="L821" s="5">
        <f>(D821+E821)*C821-G821-I821+0+IF(E$52&gt;0,'Assumptions and Catalog'!$C$26*C821,0)</f>
        <v>1706.1751034226872</v>
      </c>
      <c r="M821" s="5">
        <f>IF(ISNUMBER(Inputs!$L$5),(IF(Inputs!$L$9="Actual flat rate",((D821+E821)*C821)*Inputs!$L$10,IF(Inputs!$C$9="Residential",IF(((D821+E821)*C821)&lt;='Assumptions and Catalog'!$C$50,((D821+E821)*C821)*'Assumptions and Catalog'!$H$50+'Assumptions and Catalog'!$E$50+'Assumptions and Catalog'!$F$50,IF(((D821+E821)*C821)&lt;='Assumptions and Catalog'!$C$51,((D821+E821)*C821)*'Assumptions and Catalog'!$H$51+'Assumptions and Catalog'!$E$51+'Assumptions and Catalog'!$F$51,IF(((D821+E821)*C821)&lt;='Assumptions and Catalog'!$C$52,((D821+E821)*C821)*'Assumptions and Catalog'!$H$52+'Assumptions and Catalog'!$E$52+'Assumptions and Catalog'!$F$52,IF(((D821+E821)*C821)&lt;='Assumptions and Catalog'!$C$53,((D821+E821)*C821)*'Assumptions and Catalog'!$H$53+'Assumptions and Catalog'!$E$53+'Assumptions and Catalog'!$F$53,IF(((D821+E821)*C821)&lt;='Assumptions and Catalog'!$C$54,((D821+E821)*C821)*'Assumptions and Catalog'!$H$54+'Assumptions and Catalog'!$E$54+'Assumptions and Catalog'!$F$54,IF(((D821+E821)*C821)&lt;='Assumptions and Catalog'!$C$55,((D821+E821)*C821)*'Assumptions and Catalog'!$H$55+'Assumptions and Catalog'!$E$55+'Assumptions and Catalog'!$F$55,IF(((D821+E821)*C821)&lt;='Assumptions and Catalog'!$C$56,((D821+E821)*C821)*'Assumptions and Catalog'!$H$56+'Assumptions and Catalog'!$E$56+'Assumptions and Catalog'!$F$56,IF(((D821+E821)*C821)&lt;='Assumptions and Catalog'!$C$57,((D821+E821)*C821)*'Assumptions and Catalog'!$H$57+'Assumptions and Catalog'!$E$57+'Assumptions and Catalog'!$F$57,"Out of range")))))))),IF(((D821+E821)*C821)&lt;='Assumptions and Catalog'!$C$60,((D821+E821)*C821)*'Assumptions and Catalog'!$H$60+'Assumptions and Catalog'!$E$60+'Assumptions and Catalog'!$F$60,IF(((D821+E821)*C821)&lt;='Assumptions and Catalog'!$C$61,((D821+E821)*C821)*'Assumptions and Catalog'!$H$61+'Assumptions and Catalog'!$E$61+'Assumptions and Catalog'!$F$61,IF(((D821+E821)*C821)&lt;='Assumptions and Catalog'!$C$62,((D821+E821)*C821)*'Assumptions and Catalog'!$H$62+'Assumptions and Catalog'!$E$62+'Assumptions and Catalog'!$F$62,IF(((D821+E821)*C821)&lt;='Assumptions and Catalog'!$C$63,((D821+E821)*C821)*'Assumptions and Catalog'!$H$63+'Assumptions and Catalog'!$E$63+'Assumptions and Catalog'!$F$63,IF(((D821+E821)*C821)&lt;='Assumptions and Catalog'!$C$64,((D821+E821)*C821)*'Assumptions and Catalog'!$H$64+'Assumptions and Catalog'!$E$64+'Assumptions and Catalog'!$F$64,IF(((D821+E821)*C821)&lt;='Assumptions and Catalog'!$C$65,((D821+E821)*C821)*'Assumptions and Catalog'!$H$65+'Assumptions and Catalog'!$E$65+'Assumptions and Catalog'!$F$65,"Out of range")))))))))*(1+'Assumptions and Catalog'!$C$8)^(A821-1),0)</f>
        <v>8554.9666666666672</v>
      </c>
      <c r="N821" s="5">
        <f>IF(ISNUMBER(Inputs!$L$5),(IF(Inputs!$L$9="Actual flat rate",L821*Inputs!$L$10,IF(Inputs!$C$9="Residential",IF(L821&lt;='Assumptions and Catalog'!$C$50,L821*'Assumptions and Catalog'!$H$50+'Assumptions and Catalog'!$E$50+'Assumptions and Catalog'!$F$50,IF(L821&lt;='Assumptions and Catalog'!$C$51,L821*'Assumptions and Catalog'!$H$51+'Assumptions and Catalog'!$E$51+'Assumptions and Catalog'!$F$51,IF(L821&lt;='Assumptions and Catalog'!$C$52,L821*'Assumptions and Catalog'!$H$52+'Assumptions and Catalog'!$E$52+'Assumptions and Catalog'!$F$52,IF(L821&lt;='Assumptions and Catalog'!$C$53,L821*'Assumptions and Catalog'!$H$53+'Assumptions and Catalog'!$E$53+'Assumptions and Catalog'!$F$53,IF(L821&lt;='Assumptions and Catalog'!$C$54,L821*'Assumptions and Catalog'!$H$54+'Assumptions and Catalog'!$E$54+'Assumptions and Catalog'!$F$54,IF(L821&lt;='Assumptions and Catalog'!$C$55,L821*'Assumptions and Catalog'!$H$55+'Assumptions and Catalog'!$E$55+'Assumptions and Catalog'!$F$55,IF(L821&lt;='Assumptions and Catalog'!$C$56,L821*'Assumptions and Catalog'!$H$56+'Assumptions and Catalog'!$E$56+'Assumptions and Catalog'!$F$56,IF(L821&lt;='Assumptions and Catalog'!$C$57,L821*'Assumptions and Catalog'!$H$57+'Assumptions and Catalog'!$E$57+'Assumptions and Catalog'!$F$57,"Out of range")))))))),IF(L821&lt;='Assumptions and Catalog'!$C$60,L821*'Assumptions and Catalog'!$H$60+'Assumptions and Catalog'!$E$60+'Assumptions and Catalog'!$F$60,IF(L821&lt;='Assumptions and Catalog'!$C$61,L821*'Assumptions and Catalog'!$H$61+'Assumptions and Catalog'!$E$61+'Assumptions and Catalog'!$F$61,IF(L821&lt;='Assumptions and Catalog'!$C$62,L821*'Assumptions and Catalog'!$H$62+'Assumptions and Catalog'!$E$62+'Assumptions and Catalog'!$F$62,IF(L821&lt;='Assumptions and Catalog'!$C$63,L821*'Assumptions and Catalog'!$H$63+'Assumptions and Catalog'!$E$63+'Assumptions and Catalog'!$F$63,IF(L821&lt;='Assumptions and Catalog'!$C$64,L821*'Assumptions and Catalog'!$H$64+'Assumptions and Catalog'!$E$64+'Assumptions and Catalog'!$F$64,IF(L821&lt;='Assumptions and Catalog'!$C$65,L821*'Assumptions and Catalog'!$H$65+'Assumptions and Catalog'!$E$65+'Assumptions and Catalog'!$F$65,"Out of range")))))))))*(1+'Assumptions and Catalog'!$C$8)^(A821-1),0)</f>
        <v>5834.54096705346</v>
      </c>
      <c r="O821" s="5">
        <f t="shared" si="59"/>
        <v>2720.4256996132071</v>
      </c>
      <c r="P821" s="5">
        <f>E$55*(1-L$14)*(1-'Assumptions and Catalog'!$C$23)^R821</f>
        <v>96.3780608</v>
      </c>
      <c r="Q821" s="5">
        <f>IF(ISNUMBER(Inputs!$L$5),(IF(Inputs!$L$9="Actual flat rate",((D821+E821)*C821-G821)*Inputs!$L$10,IF(Inputs!$C$9="Residential",IF(((D821+E821)*C821-G821)&lt;='Assumptions and Catalog'!$C$50,((D821+E821)*C821-G821)*'Assumptions and Catalog'!$H$50+'Assumptions and Catalog'!$E$50+'Assumptions and Catalog'!$F$50,IF(((D821+E821)*C821-G821)&lt;='Assumptions and Catalog'!$C$51,((D821+E821)*C821-G821)*'Assumptions and Catalog'!$H$51+'Assumptions and Catalog'!$E$51+'Assumptions and Catalog'!$F$51,IF(((D821+E821)*C821-G821)&lt;='Assumptions and Catalog'!$C$52,((D821+E821)*C821-G821)*'Assumptions and Catalog'!$H$52+'Assumptions and Catalog'!$E$52+'Assumptions and Catalog'!$F$52,IF(((D821+E821)*C821-G821)&lt;='Assumptions and Catalog'!$C$53,((D821+E821)*C821-G821)*'Assumptions and Catalog'!$H$53+'Assumptions and Catalog'!$E$53+'Assumptions and Catalog'!$F$53,IF(((D821+E821)*C821-G821)&lt;='Assumptions and Catalog'!$C$54,((D821+E821)*C821-G821)*'Assumptions and Catalog'!$H$54+'Assumptions and Catalog'!$E$54+'Assumptions and Catalog'!$F$54,IF(((D821+E821)*C821-G821)&lt;='Assumptions and Catalog'!$C$55,((D821+E821)*C821-G821)*'Assumptions and Catalog'!$H$55+'Assumptions and Catalog'!$E$55+'Assumptions and Catalog'!$F$55,IF(((D821+E821)*C821-G821)&lt;='Assumptions and Catalog'!$C$56,((D821+E821)*C821-G821)*'Assumptions and Catalog'!$H$56+'Assumptions and Catalog'!$E$56+'Assumptions and Catalog'!$F$56,IF(((D821+E821)*C821-G821)&lt;='Assumptions and Catalog'!$C$57,((D821+E821)*C821-G821)*'Assumptions and Catalog'!$H$57+'Assumptions and Catalog'!$E$57+'Assumptions and Catalog'!$F$57,"Out of range")))))))),IF(((D821+E821)*C821-G821)&lt;='Assumptions and Catalog'!$C$60,((D821+E821)*C821-G821)*'Assumptions and Catalog'!$H$60+'Assumptions and Catalog'!$E$60+'Assumptions and Catalog'!$F$60,IF(((D821+E821)*C821-G821)&lt;='Assumptions and Catalog'!$C$61,((D821+E821)*C821-G821)*'Assumptions and Catalog'!$H$61+'Assumptions and Catalog'!$E$61+'Assumptions and Catalog'!$F$61,IF(((D821+E821)*C821-G821)&lt;='Assumptions and Catalog'!$C$62,((D821+E821)*C821-G821)*'Assumptions and Catalog'!$H$62+'Assumptions and Catalog'!$E$62+'Assumptions and Catalog'!$F$62,IF(((D821+E821)*C821-G821)&lt;='Assumptions and Catalog'!$C$63,((D821+E821)*C821-G821)*'Assumptions and Catalog'!$H$63+'Assumptions and Catalog'!$E$63+'Assumptions and Catalog'!$F$63,IF(((D821+E821)*C821-G821)&lt;='Assumptions and Catalog'!$C$64,((D821+E821)*C821-G821)*'Assumptions and Catalog'!$H$64+'Assumptions and Catalog'!$E$64+'Assumptions and Catalog'!$F$64,IF(((D821+E821)*C821-G821)&lt;='Assumptions and Catalog'!$C$65,((D821+E821)*C821-G821)*'Assumptions and Catalog'!$H$65+'Assumptions and Catalog'!$E$65+'Assumptions and Catalog'!$F$65,"Out of range")))))))))*(1+'Assumptions and Catalog'!$C$8)^(A821-1),0)</f>
        <v>5834.54096705346</v>
      </c>
      <c r="R821" s="5">
        <f>IF(AND('Assumptions and Catalog'!$C$19&gt;0,A821&gt;='Assumptions and Catalog'!$C$19),A821-'Assumptions and Catalog'!$C$19,A821-1)</f>
        <v>3</v>
      </c>
      <c r="S821" s="5">
        <f>F821+L821-(D821+E821)*C821-J821-K821-IF(E$52&gt;0,'Assumptions and Catalog'!$C$26*C821,0)</f>
        <v>0</v>
      </c>
      <c r="T821" s="5"/>
      <c r="U821" s="5"/>
    </row>
    <row r="822" spans="1:21" ht="23.1" customHeight="1" outlineLevel="1" x14ac:dyDescent="0.2">
      <c r="A822" s="5">
        <v>14</v>
      </c>
      <c r="B822" s="5">
        <v>6</v>
      </c>
      <c r="C822" s="5">
        <f>DAY(DATE('Assumptions and Catalog'!$C$24+A822-1,B822+1,0))</f>
        <v>30</v>
      </c>
      <c r="D822" s="5">
        <f>IF(ISNUMBER(Inputs!$L$5),Inputs!$L$5*Inputs!$L$6,0)</f>
        <v>40.35</v>
      </c>
      <c r="E822" s="5">
        <f>IF(ISNUMBER(Inputs!$L$5),Inputs!$L$5-D822,0)</f>
        <v>40.35</v>
      </c>
      <c r="F822" s="5">
        <f>E$51*'Assumptions and Catalog'!$C$31*C822*(1-'Assumptions and Catalog'!$C$10)^(A822-1)</f>
        <v>769.86280313933503</v>
      </c>
      <c r="G822" s="5">
        <f t="shared" si="56"/>
        <v>769.86280313933503</v>
      </c>
      <c r="H822" s="5">
        <f>I822/('Assumptions and Catalog'!$C$11*'Assumptions and Catalog'!$C$12)</f>
        <v>0</v>
      </c>
      <c r="I822" s="5">
        <f>MIN(E822*C822,P822*'Assumptions and Catalog'!$C$12*C822,(F822-G822)*'Assumptions and Catalog'!$C$11*'Assumptions and Catalog'!$C$12,E$56*'Assumptions and Catalog'!$C$14*'Assumptions and Catalog'!$C$11*'Assumptions and Catalog'!$C$12*C822,E$57*(24-'Assumptions and Catalog'!$C$13)*C822)</f>
        <v>0</v>
      </c>
      <c r="J822" s="5">
        <f t="shared" si="57"/>
        <v>0</v>
      </c>
      <c r="K822" s="5">
        <f t="shared" si="58"/>
        <v>0</v>
      </c>
      <c r="L822" s="5">
        <f>(D822+E822)*C822-G822-I822+0+IF(E$52&gt;0,'Assumptions and Catalog'!$C$26*C822,0)</f>
        <v>1651.137196860665</v>
      </c>
      <c r="M822" s="5">
        <f>IF(ISNUMBER(Inputs!$L$5),(IF(Inputs!$L$9="Actual flat rate",((D822+E822)*C822)*Inputs!$L$10,IF(Inputs!$C$9="Residential",IF(((D822+E822)*C822)&lt;='Assumptions and Catalog'!$C$50,((D822+E822)*C822)*'Assumptions and Catalog'!$H$50+'Assumptions and Catalog'!$E$50+'Assumptions and Catalog'!$F$50,IF(((D822+E822)*C822)&lt;='Assumptions and Catalog'!$C$51,((D822+E822)*C822)*'Assumptions and Catalog'!$H$51+'Assumptions and Catalog'!$E$51+'Assumptions and Catalog'!$F$51,IF(((D822+E822)*C822)&lt;='Assumptions and Catalog'!$C$52,((D822+E822)*C822)*'Assumptions and Catalog'!$H$52+'Assumptions and Catalog'!$E$52+'Assumptions and Catalog'!$F$52,IF(((D822+E822)*C822)&lt;='Assumptions and Catalog'!$C$53,((D822+E822)*C822)*'Assumptions and Catalog'!$H$53+'Assumptions and Catalog'!$E$53+'Assumptions and Catalog'!$F$53,IF(((D822+E822)*C822)&lt;='Assumptions and Catalog'!$C$54,((D822+E822)*C822)*'Assumptions and Catalog'!$H$54+'Assumptions and Catalog'!$E$54+'Assumptions and Catalog'!$F$54,IF(((D822+E822)*C822)&lt;='Assumptions and Catalog'!$C$55,((D822+E822)*C822)*'Assumptions and Catalog'!$H$55+'Assumptions and Catalog'!$E$55+'Assumptions and Catalog'!$F$55,IF(((D822+E822)*C822)&lt;='Assumptions and Catalog'!$C$56,((D822+E822)*C822)*'Assumptions and Catalog'!$H$56+'Assumptions and Catalog'!$E$56+'Assumptions and Catalog'!$F$56,IF(((D822+E822)*C822)&lt;='Assumptions and Catalog'!$C$57,((D822+E822)*C822)*'Assumptions and Catalog'!$H$57+'Assumptions and Catalog'!$E$57+'Assumptions and Catalog'!$F$57,"Out of range")))))))),IF(((D822+E822)*C822)&lt;='Assumptions and Catalog'!$C$60,((D822+E822)*C822)*'Assumptions and Catalog'!$H$60+'Assumptions and Catalog'!$E$60+'Assumptions and Catalog'!$F$60,IF(((D822+E822)*C822)&lt;='Assumptions and Catalog'!$C$61,((D822+E822)*C822)*'Assumptions and Catalog'!$H$61+'Assumptions and Catalog'!$E$61+'Assumptions and Catalog'!$F$61,IF(((D822+E822)*C822)&lt;='Assumptions and Catalog'!$C$62,((D822+E822)*C822)*'Assumptions and Catalog'!$H$62+'Assumptions and Catalog'!$E$62+'Assumptions and Catalog'!$F$62,IF(((D822+E822)*C822)&lt;='Assumptions and Catalog'!$C$63,((D822+E822)*C822)*'Assumptions and Catalog'!$H$63+'Assumptions and Catalog'!$E$63+'Assumptions and Catalog'!$F$63,IF(((D822+E822)*C822)&lt;='Assumptions and Catalog'!$C$64,((D822+E822)*C822)*'Assumptions and Catalog'!$H$64+'Assumptions and Catalog'!$E$64+'Assumptions and Catalog'!$F$64,IF(((D822+E822)*C822)&lt;='Assumptions and Catalog'!$C$65,((D822+E822)*C822)*'Assumptions and Catalog'!$H$65+'Assumptions and Catalog'!$E$65+'Assumptions and Catalog'!$F$65,"Out of range")))))))))*(1+'Assumptions and Catalog'!$C$8)^(A822-1),0)</f>
        <v>8279</v>
      </c>
      <c r="N822" s="5">
        <f>IF(ISNUMBER(Inputs!$L$5),(IF(Inputs!$L$9="Actual flat rate",L822*Inputs!$L$10,IF(Inputs!$C$9="Residential",IF(L822&lt;='Assumptions and Catalog'!$C$50,L822*'Assumptions and Catalog'!$H$50+'Assumptions and Catalog'!$E$50+'Assumptions and Catalog'!$F$50,IF(L822&lt;='Assumptions and Catalog'!$C$51,L822*'Assumptions and Catalog'!$H$51+'Assumptions and Catalog'!$E$51+'Assumptions and Catalog'!$F$51,IF(L822&lt;='Assumptions and Catalog'!$C$52,L822*'Assumptions and Catalog'!$H$52+'Assumptions and Catalog'!$E$52+'Assumptions and Catalog'!$F$52,IF(L822&lt;='Assumptions and Catalog'!$C$53,L822*'Assumptions and Catalog'!$H$53+'Assumptions and Catalog'!$E$53+'Assumptions and Catalog'!$F$53,IF(L822&lt;='Assumptions and Catalog'!$C$54,L822*'Assumptions and Catalog'!$H$54+'Assumptions and Catalog'!$E$54+'Assumptions and Catalog'!$F$54,IF(L822&lt;='Assumptions and Catalog'!$C$55,L822*'Assumptions and Catalog'!$H$55+'Assumptions and Catalog'!$E$55+'Assumptions and Catalog'!$F$55,IF(L822&lt;='Assumptions and Catalog'!$C$56,L822*'Assumptions and Catalog'!$H$56+'Assumptions and Catalog'!$E$56+'Assumptions and Catalog'!$F$56,IF(L822&lt;='Assumptions and Catalog'!$C$57,L822*'Assumptions and Catalog'!$H$57+'Assumptions and Catalog'!$E$57+'Assumptions and Catalog'!$F$57,"Out of range")))))))),IF(L822&lt;='Assumptions and Catalog'!$C$60,L822*'Assumptions and Catalog'!$H$60+'Assumptions and Catalog'!$E$60+'Assumptions and Catalog'!$F$60,IF(L822&lt;='Assumptions and Catalog'!$C$61,L822*'Assumptions and Catalog'!$H$61+'Assumptions and Catalog'!$E$61+'Assumptions and Catalog'!$F$61,IF(L822&lt;='Assumptions and Catalog'!$C$62,L822*'Assumptions and Catalog'!$H$62+'Assumptions and Catalog'!$E$62+'Assumptions and Catalog'!$F$62,IF(L822&lt;='Assumptions and Catalog'!$C$63,L822*'Assumptions and Catalog'!$H$63+'Assumptions and Catalog'!$E$63+'Assumptions and Catalog'!$F$63,IF(L822&lt;='Assumptions and Catalog'!$C$64,L822*'Assumptions and Catalog'!$H$64+'Assumptions and Catalog'!$E$64+'Assumptions and Catalog'!$F$64,IF(L822&lt;='Assumptions and Catalog'!$C$65,L822*'Assumptions and Catalog'!$H$65+'Assumptions and Catalog'!$E$65+'Assumptions and Catalog'!$F$65,"Out of range")))))))))*(1+'Assumptions and Catalog'!$C$8)^(A822-1),0)</f>
        <v>5646.3299681162516</v>
      </c>
      <c r="O822" s="5">
        <f t="shared" si="59"/>
        <v>2632.6700318837484</v>
      </c>
      <c r="P822" s="5">
        <f>E$55*(1-L$14)*(1-'Assumptions and Catalog'!$C$23)^R822</f>
        <v>96.3780608</v>
      </c>
      <c r="Q822" s="5">
        <f>IF(ISNUMBER(Inputs!$L$5),(IF(Inputs!$L$9="Actual flat rate",((D822+E822)*C822-G822)*Inputs!$L$10,IF(Inputs!$C$9="Residential",IF(((D822+E822)*C822-G822)&lt;='Assumptions and Catalog'!$C$50,((D822+E822)*C822-G822)*'Assumptions and Catalog'!$H$50+'Assumptions and Catalog'!$E$50+'Assumptions and Catalog'!$F$50,IF(((D822+E822)*C822-G822)&lt;='Assumptions and Catalog'!$C$51,((D822+E822)*C822-G822)*'Assumptions and Catalog'!$H$51+'Assumptions and Catalog'!$E$51+'Assumptions and Catalog'!$F$51,IF(((D822+E822)*C822-G822)&lt;='Assumptions and Catalog'!$C$52,((D822+E822)*C822-G822)*'Assumptions and Catalog'!$H$52+'Assumptions and Catalog'!$E$52+'Assumptions and Catalog'!$F$52,IF(((D822+E822)*C822-G822)&lt;='Assumptions and Catalog'!$C$53,((D822+E822)*C822-G822)*'Assumptions and Catalog'!$H$53+'Assumptions and Catalog'!$E$53+'Assumptions and Catalog'!$F$53,IF(((D822+E822)*C822-G822)&lt;='Assumptions and Catalog'!$C$54,((D822+E822)*C822-G822)*'Assumptions and Catalog'!$H$54+'Assumptions and Catalog'!$E$54+'Assumptions and Catalog'!$F$54,IF(((D822+E822)*C822-G822)&lt;='Assumptions and Catalog'!$C$55,((D822+E822)*C822-G822)*'Assumptions and Catalog'!$H$55+'Assumptions and Catalog'!$E$55+'Assumptions and Catalog'!$F$55,IF(((D822+E822)*C822-G822)&lt;='Assumptions and Catalog'!$C$56,((D822+E822)*C822-G822)*'Assumptions and Catalog'!$H$56+'Assumptions and Catalog'!$E$56+'Assumptions and Catalog'!$F$56,IF(((D822+E822)*C822-G822)&lt;='Assumptions and Catalog'!$C$57,((D822+E822)*C822-G822)*'Assumptions and Catalog'!$H$57+'Assumptions and Catalog'!$E$57+'Assumptions and Catalog'!$F$57,"Out of range")))))))),IF(((D822+E822)*C822-G822)&lt;='Assumptions and Catalog'!$C$60,((D822+E822)*C822-G822)*'Assumptions and Catalog'!$H$60+'Assumptions and Catalog'!$E$60+'Assumptions and Catalog'!$F$60,IF(((D822+E822)*C822-G822)&lt;='Assumptions and Catalog'!$C$61,((D822+E822)*C822-G822)*'Assumptions and Catalog'!$H$61+'Assumptions and Catalog'!$E$61+'Assumptions and Catalog'!$F$61,IF(((D822+E822)*C822-G822)&lt;='Assumptions and Catalog'!$C$62,((D822+E822)*C822-G822)*'Assumptions and Catalog'!$H$62+'Assumptions and Catalog'!$E$62+'Assumptions and Catalog'!$F$62,IF(((D822+E822)*C822-G822)&lt;='Assumptions and Catalog'!$C$63,((D822+E822)*C822-G822)*'Assumptions and Catalog'!$H$63+'Assumptions and Catalog'!$E$63+'Assumptions and Catalog'!$F$63,IF(((D822+E822)*C822-G822)&lt;='Assumptions and Catalog'!$C$64,((D822+E822)*C822-G822)*'Assumptions and Catalog'!$H$64+'Assumptions and Catalog'!$E$64+'Assumptions and Catalog'!$F$64,IF(((D822+E822)*C822-G822)&lt;='Assumptions and Catalog'!$C$65,((D822+E822)*C822-G822)*'Assumptions and Catalog'!$H$65+'Assumptions and Catalog'!$E$65+'Assumptions and Catalog'!$F$65,"Out of range")))))))))*(1+'Assumptions and Catalog'!$C$8)^(A822-1),0)</f>
        <v>5646.3299681162516</v>
      </c>
      <c r="R822" s="5">
        <f>IF(AND('Assumptions and Catalog'!$C$19&gt;0,A822&gt;='Assumptions and Catalog'!$C$19),A822-'Assumptions and Catalog'!$C$19,A822-1)</f>
        <v>3</v>
      </c>
      <c r="S822" s="5">
        <f>F822+L822-(D822+E822)*C822-J822-K822-IF(E$52&gt;0,'Assumptions and Catalog'!$C$26*C822,0)</f>
        <v>0</v>
      </c>
      <c r="T822" s="5"/>
      <c r="U822" s="5"/>
    </row>
    <row r="823" spans="1:21" ht="23.1" customHeight="1" outlineLevel="1" x14ac:dyDescent="0.2">
      <c r="A823" s="5">
        <v>14</v>
      </c>
      <c r="B823" s="5">
        <v>7</v>
      </c>
      <c r="C823" s="5">
        <f>DAY(DATE('Assumptions and Catalog'!$C$24+A823-1,B823+1,0))</f>
        <v>31</v>
      </c>
      <c r="D823" s="5">
        <f>IF(ISNUMBER(Inputs!$L$5),Inputs!$L$5*Inputs!$L$6,0)</f>
        <v>40.35</v>
      </c>
      <c r="E823" s="5">
        <f>IF(ISNUMBER(Inputs!$L$5),Inputs!$L$5-D823,0)</f>
        <v>40.35</v>
      </c>
      <c r="F823" s="5">
        <f>E$51*'Assumptions and Catalog'!$C$31*C823*(1-'Assumptions and Catalog'!$C$10)^(A823-1)</f>
        <v>795.52489657731292</v>
      </c>
      <c r="G823" s="5">
        <f t="shared" si="56"/>
        <v>795.52489657731292</v>
      </c>
      <c r="H823" s="5">
        <f>I823/('Assumptions and Catalog'!$C$11*'Assumptions and Catalog'!$C$12)</f>
        <v>0</v>
      </c>
      <c r="I823" s="5">
        <f>MIN(E823*C823,P823*'Assumptions and Catalog'!$C$12*C823,(F823-G823)*'Assumptions and Catalog'!$C$11*'Assumptions and Catalog'!$C$12,E$56*'Assumptions and Catalog'!$C$14*'Assumptions and Catalog'!$C$11*'Assumptions and Catalog'!$C$12*C823,E$57*(24-'Assumptions and Catalog'!$C$13)*C823)</f>
        <v>0</v>
      </c>
      <c r="J823" s="5">
        <f t="shared" si="57"/>
        <v>0</v>
      </c>
      <c r="K823" s="5">
        <f t="shared" si="58"/>
        <v>0</v>
      </c>
      <c r="L823" s="5">
        <f>(D823+E823)*C823-G823-I823+0+IF(E$52&gt;0,'Assumptions and Catalog'!$C$26*C823,0)</f>
        <v>1706.1751034226872</v>
      </c>
      <c r="M823" s="5">
        <f>IF(ISNUMBER(Inputs!$L$5),(IF(Inputs!$L$9="Actual flat rate",((D823+E823)*C823)*Inputs!$L$10,IF(Inputs!$C$9="Residential",IF(((D823+E823)*C823)&lt;='Assumptions and Catalog'!$C$50,((D823+E823)*C823)*'Assumptions and Catalog'!$H$50+'Assumptions and Catalog'!$E$50+'Assumptions and Catalog'!$F$50,IF(((D823+E823)*C823)&lt;='Assumptions and Catalog'!$C$51,((D823+E823)*C823)*'Assumptions and Catalog'!$H$51+'Assumptions and Catalog'!$E$51+'Assumptions and Catalog'!$F$51,IF(((D823+E823)*C823)&lt;='Assumptions and Catalog'!$C$52,((D823+E823)*C823)*'Assumptions and Catalog'!$H$52+'Assumptions and Catalog'!$E$52+'Assumptions and Catalog'!$F$52,IF(((D823+E823)*C823)&lt;='Assumptions and Catalog'!$C$53,((D823+E823)*C823)*'Assumptions and Catalog'!$H$53+'Assumptions and Catalog'!$E$53+'Assumptions and Catalog'!$F$53,IF(((D823+E823)*C823)&lt;='Assumptions and Catalog'!$C$54,((D823+E823)*C823)*'Assumptions and Catalog'!$H$54+'Assumptions and Catalog'!$E$54+'Assumptions and Catalog'!$F$54,IF(((D823+E823)*C823)&lt;='Assumptions and Catalog'!$C$55,((D823+E823)*C823)*'Assumptions and Catalog'!$H$55+'Assumptions and Catalog'!$E$55+'Assumptions and Catalog'!$F$55,IF(((D823+E823)*C823)&lt;='Assumptions and Catalog'!$C$56,((D823+E823)*C823)*'Assumptions and Catalog'!$H$56+'Assumptions and Catalog'!$E$56+'Assumptions and Catalog'!$F$56,IF(((D823+E823)*C823)&lt;='Assumptions and Catalog'!$C$57,((D823+E823)*C823)*'Assumptions and Catalog'!$H$57+'Assumptions and Catalog'!$E$57+'Assumptions and Catalog'!$F$57,"Out of range")))))))),IF(((D823+E823)*C823)&lt;='Assumptions and Catalog'!$C$60,((D823+E823)*C823)*'Assumptions and Catalog'!$H$60+'Assumptions and Catalog'!$E$60+'Assumptions and Catalog'!$F$60,IF(((D823+E823)*C823)&lt;='Assumptions and Catalog'!$C$61,((D823+E823)*C823)*'Assumptions and Catalog'!$H$61+'Assumptions and Catalog'!$E$61+'Assumptions and Catalog'!$F$61,IF(((D823+E823)*C823)&lt;='Assumptions and Catalog'!$C$62,((D823+E823)*C823)*'Assumptions and Catalog'!$H$62+'Assumptions and Catalog'!$E$62+'Assumptions and Catalog'!$F$62,IF(((D823+E823)*C823)&lt;='Assumptions and Catalog'!$C$63,((D823+E823)*C823)*'Assumptions and Catalog'!$H$63+'Assumptions and Catalog'!$E$63+'Assumptions and Catalog'!$F$63,IF(((D823+E823)*C823)&lt;='Assumptions and Catalog'!$C$64,((D823+E823)*C823)*'Assumptions and Catalog'!$H$64+'Assumptions and Catalog'!$E$64+'Assumptions and Catalog'!$F$64,IF(((D823+E823)*C823)&lt;='Assumptions and Catalog'!$C$65,((D823+E823)*C823)*'Assumptions and Catalog'!$H$65+'Assumptions and Catalog'!$E$65+'Assumptions and Catalog'!$F$65,"Out of range")))))))))*(1+'Assumptions and Catalog'!$C$8)^(A823-1),0)</f>
        <v>8554.9666666666672</v>
      </c>
      <c r="N823" s="5">
        <f>IF(ISNUMBER(Inputs!$L$5),(IF(Inputs!$L$9="Actual flat rate",L823*Inputs!$L$10,IF(Inputs!$C$9="Residential",IF(L823&lt;='Assumptions and Catalog'!$C$50,L823*'Assumptions and Catalog'!$H$50+'Assumptions and Catalog'!$E$50+'Assumptions and Catalog'!$F$50,IF(L823&lt;='Assumptions and Catalog'!$C$51,L823*'Assumptions and Catalog'!$H$51+'Assumptions and Catalog'!$E$51+'Assumptions and Catalog'!$F$51,IF(L823&lt;='Assumptions and Catalog'!$C$52,L823*'Assumptions and Catalog'!$H$52+'Assumptions and Catalog'!$E$52+'Assumptions and Catalog'!$F$52,IF(L823&lt;='Assumptions and Catalog'!$C$53,L823*'Assumptions and Catalog'!$H$53+'Assumptions and Catalog'!$E$53+'Assumptions and Catalog'!$F$53,IF(L823&lt;='Assumptions and Catalog'!$C$54,L823*'Assumptions and Catalog'!$H$54+'Assumptions and Catalog'!$E$54+'Assumptions and Catalog'!$F$54,IF(L823&lt;='Assumptions and Catalog'!$C$55,L823*'Assumptions and Catalog'!$H$55+'Assumptions and Catalog'!$E$55+'Assumptions and Catalog'!$F$55,IF(L823&lt;='Assumptions and Catalog'!$C$56,L823*'Assumptions and Catalog'!$H$56+'Assumptions and Catalog'!$E$56+'Assumptions and Catalog'!$F$56,IF(L823&lt;='Assumptions and Catalog'!$C$57,L823*'Assumptions and Catalog'!$H$57+'Assumptions and Catalog'!$E$57+'Assumptions and Catalog'!$F$57,"Out of range")))))))),IF(L823&lt;='Assumptions and Catalog'!$C$60,L823*'Assumptions and Catalog'!$H$60+'Assumptions and Catalog'!$E$60+'Assumptions and Catalog'!$F$60,IF(L823&lt;='Assumptions and Catalog'!$C$61,L823*'Assumptions and Catalog'!$H$61+'Assumptions and Catalog'!$E$61+'Assumptions and Catalog'!$F$61,IF(L823&lt;='Assumptions and Catalog'!$C$62,L823*'Assumptions and Catalog'!$H$62+'Assumptions and Catalog'!$E$62+'Assumptions and Catalog'!$F$62,IF(L823&lt;='Assumptions and Catalog'!$C$63,L823*'Assumptions and Catalog'!$H$63+'Assumptions and Catalog'!$E$63+'Assumptions and Catalog'!$F$63,IF(L823&lt;='Assumptions and Catalog'!$C$64,L823*'Assumptions and Catalog'!$H$64+'Assumptions and Catalog'!$E$64+'Assumptions and Catalog'!$F$64,IF(L823&lt;='Assumptions and Catalog'!$C$65,L823*'Assumptions and Catalog'!$H$65+'Assumptions and Catalog'!$E$65+'Assumptions and Catalog'!$F$65,"Out of range")))))))))*(1+'Assumptions and Catalog'!$C$8)^(A823-1),0)</f>
        <v>5834.54096705346</v>
      </c>
      <c r="O823" s="5">
        <f t="shared" si="59"/>
        <v>2720.4256996132071</v>
      </c>
      <c r="P823" s="5">
        <f>E$55*(1-L$14)*(1-'Assumptions and Catalog'!$C$23)^R823</f>
        <v>96.3780608</v>
      </c>
      <c r="Q823" s="5">
        <f>IF(ISNUMBER(Inputs!$L$5),(IF(Inputs!$L$9="Actual flat rate",((D823+E823)*C823-G823)*Inputs!$L$10,IF(Inputs!$C$9="Residential",IF(((D823+E823)*C823-G823)&lt;='Assumptions and Catalog'!$C$50,((D823+E823)*C823-G823)*'Assumptions and Catalog'!$H$50+'Assumptions and Catalog'!$E$50+'Assumptions and Catalog'!$F$50,IF(((D823+E823)*C823-G823)&lt;='Assumptions and Catalog'!$C$51,((D823+E823)*C823-G823)*'Assumptions and Catalog'!$H$51+'Assumptions and Catalog'!$E$51+'Assumptions and Catalog'!$F$51,IF(((D823+E823)*C823-G823)&lt;='Assumptions and Catalog'!$C$52,((D823+E823)*C823-G823)*'Assumptions and Catalog'!$H$52+'Assumptions and Catalog'!$E$52+'Assumptions and Catalog'!$F$52,IF(((D823+E823)*C823-G823)&lt;='Assumptions and Catalog'!$C$53,((D823+E823)*C823-G823)*'Assumptions and Catalog'!$H$53+'Assumptions and Catalog'!$E$53+'Assumptions and Catalog'!$F$53,IF(((D823+E823)*C823-G823)&lt;='Assumptions and Catalog'!$C$54,((D823+E823)*C823-G823)*'Assumptions and Catalog'!$H$54+'Assumptions and Catalog'!$E$54+'Assumptions and Catalog'!$F$54,IF(((D823+E823)*C823-G823)&lt;='Assumptions and Catalog'!$C$55,((D823+E823)*C823-G823)*'Assumptions and Catalog'!$H$55+'Assumptions and Catalog'!$E$55+'Assumptions and Catalog'!$F$55,IF(((D823+E823)*C823-G823)&lt;='Assumptions and Catalog'!$C$56,((D823+E823)*C823-G823)*'Assumptions and Catalog'!$H$56+'Assumptions and Catalog'!$E$56+'Assumptions and Catalog'!$F$56,IF(((D823+E823)*C823-G823)&lt;='Assumptions and Catalog'!$C$57,((D823+E823)*C823-G823)*'Assumptions and Catalog'!$H$57+'Assumptions and Catalog'!$E$57+'Assumptions and Catalog'!$F$57,"Out of range")))))))),IF(((D823+E823)*C823-G823)&lt;='Assumptions and Catalog'!$C$60,((D823+E823)*C823-G823)*'Assumptions and Catalog'!$H$60+'Assumptions and Catalog'!$E$60+'Assumptions and Catalog'!$F$60,IF(((D823+E823)*C823-G823)&lt;='Assumptions and Catalog'!$C$61,((D823+E823)*C823-G823)*'Assumptions and Catalog'!$H$61+'Assumptions and Catalog'!$E$61+'Assumptions and Catalog'!$F$61,IF(((D823+E823)*C823-G823)&lt;='Assumptions and Catalog'!$C$62,((D823+E823)*C823-G823)*'Assumptions and Catalog'!$H$62+'Assumptions and Catalog'!$E$62+'Assumptions and Catalog'!$F$62,IF(((D823+E823)*C823-G823)&lt;='Assumptions and Catalog'!$C$63,((D823+E823)*C823-G823)*'Assumptions and Catalog'!$H$63+'Assumptions and Catalog'!$E$63+'Assumptions and Catalog'!$F$63,IF(((D823+E823)*C823-G823)&lt;='Assumptions and Catalog'!$C$64,((D823+E823)*C823-G823)*'Assumptions and Catalog'!$H$64+'Assumptions and Catalog'!$E$64+'Assumptions and Catalog'!$F$64,IF(((D823+E823)*C823-G823)&lt;='Assumptions and Catalog'!$C$65,((D823+E823)*C823-G823)*'Assumptions and Catalog'!$H$65+'Assumptions and Catalog'!$E$65+'Assumptions and Catalog'!$F$65,"Out of range")))))))))*(1+'Assumptions and Catalog'!$C$8)^(A823-1),0)</f>
        <v>5834.54096705346</v>
      </c>
      <c r="R823" s="5">
        <f>IF(AND('Assumptions and Catalog'!$C$19&gt;0,A823&gt;='Assumptions and Catalog'!$C$19),A823-'Assumptions and Catalog'!$C$19,A823-1)</f>
        <v>3</v>
      </c>
      <c r="S823" s="5">
        <f>F823+L823-(D823+E823)*C823-J823-K823-IF(E$52&gt;0,'Assumptions and Catalog'!$C$26*C823,0)</f>
        <v>0</v>
      </c>
      <c r="T823" s="5"/>
      <c r="U823" s="5"/>
    </row>
    <row r="824" spans="1:21" ht="23.1" customHeight="1" outlineLevel="1" x14ac:dyDescent="0.2">
      <c r="A824" s="5">
        <v>14</v>
      </c>
      <c r="B824" s="5">
        <v>8</v>
      </c>
      <c r="C824" s="5">
        <f>DAY(DATE('Assumptions and Catalog'!$C$24+A824-1,B824+1,0))</f>
        <v>31</v>
      </c>
      <c r="D824" s="5">
        <f>IF(ISNUMBER(Inputs!$L$5),Inputs!$L$5*Inputs!$L$6,0)</f>
        <v>40.35</v>
      </c>
      <c r="E824" s="5">
        <f>IF(ISNUMBER(Inputs!$L$5),Inputs!$L$5-D824,0)</f>
        <v>40.35</v>
      </c>
      <c r="F824" s="5">
        <f>E$51*'Assumptions and Catalog'!$C$31*C824*(1-'Assumptions and Catalog'!$C$10)^(A824-1)</f>
        <v>795.52489657731292</v>
      </c>
      <c r="G824" s="5">
        <f t="shared" si="56"/>
        <v>795.52489657731292</v>
      </c>
      <c r="H824" s="5">
        <f>I824/('Assumptions and Catalog'!$C$11*'Assumptions and Catalog'!$C$12)</f>
        <v>0</v>
      </c>
      <c r="I824" s="5">
        <f>MIN(E824*C824,P824*'Assumptions and Catalog'!$C$12*C824,(F824-G824)*'Assumptions and Catalog'!$C$11*'Assumptions and Catalog'!$C$12,E$56*'Assumptions and Catalog'!$C$14*'Assumptions and Catalog'!$C$11*'Assumptions and Catalog'!$C$12*C824,E$57*(24-'Assumptions and Catalog'!$C$13)*C824)</f>
        <v>0</v>
      </c>
      <c r="J824" s="5">
        <f t="shared" si="57"/>
        <v>0</v>
      </c>
      <c r="K824" s="5">
        <f t="shared" si="58"/>
        <v>0</v>
      </c>
      <c r="L824" s="5">
        <f>(D824+E824)*C824-G824-I824+0+IF(E$52&gt;0,'Assumptions and Catalog'!$C$26*C824,0)</f>
        <v>1706.1751034226872</v>
      </c>
      <c r="M824" s="5">
        <f>IF(ISNUMBER(Inputs!$L$5),(IF(Inputs!$L$9="Actual flat rate",((D824+E824)*C824)*Inputs!$L$10,IF(Inputs!$C$9="Residential",IF(((D824+E824)*C824)&lt;='Assumptions and Catalog'!$C$50,((D824+E824)*C824)*'Assumptions and Catalog'!$H$50+'Assumptions and Catalog'!$E$50+'Assumptions and Catalog'!$F$50,IF(((D824+E824)*C824)&lt;='Assumptions and Catalog'!$C$51,((D824+E824)*C824)*'Assumptions and Catalog'!$H$51+'Assumptions and Catalog'!$E$51+'Assumptions and Catalog'!$F$51,IF(((D824+E824)*C824)&lt;='Assumptions and Catalog'!$C$52,((D824+E824)*C824)*'Assumptions and Catalog'!$H$52+'Assumptions and Catalog'!$E$52+'Assumptions and Catalog'!$F$52,IF(((D824+E824)*C824)&lt;='Assumptions and Catalog'!$C$53,((D824+E824)*C824)*'Assumptions and Catalog'!$H$53+'Assumptions and Catalog'!$E$53+'Assumptions and Catalog'!$F$53,IF(((D824+E824)*C824)&lt;='Assumptions and Catalog'!$C$54,((D824+E824)*C824)*'Assumptions and Catalog'!$H$54+'Assumptions and Catalog'!$E$54+'Assumptions and Catalog'!$F$54,IF(((D824+E824)*C824)&lt;='Assumptions and Catalog'!$C$55,((D824+E824)*C824)*'Assumptions and Catalog'!$H$55+'Assumptions and Catalog'!$E$55+'Assumptions and Catalog'!$F$55,IF(((D824+E824)*C824)&lt;='Assumptions and Catalog'!$C$56,((D824+E824)*C824)*'Assumptions and Catalog'!$H$56+'Assumptions and Catalog'!$E$56+'Assumptions and Catalog'!$F$56,IF(((D824+E824)*C824)&lt;='Assumptions and Catalog'!$C$57,((D824+E824)*C824)*'Assumptions and Catalog'!$H$57+'Assumptions and Catalog'!$E$57+'Assumptions and Catalog'!$F$57,"Out of range")))))))),IF(((D824+E824)*C824)&lt;='Assumptions and Catalog'!$C$60,((D824+E824)*C824)*'Assumptions and Catalog'!$H$60+'Assumptions and Catalog'!$E$60+'Assumptions and Catalog'!$F$60,IF(((D824+E824)*C824)&lt;='Assumptions and Catalog'!$C$61,((D824+E824)*C824)*'Assumptions and Catalog'!$H$61+'Assumptions and Catalog'!$E$61+'Assumptions and Catalog'!$F$61,IF(((D824+E824)*C824)&lt;='Assumptions and Catalog'!$C$62,((D824+E824)*C824)*'Assumptions and Catalog'!$H$62+'Assumptions and Catalog'!$E$62+'Assumptions and Catalog'!$F$62,IF(((D824+E824)*C824)&lt;='Assumptions and Catalog'!$C$63,((D824+E824)*C824)*'Assumptions and Catalog'!$H$63+'Assumptions and Catalog'!$E$63+'Assumptions and Catalog'!$F$63,IF(((D824+E824)*C824)&lt;='Assumptions and Catalog'!$C$64,((D824+E824)*C824)*'Assumptions and Catalog'!$H$64+'Assumptions and Catalog'!$E$64+'Assumptions and Catalog'!$F$64,IF(((D824+E824)*C824)&lt;='Assumptions and Catalog'!$C$65,((D824+E824)*C824)*'Assumptions and Catalog'!$H$65+'Assumptions and Catalog'!$E$65+'Assumptions and Catalog'!$F$65,"Out of range")))))))))*(1+'Assumptions and Catalog'!$C$8)^(A824-1),0)</f>
        <v>8554.9666666666672</v>
      </c>
      <c r="N824" s="5">
        <f>IF(ISNUMBER(Inputs!$L$5),(IF(Inputs!$L$9="Actual flat rate",L824*Inputs!$L$10,IF(Inputs!$C$9="Residential",IF(L824&lt;='Assumptions and Catalog'!$C$50,L824*'Assumptions and Catalog'!$H$50+'Assumptions and Catalog'!$E$50+'Assumptions and Catalog'!$F$50,IF(L824&lt;='Assumptions and Catalog'!$C$51,L824*'Assumptions and Catalog'!$H$51+'Assumptions and Catalog'!$E$51+'Assumptions and Catalog'!$F$51,IF(L824&lt;='Assumptions and Catalog'!$C$52,L824*'Assumptions and Catalog'!$H$52+'Assumptions and Catalog'!$E$52+'Assumptions and Catalog'!$F$52,IF(L824&lt;='Assumptions and Catalog'!$C$53,L824*'Assumptions and Catalog'!$H$53+'Assumptions and Catalog'!$E$53+'Assumptions and Catalog'!$F$53,IF(L824&lt;='Assumptions and Catalog'!$C$54,L824*'Assumptions and Catalog'!$H$54+'Assumptions and Catalog'!$E$54+'Assumptions and Catalog'!$F$54,IF(L824&lt;='Assumptions and Catalog'!$C$55,L824*'Assumptions and Catalog'!$H$55+'Assumptions and Catalog'!$E$55+'Assumptions and Catalog'!$F$55,IF(L824&lt;='Assumptions and Catalog'!$C$56,L824*'Assumptions and Catalog'!$H$56+'Assumptions and Catalog'!$E$56+'Assumptions and Catalog'!$F$56,IF(L824&lt;='Assumptions and Catalog'!$C$57,L824*'Assumptions and Catalog'!$H$57+'Assumptions and Catalog'!$E$57+'Assumptions and Catalog'!$F$57,"Out of range")))))))),IF(L824&lt;='Assumptions and Catalog'!$C$60,L824*'Assumptions and Catalog'!$H$60+'Assumptions and Catalog'!$E$60+'Assumptions and Catalog'!$F$60,IF(L824&lt;='Assumptions and Catalog'!$C$61,L824*'Assumptions and Catalog'!$H$61+'Assumptions and Catalog'!$E$61+'Assumptions and Catalog'!$F$61,IF(L824&lt;='Assumptions and Catalog'!$C$62,L824*'Assumptions and Catalog'!$H$62+'Assumptions and Catalog'!$E$62+'Assumptions and Catalog'!$F$62,IF(L824&lt;='Assumptions and Catalog'!$C$63,L824*'Assumptions and Catalog'!$H$63+'Assumptions and Catalog'!$E$63+'Assumptions and Catalog'!$F$63,IF(L824&lt;='Assumptions and Catalog'!$C$64,L824*'Assumptions and Catalog'!$H$64+'Assumptions and Catalog'!$E$64+'Assumptions and Catalog'!$F$64,IF(L824&lt;='Assumptions and Catalog'!$C$65,L824*'Assumptions and Catalog'!$H$65+'Assumptions and Catalog'!$E$65+'Assumptions and Catalog'!$F$65,"Out of range")))))))))*(1+'Assumptions and Catalog'!$C$8)^(A824-1),0)</f>
        <v>5834.54096705346</v>
      </c>
      <c r="O824" s="5">
        <f t="shared" si="59"/>
        <v>2720.4256996132071</v>
      </c>
      <c r="P824" s="5">
        <f>E$55*(1-L$14)*(1-'Assumptions and Catalog'!$C$23)^R824</f>
        <v>96.3780608</v>
      </c>
      <c r="Q824" s="5">
        <f>IF(ISNUMBER(Inputs!$L$5),(IF(Inputs!$L$9="Actual flat rate",((D824+E824)*C824-G824)*Inputs!$L$10,IF(Inputs!$C$9="Residential",IF(((D824+E824)*C824-G824)&lt;='Assumptions and Catalog'!$C$50,((D824+E824)*C824-G824)*'Assumptions and Catalog'!$H$50+'Assumptions and Catalog'!$E$50+'Assumptions and Catalog'!$F$50,IF(((D824+E824)*C824-G824)&lt;='Assumptions and Catalog'!$C$51,((D824+E824)*C824-G824)*'Assumptions and Catalog'!$H$51+'Assumptions and Catalog'!$E$51+'Assumptions and Catalog'!$F$51,IF(((D824+E824)*C824-G824)&lt;='Assumptions and Catalog'!$C$52,((D824+E824)*C824-G824)*'Assumptions and Catalog'!$H$52+'Assumptions and Catalog'!$E$52+'Assumptions and Catalog'!$F$52,IF(((D824+E824)*C824-G824)&lt;='Assumptions and Catalog'!$C$53,((D824+E824)*C824-G824)*'Assumptions and Catalog'!$H$53+'Assumptions and Catalog'!$E$53+'Assumptions and Catalog'!$F$53,IF(((D824+E824)*C824-G824)&lt;='Assumptions and Catalog'!$C$54,((D824+E824)*C824-G824)*'Assumptions and Catalog'!$H$54+'Assumptions and Catalog'!$E$54+'Assumptions and Catalog'!$F$54,IF(((D824+E824)*C824-G824)&lt;='Assumptions and Catalog'!$C$55,((D824+E824)*C824-G824)*'Assumptions and Catalog'!$H$55+'Assumptions and Catalog'!$E$55+'Assumptions and Catalog'!$F$55,IF(((D824+E824)*C824-G824)&lt;='Assumptions and Catalog'!$C$56,((D824+E824)*C824-G824)*'Assumptions and Catalog'!$H$56+'Assumptions and Catalog'!$E$56+'Assumptions and Catalog'!$F$56,IF(((D824+E824)*C824-G824)&lt;='Assumptions and Catalog'!$C$57,((D824+E824)*C824-G824)*'Assumptions and Catalog'!$H$57+'Assumptions and Catalog'!$E$57+'Assumptions and Catalog'!$F$57,"Out of range")))))))),IF(((D824+E824)*C824-G824)&lt;='Assumptions and Catalog'!$C$60,((D824+E824)*C824-G824)*'Assumptions and Catalog'!$H$60+'Assumptions and Catalog'!$E$60+'Assumptions and Catalog'!$F$60,IF(((D824+E824)*C824-G824)&lt;='Assumptions and Catalog'!$C$61,((D824+E824)*C824-G824)*'Assumptions and Catalog'!$H$61+'Assumptions and Catalog'!$E$61+'Assumptions and Catalog'!$F$61,IF(((D824+E824)*C824-G824)&lt;='Assumptions and Catalog'!$C$62,((D824+E824)*C824-G824)*'Assumptions and Catalog'!$H$62+'Assumptions and Catalog'!$E$62+'Assumptions and Catalog'!$F$62,IF(((D824+E824)*C824-G824)&lt;='Assumptions and Catalog'!$C$63,((D824+E824)*C824-G824)*'Assumptions and Catalog'!$H$63+'Assumptions and Catalog'!$E$63+'Assumptions and Catalog'!$F$63,IF(((D824+E824)*C824-G824)&lt;='Assumptions and Catalog'!$C$64,((D824+E824)*C824-G824)*'Assumptions and Catalog'!$H$64+'Assumptions and Catalog'!$E$64+'Assumptions and Catalog'!$F$64,IF(((D824+E824)*C824-G824)&lt;='Assumptions and Catalog'!$C$65,((D824+E824)*C824-G824)*'Assumptions and Catalog'!$H$65+'Assumptions and Catalog'!$E$65+'Assumptions and Catalog'!$F$65,"Out of range")))))))))*(1+'Assumptions and Catalog'!$C$8)^(A824-1),0)</f>
        <v>5834.54096705346</v>
      </c>
      <c r="R824" s="5">
        <f>IF(AND('Assumptions and Catalog'!$C$19&gt;0,A824&gt;='Assumptions and Catalog'!$C$19),A824-'Assumptions and Catalog'!$C$19,A824-1)</f>
        <v>3</v>
      </c>
      <c r="S824" s="5">
        <f>F824+L824-(D824+E824)*C824-J824-K824-IF(E$52&gt;0,'Assumptions and Catalog'!$C$26*C824,0)</f>
        <v>0</v>
      </c>
      <c r="T824" s="5"/>
      <c r="U824" s="5"/>
    </row>
    <row r="825" spans="1:21" ht="23.1" customHeight="1" outlineLevel="1" x14ac:dyDescent="0.2">
      <c r="A825" s="5">
        <v>14</v>
      </c>
      <c r="B825" s="5">
        <v>9</v>
      </c>
      <c r="C825" s="5">
        <f>DAY(DATE('Assumptions and Catalog'!$C$24+A825-1,B825+1,0))</f>
        <v>30</v>
      </c>
      <c r="D825" s="5">
        <f>IF(ISNUMBER(Inputs!$L$5),Inputs!$L$5*Inputs!$L$6,0)</f>
        <v>40.35</v>
      </c>
      <c r="E825" s="5">
        <f>IF(ISNUMBER(Inputs!$L$5),Inputs!$L$5-D825,0)</f>
        <v>40.35</v>
      </c>
      <c r="F825" s="5">
        <f>E$51*'Assumptions and Catalog'!$C$31*C825*(1-'Assumptions and Catalog'!$C$10)^(A825-1)</f>
        <v>769.86280313933503</v>
      </c>
      <c r="G825" s="5">
        <f t="shared" si="56"/>
        <v>769.86280313933503</v>
      </c>
      <c r="H825" s="5">
        <f>I825/('Assumptions and Catalog'!$C$11*'Assumptions and Catalog'!$C$12)</f>
        <v>0</v>
      </c>
      <c r="I825" s="5">
        <f>MIN(E825*C825,P825*'Assumptions and Catalog'!$C$12*C825,(F825-G825)*'Assumptions and Catalog'!$C$11*'Assumptions and Catalog'!$C$12,E$56*'Assumptions and Catalog'!$C$14*'Assumptions and Catalog'!$C$11*'Assumptions and Catalog'!$C$12*C825,E$57*(24-'Assumptions and Catalog'!$C$13)*C825)</f>
        <v>0</v>
      </c>
      <c r="J825" s="5">
        <f t="shared" si="57"/>
        <v>0</v>
      </c>
      <c r="K825" s="5">
        <f t="shared" si="58"/>
        <v>0</v>
      </c>
      <c r="L825" s="5">
        <f>(D825+E825)*C825-G825-I825+0+IF(E$52&gt;0,'Assumptions and Catalog'!$C$26*C825,0)</f>
        <v>1651.137196860665</v>
      </c>
      <c r="M825" s="5">
        <f>IF(ISNUMBER(Inputs!$L$5),(IF(Inputs!$L$9="Actual flat rate",((D825+E825)*C825)*Inputs!$L$10,IF(Inputs!$C$9="Residential",IF(((D825+E825)*C825)&lt;='Assumptions and Catalog'!$C$50,((D825+E825)*C825)*'Assumptions and Catalog'!$H$50+'Assumptions and Catalog'!$E$50+'Assumptions and Catalog'!$F$50,IF(((D825+E825)*C825)&lt;='Assumptions and Catalog'!$C$51,((D825+E825)*C825)*'Assumptions and Catalog'!$H$51+'Assumptions and Catalog'!$E$51+'Assumptions and Catalog'!$F$51,IF(((D825+E825)*C825)&lt;='Assumptions and Catalog'!$C$52,((D825+E825)*C825)*'Assumptions and Catalog'!$H$52+'Assumptions and Catalog'!$E$52+'Assumptions and Catalog'!$F$52,IF(((D825+E825)*C825)&lt;='Assumptions and Catalog'!$C$53,((D825+E825)*C825)*'Assumptions and Catalog'!$H$53+'Assumptions and Catalog'!$E$53+'Assumptions and Catalog'!$F$53,IF(((D825+E825)*C825)&lt;='Assumptions and Catalog'!$C$54,((D825+E825)*C825)*'Assumptions and Catalog'!$H$54+'Assumptions and Catalog'!$E$54+'Assumptions and Catalog'!$F$54,IF(((D825+E825)*C825)&lt;='Assumptions and Catalog'!$C$55,((D825+E825)*C825)*'Assumptions and Catalog'!$H$55+'Assumptions and Catalog'!$E$55+'Assumptions and Catalog'!$F$55,IF(((D825+E825)*C825)&lt;='Assumptions and Catalog'!$C$56,((D825+E825)*C825)*'Assumptions and Catalog'!$H$56+'Assumptions and Catalog'!$E$56+'Assumptions and Catalog'!$F$56,IF(((D825+E825)*C825)&lt;='Assumptions and Catalog'!$C$57,((D825+E825)*C825)*'Assumptions and Catalog'!$H$57+'Assumptions and Catalog'!$E$57+'Assumptions and Catalog'!$F$57,"Out of range")))))))),IF(((D825+E825)*C825)&lt;='Assumptions and Catalog'!$C$60,((D825+E825)*C825)*'Assumptions and Catalog'!$H$60+'Assumptions and Catalog'!$E$60+'Assumptions and Catalog'!$F$60,IF(((D825+E825)*C825)&lt;='Assumptions and Catalog'!$C$61,((D825+E825)*C825)*'Assumptions and Catalog'!$H$61+'Assumptions and Catalog'!$E$61+'Assumptions and Catalog'!$F$61,IF(((D825+E825)*C825)&lt;='Assumptions and Catalog'!$C$62,((D825+E825)*C825)*'Assumptions and Catalog'!$H$62+'Assumptions and Catalog'!$E$62+'Assumptions and Catalog'!$F$62,IF(((D825+E825)*C825)&lt;='Assumptions and Catalog'!$C$63,((D825+E825)*C825)*'Assumptions and Catalog'!$H$63+'Assumptions and Catalog'!$E$63+'Assumptions and Catalog'!$F$63,IF(((D825+E825)*C825)&lt;='Assumptions and Catalog'!$C$64,((D825+E825)*C825)*'Assumptions and Catalog'!$H$64+'Assumptions and Catalog'!$E$64+'Assumptions and Catalog'!$F$64,IF(((D825+E825)*C825)&lt;='Assumptions and Catalog'!$C$65,((D825+E825)*C825)*'Assumptions and Catalog'!$H$65+'Assumptions and Catalog'!$E$65+'Assumptions and Catalog'!$F$65,"Out of range")))))))))*(1+'Assumptions and Catalog'!$C$8)^(A825-1),0)</f>
        <v>8279</v>
      </c>
      <c r="N825" s="5">
        <f>IF(ISNUMBER(Inputs!$L$5),(IF(Inputs!$L$9="Actual flat rate",L825*Inputs!$L$10,IF(Inputs!$C$9="Residential",IF(L825&lt;='Assumptions and Catalog'!$C$50,L825*'Assumptions and Catalog'!$H$50+'Assumptions and Catalog'!$E$50+'Assumptions and Catalog'!$F$50,IF(L825&lt;='Assumptions and Catalog'!$C$51,L825*'Assumptions and Catalog'!$H$51+'Assumptions and Catalog'!$E$51+'Assumptions and Catalog'!$F$51,IF(L825&lt;='Assumptions and Catalog'!$C$52,L825*'Assumptions and Catalog'!$H$52+'Assumptions and Catalog'!$E$52+'Assumptions and Catalog'!$F$52,IF(L825&lt;='Assumptions and Catalog'!$C$53,L825*'Assumptions and Catalog'!$H$53+'Assumptions and Catalog'!$E$53+'Assumptions and Catalog'!$F$53,IF(L825&lt;='Assumptions and Catalog'!$C$54,L825*'Assumptions and Catalog'!$H$54+'Assumptions and Catalog'!$E$54+'Assumptions and Catalog'!$F$54,IF(L825&lt;='Assumptions and Catalog'!$C$55,L825*'Assumptions and Catalog'!$H$55+'Assumptions and Catalog'!$E$55+'Assumptions and Catalog'!$F$55,IF(L825&lt;='Assumptions and Catalog'!$C$56,L825*'Assumptions and Catalog'!$H$56+'Assumptions and Catalog'!$E$56+'Assumptions and Catalog'!$F$56,IF(L825&lt;='Assumptions and Catalog'!$C$57,L825*'Assumptions and Catalog'!$H$57+'Assumptions and Catalog'!$E$57+'Assumptions and Catalog'!$F$57,"Out of range")))))))),IF(L825&lt;='Assumptions and Catalog'!$C$60,L825*'Assumptions and Catalog'!$H$60+'Assumptions and Catalog'!$E$60+'Assumptions and Catalog'!$F$60,IF(L825&lt;='Assumptions and Catalog'!$C$61,L825*'Assumptions and Catalog'!$H$61+'Assumptions and Catalog'!$E$61+'Assumptions and Catalog'!$F$61,IF(L825&lt;='Assumptions and Catalog'!$C$62,L825*'Assumptions and Catalog'!$H$62+'Assumptions and Catalog'!$E$62+'Assumptions and Catalog'!$F$62,IF(L825&lt;='Assumptions and Catalog'!$C$63,L825*'Assumptions and Catalog'!$H$63+'Assumptions and Catalog'!$E$63+'Assumptions and Catalog'!$F$63,IF(L825&lt;='Assumptions and Catalog'!$C$64,L825*'Assumptions and Catalog'!$H$64+'Assumptions and Catalog'!$E$64+'Assumptions and Catalog'!$F$64,IF(L825&lt;='Assumptions and Catalog'!$C$65,L825*'Assumptions and Catalog'!$H$65+'Assumptions and Catalog'!$E$65+'Assumptions and Catalog'!$F$65,"Out of range")))))))))*(1+'Assumptions and Catalog'!$C$8)^(A825-1),0)</f>
        <v>5646.3299681162516</v>
      </c>
      <c r="O825" s="5">
        <f t="shared" si="59"/>
        <v>2632.6700318837484</v>
      </c>
      <c r="P825" s="5">
        <f>E$55*(1-L$14)*(1-'Assumptions and Catalog'!$C$23)^R825</f>
        <v>96.3780608</v>
      </c>
      <c r="Q825" s="5">
        <f>IF(ISNUMBER(Inputs!$L$5),(IF(Inputs!$L$9="Actual flat rate",((D825+E825)*C825-G825)*Inputs!$L$10,IF(Inputs!$C$9="Residential",IF(((D825+E825)*C825-G825)&lt;='Assumptions and Catalog'!$C$50,((D825+E825)*C825-G825)*'Assumptions and Catalog'!$H$50+'Assumptions and Catalog'!$E$50+'Assumptions and Catalog'!$F$50,IF(((D825+E825)*C825-G825)&lt;='Assumptions and Catalog'!$C$51,((D825+E825)*C825-G825)*'Assumptions and Catalog'!$H$51+'Assumptions and Catalog'!$E$51+'Assumptions and Catalog'!$F$51,IF(((D825+E825)*C825-G825)&lt;='Assumptions and Catalog'!$C$52,((D825+E825)*C825-G825)*'Assumptions and Catalog'!$H$52+'Assumptions and Catalog'!$E$52+'Assumptions and Catalog'!$F$52,IF(((D825+E825)*C825-G825)&lt;='Assumptions and Catalog'!$C$53,((D825+E825)*C825-G825)*'Assumptions and Catalog'!$H$53+'Assumptions and Catalog'!$E$53+'Assumptions and Catalog'!$F$53,IF(((D825+E825)*C825-G825)&lt;='Assumptions and Catalog'!$C$54,((D825+E825)*C825-G825)*'Assumptions and Catalog'!$H$54+'Assumptions and Catalog'!$E$54+'Assumptions and Catalog'!$F$54,IF(((D825+E825)*C825-G825)&lt;='Assumptions and Catalog'!$C$55,((D825+E825)*C825-G825)*'Assumptions and Catalog'!$H$55+'Assumptions and Catalog'!$E$55+'Assumptions and Catalog'!$F$55,IF(((D825+E825)*C825-G825)&lt;='Assumptions and Catalog'!$C$56,((D825+E825)*C825-G825)*'Assumptions and Catalog'!$H$56+'Assumptions and Catalog'!$E$56+'Assumptions and Catalog'!$F$56,IF(((D825+E825)*C825-G825)&lt;='Assumptions and Catalog'!$C$57,((D825+E825)*C825-G825)*'Assumptions and Catalog'!$H$57+'Assumptions and Catalog'!$E$57+'Assumptions and Catalog'!$F$57,"Out of range")))))))),IF(((D825+E825)*C825-G825)&lt;='Assumptions and Catalog'!$C$60,((D825+E825)*C825-G825)*'Assumptions and Catalog'!$H$60+'Assumptions and Catalog'!$E$60+'Assumptions and Catalog'!$F$60,IF(((D825+E825)*C825-G825)&lt;='Assumptions and Catalog'!$C$61,((D825+E825)*C825-G825)*'Assumptions and Catalog'!$H$61+'Assumptions and Catalog'!$E$61+'Assumptions and Catalog'!$F$61,IF(((D825+E825)*C825-G825)&lt;='Assumptions and Catalog'!$C$62,((D825+E825)*C825-G825)*'Assumptions and Catalog'!$H$62+'Assumptions and Catalog'!$E$62+'Assumptions and Catalog'!$F$62,IF(((D825+E825)*C825-G825)&lt;='Assumptions and Catalog'!$C$63,((D825+E825)*C825-G825)*'Assumptions and Catalog'!$H$63+'Assumptions and Catalog'!$E$63+'Assumptions and Catalog'!$F$63,IF(((D825+E825)*C825-G825)&lt;='Assumptions and Catalog'!$C$64,((D825+E825)*C825-G825)*'Assumptions and Catalog'!$H$64+'Assumptions and Catalog'!$E$64+'Assumptions and Catalog'!$F$64,IF(((D825+E825)*C825-G825)&lt;='Assumptions and Catalog'!$C$65,((D825+E825)*C825-G825)*'Assumptions and Catalog'!$H$65+'Assumptions and Catalog'!$E$65+'Assumptions and Catalog'!$F$65,"Out of range")))))))))*(1+'Assumptions and Catalog'!$C$8)^(A825-1),0)</f>
        <v>5646.3299681162516</v>
      </c>
      <c r="R825" s="5">
        <f>IF(AND('Assumptions and Catalog'!$C$19&gt;0,A825&gt;='Assumptions and Catalog'!$C$19),A825-'Assumptions and Catalog'!$C$19,A825-1)</f>
        <v>3</v>
      </c>
      <c r="S825" s="5">
        <f>F825+L825-(D825+E825)*C825-J825-K825-IF(E$52&gt;0,'Assumptions and Catalog'!$C$26*C825,0)</f>
        <v>0</v>
      </c>
      <c r="T825" s="5"/>
      <c r="U825" s="5"/>
    </row>
    <row r="826" spans="1:21" ht="23.1" customHeight="1" outlineLevel="1" x14ac:dyDescent="0.2">
      <c r="A826" s="5">
        <v>14</v>
      </c>
      <c r="B826" s="5">
        <v>10</v>
      </c>
      <c r="C826" s="5">
        <f>DAY(DATE('Assumptions and Catalog'!$C$24+A826-1,B826+1,0))</f>
        <v>31</v>
      </c>
      <c r="D826" s="5">
        <f>IF(ISNUMBER(Inputs!$L$5),Inputs!$L$5*Inputs!$L$6,0)</f>
        <v>40.35</v>
      </c>
      <c r="E826" s="5">
        <f>IF(ISNUMBER(Inputs!$L$5),Inputs!$L$5-D826,0)</f>
        <v>40.35</v>
      </c>
      <c r="F826" s="5">
        <f>E$51*'Assumptions and Catalog'!$C$31*C826*(1-'Assumptions and Catalog'!$C$10)^(A826-1)</f>
        <v>795.52489657731292</v>
      </c>
      <c r="G826" s="5">
        <f t="shared" si="56"/>
        <v>795.52489657731292</v>
      </c>
      <c r="H826" s="5">
        <f>I826/('Assumptions and Catalog'!$C$11*'Assumptions and Catalog'!$C$12)</f>
        <v>0</v>
      </c>
      <c r="I826" s="5">
        <f>MIN(E826*C826,P826*'Assumptions and Catalog'!$C$12*C826,(F826-G826)*'Assumptions and Catalog'!$C$11*'Assumptions and Catalog'!$C$12,E$56*'Assumptions and Catalog'!$C$14*'Assumptions and Catalog'!$C$11*'Assumptions and Catalog'!$C$12*C826,E$57*(24-'Assumptions and Catalog'!$C$13)*C826)</f>
        <v>0</v>
      </c>
      <c r="J826" s="5">
        <f t="shared" si="57"/>
        <v>0</v>
      </c>
      <c r="K826" s="5">
        <f t="shared" si="58"/>
        <v>0</v>
      </c>
      <c r="L826" s="5">
        <f>(D826+E826)*C826-G826-I826+0+IF(E$52&gt;0,'Assumptions and Catalog'!$C$26*C826,0)</f>
        <v>1706.1751034226872</v>
      </c>
      <c r="M826" s="5">
        <f>IF(ISNUMBER(Inputs!$L$5),(IF(Inputs!$L$9="Actual flat rate",((D826+E826)*C826)*Inputs!$L$10,IF(Inputs!$C$9="Residential",IF(((D826+E826)*C826)&lt;='Assumptions and Catalog'!$C$50,((D826+E826)*C826)*'Assumptions and Catalog'!$H$50+'Assumptions and Catalog'!$E$50+'Assumptions and Catalog'!$F$50,IF(((D826+E826)*C826)&lt;='Assumptions and Catalog'!$C$51,((D826+E826)*C826)*'Assumptions and Catalog'!$H$51+'Assumptions and Catalog'!$E$51+'Assumptions and Catalog'!$F$51,IF(((D826+E826)*C826)&lt;='Assumptions and Catalog'!$C$52,((D826+E826)*C826)*'Assumptions and Catalog'!$H$52+'Assumptions and Catalog'!$E$52+'Assumptions and Catalog'!$F$52,IF(((D826+E826)*C826)&lt;='Assumptions and Catalog'!$C$53,((D826+E826)*C826)*'Assumptions and Catalog'!$H$53+'Assumptions and Catalog'!$E$53+'Assumptions and Catalog'!$F$53,IF(((D826+E826)*C826)&lt;='Assumptions and Catalog'!$C$54,((D826+E826)*C826)*'Assumptions and Catalog'!$H$54+'Assumptions and Catalog'!$E$54+'Assumptions and Catalog'!$F$54,IF(((D826+E826)*C826)&lt;='Assumptions and Catalog'!$C$55,((D826+E826)*C826)*'Assumptions and Catalog'!$H$55+'Assumptions and Catalog'!$E$55+'Assumptions and Catalog'!$F$55,IF(((D826+E826)*C826)&lt;='Assumptions and Catalog'!$C$56,((D826+E826)*C826)*'Assumptions and Catalog'!$H$56+'Assumptions and Catalog'!$E$56+'Assumptions and Catalog'!$F$56,IF(((D826+E826)*C826)&lt;='Assumptions and Catalog'!$C$57,((D826+E826)*C826)*'Assumptions and Catalog'!$H$57+'Assumptions and Catalog'!$E$57+'Assumptions and Catalog'!$F$57,"Out of range")))))))),IF(((D826+E826)*C826)&lt;='Assumptions and Catalog'!$C$60,((D826+E826)*C826)*'Assumptions and Catalog'!$H$60+'Assumptions and Catalog'!$E$60+'Assumptions and Catalog'!$F$60,IF(((D826+E826)*C826)&lt;='Assumptions and Catalog'!$C$61,((D826+E826)*C826)*'Assumptions and Catalog'!$H$61+'Assumptions and Catalog'!$E$61+'Assumptions and Catalog'!$F$61,IF(((D826+E826)*C826)&lt;='Assumptions and Catalog'!$C$62,((D826+E826)*C826)*'Assumptions and Catalog'!$H$62+'Assumptions and Catalog'!$E$62+'Assumptions and Catalog'!$F$62,IF(((D826+E826)*C826)&lt;='Assumptions and Catalog'!$C$63,((D826+E826)*C826)*'Assumptions and Catalog'!$H$63+'Assumptions and Catalog'!$E$63+'Assumptions and Catalog'!$F$63,IF(((D826+E826)*C826)&lt;='Assumptions and Catalog'!$C$64,((D826+E826)*C826)*'Assumptions and Catalog'!$H$64+'Assumptions and Catalog'!$E$64+'Assumptions and Catalog'!$F$64,IF(((D826+E826)*C826)&lt;='Assumptions and Catalog'!$C$65,((D826+E826)*C826)*'Assumptions and Catalog'!$H$65+'Assumptions and Catalog'!$E$65+'Assumptions and Catalog'!$F$65,"Out of range")))))))))*(1+'Assumptions and Catalog'!$C$8)^(A826-1),0)</f>
        <v>8554.9666666666672</v>
      </c>
      <c r="N826" s="5">
        <f>IF(ISNUMBER(Inputs!$L$5),(IF(Inputs!$L$9="Actual flat rate",L826*Inputs!$L$10,IF(Inputs!$C$9="Residential",IF(L826&lt;='Assumptions and Catalog'!$C$50,L826*'Assumptions and Catalog'!$H$50+'Assumptions and Catalog'!$E$50+'Assumptions and Catalog'!$F$50,IF(L826&lt;='Assumptions and Catalog'!$C$51,L826*'Assumptions and Catalog'!$H$51+'Assumptions and Catalog'!$E$51+'Assumptions and Catalog'!$F$51,IF(L826&lt;='Assumptions and Catalog'!$C$52,L826*'Assumptions and Catalog'!$H$52+'Assumptions and Catalog'!$E$52+'Assumptions and Catalog'!$F$52,IF(L826&lt;='Assumptions and Catalog'!$C$53,L826*'Assumptions and Catalog'!$H$53+'Assumptions and Catalog'!$E$53+'Assumptions and Catalog'!$F$53,IF(L826&lt;='Assumptions and Catalog'!$C$54,L826*'Assumptions and Catalog'!$H$54+'Assumptions and Catalog'!$E$54+'Assumptions and Catalog'!$F$54,IF(L826&lt;='Assumptions and Catalog'!$C$55,L826*'Assumptions and Catalog'!$H$55+'Assumptions and Catalog'!$E$55+'Assumptions and Catalog'!$F$55,IF(L826&lt;='Assumptions and Catalog'!$C$56,L826*'Assumptions and Catalog'!$H$56+'Assumptions and Catalog'!$E$56+'Assumptions and Catalog'!$F$56,IF(L826&lt;='Assumptions and Catalog'!$C$57,L826*'Assumptions and Catalog'!$H$57+'Assumptions and Catalog'!$E$57+'Assumptions and Catalog'!$F$57,"Out of range")))))))),IF(L826&lt;='Assumptions and Catalog'!$C$60,L826*'Assumptions and Catalog'!$H$60+'Assumptions and Catalog'!$E$60+'Assumptions and Catalog'!$F$60,IF(L826&lt;='Assumptions and Catalog'!$C$61,L826*'Assumptions and Catalog'!$H$61+'Assumptions and Catalog'!$E$61+'Assumptions and Catalog'!$F$61,IF(L826&lt;='Assumptions and Catalog'!$C$62,L826*'Assumptions and Catalog'!$H$62+'Assumptions and Catalog'!$E$62+'Assumptions and Catalog'!$F$62,IF(L826&lt;='Assumptions and Catalog'!$C$63,L826*'Assumptions and Catalog'!$H$63+'Assumptions and Catalog'!$E$63+'Assumptions and Catalog'!$F$63,IF(L826&lt;='Assumptions and Catalog'!$C$64,L826*'Assumptions and Catalog'!$H$64+'Assumptions and Catalog'!$E$64+'Assumptions and Catalog'!$F$64,IF(L826&lt;='Assumptions and Catalog'!$C$65,L826*'Assumptions and Catalog'!$H$65+'Assumptions and Catalog'!$E$65+'Assumptions and Catalog'!$F$65,"Out of range")))))))))*(1+'Assumptions and Catalog'!$C$8)^(A826-1),0)</f>
        <v>5834.54096705346</v>
      </c>
      <c r="O826" s="5">
        <f t="shared" si="59"/>
        <v>2720.4256996132071</v>
      </c>
      <c r="P826" s="5">
        <f>E$55*(1-L$14)*(1-'Assumptions and Catalog'!$C$23)^R826</f>
        <v>96.3780608</v>
      </c>
      <c r="Q826" s="5">
        <f>IF(ISNUMBER(Inputs!$L$5),(IF(Inputs!$L$9="Actual flat rate",((D826+E826)*C826-G826)*Inputs!$L$10,IF(Inputs!$C$9="Residential",IF(((D826+E826)*C826-G826)&lt;='Assumptions and Catalog'!$C$50,((D826+E826)*C826-G826)*'Assumptions and Catalog'!$H$50+'Assumptions and Catalog'!$E$50+'Assumptions and Catalog'!$F$50,IF(((D826+E826)*C826-G826)&lt;='Assumptions and Catalog'!$C$51,((D826+E826)*C826-G826)*'Assumptions and Catalog'!$H$51+'Assumptions and Catalog'!$E$51+'Assumptions and Catalog'!$F$51,IF(((D826+E826)*C826-G826)&lt;='Assumptions and Catalog'!$C$52,((D826+E826)*C826-G826)*'Assumptions and Catalog'!$H$52+'Assumptions and Catalog'!$E$52+'Assumptions and Catalog'!$F$52,IF(((D826+E826)*C826-G826)&lt;='Assumptions and Catalog'!$C$53,((D826+E826)*C826-G826)*'Assumptions and Catalog'!$H$53+'Assumptions and Catalog'!$E$53+'Assumptions and Catalog'!$F$53,IF(((D826+E826)*C826-G826)&lt;='Assumptions and Catalog'!$C$54,((D826+E826)*C826-G826)*'Assumptions and Catalog'!$H$54+'Assumptions and Catalog'!$E$54+'Assumptions and Catalog'!$F$54,IF(((D826+E826)*C826-G826)&lt;='Assumptions and Catalog'!$C$55,((D826+E826)*C826-G826)*'Assumptions and Catalog'!$H$55+'Assumptions and Catalog'!$E$55+'Assumptions and Catalog'!$F$55,IF(((D826+E826)*C826-G826)&lt;='Assumptions and Catalog'!$C$56,((D826+E826)*C826-G826)*'Assumptions and Catalog'!$H$56+'Assumptions and Catalog'!$E$56+'Assumptions and Catalog'!$F$56,IF(((D826+E826)*C826-G826)&lt;='Assumptions and Catalog'!$C$57,((D826+E826)*C826-G826)*'Assumptions and Catalog'!$H$57+'Assumptions and Catalog'!$E$57+'Assumptions and Catalog'!$F$57,"Out of range")))))))),IF(((D826+E826)*C826-G826)&lt;='Assumptions and Catalog'!$C$60,((D826+E826)*C826-G826)*'Assumptions and Catalog'!$H$60+'Assumptions and Catalog'!$E$60+'Assumptions and Catalog'!$F$60,IF(((D826+E826)*C826-G826)&lt;='Assumptions and Catalog'!$C$61,((D826+E826)*C826-G826)*'Assumptions and Catalog'!$H$61+'Assumptions and Catalog'!$E$61+'Assumptions and Catalog'!$F$61,IF(((D826+E826)*C826-G826)&lt;='Assumptions and Catalog'!$C$62,((D826+E826)*C826-G826)*'Assumptions and Catalog'!$H$62+'Assumptions and Catalog'!$E$62+'Assumptions and Catalog'!$F$62,IF(((D826+E826)*C826-G826)&lt;='Assumptions and Catalog'!$C$63,((D826+E826)*C826-G826)*'Assumptions and Catalog'!$H$63+'Assumptions and Catalog'!$E$63+'Assumptions and Catalog'!$F$63,IF(((D826+E826)*C826-G826)&lt;='Assumptions and Catalog'!$C$64,((D826+E826)*C826-G826)*'Assumptions and Catalog'!$H$64+'Assumptions and Catalog'!$E$64+'Assumptions and Catalog'!$F$64,IF(((D826+E826)*C826-G826)&lt;='Assumptions and Catalog'!$C$65,((D826+E826)*C826-G826)*'Assumptions and Catalog'!$H$65+'Assumptions and Catalog'!$E$65+'Assumptions and Catalog'!$F$65,"Out of range")))))))))*(1+'Assumptions and Catalog'!$C$8)^(A826-1),0)</f>
        <v>5834.54096705346</v>
      </c>
      <c r="R826" s="5">
        <f>IF(AND('Assumptions and Catalog'!$C$19&gt;0,A826&gt;='Assumptions and Catalog'!$C$19),A826-'Assumptions and Catalog'!$C$19,A826-1)</f>
        <v>3</v>
      </c>
      <c r="S826" s="5">
        <f>F826+L826-(D826+E826)*C826-J826-K826-IF(E$52&gt;0,'Assumptions and Catalog'!$C$26*C826,0)</f>
        <v>0</v>
      </c>
      <c r="T826" s="5"/>
      <c r="U826" s="5"/>
    </row>
    <row r="827" spans="1:21" ht="23.1" customHeight="1" outlineLevel="1" x14ac:dyDescent="0.2">
      <c r="A827" s="5">
        <v>14</v>
      </c>
      <c r="B827" s="5">
        <v>11</v>
      </c>
      <c r="C827" s="5">
        <f>DAY(DATE('Assumptions and Catalog'!$C$24+A827-1,B827+1,0))</f>
        <v>30</v>
      </c>
      <c r="D827" s="5">
        <f>IF(ISNUMBER(Inputs!$L$5),Inputs!$L$5*Inputs!$L$6,0)</f>
        <v>40.35</v>
      </c>
      <c r="E827" s="5">
        <f>IF(ISNUMBER(Inputs!$L$5),Inputs!$L$5-D827,0)</f>
        <v>40.35</v>
      </c>
      <c r="F827" s="5">
        <f>E$51*'Assumptions and Catalog'!$C$31*C827*(1-'Assumptions and Catalog'!$C$10)^(A827-1)</f>
        <v>769.86280313933503</v>
      </c>
      <c r="G827" s="5">
        <f t="shared" si="56"/>
        <v>769.86280313933503</v>
      </c>
      <c r="H827" s="5">
        <f>I827/('Assumptions and Catalog'!$C$11*'Assumptions and Catalog'!$C$12)</f>
        <v>0</v>
      </c>
      <c r="I827" s="5">
        <f>MIN(E827*C827,P827*'Assumptions and Catalog'!$C$12*C827,(F827-G827)*'Assumptions and Catalog'!$C$11*'Assumptions and Catalog'!$C$12,E$56*'Assumptions and Catalog'!$C$14*'Assumptions and Catalog'!$C$11*'Assumptions and Catalog'!$C$12*C827,E$57*(24-'Assumptions and Catalog'!$C$13)*C827)</f>
        <v>0</v>
      </c>
      <c r="J827" s="5">
        <f t="shared" si="57"/>
        <v>0</v>
      </c>
      <c r="K827" s="5">
        <f t="shared" si="58"/>
        <v>0</v>
      </c>
      <c r="L827" s="5">
        <f>(D827+E827)*C827-G827-I827+0+IF(E$52&gt;0,'Assumptions and Catalog'!$C$26*C827,0)</f>
        <v>1651.137196860665</v>
      </c>
      <c r="M827" s="5">
        <f>IF(ISNUMBER(Inputs!$L$5),(IF(Inputs!$L$9="Actual flat rate",((D827+E827)*C827)*Inputs!$L$10,IF(Inputs!$C$9="Residential",IF(((D827+E827)*C827)&lt;='Assumptions and Catalog'!$C$50,((D827+E827)*C827)*'Assumptions and Catalog'!$H$50+'Assumptions and Catalog'!$E$50+'Assumptions and Catalog'!$F$50,IF(((D827+E827)*C827)&lt;='Assumptions and Catalog'!$C$51,((D827+E827)*C827)*'Assumptions and Catalog'!$H$51+'Assumptions and Catalog'!$E$51+'Assumptions and Catalog'!$F$51,IF(((D827+E827)*C827)&lt;='Assumptions and Catalog'!$C$52,((D827+E827)*C827)*'Assumptions and Catalog'!$H$52+'Assumptions and Catalog'!$E$52+'Assumptions and Catalog'!$F$52,IF(((D827+E827)*C827)&lt;='Assumptions and Catalog'!$C$53,((D827+E827)*C827)*'Assumptions and Catalog'!$H$53+'Assumptions and Catalog'!$E$53+'Assumptions and Catalog'!$F$53,IF(((D827+E827)*C827)&lt;='Assumptions and Catalog'!$C$54,((D827+E827)*C827)*'Assumptions and Catalog'!$H$54+'Assumptions and Catalog'!$E$54+'Assumptions and Catalog'!$F$54,IF(((D827+E827)*C827)&lt;='Assumptions and Catalog'!$C$55,((D827+E827)*C827)*'Assumptions and Catalog'!$H$55+'Assumptions and Catalog'!$E$55+'Assumptions and Catalog'!$F$55,IF(((D827+E827)*C827)&lt;='Assumptions and Catalog'!$C$56,((D827+E827)*C827)*'Assumptions and Catalog'!$H$56+'Assumptions and Catalog'!$E$56+'Assumptions and Catalog'!$F$56,IF(((D827+E827)*C827)&lt;='Assumptions and Catalog'!$C$57,((D827+E827)*C827)*'Assumptions and Catalog'!$H$57+'Assumptions and Catalog'!$E$57+'Assumptions and Catalog'!$F$57,"Out of range")))))))),IF(((D827+E827)*C827)&lt;='Assumptions and Catalog'!$C$60,((D827+E827)*C827)*'Assumptions and Catalog'!$H$60+'Assumptions and Catalog'!$E$60+'Assumptions and Catalog'!$F$60,IF(((D827+E827)*C827)&lt;='Assumptions and Catalog'!$C$61,((D827+E827)*C827)*'Assumptions and Catalog'!$H$61+'Assumptions and Catalog'!$E$61+'Assumptions and Catalog'!$F$61,IF(((D827+E827)*C827)&lt;='Assumptions and Catalog'!$C$62,((D827+E827)*C827)*'Assumptions and Catalog'!$H$62+'Assumptions and Catalog'!$E$62+'Assumptions and Catalog'!$F$62,IF(((D827+E827)*C827)&lt;='Assumptions and Catalog'!$C$63,((D827+E827)*C827)*'Assumptions and Catalog'!$H$63+'Assumptions and Catalog'!$E$63+'Assumptions and Catalog'!$F$63,IF(((D827+E827)*C827)&lt;='Assumptions and Catalog'!$C$64,((D827+E827)*C827)*'Assumptions and Catalog'!$H$64+'Assumptions and Catalog'!$E$64+'Assumptions and Catalog'!$F$64,IF(((D827+E827)*C827)&lt;='Assumptions and Catalog'!$C$65,((D827+E827)*C827)*'Assumptions and Catalog'!$H$65+'Assumptions and Catalog'!$E$65+'Assumptions and Catalog'!$F$65,"Out of range")))))))))*(1+'Assumptions and Catalog'!$C$8)^(A827-1),0)</f>
        <v>8279</v>
      </c>
      <c r="N827" s="5">
        <f>IF(ISNUMBER(Inputs!$L$5),(IF(Inputs!$L$9="Actual flat rate",L827*Inputs!$L$10,IF(Inputs!$C$9="Residential",IF(L827&lt;='Assumptions and Catalog'!$C$50,L827*'Assumptions and Catalog'!$H$50+'Assumptions and Catalog'!$E$50+'Assumptions and Catalog'!$F$50,IF(L827&lt;='Assumptions and Catalog'!$C$51,L827*'Assumptions and Catalog'!$H$51+'Assumptions and Catalog'!$E$51+'Assumptions and Catalog'!$F$51,IF(L827&lt;='Assumptions and Catalog'!$C$52,L827*'Assumptions and Catalog'!$H$52+'Assumptions and Catalog'!$E$52+'Assumptions and Catalog'!$F$52,IF(L827&lt;='Assumptions and Catalog'!$C$53,L827*'Assumptions and Catalog'!$H$53+'Assumptions and Catalog'!$E$53+'Assumptions and Catalog'!$F$53,IF(L827&lt;='Assumptions and Catalog'!$C$54,L827*'Assumptions and Catalog'!$H$54+'Assumptions and Catalog'!$E$54+'Assumptions and Catalog'!$F$54,IF(L827&lt;='Assumptions and Catalog'!$C$55,L827*'Assumptions and Catalog'!$H$55+'Assumptions and Catalog'!$E$55+'Assumptions and Catalog'!$F$55,IF(L827&lt;='Assumptions and Catalog'!$C$56,L827*'Assumptions and Catalog'!$H$56+'Assumptions and Catalog'!$E$56+'Assumptions and Catalog'!$F$56,IF(L827&lt;='Assumptions and Catalog'!$C$57,L827*'Assumptions and Catalog'!$H$57+'Assumptions and Catalog'!$E$57+'Assumptions and Catalog'!$F$57,"Out of range")))))))),IF(L827&lt;='Assumptions and Catalog'!$C$60,L827*'Assumptions and Catalog'!$H$60+'Assumptions and Catalog'!$E$60+'Assumptions and Catalog'!$F$60,IF(L827&lt;='Assumptions and Catalog'!$C$61,L827*'Assumptions and Catalog'!$H$61+'Assumptions and Catalog'!$E$61+'Assumptions and Catalog'!$F$61,IF(L827&lt;='Assumptions and Catalog'!$C$62,L827*'Assumptions and Catalog'!$H$62+'Assumptions and Catalog'!$E$62+'Assumptions and Catalog'!$F$62,IF(L827&lt;='Assumptions and Catalog'!$C$63,L827*'Assumptions and Catalog'!$H$63+'Assumptions and Catalog'!$E$63+'Assumptions and Catalog'!$F$63,IF(L827&lt;='Assumptions and Catalog'!$C$64,L827*'Assumptions and Catalog'!$H$64+'Assumptions and Catalog'!$E$64+'Assumptions and Catalog'!$F$64,IF(L827&lt;='Assumptions and Catalog'!$C$65,L827*'Assumptions and Catalog'!$H$65+'Assumptions and Catalog'!$E$65+'Assumptions and Catalog'!$F$65,"Out of range")))))))))*(1+'Assumptions and Catalog'!$C$8)^(A827-1),0)</f>
        <v>5646.3299681162516</v>
      </c>
      <c r="O827" s="5">
        <f t="shared" si="59"/>
        <v>2632.6700318837484</v>
      </c>
      <c r="P827" s="5">
        <f>E$55*(1-L$14)*(1-'Assumptions and Catalog'!$C$23)^R827</f>
        <v>96.3780608</v>
      </c>
      <c r="Q827" s="5">
        <f>IF(ISNUMBER(Inputs!$L$5),(IF(Inputs!$L$9="Actual flat rate",((D827+E827)*C827-G827)*Inputs!$L$10,IF(Inputs!$C$9="Residential",IF(((D827+E827)*C827-G827)&lt;='Assumptions and Catalog'!$C$50,((D827+E827)*C827-G827)*'Assumptions and Catalog'!$H$50+'Assumptions and Catalog'!$E$50+'Assumptions and Catalog'!$F$50,IF(((D827+E827)*C827-G827)&lt;='Assumptions and Catalog'!$C$51,((D827+E827)*C827-G827)*'Assumptions and Catalog'!$H$51+'Assumptions and Catalog'!$E$51+'Assumptions and Catalog'!$F$51,IF(((D827+E827)*C827-G827)&lt;='Assumptions and Catalog'!$C$52,((D827+E827)*C827-G827)*'Assumptions and Catalog'!$H$52+'Assumptions and Catalog'!$E$52+'Assumptions and Catalog'!$F$52,IF(((D827+E827)*C827-G827)&lt;='Assumptions and Catalog'!$C$53,((D827+E827)*C827-G827)*'Assumptions and Catalog'!$H$53+'Assumptions and Catalog'!$E$53+'Assumptions and Catalog'!$F$53,IF(((D827+E827)*C827-G827)&lt;='Assumptions and Catalog'!$C$54,((D827+E827)*C827-G827)*'Assumptions and Catalog'!$H$54+'Assumptions and Catalog'!$E$54+'Assumptions and Catalog'!$F$54,IF(((D827+E827)*C827-G827)&lt;='Assumptions and Catalog'!$C$55,((D827+E827)*C827-G827)*'Assumptions and Catalog'!$H$55+'Assumptions and Catalog'!$E$55+'Assumptions and Catalog'!$F$55,IF(((D827+E827)*C827-G827)&lt;='Assumptions and Catalog'!$C$56,((D827+E827)*C827-G827)*'Assumptions and Catalog'!$H$56+'Assumptions and Catalog'!$E$56+'Assumptions and Catalog'!$F$56,IF(((D827+E827)*C827-G827)&lt;='Assumptions and Catalog'!$C$57,((D827+E827)*C827-G827)*'Assumptions and Catalog'!$H$57+'Assumptions and Catalog'!$E$57+'Assumptions and Catalog'!$F$57,"Out of range")))))))),IF(((D827+E827)*C827-G827)&lt;='Assumptions and Catalog'!$C$60,((D827+E827)*C827-G827)*'Assumptions and Catalog'!$H$60+'Assumptions and Catalog'!$E$60+'Assumptions and Catalog'!$F$60,IF(((D827+E827)*C827-G827)&lt;='Assumptions and Catalog'!$C$61,((D827+E827)*C827-G827)*'Assumptions and Catalog'!$H$61+'Assumptions and Catalog'!$E$61+'Assumptions and Catalog'!$F$61,IF(((D827+E827)*C827-G827)&lt;='Assumptions and Catalog'!$C$62,((D827+E827)*C827-G827)*'Assumptions and Catalog'!$H$62+'Assumptions and Catalog'!$E$62+'Assumptions and Catalog'!$F$62,IF(((D827+E827)*C827-G827)&lt;='Assumptions and Catalog'!$C$63,((D827+E827)*C827-G827)*'Assumptions and Catalog'!$H$63+'Assumptions and Catalog'!$E$63+'Assumptions and Catalog'!$F$63,IF(((D827+E827)*C827-G827)&lt;='Assumptions and Catalog'!$C$64,((D827+E827)*C827-G827)*'Assumptions and Catalog'!$H$64+'Assumptions and Catalog'!$E$64+'Assumptions and Catalog'!$F$64,IF(((D827+E827)*C827-G827)&lt;='Assumptions and Catalog'!$C$65,((D827+E827)*C827-G827)*'Assumptions and Catalog'!$H$65+'Assumptions and Catalog'!$E$65+'Assumptions and Catalog'!$F$65,"Out of range")))))))))*(1+'Assumptions and Catalog'!$C$8)^(A827-1),0)</f>
        <v>5646.3299681162516</v>
      </c>
      <c r="R827" s="5">
        <f>IF(AND('Assumptions and Catalog'!$C$19&gt;0,A827&gt;='Assumptions and Catalog'!$C$19),A827-'Assumptions and Catalog'!$C$19,A827-1)</f>
        <v>3</v>
      </c>
      <c r="S827" s="5">
        <f>F827+L827-(D827+E827)*C827-J827-K827-IF(E$52&gt;0,'Assumptions and Catalog'!$C$26*C827,0)</f>
        <v>0</v>
      </c>
      <c r="T827" s="5"/>
      <c r="U827" s="5"/>
    </row>
    <row r="828" spans="1:21" ht="23.1" customHeight="1" outlineLevel="1" x14ac:dyDescent="0.2">
      <c r="A828" s="5">
        <v>14</v>
      </c>
      <c r="B828" s="5">
        <v>12</v>
      </c>
      <c r="C828" s="5">
        <f>DAY(DATE('Assumptions and Catalog'!$C$24+A828-1,B828+1,0))</f>
        <v>31</v>
      </c>
      <c r="D828" s="5">
        <f>IF(ISNUMBER(Inputs!$L$5),Inputs!$L$5*Inputs!$L$6,0)</f>
        <v>40.35</v>
      </c>
      <c r="E828" s="5">
        <f>IF(ISNUMBER(Inputs!$L$5),Inputs!$L$5-D828,0)</f>
        <v>40.35</v>
      </c>
      <c r="F828" s="5">
        <f>E$51*'Assumptions and Catalog'!$C$31*C828*(1-'Assumptions and Catalog'!$C$10)^(A828-1)</f>
        <v>795.52489657731292</v>
      </c>
      <c r="G828" s="5">
        <f t="shared" si="56"/>
        <v>795.52489657731292</v>
      </c>
      <c r="H828" s="5">
        <f>I828/('Assumptions and Catalog'!$C$11*'Assumptions and Catalog'!$C$12)</f>
        <v>0</v>
      </c>
      <c r="I828" s="5">
        <f>MIN(E828*C828,P828*'Assumptions and Catalog'!$C$12*C828,(F828-G828)*'Assumptions and Catalog'!$C$11*'Assumptions and Catalog'!$C$12,E$56*'Assumptions and Catalog'!$C$14*'Assumptions and Catalog'!$C$11*'Assumptions and Catalog'!$C$12*C828,E$57*(24-'Assumptions and Catalog'!$C$13)*C828)</f>
        <v>0</v>
      </c>
      <c r="J828" s="5">
        <f t="shared" si="57"/>
        <v>0</v>
      </c>
      <c r="K828" s="5">
        <f t="shared" si="58"/>
        <v>0</v>
      </c>
      <c r="L828" s="5">
        <f>(D828+E828)*C828-G828-I828+0+IF(E$52&gt;0,'Assumptions and Catalog'!$C$26*C828,0)</f>
        <v>1706.1751034226872</v>
      </c>
      <c r="M828" s="5">
        <f>IF(ISNUMBER(Inputs!$L$5),(IF(Inputs!$L$9="Actual flat rate",((D828+E828)*C828)*Inputs!$L$10,IF(Inputs!$C$9="Residential",IF(((D828+E828)*C828)&lt;='Assumptions and Catalog'!$C$50,((D828+E828)*C828)*'Assumptions and Catalog'!$H$50+'Assumptions and Catalog'!$E$50+'Assumptions and Catalog'!$F$50,IF(((D828+E828)*C828)&lt;='Assumptions and Catalog'!$C$51,((D828+E828)*C828)*'Assumptions and Catalog'!$H$51+'Assumptions and Catalog'!$E$51+'Assumptions and Catalog'!$F$51,IF(((D828+E828)*C828)&lt;='Assumptions and Catalog'!$C$52,((D828+E828)*C828)*'Assumptions and Catalog'!$H$52+'Assumptions and Catalog'!$E$52+'Assumptions and Catalog'!$F$52,IF(((D828+E828)*C828)&lt;='Assumptions and Catalog'!$C$53,((D828+E828)*C828)*'Assumptions and Catalog'!$H$53+'Assumptions and Catalog'!$E$53+'Assumptions and Catalog'!$F$53,IF(((D828+E828)*C828)&lt;='Assumptions and Catalog'!$C$54,((D828+E828)*C828)*'Assumptions and Catalog'!$H$54+'Assumptions and Catalog'!$E$54+'Assumptions and Catalog'!$F$54,IF(((D828+E828)*C828)&lt;='Assumptions and Catalog'!$C$55,((D828+E828)*C828)*'Assumptions and Catalog'!$H$55+'Assumptions and Catalog'!$E$55+'Assumptions and Catalog'!$F$55,IF(((D828+E828)*C828)&lt;='Assumptions and Catalog'!$C$56,((D828+E828)*C828)*'Assumptions and Catalog'!$H$56+'Assumptions and Catalog'!$E$56+'Assumptions and Catalog'!$F$56,IF(((D828+E828)*C828)&lt;='Assumptions and Catalog'!$C$57,((D828+E828)*C828)*'Assumptions and Catalog'!$H$57+'Assumptions and Catalog'!$E$57+'Assumptions and Catalog'!$F$57,"Out of range")))))))),IF(((D828+E828)*C828)&lt;='Assumptions and Catalog'!$C$60,((D828+E828)*C828)*'Assumptions and Catalog'!$H$60+'Assumptions and Catalog'!$E$60+'Assumptions and Catalog'!$F$60,IF(((D828+E828)*C828)&lt;='Assumptions and Catalog'!$C$61,((D828+E828)*C828)*'Assumptions and Catalog'!$H$61+'Assumptions and Catalog'!$E$61+'Assumptions and Catalog'!$F$61,IF(((D828+E828)*C828)&lt;='Assumptions and Catalog'!$C$62,((D828+E828)*C828)*'Assumptions and Catalog'!$H$62+'Assumptions and Catalog'!$E$62+'Assumptions and Catalog'!$F$62,IF(((D828+E828)*C828)&lt;='Assumptions and Catalog'!$C$63,((D828+E828)*C828)*'Assumptions and Catalog'!$H$63+'Assumptions and Catalog'!$E$63+'Assumptions and Catalog'!$F$63,IF(((D828+E828)*C828)&lt;='Assumptions and Catalog'!$C$64,((D828+E828)*C828)*'Assumptions and Catalog'!$H$64+'Assumptions and Catalog'!$E$64+'Assumptions and Catalog'!$F$64,IF(((D828+E828)*C828)&lt;='Assumptions and Catalog'!$C$65,((D828+E828)*C828)*'Assumptions and Catalog'!$H$65+'Assumptions and Catalog'!$E$65+'Assumptions and Catalog'!$F$65,"Out of range")))))))))*(1+'Assumptions and Catalog'!$C$8)^(A828-1),0)</f>
        <v>8554.9666666666672</v>
      </c>
      <c r="N828" s="5">
        <f>IF(ISNUMBER(Inputs!$L$5),(IF(Inputs!$L$9="Actual flat rate",L828*Inputs!$L$10,IF(Inputs!$C$9="Residential",IF(L828&lt;='Assumptions and Catalog'!$C$50,L828*'Assumptions and Catalog'!$H$50+'Assumptions and Catalog'!$E$50+'Assumptions and Catalog'!$F$50,IF(L828&lt;='Assumptions and Catalog'!$C$51,L828*'Assumptions and Catalog'!$H$51+'Assumptions and Catalog'!$E$51+'Assumptions and Catalog'!$F$51,IF(L828&lt;='Assumptions and Catalog'!$C$52,L828*'Assumptions and Catalog'!$H$52+'Assumptions and Catalog'!$E$52+'Assumptions and Catalog'!$F$52,IF(L828&lt;='Assumptions and Catalog'!$C$53,L828*'Assumptions and Catalog'!$H$53+'Assumptions and Catalog'!$E$53+'Assumptions and Catalog'!$F$53,IF(L828&lt;='Assumptions and Catalog'!$C$54,L828*'Assumptions and Catalog'!$H$54+'Assumptions and Catalog'!$E$54+'Assumptions and Catalog'!$F$54,IF(L828&lt;='Assumptions and Catalog'!$C$55,L828*'Assumptions and Catalog'!$H$55+'Assumptions and Catalog'!$E$55+'Assumptions and Catalog'!$F$55,IF(L828&lt;='Assumptions and Catalog'!$C$56,L828*'Assumptions and Catalog'!$H$56+'Assumptions and Catalog'!$E$56+'Assumptions and Catalog'!$F$56,IF(L828&lt;='Assumptions and Catalog'!$C$57,L828*'Assumptions and Catalog'!$H$57+'Assumptions and Catalog'!$E$57+'Assumptions and Catalog'!$F$57,"Out of range")))))))),IF(L828&lt;='Assumptions and Catalog'!$C$60,L828*'Assumptions and Catalog'!$H$60+'Assumptions and Catalog'!$E$60+'Assumptions and Catalog'!$F$60,IF(L828&lt;='Assumptions and Catalog'!$C$61,L828*'Assumptions and Catalog'!$H$61+'Assumptions and Catalog'!$E$61+'Assumptions and Catalog'!$F$61,IF(L828&lt;='Assumptions and Catalog'!$C$62,L828*'Assumptions and Catalog'!$H$62+'Assumptions and Catalog'!$E$62+'Assumptions and Catalog'!$F$62,IF(L828&lt;='Assumptions and Catalog'!$C$63,L828*'Assumptions and Catalog'!$H$63+'Assumptions and Catalog'!$E$63+'Assumptions and Catalog'!$F$63,IF(L828&lt;='Assumptions and Catalog'!$C$64,L828*'Assumptions and Catalog'!$H$64+'Assumptions and Catalog'!$E$64+'Assumptions and Catalog'!$F$64,IF(L828&lt;='Assumptions and Catalog'!$C$65,L828*'Assumptions and Catalog'!$H$65+'Assumptions and Catalog'!$E$65+'Assumptions and Catalog'!$F$65,"Out of range")))))))))*(1+'Assumptions and Catalog'!$C$8)^(A828-1),0)</f>
        <v>5834.54096705346</v>
      </c>
      <c r="O828" s="5">
        <f t="shared" si="59"/>
        <v>2720.4256996132071</v>
      </c>
      <c r="P828" s="5">
        <f>E$55*(1-L$14)*(1-'Assumptions and Catalog'!$C$23)^R828</f>
        <v>96.3780608</v>
      </c>
      <c r="Q828" s="5">
        <f>IF(ISNUMBER(Inputs!$L$5),(IF(Inputs!$L$9="Actual flat rate",((D828+E828)*C828-G828)*Inputs!$L$10,IF(Inputs!$C$9="Residential",IF(((D828+E828)*C828-G828)&lt;='Assumptions and Catalog'!$C$50,((D828+E828)*C828-G828)*'Assumptions and Catalog'!$H$50+'Assumptions and Catalog'!$E$50+'Assumptions and Catalog'!$F$50,IF(((D828+E828)*C828-G828)&lt;='Assumptions and Catalog'!$C$51,((D828+E828)*C828-G828)*'Assumptions and Catalog'!$H$51+'Assumptions and Catalog'!$E$51+'Assumptions and Catalog'!$F$51,IF(((D828+E828)*C828-G828)&lt;='Assumptions and Catalog'!$C$52,((D828+E828)*C828-G828)*'Assumptions and Catalog'!$H$52+'Assumptions and Catalog'!$E$52+'Assumptions and Catalog'!$F$52,IF(((D828+E828)*C828-G828)&lt;='Assumptions and Catalog'!$C$53,((D828+E828)*C828-G828)*'Assumptions and Catalog'!$H$53+'Assumptions and Catalog'!$E$53+'Assumptions and Catalog'!$F$53,IF(((D828+E828)*C828-G828)&lt;='Assumptions and Catalog'!$C$54,((D828+E828)*C828-G828)*'Assumptions and Catalog'!$H$54+'Assumptions and Catalog'!$E$54+'Assumptions and Catalog'!$F$54,IF(((D828+E828)*C828-G828)&lt;='Assumptions and Catalog'!$C$55,((D828+E828)*C828-G828)*'Assumptions and Catalog'!$H$55+'Assumptions and Catalog'!$E$55+'Assumptions and Catalog'!$F$55,IF(((D828+E828)*C828-G828)&lt;='Assumptions and Catalog'!$C$56,((D828+E828)*C828-G828)*'Assumptions and Catalog'!$H$56+'Assumptions and Catalog'!$E$56+'Assumptions and Catalog'!$F$56,IF(((D828+E828)*C828-G828)&lt;='Assumptions and Catalog'!$C$57,((D828+E828)*C828-G828)*'Assumptions and Catalog'!$H$57+'Assumptions and Catalog'!$E$57+'Assumptions and Catalog'!$F$57,"Out of range")))))))),IF(((D828+E828)*C828-G828)&lt;='Assumptions and Catalog'!$C$60,((D828+E828)*C828-G828)*'Assumptions and Catalog'!$H$60+'Assumptions and Catalog'!$E$60+'Assumptions and Catalog'!$F$60,IF(((D828+E828)*C828-G828)&lt;='Assumptions and Catalog'!$C$61,((D828+E828)*C828-G828)*'Assumptions and Catalog'!$H$61+'Assumptions and Catalog'!$E$61+'Assumptions and Catalog'!$F$61,IF(((D828+E828)*C828-G828)&lt;='Assumptions and Catalog'!$C$62,((D828+E828)*C828-G828)*'Assumptions and Catalog'!$H$62+'Assumptions and Catalog'!$E$62+'Assumptions and Catalog'!$F$62,IF(((D828+E828)*C828-G828)&lt;='Assumptions and Catalog'!$C$63,((D828+E828)*C828-G828)*'Assumptions and Catalog'!$H$63+'Assumptions and Catalog'!$E$63+'Assumptions and Catalog'!$F$63,IF(((D828+E828)*C828-G828)&lt;='Assumptions and Catalog'!$C$64,((D828+E828)*C828-G828)*'Assumptions and Catalog'!$H$64+'Assumptions and Catalog'!$E$64+'Assumptions and Catalog'!$F$64,IF(((D828+E828)*C828-G828)&lt;='Assumptions and Catalog'!$C$65,((D828+E828)*C828-G828)*'Assumptions and Catalog'!$H$65+'Assumptions and Catalog'!$E$65+'Assumptions and Catalog'!$F$65,"Out of range")))))))))*(1+'Assumptions and Catalog'!$C$8)^(A828-1),0)</f>
        <v>5834.54096705346</v>
      </c>
      <c r="R828" s="5">
        <f>IF(AND('Assumptions and Catalog'!$C$19&gt;0,A828&gt;='Assumptions and Catalog'!$C$19),A828-'Assumptions and Catalog'!$C$19,A828-1)</f>
        <v>3</v>
      </c>
      <c r="S828" s="5">
        <f>F828+L828-(D828+E828)*C828-J828-K828-IF(E$52&gt;0,'Assumptions and Catalog'!$C$26*C828,0)</f>
        <v>0</v>
      </c>
      <c r="T828" s="5"/>
      <c r="U828" s="5"/>
    </row>
    <row r="829" spans="1:21" ht="23.1" customHeight="1" outlineLevel="1" x14ac:dyDescent="0.2">
      <c r="A829" s="5">
        <v>15</v>
      </c>
      <c r="B829" s="5">
        <v>1</v>
      </c>
      <c r="C829" s="5">
        <f>DAY(DATE('Assumptions and Catalog'!$C$24+A829-1,B829+1,0))</f>
        <v>31</v>
      </c>
      <c r="D829" s="5">
        <f>IF(ISNUMBER(Inputs!$L$5),Inputs!$L$5*Inputs!$L$6,0)</f>
        <v>40.35</v>
      </c>
      <c r="E829" s="5">
        <f>IF(ISNUMBER(Inputs!$L$5),Inputs!$L$5-D829,0)</f>
        <v>40.35</v>
      </c>
      <c r="F829" s="5">
        <f>E$51*'Assumptions and Catalog'!$C$31*C829*(1-'Assumptions and Catalog'!$C$10)^(A829-1)</f>
        <v>791.54727209442638</v>
      </c>
      <c r="G829" s="5">
        <f t="shared" si="56"/>
        <v>791.54727209442638</v>
      </c>
      <c r="H829" s="5">
        <f>I829/('Assumptions and Catalog'!$C$11*'Assumptions and Catalog'!$C$12)</f>
        <v>0</v>
      </c>
      <c r="I829" s="5">
        <f>MIN(E829*C829,P829*'Assumptions and Catalog'!$C$12*C829,(F829-G829)*'Assumptions and Catalog'!$C$11*'Assumptions and Catalog'!$C$12,E$56*'Assumptions and Catalog'!$C$14*'Assumptions and Catalog'!$C$11*'Assumptions and Catalog'!$C$12*C829,E$57*(24-'Assumptions and Catalog'!$C$13)*C829)</f>
        <v>0</v>
      </c>
      <c r="J829" s="5">
        <f t="shared" si="57"/>
        <v>0</v>
      </c>
      <c r="K829" s="5">
        <f t="shared" si="58"/>
        <v>0</v>
      </c>
      <c r="L829" s="5">
        <f>(D829+E829)*C829-G829-I829+0+IF(E$52&gt;0,'Assumptions and Catalog'!$C$26*C829,0)</f>
        <v>1710.152727905574</v>
      </c>
      <c r="M829" s="5">
        <f>IF(ISNUMBER(Inputs!$L$5),(IF(Inputs!$L$9="Actual flat rate",((D829+E829)*C829)*Inputs!$L$10,IF(Inputs!$C$9="Residential",IF(((D829+E829)*C829)&lt;='Assumptions and Catalog'!$C$50,((D829+E829)*C829)*'Assumptions and Catalog'!$H$50+'Assumptions and Catalog'!$E$50+'Assumptions and Catalog'!$F$50,IF(((D829+E829)*C829)&lt;='Assumptions and Catalog'!$C$51,((D829+E829)*C829)*'Assumptions and Catalog'!$H$51+'Assumptions and Catalog'!$E$51+'Assumptions and Catalog'!$F$51,IF(((D829+E829)*C829)&lt;='Assumptions and Catalog'!$C$52,((D829+E829)*C829)*'Assumptions and Catalog'!$H$52+'Assumptions and Catalog'!$E$52+'Assumptions and Catalog'!$F$52,IF(((D829+E829)*C829)&lt;='Assumptions and Catalog'!$C$53,((D829+E829)*C829)*'Assumptions and Catalog'!$H$53+'Assumptions and Catalog'!$E$53+'Assumptions and Catalog'!$F$53,IF(((D829+E829)*C829)&lt;='Assumptions and Catalog'!$C$54,((D829+E829)*C829)*'Assumptions and Catalog'!$H$54+'Assumptions and Catalog'!$E$54+'Assumptions and Catalog'!$F$54,IF(((D829+E829)*C829)&lt;='Assumptions and Catalog'!$C$55,((D829+E829)*C829)*'Assumptions and Catalog'!$H$55+'Assumptions and Catalog'!$E$55+'Assumptions and Catalog'!$F$55,IF(((D829+E829)*C829)&lt;='Assumptions and Catalog'!$C$56,((D829+E829)*C829)*'Assumptions and Catalog'!$H$56+'Assumptions and Catalog'!$E$56+'Assumptions and Catalog'!$F$56,IF(((D829+E829)*C829)&lt;='Assumptions and Catalog'!$C$57,((D829+E829)*C829)*'Assumptions and Catalog'!$H$57+'Assumptions and Catalog'!$E$57+'Assumptions and Catalog'!$F$57,"Out of range")))))))),IF(((D829+E829)*C829)&lt;='Assumptions and Catalog'!$C$60,((D829+E829)*C829)*'Assumptions and Catalog'!$H$60+'Assumptions and Catalog'!$E$60+'Assumptions and Catalog'!$F$60,IF(((D829+E829)*C829)&lt;='Assumptions and Catalog'!$C$61,((D829+E829)*C829)*'Assumptions and Catalog'!$H$61+'Assumptions and Catalog'!$E$61+'Assumptions and Catalog'!$F$61,IF(((D829+E829)*C829)&lt;='Assumptions and Catalog'!$C$62,((D829+E829)*C829)*'Assumptions and Catalog'!$H$62+'Assumptions and Catalog'!$E$62+'Assumptions and Catalog'!$F$62,IF(((D829+E829)*C829)&lt;='Assumptions and Catalog'!$C$63,((D829+E829)*C829)*'Assumptions and Catalog'!$H$63+'Assumptions and Catalog'!$E$63+'Assumptions and Catalog'!$F$63,IF(((D829+E829)*C829)&lt;='Assumptions and Catalog'!$C$64,((D829+E829)*C829)*'Assumptions and Catalog'!$H$64+'Assumptions and Catalog'!$E$64+'Assumptions and Catalog'!$F$64,IF(((D829+E829)*C829)&lt;='Assumptions and Catalog'!$C$65,((D829+E829)*C829)*'Assumptions and Catalog'!$H$65+'Assumptions and Catalog'!$E$65+'Assumptions and Catalog'!$F$65,"Out of range")))))))))*(1+'Assumptions and Catalog'!$C$8)^(A829-1),0)</f>
        <v>8554.9666666666672</v>
      </c>
      <c r="N829" s="5">
        <f>IF(ISNUMBER(Inputs!$L$5),(IF(Inputs!$L$9="Actual flat rate",L829*Inputs!$L$10,IF(Inputs!$C$9="Residential",IF(L829&lt;='Assumptions and Catalog'!$C$50,L829*'Assumptions and Catalog'!$H$50+'Assumptions and Catalog'!$E$50+'Assumptions and Catalog'!$F$50,IF(L829&lt;='Assumptions and Catalog'!$C$51,L829*'Assumptions and Catalog'!$H$51+'Assumptions and Catalog'!$E$51+'Assumptions and Catalog'!$F$51,IF(L829&lt;='Assumptions and Catalog'!$C$52,L829*'Assumptions and Catalog'!$H$52+'Assumptions and Catalog'!$E$52+'Assumptions and Catalog'!$F$52,IF(L829&lt;='Assumptions and Catalog'!$C$53,L829*'Assumptions and Catalog'!$H$53+'Assumptions and Catalog'!$E$53+'Assumptions and Catalog'!$F$53,IF(L829&lt;='Assumptions and Catalog'!$C$54,L829*'Assumptions and Catalog'!$H$54+'Assumptions and Catalog'!$E$54+'Assumptions and Catalog'!$F$54,IF(L829&lt;='Assumptions and Catalog'!$C$55,L829*'Assumptions and Catalog'!$H$55+'Assumptions and Catalog'!$E$55+'Assumptions and Catalog'!$F$55,IF(L829&lt;='Assumptions and Catalog'!$C$56,L829*'Assumptions and Catalog'!$H$56+'Assumptions and Catalog'!$E$56+'Assumptions and Catalog'!$F$56,IF(L829&lt;='Assumptions and Catalog'!$C$57,L829*'Assumptions and Catalog'!$H$57+'Assumptions and Catalog'!$E$57+'Assumptions and Catalog'!$F$57,"Out of range")))))))),IF(L829&lt;='Assumptions and Catalog'!$C$60,L829*'Assumptions and Catalog'!$H$60+'Assumptions and Catalog'!$E$60+'Assumptions and Catalog'!$F$60,IF(L829&lt;='Assumptions and Catalog'!$C$61,L829*'Assumptions and Catalog'!$H$61+'Assumptions and Catalog'!$E$61+'Assumptions and Catalog'!$F$61,IF(L829&lt;='Assumptions and Catalog'!$C$62,L829*'Assumptions and Catalog'!$H$62+'Assumptions and Catalog'!$E$62+'Assumptions and Catalog'!$F$62,IF(L829&lt;='Assumptions and Catalog'!$C$63,L829*'Assumptions and Catalog'!$H$63+'Assumptions and Catalog'!$E$63+'Assumptions and Catalog'!$F$63,IF(L829&lt;='Assumptions and Catalog'!$C$64,L829*'Assumptions and Catalog'!$H$64+'Assumptions and Catalog'!$E$64+'Assumptions and Catalog'!$F$64,IF(L829&lt;='Assumptions and Catalog'!$C$65,L829*'Assumptions and Catalog'!$H$65+'Assumptions and Catalog'!$E$65+'Assumptions and Catalog'!$F$65,"Out of range")))))))))*(1+'Assumptions and Catalog'!$C$8)^(A829-1),0)</f>
        <v>5848.143095551527</v>
      </c>
      <c r="O829" s="5">
        <f t="shared" si="59"/>
        <v>2706.8235711151401</v>
      </c>
      <c r="P829" s="5">
        <f>E$55*(1-L$14)*(1-'Assumptions and Catalog'!$C$23)^R829</f>
        <v>94.450499583999999</v>
      </c>
      <c r="Q829" s="5">
        <f>IF(ISNUMBER(Inputs!$L$5),(IF(Inputs!$L$9="Actual flat rate",((D829+E829)*C829-G829)*Inputs!$L$10,IF(Inputs!$C$9="Residential",IF(((D829+E829)*C829-G829)&lt;='Assumptions and Catalog'!$C$50,((D829+E829)*C829-G829)*'Assumptions and Catalog'!$H$50+'Assumptions and Catalog'!$E$50+'Assumptions and Catalog'!$F$50,IF(((D829+E829)*C829-G829)&lt;='Assumptions and Catalog'!$C$51,((D829+E829)*C829-G829)*'Assumptions and Catalog'!$H$51+'Assumptions and Catalog'!$E$51+'Assumptions and Catalog'!$F$51,IF(((D829+E829)*C829-G829)&lt;='Assumptions and Catalog'!$C$52,((D829+E829)*C829-G829)*'Assumptions and Catalog'!$H$52+'Assumptions and Catalog'!$E$52+'Assumptions and Catalog'!$F$52,IF(((D829+E829)*C829-G829)&lt;='Assumptions and Catalog'!$C$53,((D829+E829)*C829-G829)*'Assumptions and Catalog'!$H$53+'Assumptions and Catalog'!$E$53+'Assumptions and Catalog'!$F$53,IF(((D829+E829)*C829-G829)&lt;='Assumptions and Catalog'!$C$54,((D829+E829)*C829-G829)*'Assumptions and Catalog'!$H$54+'Assumptions and Catalog'!$E$54+'Assumptions and Catalog'!$F$54,IF(((D829+E829)*C829-G829)&lt;='Assumptions and Catalog'!$C$55,((D829+E829)*C829-G829)*'Assumptions and Catalog'!$H$55+'Assumptions and Catalog'!$E$55+'Assumptions and Catalog'!$F$55,IF(((D829+E829)*C829-G829)&lt;='Assumptions and Catalog'!$C$56,((D829+E829)*C829-G829)*'Assumptions and Catalog'!$H$56+'Assumptions and Catalog'!$E$56+'Assumptions and Catalog'!$F$56,IF(((D829+E829)*C829-G829)&lt;='Assumptions and Catalog'!$C$57,((D829+E829)*C829-G829)*'Assumptions and Catalog'!$H$57+'Assumptions and Catalog'!$E$57+'Assumptions and Catalog'!$F$57,"Out of range")))))))),IF(((D829+E829)*C829-G829)&lt;='Assumptions and Catalog'!$C$60,((D829+E829)*C829-G829)*'Assumptions and Catalog'!$H$60+'Assumptions and Catalog'!$E$60+'Assumptions and Catalog'!$F$60,IF(((D829+E829)*C829-G829)&lt;='Assumptions and Catalog'!$C$61,((D829+E829)*C829-G829)*'Assumptions and Catalog'!$H$61+'Assumptions and Catalog'!$E$61+'Assumptions and Catalog'!$F$61,IF(((D829+E829)*C829-G829)&lt;='Assumptions and Catalog'!$C$62,((D829+E829)*C829-G829)*'Assumptions and Catalog'!$H$62+'Assumptions and Catalog'!$E$62+'Assumptions and Catalog'!$F$62,IF(((D829+E829)*C829-G829)&lt;='Assumptions and Catalog'!$C$63,((D829+E829)*C829-G829)*'Assumptions and Catalog'!$H$63+'Assumptions and Catalog'!$E$63+'Assumptions and Catalog'!$F$63,IF(((D829+E829)*C829-G829)&lt;='Assumptions and Catalog'!$C$64,((D829+E829)*C829-G829)*'Assumptions and Catalog'!$H$64+'Assumptions and Catalog'!$E$64+'Assumptions and Catalog'!$F$64,IF(((D829+E829)*C829-G829)&lt;='Assumptions and Catalog'!$C$65,((D829+E829)*C829-G829)*'Assumptions and Catalog'!$H$65+'Assumptions and Catalog'!$E$65+'Assumptions and Catalog'!$F$65,"Out of range")))))))))*(1+'Assumptions and Catalog'!$C$8)^(A829-1),0)</f>
        <v>5848.143095551527</v>
      </c>
      <c r="R829" s="5">
        <f>IF(AND('Assumptions and Catalog'!$C$19&gt;0,A829&gt;='Assumptions and Catalog'!$C$19),A829-'Assumptions and Catalog'!$C$19,A829-1)</f>
        <v>4</v>
      </c>
      <c r="S829" s="5">
        <f>F829+L829-(D829+E829)*C829-J829-K829-IF(E$52&gt;0,'Assumptions and Catalog'!$C$26*C829,0)</f>
        <v>0</v>
      </c>
      <c r="T829" s="5"/>
      <c r="U829" s="5"/>
    </row>
    <row r="830" spans="1:21" ht="23.1" customHeight="1" outlineLevel="1" x14ac:dyDescent="0.2">
      <c r="A830" s="5">
        <v>15</v>
      </c>
      <c r="B830" s="5">
        <v>2</v>
      </c>
      <c r="C830" s="5">
        <f>DAY(DATE('Assumptions and Catalog'!$C$24+A830-1,B830+1,0))</f>
        <v>28</v>
      </c>
      <c r="D830" s="5">
        <f>IF(ISNUMBER(Inputs!$L$5),Inputs!$L$5*Inputs!$L$6,0)</f>
        <v>40.35</v>
      </c>
      <c r="E830" s="5">
        <f>IF(ISNUMBER(Inputs!$L$5),Inputs!$L$5-D830,0)</f>
        <v>40.35</v>
      </c>
      <c r="F830" s="5">
        <f>E$51*'Assumptions and Catalog'!$C$31*C830*(1-'Assumptions and Catalog'!$C$10)^(A830-1)</f>
        <v>714.94592318206253</v>
      </c>
      <c r="G830" s="5">
        <f t="shared" si="56"/>
        <v>714.94592318206253</v>
      </c>
      <c r="H830" s="5">
        <f>I830/('Assumptions and Catalog'!$C$11*'Assumptions and Catalog'!$C$12)</f>
        <v>0</v>
      </c>
      <c r="I830" s="5">
        <f>MIN(E830*C830,P830*'Assumptions and Catalog'!$C$12*C830,(F830-G830)*'Assumptions and Catalog'!$C$11*'Assumptions and Catalog'!$C$12,E$56*'Assumptions and Catalog'!$C$14*'Assumptions and Catalog'!$C$11*'Assumptions and Catalog'!$C$12*C830,E$57*(24-'Assumptions and Catalog'!$C$13)*C830)</f>
        <v>0</v>
      </c>
      <c r="J830" s="5">
        <f t="shared" si="57"/>
        <v>0</v>
      </c>
      <c r="K830" s="5">
        <f t="shared" si="58"/>
        <v>0</v>
      </c>
      <c r="L830" s="5">
        <f>(D830+E830)*C830-G830-I830+0+IF(E$52&gt;0,'Assumptions and Catalog'!$C$26*C830,0)</f>
        <v>1544.6540768179375</v>
      </c>
      <c r="M830" s="5">
        <f>IF(ISNUMBER(Inputs!$L$5),(IF(Inputs!$L$9="Actual flat rate",((D830+E830)*C830)*Inputs!$L$10,IF(Inputs!$C$9="Residential",IF(((D830+E830)*C830)&lt;='Assumptions and Catalog'!$C$50,((D830+E830)*C830)*'Assumptions and Catalog'!$H$50+'Assumptions and Catalog'!$E$50+'Assumptions and Catalog'!$F$50,IF(((D830+E830)*C830)&lt;='Assumptions and Catalog'!$C$51,((D830+E830)*C830)*'Assumptions and Catalog'!$H$51+'Assumptions and Catalog'!$E$51+'Assumptions and Catalog'!$F$51,IF(((D830+E830)*C830)&lt;='Assumptions and Catalog'!$C$52,((D830+E830)*C830)*'Assumptions and Catalog'!$H$52+'Assumptions and Catalog'!$E$52+'Assumptions and Catalog'!$F$52,IF(((D830+E830)*C830)&lt;='Assumptions and Catalog'!$C$53,((D830+E830)*C830)*'Assumptions and Catalog'!$H$53+'Assumptions and Catalog'!$E$53+'Assumptions and Catalog'!$F$53,IF(((D830+E830)*C830)&lt;='Assumptions and Catalog'!$C$54,((D830+E830)*C830)*'Assumptions and Catalog'!$H$54+'Assumptions and Catalog'!$E$54+'Assumptions and Catalog'!$F$54,IF(((D830+E830)*C830)&lt;='Assumptions and Catalog'!$C$55,((D830+E830)*C830)*'Assumptions and Catalog'!$H$55+'Assumptions and Catalog'!$E$55+'Assumptions and Catalog'!$F$55,IF(((D830+E830)*C830)&lt;='Assumptions and Catalog'!$C$56,((D830+E830)*C830)*'Assumptions and Catalog'!$H$56+'Assumptions and Catalog'!$E$56+'Assumptions and Catalog'!$F$56,IF(((D830+E830)*C830)&lt;='Assumptions and Catalog'!$C$57,((D830+E830)*C830)*'Assumptions and Catalog'!$H$57+'Assumptions and Catalog'!$E$57+'Assumptions and Catalog'!$F$57,"Out of range")))))))),IF(((D830+E830)*C830)&lt;='Assumptions and Catalog'!$C$60,((D830+E830)*C830)*'Assumptions and Catalog'!$H$60+'Assumptions and Catalog'!$E$60+'Assumptions and Catalog'!$F$60,IF(((D830+E830)*C830)&lt;='Assumptions and Catalog'!$C$61,((D830+E830)*C830)*'Assumptions and Catalog'!$H$61+'Assumptions and Catalog'!$E$61+'Assumptions and Catalog'!$F$61,IF(((D830+E830)*C830)&lt;='Assumptions and Catalog'!$C$62,((D830+E830)*C830)*'Assumptions and Catalog'!$H$62+'Assumptions and Catalog'!$E$62+'Assumptions and Catalog'!$F$62,IF(((D830+E830)*C830)&lt;='Assumptions and Catalog'!$C$63,((D830+E830)*C830)*'Assumptions and Catalog'!$H$63+'Assumptions and Catalog'!$E$63+'Assumptions and Catalog'!$F$63,IF(((D830+E830)*C830)&lt;='Assumptions and Catalog'!$C$64,((D830+E830)*C830)*'Assumptions and Catalog'!$H$64+'Assumptions and Catalog'!$E$64+'Assumptions and Catalog'!$F$64,IF(((D830+E830)*C830)&lt;='Assumptions and Catalog'!$C$65,((D830+E830)*C830)*'Assumptions and Catalog'!$H$65+'Assumptions and Catalog'!$E$65+'Assumptions and Catalog'!$F$65,"Out of range")))))))))*(1+'Assumptions and Catalog'!$C$8)^(A830-1),0)</f>
        <v>7727.0666666666657</v>
      </c>
      <c r="N830" s="5">
        <f>IF(ISNUMBER(Inputs!$L$5),(IF(Inputs!$L$9="Actual flat rate",L830*Inputs!$L$10,IF(Inputs!$C$9="Residential",IF(L830&lt;='Assumptions and Catalog'!$C$50,L830*'Assumptions and Catalog'!$H$50+'Assumptions and Catalog'!$E$50+'Assumptions and Catalog'!$F$50,IF(L830&lt;='Assumptions and Catalog'!$C$51,L830*'Assumptions and Catalog'!$H$51+'Assumptions and Catalog'!$E$51+'Assumptions and Catalog'!$F$51,IF(L830&lt;='Assumptions and Catalog'!$C$52,L830*'Assumptions and Catalog'!$H$52+'Assumptions and Catalog'!$E$52+'Assumptions and Catalog'!$F$52,IF(L830&lt;='Assumptions and Catalog'!$C$53,L830*'Assumptions and Catalog'!$H$53+'Assumptions and Catalog'!$E$53+'Assumptions and Catalog'!$F$53,IF(L830&lt;='Assumptions and Catalog'!$C$54,L830*'Assumptions and Catalog'!$H$54+'Assumptions and Catalog'!$E$54+'Assumptions and Catalog'!$F$54,IF(L830&lt;='Assumptions and Catalog'!$C$55,L830*'Assumptions and Catalog'!$H$55+'Assumptions and Catalog'!$E$55+'Assumptions and Catalog'!$F$55,IF(L830&lt;='Assumptions and Catalog'!$C$56,L830*'Assumptions and Catalog'!$H$56+'Assumptions and Catalog'!$E$56+'Assumptions and Catalog'!$F$56,IF(L830&lt;='Assumptions and Catalog'!$C$57,L830*'Assumptions and Catalog'!$H$57+'Assumptions and Catalog'!$E$57+'Assumptions and Catalog'!$F$57,"Out of range")))))))),IF(L830&lt;='Assumptions and Catalog'!$C$60,L830*'Assumptions and Catalog'!$H$60+'Assumptions and Catalog'!$E$60+'Assumptions and Catalog'!$F$60,IF(L830&lt;='Assumptions and Catalog'!$C$61,L830*'Assumptions and Catalog'!$H$61+'Assumptions and Catalog'!$E$61+'Assumptions and Catalog'!$F$61,IF(L830&lt;='Assumptions and Catalog'!$C$62,L830*'Assumptions and Catalog'!$H$62+'Assumptions and Catalog'!$E$62+'Assumptions and Catalog'!$F$62,IF(L830&lt;='Assumptions and Catalog'!$C$63,L830*'Assumptions and Catalog'!$H$63+'Assumptions and Catalog'!$E$63+'Assumptions and Catalog'!$F$63,IF(L830&lt;='Assumptions and Catalog'!$C$64,L830*'Assumptions and Catalog'!$H$64+'Assumptions and Catalog'!$E$64+'Assumptions and Catalog'!$F$64,IF(L830&lt;='Assumptions and Catalog'!$C$65,L830*'Assumptions and Catalog'!$H$65+'Assumptions and Catalog'!$E$65+'Assumptions and Catalog'!$F$65,"Out of range")))))))))*(1+'Assumptions and Catalog'!$C$8)^(A830-1),0)</f>
        <v>5282.1937637239589</v>
      </c>
      <c r="O830" s="5">
        <f t="shared" si="59"/>
        <v>2444.8729029427068</v>
      </c>
      <c r="P830" s="5">
        <f>E$55*(1-L$14)*(1-'Assumptions and Catalog'!$C$23)^R830</f>
        <v>94.450499583999999</v>
      </c>
      <c r="Q830" s="5">
        <f>IF(ISNUMBER(Inputs!$L$5),(IF(Inputs!$L$9="Actual flat rate",((D830+E830)*C830-G830)*Inputs!$L$10,IF(Inputs!$C$9="Residential",IF(((D830+E830)*C830-G830)&lt;='Assumptions and Catalog'!$C$50,((D830+E830)*C830-G830)*'Assumptions and Catalog'!$H$50+'Assumptions and Catalog'!$E$50+'Assumptions and Catalog'!$F$50,IF(((D830+E830)*C830-G830)&lt;='Assumptions and Catalog'!$C$51,((D830+E830)*C830-G830)*'Assumptions and Catalog'!$H$51+'Assumptions and Catalog'!$E$51+'Assumptions and Catalog'!$F$51,IF(((D830+E830)*C830-G830)&lt;='Assumptions and Catalog'!$C$52,((D830+E830)*C830-G830)*'Assumptions and Catalog'!$H$52+'Assumptions and Catalog'!$E$52+'Assumptions and Catalog'!$F$52,IF(((D830+E830)*C830-G830)&lt;='Assumptions and Catalog'!$C$53,((D830+E830)*C830-G830)*'Assumptions and Catalog'!$H$53+'Assumptions and Catalog'!$E$53+'Assumptions and Catalog'!$F$53,IF(((D830+E830)*C830-G830)&lt;='Assumptions and Catalog'!$C$54,((D830+E830)*C830-G830)*'Assumptions and Catalog'!$H$54+'Assumptions and Catalog'!$E$54+'Assumptions and Catalog'!$F$54,IF(((D830+E830)*C830-G830)&lt;='Assumptions and Catalog'!$C$55,((D830+E830)*C830-G830)*'Assumptions and Catalog'!$H$55+'Assumptions and Catalog'!$E$55+'Assumptions and Catalog'!$F$55,IF(((D830+E830)*C830-G830)&lt;='Assumptions and Catalog'!$C$56,((D830+E830)*C830-G830)*'Assumptions and Catalog'!$H$56+'Assumptions and Catalog'!$E$56+'Assumptions and Catalog'!$F$56,IF(((D830+E830)*C830-G830)&lt;='Assumptions and Catalog'!$C$57,((D830+E830)*C830-G830)*'Assumptions and Catalog'!$H$57+'Assumptions and Catalog'!$E$57+'Assumptions and Catalog'!$F$57,"Out of range")))))))),IF(((D830+E830)*C830-G830)&lt;='Assumptions and Catalog'!$C$60,((D830+E830)*C830-G830)*'Assumptions and Catalog'!$H$60+'Assumptions and Catalog'!$E$60+'Assumptions and Catalog'!$F$60,IF(((D830+E830)*C830-G830)&lt;='Assumptions and Catalog'!$C$61,((D830+E830)*C830-G830)*'Assumptions and Catalog'!$H$61+'Assumptions and Catalog'!$E$61+'Assumptions and Catalog'!$F$61,IF(((D830+E830)*C830-G830)&lt;='Assumptions and Catalog'!$C$62,((D830+E830)*C830-G830)*'Assumptions and Catalog'!$H$62+'Assumptions and Catalog'!$E$62+'Assumptions and Catalog'!$F$62,IF(((D830+E830)*C830-G830)&lt;='Assumptions and Catalog'!$C$63,((D830+E830)*C830-G830)*'Assumptions and Catalog'!$H$63+'Assumptions and Catalog'!$E$63+'Assumptions and Catalog'!$F$63,IF(((D830+E830)*C830-G830)&lt;='Assumptions and Catalog'!$C$64,((D830+E830)*C830-G830)*'Assumptions and Catalog'!$H$64+'Assumptions and Catalog'!$E$64+'Assumptions and Catalog'!$F$64,IF(((D830+E830)*C830-G830)&lt;='Assumptions and Catalog'!$C$65,((D830+E830)*C830-G830)*'Assumptions and Catalog'!$H$65+'Assumptions and Catalog'!$E$65+'Assumptions and Catalog'!$F$65,"Out of range")))))))))*(1+'Assumptions and Catalog'!$C$8)^(A830-1),0)</f>
        <v>5282.1937637239589</v>
      </c>
      <c r="R830" s="5">
        <f>IF(AND('Assumptions and Catalog'!$C$19&gt;0,A830&gt;='Assumptions and Catalog'!$C$19),A830-'Assumptions and Catalog'!$C$19,A830-1)</f>
        <v>4</v>
      </c>
      <c r="S830" s="5">
        <f>F830+L830-(D830+E830)*C830-J830-K830-IF(E$52&gt;0,'Assumptions and Catalog'!$C$26*C830,0)</f>
        <v>0</v>
      </c>
      <c r="T830" s="5"/>
      <c r="U830" s="5"/>
    </row>
    <row r="831" spans="1:21" ht="23.1" customHeight="1" outlineLevel="1" x14ac:dyDescent="0.2">
      <c r="A831" s="5">
        <v>15</v>
      </c>
      <c r="B831" s="5">
        <v>3</v>
      </c>
      <c r="C831" s="5">
        <f>DAY(DATE('Assumptions and Catalog'!$C$24+A831-1,B831+1,0))</f>
        <v>31</v>
      </c>
      <c r="D831" s="5">
        <f>IF(ISNUMBER(Inputs!$L$5),Inputs!$L$5*Inputs!$L$6,0)</f>
        <v>40.35</v>
      </c>
      <c r="E831" s="5">
        <f>IF(ISNUMBER(Inputs!$L$5),Inputs!$L$5-D831,0)</f>
        <v>40.35</v>
      </c>
      <c r="F831" s="5">
        <f>E$51*'Assumptions and Catalog'!$C$31*C831*(1-'Assumptions and Catalog'!$C$10)^(A831-1)</f>
        <v>791.54727209442638</v>
      </c>
      <c r="G831" s="5">
        <f t="shared" si="56"/>
        <v>791.54727209442638</v>
      </c>
      <c r="H831" s="5">
        <f>I831/('Assumptions and Catalog'!$C$11*'Assumptions and Catalog'!$C$12)</f>
        <v>0</v>
      </c>
      <c r="I831" s="5">
        <f>MIN(E831*C831,P831*'Assumptions and Catalog'!$C$12*C831,(F831-G831)*'Assumptions and Catalog'!$C$11*'Assumptions and Catalog'!$C$12,E$56*'Assumptions and Catalog'!$C$14*'Assumptions and Catalog'!$C$11*'Assumptions and Catalog'!$C$12*C831,E$57*(24-'Assumptions and Catalog'!$C$13)*C831)</f>
        <v>0</v>
      </c>
      <c r="J831" s="5">
        <f t="shared" si="57"/>
        <v>0</v>
      </c>
      <c r="K831" s="5">
        <f t="shared" si="58"/>
        <v>0</v>
      </c>
      <c r="L831" s="5">
        <f>(D831+E831)*C831-G831-I831+0+IF(E$52&gt;0,'Assumptions and Catalog'!$C$26*C831,0)</f>
        <v>1710.152727905574</v>
      </c>
      <c r="M831" s="5">
        <f>IF(ISNUMBER(Inputs!$L$5),(IF(Inputs!$L$9="Actual flat rate",((D831+E831)*C831)*Inputs!$L$10,IF(Inputs!$C$9="Residential",IF(((D831+E831)*C831)&lt;='Assumptions and Catalog'!$C$50,((D831+E831)*C831)*'Assumptions and Catalog'!$H$50+'Assumptions and Catalog'!$E$50+'Assumptions and Catalog'!$F$50,IF(((D831+E831)*C831)&lt;='Assumptions and Catalog'!$C$51,((D831+E831)*C831)*'Assumptions and Catalog'!$H$51+'Assumptions and Catalog'!$E$51+'Assumptions and Catalog'!$F$51,IF(((D831+E831)*C831)&lt;='Assumptions and Catalog'!$C$52,((D831+E831)*C831)*'Assumptions and Catalog'!$H$52+'Assumptions and Catalog'!$E$52+'Assumptions and Catalog'!$F$52,IF(((D831+E831)*C831)&lt;='Assumptions and Catalog'!$C$53,((D831+E831)*C831)*'Assumptions and Catalog'!$H$53+'Assumptions and Catalog'!$E$53+'Assumptions and Catalog'!$F$53,IF(((D831+E831)*C831)&lt;='Assumptions and Catalog'!$C$54,((D831+E831)*C831)*'Assumptions and Catalog'!$H$54+'Assumptions and Catalog'!$E$54+'Assumptions and Catalog'!$F$54,IF(((D831+E831)*C831)&lt;='Assumptions and Catalog'!$C$55,((D831+E831)*C831)*'Assumptions and Catalog'!$H$55+'Assumptions and Catalog'!$E$55+'Assumptions and Catalog'!$F$55,IF(((D831+E831)*C831)&lt;='Assumptions and Catalog'!$C$56,((D831+E831)*C831)*'Assumptions and Catalog'!$H$56+'Assumptions and Catalog'!$E$56+'Assumptions and Catalog'!$F$56,IF(((D831+E831)*C831)&lt;='Assumptions and Catalog'!$C$57,((D831+E831)*C831)*'Assumptions and Catalog'!$H$57+'Assumptions and Catalog'!$E$57+'Assumptions and Catalog'!$F$57,"Out of range")))))))),IF(((D831+E831)*C831)&lt;='Assumptions and Catalog'!$C$60,((D831+E831)*C831)*'Assumptions and Catalog'!$H$60+'Assumptions and Catalog'!$E$60+'Assumptions and Catalog'!$F$60,IF(((D831+E831)*C831)&lt;='Assumptions and Catalog'!$C$61,((D831+E831)*C831)*'Assumptions and Catalog'!$H$61+'Assumptions and Catalog'!$E$61+'Assumptions and Catalog'!$F$61,IF(((D831+E831)*C831)&lt;='Assumptions and Catalog'!$C$62,((D831+E831)*C831)*'Assumptions and Catalog'!$H$62+'Assumptions and Catalog'!$E$62+'Assumptions and Catalog'!$F$62,IF(((D831+E831)*C831)&lt;='Assumptions and Catalog'!$C$63,((D831+E831)*C831)*'Assumptions and Catalog'!$H$63+'Assumptions and Catalog'!$E$63+'Assumptions and Catalog'!$F$63,IF(((D831+E831)*C831)&lt;='Assumptions and Catalog'!$C$64,((D831+E831)*C831)*'Assumptions and Catalog'!$H$64+'Assumptions and Catalog'!$E$64+'Assumptions and Catalog'!$F$64,IF(((D831+E831)*C831)&lt;='Assumptions and Catalog'!$C$65,((D831+E831)*C831)*'Assumptions and Catalog'!$H$65+'Assumptions and Catalog'!$E$65+'Assumptions and Catalog'!$F$65,"Out of range")))))))))*(1+'Assumptions and Catalog'!$C$8)^(A831-1),0)</f>
        <v>8554.9666666666672</v>
      </c>
      <c r="N831" s="5">
        <f>IF(ISNUMBER(Inputs!$L$5),(IF(Inputs!$L$9="Actual flat rate",L831*Inputs!$L$10,IF(Inputs!$C$9="Residential",IF(L831&lt;='Assumptions and Catalog'!$C$50,L831*'Assumptions and Catalog'!$H$50+'Assumptions and Catalog'!$E$50+'Assumptions and Catalog'!$F$50,IF(L831&lt;='Assumptions and Catalog'!$C$51,L831*'Assumptions and Catalog'!$H$51+'Assumptions and Catalog'!$E$51+'Assumptions and Catalog'!$F$51,IF(L831&lt;='Assumptions and Catalog'!$C$52,L831*'Assumptions and Catalog'!$H$52+'Assumptions and Catalog'!$E$52+'Assumptions and Catalog'!$F$52,IF(L831&lt;='Assumptions and Catalog'!$C$53,L831*'Assumptions and Catalog'!$H$53+'Assumptions and Catalog'!$E$53+'Assumptions and Catalog'!$F$53,IF(L831&lt;='Assumptions and Catalog'!$C$54,L831*'Assumptions and Catalog'!$H$54+'Assumptions and Catalog'!$E$54+'Assumptions and Catalog'!$F$54,IF(L831&lt;='Assumptions and Catalog'!$C$55,L831*'Assumptions and Catalog'!$H$55+'Assumptions and Catalog'!$E$55+'Assumptions and Catalog'!$F$55,IF(L831&lt;='Assumptions and Catalog'!$C$56,L831*'Assumptions and Catalog'!$H$56+'Assumptions and Catalog'!$E$56+'Assumptions and Catalog'!$F$56,IF(L831&lt;='Assumptions and Catalog'!$C$57,L831*'Assumptions and Catalog'!$H$57+'Assumptions and Catalog'!$E$57+'Assumptions and Catalog'!$F$57,"Out of range")))))))),IF(L831&lt;='Assumptions and Catalog'!$C$60,L831*'Assumptions and Catalog'!$H$60+'Assumptions and Catalog'!$E$60+'Assumptions and Catalog'!$F$60,IF(L831&lt;='Assumptions and Catalog'!$C$61,L831*'Assumptions and Catalog'!$H$61+'Assumptions and Catalog'!$E$61+'Assumptions and Catalog'!$F$61,IF(L831&lt;='Assumptions and Catalog'!$C$62,L831*'Assumptions and Catalog'!$H$62+'Assumptions and Catalog'!$E$62+'Assumptions and Catalog'!$F$62,IF(L831&lt;='Assumptions and Catalog'!$C$63,L831*'Assumptions and Catalog'!$H$63+'Assumptions and Catalog'!$E$63+'Assumptions and Catalog'!$F$63,IF(L831&lt;='Assumptions and Catalog'!$C$64,L831*'Assumptions and Catalog'!$H$64+'Assumptions and Catalog'!$E$64+'Assumptions and Catalog'!$F$64,IF(L831&lt;='Assumptions and Catalog'!$C$65,L831*'Assumptions and Catalog'!$H$65+'Assumptions and Catalog'!$E$65+'Assumptions and Catalog'!$F$65,"Out of range")))))))))*(1+'Assumptions and Catalog'!$C$8)^(A831-1),0)</f>
        <v>5848.143095551527</v>
      </c>
      <c r="O831" s="5">
        <f t="shared" si="59"/>
        <v>2706.8235711151401</v>
      </c>
      <c r="P831" s="5">
        <f>E$55*(1-L$14)*(1-'Assumptions and Catalog'!$C$23)^R831</f>
        <v>94.450499583999999</v>
      </c>
      <c r="Q831" s="5">
        <f>IF(ISNUMBER(Inputs!$L$5),(IF(Inputs!$L$9="Actual flat rate",((D831+E831)*C831-G831)*Inputs!$L$10,IF(Inputs!$C$9="Residential",IF(((D831+E831)*C831-G831)&lt;='Assumptions and Catalog'!$C$50,((D831+E831)*C831-G831)*'Assumptions and Catalog'!$H$50+'Assumptions and Catalog'!$E$50+'Assumptions and Catalog'!$F$50,IF(((D831+E831)*C831-G831)&lt;='Assumptions and Catalog'!$C$51,((D831+E831)*C831-G831)*'Assumptions and Catalog'!$H$51+'Assumptions and Catalog'!$E$51+'Assumptions and Catalog'!$F$51,IF(((D831+E831)*C831-G831)&lt;='Assumptions and Catalog'!$C$52,((D831+E831)*C831-G831)*'Assumptions and Catalog'!$H$52+'Assumptions and Catalog'!$E$52+'Assumptions and Catalog'!$F$52,IF(((D831+E831)*C831-G831)&lt;='Assumptions and Catalog'!$C$53,((D831+E831)*C831-G831)*'Assumptions and Catalog'!$H$53+'Assumptions and Catalog'!$E$53+'Assumptions and Catalog'!$F$53,IF(((D831+E831)*C831-G831)&lt;='Assumptions and Catalog'!$C$54,((D831+E831)*C831-G831)*'Assumptions and Catalog'!$H$54+'Assumptions and Catalog'!$E$54+'Assumptions and Catalog'!$F$54,IF(((D831+E831)*C831-G831)&lt;='Assumptions and Catalog'!$C$55,((D831+E831)*C831-G831)*'Assumptions and Catalog'!$H$55+'Assumptions and Catalog'!$E$55+'Assumptions and Catalog'!$F$55,IF(((D831+E831)*C831-G831)&lt;='Assumptions and Catalog'!$C$56,((D831+E831)*C831-G831)*'Assumptions and Catalog'!$H$56+'Assumptions and Catalog'!$E$56+'Assumptions and Catalog'!$F$56,IF(((D831+E831)*C831-G831)&lt;='Assumptions and Catalog'!$C$57,((D831+E831)*C831-G831)*'Assumptions and Catalog'!$H$57+'Assumptions and Catalog'!$E$57+'Assumptions and Catalog'!$F$57,"Out of range")))))))),IF(((D831+E831)*C831-G831)&lt;='Assumptions and Catalog'!$C$60,((D831+E831)*C831-G831)*'Assumptions and Catalog'!$H$60+'Assumptions and Catalog'!$E$60+'Assumptions and Catalog'!$F$60,IF(((D831+E831)*C831-G831)&lt;='Assumptions and Catalog'!$C$61,((D831+E831)*C831-G831)*'Assumptions and Catalog'!$H$61+'Assumptions and Catalog'!$E$61+'Assumptions and Catalog'!$F$61,IF(((D831+E831)*C831-G831)&lt;='Assumptions and Catalog'!$C$62,((D831+E831)*C831-G831)*'Assumptions and Catalog'!$H$62+'Assumptions and Catalog'!$E$62+'Assumptions and Catalog'!$F$62,IF(((D831+E831)*C831-G831)&lt;='Assumptions and Catalog'!$C$63,((D831+E831)*C831-G831)*'Assumptions and Catalog'!$H$63+'Assumptions and Catalog'!$E$63+'Assumptions and Catalog'!$F$63,IF(((D831+E831)*C831-G831)&lt;='Assumptions and Catalog'!$C$64,((D831+E831)*C831-G831)*'Assumptions and Catalog'!$H$64+'Assumptions and Catalog'!$E$64+'Assumptions and Catalog'!$F$64,IF(((D831+E831)*C831-G831)&lt;='Assumptions and Catalog'!$C$65,((D831+E831)*C831-G831)*'Assumptions and Catalog'!$H$65+'Assumptions and Catalog'!$E$65+'Assumptions and Catalog'!$F$65,"Out of range")))))))))*(1+'Assumptions and Catalog'!$C$8)^(A831-1),0)</f>
        <v>5848.143095551527</v>
      </c>
      <c r="R831" s="5">
        <f>IF(AND('Assumptions and Catalog'!$C$19&gt;0,A831&gt;='Assumptions and Catalog'!$C$19),A831-'Assumptions and Catalog'!$C$19,A831-1)</f>
        <v>4</v>
      </c>
      <c r="S831" s="5">
        <f>F831+L831-(D831+E831)*C831-J831-K831-IF(E$52&gt;0,'Assumptions and Catalog'!$C$26*C831,0)</f>
        <v>0</v>
      </c>
      <c r="T831" s="5"/>
      <c r="U831" s="5"/>
    </row>
    <row r="832" spans="1:21" ht="23.1" customHeight="1" outlineLevel="1" x14ac:dyDescent="0.2">
      <c r="A832" s="5">
        <v>15</v>
      </c>
      <c r="B832" s="5">
        <v>4</v>
      </c>
      <c r="C832" s="5">
        <f>DAY(DATE('Assumptions and Catalog'!$C$24+A832-1,B832+1,0))</f>
        <v>30</v>
      </c>
      <c r="D832" s="5">
        <f>IF(ISNUMBER(Inputs!$L$5),Inputs!$L$5*Inputs!$L$6,0)</f>
        <v>40.35</v>
      </c>
      <c r="E832" s="5">
        <f>IF(ISNUMBER(Inputs!$L$5),Inputs!$L$5-D832,0)</f>
        <v>40.35</v>
      </c>
      <c r="F832" s="5">
        <f>E$51*'Assumptions and Catalog'!$C$31*C832*(1-'Assumptions and Catalog'!$C$10)^(A832-1)</f>
        <v>766.01348912363846</v>
      </c>
      <c r="G832" s="5">
        <f t="shared" si="56"/>
        <v>766.01348912363846</v>
      </c>
      <c r="H832" s="5">
        <f>I832/('Assumptions and Catalog'!$C$11*'Assumptions and Catalog'!$C$12)</f>
        <v>0</v>
      </c>
      <c r="I832" s="5">
        <f>MIN(E832*C832,P832*'Assumptions and Catalog'!$C$12*C832,(F832-G832)*'Assumptions and Catalog'!$C$11*'Assumptions and Catalog'!$C$12,E$56*'Assumptions and Catalog'!$C$14*'Assumptions and Catalog'!$C$11*'Assumptions and Catalog'!$C$12*C832,E$57*(24-'Assumptions and Catalog'!$C$13)*C832)</f>
        <v>0</v>
      </c>
      <c r="J832" s="5">
        <f t="shared" si="57"/>
        <v>0</v>
      </c>
      <c r="K832" s="5">
        <f t="shared" si="58"/>
        <v>0</v>
      </c>
      <c r="L832" s="5">
        <f>(D832+E832)*C832-G832-I832+0+IF(E$52&gt;0,'Assumptions and Catalog'!$C$26*C832,0)</f>
        <v>1654.9865108763615</v>
      </c>
      <c r="M832" s="5">
        <f>IF(ISNUMBER(Inputs!$L$5),(IF(Inputs!$L$9="Actual flat rate",((D832+E832)*C832)*Inputs!$L$10,IF(Inputs!$C$9="Residential",IF(((D832+E832)*C832)&lt;='Assumptions and Catalog'!$C$50,((D832+E832)*C832)*'Assumptions and Catalog'!$H$50+'Assumptions and Catalog'!$E$50+'Assumptions and Catalog'!$F$50,IF(((D832+E832)*C832)&lt;='Assumptions and Catalog'!$C$51,((D832+E832)*C832)*'Assumptions and Catalog'!$H$51+'Assumptions and Catalog'!$E$51+'Assumptions and Catalog'!$F$51,IF(((D832+E832)*C832)&lt;='Assumptions and Catalog'!$C$52,((D832+E832)*C832)*'Assumptions and Catalog'!$H$52+'Assumptions and Catalog'!$E$52+'Assumptions and Catalog'!$F$52,IF(((D832+E832)*C832)&lt;='Assumptions and Catalog'!$C$53,((D832+E832)*C832)*'Assumptions and Catalog'!$H$53+'Assumptions and Catalog'!$E$53+'Assumptions and Catalog'!$F$53,IF(((D832+E832)*C832)&lt;='Assumptions and Catalog'!$C$54,((D832+E832)*C832)*'Assumptions and Catalog'!$H$54+'Assumptions and Catalog'!$E$54+'Assumptions and Catalog'!$F$54,IF(((D832+E832)*C832)&lt;='Assumptions and Catalog'!$C$55,((D832+E832)*C832)*'Assumptions and Catalog'!$H$55+'Assumptions and Catalog'!$E$55+'Assumptions and Catalog'!$F$55,IF(((D832+E832)*C832)&lt;='Assumptions and Catalog'!$C$56,((D832+E832)*C832)*'Assumptions and Catalog'!$H$56+'Assumptions and Catalog'!$E$56+'Assumptions and Catalog'!$F$56,IF(((D832+E832)*C832)&lt;='Assumptions and Catalog'!$C$57,((D832+E832)*C832)*'Assumptions and Catalog'!$H$57+'Assumptions and Catalog'!$E$57+'Assumptions and Catalog'!$F$57,"Out of range")))))))),IF(((D832+E832)*C832)&lt;='Assumptions and Catalog'!$C$60,((D832+E832)*C832)*'Assumptions and Catalog'!$H$60+'Assumptions and Catalog'!$E$60+'Assumptions and Catalog'!$F$60,IF(((D832+E832)*C832)&lt;='Assumptions and Catalog'!$C$61,((D832+E832)*C832)*'Assumptions and Catalog'!$H$61+'Assumptions and Catalog'!$E$61+'Assumptions and Catalog'!$F$61,IF(((D832+E832)*C832)&lt;='Assumptions and Catalog'!$C$62,((D832+E832)*C832)*'Assumptions and Catalog'!$H$62+'Assumptions and Catalog'!$E$62+'Assumptions and Catalog'!$F$62,IF(((D832+E832)*C832)&lt;='Assumptions and Catalog'!$C$63,((D832+E832)*C832)*'Assumptions and Catalog'!$H$63+'Assumptions and Catalog'!$E$63+'Assumptions and Catalog'!$F$63,IF(((D832+E832)*C832)&lt;='Assumptions and Catalog'!$C$64,((D832+E832)*C832)*'Assumptions and Catalog'!$H$64+'Assumptions and Catalog'!$E$64+'Assumptions and Catalog'!$F$64,IF(((D832+E832)*C832)&lt;='Assumptions and Catalog'!$C$65,((D832+E832)*C832)*'Assumptions and Catalog'!$H$65+'Assumptions and Catalog'!$E$65+'Assumptions and Catalog'!$F$65,"Out of range")))))))))*(1+'Assumptions and Catalog'!$C$8)^(A832-1),0)</f>
        <v>8279</v>
      </c>
      <c r="N832" s="5">
        <f>IF(ISNUMBER(Inputs!$L$5),(IF(Inputs!$L$9="Actual flat rate",L832*Inputs!$L$10,IF(Inputs!$C$9="Residential",IF(L832&lt;='Assumptions and Catalog'!$C$50,L832*'Assumptions and Catalog'!$H$50+'Assumptions and Catalog'!$E$50+'Assumptions and Catalog'!$F$50,IF(L832&lt;='Assumptions and Catalog'!$C$51,L832*'Assumptions and Catalog'!$H$51+'Assumptions and Catalog'!$E$51+'Assumptions and Catalog'!$F$51,IF(L832&lt;='Assumptions and Catalog'!$C$52,L832*'Assumptions and Catalog'!$H$52+'Assumptions and Catalog'!$E$52+'Assumptions and Catalog'!$F$52,IF(L832&lt;='Assumptions and Catalog'!$C$53,L832*'Assumptions and Catalog'!$H$53+'Assumptions and Catalog'!$E$53+'Assumptions and Catalog'!$F$53,IF(L832&lt;='Assumptions and Catalog'!$C$54,L832*'Assumptions and Catalog'!$H$54+'Assumptions and Catalog'!$E$54+'Assumptions and Catalog'!$F$54,IF(L832&lt;='Assumptions and Catalog'!$C$55,L832*'Assumptions and Catalog'!$H$55+'Assumptions and Catalog'!$E$55+'Assumptions and Catalog'!$F$55,IF(L832&lt;='Assumptions and Catalog'!$C$56,L832*'Assumptions and Catalog'!$H$56+'Assumptions and Catalog'!$E$56+'Assumptions and Catalog'!$F$56,IF(L832&lt;='Assumptions and Catalog'!$C$57,L832*'Assumptions and Catalog'!$H$57+'Assumptions and Catalog'!$E$57+'Assumptions and Catalog'!$F$57,"Out of range")))))))),IF(L832&lt;='Assumptions and Catalog'!$C$60,L832*'Assumptions and Catalog'!$H$60+'Assumptions and Catalog'!$E$60+'Assumptions and Catalog'!$F$60,IF(L832&lt;='Assumptions and Catalog'!$C$61,L832*'Assumptions and Catalog'!$H$61+'Assumptions and Catalog'!$E$61+'Assumptions and Catalog'!$F$61,IF(L832&lt;='Assumptions and Catalog'!$C$62,L832*'Assumptions and Catalog'!$H$62+'Assumptions and Catalog'!$E$62+'Assumptions and Catalog'!$F$62,IF(L832&lt;='Assumptions and Catalog'!$C$63,L832*'Assumptions and Catalog'!$H$63+'Assumptions and Catalog'!$E$63+'Assumptions and Catalog'!$F$63,IF(L832&lt;='Assumptions and Catalog'!$C$64,L832*'Assumptions and Catalog'!$H$64+'Assumptions and Catalog'!$E$64+'Assumptions and Catalog'!$F$64,IF(L832&lt;='Assumptions and Catalog'!$C$65,L832*'Assumptions and Catalog'!$H$65+'Assumptions and Catalog'!$E$65+'Assumptions and Catalog'!$F$65,"Out of range")))))))))*(1+'Assumptions and Catalog'!$C$8)^(A832-1),0)</f>
        <v>5659.4933182756695</v>
      </c>
      <c r="O832" s="5">
        <f t="shared" si="59"/>
        <v>2619.5066817243305</v>
      </c>
      <c r="P832" s="5">
        <f>E$55*(1-L$14)*(1-'Assumptions and Catalog'!$C$23)^R832</f>
        <v>94.450499583999999</v>
      </c>
      <c r="Q832" s="5">
        <f>IF(ISNUMBER(Inputs!$L$5),(IF(Inputs!$L$9="Actual flat rate",((D832+E832)*C832-G832)*Inputs!$L$10,IF(Inputs!$C$9="Residential",IF(((D832+E832)*C832-G832)&lt;='Assumptions and Catalog'!$C$50,((D832+E832)*C832-G832)*'Assumptions and Catalog'!$H$50+'Assumptions and Catalog'!$E$50+'Assumptions and Catalog'!$F$50,IF(((D832+E832)*C832-G832)&lt;='Assumptions and Catalog'!$C$51,((D832+E832)*C832-G832)*'Assumptions and Catalog'!$H$51+'Assumptions and Catalog'!$E$51+'Assumptions and Catalog'!$F$51,IF(((D832+E832)*C832-G832)&lt;='Assumptions and Catalog'!$C$52,((D832+E832)*C832-G832)*'Assumptions and Catalog'!$H$52+'Assumptions and Catalog'!$E$52+'Assumptions and Catalog'!$F$52,IF(((D832+E832)*C832-G832)&lt;='Assumptions and Catalog'!$C$53,((D832+E832)*C832-G832)*'Assumptions and Catalog'!$H$53+'Assumptions and Catalog'!$E$53+'Assumptions and Catalog'!$F$53,IF(((D832+E832)*C832-G832)&lt;='Assumptions and Catalog'!$C$54,((D832+E832)*C832-G832)*'Assumptions and Catalog'!$H$54+'Assumptions and Catalog'!$E$54+'Assumptions and Catalog'!$F$54,IF(((D832+E832)*C832-G832)&lt;='Assumptions and Catalog'!$C$55,((D832+E832)*C832-G832)*'Assumptions and Catalog'!$H$55+'Assumptions and Catalog'!$E$55+'Assumptions and Catalog'!$F$55,IF(((D832+E832)*C832-G832)&lt;='Assumptions and Catalog'!$C$56,((D832+E832)*C832-G832)*'Assumptions and Catalog'!$H$56+'Assumptions and Catalog'!$E$56+'Assumptions and Catalog'!$F$56,IF(((D832+E832)*C832-G832)&lt;='Assumptions and Catalog'!$C$57,((D832+E832)*C832-G832)*'Assumptions and Catalog'!$H$57+'Assumptions and Catalog'!$E$57+'Assumptions and Catalog'!$F$57,"Out of range")))))))),IF(((D832+E832)*C832-G832)&lt;='Assumptions and Catalog'!$C$60,((D832+E832)*C832-G832)*'Assumptions and Catalog'!$H$60+'Assumptions and Catalog'!$E$60+'Assumptions and Catalog'!$F$60,IF(((D832+E832)*C832-G832)&lt;='Assumptions and Catalog'!$C$61,((D832+E832)*C832-G832)*'Assumptions and Catalog'!$H$61+'Assumptions and Catalog'!$E$61+'Assumptions and Catalog'!$F$61,IF(((D832+E832)*C832-G832)&lt;='Assumptions and Catalog'!$C$62,((D832+E832)*C832-G832)*'Assumptions and Catalog'!$H$62+'Assumptions and Catalog'!$E$62+'Assumptions and Catalog'!$F$62,IF(((D832+E832)*C832-G832)&lt;='Assumptions and Catalog'!$C$63,((D832+E832)*C832-G832)*'Assumptions and Catalog'!$H$63+'Assumptions and Catalog'!$E$63+'Assumptions and Catalog'!$F$63,IF(((D832+E832)*C832-G832)&lt;='Assumptions and Catalog'!$C$64,((D832+E832)*C832-G832)*'Assumptions and Catalog'!$H$64+'Assumptions and Catalog'!$E$64+'Assumptions and Catalog'!$F$64,IF(((D832+E832)*C832-G832)&lt;='Assumptions and Catalog'!$C$65,((D832+E832)*C832-G832)*'Assumptions and Catalog'!$H$65+'Assumptions and Catalog'!$E$65+'Assumptions and Catalog'!$F$65,"Out of range")))))))))*(1+'Assumptions and Catalog'!$C$8)^(A832-1),0)</f>
        <v>5659.4933182756695</v>
      </c>
      <c r="R832" s="5">
        <f>IF(AND('Assumptions and Catalog'!$C$19&gt;0,A832&gt;='Assumptions and Catalog'!$C$19),A832-'Assumptions and Catalog'!$C$19,A832-1)</f>
        <v>4</v>
      </c>
      <c r="S832" s="5">
        <f>F832+L832-(D832+E832)*C832-J832-K832-IF(E$52&gt;0,'Assumptions and Catalog'!$C$26*C832,0)</f>
        <v>0</v>
      </c>
      <c r="T832" s="5"/>
      <c r="U832" s="5"/>
    </row>
    <row r="833" spans="1:21" ht="23.1" customHeight="1" outlineLevel="1" x14ac:dyDescent="0.2">
      <c r="A833" s="5">
        <v>15</v>
      </c>
      <c r="B833" s="5">
        <v>5</v>
      </c>
      <c r="C833" s="5">
        <f>DAY(DATE('Assumptions and Catalog'!$C$24+A833-1,B833+1,0))</f>
        <v>31</v>
      </c>
      <c r="D833" s="5">
        <f>IF(ISNUMBER(Inputs!$L$5),Inputs!$L$5*Inputs!$L$6,0)</f>
        <v>40.35</v>
      </c>
      <c r="E833" s="5">
        <f>IF(ISNUMBER(Inputs!$L$5),Inputs!$L$5-D833,0)</f>
        <v>40.35</v>
      </c>
      <c r="F833" s="5">
        <f>E$51*'Assumptions and Catalog'!$C$31*C833*(1-'Assumptions and Catalog'!$C$10)^(A833-1)</f>
        <v>791.54727209442638</v>
      </c>
      <c r="G833" s="5">
        <f t="shared" si="56"/>
        <v>791.54727209442638</v>
      </c>
      <c r="H833" s="5">
        <f>I833/('Assumptions and Catalog'!$C$11*'Assumptions and Catalog'!$C$12)</f>
        <v>0</v>
      </c>
      <c r="I833" s="5">
        <f>MIN(E833*C833,P833*'Assumptions and Catalog'!$C$12*C833,(F833-G833)*'Assumptions and Catalog'!$C$11*'Assumptions and Catalog'!$C$12,E$56*'Assumptions and Catalog'!$C$14*'Assumptions and Catalog'!$C$11*'Assumptions and Catalog'!$C$12*C833,E$57*(24-'Assumptions and Catalog'!$C$13)*C833)</f>
        <v>0</v>
      </c>
      <c r="J833" s="5">
        <f t="shared" si="57"/>
        <v>0</v>
      </c>
      <c r="K833" s="5">
        <f t="shared" si="58"/>
        <v>0</v>
      </c>
      <c r="L833" s="5">
        <f>(D833+E833)*C833-G833-I833+0+IF(E$52&gt;0,'Assumptions and Catalog'!$C$26*C833,0)</f>
        <v>1710.152727905574</v>
      </c>
      <c r="M833" s="5">
        <f>IF(ISNUMBER(Inputs!$L$5),(IF(Inputs!$L$9="Actual flat rate",((D833+E833)*C833)*Inputs!$L$10,IF(Inputs!$C$9="Residential",IF(((D833+E833)*C833)&lt;='Assumptions and Catalog'!$C$50,((D833+E833)*C833)*'Assumptions and Catalog'!$H$50+'Assumptions and Catalog'!$E$50+'Assumptions and Catalog'!$F$50,IF(((D833+E833)*C833)&lt;='Assumptions and Catalog'!$C$51,((D833+E833)*C833)*'Assumptions and Catalog'!$H$51+'Assumptions and Catalog'!$E$51+'Assumptions and Catalog'!$F$51,IF(((D833+E833)*C833)&lt;='Assumptions and Catalog'!$C$52,((D833+E833)*C833)*'Assumptions and Catalog'!$H$52+'Assumptions and Catalog'!$E$52+'Assumptions and Catalog'!$F$52,IF(((D833+E833)*C833)&lt;='Assumptions and Catalog'!$C$53,((D833+E833)*C833)*'Assumptions and Catalog'!$H$53+'Assumptions and Catalog'!$E$53+'Assumptions and Catalog'!$F$53,IF(((D833+E833)*C833)&lt;='Assumptions and Catalog'!$C$54,((D833+E833)*C833)*'Assumptions and Catalog'!$H$54+'Assumptions and Catalog'!$E$54+'Assumptions and Catalog'!$F$54,IF(((D833+E833)*C833)&lt;='Assumptions and Catalog'!$C$55,((D833+E833)*C833)*'Assumptions and Catalog'!$H$55+'Assumptions and Catalog'!$E$55+'Assumptions and Catalog'!$F$55,IF(((D833+E833)*C833)&lt;='Assumptions and Catalog'!$C$56,((D833+E833)*C833)*'Assumptions and Catalog'!$H$56+'Assumptions and Catalog'!$E$56+'Assumptions and Catalog'!$F$56,IF(((D833+E833)*C833)&lt;='Assumptions and Catalog'!$C$57,((D833+E833)*C833)*'Assumptions and Catalog'!$H$57+'Assumptions and Catalog'!$E$57+'Assumptions and Catalog'!$F$57,"Out of range")))))))),IF(((D833+E833)*C833)&lt;='Assumptions and Catalog'!$C$60,((D833+E833)*C833)*'Assumptions and Catalog'!$H$60+'Assumptions and Catalog'!$E$60+'Assumptions and Catalog'!$F$60,IF(((D833+E833)*C833)&lt;='Assumptions and Catalog'!$C$61,((D833+E833)*C833)*'Assumptions and Catalog'!$H$61+'Assumptions and Catalog'!$E$61+'Assumptions and Catalog'!$F$61,IF(((D833+E833)*C833)&lt;='Assumptions and Catalog'!$C$62,((D833+E833)*C833)*'Assumptions and Catalog'!$H$62+'Assumptions and Catalog'!$E$62+'Assumptions and Catalog'!$F$62,IF(((D833+E833)*C833)&lt;='Assumptions and Catalog'!$C$63,((D833+E833)*C833)*'Assumptions and Catalog'!$H$63+'Assumptions and Catalog'!$E$63+'Assumptions and Catalog'!$F$63,IF(((D833+E833)*C833)&lt;='Assumptions and Catalog'!$C$64,((D833+E833)*C833)*'Assumptions and Catalog'!$H$64+'Assumptions and Catalog'!$E$64+'Assumptions and Catalog'!$F$64,IF(((D833+E833)*C833)&lt;='Assumptions and Catalog'!$C$65,((D833+E833)*C833)*'Assumptions and Catalog'!$H$65+'Assumptions and Catalog'!$E$65+'Assumptions and Catalog'!$F$65,"Out of range")))))))))*(1+'Assumptions and Catalog'!$C$8)^(A833-1),0)</f>
        <v>8554.9666666666672</v>
      </c>
      <c r="N833" s="5">
        <f>IF(ISNUMBER(Inputs!$L$5),(IF(Inputs!$L$9="Actual flat rate",L833*Inputs!$L$10,IF(Inputs!$C$9="Residential",IF(L833&lt;='Assumptions and Catalog'!$C$50,L833*'Assumptions and Catalog'!$H$50+'Assumptions and Catalog'!$E$50+'Assumptions and Catalog'!$F$50,IF(L833&lt;='Assumptions and Catalog'!$C$51,L833*'Assumptions and Catalog'!$H$51+'Assumptions and Catalog'!$E$51+'Assumptions and Catalog'!$F$51,IF(L833&lt;='Assumptions and Catalog'!$C$52,L833*'Assumptions and Catalog'!$H$52+'Assumptions and Catalog'!$E$52+'Assumptions and Catalog'!$F$52,IF(L833&lt;='Assumptions and Catalog'!$C$53,L833*'Assumptions and Catalog'!$H$53+'Assumptions and Catalog'!$E$53+'Assumptions and Catalog'!$F$53,IF(L833&lt;='Assumptions and Catalog'!$C$54,L833*'Assumptions and Catalog'!$H$54+'Assumptions and Catalog'!$E$54+'Assumptions and Catalog'!$F$54,IF(L833&lt;='Assumptions and Catalog'!$C$55,L833*'Assumptions and Catalog'!$H$55+'Assumptions and Catalog'!$E$55+'Assumptions and Catalog'!$F$55,IF(L833&lt;='Assumptions and Catalog'!$C$56,L833*'Assumptions and Catalog'!$H$56+'Assumptions and Catalog'!$E$56+'Assumptions and Catalog'!$F$56,IF(L833&lt;='Assumptions and Catalog'!$C$57,L833*'Assumptions and Catalog'!$H$57+'Assumptions and Catalog'!$E$57+'Assumptions and Catalog'!$F$57,"Out of range")))))))),IF(L833&lt;='Assumptions and Catalog'!$C$60,L833*'Assumptions and Catalog'!$H$60+'Assumptions and Catalog'!$E$60+'Assumptions and Catalog'!$F$60,IF(L833&lt;='Assumptions and Catalog'!$C$61,L833*'Assumptions and Catalog'!$H$61+'Assumptions and Catalog'!$E$61+'Assumptions and Catalog'!$F$61,IF(L833&lt;='Assumptions and Catalog'!$C$62,L833*'Assumptions and Catalog'!$H$62+'Assumptions and Catalog'!$E$62+'Assumptions and Catalog'!$F$62,IF(L833&lt;='Assumptions and Catalog'!$C$63,L833*'Assumptions and Catalog'!$H$63+'Assumptions and Catalog'!$E$63+'Assumptions and Catalog'!$F$63,IF(L833&lt;='Assumptions and Catalog'!$C$64,L833*'Assumptions and Catalog'!$H$64+'Assumptions and Catalog'!$E$64+'Assumptions and Catalog'!$F$64,IF(L833&lt;='Assumptions and Catalog'!$C$65,L833*'Assumptions and Catalog'!$H$65+'Assumptions and Catalog'!$E$65+'Assumptions and Catalog'!$F$65,"Out of range")))))))))*(1+'Assumptions and Catalog'!$C$8)^(A833-1),0)</f>
        <v>5848.143095551527</v>
      </c>
      <c r="O833" s="5">
        <f t="shared" si="59"/>
        <v>2706.8235711151401</v>
      </c>
      <c r="P833" s="5">
        <f>E$55*(1-L$14)*(1-'Assumptions and Catalog'!$C$23)^R833</f>
        <v>94.450499583999999</v>
      </c>
      <c r="Q833" s="5">
        <f>IF(ISNUMBER(Inputs!$L$5),(IF(Inputs!$L$9="Actual flat rate",((D833+E833)*C833-G833)*Inputs!$L$10,IF(Inputs!$C$9="Residential",IF(((D833+E833)*C833-G833)&lt;='Assumptions and Catalog'!$C$50,((D833+E833)*C833-G833)*'Assumptions and Catalog'!$H$50+'Assumptions and Catalog'!$E$50+'Assumptions and Catalog'!$F$50,IF(((D833+E833)*C833-G833)&lt;='Assumptions and Catalog'!$C$51,((D833+E833)*C833-G833)*'Assumptions and Catalog'!$H$51+'Assumptions and Catalog'!$E$51+'Assumptions and Catalog'!$F$51,IF(((D833+E833)*C833-G833)&lt;='Assumptions and Catalog'!$C$52,((D833+E833)*C833-G833)*'Assumptions and Catalog'!$H$52+'Assumptions and Catalog'!$E$52+'Assumptions and Catalog'!$F$52,IF(((D833+E833)*C833-G833)&lt;='Assumptions and Catalog'!$C$53,((D833+E833)*C833-G833)*'Assumptions and Catalog'!$H$53+'Assumptions and Catalog'!$E$53+'Assumptions and Catalog'!$F$53,IF(((D833+E833)*C833-G833)&lt;='Assumptions and Catalog'!$C$54,((D833+E833)*C833-G833)*'Assumptions and Catalog'!$H$54+'Assumptions and Catalog'!$E$54+'Assumptions and Catalog'!$F$54,IF(((D833+E833)*C833-G833)&lt;='Assumptions and Catalog'!$C$55,((D833+E833)*C833-G833)*'Assumptions and Catalog'!$H$55+'Assumptions and Catalog'!$E$55+'Assumptions and Catalog'!$F$55,IF(((D833+E833)*C833-G833)&lt;='Assumptions and Catalog'!$C$56,((D833+E833)*C833-G833)*'Assumptions and Catalog'!$H$56+'Assumptions and Catalog'!$E$56+'Assumptions and Catalog'!$F$56,IF(((D833+E833)*C833-G833)&lt;='Assumptions and Catalog'!$C$57,((D833+E833)*C833-G833)*'Assumptions and Catalog'!$H$57+'Assumptions and Catalog'!$E$57+'Assumptions and Catalog'!$F$57,"Out of range")))))))),IF(((D833+E833)*C833-G833)&lt;='Assumptions and Catalog'!$C$60,((D833+E833)*C833-G833)*'Assumptions and Catalog'!$H$60+'Assumptions and Catalog'!$E$60+'Assumptions and Catalog'!$F$60,IF(((D833+E833)*C833-G833)&lt;='Assumptions and Catalog'!$C$61,((D833+E833)*C833-G833)*'Assumptions and Catalog'!$H$61+'Assumptions and Catalog'!$E$61+'Assumptions and Catalog'!$F$61,IF(((D833+E833)*C833-G833)&lt;='Assumptions and Catalog'!$C$62,((D833+E833)*C833-G833)*'Assumptions and Catalog'!$H$62+'Assumptions and Catalog'!$E$62+'Assumptions and Catalog'!$F$62,IF(((D833+E833)*C833-G833)&lt;='Assumptions and Catalog'!$C$63,((D833+E833)*C833-G833)*'Assumptions and Catalog'!$H$63+'Assumptions and Catalog'!$E$63+'Assumptions and Catalog'!$F$63,IF(((D833+E833)*C833-G833)&lt;='Assumptions and Catalog'!$C$64,((D833+E833)*C833-G833)*'Assumptions and Catalog'!$H$64+'Assumptions and Catalog'!$E$64+'Assumptions and Catalog'!$F$64,IF(((D833+E833)*C833-G833)&lt;='Assumptions and Catalog'!$C$65,((D833+E833)*C833-G833)*'Assumptions and Catalog'!$H$65+'Assumptions and Catalog'!$E$65+'Assumptions and Catalog'!$F$65,"Out of range")))))))))*(1+'Assumptions and Catalog'!$C$8)^(A833-1),0)</f>
        <v>5848.143095551527</v>
      </c>
      <c r="R833" s="5">
        <f>IF(AND('Assumptions and Catalog'!$C$19&gt;0,A833&gt;='Assumptions and Catalog'!$C$19),A833-'Assumptions and Catalog'!$C$19,A833-1)</f>
        <v>4</v>
      </c>
      <c r="S833" s="5">
        <f>F833+L833-(D833+E833)*C833-J833-K833-IF(E$52&gt;0,'Assumptions and Catalog'!$C$26*C833,0)</f>
        <v>0</v>
      </c>
      <c r="T833" s="5"/>
      <c r="U833" s="5"/>
    </row>
    <row r="834" spans="1:21" ht="23.1" customHeight="1" outlineLevel="1" x14ac:dyDescent="0.2">
      <c r="A834" s="5">
        <v>15</v>
      </c>
      <c r="B834" s="5">
        <v>6</v>
      </c>
      <c r="C834" s="5">
        <f>DAY(DATE('Assumptions and Catalog'!$C$24+A834-1,B834+1,0))</f>
        <v>30</v>
      </c>
      <c r="D834" s="5">
        <f>IF(ISNUMBER(Inputs!$L$5),Inputs!$L$5*Inputs!$L$6,0)</f>
        <v>40.35</v>
      </c>
      <c r="E834" s="5">
        <f>IF(ISNUMBER(Inputs!$L$5),Inputs!$L$5-D834,0)</f>
        <v>40.35</v>
      </c>
      <c r="F834" s="5">
        <f>E$51*'Assumptions and Catalog'!$C$31*C834*(1-'Assumptions and Catalog'!$C$10)^(A834-1)</f>
        <v>766.01348912363846</v>
      </c>
      <c r="G834" s="5">
        <f t="shared" si="56"/>
        <v>766.01348912363846</v>
      </c>
      <c r="H834" s="5">
        <f>I834/('Assumptions and Catalog'!$C$11*'Assumptions and Catalog'!$C$12)</f>
        <v>0</v>
      </c>
      <c r="I834" s="5">
        <f>MIN(E834*C834,P834*'Assumptions and Catalog'!$C$12*C834,(F834-G834)*'Assumptions and Catalog'!$C$11*'Assumptions and Catalog'!$C$12,E$56*'Assumptions and Catalog'!$C$14*'Assumptions and Catalog'!$C$11*'Assumptions and Catalog'!$C$12*C834,E$57*(24-'Assumptions and Catalog'!$C$13)*C834)</f>
        <v>0</v>
      </c>
      <c r="J834" s="5">
        <f t="shared" si="57"/>
        <v>0</v>
      </c>
      <c r="K834" s="5">
        <f t="shared" si="58"/>
        <v>0</v>
      </c>
      <c r="L834" s="5">
        <f>(D834+E834)*C834-G834-I834+0+IF(E$52&gt;0,'Assumptions and Catalog'!$C$26*C834,0)</f>
        <v>1654.9865108763615</v>
      </c>
      <c r="M834" s="5">
        <f>IF(ISNUMBER(Inputs!$L$5),(IF(Inputs!$L$9="Actual flat rate",((D834+E834)*C834)*Inputs!$L$10,IF(Inputs!$C$9="Residential",IF(((D834+E834)*C834)&lt;='Assumptions and Catalog'!$C$50,((D834+E834)*C834)*'Assumptions and Catalog'!$H$50+'Assumptions and Catalog'!$E$50+'Assumptions and Catalog'!$F$50,IF(((D834+E834)*C834)&lt;='Assumptions and Catalog'!$C$51,((D834+E834)*C834)*'Assumptions and Catalog'!$H$51+'Assumptions and Catalog'!$E$51+'Assumptions and Catalog'!$F$51,IF(((D834+E834)*C834)&lt;='Assumptions and Catalog'!$C$52,((D834+E834)*C834)*'Assumptions and Catalog'!$H$52+'Assumptions and Catalog'!$E$52+'Assumptions and Catalog'!$F$52,IF(((D834+E834)*C834)&lt;='Assumptions and Catalog'!$C$53,((D834+E834)*C834)*'Assumptions and Catalog'!$H$53+'Assumptions and Catalog'!$E$53+'Assumptions and Catalog'!$F$53,IF(((D834+E834)*C834)&lt;='Assumptions and Catalog'!$C$54,((D834+E834)*C834)*'Assumptions and Catalog'!$H$54+'Assumptions and Catalog'!$E$54+'Assumptions and Catalog'!$F$54,IF(((D834+E834)*C834)&lt;='Assumptions and Catalog'!$C$55,((D834+E834)*C834)*'Assumptions and Catalog'!$H$55+'Assumptions and Catalog'!$E$55+'Assumptions and Catalog'!$F$55,IF(((D834+E834)*C834)&lt;='Assumptions and Catalog'!$C$56,((D834+E834)*C834)*'Assumptions and Catalog'!$H$56+'Assumptions and Catalog'!$E$56+'Assumptions and Catalog'!$F$56,IF(((D834+E834)*C834)&lt;='Assumptions and Catalog'!$C$57,((D834+E834)*C834)*'Assumptions and Catalog'!$H$57+'Assumptions and Catalog'!$E$57+'Assumptions and Catalog'!$F$57,"Out of range")))))))),IF(((D834+E834)*C834)&lt;='Assumptions and Catalog'!$C$60,((D834+E834)*C834)*'Assumptions and Catalog'!$H$60+'Assumptions and Catalog'!$E$60+'Assumptions and Catalog'!$F$60,IF(((D834+E834)*C834)&lt;='Assumptions and Catalog'!$C$61,((D834+E834)*C834)*'Assumptions and Catalog'!$H$61+'Assumptions and Catalog'!$E$61+'Assumptions and Catalog'!$F$61,IF(((D834+E834)*C834)&lt;='Assumptions and Catalog'!$C$62,((D834+E834)*C834)*'Assumptions and Catalog'!$H$62+'Assumptions and Catalog'!$E$62+'Assumptions and Catalog'!$F$62,IF(((D834+E834)*C834)&lt;='Assumptions and Catalog'!$C$63,((D834+E834)*C834)*'Assumptions and Catalog'!$H$63+'Assumptions and Catalog'!$E$63+'Assumptions and Catalog'!$F$63,IF(((D834+E834)*C834)&lt;='Assumptions and Catalog'!$C$64,((D834+E834)*C834)*'Assumptions and Catalog'!$H$64+'Assumptions and Catalog'!$E$64+'Assumptions and Catalog'!$F$64,IF(((D834+E834)*C834)&lt;='Assumptions and Catalog'!$C$65,((D834+E834)*C834)*'Assumptions and Catalog'!$H$65+'Assumptions and Catalog'!$E$65+'Assumptions and Catalog'!$F$65,"Out of range")))))))))*(1+'Assumptions and Catalog'!$C$8)^(A834-1),0)</f>
        <v>8279</v>
      </c>
      <c r="N834" s="5">
        <f>IF(ISNUMBER(Inputs!$L$5),(IF(Inputs!$L$9="Actual flat rate",L834*Inputs!$L$10,IF(Inputs!$C$9="Residential",IF(L834&lt;='Assumptions and Catalog'!$C$50,L834*'Assumptions and Catalog'!$H$50+'Assumptions and Catalog'!$E$50+'Assumptions and Catalog'!$F$50,IF(L834&lt;='Assumptions and Catalog'!$C$51,L834*'Assumptions and Catalog'!$H$51+'Assumptions and Catalog'!$E$51+'Assumptions and Catalog'!$F$51,IF(L834&lt;='Assumptions and Catalog'!$C$52,L834*'Assumptions and Catalog'!$H$52+'Assumptions and Catalog'!$E$52+'Assumptions and Catalog'!$F$52,IF(L834&lt;='Assumptions and Catalog'!$C$53,L834*'Assumptions and Catalog'!$H$53+'Assumptions and Catalog'!$E$53+'Assumptions and Catalog'!$F$53,IF(L834&lt;='Assumptions and Catalog'!$C$54,L834*'Assumptions and Catalog'!$H$54+'Assumptions and Catalog'!$E$54+'Assumptions and Catalog'!$F$54,IF(L834&lt;='Assumptions and Catalog'!$C$55,L834*'Assumptions and Catalog'!$H$55+'Assumptions and Catalog'!$E$55+'Assumptions and Catalog'!$F$55,IF(L834&lt;='Assumptions and Catalog'!$C$56,L834*'Assumptions and Catalog'!$H$56+'Assumptions and Catalog'!$E$56+'Assumptions and Catalog'!$F$56,IF(L834&lt;='Assumptions and Catalog'!$C$57,L834*'Assumptions and Catalog'!$H$57+'Assumptions and Catalog'!$E$57+'Assumptions and Catalog'!$F$57,"Out of range")))))))),IF(L834&lt;='Assumptions and Catalog'!$C$60,L834*'Assumptions and Catalog'!$H$60+'Assumptions and Catalog'!$E$60+'Assumptions and Catalog'!$F$60,IF(L834&lt;='Assumptions and Catalog'!$C$61,L834*'Assumptions and Catalog'!$H$61+'Assumptions and Catalog'!$E$61+'Assumptions and Catalog'!$F$61,IF(L834&lt;='Assumptions and Catalog'!$C$62,L834*'Assumptions and Catalog'!$H$62+'Assumptions and Catalog'!$E$62+'Assumptions and Catalog'!$F$62,IF(L834&lt;='Assumptions and Catalog'!$C$63,L834*'Assumptions and Catalog'!$H$63+'Assumptions and Catalog'!$E$63+'Assumptions and Catalog'!$F$63,IF(L834&lt;='Assumptions and Catalog'!$C$64,L834*'Assumptions and Catalog'!$H$64+'Assumptions and Catalog'!$E$64+'Assumptions and Catalog'!$F$64,IF(L834&lt;='Assumptions and Catalog'!$C$65,L834*'Assumptions and Catalog'!$H$65+'Assumptions and Catalog'!$E$65+'Assumptions and Catalog'!$F$65,"Out of range")))))))))*(1+'Assumptions and Catalog'!$C$8)^(A834-1),0)</f>
        <v>5659.4933182756695</v>
      </c>
      <c r="O834" s="5">
        <f t="shared" si="59"/>
        <v>2619.5066817243305</v>
      </c>
      <c r="P834" s="5">
        <f>E$55*(1-L$14)*(1-'Assumptions and Catalog'!$C$23)^R834</f>
        <v>94.450499583999999</v>
      </c>
      <c r="Q834" s="5">
        <f>IF(ISNUMBER(Inputs!$L$5),(IF(Inputs!$L$9="Actual flat rate",((D834+E834)*C834-G834)*Inputs!$L$10,IF(Inputs!$C$9="Residential",IF(((D834+E834)*C834-G834)&lt;='Assumptions and Catalog'!$C$50,((D834+E834)*C834-G834)*'Assumptions and Catalog'!$H$50+'Assumptions and Catalog'!$E$50+'Assumptions and Catalog'!$F$50,IF(((D834+E834)*C834-G834)&lt;='Assumptions and Catalog'!$C$51,((D834+E834)*C834-G834)*'Assumptions and Catalog'!$H$51+'Assumptions and Catalog'!$E$51+'Assumptions and Catalog'!$F$51,IF(((D834+E834)*C834-G834)&lt;='Assumptions and Catalog'!$C$52,((D834+E834)*C834-G834)*'Assumptions and Catalog'!$H$52+'Assumptions and Catalog'!$E$52+'Assumptions and Catalog'!$F$52,IF(((D834+E834)*C834-G834)&lt;='Assumptions and Catalog'!$C$53,((D834+E834)*C834-G834)*'Assumptions and Catalog'!$H$53+'Assumptions and Catalog'!$E$53+'Assumptions and Catalog'!$F$53,IF(((D834+E834)*C834-G834)&lt;='Assumptions and Catalog'!$C$54,((D834+E834)*C834-G834)*'Assumptions and Catalog'!$H$54+'Assumptions and Catalog'!$E$54+'Assumptions and Catalog'!$F$54,IF(((D834+E834)*C834-G834)&lt;='Assumptions and Catalog'!$C$55,((D834+E834)*C834-G834)*'Assumptions and Catalog'!$H$55+'Assumptions and Catalog'!$E$55+'Assumptions and Catalog'!$F$55,IF(((D834+E834)*C834-G834)&lt;='Assumptions and Catalog'!$C$56,((D834+E834)*C834-G834)*'Assumptions and Catalog'!$H$56+'Assumptions and Catalog'!$E$56+'Assumptions and Catalog'!$F$56,IF(((D834+E834)*C834-G834)&lt;='Assumptions and Catalog'!$C$57,((D834+E834)*C834-G834)*'Assumptions and Catalog'!$H$57+'Assumptions and Catalog'!$E$57+'Assumptions and Catalog'!$F$57,"Out of range")))))))),IF(((D834+E834)*C834-G834)&lt;='Assumptions and Catalog'!$C$60,((D834+E834)*C834-G834)*'Assumptions and Catalog'!$H$60+'Assumptions and Catalog'!$E$60+'Assumptions and Catalog'!$F$60,IF(((D834+E834)*C834-G834)&lt;='Assumptions and Catalog'!$C$61,((D834+E834)*C834-G834)*'Assumptions and Catalog'!$H$61+'Assumptions and Catalog'!$E$61+'Assumptions and Catalog'!$F$61,IF(((D834+E834)*C834-G834)&lt;='Assumptions and Catalog'!$C$62,((D834+E834)*C834-G834)*'Assumptions and Catalog'!$H$62+'Assumptions and Catalog'!$E$62+'Assumptions and Catalog'!$F$62,IF(((D834+E834)*C834-G834)&lt;='Assumptions and Catalog'!$C$63,((D834+E834)*C834-G834)*'Assumptions and Catalog'!$H$63+'Assumptions and Catalog'!$E$63+'Assumptions and Catalog'!$F$63,IF(((D834+E834)*C834-G834)&lt;='Assumptions and Catalog'!$C$64,((D834+E834)*C834-G834)*'Assumptions and Catalog'!$H$64+'Assumptions and Catalog'!$E$64+'Assumptions and Catalog'!$F$64,IF(((D834+E834)*C834-G834)&lt;='Assumptions and Catalog'!$C$65,((D834+E834)*C834-G834)*'Assumptions and Catalog'!$H$65+'Assumptions and Catalog'!$E$65+'Assumptions and Catalog'!$F$65,"Out of range")))))))))*(1+'Assumptions and Catalog'!$C$8)^(A834-1),0)</f>
        <v>5659.4933182756695</v>
      </c>
      <c r="R834" s="5">
        <f>IF(AND('Assumptions and Catalog'!$C$19&gt;0,A834&gt;='Assumptions and Catalog'!$C$19),A834-'Assumptions and Catalog'!$C$19,A834-1)</f>
        <v>4</v>
      </c>
      <c r="S834" s="5">
        <f>F834+L834-(D834+E834)*C834-J834-K834-IF(E$52&gt;0,'Assumptions and Catalog'!$C$26*C834,0)</f>
        <v>0</v>
      </c>
      <c r="T834" s="5"/>
      <c r="U834" s="5"/>
    </row>
    <row r="835" spans="1:21" ht="23.1" customHeight="1" outlineLevel="1" x14ac:dyDescent="0.2">
      <c r="A835" s="5">
        <v>15</v>
      </c>
      <c r="B835" s="5">
        <v>7</v>
      </c>
      <c r="C835" s="5">
        <f>DAY(DATE('Assumptions and Catalog'!$C$24+A835-1,B835+1,0))</f>
        <v>31</v>
      </c>
      <c r="D835" s="5">
        <f>IF(ISNUMBER(Inputs!$L$5),Inputs!$L$5*Inputs!$L$6,0)</f>
        <v>40.35</v>
      </c>
      <c r="E835" s="5">
        <f>IF(ISNUMBER(Inputs!$L$5),Inputs!$L$5-D835,0)</f>
        <v>40.35</v>
      </c>
      <c r="F835" s="5">
        <f>E$51*'Assumptions and Catalog'!$C$31*C835*(1-'Assumptions and Catalog'!$C$10)^(A835-1)</f>
        <v>791.54727209442638</v>
      </c>
      <c r="G835" s="5">
        <f t="shared" si="56"/>
        <v>791.54727209442638</v>
      </c>
      <c r="H835" s="5">
        <f>I835/('Assumptions and Catalog'!$C$11*'Assumptions and Catalog'!$C$12)</f>
        <v>0</v>
      </c>
      <c r="I835" s="5">
        <f>MIN(E835*C835,P835*'Assumptions and Catalog'!$C$12*C835,(F835-G835)*'Assumptions and Catalog'!$C$11*'Assumptions and Catalog'!$C$12,E$56*'Assumptions and Catalog'!$C$14*'Assumptions and Catalog'!$C$11*'Assumptions and Catalog'!$C$12*C835,E$57*(24-'Assumptions and Catalog'!$C$13)*C835)</f>
        <v>0</v>
      </c>
      <c r="J835" s="5">
        <f t="shared" si="57"/>
        <v>0</v>
      </c>
      <c r="K835" s="5">
        <f t="shared" si="58"/>
        <v>0</v>
      </c>
      <c r="L835" s="5">
        <f>(D835+E835)*C835-G835-I835+0+IF(E$52&gt;0,'Assumptions and Catalog'!$C$26*C835,0)</f>
        <v>1710.152727905574</v>
      </c>
      <c r="M835" s="5">
        <f>IF(ISNUMBER(Inputs!$L$5),(IF(Inputs!$L$9="Actual flat rate",((D835+E835)*C835)*Inputs!$L$10,IF(Inputs!$C$9="Residential",IF(((D835+E835)*C835)&lt;='Assumptions and Catalog'!$C$50,((D835+E835)*C835)*'Assumptions and Catalog'!$H$50+'Assumptions and Catalog'!$E$50+'Assumptions and Catalog'!$F$50,IF(((D835+E835)*C835)&lt;='Assumptions and Catalog'!$C$51,((D835+E835)*C835)*'Assumptions and Catalog'!$H$51+'Assumptions and Catalog'!$E$51+'Assumptions and Catalog'!$F$51,IF(((D835+E835)*C835)&lt;='Assumptions and Catalog'!$C$52,((D835+E835)*C835)*'Assumptions and Catalog'!$H$52+'Assumptions and Catalog'!$E$52+'Assumptions and Catalog'!$F$52,IF(((D835+E835)*C835)&lt;='Assumptions and Catalog'!$C$53,((D835+E835)*C835)*'Assumptions and Catalog'!$H$53+'Assumptions and Catalog'!$E$53+'Assumptions and Catalog'!$F$53,IF(((D835+E835)*C835)&lt;='Assumptions and Catalog'!$C$54,((D835+E835)*C835)*'Assumptions and Catalog'!$H$54+'Assumptions and Catalog'!$E$54+'Assumptions and Catalog'!$F$54,IF(((D835+E835)*C835)&lt;='Assumptions and Catalog'!$C$55,((D835+E835)*C835)*'Assumptions and Catalog'!$H$55+'Assumptions and Catalog'!$E$55+'Assumptions and Catalog'!$F$55,IF(((D835+E835)*C835)&lt;='Assumptions and Catalog'!$C$56,((D835+E835)*C835)*'Assumptions and Catalog'!$H$56+'Assumptions and Catalog'!$E$56+'Assumptions and Catalog'!$F$56,IF(((D835+E835)*C835)&lt;='Assumptions and Catalog'!$C$57,((D835+E835)*C835)*'Assumptions and Catalog'!$H$57+'Assumptions and Catalog'!$E$57+'Assumptions and Catalog'!$F$57,"Out of range")))))))),IF(((D835+E835)*C835)&lt;='Assumptions and Catalog'!$C$60,((D835+E835)*C835)*'Assumptions and Catalog'!$H$60+'Assumptions and Catalog'!$E$60+'Assumptions and Catalog'!$F$60,IF(((D835+E835)*C835)&lt;='Assumptions and Catalog'!$C$61,((D835+E835)*C835)*'Assumptions and Catalog'!$H$61+'Assumptions and Catalog'!$E$61+'Assumptions and Catalog'!$F$61,IF(((D835+E835)*C835)&lt;='Assumptions and Catalog'!$C$62,((D835+E835)*C835)*'Assumptions and Catalog'!$H$62+'Assumptions and Catalog'!$E$62+'Assumptions and Catalog'!$F$62,IF(((D835+E835)*C835)&lt;='Assumptions and Catalog'!$C$63,((D835+E835)*C835)*'Assumptions and Catalog'!$H$63+'Assumptions and Catalog'!$E$63+'Assumptions and Catalog'!$F$63,IF(((D835+E835)*C835)&lt;='Assumptions and Catalog'!$C$64,((D835+E835)*C835)*'Assumptions and Catalog'!$H$64+'Assumptions and Catalog'!$E$64+'Assumptions and Catalog'!$F$64,IF(((D835+E835)*C835)&lt;='Assumptions and Catalog'!$C$65,((D835+E835)*C835)*'Assumptions and Catalog'!$H$65+'Assumptions and Catalog'!$E$65+'Assumptions and Catalog'!$F$65,"Out of range")))))))))*(1+'Assumptions and Catalog'!$C$8)^(A835-1),0)</f>
        <v>8554.9666666666672</v>
      </c>
      <c r="N835" s="5">
        <f>IF(ISNUMBER(Inputs!$L$5),(IF(Inputs!$L$9="Actual flat rate",L835*Inputs!$L$10,IF(Inputs!$C$9="Residential",IF(L835&lt;='Assumptions and Catalog'!$C$50,L835*'Assumptions and Catalog'!$H$50+'Assumptions and Catalog'!$E$50+'Assumptions and Catalog'!$F$50,IF(L835&lt;='Assumptions and Catalog'!$C$51,L835*'Assumptions and Catalog'!$H$51+'Assumptions and Catalog'!$E$51+'Assumptions and Catalog'!$F$51,IF(L835&lt;='Assumptions and Catalog'!$C$52,L835*'Assumptions and Catalog'!$H$52+'Assumptions and Catalog'!$E$52+'Assumptions and Catalog'!$F$52,IF(L835&lt;='Assumptions and Catalog'!$C$53,L835*'Assumptions and Catalog'!$H$53+'Assumptions and Catalog'!$E$53+'Assumptions and Catalog'!$F$53,IF(L835&lt;='Assumptions and Catalog'!$C$54,L835*'Assumptions and Catalog'!$H$54+'Assumptions and Catalog'!$E$54+'Assumptions and Catalog'!$F$54,IF(L835&lt;='Assumptions and Catalog'!$C$55,L835*'Assumptions and Catalog'!$H$55+'Assumptions and Catalog'!$E$55+'Assumptions and Catalog'!$F$55,IF(L835&lt;='Assumptions and Catalog'!$C$56,L835*'Assumptions and Catalog'!$H$56+'Assumptions and Catalog'!$E$56+'Assumptions and Catalog'!$F$56,IF(L835&lt;='Assumptions and Catalog'!$C$57,L835*'Assumptions and Catalog'!$H$57+'Assumptions and Catalog'!$E$57+'Assumptions and Catalog'!$F$57,"Out of range")))))))),IF(L835&lt;='Assumptions and Catalog'!$C$60,L835*'Assumptions and Catalog'!$H$60+'Assumptions and Catalog'!$E$60+'Assumptions and Catalog'!$F$60,IF(L835&lt;='Assumptions and Catalog'!$C$61,L835*'Assumptions and Catalog'!$H$61+'Assumptions and Catalog'!$E$61+'Assumptions and Catalog'!$F$61,IF(L835&lt;='Assumptions and Catalog'!$C$62,L835*'Assumptions and Catalog'!$H$62+'Assumptions and Catalog'!$E$62+'Assumptions and Catalog'!$F$62,IF(L835&lt;='Assumptions and Catalog'!$C$63,L835*'Assumptions and Catalog'!$H$63+'Assumptions and Catalog'!$E$63+'Assumptions and Catalog'!$F$63,IF(L835&lt;='Assumptions and Catalog'!$C$64,L835*'Assumptions and Catalog'!$H$64+'Assumptions and Catalog'!$E$64+'Assumptions and Catalog'!$F$64,IF(L835&lt;='Assumptions and Catalog'!$C$65,L835*'Assumptions and Catalog'!$H$65+'Assumptions and Catalog'!$E$65+'Assumptions and Catalog'!$F$65,"Out of range")))))))))*(1+'Assumptions and Catalog'!$C$8)^(A835-1),0)</f>
        <v>5848.143095551527</v>
      </c>
      <c r="O835" s="5">
        <f t="shared" si="59"/>
        <v>2706.8235711151401</v>
      </c>
      <c r="P835" s="5">
        <f>E$55*(1-L$14)*(1-'Assumptions and Catalog'!$C$23)^R835</f>
        <v>94.450499583999999</v>
      </c>
      <c r="Q835" s="5">
        <f>IF(ISNUMBER(Inputs!$L$5),(IF(Inputs!$L$9="Actual flat rate",((D835+E835)*C835-G835)*Inputs!$L$10,IF(Inputs!$C$9="Residential",IF(((D835+E835)*C835-G835)&lt;='Assumptions and Catalog'!$C$50,((D835+E835)*C835-G835)*'Assumptions and Catalog'!$H$50+'Assumptions and Catalog'!$E$50+'Assumptions and Catalog'!$F$50,IF(((D835+E835)*C835-G835)&lt;='Assumptions and Catalog'!$C$51,((D835+E835)*C835-G835)*'Assumptions and Catalog'!$H$51+'Assumptions and Catalog'!$E$51+'Assumptions and Catalog'!$F$51,IF(((D835+E835)*C835-G835)&lt;='Assumptions and Catalog'!$C$52,((D835+E835)*C835-G835)*'Assumptions and Catalog'!$H$52+'Assumptions and Catalog'!$E$52+'Assumptions and Catalog'!$F$52,IF(((D835+E835)*C835-G835)&lt;='Assumptions and Catalog'!$C$53,((D835+E835)*C835-G835)*'Assumptions and Catalog'!$H$53+'Assumptions and Catalog'!$E$53+'Assumptions and Catalog'!$F$53,IF(((D835+E835)*C835-G835)&lt;='Assumptions and Catalog'!$C$54,((D835+E835)*C835-G835)*'Assumptions and Catalog'!$H$54+'Assumptions and Catalog'!$E$54+'Assumptions and Catalog'!$F$54,IF(((D835+E835)*C835-G835)&lt;='Assumptions and Catalog'!$C$55,((D835+E835)*C835-G835)*'Assumptions and Catalog'!$H$55+'Assumptions and Catalog'!$E$55+'Assumptions and Catalog'!$F$55,IF(((D835+E835)*C835-G835)&lt;='Assumptions and Catalog'!$C$56,((D835+E835)*C835-G835)*'Assumptions and Catalog'!$H$56+'Assumptions and Catalog'!$E$56+'Assumptions and Catalog'!$F$56,IF(((D835+E835)*C835-G835)&lt;='Assumptions and Catalog'!$C$57,((D835+E835)*C835-G835)*'Assumptions and Catalog'!$H$57+'Assumptions and Catalog'!$E$57+'Assumptions and Catalog'!$F$57,"Out of range")))))))),IF(((D835+E835)*C835-G835)&lt;='Assumptions and Catalog'!$C$60,((D835+E835)*C835-G835)*'Assumptions and Catalog'!$H$60+'Assumptions and Catalog'!$E$60+'Assumptions and Catalog'!$F$60,IF(((D835+E835)*C835-G835)&lt;='Assumptions and Catalog'!$C$61,((D835+E835)*C835-G835)*'Assumptions and Catalog'!$H$61+'Assumptions and Catalog'!$E$61+'Assumptions and Catalog'!$F$61,IF(((D835+E835)*C835-G835)&lt;='Assumptions and Catalog'!$C$62,((D835+E835)*C835-G835)*'Assumptions and Catalog'!$H$62+'Assumptions and Catalog'!$E$62+'Assumptions and Catalog'!$F$62,IF(((D835+E835)*C835-G835)&lt;='Assumptions and Catalog'!$C$63,((D835+E835)*C835-G835)*'Assumptions and Catalog'!$H$63+'Assumptions and Catalog'!$E$63+'Assumptions and Catalog'!$F$63,IF(((D835+E835)*C835-G835)&lt;='Assumptions and Catalog'!$C$64,((D835+E835)*C835-G835)*'Assumptions and Catalog'!$H$64+'Assumptions and Catalog'!$E$64+'Assumptions and Catalog'!$F$64,IF(((D835+E835)*C835-G835)&lt;='Assumptions and Catalog'!$C$65,((D835+E835)*C835-G835)*'Assumptions and Catalog'!$H$65+'Assumptions and Catalog'!$E$65+'Assumptions and Catalog'!$F$65,"Out of range")))))))))*(1+'Assumptions and Catalog'!$C$8)^(A835-1),0)</f>
        <v>5848.143095551527</v>
      </c>
      <c r="R835" s="5">
        <f>IF(AND('Assumptions and Catalog'!$C$19&gt;0,A835&gt;='Assumptions and Catalog'!$C$19),A835-'Assumptions and Catalog'!$C$19,A835-1)</f>
        <v>4</v>
      </c>
      <c r="S835" s="5">
        <f>F835+L835-(D835+E835)*C835-J835-K835-IF(E$52&gt;0,'Assumptions and Catalog'!$C$26*C835,0)</f>
        <v>0</v>
      </c>
      <c r="T835" s="5"/>
      <c r="U835" s="5"/>
    </row>
    <row r="836" spans="1:21" ht="23.1" customHeight="1" outlineLevel="1" x14ac:dyDescent="0.2">
      <c r="A836" s="5">
        <v>15</v>
      </c>
      <c r="B836" s="5">
        <v>8</v>
      </c>
      <c r="C836" s="5">
        <f>DAY(DATE('Assumptions and Catalog'!$C$24+A836-1,B836+1,0))</f>
        <v>31</v>
      </c>
      <c r="D836" s="5">
        <f>IF(ISNUMBER(Inputs!$L$5),Inputs!$L$5*Inputs!$L$6,0)</f>
        <v>40.35</v>
      </c>
      <c r="E836" s="5">
        <f>IF(ISNUMBER(Inputs!$L$5),Inputs!$L$5-D836,0)</f>
        <v>40.35</v>
      </c>
      <c r="F836" s="5">
        <f>E$51*'Assumptions and Catalog'!$C$31*C836*(1-'Assumptions and Catalog'!$C$10)^(A836-1)</f>
        <v>791.54727209442638</v>
      </c>
      <c r="G836" s="5">
        <f t="shared" si="56"/>
        <v>791.54727209442638</v>
      </c>
      <c r="H836" s="5">
        <f>I836/('Assumptions and Catalog'!$C$11*'Assumptions and Catalog'!$C$12)</f>
        <v>0</v>
      </c>
      <c r="I836" s="5">
        <f>MIN(E836*C836,P836*'Assumptions and Catalog'!$C$12*C836,(F836-G836)*'Assumptions and Catalog'!$C$11*'Assumptions and Catalog'!$C$12,E$56*'Assumptions and Catalog'!$C$14*'Assumptions and Catalog'!$C$11*'Assumptions and Catalog'!$C$12*C836,E$57*(24-'Assumptions and Catalog'!$C$13)*C836)</f>
        <v>0</v>
      </c>
      <c r="J836" s="5">
        <f t="shared" si="57"/>
        <v>0</v>
      </c>
      <c r="K836" s="5">
        <f t="shared" si="58"/>
        <v>0</v>
      </c>
      <c r="L836" s="5">
        <f>(D836+E836)*C836-G836-I836+0+IF(E$52&gt;0,'Assumptions and Catalog'!$C$26*C836,0)</f>
        <v>1710.152727905574</v>
      </c>
      <c r="M836" s="5">
        <f>IF(ISNUMBER(Inputs!$L$5),(IF(Inputs!$L$9="Actual flat rate",((D836+E836)*C836)*Inputs!$L$10,IF(Inputs!$C$9="Residential",IF(((D836+E836)*C836)&lt;='Assumptions and Catalog'!$C$50,((D836+E836)*C836)*'Assumptions and Catalog'!$H$50+'Assumptions and Catalog'!$E$50+'Assumptions and Catalog'!$F$50,IF(((D836+E836)*C836)&lt;='Assumptions and Catalog'!$C$51,((D836+E836)*C836)*'Assumptions and Catalog'!$H$51+'Assumptions and Catalog'!$E$51+'Assumptions and Catalog'!$F$51,IF(((D836+E836)*C836)&lt;='Assumptions and Catalog'!$C$52,((D836+E836)*C836)*'Assumptions and Catalog'!$H$52+'Assumptions and Catalog'!$E$52+'Assumptions and Catalog'!$F$52,IF(((D836+E836)*C836)&lt;='Assumptions and Catalog'!$C$53,((D836+E836)*C836)*'Assumptions and Catalog'!$H$53+'Assumptions and Catalog'!$E$53+'Assumptions and Catalog'!$F$53,IF(((D836+E836)*C836)&lt;='Assumptions and Catalog'!$C$54,((D836+E836)*C836)*'Assumptions and Catalog'!$H$54+'Assumptions and Catalog'!$E$54+'Assumptions and Catalog'!$F$54,IF(((D836+E836)*C836)&lt;='Assumptions and Catalog'!$C$55,((D836+E836)*C836)*'Assumptions and Catalog'!$H$55+'Assumptions and Catalog'!$E$55+'Assumptions and Catalog'!$F$55,IF(((D836+E836)*C836)&lt;='Assumptions and Catalog'!$C$56,((D836+E836)*C836)*'Assumptions and Catalog'!$H$56+'Assumptions and Catalog'!$E$56+'Assumptions and Catalog'!$F$56,IF(((D836+E836)*C836)&lt;='Assumptions and Catalog'!$C$57,((D836+E836)*C836)*'Assumptions and Catalog'!$H$57+'Assumptions and Catalog'!$E$57+'Assumptions and Catalog'!$F$57,"Out of range")))))))),IF(((D836+E836)*C836)&lt;='Assumptions and Catalog'!$C$60,((D836+E836)*C836)*'Assumptions and Catalog'!$H$60+'Assumptions and Catalog'!$E$60+'Assumptions and Catalog'!$F$60,IF(((D836+E836)*C836)&lt;='Assumptions and Catalog'!$C$61,((D836+E836)*C836)*'Assumptions and Catalog'!$H$61+'Assumptions and Catalog'!$E$61+'Assumptions and Catalog'!$F$61,IF(((D836+E836)*C836)&lt;='Assumptions and Catalog'!$C$62,((D836+E836)*C836)*'Assumptions and Catalog'!$H$62+'Assumptions and Catalog'!$E$62+'Assumptions and Catalog'!$F$62,IF(((D836+E836)*C836)&lt;='Assumptions and Catalog'!$C$63,((D836+E836)*C836)*'Assumptions and Catalog'!$H$63+'Assumptions and Catalog'!$E$63+'Assumptions and Catalog'!$F$63,IF(((D836+E836)*C836)&lt;='Assumptions and Catalog'!$C$64,((D836+E836)*C836)*'Assumptions and Catalog'!$H$64+'Assumptions and Catalog'!$E$64+'Assumptions and Catalog'!$F$64,IF(((D836+E836)*C836)&lt;='Assumptions and Catalog'!$C$65,((D836+E836)*C836)*'Assumptions and Catalog'!$H$65+'Assumptions and Catalog'!$E$65+'Assumptions and Catalog'!$F$65,"Out of range")))))))))*(1+'Assumptions and Catalog'!$C$8)^(A836-1),0)</f>
        <v>8554.9666666666672</v>
      </c>
      <c r="N836" s="5">
        <f>IF(ISNUMBER(Inputs!$L$5),(IF(Inputs!$L$9="Actual flat rate",L836*Inputs!$L$10,IF(Inputs!$C$9="Residential",IF(L836&lt;='Assumptions and Catalog'!$C$50,L836*'Assumptions and Catalog'!$H$50+'Assumptions and Catalog'!$E$50+'Assumptions and Catalog'!$F$50,IF(L836&lt;='Assumptions and Catalog'!$C$51,L836*'Assumptions and Catalog'!$H$51+'Assumptions and Catalog'!$E$51+'Assumptions and Catalog'!$F$51,IF(L836&lt;='Assumptions and Catalog'!$C$52,L836*'Assumptions and Catalog'!$H$52+'Assumptions and Catalog'!$E$52+'Assumptions and Catalog'!$F$52,IF(L836&lt;='Assumptions and Catalog'!$C$53,L836*'Assumptions and Catalog'!$H$53+'Assumptions and Catalog'!$E$53+'Assumptions and Catalog'!$F$53,IF(L836&lt;='Assumptions and Catalog'!$C$54,L836*'Assumptions and Catalog'!$H$54+'Assumptions and Catalog'!$E$54+'Assumptions and Catalog'!$F$54,IF(L836&lt;='Assumptions and Catalog'!$C$55,L836*'Assumptions and Catalog'!$H$55+'Assumptions and Catalog'!$E$55+'Assumptions and Catalog'!$F$55,IF(L836&lt;='Assumptions and Catalog'!$C$56,L836*'Assumptions and Catalog'!$H$56+'Assumptions and Catalog'!$E$56+'Assumptions and Catalog'!$F$56,IF(L836&lt;='Assumptions and Catalog'!$C$57,L836*'Assumptions and Catalog'!$H$57+'Assumptions and Catalog'!$E$57+'Assumptions and Catalog'!$F$57,"Out of range")))))))),IF(L836&lt;='Assumptions and Catalog'!$C$60,L836*'Assumptions and Catalog'!$H$60+'Assumptions and Catalog'!$E$60+'Assumptions and Catalog'!$F$60,IF(L836&lt;='Assumptions and Catalog'!$C$61,L836*'Assumptions and Catalog'!$H$61+'Assumptions and Catalog'!$E$61+'Assumptions and Catalog'!$F$61,IF(L836&lt;='Assumptions and Catalog'!$C$62,L836*'Assumptions and Catalog'!$H$62+'Assumptions and Catalog'!$E$62+'Assumptions and Catalog'!$F$62,IF(L836&lt;='Assumptions and Catalog'!$C$63,L836*'Assumptions and Catalog'!$H$63+'Assumptions and Catalog'!$E$63+'Assumptions and Catalog'!$F$63,IF(L836&lt;='Assumptions and Catalog'!$C$64,L836*'Assumptions and Catalog'!$H$64+'Assumptions and Catalog'!$E$64+'Assumptions and Catalog'!$F$64,IF(L836&lt;='Assumptions and Catalog'!$C$65,L836*'Assumptions and Catalog'!$H$65+'Assumptions and Catalog'!$E$65+'Assumptions and Catalog'!$F$65,"Out of range")))))))))*(1+'Assumptions and Catalog'!$C$8)^(A836-1),0)</f>
        <v>5848.143095551527</v>
      </c>
      <c r="O836" s="5">
        <f t="shared" si="59"/>
        <v>2706.8235711151401</v>
      </c>
      <c r="P836" s="5">
        <f>E$55*(1-L$14)*(1-'Assumptions and Catalog'!$C$23)^R836</f>
        <v>94.450499583999999</v>
      </c>
      <c r="Q836" s="5">
        <f>IF(ISNUMBER(Inputs!$L$5),(IF(Inputs!$L$9="Actual flat rate",((D836+E836)*C836-G836)*Inputs!$L$10,IF(Inputs!$C$9="Residential",IF(((D836+E836)*C836-G836)&lt;='Assumptions and Catalog'!$C$50,((D836+E836)*C836-G836)*'Assumptions and Catalog'!$H$50+'Assumptions and Catalog'!$E$50+'Assumptions and Catalog'!$F$50,IF(((D836+E836)*C836-G836)&lt;='Assumptions and Catalog'!$C$51,((D836+E836)*C836-G836)*'Assumptions and Catalog'!$H$51+'Assumptions and Catalog'!$E$51+'Assumptions and Catalog'!$F$51,IF(((D836+E836)*C836-G836)&lt;='Assumptions and Catalog'!$C$52,((D836+E836)*C836-G836)*'Assumptions and Catalog'!$H$52+'Assumptions and Catalog'!$E$52+'Assumptions and Catalog'!$F$52,IF(((D836+E836)*C836-G836)&lt;='Assumptions and Catalog'!$C$53,((D836+E836)*C836-G836)*'Assumptions and Catalog'!$H$53+'Assumptions and Catalog'!$E$53+'Assumptions and Catalog'!$F$53,IF(((D836+E836)*C836-G836)&lt;='Assumptions and Catalog'!$C$54,((D836+E836)*C836-G836)*'Assumptions and Catalog'!$H$54+'Assumptions and Catalog'!$E$54+'Assumptions and Catalog'!$F$54,IF(((D836+E836)*C836-G836)&lt;='Assumptions and Catalog'!$C$55,((D836+E836)*C836-G836)*'Assumptions and Catalog'!$H$55+'Assumptions and Catalog'!$E$55+'Assumptions and Catalog'!$F$55,IF(((D836+E836)*C836-G836)&lt;='Assumptions and Catalog'!$C$56,((D836+E836)*C836-G836)*'Assumptions and Catalog'!$H$56+'Assumptions and Catalog'!$E$56+'Assumptions and Catalog'!$F$56,IF(((D836+E836)*C836-G836)&lt;='Assumptions and Catalog'!$C$57,((D836+E836)*C836-G836)*'Assumptions and Catalog'!$H$57+'Assumptions and Catalog'!$E$57+'Assumptions and Catalog'!$F$57,"Out of range")))))))),IF(((D836+E836)*C836-G836)&lt;='Assumptions and Catalog'!$C$60,((D836+E836)*C836-G836)*'Assumptions and Catalog'!$H$60+'Assumptions and Catalog'!$E$60+'Assumptions and Catalog'!$F$60,IF(((D836+E836)*C836-G836)&lt;='Assumptions and Catalog'!$C$61,((D836+E836)*C836-G836)*'Assumptions and Catalog'!$H$61+'Assumptions and Catalog'!$E$61+'Assumptions and Catalog'!$F$61,IF(((D836+E836)*C836-G836)&lt;='Assumptions and Catalog'!$C$62,((D836+E836)*C836-G836)*'Assumptions and Catalog'!$H$62+'Assumptions and Catalog'!$E$62+'Assumptions and Catalog'!$F$62,IF(((D836+E836)*C836-G836)&lt;='Assumptions and Catalog'!$C$63,((D836+E836)*C836-G836)*'Assumptions and Catalog'!$H$63+'Assumptions and Catalog'!$E$63+'Assumptions and Catalog'!$F$63,IF(((D836+E836)*C836-G836)&lt;='Assumptions and Catalog'!$C$64,((D836+E836)*C836-G836)*'Assumptions and Catalog'!$H$64+'Assumptions and Catalog'!$E$64+'Assumptions and Catalog'!$F$64,IF(((D836+E836)*C836-G836)&lt;='Assumptions and Catalog'!$C$65,((D836+E836)*C836-G836)*'Assumptions and Catalog'!$H$65+'Assumptions and Catalog'!$E$65+'Assumptions and Catalog'!$F$65,"Out of range")))))))))*(1+'Assumptions and Catalog'!$C$8)^(A836-1),0)</f>
        <v>5848.143095551527</v>
      </c>
      <c r="R836" s="5">
        <f>IF(AND('Assumptions and Catalog'!$C$19&gt;0,A836&gt;='Assumptions and Catalog'!$C$19),A836-'Assumptions and Catalog'!$C$19,A836-1)</f>
        <v>4</v>
      </c>
      <c r="S836" s="5">
        <f>F836+L836-(D836+E836)*C836-J836-K836-IF(E$52&gt;0,'Assumptions and Catalog'!$C$26*C836,0)</f>
        <v>0</v>
      </c>
      <c r="T836" s="5"/>
      <c r="U836" s="5"/>
    </row>
    <row r="837" spans="1:21" ht="23.1" customHeight="1" outlineLevel="1" x14ac:dyDescent="0.2">
      <c r="A837" s="5">
        <v>15</v>
      </c>
      <c r="B837" s="5">
        <v>9</v>
      </c>
      <c r="C837" s="5">
        <f>DAY(DATE('Assumptions and Catalog'!$C$24+A837-1,B837+1,0))</f>
        <v>30</v>
      </c>
      <c r="D837" s="5">
        <f>IF(ISNUMBER(Inputs!$L$5),Inputs!$L$5*Inputs!$L$6,0)</f>
        <v>40.35</v>
      </c>
      <c r="E837" s="5">
        <f>IF(ISNUMBER(Inputs!$L$5),Inputs!$L$5-D837,0)</f>
        <v>40.35</v>
      </c>
      <c r="F837" s="5">
        <f>E$51*'Assumptions and Catalog'!$C$31*C837*(1-'Assumptions and Catalog'!$C$10)^(A837-1)</f>
        <v>766.01348912363846</v>
      </c>
      <c r="G837" s="5">
        <f t="shared" si="56"/>
        <v>766.01348912363846</v>
      </c>
      <c r="H837" s="5">
        <f>I837/('Assumptions and Catalog'!$C$11*'Assumptions and Catalog'!$C$12)</f>
        <v>0</v>
      </c>
      <c r="I837" s="5">
        <f>MIN(E837*C837,P837*'Assumptions and Catalog'!$C$12*C837,(F837-G837)*'Assumptions and Catalog'!$C$11*'Assumptions and Catalog'!$C$12,E$56*'Assumptions and Catalog'!$C$14*'Assumptions and Catalog'!$C$11*'Assumptions and Catalog'!$C$12*C837,E$57*(24-'Assumptions and Catalog'!$C$13)*C837)</f>
        <v>0</v>
      </c>
      <c r="J837" s="5">
        <f t="shared" si="57"/>
        <v>0</v>
      </c>
      <c r="K837" s="5">
        <f t="shared" si="58"/>
        <v>0</v>
      </c>
      <c r="L837" s="5">
        <f>(D837+E837)*C837-G837-I837+0+IF(E$52&gt;0,'Assumptions and Catalog'!$C$26*C837,0)</f>
        <v>1654.9865108763615</v>
      </c>
      <c r="M837" s="5">
        <f>IF(ISNUMBER(Inputs!$L$5),(IF(Inputs!$L$9="Actual flat rate",((D837+E837)*C837)*Inputs!$L$10,IF(Inputs!$C$9="Residential",IF(((D837+E837)*C837)&lt;='Assumptions and Catalog'!$C$50,((D837+E837)*C837)*'Assumptions and Catalog'!$H$50+'Assumptions and Catalog'!$E$50+'Assumptions and Catalog'!$F$50,IF(((D837+E837)*C837)&lt;='Assumptions and Catalog'!$C$51,((D837+E837)*C837)*'Assumptions and Catalog'!$H$51+'Assumptions and Catalog'!$E$51+'Assumptions and Catalog'!$F$51,IF(((D837+E837)*C837)&lt;='Assumptions and Catalog'!$C$52,((D837+E837)*C837)*'Assumptions and Catalog'!$H$52+'Assumptions and Catalog'!$E$52+'Assumptions and Catalog'!$F$52,IF(((D837+E837)*C837)&lt;='Assumptions and Catalog'!$C$53,((D837+E837)*C837)*'Assumptions and Catalog'!$H$53+'Assumptions and Catalog'!$E$53+'Assumptions and Catalog'!$F$53,IF(((D837+E837)*C837)&lt;='Assumptions and Catalog'!$C$54,((D837+E837)*C837)*'Assumptions and Catalog'!$H$54+'Assumptions and Catalog'!$E$54+'Assumptions and Catalog'!$F$54,IF(((D837+E837)*C837)&lt;='Assumptions and Catalog'!$C$55,((D837+E837)*C837)*'Assumptions and Catalog'!$H$55+'Assumptions and Catalog'!$E$55+'Assumptions and Catalog'!$F$55,IF(((D837+E837)*C837)&lt;='Assumptions and Catalog'!$C$56,((D837+E837)*C837)*'Assumptions and Catalog'!$H$56+'Assumptions and Catalog'!$E$56+'Assumptions and Catalog'!$F$56,IF(((D837+E837)*C837)&lt;='Assumptions and Catalog'!$C$57,((D837+E837)*C837)*'Assumptions and Catalog'!$H$57+'Assumptions and Catalog'!$E$57+'Assumptions and Catalog'!$F$57,"Out of range")))))))),IF(((D837+E837)*C837)&lt;='Assumptions and Catalog'!$C$60,((D837+E837)*C837)*'Assumptions and Catalog'!$H$60+'Assumptions and Catalog'!$E$60+'Assumptions and Catalog'!$F$60,IF(((D837+E837)*C837)&lt;='Assumptions and Catalog'!$C$61,((D837+E837)*C837)*'Assumptions and Catalog'!$H$61+'Assumptions and Catalog'!$E$61+'Assumptions and Catalog'!$F$61,IF(((D837+E837)*C837)&lt;='Assumptions and Catalog'!$C$62,((D837+E837)*C837)*'Assumptions and Catalog'!$H$62+'Assumptions and Catalog'!$E$62+'Assumptions and Catalog'!$F$62,IF(((D837+E837)*C837)&lt;='Assumptions and Catalog'!$C$63,((D837+E837)*C837)*'Assumptions and Catalog'!$H$63+'Assumptions and Catalog'!$E$63+'Assumptions and Catalog'!$F$63,IF(((D837+E837)*C837)&lt;='Assumptions and Catalog'!$C$64,((D837+E837)*C837)*'Assumptions and Catalog'!$H$64+'Assumptions and Catalog'!$E$64+'Assumptions and Catalog'!$F$64,IF(((D837+E837)*C837)&lt;='Assumptions and Catalog'!$C$65,((D837+E837)*C837)*'Assumptions and Catalog'!$H$65+'Assumptions and Catalog'!$E$65+'Assumptions and Catalog'!$F$65,"Out of range")))))))))*(1+'Assumptions and Catalog'!$C$8)^(A837-1),0)</f>
        <v>8279</v>
      </c>
      <c r="N837" s="5">
        <f>IF(ISNUMBER(Inputs!$L$5),(IF(Inputs!$L$9="Actual flat rate",L837*Inputs!$L$10,IF(Inputs!$C$9="Residential",IF(L837&lt;='Assumptions and Catalog'!$C$50,L837*'Assumptions and Catalog'!$H$50+'Assumptions and Catalog'!$E$50+'Assumptions and Catalog'!$F$50,IF(L837&lt;='Assumptions and Catalog'!$C$51,L837*'Assumptions and Catalog'!$H$51+'Assumptions and Catalog'!$E$51+'Assumptions and Catalog'!$F$51,IF(L837&lt;='Assumptions and Catalog'!$C$52,L837*'Assumptions and Catalog'!$H$52+'Assumptions and Catalog'!$E$52+'Assumptions and Catalog'!$F$52,IF(L837&lt;='Assumptions and Catalog'!$C$53,L837*'Assumptions and Catalog'!$H$53+'Assumptions and Catalog'!$E$53+'Assumptions and Catalog'!$F$53,IF(L837&lt;='Assumptions and Catalog'!$C$54,L837*'Assumptions and Catalog'!$H$54+'Assumptions and Catalog'!$E$54+'Assumptions and Catalog'!$F$54,IF(L837&lt;='Assumptions and Catalog'!$C$55,L837*'Assumptions and Catalog'!$H$55+'Assumptions and Catalog'!$E$55+'Assumptions and Catalog'!$F$55,IF(L837&lt;='Assumptions and Catalog'!$C$56,L837*'Assumptions and Catalog'!$H$56+'Assumptions and Catalog'!$E$56+'Assumptions and Catalog'!$F$56,IF(L837&lt;='Assumptions and Catalog'!$C$57,L837*'Assumptions and Catalog'!$H$57+'Assumptions and Catalog'!$E$57+'Assumptions and Catalog'!$F$57,"Out of range")))))))),IF(L837&lt;='Assumptions and Catalog'!$C$60,L837*'Assumptions and Catalog'!$H$60+'Assumptions and Catalog'!$E$60+'Assumptions and Catalog'!$F$60,IF(L837&lt;='Assumptions and Catalog'!$C$61,L837*'Assumptions and Catalog'!$H$61+'Assumptions and Catalog'!$E$61+'Assumptions and Catalog'!$F$61,IF(L837&lt;='Assumptions and Catalog'!$C$62,L837*'Assumptions and Catalog'!$H$62+'Assumptions and Catalog'!$E$62+'Assumptions and Catalog'!$F$62,IF(L837&lt;='Assumptions and Catalog'!$C$63,L837*'Assumptions and Catalog'!$H$63+'Assumptions and Catalog'!$E$63+'Assumptions and Catalog'!$F$63,IF(L837&lt;='Assumptions and Catalog'!$C$64,L837*'Assumptions and Catalog'!$H$64+'Assumptions and Catalog'!$E$64+'Assumptions and Catalog'!$F$64,IF(L837&lt;='Assumptions and Catalog'!$C$65,L837*'Assumptions and Catalog'!$H$65+'Assumptions and Catalog'!$E$65+'Assumptions and Catalog'!$F$65,"Out of range")))))))))*(1+'Assumptions and Catalog'!$C$8)^(A837-1),0)</f>
        <v>5659.4933182756695</v>
      </c>
      <c r="O837" s="5">
        <f t="shared" si="59"/>
        <v>2619.5066817243305</v>
      </c>
      <c r="P837" s="5">
        <f>E$55*(1-L$14)*(1-'Assumptions and Catalog'!$C$23)^R837</f>
        <v>94.450499583999999</v>
      </c>
      <c r="Q837" s="5">
        <f>IF(ISNUMBER(Inputs!$L$5),(IF(Inputs!$L$9="Actual flat rate",((D837+E837)*C837-G837)*Inputs!$L$10,IF(Inputs!$C$9="Residential",IF(((D837+E837)*C837-G837)&lt;='Assumptions and Catalog'!$C$50,((D837+E837)*C837-G837)*'Assumptions and Catalog'!$H$50+'Assumptions and Catalog'!$E$50+'Assumptions and Catalog'!$F$50,IF(((D837+E837)*C837-G837)&lt;='Assumptions and Catalog'!$C$51,((D837+E837)*C837-G837)*'Assumptions and Catalog'!$H$51+'Assumptions and Catalog'!$E$51+'Assumptions and Catalog'!$F$51,IF(((D837+E837)*C837-G837)&lt;='Assumptions and Catalog'!$C$52,((D837+E837)*C837-G837)*'Assumptions and Catalog'!$H$52+'Assumptions and Catalog'!$E$52+'Assumptions and Catalog'!$F$52,IF(((D837+E837)*C837-G837)&lt;='Assumptions and Catalog'!$C$53,((D837+E837)*C837-G837)*'Assumptions and Catalog'!$H$53+'Assumptions and Catalog'!$E$53+'Assumptions and Catalog'!$F$53,IF(((D837+E837)*C837-G837)&lt;='Assumptions and Catalog'!$C$54,((D837+E837)*C837-G837)*'Assumptions and Catalog'!$H$54+'Assumptions and Catalog'!$E$54+'Assumptions and Catalog'!$F$54,IF(((D837+E837)*C837-G837)&lt;='Assumptions and Catalog'!$C$55,((D837+E837)*C837-G837)*'Assumptions and Catalog'!$H$55+'Assumptions and Catalog'!$E$55+'Assumptions and Catalog'!$F$55,IF(((D837+E837)*C837-G837)&lt;='Assumptions and Catalog'!$C$56,((D837+E837)*C837-G837)*'Assumptions and Catalog'!$H$56+'Assumptions and Catalog'!$E$56+'Assumptions and Catalog'!$F$56,IF(((D837+E837)*C837-G837)&lt;='Assumptions and Catalog'!$C$57,((D837+E837)*C837-G837)*'Assumptions and Catalog'!$H$57+'Assumptions and Catalog'!$E$57+'Assumptions and Catalog'!$F$57,"Out of range")))))))),IF(((D837+E837)*C837-G837)&lt;='Assumptions and Catalog'!$C$60,((D837+E837)*C837-G837)*'Assumptions and Catalog'!$H$60+'Assumptions and Catalog'!$E$60+'Assumptions and Catalog'!$F$60,IF(((D837+E837)*C837-G837)&lt;='Assumptions and Catalog'!$C$61,((D837+E837)*C837-G837)*'Assumptions and Catalog'!$H$61+'Assumptions and Catalog'!$E$61+'Assumptions and Catalog'!$F$61,IF(((D837+E837)*C837-G837)&lt;='Assumptions and Catalog'!$C$62,((D837+E837)*C837-G837)*'Assumptions and Catalog'!$H$62+'Assumptions and Catalog'!$E$62+'Assumptions and Catalog'!$F$62,IF(((D837+E837)*C837-G837)&lt;='Assumptions and Catalog'!$C$63,((D837+E837)*C837-G837)*'Assumptions and Catalog'!$H$63+'Assumptions and Catalog'!$E$63+'Assumptions and Catalog'!$F$63,IF(((D837+E837)*C837-G837)&lt;='Assumptions and Catalog'!$C$64,((D837+E837)*C837-G837)*'Assumptions and Catalog'!$H$64+'Assumptions and Catalog'!$E$64+'Assumptions and Catalog'!$F$64,IF(((D837+E837)*C837-G837)&lt;='Assumptions and Catalog'!$C$65,((D837+E837)*C837-G837)*'Assumptions and Catalog'!$H$65+'Assumptions and Catalog'!$E$65+'Assumptions and Catalog'!$F$65,"Out of range")))))))))*(1+'Assumptions and Catalog'!$C$8)^(A837-1),0)</f>
        <v>5659.4933182756695</v>
      </c>
      <c r="R837" s="5">
        <f>IF(AND('Assumptions and Catalog'!$C$19&gt;0,A837&gt;='Assumptions and Catalog'!$C$19),A837-'Assumptions and Catalog'!$C$19,A837-1)</f>
        <v>4</v>
      </c>
      <c r="S837" s="5">
        <f>F837+L837-(D837+E837)*C837-J837-K837-IF(E$52&gt;0,'Assumptions and Catalog'!$C$26*C837,0)</f>
        <v>0</v>
      </c>
      <c r="T837" s="5"/>
      <c r="U837" s="5"/>
    </row>
    <row r="838" spans="1:21" ht="23.1" customHeight="1" outlineLevel="1" x14ac:dyDescent="0.2">
      <c r="A838" s="5">
        <v>15</v>
      </c>
      <c r="B838" s="5">
        <v>10</v>
      </c>
      <c r="C838" s="5">
        <f>DAY(DATE('Assumptions and Catalog'!$C$24+A838-1,B838+1,0))</f>
        <v>31</v>
      </c>
      <c r="D838" s="5">
        <f>IF(ISNUMBER(Inputs!$L$5),Inputs!$L$5*Inputs!$L$6,0)</f>
        <v>40.35</v>
      </c>
      <c r="E838" s="5">
        <f>IF(ISNUMBER(Inputs!$L$5),Inputs!$L$5-D838,0)</f>
        <v>40.35</v>
      </c>
      <c r="F838" s="5">
        <f>E$51*'Assumptions and Catalog'!$C$31*C838*(1-'Assumptions and Catalog'!$C$10)^(A838-1)</f>
        <v>791.54727209442638</v>
      </c>
      <c r="G838" s="5">
        <f t="shared" si="56"/>
        <v>791.54727209442638</v>
      </c>
      <c r="H838" s="5">
        <f>I838/('Assumptions and Catalog'!$C$11*'Assumptions and Catalog'!$C$12)</f>
        <v>0</v>
      </c>
      <c r="I838" s="5">
        <f>MIN(E838*C838,P838*'Assumptions and Catalog'!$C$12*C838,(F838-G838)*'Assumptions and Catalog'!$C$11*'Assumptions and Catalog'!$C$12,E$56*'Assumptions and Catalog'!$C$14*'Assumptions and Catalog'!$C$11*'Assumptions and Catalog'!$C$12*C838,E$57*(24-'Assumptions and Catalog'!$C$13)*C838)</f>
        <v>0</v>
      </c>
      <c r="J838" s="5">
        <f t="shared" si="57"/>
        <v>0</v>
      </c>
      <c r="K838" s="5">
        <f t="shared" si="58"/>
        <v>0</v>
      </c>
      <c r="L838" s="5">
        <f>(D838+E838)*C838-G838-I838+0+IF(E$52&gt;0,'Assumptions and Catalog'!$C$26*C838,0)</f>
        <v>1710.152727905574</v>
      </c>
      <c r="M838" s="5">
        <f>IF(ISNUMBER(Inputs!$L$5),(IF(Inputs!$L$9="Actual flat rate",((D838+E838)*C838)*Inputs!$L$10,IF(Inputs!$C$9="Residential",IF(((D838+E838)*C838)&lt;='Assumptions and Catalog'!$C$50,((D838+E838)*C838)*'Assumptions and Catalog'!$H$50+'Assumptions and Catalog'!$E$50+'Assumptions and Catalog'!$F$50,IF(((D838+E838)*C838)&lt;='Assumptions and Catalog'!$C$51,((D838+E838)*C838)*'Assumptions and Catalog'!$H$51+'Assumptions and Catalog'!$E$51+'Assumptions and Catalog'!$F$51,IF(((D838+E838)*C838)&lt;='Assumptions and Catalog'!$C$52,((D838+E838)*C838)*'Assumptions and Catalog'!$H$52+'Assumptions and Catalog'!$E$52+'Assumptions and Catalog'!$F$52,IF(((D838+E838)*C838)&lt;='Assumptions and Catalog'!$C$53,((D838+E838)*C838)*'Assumptions and Catalog'!$H$53+'Assumptions and Catalog'!$E$53+'Assumptions and Catalog'!$F$53,IF(((D838+E838)*C838)&lt;='Assumptions and Catalog'!$C$54,((D838+E838)*C838)*'Assumptions and Catalog'!$H$54+'Assumptions and Catalog'!$E$54+'Assumptions and Catalog'!$F$54,IF(((D838+E838)*C838)&lt;='Assumptions and Catalog'!$C$55,((D838+E838)*C838)*'Assumptions and Catalog'!$H$55+'Assumptions and Catalog'!$E$55+'Assumptions and Catalog'!$F$55,IF(((D838+E838)*C838)&lt;='Assumptions and Catalog'!$C$56,((D838+E838)*C838)*'Assumptions and Catalog'!$H$56+'Assumptions and Catalog'!$E$56+'Assumptions and Catalog'!$F$56,IF(((D838+E838)*C838)&lt;='Assumptions and Catalog'!$C$57,((D838+E838)*C838)*'Assumptions and Catalog'!$H$57+'Assumptions and Catalog'!$E$57+'Assumptions and Catalog'!$F$57,"Out of range")))))))),IF(((D838+E838)*C838)&lt;='Assumptions and Catalog'!$C$60,((D838+E838)*C838)*'Assumptions and Catalog'!$H$60+'Assumptions and Catalog'!$E$60+'Assumptions and Catalog'!$F$60,IF(((D838+E838)*C838)&lt;='Assumptions and Catalog'!$C$61,((D838+E838)*C838)*'Assumptions and Catalog'!$H$61+'Assumptions and Catalog'!$E$61+'Assumptions and Catalog'!$F$61,IF(((D838+E838)*C838)&lt;='Assumptions and Catalog'!$C$62,((D838+E838)*C838)*'Assumptions and Catalog'!$H$62+'Assumptions and Catalog'!$E$62+'Assumptions and Catalog'!$F$62,IF(((D838+E838)*C838)&lt;='Assumptions and Catalog'!$C$63,((D838+E838)*C838)*'Assumptions and Catalog'!$H$63+'Assumptions and Catalog'!$E$63+'Assumptions and Catalog'!$F$63,IF(((D838+E838)*C838)&lt;='Assumptions and Catalog'!$C$64,((D838+E838)*C838)*'Assumptions and Catalog'!$H$64+'Assumptions and Catalog'!$E$64+'Assumptions and Catalog'!$F$64,IF(((D838+E838)*C838)&lt;='Assumptions and Catalog'!$C$65,((D838+E838)*C838)*'Assumptions and Catalog'!$H$65+'Assumptions and Catalog'!$E$65+'Assumptions and Catalog'!$F$65,"Out of range")))))))))*(1+'Assumptions and Catalog'!$C$8)^(A838-1),0)</f>
        <v>8554.9666666666672</v>
      </c>
      <c r="N838" s="5">
        <f>IF(ISNUMBER(Inputs!$L$5),(IF(Inputs!$L$9="Actual flat rate",L838*Inputs!$L$10,IF(Inputs!$C$9="Residential",IF(L838&lt;='Assumptions and Catalog'!$C$50,L838*'Assumptions and Catalog'!$H$50+'Assumptions and Catalog'!$E$50+'Assumptions and Catalog'!$F$50,IF(L838&lt;='Assumptions and Catalog'!$C$51,L838*'Assumptions and Catalog'!$H$51+'Assumptions and Catalog'!$E$51+'Assumptions and Catalog'!$F$51,IF(L838&lt;='Assumptions and Catalog'!$C$52,L838*'Assumptions and Catalog'!$H$52+'Assumptions and Catalog'!$E$52+'Assumptions and Catalog'!$F$52,IF(L838&lt;='Assumptions and Catalog'!$C$53,L838*'Assumptions and Catalog'!$H$53+'Assumptions and Catalog'!$E$53+'Assumptions and Catalog'!$F$53,IF(L838&lt;='Assumptions and Catalog'!$C$54,L838*'Assumptions and Catalog'!$H$54+'Assumptions and Catalog'!$E$54+'Assumptions and Catalog'!$F$54,IF(L838&lt;='Assumptions and Catalog'!$C$55,L838*'Assumptions and Catalog'!$H$55+'Assumptions and Catalog'!$E$55+'Assumptions and Catalog'!$F$55,IF(L838&lt;='Assumptions and Catalog'!$C$56,L838*'Assumptions and Catalog'!$H$56+'Assumptions and Catalog'!$E$56+'Assumptions and Catalog'!$F$56,IF(L838&lt;='Assumptions and Catalog'!$C$57,L838*'Assumptions and Catalog'!$H$57+'Assumptions and Catalog'!$E$57+'Assumptions and Catalog'!$F$57,"Out of range")))))))),IF(L838&lt;='Assumptions and Catalog'!$C$60,L838*'Assumptions and Catalog'!$H$60+'Assumptions and Catalog'!$E$60+'Assumptions and Catalog'!$F$60,IF(L838&lt;='Assumptions and Catalog'!$C$61,L838*'Assumptions and Catalog'!$H$61+'Assumptions and Catalog'!$E$61+'Assumptions and Catalog'!$F$61,IF(L838&lt;='Assumptions and Catalog'!$C$62,L838*'Assumptions and Catalog'!$H$62+'Assumptions and Catalog'!$E$62+'Assumptions and Catalog'!$F$62,IF(L838&lt;='Assumptions and Catalog'!$C$63,L838*'Assumptions and Catalog'!$H$63+'Assumptions and Catalog'!$E$63+'Assumptions and Catalog'!$F$63,IF(L838&lt;='Assumptions and Catalog'!$C$64,L838*'Assumptions and Catalog'!$H$64+'Assumptions and Catalog'!$E$64+'Assumptions and Catalog'!$F$64,IF(L838&lt;='Assumptions and Catalog'!$C$65,L838*'Assumptions and Catalog'!$H$65+'Assumptions and Catalog'!$E$65+'Assumptions and Catalog'!$F$65,"Out of range")))))))))*(1+'Assumptions and Catalog'!$C$8)^(A838-1),0)</f>
        <v>5848.143095551527</v>
      </c>
      <c r="O838" s="5">
        <f t="shared" si="59"/>
        <v>2706.8235711151401</v>
      </c>
      <c r="P838" s="5">
        <f>E$55*(1-L$14)*(1-'Assumptions and Catalog'!$C$23)^R838</f>
        <v>94.450499583999999</v>
      </c>
      <c r="Q838" s="5">
        <f>IF(ISNUMBER(Inputs!$L$5),(IF(Inputs!$L$9="Actual flat rate",((D838+E838)*C838-G838)*Inputs!$L$10,IF(Inputs!$C$9="Residential",IF(((D838+E838)*C838-G838)&lt;='Assumptions and Catalog'!$C$50,((D838+E838)*C838-G838)*'Assumptions and Catalog'!$H$50+'Assumptions and Catalog'!$E$50+'Assumptions and Catalog'!$F$50,IF(((D838+E838)*C838-G838)&lt;='Assumptions and Catalog'!$C$51,((D838+E838)*C838-G838)*'Assumptions and Catalog'!$H$51+'Assumptions and Catalog'!$E$51+'Assumptions and Catalog'!$F$51,IF(((D838+E838)*C838-G838)&lt;='Assumptions and Catalog'!$C$52,((D838+E838)*C838-G838)*'Assumptions and Catalog'!$H$52+'Assumptions and Catalog'!$E$52+'Assumptions and Catalog'!$F$52,IF(((D838+E838)*C838-G838)&lt;='Assumptions and Catalog'!$C$53,((D838+E838)*C838-G838)*'Assumptions and Catalog'!$H$53+'Assumptions and Catalog'!$E$53+'Assumptions and Catalog'!$F$53,IF(((D838+E838)*C838-G838)&lt;='Assumptions and Catalog'!$C$54,((D838+E838)*C838-G838)*'Assumptions and Catalog'!$H$54+'Assumptions and Catalog'!$E$54+'Assumptions and Catalog'!$F$54,IF(((D838+E838)*C838-G838)&lt;='Assumptions and Catalog'!$C$55,((D838+E838)*C838-G838)*'Assumptions and Catalog'!$H$55+'Assumptions and Catalog'!$E$55+'Assumptions and Catalog'!$F$55,IF(((D838+E838)*C838-G838)&lt;='Assumptions and Catalog'!$C$56,((D838+E838)*C838-G838)*'Assumptions and Catalog'!$H$56+'Assumptions and Catalog'!$E$56+'Assumptions and Catalog'!$F$56,IF(((D838+E838)*C838-G838)&lt;='Assumptions and Catalog'!$C$57,((D838+E838)*C838-G838)*'Assumptions and Catalog'!$H$57+'Assumptions and Catalog'!$E$57+'Assumptions and Catalog'!$F$57,"Out of range")))))))),IF(((D838+E838)*C838-G838)&lt;='Assumptions and Catalog'!$C$60,((D838+E838)*C838-G838)*'Assumptions and Catalog'!$H$60+'Assumptions and Catalog'!$E$60+'Assumptions and Catalog'!$F$60,IF(((D838+E838)*C838-G838)&lt;='Assumptions and Catalog'!$C$61,((D838+E838)*C838-G838)*'Assumptions and Catalog'!$H$61+'Assumptions and Catalog'!$E$61+'Assumptions and Catalog'!$F$61,IF(((D838+E838)*C838-G838)&lt;='Assumptions and Catalog'!$C$62,((D838+E838)*C838-G838)*'Assumptions and Catalog'!$H$62+'Assumptions and Catalog'!$E$62+'Assumptions and Catalog'!$F$62,IF(((D838+E838)*C838-G838)&lt;='Assumptions and Catalog'!$C$63,((D838+E838)*C838-G838)*'Assumptions and Catalog'!$H$63+'Assumptions and Catalog'!$E$63+'Assumptions and Catalog'!$F$63,IF(((D838+E838)*C838-G838)&lt;='Assumptions and Catalog'!$C$64,((D838+E838)*C838-G838)*'Assumptions and Catalog'!$H$64+'Assumptions and Catalog'!$E$64+'Assumptions and Catalog'!$F$64,IF(((D838+E838)*C838-G838)&lt;='Assumptions and Catalog'!$C$65,((D838+E838)*C838-G838)*'Assumptions and Catalog'!$H$65+'Assumptions and Catalog'!$E$65+'Assumptions and Catalog'!$F$65,"Out of range")))))))))*(1+'Assumptions and Catalog'!$C$8)^(A838-1),0)</f>
        <v>5848.143095551527</v>
      </c>
      <c r="R838" s="5">
        <f>IF(AND('Assumptions and Catalog'!$C$19&gt;0,A838&gt;='Assumptions and Catalog'!$C$19),A838-'Assumptions and Catalog'!$C$19,A838-1)</f>
        <v>4</v>
      </c>
      <c r="S838" s="5">
        <f>F838+L838-(D838+E838)*C838-J838-K838-IF(E$52&gt;0,'Assumptions and Catalog'!$C$26*C838,0)</f>
        <v>0</v>
      </c>
      <c r="T838" s="5"/>
      <c r="U838" s="5"/>
    </row>
    <row r="839" spans="1:21" ht="23.1" customHeight="1" outlineLevel="1" x14ac:dyDescent="0.2">
      <c r="A839" s="5">
        <v>15</v>
      </c>
      <c r="B839" s="5">
        <v>11</v>
      </c>
      <c r="C839" s="5">
        <f>DAY(DATE('Assumptions and Catalog'!$C$24+A839-1,B839+1,0))</f>
        <v>30</v>
      </c>
      <c r="D839" s="5">
        <f>IF(ISNUMBER(Inputs!$L$5),Inputs!$L$5*Inputs!$L$6,0)</f>
        <v>40.35</v>
      </c>
      <c r="E839" s="5">
        <f>IF(ISNUMBER(Inputs!$L$5),Inputs!$L$5-D839,0)</f>
        <v>40.35</v>
      </c>
      <c r="F839" s="5">
        <f>E$51*'Assumptions and Catalog'!$C$31*C839*(1-'Assumptions and Catalog'!$C$10)^(A839-1)</f>
        <v>766.01348912363846</v>
      </c>
      <c r="G839" s="5">
        <f t="shared" si="56"/>
        <v>766.01348912363846</v>
      </c>
      <c r="H839" s="5">
        <f>I839/('Assumptions and Catalog'!$C$11*'Assumptions and Catalog'!$C$12)</f>
        <v>0</v>
      </c>
      <c r="I839" s="5">
        <f>MIN(E839*C839,P839*'Assumptions and Catalog'!$C$12*C839,(F839-G839)*'Assumptions and Catalog'!$C$11*'Assumptions and Catalog'!$C$12,E$56*'Assumptions and Catalog'!$C$14*'Assumptions and Catalog'!$C$11*'Assumptions and Catalog'!$C$12*C839,E$57*(24-'Assumptions and Catalog'!$C$13)*C839)</f>
        <v>0</v>
      </c>
      <c r="J839" s="5">
        <f t="shared" si="57"/>
        <v>0</v>
      </c>
      <c r="K839" s="5">
        <f t="shared" si="58"/>
        <v>0</v>
      </c>
      <c r="L839" s="5">
        <f>(D839+E839)*C839-G839-I839+0+IF(E$52&gt;0,'Assumptions and Catalog'!$C$26*C839,0)</f>
        <v>1654.9865108763615</v>
      </c>
      <c r="M839" s="5">
        <f>IF(ISNUMBER(Inputs!$L$5),(IF(Inputs!$L$9="Actual flat rate",((D839+E839)*C839)*Inputs!$L$10,IF(Inputs!$C$9="Residential",IF(((D839+E839)*C839)&lt;='Assumptions and Catalog'!$C$50,((D839+E839)*C839)*'Assumptions and Catalog'!$H$50+'Assumptions and Catalog'!$E$50+'Assumptions and Catalog'!$F$50,IF(((D839+E839)*C839)&lt;='Assumptions and Catalog'!$C$51,((D839+E839)*C839)*'Assumptions and Catalog'!$H$51+'Assumptions and Catalog'!$E$51+'Assumptions and Catalog'!$F$51,IF(((D839+E839)*C839)&lt;='Assumptions and Catalog'!$C$52,((D839+E839)*C839)*'Assumptions and Catalog'!$H$52+'Assumptions and Catalog'!$E$52+'Assumptions and Catalog'!$F$52,IF(((D839+E839)*C839)&lt;='Assumptions and Catalog'!$C$53,((D839+E839)*C839)*'Assumptions and Catalog'!$H$53+'Assumptions and Catalog'!$E$53+'Assumptions and Catalog'!$F$53,IF(((D839+E839)*C839)&lt;='Assumptions and Catalog'!$C$54,((D839+E839)*C839)*'Assumptions and Catalog'!$H$54+'Assumptions and Catalog'!$E$54+'Assumptions and Catalog'!$F$54,IF(((D839+E839)*C839)&lt;='Assumptions and Catalog'!$C$55,((D839+E839)*C839)*'Assumptions and Catalog'!$H$55+'Assumptions and Catalog'!$E$55+'Assumptions and Catalog'!$F$55,IF(((D839+E839)*C839)&lt;='Assumptions and Catalog'!$C$56,((D839+E839)*C839)*'Assumptions and Catalog'!$H$56+'Assumptions and Catalog'!$E$56+'Assumptions and Catalog'!$F$56,IF(((D839+E839)*C839)&lt;='Assumptions and Catalog'!$C$57,((D839+E839)*C839)*'Assumptions and Catalog'!$H$57+'Assumptions and Catalog'!$E$57+'Assumptions and Catalog'!$F$57,"Out of range")))))))),IF(((D839+E839)*C839)&lt;='Assumptions and Catalog'!$C$60,((D839+E839)*C839)*'Assumptions and Catalog'!$H$60+'Assumptions and Catalog'!$E$60+'Assumptions and Catalog'!$F$60,IF(((D839+E839)*C839)&lt;='Assumptions and Catalog'!$C$61,((D839+E839)*C839)*'Assumptions and Catalog'!$H$61+'Assumptions and Catalog'!$E$61+'Assumptions and Catalog'!$F$61,IF(((D839+E839)*C839)&lt;='Assumptions and Catalog'!$C$62,((D839+E839)*C839)*'Assumptions and Catalog'!$H$62+'Assumptions and Catalog'!$E$62+'Assumptions and Catalog'!$F$62,IF(((D839+E839)*C839)&lt;='Assumptions and Catalog'!$C$63,((D839+E839)*C839)*'Assumptions and Catalog'!$H$63+'Assumptions and Catalog'!$E$63+'Assumptions and Catalog'!$F$63,IF(((D839+E839)*C839)&lt;='Assumptions and Catalog'!$C$64,((D839+E839)*C839)*'Assumptions and Catalog'!$H$64+'Assumptions and Catalog'!$E$64+'Assumptions and Catalog'!$F$64,IF(((D839+E839)*C839)&lt;='Assumptions and Catalog'!$C$65,((D839+E839)*C839)*'Assumptions and Catalog'!$H$65+'Assumptions and Catalog'!$E$65+'Assumptions and Catalog'!$F$65,"Out of range")))))))))*(1+'Assumptions and Catalog'!$C$8)^(A839-1),0)</f>
        <v>8279</v>
      </c>
      <c r="N839" s="5">
        <f>IF(ISNUMBER(Inputs!$L$5),(IF(Inputs!$L$9="Actual flat rate",L839*Inputs!$L$10,IF(Inputs!$C$9="Residential",IF(L839&lt;='Assumptions and Catalog'!$C$50,L839*'Assumptions and Catalog'!$H$50+'Assumptions and Catalog'!$E$50+'Assumptions and Catalog'!$F$50,IF(L839&lt;='Assumptions and Catalog'!$C$51,L839*'Assumptions and Catalog'!$H$51+'Assumptions and Catalog'!$E$51+'Assumptions and Catalog'!$F$51,IF(L839&lt;='Assumptions and Catalog'!$C$52,L839*'Assumptions and Catalog'!$H$52+'Assumptions and Catalog'!$E$52+'Assumptions and Catalog'!$F$52,IF(L839&lt;='Assumptions and Catalog'!$C$53,L839*'Assumptions and Catalog'!$H$53+'Assumptions and Catalog'!$E$53+'Assumptions and Catalog'!$F$53,IF(L839&lt;='Assumptions and Catalog'!$C$54,L839*'Assumptions and Catalog'!$H$54+'Assumptions and Catalog'!$E$54+'Assumptions and Catalog'!$F$54,IF(L839&lt;='Assumptions and Catalog'!$C$55,L839*'Assumptions and Catalog'!$H$55+'Assumptions and Catalog'!$E$55+'Assumptions and Catalog'!$F$55,IF(L839&lt;='Assumptions and Catalog'!$C$56,L839*'Assumptions and Catalog'!$H$56+'Assumptions and Catalog'!$E$56+'Assumptions and Catalog'!$F$56,IF(L839&lt;='Assumptions and Catalog'!$C$57,L839*'Assumptions and Catalog'!$H$57+'Assumptions and Catalog'!$E$57+'Assumptions and Catalog'!$F$57,"Out of range")))))))),IF(L839&lt;='Assumptions and Catalog'!$C$60,L839*'Assumptions and Catalog'!$H$60+'Assumptions and Catalog'!$E$60+'Assumptions and Catalog'!$F$60,IF(L839&lt;='Assumptions and Catalog'!$C$61,L839*'Assumptions and Catalog'!$H$61+'Assumptions and Catalog'!$E$61+'Assumptions and Catalog'!$F$61,IF(L839&lt;='Assumptions and Catalog'!$C$62,L839*'Assumptions and Catalog'!$H$62+'Assumptions and Catalog'!$E$62+'Assumptions and Catalog'!$F$62,IF(L839&lt;='Assumptions and Catalog'!$C$63,L839*'Assumptions and Catalog'!$H$63+'Assumptions and Catalog'!$E$63+'Assumptions and Catalog'!$F$63,IF(L839&lt;='Assumptions and Catalog'!$C$64,L839*'Assumptions and Catalog'!$H$64+'Assumptions and Catalog'!$E$64+'Assumptions and Catalog'!$F$64,IF(L839&lt;='Assumptions and Catalog'!$C$65,L839*'Assumptions and Catalog'!$H$65+'Assumptions and Catalog'!$E$65+'Assumptions and Catalog'!$F$65,"Out of range")))))))))*(1+'Assumptions and Catalog'!$C$8)^(A839-1),0)</f>
        <v>5659.4933182756695</v>
      </c>
      <c r="O839" s="5">
        <f t="shared" si="59"/>
        <v>2619.5066817243305</v>
      </c>
      <c r="P839" s="5">
        <f>E$55*(1-L$14)*(1-'Assumptions and Catalog'!$C$23)^R839</f>
        <v>94.450499583999999</v>
      </c>
      <c r="Q839" s="5">
        <f>IF(ISNUMBER(Inputs!$L$5),(IF(Inputs!$L$9="Actual flat rate",((D839+E839)*C839-G839)*Inputs!$L$10,IF(Inputs!$C$9="Residential",IF(((D839+E839)*C839-G839)&lt;='Assumptions and Catalog'!$C$50,((D839+E839)*C839-G839)*'Assumptions and Catalog'!$H$50+'Assumptions and Catalog'!$E$50+'Assumptions and Catalog'!$F$50,IF(((D839+E839)*C839-G839)&lt;='Assumptions and Catalog'!$C$51,((D839+E839)*C839-G839)*'Assumptions and Catalog'!$H$51+'Assumptions and Catalog'!$E$51+'Assumptions and Catalog'!$F$51,IF(((D839+E839)*C839-G839)&lt;='Assumptions and Catalog'!$C$52,((D839+E839)*C839-G839)*'Assumptions and Catalog'!$H$52+'Assumptions and Catalog'!$E$52+'Assumptions and Catalog'!$F$52,IF(((D839+E839)*C839-G839)&lt;='Assumptions and Catalog'!$C$53,((D839+E839)*C839-G839)*'Assumptions and Catalog'!$H$53+'Assumptions and Catalog'!$E$53+'Assumptions and Catalog'!$F$53,IF(((D839+E839)*C839-G839)&lt;='Assumptions and Catalog'!$C$54,((D839+E839)*C839-G839)*'Assumptions and Catalog'!$H$54+'Assumptions and Catalog'!$E$54+'Assumptions and Catalog'!$F$54,IF(((D839+E839)*C839-G839)&lt;='Assumptions and Catalog'!$C$55,((D839+E839)*C839-G839)*'Assumptions and Catalog'!$H$55+'Assumptions and Catalog'!$E$55+'Assumptions and Catalog'!$F$55,IF(((D839+E839)*C839-G839)&lt;='Assumptions and Catalog'!$C$56,((D839+E839)*C839-G839)*'Assumptions and Catalog'!$H$56+'Assumptions and Catalog'!$E$56+'Assumptions and Catalog'!$F$56,IF(((D839+E839)*C839-G839)&lt;='Assumptions and Catalog'!$C$57,((D839+E839)*C839-G839)*'Assumptions and Catalog'!$H$57+'Assumptions and Catalog'!$E$57+'Assumptions and Catalog'!$F$57,"Out of range")))))))),IF(((D839+E839)*C839-G839)&lt;='Assumptions and Catalog'!$C$60,((D839+E839)*C839-G839)*'Assumptions and Catalog'!$H$60+'Assumptions and Catalog'!$E$60+'Assumptions and Catalog'!$F$60,IF(((D839+E839)*C839-G839)&lt;='Assumptions and Catalog'!$C$61,((D839+E839)*C839-G839)*'Assumptions and Catalog'!$H$61+'Assumptions and Catalog'!$E$61+'Assumptions and Catalog'!$F$61,IF(((D839+E839)*C839-G839)&lt;='Assumptions and Catalog'!$C$62,((D839+E839)*C839-G839)*'Assumptions and Catalog'!$H$62+'Assumptions and Catalog'!$E$62+'Assumptions and Catalog'!$F$62,IF(((D839+E839)*C839-G839)&lt;='Assumptions and Catalog'!$C$63,((D839+E839)*C839-G839)*'Assumptions and Catalog'!$H$63+'Assumptions and Catalog'!$E$63+'Assumptions and Catalog'!$F$63,IF(((D839+E839)*C839-G839)&lt;='Assumptions and Catalog'!$C$64,((D839+E839)*C839-G839)*'Assumptions and Catalog'!$H$64+'Assumptions and Catalog'!$E$64+'Assumptions and Catalog'!$F$64,IF(((D839+E839)*C839-G839)&lt;='Assumptions and Catalog'!$C$65,((D839+E839)*C839-G839)*'Assumptions and Catalog'!$H$65+'Assumptions and Catalog'!$E$65+'Assumptions and Catalog'!$F$65,"Out of range")))))))))*(1+'Assumptions and Catalog'!$C$8)^(A839-1),0)</f>
        <v>5659.4933182756695</v>
      </c>
      <c r="R839" s="5">
        <f>IF(AND('Assumptions and Catalog'!$C$19&gt;0,A839&gt;='Assumptions and Catalog'!$C$19),A839-'Assumptions and Catalog'!$C$19,A839-1)</f>
        <v>4</v>
      </c>
      <c r="S839" s="5">
        <f>F839+L839-(D839+E839)*C839-J839-K839-IF(E$52&gt;0,'Assumptions and Catalog'!$C$26*C839,0)</f>
        <v>0</v>
      </c>
      <c r="T839" s="5"/>
      <c r="U839" s="5"/>
    </row>
    <row r="840" spans="1:21" ht="23.1" customHeight="1" outlineLevel="1" x14ac:dyDescent="0.2">
      <c r="A840" s="5">
        <v>15</v>
      </c>
      <c r="B840" s="5">
        <v>12</v>
      </c>
      <c r="C840" s="5">
        <f>DAY(DATE('Assumptions and Catalog'!$C$24+A840-1,B840+1,0))</f>
        <v>31</v>
      </c>
      <c r="D840" s="5">
        <f>IF(ISNUMBER(Inputs!$L$5),Inputs!$L$5*Inputs!$L$6,0)</f>
        <v>40.35</v>
      </c>
      <c r="E840" s="5">
        <f>IF(ISNUMBER(Inputs!$L$5),Inputs!$L$5-D840,0)</f>
        <v>40.35</v>
      </c>
      <c r="F840" s="5">
        <f>E$51*'Assumptions and Catalog'!$C$31*C840*(1-'Assumptions and Catalog'!$C$10)^(A840-1)</f>
        <v>791.54727209442638</v>
      </c>
      <c r="G840" s="5">
        <f t="shared" si="56"/>
        <v>791.54727209442638</v>
      </c>
      <c r="H840" s="5">
        <f>I840/('Assumptions and Catalog'!$C$11*'Assumptions and Catalog'!$C$12)</f>
        <v>0</v>
      </c>
      <c r="I840" s="5">
        <f>MIN(E840*C840,P840*'Assumptions and Catalog'!$C$12*C840,(F840-G840)*'Assumptions and Catalog'!$C$11*'Assumptions and Catalog'!$C$12,E$56*'Assumptions and Catalog'!$C$14*'Assumptions and Catalog'!$C$11*'Assumptions and Catalog'!$C$12*C840,E$57*(24-'Assumptions and Catalog'!$C$13)*C840)</f>
        <v>0</v>
      </c>
      <c r="J840" s="5">
        <f t="shared" si="57"/>
        <v>0</v>
      </c>
      <c r="K840" s="5">
        <f t="shared" si="58"/>
        <v>0</v>
      </c>
      <c r="L840" s="5">
        <f>(D840+E840)*C840-G840-I840+0+IF(E$52&gt;0,'Assumptions and Catalog'!$C$26*C840,0)</f>
        <v>1710.152727905574</v>
      </c>
      <c r="M840" s="5">
        <f>IF(ISNUMBER(Inputs!$L$5),(IF(Inputs!$L$9="Actual flat rate",((D840+E840)*C840)*Inputs!$L$10,IF(Inputs!$C$9="Residential",IF(((D840+E840)*C840)&lt;='Assumptions and Catalog'!$C$50,((D840+E840)*C840)*'Assumptions and Catalog'!$H$50+'Assumptions and Catalog'!$E$50+'Assumptions and Catalog'!$F$50,IF(((D840+E840)*C840)&lt;='Assumptions and Catalog'!$C$51,((D840+E840)*C840)*'Assumptions and Catalog'!$H$51+'Assumptions and Catalog'!$E$51+'Assumptions and Catalog'!$F$51,IF(((D840+E840)*C840)&lt;='Assumptions and Catalog'!$C$52,((D840+E840)*C840)*'Assumptions and Catalog'!$H$52+'Assumptions and Catalog'!$E$52+'Assumptions and Catalog'!$F$52,IF(((D840+E840)*C840)&lt;='Assumptions and Catalog'!$C$53,((D840+E840)*C840)*'Assumptions and Catalog'!$H$53+'Assumptions and Catalog'!$E$53+'Assumptions and Catalog'!$F$53,IF(((D840+E840)*C840)&lt;='Assumptions and Catalog'!$C$54,((D840+E840)*C840)*'Assumptions and Catalog'!$H$54+'Assumptions and Catalog'!$E$54+'Assumptions and Catalog'!$F$54,IF(((D840+E840)*C840)&lt;='Assumptions and Catalog'!$C$55,((D840+E840)*C840)*'Assumptions and Catalog'!$H$55+'Assumptions and Catalog'!$E$55+'Assumptions and Catalog'!$F$55,IF(((D840+E840)*C840)&lt;='Assumptions and Catalog'!$C$56,((D840+E840)*C840)*'Assumptions and Catalog'!$H$56+'Assumptions and Catalog'!$E$56+'Assumptions and Catalog'!$F$56,IF(((D840+E840)*C840)&lt;='Assumptions and Catalog'!$C$57,((D840+E840)*C840)*'Assumptions and Catalog'!$H$57+'Assumptions and Catalog'!$E$57+'Assumptions and Catalog'!$F$57,"Out of range")))))))),IF(((D840+E840)*C840)&lt;='Assumptions and Catalog'!$C$60,((D840+E840)*C840)*'Assumptions and Catalog'!$H$60+'Assumptions and Catalog'!$E$60+'Assumptions and Catalog'!$F$60,IF(((D840+E840)*C840)&lt;='Assumptions and Catalog'!$C$61,((D840+E840)*C840)*'Assumptions and Catalog'!$H$61+'Assumptions and Catalog'!$E$61+'Assumptions and Catalog'!$F$61,IF(((D840+E840)*C840)&lt;='Assumptions and Catalog'!$C$62,((D840+E840)*C840)*'Assumptions and Catalog'!$H$62+'Assumptions and Catalog'!$E$62+'Assumptions and Catalog'!$F$62,IF(((D840+E840)*C840)&lt;='Assumptions and Catalog'!$C$63,((D840+E840)*C840)*'Assumptions and Catalog'!$H$63+'Assumptions and Catalog'!$E$63+'Assumptions and Catalog'!$F$63,IF(((D840+E840)*C840)&lt;='Assumptions and Catalog'!$C$64,((D840+E840)*C840)*'Assumptions and Catalog'!$H$64+'Assumptions and Catalog'!$E$64+'Assumptions and Catalog'!$F$64,IF(((D840+E840)*C840)&lt;='Assumptions and Catalog'!$C$65,((D840+E840)*C840)*'Assumptions and Catalog'!$H$65+'Assumptions and Catalog'!$E$65+'Assumptions and Catalog'!$F$65,"Out of range")))))))))*(1+'Assumptions and Catalog'!$C$8)^(A840-1),0)</f>
        <v>8554.9666666666672</v>
      </c>
      <c r="N840" s="5">
        <f>IF(ISNUMBER(Inputs!$L$5),(IF(Inputs!$L$9="Actual flat rate",L840*Inputs!$L$10,IF(Inputs!$C$9="Residential",IF(L840&lt;='Assumptions and Catalog'!$C$50,L840*'Assumptions and Catalog'!$H$50+'Assumptions and Catalog'!$E$50+'Assumptions and Catalog'!$F$50,IF(L840&lt;='Assumptions and Catalog'!$C$51,L840*'Assumptions and Catalog'!$H$51+'Assumptions and Catalog'!$E$51+'Assumptions and Catalog'!$F$51,IF(L840&lt;='Assumptions and Catalog'!$C$52,L840*'Assumptions and Catalog'!$H$52+'Assumptions and Catalog'!$E$52+'Assumptions and Catalog'!$F$52,IF(L840&lt;='Assumptions and Catalog'!$C$53,L840*'Assumptions and Catalog'!$H$53+'Assumptions and Catalog'!$E$53+'Assumptions and Catalog'!$F$53,IF(L840&lt;='Assumptions and Catalog'!$C$54,L840*'Assumptions and Catalog'!$H$54+'Assumptions and Catalog'!$E$54+'Assumptions and Catalog'!$F$54,IF(L840&lt;='Assumptions and Catalog'!$C$55,L840*'Assumptions and Catalog'!$H$55+'Assumptions and Catalog'!$E$55+'Assumptions and Catalog'!$F$55,IF(L840&lt;='Assumptions and Catalog'!$C$56,L840*'Assumptions and Catalog'!$H$56+'Assumptions and Catalog'!$E$56+'Assumptions and Catalog'!$F$56,IF(L840&lt;='Assumptions and Catalog'!$C$57,L840*'Assumptions and Catalog'!$H$57+'Assumptions and Catalog'!$E$57+'Assumptions and Catalog'!$F$57,"Out of range")))))))),IF(L840&lt;='Assumptions and Catalog'!$C$60,L840*'Assumptions and Catalog'!$H$60+'Assumptions and Catalog'!$E$60+'Assumptions and Catalog'!$F$60,IF(L840&lt;='Assumptions and Catalog'!$C$61,L840*'Assumptions and Catalog'!$H$61+'Assumptions and Catalog'!$E$61+'Assumptions and Catalog'!$F$61,IF(L840&lt;='Assumptions and Catalog'!$C$62,L840*'Assumptions and Catalog'!$H$62+'Assumptions and Catalog'!$E$62+'Assumptions and Catalog'!$F$62,IF(L840&lt;='Assumptions and Catalog'!$C$63,L840*'Assumptions and Catalog'!$H$63+'Assumptions and Catalog'!$E$63+'Assumptions and Catalog'!$F$63,IF(L840&lt;='Assumptions and Catalog'!$C$64,L840*'Assumptions and Catalog'!$H$64+'Assumptions and Catalog'!$E$64+'Assumptions and Catalog'!$F$64,IF(L840&lt;='Assumptions and Catalog'!$C$65,L840*'Assumptions and Catalog'!$H$65+'Assumptions and Catalog'!$E$65+'Assumptions and Catalog'!$F$65,"Out of range")))))))))*(1+'Assumptions and Catalog'!$C$8)^(A840-1),0)</f>
        <v>5848.143095551527</v>
      </c>
      <c r="O840" s="5">
        <f t="shared" si="59"/>
        <v>2706.8235711151401</v>
      </c>
      <c r="P840" s="5">
        <f>E$55*(1-L$14)*(1-'Assumptions and Catalog'!$C$23)^R840</f>
        <v>94.450499583999999</v>
      </c>
      <c r="Q840" s="5">
        <f>IF(ISNUMBER(Inputs!$L$5),(IF(Inputs!$L$9="Actual flat rate",((D840+E840)*C840-G840)*Inputs!$L$10,IF(Inputs!$C$9="Residential",IF(((D840+E840)*C840-G840)&lt;='Assumptions and Catalog'!$C$50,((D840+E840)*C840-G840)*'Assumptions and Catalog'!$H$50+'Assumptions and Catalog'!$E$50+'Assumptions and Catalog'!$F$50,IF(((D840+E840)*C840-G840)&lt;='Assumptions and Catalog'!$C$51,((D840+E840)*C840-G840)*'Assumptions and Catalog'!$H$51+'Assumptions and Catalog'!$E$51+'Assumptions and Catalog'!$F$51,IF(((D840+E840)*C840-G840)&lt;='Assumptions and Catalog'!$C$52,((D840+E840)*C840-G840)*'Assumptions and Catalog'!$H$52+'Assumptions and Catalog'!$E$52+'Assumptions and Catalog'!$F$52,IF(((D840+E840)*C840-G840)&lt;='Assumptions and Catalog'!$C$53,((D840+E840)*C840-G840)*'Assumptions and Catalog'!$H$53+'Assumptions and Catalog'!$E$53+'Assumptions and Catalog'!$F$53,IF(((D840+E840)*C840-G840)&lt;='Assumptions and Catalog'!$C$54,((D840+E840)*C840-G840)*'Assumptions and Catalog'!$H$54+'Assumptions and Catalog'!$E$54+'Assumptions and Catalog'!$F$54,IF(((D840+E840)*C840-G840)&lt;='Assumptions and Catalog'!$C$55,((D840+E840)*C840-G840)*'Assumptions and Catalog'!$H$55+'Assumptions and Catalog'!$E$55+'Assumptions and Catalog'!$F$55,IF(((D840+E840)*C840-G840)&lt;='Assumptions and Catalog'!$C$56,((D840+E840)*C840-G840)*'Assumptions and Catalog'!$H$56+'Assumptions and Catalog'!$E$56+'Assumptions and Catalog'!$F$56,IF(((D840+E840)*C840-G840)&lt;='Assumptions and Catalog'!$C$57,((D840+E840)*C840-G840)*'Assumptions and Catalog'!$H$57+'Assumptions and Catalog'!$E$57+'Assumptions and Catalog'!$F$57,"Out of range")))))))),IF(((D840+E840)*C840-G840)&lt;='Assumptions and Catalog'!$C$60,((D840+E840)*C840-G840)*'Assumptions and Catalog'!$H$60+'Assumptions and Catalog'!$E$60+'Assumptions and Catalog'!$F$60,IF(((D840+E840)*C840-G840)&lt;='Assumptions and Catalog'!$C$61,((D840+E840)*C840-G840)*'Assumptions and Catalog'!$H$61+'Assumptions and Catalog'!$E$61+'Assumptions and Catalog'!$F$61,IF(((D840+E840)*C840-G840)&lt;='Assumptions and Catalog'!$C$62,((D840+E840)*C840-G840)*'Assumptions and Catalog'!$H$62+'Assumptions and Catalog'!$E$62+'Assumptions and Catalog'!$F$62,IF(((D840+E840)*C840-G840)&lt;='Assumptions and Catalog'!$C$63,((D840+E840)*C840-G840)*'Assumptions and Catalog'!$H$63+'Assumptions and Catalog'!$E$63+'Assumptions and Catalog'!$F$63,IF(((D840+E840)*C840-G840)&lt;='Assumptions and Catalog'!$C$64,((D840+E840)*C840-G840)*'Assumptions and Catalog'!$H$64+'Assumptions and Catalog'!$E$64+'Assumptions and Catalog'!$F$64,IF(((D840+E840)*C840-G840)&lt;='Assumptions and Catalog'!$C$65,((D840+E840)*C840-G840)*'Assumptions and Catalog'!$H$65+'Assumptions and Catalog'!$E$65+'Assumptions and Catalog'!$F$65,"Out of range")))))))))*(1+'Assumptions and Catalog'!$C$8)^(A840-1),0)</f>
        <v>5848.143095551527</v>
      </c>
      <c r="R840" s="5">
        <f>IF(AND('Assumptions and Catalog'!$C$19&gt;0,A840&gt;='Assumptions and Catalog'!$C$19),A840-'Assumptions and Catalog'!$C$19,A840-1)</f>
        <v>4</v>
      </c>
      <c r="S840" s="5">
        <f>F840+L840-(D840+E840)*C840-J840-K840-IF(E$52&gt;0,'Assumptions and Catalog'!$C$26*C840,0)</f>
        <v>0</v>
      </c>
      <c r="T840" s="5"/>
      <c r="U840" s="5"/>
    </row>
    <row r="841" spans="1:21" ht="23.1" customHeight="1" outlineLevel="1" x14ac:dyDescent="0.2">
      <c r="A841" s="5">
        <v>16</v>
      </c>
      <c r="B841" s="5">
        <v>1</v>
      </c>
      <c r="C841" s="5">
        <f>DAY(DATE('Assumptions and Catalog'!$C$24+A841-1,B841+1,0))</f>
        <v>31</v>
      </c>
      <c r="D841" s="5">
        <f>IF(ISNUMBER(Inputs!$L$5),Inputs!$L$5*Inputs!$L$6,0)</f>
        <v>40.35</v>
      </c>
      <c r="E841" s="5">
        <f>IF(ISNUMBER(Inputs!$L$5),Inputs!$L$5-D841,0)</f>
        <v>40.35</v>
      </c>
      <c r="F841" s="5">
        <f>E$51*'Assumptions and Catalog'!$C$31*C841*(1-'Assumptions and Catalog'!$C$10)^(A841-1)</f>
        <v>787.58953573395422</v>
      </c>
      <c r="G841" s="5">
        <f t="shared" si="56"/>
        <v>787.58953573395422</v>
      </c>
      <c r="H841" s="5">
        <f>I841/('Assumptions and Catalog'!$C$11*'Assumptions and Catalog'!$C$12)</f>
        <v>0</v>
      </c>
      <c r="I841" s="5">
        <f>MIN(E841*C841,P841*'Assumptions and Catalog'!$C$12*C841,(F841-G841)*'Assumptions and Catalog'!$C$11*'Assumptions and Catalog'!$C$12,E$56*'Assumptions and Catalog'!$C$14*'Assumptions and Catalog'!$C$11*'Assumptions and Catalog'!$C$12*C841,E$57*(24-'Assumptions and Catalog'!$C$13)*C841)</f>
        <v>0</v>
      </c>
      <c r="J841" s="5">
        <f t="shared" si="57"/>
        <v>0</v>
      </c>
      <c r="K841" s="5">
        <f t="shared" si="58"/>
        <v>0</v>
      </c>
      <c r="L841" s="5">
        <f>(D841+E841)*C841-G841-I841+0+IF(E$52&gt;0,'Assumptions and Catalog'!$C$26*C841,0)</f>
        <v>1714.1104642660462</v>
      </c>
      <c r="M841" s="5">
        <f>IF(ISNUMBER(Inputs!$L$5),(IF(Inputs!$L$9="Actual flat rate",((D841+E841)*C841)*Inputs!$L$10,IF(Inputs!$C$9="Residential",IF(((D841+E841)*C841)&lt;='Assumptions and Catalog'!$C$50,((D841+E841)*C841)*'Assumptions and Catalog'!$H$50+'Assumptions and Catalog'!$E$50+'Assumptions and Catalog'!$F$50,IF(((D841+E841)*C841)&lt;='Assumptions and Catalog'!$C$51,((D841+E841)*C841)*'Assumptions and Catalog'!$H$51+'Assumptions and Catalog'!$E$51+'Assumptions and Catalog'!$F$51,IF(((D841+E841)*C841)&lt;='Assumptions and Catalog'!$C$52,((D841+E841)*C841)*'Assumptions and Catalog'!$H$52+'Assumptions and Catalog'!$E$52+'Assumptions and Catalog'!$F$52,IF(((D841+E841)*C841)&lt;='Assumptions and Catalog'!$C$53,((D841+E841)*C841)*'Assumptions and Catalog'!$H$53+'Assumptions and Catalog'!$E$53+'Assumptions and Catalog'!$F$53,IF(((D841+E841)*C841)&lt;='Assumptions and Catalog'!$C$54,((D841+E841)*C841)*'Assumptions and Catalog'!$H$54+'Assumptions and Catalog'!$E$54+'Assumptions and Catalog'!$F$54,IF(((D841+E841)*C841)&lt;='Assumptions and Catalog'!$C$55,((D841+E841)*C841)*'Assumptions and Catalog'!$H$55+'Assumptions and Catalog'!$E$55+'Assumptions and Catalog'!$F$55,IF(((D841+E841)*C841)&lt;='Assumptions and Catalog'!$C$56,((D841+E841)*C841)*'Assumptions and Catalog'!$H$56+'Assumptions and Catalog'!$E$56+'Assumptions and Catalog'!$F$56,IF(((D841+E841)*C841)&lt;='Assumptions and Catalog'!$C$57,((D841+E841)*C841)*'Assumptions and Catalog'!$H$57+'Assumptions and Catalog'!$E$57+'Assumptions and Catalog'!$F$57,"Out of range")))))))),IF(((D841+E841)*C841)&lt;='Assumptions and Catalog'!$C$60,((D841+E841)*C841)*'Assumptions and Catalog'!$H$60+'Assumptions and Catalog'!$E$60+'Assumptions and Catalog'!$F$60,IF(((D841+E841)*C841)&lt;='Assumptions and Catalog'!$C$61,((D841+E841)*C841)*'Assumptions and Catalog'!$H$61+'Assumptions and Catalog'!$E$61+'Assumptions and Catalog'!$F$61,IF(((D841+E841)*C841)&lt;='Assumptions and Catalog'!$C$62,((D841+E841)*C841)*'Assumptions and Catalog'!$H$62+'Assumptions and Catalog'!$E$62+'Assumptions and Catalog'!$F$62,IF(((D841+E841)*C841)&lt;='Assumptions and Catalog'!$C$63,((D841+E841)*C841)*'Assumptions and Catalog'!$H$63+'Assumptions and Catalog'!$E$63+'Assumptions and Catalog'!$F$63,IF(((D841+E841)*C841)&lt;='Assumptions and Catalog'!$C$64,((D841+E841)*C841)*'Assumptions and Catalog'!$H$64+'Assumptions and Catalog'!$E$64+'Assumptions and Catalog'!$F$64,IF(((D841+E841)*C841)&lt;='Assumptions and Catalog'!$C$65,((D841+E841)*C841)*'Assumptions and Catalog'!$H$65+'Assumptions and Catalog'!$E$65+'Assumptions and Catalog'!$F$65,"Out of range")))))))))*(1+'Assumptions and Catalog'!$C$8)^(A841-1),0)</f>
        <v>8554.9666666666672</v>
      </c>
      <c r="N841" s="5">
        <f>IF(ISNUMBER(Inputs!$L$5),(IF(Inputs!$L$9="Actual flat rate",L841*Inputs!$L$10,IF(Inputs!$C$9="Residential",IF(L841&lt;='Assumptions and Catalog'!$C$50,L841*'Assumptions and Catalog'!$H$50+'Assumptions and Catalog'!$E$50+'Assumptions and Catalog'!$F$50,IF(L841&lt;='Assumptions and Catalog'!$C$51,L841*'Assumptions and Catalog'!$H$51+'Assumptions and Catalog'!$E$51+'Assumptions and Catalog'!$F$51,IF(L841&lt;='Assumptions and Catalog'!$C$52,L841*'Assumptions and Catalog'!$H$52+'Assumptions and Catalog'!$E$52+'Assumptions and Catalog'!$F$52,IF(L841&lt;='Assumptions and Catalog'!$C$53,L841*'Assumptions and Catalog'!$H$53+'Assumptions and Catalog'!$E$53+'Assumptions and Catalog'!$F$53,IF(L841&lt;='Assumptions and Catalog'!$C$54,L841*'Assumptions and Catalog'!$H$54+'Assumptions and Catalog'!$E$54+'Assumptions and Catalog'!$F$54,IF(L841&lt;='Assumptions and Catalog'!$C$55,L841*'Assumptions and Catalog'!$H$55+'Assumptions and Catalog'!$E$55+'Assumptions and Catalog'!$F$55,IF(L841&lt;='Assumptions and Catalog'!$C$56,L841*'Assumptions and Catalog'!$H$56+'Assumptions and Catalog'!$E$56+'Assumptions and Catalog'!$F$56,IF(L841&lt;='Assumptions and Catalog'!$C$57,L841*'Assumptions and Catalog'!$H$57+'Assumptions and Catalog'!$E$57+'Assumptions and Catalog'!$F$57,"Out of range")))))))),IF(L841&lt;='Assumptions and Catalog'!$C$60,L841*'Assumptions and Catalog'!$H$60+'Assumptions and Catalog'!$E$60+'Assumptions and Catalog'!$F$60,IF(L841&lt;='Assumptions and Catalog'!$C$61,L841*'Assumptions and Catalog'!$H$61+'Assumptions and Catalog'!$E$61+'Assumptions and Catalog'!$F$61,IF(L841&lt;='Assumptions and Catalog'!$C$62,L841*'Assumptions and Catalog'!$H$62+'Assumptions and Catalog'!$E$62+'Assumptions and Catalog'!$F$62,IF(L841&lt;='Assumptions and Catalog'!$C$63,L841*'Assumptions and Catalog'!$H$63+'Assumptions and Catalog'!$E$63+'Assumptions and Catalog'!$F$63,IF(L841&lt;='Assumptions and Catalog'!$C$64,L841*'Assumptions and Catalog'!$H$64+'Assumptions and Catalog'!$E$64+'Assumptions and Catalog'!$F$64,IF(L841&lt;='Assumptions and Catalog'!$C$65,L841*'Assumptions and Catalog'!$H$65+'Assumptions and Catalog'!$E$65+'Assumptions and Catalog'!$F$65,"Out of range")))))))))*(1+'Assumptions and Catalog'!$C$8)^(A841-1),0)</f>
        <v>5861.6772134071025</v>
      </c>
      <c r="O841" s="5">
        <f t="shared" si="59"/>
        <v>2693.2894532595647</v>
      </c>
      <c r="P841" s="5">
        <f>E$55*(1-L$14)*(1-'Assumptions and Catalog'!$C$23)^R841</f>
        <v>92.561489592319987</v>
      </c>
      <c r="Q841" s="5">
        <f>IF(ISNUMBER(Inputs!$L$5),(IF(Inputs!$L$9="Actual flat rate",((D841+E841)*C841-G841)*Inputs!$L$10,IF(Inputs!$C$9="Residential",IF(((D841+E841)*C841-G841)&lt;='Assumptions and Catalog'!$C$50,((D841+E841)*C841-G841)*'Assumptions and Catalog'!$H$50+'Assumptions and Catalog'!$E$50+'Assumptions and Catalog'!$F$50,IF(((D841+E841)*C841-G841)&lt;='Assumptions and Catalog'!$C$51,((D841+E841)*C841-G841)*'Assumptions and Catalog'!$H$51+'Assumptions and Catalog'!$E$51+'Assumptions and Catalog'!$F$51,IF(((D841+E841)*C841-G841)&lt;='Assumptions and Catalog'!$C$52,((D841+E841)*C841-G841)*'Assumptions and Catalog'!$H$52+'Assumptions and Catalog'!$E$52+'Assumptions and Catalog'!$F$52,IF(((D841+E841)*C841-G841)&lt;='Assumptions and Catalog'!$C$53,((D841+E841)*C841-G841)*'Assumptions and Catalog'!$H$53+'Assumptions and Catalog'!$E$53+'Assumptions and Catalog'!$F$53,IF(((D841+E841)*C841-G841)&lt;='Assumptions and Catalog'!$C$54,((D841+E841)*C841-G841)*'Assumptions and Catalog'!$H$54+'Assumptions and Catalog'!$E$54+'Assumptions and Catalog'!$F$54,IF(((D841+E841)*C841-G841)&lt;='Assumptions and Catalog'!$C$55,((D841+E841)*C841-G841)*'Assumptions and Catalog'!$H$55+'Assumptions and Catalog'!$E$55+'Assumptions and Catalog'!$F$55,IF(((D841+E841)*C841-G841)&lt;='Assumptions and Catalog'!$C$56,((D841+E841)*C841-G841)*'Assumptions and Catalog'!$H$56+'Assumptions and Catalog'!$E$56+'Assumptions and Catalog'!$F$56,IF(((D841+E841)*C841-G841)&lt;='Assumptions and Catalog'!$C$57,((D841+E841)*C841-G841)*'Assumptions and Catalog'!$H$57+'Assumptions and Catalog'!$E$57+'Assumptions and Catalog'!$F$57,"Out of range")))))))),IF(((D841+E841)*C841-G841)&lt;='Assumptions and Catalog'!$C$60,((D841+E841)*C841-G841)*'Assumptions and Catalog'!$H$60+'Assumptions and Catalog'!$E$60+'Assumptions and Catalog'!$F$60,IF(((D841+E841)*C841-G841)&lt;='Assumptions and Catalog'!$C$61,((D841+E841)*C841-G841)*'Assumptions and Catalog'!$H$61+'Assumptions and Catalog'!$E$61+'Assumptions and Catalog'!$F$61,IF(((D841+E841)*C841-G841)&lt;='Assumptions and Catalog'!$C$62,((D841+E841)*C841-G841)*'Assumptions and Catalog'!$H$62+'Assumptions and Catalog'!$E$62+'Assumptions and Catalog'!$F$62,IF(((D841+E841)*C841-G841)&lt;='Assumptions and Catalog'!$C$63,((D841+E841)*C841-G841)*'Assumptions and Catalog'!$H$63+'Assumptions and Catalog'!$E$63+'Assumptions and Catalog'!$F$63,IF(((D841+E841)*C841-G841)&lt;='Assumptions and Catalog'!$C$64,((D841+E841)*C841-G841)*'Assumptions and Catalog'!$H$64+'Assumptions and Catalog'!$E$64+'Assumptions and Catalog'!$F$64,IF(((D841+E841)*C841-G841)&lt;='Assumptions and Catalog'!$C$65,((D841+E841)*C841-G841)*'Assumptions and Catalog'!$H$65+'Assumptions and Catalog'!$E$65+'Assumptions and Catalog'!$F$65,"Out of range")))))))))*(1+'Assumptions and Catalog'!$C$8)^(A841-1),0)</f>
        <v>5861.6772134071025</v>
      </c>
      <c r="R841" s="5">
        <f>IF(AND('Assumptions and Catalog'!$C$19&gt;0,A841&gt;='Assumptions and Catalog'!$C$19),A841-'Assumptions and Catalog'!$C$19,A841-1)</f>
        <v>5</v>
      </c>
      <c r="S841" s="5">
        <f>F841+L841-(D841+E841)*C841-J841-K841-IF(E$52&gt;0,'Assumptions and Catalog'!$C$26*C841,0)</f>
        <v>0</v>
      </c>
      <c r="T841" s="5"/>
      <c r="U841" s="5"/>
    </row>
    <row r="842" spans="1:21" ht="23.1" customHeight="1" outlineLevel="1" x14ac:dyDescent="0.2">
      <c r="A842" s="5">
        <v>16</v>
      </c>
      <c r="B842" s="5">
        <v>2</v>
      </c>
      <c r="C842" s="5">
        <f>DAY(DATE('Assumptions and Catalog'!$C$24+A842-1,B842+1,0))</f>
        <v>28</v>
      </c>
      <c r="D842" s="5">
        <f>IF(ISNUMBER(Inputs!$L$5),Inputs!$L$5*Inputs!$L$6,0)</f>
        <v>40.35</v>
      </c>
      <c r="E842" s="5">
        <f>IF(ISNUMBER(Inputs!$L$5),Inputs!$L$5-D842,0)</f>
        <v>40.35</v>
      </c>
      <c r="F842" s="5">
        <f>E$51*'Assumptions and Catalog'!$C$31*C842*(1-'Assumptions and Catalog'!$C$10)^(A842-1)</f>
        <v>711.37119356615221</v>
      </c>
      <c r="G842" s="5">
        <f t="shared" si="56"/>
        <v>711.37119356615221</v>
      </c>
      <c r="H842" s="5">
        <f>I842/('Assumptions and Catalog'!$C$11*'Assumptions and Catalog'!$C$12)</f>
        <v>0</v>
      </c>
      <c r="I842" s="5">
        <f>MIN(E842*C842,P842*'Assumptions and Catalog'!$C$12*C842,(F842-G842)*'Assumptions and Catalog'!$C$11*'Assumptions and Catalog'!$C$12,E$56*'Assumptions and Catalog'!$C$14*'Assumptions and Catalog'!$C$11*'Assumptions and Catalog'!$C$12*C842,E$57*(24-'Assumptions and Catalog'!$C$13)*C842)</f>
        <v>0</v>
      </c>
      <c r="J842" s="5">
        <f t="shared" si="57"/>
        <v>0</v>
      </c>
      <c r="K842" s="5">
        <f t="shared" si="58"/>
        <v>0</v>
      </c>
      <c r="L842" s="5">
        <f>(D842+E842)*C842-G842-I842+0+IF(E$52&gt;0,'Assumptions and Catalog'!$C$26*C842,0)</f>
        <v>1548.2288064338477</v>
      </c>
      <c r="M842" s="5">
        <f>IF(ISNUMBER(Inputs!$L$5),(IF(Inputs!$L$9="Actual flat rate",((D842+E842)*C842)*Inputs!$L$10,IF(Inputs!$C$9="Residential",IF(((D842+E842)*C842)&lt;='Assumptions and Catalog'!$C$50,((D842+E842)*C842)*'Assumptions and Catalog'!$H$50+'Assumptions and Catalog'!$E$50+'Assumptions and Catalog'!$F$50,IF(((D842+E842)*C842)&lt;='Assumptions and Catalog'!$C$51,((D842+E842)*C842)*'Assumptions and Catalog'!$H$51+'Assumptions and Catalog'!$E$51+'Assumptions and Catalog'!$F$51,IF(((D842+E842)*C842)&lt;='Assumptions and Catalog'!$C$52,((D842+E842)*C842)*'Assumptions and Catalog'!$H$52+'Assumptions and Catalog'!$E$52+'Assumptions and Catalog'!$F$52,IF(((D842+E842)*C842)&lt;='Assumptions and Catalog'!$C$53,((D842+E842)*C842)*'Assumptions and Catalog'!$H$53+'Assumptions and Catalog'!$E$53+'Assumptions and Catalog'!$F$53,IF(((D842+E842)*C842)&lt;='Assumptions and Catalog'!$C$54,((D842+E842)*C842)*'Assumptions and Catalog'!$H$54+'Assumptions and Catalog'!$E$54+'Assumptions and Catalog'!$F$54,IF(((D842+E842)*C842)&lt;='Assumptions and Catalog'!$C$55,((D842+E842)*C842)*'Assumptions and Catalog'!$H$55+'Assumptions and Catalog'!$E$55+'Assumptions and Catalog'!$F$55,IF(((D842+E842)*C842)&lt;='Assumptions and Catalog'!$C$56,((D842+E842)*C842)*'Assumptions and Catalog'!$H$56+'Assumptions and Catalog'!$E$56+'Assumptions and Catalog'!$F$56,IF(((D842+E842)*C842)&lt;='Assumptions and Catalog'!$C$57,((D842+E842)*C842)*'Assumptions and Catalog'!$H$57+'Assumptions and Catalog'!$E$57+'Assumptions and Catalog'!$F$57,"Out of range")))))))),IF(((D842+E842)*C842)&lt;='Assumptions and Catalog'!$C$60,((D842+E842)*C842)*'Assumptions and Catalog'!$H$60+'Assumptions and Catalog'!$E$60+'Assumptions and Catalog'!$F$60,IF(((D842+E842)*C842)&lt;='Assumptions and Catalog'!$C$61,((D842+E842)*C842)*'Assumptions and Catalog'!$H$61+'Assumptions and Catalog'!$E$61+'Assumptions and Catalog'!$F$61,IF(((D842+E842)*C842)&lt;='Assumptions and Catalog'!$C$62,((D842+E842)*C842)*'Assumptions and Catalog'!$H$62+'Assumptions and Catalog'!$E$62+'Assumptions and Catalog'!$F$62,IF(((D842+E842)*C842)&lt;='Assumptions and Catalog'!$C$63,((D842+E842)*C842)*'Assumptions and Catalog'!$H$63+'Assumptions and Catalog'!$E$63+'Assumptions and Catalog'!$F$63,IF(((D842+E842)*C842)&lt;='Assumptions and Catalog'!$C$64,((D842+E842)*C842)*'Assumptions and Catalog'!$H$64+'Assumptions and Catalog'!$E$64+'Assumptions and Catalog'!$F$64,IF(((D842+E842)*C842)&lt;='Assumptions and Catalog'!$C$65,((D842+E842)*C842)*'Assumptions and Catalog'!$H$65+'Assumptions and Catalog'!$E$65+'Assumptions and Catalog'!$F$65,"Out of range")))))))))*(1+'Assumptions and Catalog'!$C$8)^(A842-1),0)</f>
        <v>7727.0666666666657</v>
      </c>
      <c r="N842" s="5">
        <f>IF(ISNUMBER(Inputs!$L$5),(IF(Inputs!$L$9="Actual flat rate",L842*Inputs!$L$10,IF(Inputs!$C$9="Residential",IF(L842&lt;='Assumptions and Catalog'!$C$50,L842*'Assumptions and Catalog'!$H$50+'Assumptions and Catalog'!$E$50+'Assumptions and Catalog'!$F$50,IF(L842&lt;='Assumptions and Catalog'!$C$51,L842*'Assumptions and Catalog'!$H$51+'Assumptions and Catalog'!$E$51+'Assumptions and Catalog'!$F$51,IF(L842&lt;='Assumptions and Catalog'!$C$52,L842*'Assumptions and Catalog'!$H$52+'Assumptions and Catalog'!$E$52+'Assumptions and Catalog'!$F$52,IF(L842&lt;='Assumptions and Catalog'!$C$53,L842*'Assumptions and Catalog'!$H$53+'Assumptions and Catalog'!$E$53+'Assumptions and Catalog'!$F$53,IF(L842&lt;='Assumptions and Catalog'!$C$54,L842*'Assumptions and Catalog'!$H$54+'Assumptions and Catalog'!$E$54+'Assumptions and Catalog'!$F$54,IF(L842&lt;='Assumptions and Catalog'!$C$55,L842*'Assumptions and Catalog'!$H$55+'Assumptions and Catalog'!$E$55+'Assumptions and Catalog'!$F$55,IF(L842&lt;='Assumptions and Catalog'!$C$56,L842*'Assumptions and Catalog'!$H$56+'Assumptions and Catalog'!$E$56+'Assumptions and Catalog'!$F$56,IF(L842&lt;='Assumptions and Catalog'!$C$57,L842*'Assumptions and Catalog'!$H$57+'Assumptions and Catalog'!$E$57+'Assumptions and Catalog'!$F$57,"Out of range")))))))),IF(L842&lt;='Assumptions and Catalog'!$C$60,L842*'Assumptions and Catalog'!$H$60+'Assumptions and Catalog'!$E$60+'Assumptions and Catalog'!$F$60,IF(L842&lt;='Assumptions and Catalog'!$C$61,L842*'Assumptions and Catalog'!$H$61+'Assumptions and Catalog'!$E$61+'Assumptions and Catalog'!$F$61,IF(L842&lt;='Assumptions and Catalog'!$C$62,L842*'Assumptions and Catalog'!$H$62+'Assumptions and Catalog'!$E$62+'Assumptions and Catalog'!$F$62,IF(L842&lt;='Assumptions and Catalog'!$C$63,L842*'Assumptions and Catalog'!$H$63+'Assumptions and Catalog'!$E$63+'Assumptions and Catalog'!$F$63,IF(L842&lt;='Assumptions and Catalog'!$C$64,L842*'Assumptions and Catalog'!$H$64+'Assumptions and Catalog'!$E$64+'Assumptions and Catalog'!$F$64,IF(L842&lt;='Assumptions and Catalog'!$C$65,L842*'Assumptions and Catalog'!$H$65+'Assumptions and Catalog'!$E$65+'Assumptions and Catalog'!$F$65,"Out of range")))))))))*(1+'Assumptions and Catalog'!$C$8)^(A842-1),0)</f>
        <v>5294.4181282386717</v>
      </c>
      <c r="O842" s="5">
        <f t="shared" si="59"/>
        <v>2432.648538427994</v>
      </c>
      <c r="P842" s="5">
        <f>E$55*(1-L$14)*(1-'Assumptions and Catalog'!$C$23)^R842</f>
        <v>92.561489592319987</v>
      </c>
      <c r="Q842" s="5">
        <f>IF(ISNUMBER(Inputs!$L$5),(IF(Inputs!$L$9="Actual flat rate",((D842+E842)*C842-G842)*Inputs!$L$10,IF(Inputs!$C$9="Residential",IF(((D842+E842)*C842-G842)&lt;='Assumptions and Catalog'!$C$50,((D842+E842)*C842-G842)*'Assumptions and Catalog'!$H$50+'Assumptions and Catalog'!$E$50+'Assumptions and Catalog'!$F$50,IF(((D842+E842)*C842-G842)&lt;='Assumptions and Catalog'!$C$51,((D842+E842)*C842-G842)*'Assumptions and Catalog'!$H$51+'Assumptions and Catalog'!$E$51+'Assumptions and Catalog'!$F$51,IF(((D842+E842)*C842-G842)&lt;='Assumptions and Catalog'!$C$52,((D842+E842)*C842-G842)*'Assumptions and Catalog'!$H$52+'Assumptions and Catalog'!$E$52+'Assumptions and Catalog'!$F$52,IF(((D842+E842)*C842-G842)&lt;='Assumptions and Catalog'!$C$53,((D842+E842)*C842-G842)*'Assumptions and Catalog'!$H$53+'Assumptions and Catalog'!$E$53+'Assumptions and Catalog'!$F$53,IF(((D842+E842)*C842-G842)&lt;='Assumptions and Catalog'!$C$54,((D842+E842)*C842-G842)*'Assumptions and Catalog'!$H$54+'Assumptions and Catalog'!$E$54+'Assumptions and Catalog'!$F$54,IF(((D842+E842)*C842-G842)&lt;='Assumptions and Catalog'!$C$55,((D842+E842)*C842-G842)*'Assumptions and Catalog'!$H$55+'Assumptions and Catalog'!$E$55+'Assumptions and Catalog'!$F$55,IF(((D842+E842)*C842-G842)&lt;='Assumptions and Catalog'!$C$56,((D842+E842)*C842-G842)*'Assumptions and Catalog'!$H$56+'Assumptions and Catalog'!$E$56+'Assumptions and Catalog'!$F$56,IF(((D842+E842)*C842-G842)&lt;='Assumptions and Catalog'!$C$57,((D842+E842)*C842-G842)*'Assumptions and Catalog'!$H$57+'Assumptions and Catalog'!$E$57+'Assumptions and Catalog'!$F$57,"Out of range")))))))),IF(((D842+E842)*C842-G842)&lt;='Assumptions and Catalog'!$C$60,((D842+E842)*C842-G842)*'Assumptions and Catalog'!$H$60+'Assumptions and Catalog'!$E$60+'Assumptions and Catalog'!$F$60,IF(((D842+E842)*C842-G842)&lt;='Assumptions and Catalog'!$C$61,((D842+E842)*C842-G842)*'Assumptions and Catalog'!$H$61+'Assumptions and Catalog'!$E$61+'Assumptions and Catalog'!$F$61,IF(((D842+E842)*C842-G842)&lt;='Assumptions and Catalog'!$C$62,((D842+E842)*C842-G842)*'Assumptions and Catalog'!$H$62+'Assumptions and Catalog'!$E$62+'Assumptions and Catalog'!$F$62,IF(((D842+E842)*C842-G842)&lt;='Assumptions and Catalog'!$C$63,((D842+E842)*C842-G842)*'Assumptions and Catalog'!$H$63+'Assumptions and Catalog'!$E$63+'Assumptions and Catalog'!$F$63,IF(((D842+E842)*C842-G842)&lt;='Assumptions and Catalog'!$C$64,((D842+E842)*C842-G842)*'Assumptions and Catalog'!$H$64+'Assumptions and Catalog'!$E$64+'Assumptions and Catalog'!$F$64,IF(((D842+E842)*C842-G842)&lt;='Assumptions and Catalog'!$C$65,((D842+E842)*C842-G842)*'Assumptions and Catalog'!$H$65+'Assumptions and Catalog'!$E$65+'Assumptions and Catalog'!$F$65,"Out of range")))))))))*(1+'Assumptions and Catalog'!$C$8)^(A842-1),0)</f>
        <v>5294.4181282386717</v>
      </c>
      <c r="R842" s="5">
        <f>IF(AND('Assumptions and Catalog'!$C$19&gt;0,A842&gt;='Assumptions and Catalog'!$C$19),A842-'Assumptions and Catalog'!$C$19,A842-1)</f>
        <v>5</v>
      </c>
      <c r="S842" s="5">
        <f>F842+L842-(D842+E842)*C842-J842-K842-IF(E$52&gt;0,'Assumptions and Catalog'!$C$26*C842,0)</f>
        <v>0</v>
      </c>
      <c r="T842" s="5"/>
      <c r="U842" s="5"/>
    </row>
    <row r="843" spans="1:21" ht="23.1" customHeight="1" outlineLevel="1" x14ac:dyDescent="0.2">
      <c r="A843" s="5">
        <v>16</v>
      </c>
      <c r="B843" s="5">
        <v>3</v>
      </c>
      <c r="C843" s="5">
        <f>DAY(DATE('Assumptions and Catalog'!$C$24+A843-1,B843+1,0))</f>
        <v>31</v>
      </c>
      <c r="D843" s="5">
        <f>IF(ISNUMBER(Inputs!$L$5),Inputs!$L$5*Inputs!$L$6,0)</f>
        <v>40.35</v>
      </c>
      <c r="E843" s="5">
        <f>IF(ISNUMBER(Inputs!$L$5),Inputs!$L$5-D843,0)</f>
        <v>40.35</v>
      </c>
      <c r="F843" s="5">
        <f>E$51*'Assumptions and Catalog'!$C$31*C843*(1-'Assumptions and Catalog'!$C$10)^(A843-1)</f>
        <v>787.58953573395422</v>
      </c>
      <c r="G843" s="5">
        <f t="shared" si="56"/>
        <v>787.58953573395422</v>
      </c>
      <c r="H843" s="5">
        <f>I843/('Assumptions and Catalog'!$C$11*'Assumptions and Catalog'!$C$12)</f>
        <v>0</v>
      </c>
      <c r="I843" s="5">
        <f>MIN(E843*C843,P843*'Assumptions and Catalog'!$C$12*C843,(F843-G843)*'Assumptions and Catalog'!$C$11*'Assumptions and Catalog'!$C$12,E$56*'Assumptions and Catalog'!$C$14*'Assumptions and Catalog'!$C$11*'Assumptions and Catalog'!$C$12*C843,E$57*(24-'Assumptions and Catalog'!$C$13)*C843)</f>
        <v>0</v>
      </c>
      <c r="J843" s="5">
        <f t="shared" si="57"/>
        <v>0</v>
      </c>
      <c r="K843" s="5">
        <f t="shared" si="58"/>
        <v>0</v>
      </c>
      <c r="L843" s="5">
        <f>(D843+E843)*C843-G843-I843+0+IF(E$52&gt;0,'Assumptions and Catalog'!$C$26*C843,0)</f>
        <v>1714.1104642660462</v>
      </c>
      <c r="M843" s="5">
        <f>IF(ISNUMBER(Inputs!$L$5),(IF(Inputs!$L$9="Actual flat rate",((D843+E843)*C843)*Inputs!$L$10,IF(Inputs!$C$9="Residential",IF(((D843+E843)*C843)&lt;='Assumptions and Catalog'!$C$50,((D843+E843)*C843)*'Assumptions and Catalog'!$H$50+'Assumptions and Catalog'!$E$50+'Assumptions and Catalog'!$F$50,IF(((D843+E843)*C843)&lt;='Assumptions and Catalog'!$C$51,((D843+E843)*C843)*'Assumptions and Catalog'!$H$51+'Assumptions and Catalog'!$E$51+'Assumptions and Catalog'!$F$51,IF(((D843+E843)*C843)&lt;='Assumptions and Catalog'!$C$52,((D843+E843)*C843)*'Assumptions and Catalog'!$H$52+'Assumptions and Catalog'!$E$52+'Assumptions and Catalog'!$F$52,IF(((D843+E843)*C843)&lt;='Assumptions and Catalog'!$C$53,((D843+E843)*C843)*'Assumptions and Catalog'!$H$53+'Assumptions and Catalog'!$E$53+'Assumptions and Catalog'!$F$53,IF(((D843+E843)*C843)&lt;='Assumptions and Catalog'!$C$54,((D843+E843)*C843)*'Assumptions and Catalog'!$H$54+'Assumptions and Catalog'!$E$54+'Assumptions and Catalog'!$F$54,IF(((D843+E843)*C843)&lt;='Assumptions and Catalog'!$C$55,((D843+E843)*C843)*'Assumptions and Catalog'!$H$55+'Assumptions and Catalog'!$E$55+'Assumptions and Catalog'!$F$55,IF(((D843+E843)*C843)&lt;='Assumptions and Catalog'!$C$56,((D843+E843)*C843)*'Assumptions and Catalog'!$H$56+'Assumptions and Catalog'!$E$56+'Assumptions and Catalog'!$F$56,IF(((D843+E843)*C843)&lt;='Assumptions and Catalog'!$C$57,((D843+E843)*C843)*'Assumptions and Catalog'!$H$57+'Assumptions and Catalog'!$E$57+'Assumptions and Catalog'!$F$57,"Out of range")))))))),IF(((D843+E843)*C843)&lt;='Assumptions and Catalog'!$C$60,((D843+E843)*C843)*'Assumptions and Catalog'!$H$60+'Assumptions and Catalog'!$E$60+'Assumptions and Catalog'!$F$60,IF(((D843+E843)*C843)&lt;='Assumptions and Catalog'!$C$61,((D843+E843)*C843)*'Assumptions and Catalog'!$H$61+'Assumptions and Catalog'!$E$61+'Assumptions and Catalog'!$F$61,IF(((D843+E843)*C843)&lt;='Assumptions and Catalog'!$C$62,((D843+E843)*C843)*'Assumptions and Catalog'!$H$62+'Assumptions and Catalog'!$E$62+'Assumptions and Catalog'!$F$62,IF(((D843+E843)*C843)&lt;='Assumptions and Catalog'!$C$63,((D843+E843)*C843)*'Assumptions and Catalog'!$H$63+'Assumptions and Catalog'!$E$63+'Assumptions and Catalog'!$F$63,IF(((D843+E843)*C843)&lt;='Assumptions and Catalog'!$C$64,((D843+E843)*C843)*'Assumptions and Catalog'!$H$64+'Assumptions and Catalog'!$E$64+'Assumptions and Catalog'!$F$64,IF(((D843+E843)*C843)&lt;='Assumptions and Catalog'!$C$65,((D843+E843)*C843)*'Assumptions and Catalog'!$H$65+'Assumptions and Catalog'!$E$65+'Assumptions and Catalog'!$F$65,"Out of range")))))))))*(1+'Assumptions and Catalog'!$C$8)^(A843-1),0)</f>
        <v>8554.9666666666672</v>
      </c>
      <c r="N843" s="5">
        <f>IF(ISNUMBER(Inputs!$L$5),(IF(Inputs!$L$9="Actual flat rate",L843*Inputs!$L$10,IF(Inputs!$C$9="Residential",IF(L843&lt;='Assumptions and Catalog'!$C$50,L843*'Assumptions and Catalog'!$H$50+'Assumptions and Catalog'!$E$50+'Assumptions and Catalog'!$F$50,IF(L843&lt;='Assumptions and Catalog'!$C$51,L843*'Assumptions and Catalog'!$H$51+'Assumptions and Catalog'!$E$51+'Assumptions and Catalog'!$F$51,IF(L843&lt;='Assumptions and Catalog'!$C$52,L843*'Assumptions and Catalog'!$H$52+'Assumptions and Catalog'!$E$52+'Assumptions and Catalog'!$F$52,IF(L843&lt;='Assumptions and Catalog'!$C$53,L843*'Assumptions and Catalog'!$H$53+'Assumptions and Catalog'!$E$53+'Assumptions and Catalog'!$F$53,IF(L843&lt;='Assumptions and Catalog'!$C$54,L843*'Assumptions and Catalog'!$H$54+'Assumptions and Catalog'!$E$54+'Assumptions and Catalog'!$F$54,IF(L843&lt;='Assumptions and Catalog'!$C$55,L843*'Assumptions and Catalog'!$H$55+'Assumptions and Catalog'!$E$55+'Assumptions and Catalog'!$F$55,IF(L843&lt;='Assumptions and Catalog'!$C$56,L843*'Assumptions and Catalog'!$H$56+'Assumptions and Catalog'!$E$56+'Assumptions and Catalog'!$F$56,IF(L843&lt;='Assumptions and Catalog'!$C$57,L843*'Assumptions and Catalog'!$H$57+'Assumptions and Catalog'!$E$57+'Assumptions and Catalog'!$F$57,"Out of range")))))))),IF(L843&lt;='Assumptions and Catalog'!$C$60,L843*'Assumptions and Catalog'!$H$60+'Assumptions and Catalog'!$E$60+'Assumptions and Catalog'!$F$60,IF(L843&lt;='Assumptions and Catalog'!$C$61,L843*'Assumptions and Catalog'!$H$61+'Assumptions and Catalog'!$E$61+'Assumptions and Catalog'!$F$61,IF(L843&lt;='Assumptions and Catalog'!$C$62,L843*'Assumptions and Catalog'!$H$62+'Assumptions and Catalog'!$E$62+'Assumptions and Catalog'!$F$62,IF(L843&lt;='Assumptions and Catalog'!$C$63,L843*'Assumptions and Catalog'!$H$63+'Assumptions and Catalog'!$E$63+'Assumptions and Catalog'!$F$63,IF(L843&lt;='Assumptions and Catalog'!$C$64,L843*'Assumptions and Catalog'!$H$64+'Assumptions and Catalog'!$E$64+'Assumptions and Catalog'!$F$64,IF(L843&lt;='Assumptions and Catalog'!$C$65,L843*'Assumptions and Catalog'!$H$65+'Assumptions and Catalog'!$E$65+'Assumptions and Catalog'!$F$65,"Out of range")))))))))*(1+'Assumptions and Catalog'!$C$8)^(A843-1),0)</f>
        <v>5861.6772134071025</v>
      </c>
      <c r="O843" s="5">
        <f t="shared" si="59"/>
        <v>2693.2894532595647</v>
      </c>
      <c r="P843" s="5">
        <f>E$55*(1-L$14)*(1-'Assumptions and Catalog'!$C$23)^R843</f>
        <v>92.561489592319987</v>
      </c>
      <c r="Q843" s="5">
        <f>IF(ISNUMBER(Inputs!$L$5),(IF(Inputs!$L$9="Actual flat rate",((D843+E843)*C843-G843)*Inputs!$L$10,IF(Inputs!$C$9="Residential",IF(((D843+E843)*C843-G843)&lt;='Assumptions and Catalog'!$C$50,((D843+E843)*C843-G843)*'Assumptions and Catalog'!$H$50+'Assumptions and Catalog'!$E$50+'Assumptions and Catalog'!$F$50,IF(((D843+E843)*C843-G843)&lt;='Assumptions and Catalog'!$C$51,((D843+E843)*C843-G843)*'Assumptions and Catalog'!$H$51+'Assumptions and Catalog'!$E$51+'Assumptions and Catalog'!$F$51,IF(((D843+E843)*C843-G843)&lt;='Assumptions and Catalog'!$C$52,((D843+E843)*C843-G843)*'Assumptions and Catalog'!$H$52+'Assumptions and Catalog'!$E$52+'Assumptions and Catalog'!$F$52,IF(((D843+E843)*C843-G843)&lt;='Assumptions and Catalog'!$C$53,((D843+E843)*C843-G843)*'Assumptions and Catalog'!$H$53+'Assumptions and Catalog'!$E$53+'Assumptions and Catalog'!$F$53,IF(((D843+E843)*C843-G843)&lt;='Assumptions and Catalog'!$C$54,((D843+E843)*C843-G843)*'Assumptions and Catalog'!$H$54+'Assumptions and Catalog'!$E$54+'Assumptions and Catalog'!$F$54,IF(((D843+E843)*C843-G843)&lt;='Assumptions and Catalog'!$C$55,((D843+E843)*C843-G843)*'Assumptions and Catalog'!$H$55+'Assumptions and Catalog'!$E$55+'Assumptions and Catalog'!$F$55,IF(((D843+E843)*C843-G843)&lt;='Assumptions and Catalog'!$C$56,((D843+E843)*C843-G843)*'Assumptions and Catalog'!$H$56+'Assumptions and Catalog'!$E$56+'Assumptions and Catalog'!$F$56,IF(((D843+E843)*C843-G843)&lt;='Assumptions and Catalog'!$C$57,((D843+E843)*C843-G843)*'Assumptions and Catalog'!$H$57+'Assumptions and Catalog'!$E$57+'Assumptions and Catalog'!$F$57,"Out of range")))))))),IF(((D843+E843)*C843-G843)&lt;='Assumptions and Catalog'!$C$60,((D843+E843)*C843-G843)*'Assumptions and Catalog'!$H$60+'Assumptions and Catalog'!$E$60+'Assumptions and Catalog'!$F$60,IF(((D843+E843)*C843-G843)&lt;='Assumptions and Catalog'!$C$61,((D843+E843)*C843-G843)*'Assumptions and Catalog'!$H$61+'Assumptions and Catalog'!$E$61+'Assumptions and Catalog'!$F$61,IF(((D843+E843)*C843-G843)&lt;='Assumptions and Catalog'!$C$62,((D843+E843)*C843-G843)*'Assumptions and Catalog'!$H$62+'Assumptions and Catalog'!$E$62+'Assumptions and Catalog'!$F$62,IF(((D843+E843)*C843-G843)&lt;='Assumptions and Catalog'!$C$63,((D843+E843)*C843-G843)*'Assumptions and Catalog'!$H$63+'Assumptions and Catalog'!$E$63+'Assumptions and Catalog'!$F$63,IF(((D843+E843)*C843-G843)&lt;='Assumptions and Catalog'!$C$64,((D843+E843)*C843-G843)*'Assumptions and Catalog'!$H$64+'Assumptions and Catalog'!$E$64+'Assumptions and Catalog'!$F$64,IF(((D843+E843)*C843-G843)&lt;='Assumptions and Catalog'!$C$65,((D843+E843)*C843-G843)*'Assumptions and Catalog'!$H$65+'Assumptions and Catalog'!$E$65+'Assumptions and Catalog'!$F$65,"Out of range")))))))))*(1+'Assumptions and Catalog'!$C$8)^(A843-1),0)</f>
        <v>5861.6772134071025</v>
      </c>
      <c r="R843" s="5">
        <f>IF(AND('Assumptions and Catalog'!$C$19&gt;0,A843&gt;='Assumptions and Catalog'!$C$19),A843-'Assumptions and Catalog'!$C$19,A843-1)</f>
        <v>5</v>
      </c>
      <c r="S843" s="5">
        <f>F843+L843-(D843+E843)*C843-J843-K843-IF(E$52&gt;0,'Assumptions and Catalog'!$C$26*C843,0)</f>
        <v>0</v>
      </c>
      <c r="T843" s="5"/>
      <c r="U843" s="5"/>
    </row>
    <row r="844" spans="1:21" ht="23.1" customHeight="1" outlineLevel="1" x14ac:dyDescent="0.2">
      <c r="A844" s="5">
        <v>16</v>
      </c>
      <c r="B844" s="5">
        <v>4</v>
      </c>
      <c r="C844" s="5">
        <f>DAY(DATE('Assumptions and Catalog'!$C$24+A844-1,B844+1,0))</f>
        <v>30</v>
      </c>
      <c r="D844" s="5">
        <f>IF(ISNUMBER(Inputs!$L$5),Inputs!$L$5*Inputs!$L$6,0)</f>
        <v>40.35</v>
      </c>
      <c r="E844" s="5">
        <f>IF(ISNUMBER(Inputs!$L$5),Inputs!$L$5-D844,0)</f>
        <v>40.35</v>
      </c>
      <c r="F844" s="5">
        <f>E$51*'Assumptions and Catalog'!$C$31*C844*(1-'Assumptions and Catalog'!$C$10)^(A844-1)</f>
        <v>762.18342167802018</v>
      </c>
      <c r="G844" s="5">
        <f t="shared" si="56"/>
        <v>762.18342167802018</v>
      </c>
      <c r="H844" s="5">
        <f>I844/('Assumptions and Catalog'!$C$11*'Assumptions and Catalog'!$C$12)</f>
        <v>0</v>
      </c>
      <c r="I844" s="5">
        <f>MIN(E844*C844,P844*'Assumptions and Catalog'!$C$12*C844,(F844-G844)*'Assumptions and Catalog'!$C$11*'Assumptions and Catalog'!$C$12,E$56*'Assumptions and Catalog'!$C$14*'Assumptions and Catalog'!$C$11*'Assumptions and Catalog'!$C$12*C844,E$57*(24-'Assumptions and Catalog'!$C$13)*C844)</f>
        <v>0</v>
      </c>
      <c r="J844" s="5">
        <f t="shared" si="57"/>
        <v>0</v>
      </c>
      <c r="K844" s="5">
        <f t="shared" si="58"/>
        <v>0</v>
      </c>
      <c r="L844" s="5">
        <f>(D844+E844)*C844-G844-I844+0+IF(E$52&gt;0,'Assumptions and Catalog'!$C$26*C844,0)</f>
        <v>1658.8165783219797</v>
      </c>
      <c r="M844" s="5">
        <f>IF(ISNUMBER(Inputs!$L$5),(IF(Inputs!$L$9="Actual flat rate",((D844+E844)*C844)*Inputs!$L$10,IF(Inputs!$C$9="Residential",IF(((D844+E844)*C844)&lt;='Assumptions and Catalog'!$C$50,((D844+E844)*C844)*'Assumptions and Catalog'!$H$50+'Assumptions and Catalog'!$E$50+'Assumptions and Catalog'!$F$50,IF(((D844+E844)*C844)&lt;='Assumptions and Catalog'!$C$51,((D844+E844)*C844)*'Assumptions and Catalog'!$H$51+'Assumptions and Catalog'!$E$51+'Assumptions and Catalog'!$F$51,IF(((D844+E844)*C844)&lt;='Assumptions and Catalog'!$C$52,((D844+E844)*C844)*'Assumptions and Catalog'!$H$52+'Assumptions and Catalog'!$E$52+'Assumptions and Catalog'!$F$52,IF(((D844+E844)*C844)&lt;='Assumptions and Catalog'!$C$53,((D844+E844)*C844)*'Assumptions and Catalog'!$H$53+'Assumptions and Catalog'!$E$53+'Assumptions and Catalog'!$F$53,IF(((D844+E844)*C844)&lt;='Assumptions and Catalog'!$C$54,((D844+E844)*C844)*'Assumptions and Catalog'!$H$54+'Assumptions and Catalog'!$E$54+'Assumptions and Catalog'!$F$54,IF(((D844+E844)*C844)&lt;='Assumptions and Catalog'!$C$55,((D844+E844)*C844)*'Assumptions and Catalog'!$H$55+'Assumptions and Catalog'!$E$55+'Assumptions and Catalog'!$F$55,IF(((D844+E844)*C844)&lt;='Assumptions and Catalog'!$C$56,((D844+E844)*C844)*'Assumptions and Catalog'!$H$56+'Assumptions and Catalog'!$E$56+'Assumptions and Catalog'!$F$56,IF(((D844+E844)*C844)&lt;='Assumptions and Catalog'!$C$57,((D844+E844)*C844)*'Assumptions and Catalog'!$H$57+'Assumptions and Catalog'!$E$57+'Assumptions and Catalog'!$F$57,"Out of range")))))))),IF(((D844+E844)*C844)&lt;='Assumptions and Catalog'!$C$60,((D844+E844)*C844)*'Assumptions and Catalog'!$H$60+'Assumptions and Catalog'!$E$60+'Assumptions and Catalog'!$F$60,IF(((D844+E844)*C844)&lt;='Assumptions and Catalog'!$C$61,((D844+E844)*C844)*'Assumptions and Catalog'!$H$61+'Assumptions and Catalog'!$E$61+'Assumptions and Catalog'!$F$61,IF(((D844+E844)*C844)&lt;='Assumptions and Catalog'!$C$62,((D844+E844)*C844)*'Assumptions and Catalog'!$H$62+'Assumptions and Catalog'!$E$62+'Assumptions and Catalog'!$F$62,IF(((D844+E844)*C844)&lt;='Assumptions and Catalog'!$C$63,((D844+E844)*C844)*'Assumptions and Catalog'!$H$63+'Assumptions and Catalog'!$E$63+'Assumptions and Catalog'!$F$63,IF(((D844+E844)*C844)&lt;='Assumptions and Catalog'!$C$64,((D844+E844)*C844)*'Assumptions and Catalog'!$H$64+'Assumptions and Catalog'!$E$64+'Assumptions and Catalog'!$F$64,IF(((D844+E844)*C844)&lt;='Assumptions and Catalog'!$C$65,((D844+E844)*C844)*'Assumptions and Catalog'!$H$65+'Assumptions and Catalog'!$E$65+'Assumptions and Catalog'!$F$65,"Out of range")))))))))*(1+'Assumptions and Catalog'!$C$8)^(A844-1),0)</f>
        <v>8279</v>
      </c>
      <c r="N844" s="5">
        <f>IF(ISNUMBER(Inputs!$L$5),(IF(Inputs!$L$9="Actual flat rate",L844*Inputs!$L$10,IF(Inputs!$C$9="Residential",IF(L844&lt;='Assumptions and Catalog'!$C$50,L844*'Assumptions and Catalog'!$H$50+'Assumptions and Catalog'!$E$50+'Assumptions and Catalog'!$F$50,IF(L844&lt;='Assumptions and Catalog'!$C$51,L844*'Assumptions and Catalog'!$H$51+'Assumptions and Catalog'!$E$51+'Assumptions and Catalog'!$F$51,IF(L844&lt;='Assumptions and Catalog'!$C$52,L844*'Assumptions and Catalog'!$H$52+'Assumptions and Catalog'!$E$52+'Assumptions and Catalog'!$F$52,IF(L844&lt;='Assumptions and Catalog'!$C$53,L844*'Assumptions and Catalog'!$H$53+'Assumptions and Catalog'!$E$53+'Assumptions and Catalog'!$F$53,IF(L844&lt;='Assumptions and Catalog'!$C$54,L844*'Assumptions and Catalog'!$H$54+'Assumptions and Catalog'!$E$54+'Assumptions and Catalog'!$F$54,IF(L844&lt;='Assumptions and Catalog'!$C$55,L844*'Assumptions and Catalog'!$H$55+'Assumptions and Catalog'!$E$55+'Assumptions and Catalog'!$F$55,IF(L844&lt;='Assumptions and Catalog'!$C$56,L844*'Assumptions and Catalog'!$H$56+'Assumptions and Catalog'!$E$56+'Assumptions and Catalog'!$F$56,IF(L844&lt;='Assumptions and Catalog'!$C$57,L844*'Assumptions and Catalog'!$H$57+'Assumptions and Catalog'!$E$57+'Assumptions and Catalog'!$F$57,"Out of range")))))))),IF(L844&lt;='Assumptions and Catalog'!$C$60,L844*'Assumptions and Catalog'!$H$60+'Assumptions and Catalog'!$E$60+'Assumptions and Catalog'!$F$60,IF(L844&lt;='Assumptions and Catalog'!$C$61,L844*'Assumptions and Catalog'!$H$61+'Assumptions and Catalog'!$E$61+'Assumptions and Catalog'!$F$61,IF(L844&lt;='Assumptions and Catalog'!$C$62,L844*'Assumptions and Catalog'!$H$62+'Assumptions and Catalog'!$E$62+'Assumptions and Catalog'!$F$62,IF(L844&lt;='Assumptions and Catalog'!$C$63,L844*'Assumptions and Catalog'!$H$63+'Assumptions and Catalog'!$E$63+'Assumptions and Catalog'!$F$63,IF(L844&lt;='Assumptions and Catalog'!$C$64,L844*'Assumptions and Catalog'!$H$64+'Assumptions and Catalog'!$E$64+'Assumptions and Catalog'!$F$64,IF(L844&lt;='Assumptions and Catalog'!$C$65,L844*'Assumptions and Catalog'!$H$65+'Assumptions and Catalog'!$E$65+'Assumptions and Catalog'!$F$65,"Out of range")))))))))*(1+'Assumptions and Catalog'!$C$8)^(A844-1),0)</f>
        <v>5672.590851684291</v>
      </c>
      <c r="O844" s="5">
        <f t="shared" si="59"/>
        <v>2606.409148315709</v>
      </c>
      <c r="P844" s="5">
        <f>E$55*(1-L$14)*(1-'Assumptions and Catalog'!$C$23)^R844</f>
        <v>92.561489592319987</v>
      </c>
      <c r="Q844" s="5">
        <f>IF(ISNUMBER(Inputs!$L$5),(IF(Inputs!$L$9="Actual flat rate",((D844+E844)*C844-G844)*Inputs!$L$10,IF(Inputs!$C$9="Residential",IF(((D844+E844)*C844-G844)&lt;='Assumptions and Catalog'!$C$50,((D844+E844)*C844-G844)*'Assumptions and Catalog'!$H$50+'Assumptions and Catalog'!$E$50+'Assumptions and Catalog'!$F$50,IF(((D844+E844)*C844-G844)&lt;='Assumptions and Catalog'!$C$51,((D844+E844)*C844-G844)*'Assumptions and Catalog'!$H$51+'Assumptions and Catalog'!$E$51+'Assumptions and Catalog'!$F$51,IF(((D844+E844)*C844-G844)&lt;='Assumptions and Catalog'!$C$52,((D844+E844)*C844-G844)*'Assumptions and Catalog'!$H$52+'Assumptions and Catalog'!$E$52+'Assumptions and Catalog'!$F$52,IF(((D844+E844)*C844-G844)&lt;='Assumptions and Catalog'!$C$53,((D844+E844)*C844-G844)*'Assumptions and Catalog'!$H$53+'Assumptions and Catalog'!$E$53+'Assumptions and Catalog'!$F$53,IF(((D844+E844)*C844-G844)&lt;='Assumptions and Catalog'!$C$54,((D844+E844)*C844-G844)*'Assumptions and Catalog'!$H$54+'Assumptions and Catalog'!$E$54+'Assumptions and Catalog'!$F$54,IF(((D844+E844)*C844-G844)&lt;='Assumptions and Catalog'!$C$55,((D844+E844)*C844-G844)*'Assumptions and Catalog'!$H$55+'Assumptions and Catalog'!$E$55+'Assumptions and Catalog'!$F$55,IF(((D844+E844)*C844-G844)&lt;='Assumptions and Catalog'!$C$56,((D844+E844)*C844-G844)*'Assumptions and Catalog'!$H$56+'Assumptions and Catalog'!$E$56+'Assumptions and Catalog'!$F$56,IF(((D844+E844)*C844-G844)&lt;='Assumptions and Catalog'!$C$57,((D844+E844)*C844-G844)*'Assumptions and Catalog'!$H$57+'Assumptions and Catalog'!$E$57+'Assumptions and Catalog'!$F$57,"Out of range")))))))),IF(((D844+E844)*C844-G844)&lt;='Assumptions and Catalog'!$C$60,((D844+E844)*C844-G844)*'Assumptions and Catalog'!$H$60+'Assumptions and Catalog'!$E$60+'Assumptions and Catalog'!$F$60,IF(((D844+E844)*C844-G844)&lt;='Assumptions and Catalog'!$C$61,((D844+E844)*C844-G844)*'Assumptions and Catalog'!$H$61+'Assumptions and Catalog'!$E$61+'Assumptions and Catalog'!$F$61,IF(((D844+E844)*C844-G844)&lt;='Assumptions and Catalog'!$C$62,((D844+E844)*C844-G844)*'Assumptions and Catalog'!$H$62+'Assumptions and Catalog'!$E$62+'Assumptions and Catalog'!$F$62,IF(((D844+E844)*C844-G844)&lt;='Assumptions and Catalog'!$C$63,((D844+E844)*C844-G844)*'Assumptions and Catalog'!$H$63+'Assumptions and Catalog'!$E$63+'Assumptions and Catalog'!$F$63,IF(((D844+E844)*C844-G844)&lt;='Assumptions and Catalog'!$C$64,((D844+E844)*C844-G844)*'Assumptions and Catalog'!$H$64+'Assumptions and Catalog'!$E$64+'Assumptions and Catalog'!$F$64,IF(((D844+E844)*C844-G844)&lt;='Assumptions and Catalog'!$C$65,((D844+E844)*C844-G844)*'Assumptions and Catalog'!$H$65+'Assumptions and Catalog'!$E$65+'Assumptions and Catalog'!$F$65,"Out of range")))))))))*(1+'Assumptions and Catalog'!$C$8)^(A844-1),0)</f>
        <v>5672.590851684291</v>
      </c>
      <c r="R844" s="5">
        <f>IF(AND('Assumptions and Catalog'!$C$19&gt;0,A844&gt;='Assumptions and Catalog'!$C$19),A844-'Assumptions and Catalog'!$C$19,A844-1)</f>
        <v>5</v>
      </c>
      <c r="S844" s="5">
        <f>F844+L844-(D844+E844)*C844-J844-K844-IF(E$52&gt;0,'Assumptions and Catalog'!$C$26*C844,0)</f>
        <v>0</v>
      </c>
      <c r="T844" s="5"/>
      <c r="U844" s="5"/>
    </row>
    <row r="845" spans="1:21" ht="23.1" customHeight="1" outlineLevel="1" x14ac:dyDescent="0.2">
      <c r="A845" s="5">
        <v>16</v>
      </c>
      <c r="B845" s="5">
        <v>5</v>
      </c>
      <c r="C845" s="5">
        <f>DAY(DATE('Assumptions and Catalog'!$C$24+A845-1,B845+1,0))</f>
        <v>31</v>
      </c>
      <c r="D845" s="5">
        <f>IF(ISNUMBER(Inputs!$L$5),Inputs!$L$5*Inputs!$L$6,0)</f>
        <v>40.35</v>
      </c>
      <c r="E845" s="5">
        <f>IF(ISNUMBER(Inputs!$L$5),Inputs!$L$5-D845,0)</f>
        <v>40.35</v>
      </c>
      <c r="F845" s="5">
        <f>E$51*'Assumptions and Catalog'!$C$31*C845*(1-'Assumptions and Catalog'!$C$10)^(A845-1)</f>
        <v>787.58953573395422</v>
      </c>
      <c r="G845" s="5">
        <f t="shared" si="56"/>
        <v>787.58953573395422</v>
      </c>
      <c r="H845" s="5">
        <f>I845/('Assumptions and Catalog'!$C$11*'Assumptions and Catalog'!$C$12)</f>
        <v>0</v>
      </c>
      <c r="I845" s="5">
        <f>MIN(E845*C845,P845*'Assumptions and Catalog'!$C$12*C845,(F845-G845)*'Assumptions and Catalog'!$C$11*'Assumptions and Catalog'!$C$12,E$56*'Assumptions and Catalog'!$C$14*'Assumptions and Catalog'!$C$11*'Assumptions and Catalog'!$C$12*C845,E$57*(24-'Assumptions and Catalog'!$C$13)*C845)</f>
        <v>0</v>
      </c>
      <c r="J845" s="5">
        <f t="shared" si="57"/>
        <v>0</v>
      </c>
      <c r="K845" s="5">
        <f t="shared" si="58"/>
        <v>0</v>
      </c>
      <c r="L845" s="5">
        <f>(D845+E845)*C845-G845-I845+0+IF(E$52&gt;0,'Assumptions and Catalog'!$C$26*C845,0)</f>
        <v>1714.1104642660462</v>
      </c>
      <c r="M845" s="5">
        <f>IF(ISNUMBER(Inputs!$L$5),(IF(Inputs!$L$9="Actual flat rate",((D845+E845)*C845)*Inputs!$L$10,IF(Inputs!$C$9="Residential",IF(((D845+E845)*C845)&lt;='Assumptions and Catalog'!$C$50,((D845+E845)*C845)*'Assumptions and Catalog'!$H$50+'Assumptions and Catalog'!$E$50+'Assumptions and Catalog'!$F$50,IF(((D845+E845)*C845)&lt;='Assumptions and Catalog'!$C$51,((D845+E845)*C845)*'Assumptions and Catalog'!$H$51+'Assumptions and Catalog'!$E$51+'Assumptions and Catalog'!$F$51,IF(((D845+E845)*C845)&lt;='Assumptions and Catalog'!$C$52,((D845+E845)*C845)*'Assumptions and Catalog'!$H$52+'Assumptions and Catalog'!$E$52+'Assumptions and Catalog'!$F$52,IF(((D845+E845)*C845)&lt;='Assumptions and Catalog'!$C$53,((D845+E845)*C845)*'Assumptions and Catalog'!$H$53+'Assumptions and Catalog'!$E$53+'Assumptions and Catalog'!$F$53,IF(((D845+E845)*C845)&lt;='Assumptions and Catalog'!$C$54,((D845+E845)*C845)*'Assumptions and Catalog'!$H$54+'Assumptions and Catalog'!$E$54+'Assumptions and Catalog'!$F$54,IF(((D845+E845)*C845)&lt;='Assumptions and Catalog'!$C$55,((D845+E845)*C845)*'Assumptions and Catalog'!$H$55+'Assumptions and Catalog'!$E$55+'Assumptions and Catalog'!$F$55,IF(((D845+E845)*C845)&lt;='Assumptions and Catalog'!$C$56,((D845+E845)*C845)*'Assumptions and Catalog'!$H$56+'Assumptions and Catalog'!$E$56+'Assumptions and Catalog'!$F$56,IF(((D845+E845)*C845)&lt;='Assumptions and Catalog'!$C$57,((D845+E845)*C845)*'Assumptions and Catalog'!$H$57+'Assumptions and Catalog'!$E$57+'Assumptions and Catalog'!$F$57,"Out of range")))))))),IF(((D845+E845)*C845)&lt;='Assumptions and Catalog'!$C$60,((D845+E845)*C845)*'Assumptions and Catalog'!$H$60+'Assumptions and Catalog'!$E$60+'Assumptions and Catalog'!$F$60,IF(((D845+E845)*C845)&lt;='Assumptions and Catalog'!$C$61,((D845+E845)*C845)*'Assumptions and Catalog'!$H$61+'Assumptions and Catalog'!$E$61+'Assumptions and Catalog'!$F$61,IF(((D845+E845)*C845)&lt;='Assumptions and Catalog'!$C$62,((D845+E845)*C845)*'Assumptions and Catalog'!$H$62+'Assumptions and Catalog'!$E$62+'Assumptions and Catalog'!$F$62,IF(((D845+E845)*C845)&lt;='Assumptions and Catalog'!$C$63,((D845+E845)*C845)*'Assumptions and Catalog'!$H$63+'Assumptions and Catalog'!$E$63+'Assumptions and Catalog'!$F$63,IF(((D845+E845)*C845)&lt;='Assumptions and Catalog'!$C$64,((D845+E845)*C845)*'Assumptions and Catalog'!$H$64+'Assumptions and Catalog'!$E$64+'Assumptions and Catalog'!$F$64,IF(((D845+E845)*C845)&lt;='Assumptions and Catalog'!$C$65,((D845+E845)*C845)*'Assumptions and Catalog'!$H$65+'Assumptions and Catalog'!$E$65+'Assumptions and Catalog'!$F$65,"Out of range")))))))))*(1+'Assumptions and Catalog'!$C$8)^(A845-1),0)</f>
        <v>8554.9666666666672</v>
      </c>
      <c r="N845" s="5">
        <f>IF(ISNUMBER(Inputs!$L$5),(IF(Inputs!$L$9="Actual flat rate",L845*Inputs!$L$10,IF(Inputs!$C$9="Residential",IF(L845&lt;='Assumptions and Catalog'!$C$50,L845*'Assumptions and Catalog'!$H$50+'Assumptions and Catalog'!$E$50+'Assumptions and Catalog'!$F$50,IF(L845&lt;='Assumptions and Catalog'!$C$51,L845*'Assumptions and Catalog'!$H$51+'Assumptions and Catalog'!$E$51+'Assumptions and Catalog'!$F$51,IF(L845&lt;='Assumptions and Catalog'!$C$52,L845*'Assumptions and Catalog'!$H$52+'Assumptions and Catalog'!$E$52+'Assumptions and Catalog'!$F$52,IF(L845&lt;='Assumptions and Catalog'!$C$53,L845*'Assumptions and Catalog'!$H$53+'Assumptions and Catalog'!$E$53+'Assumptions and Catalog'!$F$53,IF(L845&lt;='Assumptions and Catalog'!$C$54,L845*'Assumptions and Catalog'!$H$54+'Assumptions and Catalog'!$E$54+'Assumptions and Catalog'!$F$54,IF(L845&lt;='Assumptions and Catalog'!$C$55,L845*'Assumptions and Catalog'!$H$55+'Assumptions and Catalog'!$E$55+'Assumptions and Catalog'!$F$55,IF(L845&lt;='Assumptions and Catalog'!$C$56,L845*'Assumptions and Catalog'!$H$56+'Assumptions and Catalog'!$E$56+'Assumptions and Catalog'!$F$56,IF(L845&lt;='Assumptions and Catalog'!$C$57,L845*'Assumptions and Catalog'!$H$57+'Assumptions and Catalog'!$E$57+'Assumptions and Catalog'!$F$57,"Out of range")))))))),IF(L845&lt;='Assumptions and Catalog'!$C$60,L845*'Assumptions and Catalog'!$H$60+'Assumptions and Catalog'!$E$60+'Assumptions and Catalog'!$F$60,IF(L845&lt;='Assumptions and Catalog'!$C$61,L845*'Assumptions and Catalog'!$H$61+'Assumptions and Catalog'!$E$61+'Assumptions and Catalog'!$F$61,IF(L845&lt;='Assumptions and Catalog'!$C$62,L845*'Assumptions and Catalog'!$H$62+'Assumptions and Catalog'!$E$62+'Assumptions and Catalog'!$F$62,IF(L845&lt;='Assumptions and Catalog'!$C$63,L845*'Assumptions and Catalog'!$H$63+'Assumptions and Catalog'!$E$63+'Assumptions and Catalog'!$F$63,IF(L845&lt;='Assumptions and Catalog'!$C$64,L845*'Assumptions and Catalog'!$H$64+'Assumptions and Catalog'!$E$64+'Assumptions and Catalog'!$F$64,IF(L845&lt;='Assumptions and Catalog'!$C$65,L845*'Assumptions and Catalog'!$H$65+'Assumptions and Catalog'!$E$65+'Assumptions and Catalog'!$F$65,"Out of range")))))))))*(1+'Assumptions and Catalog'!$C$8)^(A845-1),0)</f>
        <v>5861.6772134071025</v>
      </c>
      <c r="O845" s="5">
        <f t="shared" si="59"/>
        <v>2693.2894532595647</v>
      </c>
      <c r="P845" s="5">
        <f>E$55*(1-L$14)*(1-'Assumptions and Catalog'!$C$23)^R845</f>
        <v>92.561489592319987</v>
      </c>
      <c r="Q845" s="5">
        <f>IF(ISNUMBER(Inputs!$L$5),(IF(Inputs!$L$9="Actual flat rate",((D845+E845)*C845-G845)*Inputs!$L$10,IF(Inputs!$C$9="Residential",IF(((D845+E845)*C845-G845)&lt;='Assumptions and Catalog'!$C$50,((D845+E845)*C845-G845)*'Assumptions and Catalog'!$H$50+'Assumptions and Catalog'!$E$50+'Assumptions and Catalog'!$F$50,IF(((D845+E845)*C845-G845)&lt;='Assumptions and Catalog'!$C$51,((D845+E845)*C845-G845)*'Assumptions and Catalog'!$H$51+'Assumptions and Catalog'!$E$51+'Assumptions and Catalog'!$F$51,IF(((D845+E845)*C845-G845)&lt;='Assumptions and Catalog'!$C$52,((D845+E845)*C845-G845)*'Assumptions and Catalog'!$H$52+'Assumptions and Catalog'!$E$52+'Assumptions and Catalog'!$F$52,IF(((D845+E845)*C845-G845)&lt;='Assumptions and Catalog'!$C$53,((D845+E845)*C845-G845)*'Assumptions and Catalog'!$H$53+'Assumptions and Catalog'!$E$53+'Assumptions and Catalog'!$F$53,IF(((D845+E845)*C845-G845)&lt;='Assumptions and Catalog'!$C$54,((D845+E845)*C845-G845)*'Assumptions and Catalog'!$H$54+'Assumptions and Catalog'!$E$54+'Assumptions and Catalog'!$F$54,IF(((D845+E845)*C845-G845)&lt;='Assumptions and Catalog'!$C$55,((D845+E845)*C845-G845)*'Assumptions and Catalog'!$H$55+'Assumptions and Catalog'!$E$55+'Assumptions and Catalog'!$F$55,IF(((D845+E845)*C845-G845)&lt;='Assumptions and Catalog'!$C$56,((D845+E845)*C845-G845)*'Assumptions and Catalog'!$H$56+'Assumptions and Catalog'!$E$56+'Assumptions and Catalog'!$F$56,IF(((D845+E845)*C845-G845)&lt;='Assumptions and Catalog'!$C$57,((D845+E845)*C845-G845)*'Assumptions and Catalog'!$H$57+'Assumptions and Catalog'!$E$57+'Assumptions and Catalog'!$F$57,"Out of range")))))))),IF(((D845+E845)*C845-G845)&lt;='Assumptions and Catalog'!$C$60,((D845+E845)*C845-G845)*'Assumptions and Catalog'!$H$60+'Assumptions and Catalog'!$E$60+'Assumptions and Catalog'!$F$60,IF(((D845+E845)*C845-G845)&lt;='Assumptions and Catalog'!$C$61,((D845+E845)*C845-G845)*'Assumptions and Catalog'!$H$61+'Assumptions and Catalog'!$E$61+'Assumptions and Catalog'!$F$61,IF(((D845+E845)*C845-G845)&lt;='Assumptions and Catalog'!$C$62,((D845+E845)*C845-G845)*'Assumptions and Catalog'!$H$62+'Assumptions and Catalog'!$E$62+'Assumptions and Catalog'!$F$62,IF(((D845+E845)*C845-G845)&lt;='Assumptions and Catalog'!$C$63,((D845+E845)*C845-G845)*'Assumptions and Catalog'!$H$63+'Assumptions and Catalog'!$E$63+'Assumptions and Catalog'!$F$63,IF(((D845+E845)*C845-G845)&lt;='Assumptions and Catalog'!$C$64,((D845+E845)*C845-G845)*'Assumptions and Catalog'!$H$64+'Assumptions and Catalog'!$E$64+'Assumptions and Catalog'!$F$64,IF(((D845+E845)*C845-G845)&lt;='Assumptions and Catalog'!$C$65,((D845+E845)*C845-G845)*'Assumptions and Catalog'!$H$65+'Assumptions and Catalog'!$E$65+'Assumptions and Catalog'!$F$65,"Out of range")))))))))*(1+'Assumptions and Catalog'!$C$8)^(A845-1),0)</f>
        <v>5861.6772134071025</v>
      </c>
      <c r="R845" s="5">
        <f>IF(AND('Assumptions and Catalog'!$C$19&gt;0,A845&gt;='Assumptions and Catalog'!$C$19),A845-'Assumptions and Catalog'!$C$19,A845-1)</f>
        <v>5</v>
      </c>
      <c r="S845" s="5">
        <f>F845+L845-(D845+E845)*C845-J845-K845-IF(E$52&gt;0,'Assumptions and Catalog'!$C$26*C845,0)</f>
        <v>0</v>
      </c>
      <c r="T845" s="5"/>
      <c r="U845" s="5"/>
    </row>
    <row r="846" spans="1:21" ht="23.1" customHeight="1" outlineLevel="1" x14ac:dyDescent="0.2">
      <c r="A846" s="5">
        <v>16</v>
      </c>
      <c r="B846" s="5">
        <v>6</v>
      </c>
      <c r="C846" s="5">
        <f>DAY(DATE('Assumptions and Catalog'!$C$24+A846-1,B846+1,0))</f>
        <v>30</v>
      </c>
      <c r="D846" s="5">
        <f>IF(ISNUMBER(Inputs!$L$5),Inputs!$L$5*Inputs!$L$6,0)</f>
        <v>40.35</v>
      </c>
      <c r="E846" s="5">
        <f>IF(ISNUMBER(Inputs!$L$5),Inputs!$L$5-D846,0)</f>
        <v>40.35</v>
      </c>
      <c r="F846" s="5">
        <f>E$51*'Assumptions and Catalog'!$C$31*C846*(1-'Assumptions and Catalog'!$C$10)^(A846-1)</f>
        <v>762.18342167802018</v>
      </c>
      <c r="G846" s="5">
        <f t="shared" si="56"/>
        <v>762.18342167802018</v>
      </c>
      <c r="H846" s="5">
        <f>I846/('Assumptions and Catalog'!$C$11*'Assumptions and Catalog'!$C$12)</f>
        <v>0</v>
      </c>
      <c r="I846" s="5">
        <f>MIN(E846*C846,P846*'Assumptions and Catalog'!$C$12*C846,(F846-G846)*'Assumptions and Catalog'!$C$11*'Assumptions and Catalog'!$C$12,E$56*'Assumptions and Catalog'!$C$14*'Assumptions and Catalog'!$C$11*'Assumptions and Catalog'!$C$12*C846,E$57*(24-'Assumptions and Catalog'!$C$13)*C846)</f>
        <v>0</v>
      </c>
      <c r="J846" s="5">
        <f t="shared" si="57"/>
        <v>0</v>
      </c>
      <c r="K846" s="5">
        <f t="shared" si="58"/>
        <v>0</v>
      </c>
      <c r="L846" s="5">
        <f>(D846+E846)*C846-G846-I846+0+IF(E$52&gt;0,'Assumptions and Catalog'!$C$26*C846,0)</f>
        <v>1658.8165783219797</v>
      </c>
      <c r="M846" s="5">
        <f>IF(ISNUMBER(Inputs!$L$5),(IF(Inputs!$L$9="Actual flat rate",((D846+E846)*C846)*Inputs!$L$10,IF(Inputs!$C$9="Residential",IF(((D846+E846)*C846)&lt;='Assumptions and Catalog'!$C$50,((D846+E846)*C846)*'Assumptions and Catalog'!$H$50+'Assumptions and Catalog'!$E$50+'Assumptions and Catalog'!$F$50,IF(((D846+E846)*C846)&lt;='Assumptions and Catalog'!$C$51,((D846+E846)*C846)*'Assumptions and Catalog'!$H$51+'Assumptions and Catalog'!$E$51+'Assumptions and Catalog'!$F$51,IF(((D846+E846)*C846)&lt;='Assumptions and Catalog'!$C$52,((D846+E846)*C846)*'Assumptions and Catalog'!$H$52+'Assumptions and Catalog'!$E$52+'Assumptions and Catalog'!$F$52,IF(((D846+E846)*C846)&lt;='Assumptions and Catalog'!$C$53,((D846+E846)*C846)*'Assumptions and Catalog'!$H$53+'Assumptions and Catalog'!$E$53+'Assumptions and Catalog'!$F$53,IF(((D846+E846)*C846)&lt;='Assumptions and Catalog'!$C$54,((D846+E846)*C846)*'Assumptions and Catalog'!$H$54+'Assumptions and Catalog'!$E$54+'Assumptions and Catalog'!$F$54,IF(((D846+E846)*C846)&lt;='Assumptions and Catalog'!$C$55,((D846+E846)*C846)*'Assumptions and Catalog'!$H$55+'Assumptions and Catalog'!$E$55+'Assumptions and Catalog'!$F$55,IF(((D846+E846)*C846)&lt;='Assumptions and Catalog'!$C$56,((D846+E846)*C846)*'Assumptions and Catalog'!$H$56+'Assumptions and Catalog'!$E$56+'Assumptions and Catalog'!$F$56,IF(((D846+E846)*C846)&lt;='Assumptions and Catalog'!$C$57,((D846+E846)*C846)*'Assumptions and Catalog'!$H$57+'Assumptions and Catalog'!$E$57+'Assumptions and Catalog'!$F$57,"Out of range")))))))),IF(((D846+E846)*C846)&lt;='Assumptions and Catalog'!$C$60,((D846+E846)*C846)*'Assumptions and Catalog'!$H$60+'Assumptions and Catalog'!$E$60+'Assumptions and Catalog'!$F$60,IF(((D846+E846)*C846)&lt;='Assumptions and Catalog'!$C$61,((D846+E846)*C846)*'Assumptions and Catalog'!$H$61+'Assumptions and Catalog'!$E$61+'Assumptions and Catalog'!$F$61,IF(((D846+E846)*C846)&lt;='Assumptions and Catalog'!$C$62,((D846+E846)*C846)*'Assumptions and Catalog'!$H$62+'Assumptions and Catalog'!$E$62+'Assumptions and Catalog'!$F$62,IF(((D846+E846)*C846)&lt;='Assumptions and Catalog'!$C$63,((D846+E846)*C846)*'Assumptions and Catalog'!$H$63+'Assumptions and Catalog'!$E$63+'Assumptions and Catalog'!$F$63,IF(((D846+E846)*C846)&lt;='Assumptions and Catalog'!$C$64,((D846+E846)*C846)*'Assumptions and Catalog'!$H$64+'Assumptions and Catalog'!$E$64+'Assumptions and Catalog'!$F$64,IF(((D846+E846)*C846)&lt;='Assumptions and Catalog'!$C$65,((D846+E846)*C846)*'Assumptions and Catalog'!$H$65+'Assumptions and Catalog'!$E$65+'Assumptions and Catalog'!$F$65,"Out of range")))))))))*(1+'Assumptions and Catalog'!$C$8)^(A846-1),0)</f>
        <v>8279</v>
      </c>
      <c r="N846" s="5">
        <f>IF(ISNUMBER(Inputs!$L$5),(IF(Inputs!$L$9="Actual flat rate",L846*Inputs!$L$10,IF(Inputs!$C$9="Residential",IF(L846&lt;='Assumptions and Catalog'!$C$50,L846*'Assumptions and Catalog'!$H$50+'Assumptions and Catalog'!$E$50+'Assumptions and Catalog'!$F$50,IF(L846&lt;='Assumptions and Catalog'!$C$51,L846*'Assumptions and Catalog'!$H$51+'Assumptions and Catalog'!$E$51+'Assumptions and Catalog'!$F$51,IF(L846&lt;='Assumptions and Catalog'!$C$52,L846*'Assumptions and Catalog'!$H$52+'Assumptions and Catalog'!$E$52+'Assumptions and Catalog'!$F$52,IF(L846&lt;='Assumptions and Catalog'!$C$53,L846*'Assumptions and Catalog'!$H$53+'Assumptions and Catalog'!$E$53+'Assumptions and Catalog'!$F$53,IF(L846&lt;='Assumptions and Catalog'!$C$54,L846*'Assumptions and Catalog'!$H$54+'Assumptions and Catalog'!$E$54+'Assumptions and Catalog'!$F$54,IF(L846&lt;='Assumptions and Catalog'!$C$55,L846*'Assumptions and Catalog'!$H$55+'Assumptions and Catalog'!$E$55+'Assumptions and Catalog'!$F$55,IF(L846&lt;='Assumptions and Catalog'!$C$56,L846*'Assumptions and Catalog'!$H$56+'Assumptions and Catalog'!$E$56+'Assumptions and Catalog'!$F$56,IF(L846&lt;='Assumptions and Catalog'!$C$57,L846*'Assumptions and Catalog'!$H$57+'Assumptions and Catalog'!$E$57+'Assumptions and Catalog'!$F$57,"Out of range")))))))),IF(L846&lt;='Assumptions and Catalog'!$C$60,L846*'Assumptions and Catalog'!$H$60+'Assumptions and Catalog'!$E$60+'Assumptions and Catalog'!$F$60,IF(L846&lt;='Assumptions and Catalog'!$C$61,L846*'Assumptions and Catalog'!$H$61+'Assumptions and Catalog'!$E$61+'Assumptions and Catalog'!$F$61,IF(L846&lt;='Assumptions and Catalog'!$C$62,L846*'Assumptions and Catalog'!$H$62+'Assumptions and Catalog'!$E$62+'Assumptions and Catalog'!$F$62,IF(L846&lt;='Assumptions and Catalog'!$C$63,L846*'Assumptions and Catalog'!$H$63+'Assumptions and Catalog'!$E$63+'Assumptions and Catalog'!$F$63,IF(L846&lt;='Assumptions and Catalog'!$C$64,L846*'Assumptions and Catalog'!$H$64+'Assumptions and Catalog'!$E$64+'Assumptions and Catalog'!$F$64,IF(L846&lt;='Assumptions and Catalog'!$C$65,L846*'Assumptions and Catalog'!$H$65+'Assumptions and Catalog'!$E$65+'Assumptions and Catalog'!$F$65,"Out of range")))))))))*(1+'Assumptions and Catalog'!$C$8)^(A846-1),0)</f>
        <v>5672.590851684291</v>
      </c>
      <c r="O846" s="5">
        <f t="shared" si="59"/>
        <v>2606.409148315709</v>
      </c>
      <c r="P846" s="5">
        <f>E$55*(1-L$14)*(1-'Assumptions and Catalog'!$C$23)^R846</f>
        <v>92.561489592319987</v>
      </c>
      <c r="Q846" s="5">
        <f>IF(ISNUMBER(Inputs!$L$5),(IF(Inputs!$L$9="Actual flat rate",((D846+E846)*C846-G846)*Inputs!$L$10,IF(Inputs!$C$9="Residential",IF(((D846+E846)*C846-G846)&lt;='Assumptions and Catalog'!$C$50,((D846+E846)*C846-G846)*'Assumptions and Catalog'!$H$50+'Assumptions and Catalog'!$E$50+'Assumptions and Catalog'!$F$50,IF(((D846+E846)*C846-G846)&lt;='Assumptions and Catalog'!$C$51,((D846+E846)*C846-G846)*'Assumptions and Catalog'!$H$51+'Assumptions and Catalog'!$E$51+'Assumptions and Catalog'!$F$51,IF(((D846+E846)*C846-G846)&lt;='Assumptions and Catalog'!$C$52,((D846+E846)*C846-G846)*'Assumptions and Catalog'!$H$52+'Assumptions and Catalog'!$E$52+'Assumptions and Catalog'!$F$52,IF(((D846+E846)*C846-G846)&lt;='Assumptions and Catalog'!$C$53,((D846+E846)*C846-G846)*'Assumptions and Catalog'!$H$53+'Assumptions and Catalog'!$E$53+'Assumptions and Catalog'!$F$53,IF(((D846+E846)*C846-G846)&lt;='Assumptions and Catalog'!$C$54,((D846+E846)*C846-G846)*'Assumptions and Catalog'!$H$54+'Assumptions and Catalog'!$E$54+'Assumptions and Catalog'!$F$54,IF(((D846+E846)*C846-G846)&lt;='Assumptions and Catalog'!$C$55,((D846+E846)*C846-G846)*'Assumptions and Catalog'!$H$55+'Assumptions and Catalog'!$E$55+'Assumptions and Catalog'!$F$55,IF(((D846+E846)*C846-G846)&lt;='Assumptions and Catalog'!$C$56,((D846+E846)*C846-G846)*'Assumptions and Catalog'!$H$56+'Assumptions and Catalog'!$E$56+'Assumptions and Catalog'!$F$56,IF(((D846+E846)*C846-G846)&lt;='Assumptions and Catalog'!$C$57,((D846+E846)*C846-G846)*'Assumptions and Catalog'!$H$57+'Assumptions and Catalog'!$E$57+'Assumptions and Catalog'!$F$57,"Out of range")))))))),IF(((D846+E846)*C846-G846)&lt;='Assumptions and Catalog'!$C$60,((D846+E846)*C846-G846)*'Assumptions and Catalog'!$H$60+'Assumptions and Catalog'!$E$60+'Assumptions and Catalog'!$F$60,IF(((D846+E846)*C846-G846)&lt;='Assumptions and Catalog'!$C$61,((D846+E846)*C846-G846)*'Assumptions and Catalog'!$H$61+'Assumptions and Catalog'!$E$61+'Assumptions and Catalog'!$F$61,IF(((D846+E846)*C846-G846)&lt;='Assumptions and Catalog'!$C$62,((D846+E846)*C846-G846)*'Assumptions and Catalog'!$H$62+'Assumptions and Catalog'!$E$62+'Assumptions and Catalog'!$F$62,IF(((D846+E846)*C846-G846)&lt;='Assumptions and Catalog'!$C$63,((D846+E846)*C846-G846)*'Assumptions and Catalog'!$H$63+'Assumptions and Catalog'!$E$63+'Assumptions and Catalog'!$F$63,IF(((D846+E846)*C846-G846)&lt;='Assumptions and Catalog'!$C$64,((D846+E846)*C846-G846)*'Assumptions and Catalog'!$H$64+'Assumptions and Catalog'!$E$64+'Assumptions and Catalog'!$F$64,IF(((D846+E846)*C846-G846)&lt;='Assumptions and Catalog'!$C$65,((D846+E846)*C846-G846)*'Assumptions and Catalog'!$H$65+'Assumptions and Catalog'!$E$65+'Assumptions and Catalog'!$F$65,"Out of range")))))))))*(1+'Assumptions and Catalog'!$C$8)^(A846-1),0)</f>
        <v>5672.590851684291</v>
      </c>
      <c r="R846" s="5">
        <f>IF(AND('Assumptions and Catalog'!$C$19&gt;0,A846&gt;='Assumptions and Catalog'!$C$19),A846-'Assumptions and Catalog'!$C$19,A846-1)</f>
        <v>5</v>
      </c>
      <c r="S846" s="5">
        <f>F846+L846-(D846+E846)*C846-J846-K846-IF(E$52&gt;0,'Assumptions and Catalog'!$C$26*C846,0)</f>
        <v>0</v>
      </c>
      <c r="T846" s="5"/>
      <c r="U846" s="5"/>
    </row>
    <row r="847" spans="1:21" ht="23.1" customHeight="1" outlineLevel="1" x14ac:dyDescent="0.2">
      <c r="A847" s="5">
        <v>16</v>
      </c>
      <c r="B847" s="5">
        <v>7</v>
      </c>
      <c r="C847" s="5">
        <f>DAY(DATE('Assumptions and Catalog'!$C$24+A847-1,B847+1,0))</f>
        <v>31</v>
      </c>
      <c r="D847" s="5">
        <f>IF(ISNUMBER(Inputs!$L$5),Inputs!$L$5*Inputs!$L$6,0)</f>
        <v>40.35</v>
      </c>
      <c r="E847" s="5">
        <f>IF(ISNUMBER(Inputs!$L$5),Inputs!$L$5-D847,0)</f>
        <v>40.35</v>
      </c>
      <c r="F847" s="5">
        <f>E$51*'Assumptions and Catalog'!$C$31*C847*(1-'Assumptions and Catalog'!$C$10)^(A847-1)</f>
        <v>787.58953573395422</v>
      </c>
      <c r="G847" s="5">
        <f t="shared" si="56"/>
        <v>787.58953573395422</v>
      </c>
      <c r="H847" s="5">
        <f>I847/('Assumptions and Catalog'!$C$11*'Assumptions and Catalog'!$C$12)</f>
        <v>0</v>
      </c>
      <c r="I847" s="5">
        <f>MIN(E847*C847,P847*'Assumptions and Catalog'!$C$12*C847,(F847-G847)*'Assumptions and Catalog'!$C$11*'Assumptions and Catalog'!$C$12,E$56*'Assumptions and Catalog'!$C$14*'Assumptions and Catalog'!$C$11*'Assumptions and Catalog'!$C$12*C847,E$57*(24-'Assumptions and Catalog'!$C$13)*C847)</f>
        <v>0</v>
      </c>
      <c r="J847" s="5">
        <f t="shared" si="57"/>
        <v>0</v>
      </c>
      <c r="K847" s="5">
        <f t="shared" si="58"/>
        <v>0</v>
      </c>
      <c r="L847" s="5">
        <f>(D847+E847)*C847-G847-I847+0+IF(E$52&gt;0,'Assumptions and Catalog'!$C$26*C847,0)</f>
        <v>1714.1104642660462</v>
      </c>
      <c r="M847" s="5">
        <f>IF(ISNUMBER(Inputs!$L$5),(IF(Inputs!$L$9="Actual flat rate",((D847+E847)*C847)*Inputs!$L$10,IF(Inputs!$C$9="Residential",IF(((D847+E847)*C847)&lt;='Assumptions and Catalog'!$C$50,((D847+E847)*C847)*'Assumptions and Catalog'!$H$50+'Assumptions and Catalog'!$E$50+'Assumptions and Catalog'!$F$50,IF(((D847+E847)*C847)&lt;='Assumptions and Catalog'!$C$51,((D847+E847)*C847)*'Assumptions and Catalog'!$H$51+'Assumptions and Catalog'!$E$51+'Assumptions and Catalog'!$F$51,IF(((D847+E847)*C847)&lt;='Assumptions and Catalog'!$C$52,((D847+E847)*C847)*'Assumptions and Catalog'!$H$52+'Assumptions and Catalog'!$E$52+'Assumptions and Catalog'!$F$52,IF(((D847+E847)*C847)&lt;='Assumptions and Catalog'!$C$53,((D847+E847)*C847)*'Assumptions and Catalog'!$H$53+'Assumptions and Catalog'!$E$53+'Assumptions and Catalog'!$F$53,IF(((D847+E847)*C847)&lt;='Assumptions and Catalog'!$C$54,((D847+E847)*C847)*'Assumptions and Catalog'!$H$54+'Assumptions and Catalog'!$E$54+'Assumptions and Catalog'!$F$54,IF(((D847+E847)*C847)&lt;='Assumptions and Catalog'!$C$55,((D847+E847)*C847)*'Assumptions and Catalog'!$H$55+'Assumptions and Catalog'!$E$55+'Assumptions and Catalog'!$F$55,IF(((D847+E847)*C847)&lt;='Assumptions and Catalog'!$C$56,((D847+E847)*C847)*'Assumptions and Catalog'!$H$56+'Assumptions and Catalog'!$E$56+'Assumptions and Catalog'!$F$56,IF(((D847+E847)*C847)&lt;='Assumptions and Catalog'!$C$57,((D847+E847)*C847)*'Assumptions and Catalog'!$H$57+'Assumptions and Catalog'!$E$57+'Assumptions and Catalog'!$F$57,"Out of range")))))))),IF(((D847+E847)*C847)&lt;='Assumptions and Catalog'!$C$60,((D847+E847)*C847)*'Assumptions and Catalog'!$H$60+'Assumptions and Catalog'!$E$60+'Assumptions and Catalog'!$F$60,IF(((D847+E847)*C847)&lt;='Assumptions and Catalog'!$C$61,((D847+E847)*C847)*'Assumptions and Catalog'!$H$61+'Assumptions and Catalog'!$E$61+'Assumptions and Catalog'!$F$61,IF(((D847+E847)*C847)&lt;='Assumptions and Catalog'!$C$62,((D847+E847)*C847)*'Assumptions and Catalog'!$H$62+'Assumptions and Catalog'!$E$62+'Assumptions and Catalog'!$F$62,IF(((D847+E847)*C847)&lt;='Assumptions and Catalog'!$C$63,((D847+E847)*C847)*'Assumptions and Catalog'!$H$63+'Assumptions and Catalog'!$E$63+'Assumptions and Catalog'!$F$63,IF(((D847+E847)*C847)&lt;='Assumptions and Catalog'!$C$64,((D847+E847)*C847)*'Assumptions and Catalog'!$H$64+'Assumptions and Catalog'!$E$64+'Assumptions and Catalog'!$F$64,IF(((D847+E847)*C847)&lt;='Assumptions and Catalog'!$C$65,((D847+E847)*C847)*'Assumptions and Catalog'!$H$65+'Assumptions and Catalog'!$E$65+'Assumptions and Catalog'!$F$65,"Out of range")))))))))*(1+'Assumptions and Catalog'!$C$8)^(A847-1),0)</f>
        <v>8554.9666666666672</v>
      </c>
      <c r="N847" s="5">
        <f>IF(ISNUMBER(Inputs!$L$5),(IF(Inputs!$L$9="Actual flat rate",L847*Inputs!$L$10,IF(Inputs!$C$9="Residential",IF(L847&lt;='Assumptions and Catalog'!$C$50,L847*'Assumptions and Catalog'!$H$50+'Assumptions and Catalog'!$E$50+'Assumptions and Catalog'!$F$50,IF(L847&lt;='Assumptions and Catalog'!$C$51,L847*'Assumptions and Catalog'!$H$51+'Assumptions and Catalog'!$E$51+'Assumptions and Catalog'!$F$51,IF(L847&lt;='Assumptions and Catalog'!$C$52,L847*'Assumptions and Catalog'!$H$52+'Assumptions and Catalog'!$E$52+'Assumptions and Catalog'!$F$52,IF(L847&lt;='Assumptions and Catalog'!$C$53,L847*'Assumptions and Catalog'!$H$53+'Assumptions and Catalog'!$E$53+'Assumptions and Catalog'!$F$53,IF(L847&lt;='Assumptions and Catalog'!$C$54,L847*'Assumptions and Catalog'!$H$54+'Assumptions and Catalog'!$E$54+'Assumptions and Catalog'!$F$54,IF(L847&lt;='Assumptions and Catalog'!$C$55,L847*'Assumptions and Catalog'!$H$55+'Assumptions and Catalog'!$E$55+'Assumptions and Catalog'!$F$55,IF(L847&lt;='Assumptions and Catalog'!$C$56,L847*'Assumptions and Catalog'!$H$56+'Assumptions and Catalog'!$E$56+'Assumptions and Catalog'!$F$56,IF(L847&lt;='Assumptions and Catalog'!$C$57,L847*'Assumptions and Catalog'!$H$57+'Assumptions and Catalog'!$E$57+'Assumptions and Catalog'!$F$57,"Out of range")))))))),IF(L847&lt;='Assumptions and Catalog'!$C$60,L847*'Assumptions and Catalog'!$H$60+'Assumptions and Catalog'!$E$60+'Assumptions and Catalog'!$F$60,IF(L847&lt;='Assumptions and Catalog'!$C$61,L847*'Assumptions and Catalog'!$H$61+'Assumptions and Catalog'!$E$61+'Assumptions and Catalog'!$F$61,IF(L847&lt;='Assumptions and Catalog'!$C$62,L847*'Assumptions and Catalog'!$H$62+'Assumptions and Catalog'!$E$62+'Assumptions and Catalog'!$F$62,IF(L847&lt;='Assumptions and Catalog'!$C$63,L847*'Assumptions and Catalog'!$H$63+'Assumptions and Catalog'!$E$63+'Assumptions and Catalog'!$F$63,IF(L847&lt;='Assumptions and Catalog'!$C$64,L847*'Assumptions and Catalog'!$H$64+'Assumptions and Catalog'!$E$64+'Assumptions and Catalog'!$F$64,IF(L847&lt;='Assumptions and Catalog'!$C$65,L847*'Assumptions and Catalog'!$H$65+'Assumptions and Catalog'!$E$65+'Assumptions and Catalog'!$F$65,"Out of range")))))))))*(1+'Assumptions and Catalog'!$C$8)^(A847-1),0)</f>
        <v>5861.6772134071025</v>
      </c>
      <c r="O847" s="5">
        <f t="shared" si="59"/>
        <v>2693.2894532595647</v>
      </c>
      <c r="P847" s="5">
        <f>E$55*(1-L$14)*(1-'Assumptions and Catalog'!$C$23)^R847</f>
        <v>92.561489592319987</v>
      </c>
      <c r="Q847" s="5">
        <f>IF(ISNUMBER(Inputs!$L$5),(IF(Inputs!$L$9="Actual flat rate",((D847+E847)*C847-G847)*Inputs!$L$10,IF(Inputs!$C$9="Residential",IF(((D847+E847)*C847-G847)&lt;='Assumptions and Catalog'!$C$50,((D847+E847)*C847-G847)*'Assumptions and Catalog'!$H$50+'Assumptions and Catalog'!$E$50+'Assumptions and Catalog'!$F$50,IF(((D847+E847)*C847-G847)&lt;='Assumptions and Catalog'!$C$51,((D847+E847)*C847-G847)*'Assumptions and Catalog'!$H$51+'Assumptions and Catalog'!$E$51+'Assumptions and Catalog'!$F$51,IF(((D847+E847)*C847-G847)&lt;='Assumptions and Catalog'!$C$52,((D847+E847)*C847-G847)*'Assumptions and Catalog'!$H$52+'Assumptions and Catalog'!$E$52+'Assumptions and Catalog'!$F$52,IF(((D847+E847)*C847-G847)&lt;='Assumptions and Catalog'!$C$53,((D847+E847)*C847-G847)*'Assumptions and Catalog'!$H$53+'Assumptions and Catalog'!$E$53+'Assumptions and Catalog'!$F$53,IF(((D847+E847)*C847-G847)&lt;='Assumptions and Catalog'!$C$54,((D847+E847)*C847-G847)*'Assumptions and Catalog'!$H$54+'Assumptions and Catalog'!$E$54+'Assumptions and Catalog'!$F$54,IF(((D847+E847)*C847-G847)&lt;='Assumptions and Catalog'!$C$55,((D847+E847)*C847-G847)*'Assumptions and Catalog'!$H$55+'Assumptions and Catalog'!$E$55+'Assumptions and Catalog'!$F$55,IF(((D847+E847)*C847-G847)&lt;='Assumptions and Catalog'!$C$56,((D847+E847)*C847-G847)*'Assumptions and Catalog'!$H$56+'Assumptions and Catalog'!$E$56+'Assumptions and Catalog'!$F$56,IF(((D847+E847)*C847-G847)&lt;='Assumptions and Catalog'!$C$57,((D847+E847)*C847-G847)*'Assumptions and Catalog'!$H$57+'Assumptions and Catalog'!$E$57+'Assumptions and Catalog'!$F$57,"Out of range")))))))),IF(((D847+E847)*C847-G847)&lt;='Assumptions and Catalog'!$C$60,((D847+E847)*C847-G847)*'Assumptions and Catalog'!$H$60+'Assumptions and Catalog'!$E$60+'Assumptions and Catalog'!$F$60,IF(((D847+E847)*C847-G847)&lt;='Assumptions and Catalog'!$C$61,((D847+E847)*C847-G847)*'Assumptions and Catalog'!$H$61+'Assumptions and Catalog'!$E$61+'Assumptions and Catalog'!$F$61,IF(((D847+E847)*C847-G847)&lt;='Assumptions and Catalog'!$C$62,((D847+E847)*C847-G847)*'Assumptions and Catalog'!$H$62+'Assumptions and Catalog'!$E$62+'Assumptions and Catalog'!$F$62,IF(((D847+E847)*C847-G847)&lt;='Assumptions and Catalog'!$C$63,((D847+E847)*C847-G847)*'Assumptions and Catalog'!$H$63+'Assumptions and Catalog'!$E$63+'Assumptions and Catalog'!$F$63,IF(((D847+E847)*C847-G847)&lt;='Assumptions and Catalog'!$C$64,((D847+E847)*C847-G847)*'Assumptions and Catalog'!$H$64+'Assumptions and Catalog'!$E$64+'Assumptions and Catalog'!$F$64,IF(((D847+E847)*C847-G847)&lt;='Assumptions and Catalog'!$C$65,((D847+E847)*C847-G847)*'Assumptions and Catalog'!$H$65+'Assumptions and Catalog'!$E$65+'Assumptions and Catalog'!$F$65,"Out of range")))))))))*(1+'Assumptions and Catalog'!$C$8)^(A847-1),0)</f>
        <v>5861.6772134071025</v>
      </c>
      <c r="R847" s="5">
        <f>IF(AND('Assumptions and Catalog'!$C$19&gt;0,A847&gt;='Assumptions and Catalog'!$C$19),A847-'Assumptions and Catalog'!$C$19,A847-1)</f>
        <v>5</v>
      </c>
      <c r="S847" s="5">
        <f>F847+L847-(D847+E847)*C847-J847-K847-IF(E$52&gt;0,'Assumptions and Catalog'!$C$26*C847,0)</f>
        <v>0</v>
      </c>
      <c r="T847" s="5"/>
      <c r="U847" s="5"/>
    </row>
    <row r="848" spans="1:21" ht="23.1" customHeight="1" outlineLevel="1" x14ac:dyDescent="0.2">
      <c r="A848" s="5">
        <v>16</v>
      </c>
      <c r="B848" s="5">
        <v>8</v>
      </c>
      <c r="C848" s="5">
        <f>DAY(DATE('Assumptions and Catalog'!$C$24+A848-1,B848+1,0))</f>
        <v>31</v>
      </c>
      <c r="D848" s="5">
        <f>IF(ISNUMBER(Inputs!$L$5),Inputs!$L$5*Inputs!$L$6,0)</f>
        <v>40.35</v>
      </c>
      <c r="E848" s="5">
        <f>IF(ISNUMBER(Inputs!$L$5),Inputs!$L$5-D848,0)</f>
        <v>40.35</v>
      </c>
      <c r="F848" s="5">
        <f>E$51*'Assumptions and Catalog'!$C$31*C848*(1-'Assumptions and Catalog'!$C$10)^(A848-1)</f>
        <v>787.58953573395422</v>
      </c>
      <c r="G848" s="5">
        <f t="shared" si="56"/>
        <v>787.58953573395422</v>
      </c>
      <c r="H848" s="5">
        <f>I848/('Assumptions and Catalog'!$C$11*'Assumptions and Catalog'!$C$12)</f>
        <v>0</v>
      </c>
      <c r="I848" s="5">
        <f>MIN(E848*C848,P848*'Assumptions and Catalog'!$C$12*C848,(F848-G848)*'Assumptions and Catalog'!$C$11*'Assumptions and Catalog'!$C$12,E$56*'Assumptions and Catalog'!$C$14*'Assumptions and Catalog'!$C$11*'Assumptions and Catalog'!$C$12*C848,E$57*(24-'Assumptions and Catalog'!$C$13)*C848)</f>
        <v>0</v>
      </c>
      <c r="J848" s="5">
        <f t="shared" si="57"/>
        <v>0</v>
      </c>
      <c r="K848" s="5">
        <f t="shared" si="58"/>
        <v>0</v>
      </c>
      <c r="L848" s="5">
        <f>(D848+E848)*C848-G848-I848+0+IF(E$52&gt;0,'Assumptions and Catalog'!$C$26*C848,0)</f>
        <v>1714.1104642660462</v>
      </c>
      <c r="M848" s="5">
        <f>IF(ISNUMBER(Inputs!$L$5),(IF(Inputs!$L$9="Actual flat rate",((D848+E848)*C848)*Inputs!$L$10,IF(Inputs!$C$9="Residential",IF(((D848+E848)*C848)&lt;='Assumptions and Catalog'!$C$50,((D848+E848)*C848)*'Assumptions and Catalog'!$H$50+'Assumptions and Catalog'!$E$50+'Assumptions and Catalog'!$F$50,IF(((D848+E848)*C848)&lt;='Assumptions and Catalog'!$C$51,((D848+E848)*C848)*'Assumptions and Catalog'!$H$51+'Assumptions and Catalog'!$E$51+'Assumptions and Catalog'!$F$51,IF(((D848+E848)*C848)&lt;='Assumptions and Catalog'!$C$52,((D848+E848)*C848)*'Assumptions and Catalog'!$H$52+'Assumptions and Catalog'!$E$52+'Assumptions and Catalog'!$F$52,IF(((D848+E848)*C848)&lt;='Assumptions and Catalog'!$C$53,((D848+E848)*C848)*'Assumptions and Catalog'!$H$53+'Assumptions and Catalog'!$E$53+'Assumptions and Catalog'!$F$53,IF(((D848+E848)*C848)&lt;='Assumptions and Catalog'!$C$54,((D848+E848)*C848)*'Assumptions and Catalog'!$H$54+'Assumptions and Catalog'!$E$54+'Assumptions and Catalog'!$F$54,IF(((D848+E848)*C848)&lt;='Assumptions and Catalog'!$C$55,((D848+E848)*C848)*'Assumptions and Catalog'!$H$55+'Assumptions and Catalog'!$E$55+'Assumptions and Catalog'!$F$55,IF(((D848+E848)*C848)&lt;='Assumptions and Catalog'!$C$56,((D848+E848)*C848)*'Assumptions and Catalog'!$H$56+'Assumptions and Catalog'!$E$56+'Assumptions and Catalog'!$F$56,IF(((D848+E848)*C848)&lt;='Assumptions and Catalog'!$C$57,((D848+E848)*C848)*'Assumptions and Catalog'!$H$57+'Assumptions and Catalog'!$E$57+'Assumptions and Catalog'!$F$57,"Out of range")))))))),IF(((D848+E848)*C848)&lt;='Assumptions and Catalog'!$C$60,((D848+E848)*C848)*'Assumptions and Catalog'!$H$60+'Assumptions and Catalog'!$E$60+'Assumptions and Catalog'!$F$60,IF(((D848+E848)*C848)&lt;='Assumptions and Catalog'!$C$61,((D848+E848)*C848)*'Assumptions and Catalog'!$H$61+'Assumptions and Catalog'!$E$61+'Assumptions and Catalog'!$F$61,IF(((D848+E848)*C848)&lt;='Assumptions and Catalog'!$C$62,((D848+E848)*C848)*'Assumptions and Catalog'!$H$62+'Assumptions and Catalog'!$E$62+'Assumptions and Catalog'!$F$62,IF(((D848+E848)*C848)&lt;='Assumptions and Catalog'!$C$63,((D848+E848)*C848)*'Assumptions and Catalog'!$H$63+'Assumptions and Catalog'!$E$63+'Assumptions and Catalog'!$F$63,IF(((D848+E848)*C848)&lt;='Assumptions and Catalog'!$C$64,((D848+E848)*C848)*'Assumptions and Catalog'!$H$64+'Assumptions and Catalog'!$E$64+'Assumptions and Catalog'!$F$64,IF(((D848+E848)*C848)&lt;='Assumptions and Catalog'!$C$65,((D848+E848)*C848)*'Assumptions and Catalog'!$H$65+'Assumptions and Catalog'!$E$65+'Assumptions and Catalog'!$F$65,"Out of range")))))))))*(1+'Assumptions and Catalog'!$C$8)^(A848-1),0)</f>
        <v>8554.9666666666672</v>
      </c>
      <c r="N848" s="5">
        <f>IF(ISNUMBER(Inputs!$L$5),(IF(Inputs!$L$9="Actual flat rate",L848*Inputs!$L$10,IF(Inputs!$C$9="Residential",IF(L848&lt;='Assumptions and Catalog'!$C$50,L848*'Assumptions and Catalog'!$H$50+'Assumptions and Catalog'!$E$50+'Assumptions and Catalog'!$F$50,IF(L848&lt;='Assumptions and Catalog'!$C$51,L848*'Assumptions and Catalog'!$H$51+'Assumptions and Catalog'!$E$51+'Assumptions and Catalog'!$F$51,IF(L848&lt;='Assumptions and Catalog'!$C$52,L848*'Assumptions and Catalog'!$H$52+'Assumptions and Catalog'!$E$52+'Assumptions and Catalog'!$F$52,IF(L848&lt;='Assumptions and Catalog'!$C$53,L848*'Assumptions and Catalog'!$H$53+'Assumptions and Catalog'!$E$53+'Assumptions and Catalog'!$F$53,IF(L848&lt;='Assumptions and Catalog'!$C$54,L848*'Assumptions and Catalog'!$H$54+'Assumptions and Catalog'!$E$54+'Assumptions and Catalog'!$F$54,IF(L848&lt;='Assumptions and Catalog'!$C$55,L848*'Assumptions and Catalog'!$H$55+'Assumptions and Catalog'!$E$55+'Assumptions and Catalog'!$F$55,IF(L848&lt;='Assumptions and Catalog'!$C$56,L848*'Assumptions and Catalog'!$H$56+'Assumptions and Catalog'!$E$56+'Assumptions and Catalog'!$F$56,IF(L848&lt;='Assumptions and Catalog'!$C$57,L848*'Assumptions and Catalog'!$H$57+'Assumptions and Catalog'!$E$57+'Assumptions and Catalog'!$F$57,"Out of range")))))))),IF(L848&lt;='Assumptions and Catalog'!$C$60,L848*'Assumptions and Catalog'!$H$60+'Assumptions and Catalog'!$E$60+'Assumptions and Catalog'!$F$60,IF(L848&lt;='Assumptions and Catalog'!$C$61,L848*'Assumptions and Catalog'!$H$61+'Assumptions and Catalog'!$E$61+'Assumptions and Catalog'!$F$61,IF(L848&lt;='Assumptions and Catalog'!$C$62,L848*'Assumptions and Catalog'!$H$62+'Assumptions and Catalog'!$E$62+'Assumptions and Catalog'!$F$62,IF(L848&lt;='Assumptions and Catalog'!$C$63,L848*'Assumptions and Catalog'!$H$63+'Assumptions and Catalog'!$E$63+'Assumptions and Catalog'!$F$63,IF(L848&lt;='Assumptions and Catalog'!$C$64,L848*'Assumptions and Catalog'!$H$64+'Assumptions and Catalog'!$E$64+'Assumptions and Catalog'!$F$64,IF(L848&lt;='Assumptions and Catalog'!$C$65,L848*'Assumptions and Catalog'!$H$65+'Assumptions and Catalog'!$E$65+'Assumptions and Catalog'!$F$65,"Out of range")))))))))*(1+'Assumptions and Catalog'!$C$8)^(A848-1),0)</f>
        <v>5861.6772134071025</v>
      </c>
      <c r="O848" s="5">
        <f t="shared" si="59"/>
        <v>2693.2894532595647</v>
      </c>
      <c r="P848" s="5">
        <f>E$55*(1-L$14)*(1-'Assumptions and Catalog'!$C$23)^R848</f>
        <v>92.561489592319987</v>
      </c>
      <c r="Q848" s="5">
        <f>IF(ISNUMBER(Inputs!$L$5),(IF(Inputs!$L$9="Actual flat rate",((D848+E848)*C848-G848)*Inputs!$L$10,IF(Inputs!$C$9="Residential",IF(((D848+E848)*C848-G848)&lt;='Assumptions and Catalog'!$C$50,((D848+E848)*C848-G848)*'Assumptions and Catalog'!$H$50+'Assumptions and Catalog'!$E$50+'Assumptions and Catalog'!$F$50,IF(((D848+E848)*C848-G848)&lt;='Assumptions and Catalog'!$C$51,((D848+E848)*C848-G848)*'Assumptions and Catalog'!$H$51+'Assumptions and Catalog'!$E$51+'Assumptions and Catalog'!$F$51,IF(((D848+E848)*C848-G848)&lt;='Assumptions and Catalog'!$C$52,((D848+E848)*C848-G848)*'Assumptions and Catalog'!$H$52+'Assumptions and Catalog'!$E$52+'Assumptions and Catalog'!$F$52,IF(((D848+E848)*C848-G848)&lt;='Assumptions and Catalog'!$C$53,((D848+E848)*C848-G848)*'Assumptions and Catalog'!$H$53+'Assumptions and Catalog'!$E$53+'Assumptions and Catalog'!$F$53,IF(((D848+E848)*C848-G848)&lt;='Assumptions and Catalog'!$C$54,((D848+E848)*C848-G848)*'Assumptions and Catalog'!$H$54+'Assumptions and Catalog'!$E$54+'Assumptions and Catalog'!$F$54,IF(((D848+E848)*C848-G848)&lt;='Assumptions and Catalog'!$C$55,((D848+E848)*C848-G848)*'Assumptions and Catalog'!$H$55+'Assumptions and Catalog'!$E$55+'Assumptions and Catalog'!$F$55,IF(((D848+E848)*C848-G848)&lt;='Assumptions and Catalog'!$C$56,((D848+E848)*C848-G848)*'Assumptions and Catalog'!$H$56+'Assumptions and Catalog'!$E$56+'Assumptions and Catalog'!$F$56,IF(((D848+E848)*C848-G848)&lt;='Assumptions and Catalog'!$C$57,((D848+E848)*C848-G848)*'Assumptions and Catalog'!$H$57+'Assumptions and Catalog'!$E$57+'Assumptions and Catalog'!$F$57,"Out of range")))))))),IF(((D848+E848)*C848-G848)&lt;='Assumptions and Catalog'!$C$60,((D848+E848)*C848-G848)*'Assumptions and Catalog'!$H$60+'Assumptions and Catalog'!$E$60+'Assumptions and Catalog'!$F$60,IF(((D848+E848)*C848-G848)&lt;='Assumptions and Catalog'!$C$61,((D848+E848)*C848-G848)*'Assumptions and Catalog'!$H$61+'Assumptions and Catalog'!$E$61+'Assumptions and Catalog'!$F$61,IF(((D848+E848)*C848-G848)&lt;='Assumptions and Catalog'!$C$62,((D848+E848)*C848-G848)*'Assumptions and Catalog'!$H$62+'Assumptions and Catalog'!$E$62+'Assumptions and Catalog'!$F$62,IF(((D848+E848)*C848-G848)&lt;='Assumptions and Catalog'!$C$63,((D848+E848)*C848-G848)*'Assumptions and Catalog'!$H$63+'Assumptions and Catalog'!$E$63+'Assumptions and Catalog'!$F$63,IF(((D848+E848)*C848-G848)&lt;='Assumptions and Catalog'!$C$64,((D848+E848)*C848-G848)*'Assumptions and Catalog'!$H$64+'Assumptions and Catalog'!$E$64+'Assumptions and Catalog'!$F$64,IF(((D848+E848)*C848-G848)&lt;='Assumptions and Catalog'!$C$65,((D848+E848)*C848-G848)*'Assumptions and Catalog'!$H$65+'Assumptions and Catalog'!$E$65+'Assumptions and Catalog'!$F$65,"Out of range")))))))))*(1+'Assumptions and Catalog'!$C$8)^(A848-1),0)</f>
        <v>5861.6772134071025</v>
      </c>
      <c r="R848" s="5">
        <f>IF(AND('Assumptions and Catalog'!$C$19&gt;0,A848&gt;='Assumptions and Catalog'!$C$19),A848-'Assumptions and Catalog'!$C$19,A848-1)</f>
        <v>5</v>
      </c>
      <c r="S848" s="5">
        <f>F848+L848-(D848+E848)*C848-J848-K848-IF(E$52&gt;0,'Assumptions and Catalog'!$C$26*C848,0)</f>
        <v>0</v>
      </c>
      <c r="T848" s="5"/>
      <c r="U848" s="5"/>
    </row>
    <row r="849" spans="1:21" ht="23.1" customHeight="1" outlineLevel="1" x14ac:dyDescent="0.2">
      <c r="A849" s="5">
        <v>16</v>
      </c>
      <c r="B849" s="5">
        <v>9</v>
      </c>
      <c r="C849" s="5">
        <f>DAY(DATE('Assumptions and Catalog'!$C$24+A849-1,B849+1,0))</f>
        <v>30</v>
      </c>
      <c r="D849" s="5">
        <f>IF(ISNUMBER(Inputs!$L$5),Inputs!$L$5*Inputs!$L$6,0)</f>
        <v>40.35</v>
      </c>
      <c r="E849" s="5">
        <f>IF(ISNUMBER(Inputs!$L$5),Inputs!$L$5-D849,0)</f>
        <v>40.35</v>
      </c>
      <c r="F849" s="5">
        <f>E$51*'Assumptions and Catalog'!$C$31*C849*(1-'Assumptions and Catalog'!$C$10)^(A849-1)</f>
        <v>762.18342167802018</v>
      </c>
      <c r="G849" s="5">
        <f t="shared" si="56"/>
        <v>762.18342167802018</v>
      </c>
      <c r="H849" s="5">
        <f>I849/('Assumptions and Catalog'!$C$11*'Assumptions and Catalog'!$C$12)</f>
        <v>0</v>
      </c>
      <c r="I849" s="5">
        <f>MIN(E849*C849,P849*'Assumptions and Catalog'!$C$12*C849,(F849-G849)*'Assumptions and Catalog'!$C$11*'Assumptions and Catalog'!$C$12,E$56*'Assumptions and Catalog'!$C$14*'Assumptions and Catalog'!$C$11*'Assumptions and Catalog'!$C$12*C849,E$57*(24-'Assumptions and Catalog'!$C$13)*C849)</f>
        <v>0</v>
      </c>
      <c r="J849" s="5">
        <f t="shared" si="57"/>
        <v>0</v>
      </c>
      <c r="K849" s="5">
        <f t="shared" si="58"/>
        <v>0</v>
      </c>
      <c r="L849" s="5">
        <f>(D849+E849)*C849-G849-I849+0+IF(E$52&gt;0,'Assumptions and Catalog'!$C$26*C849,0)</f>
        <v>1658.8165783219797</v>
      </c>
      <c r="M849" s="5">
        <f>IF(ISNUMBER(Inputs!$L$5),(IF(Inputs!$L$9="Actual flat rate",((D849+E849)*C849)*Inputs!$L$10,IF(Inputs!$C$9="Residential",IF(((D849+E849)*C849)&lt;='Assumptions and Catalog'!$C$50,((D849+E849)*C849)*'Assumptions and Catalog'!$H$50+'Assumptions and Catalog'!$E$50+'Assumptions and Catalog'!$F$50,IF(((D849+E849)*C849)&lt;='Assumptions and Catalog'!$C$51,((D849+E849)*C849)*'Assumptions and Catalog'!$H$51+'Assumptions and Catalog'!$E$51+'Assumptions and Catalog'!$F$51,IF(((D849+E849)*C849)&lt;='Assumptions and Catalog'!$C$52,((D849+E849)*C849)*'Assumptions and Catalog'!$H$52+'Assumptions and Catalog'!$E$52+'Assumptions and Catalog'!$F$52,IF(((D849+E849)*C849)&lt;='Assumptions and Catalog'!$C$53,((D849+E849)*C849)*'Assumptions and Catalog'!$H$53+'Assumptions and Catalog'!$E$53+'Assumptions and Catalog'!$F$53,IF(((D849+E849)*C849)&lt;='Assumptions and Catalog'!$C$54,((D849+E849)*C849)*'Assumptions and Catalog'!$H$54+'Assumptions and Catalog'!$E$54+'Assumptions and Catalog'!$F$54,IF(((D849+E849)*C849)&lt;='Assumptions and Catalog'!$C$55,((D849+E849)*C849)*'Assumptions and Catalog'!$H$55+'Assumptions and Catalog'!$E$55+'Assumptions and Catalog'!$F$55,IF(((D849+E849)*C849)&lt;='Assumptions and Catalog'!$C$56,((D849+E849)*C849)*'Assumptions and Catalog'!$H$56+'Assumptions and Catalog'!$E$56+'Assumptions and Catalog'!$F$56,IF(((D849+E849)*C849)&lt;='Assumptions and Catalog'!$C$57,((D849+E849)*C849)*'Assumptions and Catalog'!$H$57+'Assumptions and Catalog'!$E$57+'Assumptions and Catalog'!$F$57,"Out of range")))))))),IF(((D849+E849)*C849)&lt;='Assumptions and Catalog'!$C$60,((D849+E849)*C849)*'Assumptions and Catalog'!$H$60+'Assumptions and Catalog'!$E$60+'Assumptions and Catalog'!$F$60,IF(((D849+E849)*C849)&lt;='Assumptions and Catalog'!$C$61,((D849+E849)*C849)*'Assumptions and Catalog'!$H$61+'Assumptions and Catalog'!$E$61+'Assumptions and Catalog'!$F$61,IF(((D849+E849)*C849)&lt;='Assumptions and Catalog'!$C$62,((D849+E849)*C849)*'Assumptions and Catalog'!$H$62+'Assumptions and Catalog'!$E$62+'Assumptions and Catalog'!$F$62,IF(((D849+E849)*C849)&lt;='Assumptions and Catalog'!$C$63,((D849+E849)*C849)*'Assumptions and Catalog'!$H$63+'Assumptions and Catalog'!$E$63+'Assumptions and Catalog'!$F$63,IF(((D849+E849)*C849)&lt;='Assumptions and Catalog'!$C$64,((D849+E849)*C849)*'Assumptions and Catalog'!$H$64+'Assumptions and Catalog'!$E$64+'Assumptions and Catalog'!$F$64,IF(((D849+E849)*C849)&lt;='Assumptions and Catalog'!$C$65,((D849+E849)*C849)*'Assumptions and Catalog'!$H$65+'Assumptions and Catalog'!$E$65+'Assumptions and Catalog'!$F$65,"Out of range")))))))))*(1+'Assumptions and Catalog'!$C$8)^(A849-1),0)</f>
        <v>8279</v>
      </c>
      <c r="N849" s="5">
        <f>IF(ISNUMBER(Inputs!$L$5),(IF(Inputs!$L$9="Actual flat rate",L849*Inputs!$L$10,IF(Inputs!$C$9="Residential",IF(L849&lt;='Assumptions and Catalog'!$C$50,L849*'Assumptions and Catalog'!$H$50+'Assumptions and Catalog'!$E$50+'Assumptions and Catalog'!$F$50,IF(L849&lt;='Assumptions and Catalog'!$C$51,L849*'Assumptions and Catalog'!$H$51+'Assumptions and Catalog'!$E$51+'Assumptions and Catalog'!$F$51,IF(L849&lt;='Assumptions and Catalog'!$C$52,L849*'Assumptions and Catalog'!$H$52+'Assumptions and Catalog'!$E$52+'Assumptions and Catalog'!$F$52,IF(L849&lt;='Assumptions and Catalog'!$C$53,L849*'Assumptions and Catalog'!$H$53+'Assumptions and Catalog'!$E$53+'Assumptions and Catalog'!$F$53,IF(L849&lt;='Assumptions and Catalog'!$C$54,L849*'Assumptions and Catalog'!$H$54+'Assumptions and Catalog'!$E$54+'Assumptions and Catalog'!$F$54,IF(L849&lt;='Assumptions and Catalog'!$C$55,L849*'Assumptions and Catalog'!$H$55+'Assumptions and Catalog'!$E$55+'Assumptions and Catalog'!$F$55,IF(L849&lt;='Assumptions and Catalog'!$C$56,L849*'Assumptions and Catalog'!$H$56+'Assumptions and Catalog'!$E$56+'Assumptions and Catalog'!$F$56,IF(L849&lt;='Assumptions and Catalog'!$C$57,L849*'Assumptions and Catalog'!$H$57+'Assumptions and Catalog'!$E$57+'Assumptions and Catalog'!$F$57,"Out of range")))))))),IF(L849&lt;='Assumptions and Catalog'!$C$60,L849*'Assumptions and Catalog'!$H$60+'Assumptions and Catalog'!$E$60+'Assumptions and Catalog'!$F$60,IF(L849&lt;='Assumptions and Catalog'!$C$61,L849*'Assumptions and Catalog'!$H$61+'Assumptions and Catalog'!$E$61+'Assumptions and Catalog'!$F$61,IF(L849&lt;='Assumptions and Catalog'!$C$62,L849*'Assumptions and Catalog'!$H$62+'Assumptions and Catalog'!$E$62+'Assumptions and Catalog'!$F$62,IF(L849&lt;='Assumptions and Catalog'!$C$63,L849*'Assumptions and Catalog'!$H$63+'Assumptions and Catalog'!$E$63+'Assumptions and Catalog'!$F$63,IF(L849&lt;='Assumptions and Catalog'!$C$64,L849*'Assumptions and Catalog'!$H$64+'Assumptions and Catalog'!$E$64+'Assumptions and Catalog'!$F$64,IF(L849&lt;='Assumptions and Catalog'!$C$65,L849*'Assumptions and Catalog'!$H$65+'Assumptions and Catalog'!$E$65+'Assumptions and Catalog'!$F$65,"Out of range")))))))))*(1+'Assumptions and Catalog'!$C$8)^(A849-1),0)</f>
        <v>5672.590851684291</v>
      </c>
      <c r="O849" s="5">
        <f t="shared" si="59"/>
        <v>2606.409148315709</v>
      </c>
      <c r="P849" s="5">
        <f>E$55*(1-L$14)*(1-'Assumptions and Catalog'!$C$23)^R849</f>
        <v>92.561489592319987</v>
      </c>
      <c r="Q849" s="5">
        <f>IF(ISNUMBER(Inputs!$L$5),(IF(Inputs!$L$9="Actual flat rate",((D849+E849)*C849-G849)*Inputs!$L$10,IF(Inputs!$C$9="Residential",IF(((D849+E849)*C849-G849)&lt;='Assumptions and Catalog'!$C$50,((D849+E849)*C849-G849)*'Assumptions and Catalog'!$H$50+'Assumptions and Catalog'!$E$50+'Assumptions and Catalog'!$F$50,IF(((D849+E849)*C849-G849)&lt;='Assumptions and Catalog'!$C$51,((D849+E849)*C849-G849)*'Assumptions and Catalog'!$H$51+'Assumptions and Catalog'!$E$51+'Assumptions and Catalog'!$F$51,IF(((D849+E849)*C849-G849)&lt;='Assumptions and Catalog'!$C$52,((D849+E849)*C849-G849)*'Assumptions and Catalog'!$H$52+'Assumptions and Catalog'!$E$52+'Assumptions and Catalog'!$F$52,IF(((D849+E849)*C849-G849)&lt;='Assumptions and Catalog'!$C$53,((D849+E849)*C849-G849)*'Assumptions and Catalog'!$H$53+'Assumptions and Catalog'!$E$53+'Assumptions and Catalog'!$F$53,IF(((D849+E849)*C849-G849)&lt;='Assumptions and Catalog'!$C$54,((D849+E849)*C849-G849)*'Assumptions and Catalog'!$H$54+'Assumptions and Catalog'!$E$54+'Assumptions and Catalog'!$F$54,IF(((D849+E849)*C849-G849)&lt;='Assumptions and Catalog'!$C$55,((D849+E849)*C849-G849)*'Assumptions and Catalog'!$H$55+'Assumptions and Catalog'!$E$55+'Assumptions and Catalog'!$F$55,IF(((D849+E849)*C849-G849)&lt;='Assumptions and Catalog'!$C$56,((D849+E849)*C849-G849)*'Assumptions and Catalog'!$H$56+'Assumptions and Catalog'!$E$56+'Assumptions and Catalog'!$F$56,IF(((D849+E849)*C849-G849)&lt;='Assumptions and Catalog'!$C$57,((D849+E849)*C849-G849)*'Assumptions and Catalog'!$H$57+'Assumptions and Catalog'!$E$57+'Assumptions and Catalog'!$F$57,"Out of range")))))))),IF(((D849+E849)*C849-G849)&lt;='Assumptions and Catalog'!$C$60,((D849+E849)*C849-G849)*'Assumptions and Catalog'!$H$60+'Assumptions and Catalog'!$E$60+'Assumptions and Catalog'!$F$60,IF(((D849+E849)*C849-G849)&lt;='Assumptions and Catalog'!$C$61,((D849+E849)*C849-G849)*'Assumptions and Catalog'!$H$61+'Assumptions and Catalog'!$E$61+'Assumptions and Catalog'!$F$61,IF(((D849+E849)*C849-G849)&lt;='Assumptions and Catalog'!$C$62,((D849+E849)*C849-G849)*'Assumptions and Catalog'!$H$62+'Assumptions and Catalog'!$E$62+'Assumptions and Catalog'!$F$62,IF(((D849+E849)*C849-G849)&lt;='Assumptions and Catalog'!$C$63,((D849+E849)*C849-G849)*'Assumptions and Catalog'!$H$63+'Assumptions and Catalog'!$E$63+'Assumptions and Catalog'!$F$63,IF(((D849+E849)*C849-G849)&lt;='Assumptions and Catalog'!$C$64,((D849+E849)*C849-G849)*'Assumptions and Catalog'!$H$64+'Assumptions and Catalog'!$E$64+'Assumptions and Catalog'!$F$64,IF(((D849+E849)*C849-G849)&lt;='Assumptions and Catalog'!$C$65,((D849+E849)*C849-G849)*'Assumptions and Catalog'!$H$65+'Assumptions and Catalog'!$E$65+'Assumptions and Catalog'!$F$65,"Out of range")))))))))*(1+'Assumptions and Catalog'!$C$8)^(A849-1),0)</f>
        <v>5672.590851684291</v>
      </c>
      <c r="R849" s="5">
        <f>IF(AND('Assumptions and Catalog'!$C$19&gt;0,A849&gt;='Assumptions and Catalog'!$C$19),A849-'Assumptions and Catalog'!$C$19,A849-1)</f>
        <v>5</v>
      </c>
      <c r="S849" s="5">
        <f>F849+L849-(D849+E849)*C849-J849-K849-IF(E$52&gt;0,'Assumptions and Catalog'!$C$26*C849,0)</f>
        <v>0</v>
      </c>
      <c r="T849" s="5"/>
      <c r="U849" s="5"/>
    </row>
    <row r="850" spans="1:21" ht="23.1" customHeight="1" outlineLevel="1" x14ac:dyDescent="0.2">
      <c r="A850" s="5">
        <v>16</v>
      </c>
      <c r="B850" s="5">
        <v>10</v>
      </c>
      <c r="C850" s="5">
        <f>DAY(DATE('Assumptions and Catalog'!$C$24+A850-1,B850+1,0))</f>
        <v>31</v>
      </c>
      <c r="D850" s="5">
        <f>IF(ISNUMBER(Inputs!$L$5),Inputs!$L$5*Inputs!$L$6,0)</f>
        <v>40.35</v>
      </c>
      <c r="E850" s="5">
        <f>IF(ISNUMBER(Inputs!$L$5),Inputs!$L$5-D850,0)</f>
        <v>40.35</v>
      </c>
      <c r="F850" s="5">
        <f>E$51*'Assumptions and Catalog'!$C$31*C850*(1-'Assumptions and Catalog'!$C$10)^(A850-1)</f>
        <v>787.58953573395422</v>
      </c>
      <c r="G850" s="5">
        <f t="shared" si="56"/>
        <v>787.58953573395422</v>
      </c>
      <c r="H850" s="5">
        <f>I850/('Assumptions and Catalog'!$C$11*'Assumptions and Catalog'!$C$12)</f>
        <v>0</v>
      </c>
      <c r="I850" s="5">
        <f>MIN(E850*C850,P850*'Assumptions and Catalog'!$C$12*C850,(F850-G850)*'Assumptions and Catalog'!$C$11*'Assumptions and Catalog'!$C$12,E$56*'Assumptions and Catalog'!$C$14*'Assumptions and Catalog'!$C$11*'Assumptions and Catalog'!$C$12*C850,E$57*(24-'Assumptions and Catalog'!$C$13)*C850)</f>
        <v>0</v>
      </c>
      <c r="J850" s="5">
        <f t="shared" si="57"/>
        <v>0</v>
      </c>
      <c r="K850" s="5">
        <f t="shared" si="58"/>
        <v>0</v>
      </c>
      <c r="L850" s="5">
        <f>(D850+E850)*C850-G850-I850+0+IF(E$52&gt;0,'Assumptions and Catalog'!$C$26*C850,0)</f>
        <v>1714.1104642660462</v>
      </c>
      <c r="M850" s="5">
        <f>IF(ISNUMBER(Inputs!$L$5),(IF(Inputs!$L$9="Actual flat rate",((D850+E850)*C850)*Inputs!$L$10,IF(Inputs!$C$9="Residential",IF(((D850+E850)*C850)&lt;='Assumptions and Catalog'!$C$50,((D850+E850)*C850)*'Assumptions and Catalog'!$H$50+'Assumptions and Catalog'!$E$50+'Assumptions and Catalog'!$F$50,IF(((D850+E850)*C850)&lt;='Assumptions and Catalog'!$C$51,((D850+E850)*C850)*'Assumptions and Catalog'!$H$51+'Assumptions and Catalog'!$E$51+'Assumptions and Catalog'!$F$51,IF(((D850+E850)*C850)&lt;='Assumptions and Catalog'!$C$52,((D850+E850)*C850)*'Assumptions and Catalog'!$H$52+'Assumptions and Catalog'!$E$52+'Assumptions and Catalog'!$F$52,IF(((D850+E850)*C850)&lt;='Assumptions and Catalog'!$C$53,((D850+E850)*C850)*'Assumptions and Catalog'!$H$53+'Assumptions and Catalog'!$E$53+'Assumptions and Catalog'!$F$53,IF(((D850+E850)*C850)&lt;='Assumptions and Catalog'!$C$54,((D850+E850)*C850)*'Assumptions and Catalog'!$H$54+'Assumptions and Catalog'!$E$54+'Assumptions and Catalog'!$F$54,IF(((D850+E850)*C850)&lt;='Assumptions and Catalog'!$C$55,((D850+E850)*C850)*'Assumptions and Catalog'!$H$55+'Assumptions and Catalog'!$E$55+'Assumptions and Catalog'!$F$55,IF(((D850+E850)*C850)&lt;='Assumptions and Catalog'!$C$56,((D850+E850)*C850)*'Assumptions and Catalog'!$H$56+'Assumptions and Catalog'!$E$56+'Assumptions and Catalog'!$F$56,IF(((D850+E850)*C850)&lt;='Assumptions and Catalog'!$C$57,((D850+E850)*C850)*'Assumptions and Catalog'!$H$57+'Assumptions and Catalog'!$E$57+'Assumptions and Catalog'!$F$57,"Out of range")))))))),IF(((D850+E850)*C850)&lt;='Assumptions and Catalog'!$C$60,((D850+E850)*C850)*'Assumptions and Catalog'!$H$60+'Assumptions and Catalog'!$E$60+'Assumptions and Catalog'!$F$60,IF(((D850+E850)*C850)&lt;='Assumptions and Catalog'!$C$61,((D850+E850)*C850)*'Assumptions and Catalog'!$H$61+'Assumptions and Catalog'!$E$61+'Assumptions and Catalog'!$F$61,IF(((D850+E850)*C850)&lt;='Assumptions and Catalog'!$C$62,((D850+E850)*C850)*'Assumptions and Catalog'!$H$62+'Assumptions and Catalog'!$E$62+'Assumptions and Catalog'!$F$62,IF(((D850+E850)*C850)&lt;='Assumptions and Catalog'!$C$63,((D850+E850)*C850)*'Assumptions and Catalog'!$H$63+'Assumptions and Catalog'!$E$63+'Assumptions and Catalog'!$F$63,IF(((D850+E850)*C850)&lt;='Assumptions and Catalog'!$C$64,((D850+E850)*C850)*'Assumptions and Catalog'!$H$64+'Assumptions and Catalog'!$E$64+'Assumptions and Catalog'!$F$64,IF(((D850+E850)*C850)&lt;='Assumptions and Catalog'!$C$65,((D850+E850)*C850)*'Assumptions and Catalog'!$H$65+'Assumptions and Catalog'!$E$65+'Assumptions and Catalog'!$F$65,"Out of range")))))))))*(1+'Assumptions and Catalog'!$C$8)^(A850-1),0)</f>
        <v>8554.9666666666672</v>
      </c>
      <c r="N850" s="5">
        <f>IF(ISNUMBER(Inputs!$L$5),(IF(Inputs!$L$9="Actual flat rate",L850*Inputs!$L$10,IF(Inputs!$C$9="Residential",IF(L850&lt;='Assumptions and Catalog'!$C$50,L850*'Assumptions and Catalog'!$H$50+'Assumptions and Catalog'!$E$50+'Assumptions and Catalog'!$F$50,IF(L850&lt;='Assumptions and Catalog'!$C$51,L850*'Assumptions and Catalog'!$H$51+'Assumptions and Catalog'!$E$51+'Assumptions and Catalog'!$F$51,IF(L850&lt;='Assumptions and Catalog'!$C$52,L850*'Assumptions and Catalog'!$H$52+'Assumptions and Catalog'!$E$52+'Assumptions and Catalog'!$F$52,IF(L850&lt;='Assumptions and Catalog'!$C$53,L850*'Assumptions and Catalog'!$H$53+'Assumptions and Catalog'!$E$53+'Assumptions and Catalog'!$F$53,IF(L850&lt;='Assumptions and Catalog'!$C$54,L850*'Assumptions and Catalog'!$H$54+'Assumptions and Catalog'!$E$54+'Assumptions and Catalog'!$F$54,IF(L850&lt;='Assumptions and Catalog'!$C$55,L850*'Assumptions and Catalog'!$H$55+'Assumptions and Catalog'!$E$55+'Assumptions and Catalog'!$F$55,IF(L850&lt;='Assumptions and Catalog'!$C$56,L850*'Assumptions and Catalog'!$H$56+'Assumptions and Catalog'!$E$56+'Assumptions and Catalog'!$F$56,IF(L850&lt;='Assumptions and Catalog'!$C$57,L850*'Assumptions and Catalog'!$H$57+'Assumptions and Catalog'!$E$57+'Assumptions and Catalog'!$F$57,"Out of range")))))))),IF(L850&lt;='Assumptions and Catalog'!$C$60,L850*'Assumptions and Catalog'!$H$60+'Assumptions and Catalog'!$E$60+'Assumptions and Catalog'!$F$60,IF(L850&lt;='Assumptions and Catalog'!$C$61,L850*'Assumptions and Catalog'!$H$61+'Assumptions and Catalog'!$E$61+'Assumptions and Catalog'!$F$61,IF(L850&lt;='Assumptions and Catalog'!$C$62,L850*'Assumptions and Catalog'!$H$62+'Assumptions and Catalog'!$E$62+'Assumptions and Catalog'!$F$62,IF(L850&lt;='Assumptions and Catalog'!$C$63,L850*'Assumptions and Catalog'!$H$63+'Assumptions and Catalog'!$E$63+'Assumptions and Catalog'!$F$63,IF(L850&lt;='Assumptions and Catalog'!$C$64,L850*'Assumptions and Catalog'!$H$64+'Assumptions and Catalog'!$E$64+'Assumptions and Catalog'!$F$64,IF(L850&lt;='Assumptions and Catalog'!$C$65,L850*'Assumptions and Catalog'!$H$65+'Assumptions and Catalog'!$E$65+'Assumptions and Catalog'!$F$65,"Out of range")))))))))*(1+'Assumptions and Catalog'!$C$8)^(A850-1),0)</f>
        <v>5861.6772134071025</v>
      </c>
      <c r="O850" s="5">
        <f t="shared" si="59"/>
        <v>2693.2894532595647</v>
      </c>
      <c r="P850" s="5">
        <f>E$55*(1-L$14)*(1-'Assumptions and Catalog'!$C$23)^R850</f>
        <v>92.561489592319987</v>
      </c>
      <c r="Q850" s="5">
        <f>IF(ISNUMBER(Inputs!$L$5),(IF(Inputs!$L$9="Actual flat rate",((D850+E850)*C850-G850)*Inputs!$L$10,IF(Inputs!$C$9="Residential",IF(((D850+E850)*C850-G850)&lt;='Assumptions and Catalog'!$C$50,((D850+E850)*C850-G850)*'Assumptions and Catalog'!$H$50+'Assumptions and Catalog'!$E$50+'Assumptions and Catalog'!$F$50,IF(((D850+E850)*C850-G850)&lt;='Assumptions and Catalog'!$C$51,((D850+E850)*C850-G850)*'Assumptions and Catalog'!$H$51+'Assumptions and Catalog'!$E$51+'Assumptions and Catalog'!$F$51,IF(((D850+E850)*C850-G850)&lt;='Assumptions and Catalog'!$C$52,((D850+E850)*C850-G850)*'Assumptions and Catalog'!$H$52+'Assumptions and Catalog'!$E$52+'Assumptions and Catalog'!$F$52,IF(((D850+E850)*C850-G850)&lt;='Assumptions and Catalog'!$C$53,((D850+E850)*C850-G850)*'Assumptions and Catalog'!$H$53+'Assumptions and Catalog'!$E$53+'Assumptions and Catalog'!$F$53,IF(((D850+E850)*C850-G850)&lt;='Assumptions and Catalog'!$C$54,((D850+E850)*C850-G850)*'Assumptions and Catalog'!$H$54+'Assumptions and Catalog'!$E$54+'Assumptions and Catalog'!$F$54,IF(((D850+E850)*C850-G850)&lt;='Assumptions and Catalog'!$C$55,((D850+E850)*C850-G850)*'Assumptions and Catalog'!$H$55+'Assumptions and Catalog'!$E$55+'Assumptions and Catalog'!$F$55,IF(((D850+E850)*C850-G850)&lt;='Assumptions and Catalog'!$C$56,((D850+E850)*C850-G850)*'Assumptions and Catalog'!$H$56+'Assumptions and Catalog'!$E$56+'Assumptions and Catalog'!$F$56,IF(((D850+E850)*C850-G850)&lt;='Assumptions and Catalog'!$C$57,((D850+E850)*C850-G850)*'Assumptions and Catalog'!$H$57+'Assumptions and Catalog'!$E$57+'Assumptions and Catalog'!$F$57,"Out of range")))))))),IF(((D850+E850)*C850-G850)&lt;='Assumptions and Catalog'!$C$60,((D850+E850)*C850-G850)*'Assumptions and Catalog'!$H$60+'Assumptions and Catalog'!$E$60+'Assumptions and Catalog'!$F$60,IF(((D850+E850)*C850-G850)&lt;='Assumptions and Catalog'!$C$61,((D850+E850)*C850-G850)*'Assumptions and Catalog'!$H$61+'Assumptions and Catalog'!$E$61+'Assumptions and Catalog'!$F$61,IF(((D850+E850)*C850-G850)&lt;='Assumptions and Catalog'!$C$62,((D850+E850)*C850-G850)*'Assumptions and Catalog'!$H$62+'Assumptions and Catalog'!$E$62+'Assumptions and Catalog'!$F$62,IF(((D850+E850)*C850-G850)&lt;='Assumptions and Catalog'!$C$63,((D850+E850)*C850-G850)*'Assumptions and Catalog'!$H$63+'Assumptions and Catalog'!$E$63+'Assumptions and Catalog'!$F$63,IF(((D850+E850)*C850-G850)&lt;='Assumptions and Catalog'!$C$64,((D850+E850)*C850-G850)*'Assumptions and Catalog'!$H$64+'Assumptions and Catalog'!$E$64+'Assumptions and Catalog'!$F$64,IF(((D850+E850)*C850-G850)&lt;='Assumptions and Catalog'!$C$65,((D850+E850)*C850-G850)*'Assumptions and Catalog'!$H$65+'Assumptions and Catalog'!$E$65+'Assumptions and Catalog'!$F$65,"Out of range")))))))))*(1+'Assumptions and Catalog'!$C$8)^(A850-1),0)</f>
        <v>5861.6772134071025</v>
      </c>
      <c r="R850" s="5">
        <f>IF(AND('Assumptions and Catalog'!$C$19&gt;0,A850&gt;='Assumptions and Catalog'!$C$19),A850-'Assumptions and Catalog'!$C$19,A850-1)</f>
        <v>5</v>
      </c>
      <c r="S850" s="5">
        <f>F850+L850-(D850+E850)*C850-J850-K850-IF(E$52&gt;0,'Assumptions and Catalog'!$C$26*C850,0)</f>
        <v>0</v>
      </c>
      <c r="T850" s="5"/>
      <c r="U850" s="5"/>
    </row>
    <row r="851" spans="1:21" ht="23.1" customHeight="1" outlineLevel="1" x14ac:dyDescent="0.2">
      <c r="A851" s="5">
        <v>16</v>
      </c>
      <c r="B851" s="5">
        <v>11</v>
      </c>
      <c r="C851" s="5">
        <f>DAY(DATE('Assumptions and Catalog'!$C$24+A851-1,B851+1,0))</f>
        <v>30</v>
      </c>
      <c r="D851" s="5">
        <f>IF(ISNUMBER(Inputs!$L$5),Inputs!$L$5*Inputs!$L$6,0)</f>
        <v>40.35</v>
      </c>
      <c r="E851" s="5">
        <f>IF(ISNUMBER(Inputs!$L$5),Inputs!$L$5-D851,0)</f>
        <v>40.35</v>
      </c>
      <c r="F851" s="5">
        <f>E$51*'Assumptions and Catalog'!$C$31*C851*(1-'Assumptions and Catalog'!$C$10)^(A851-1)</f>
        <v>762.18342167802018</v>
      </c>
      <c r="G851" s="5">
        <f t="shared" si="56"/>
        <v>762.18342167802018</v>
      </c>
      <c r="H851" s="5">
        <f>I851/('Assumptions and Catalog'!$C$11*'Assumptions and Catalog'!$C$12)</f>
        <v>0</v>
      </c>
      <c r="I851" s="5">
        <f>MIN(E851*C851,P851*'Assumptions and Catalog'!$C$12*C851,(F851-G851)*'Assumptions and Catalog'!$C$11*'Assumptions and Catalog'!$C$12,E$56*'Assumptions and Catalog'!$C$14*'Assumptions and Catalog'!$C$11*'Assumptions and Catalog'!$C$12*C851,E$57*(24-'Assumptions and Catalog'!$C$13)*C851)</f>
        <v>0</v>
      </c>
      <c r="J851" s="5">
        <f t="shared" si="57"/>
        <v>0</v>
      </c>
      <c r="K851" s="5">
        <f t="shared" si="58"/>
        <v>0</v>
      </c>
      <c r="L851" s="5">
        <f>(D851+E851)*C851-G851-I851+0+IF(E$52&gt;0,'Assumptions and Catalog'!$C$26*C851,0)</f>
        <v>1658.8165783219797</v>
      </c>
      <c r="M851" s="5">
        <f>IF(ISNUMBER(Inputs!$L$5),(IF(Inputs!$L$9="Actual flat rate",((D851+E851)*C851)*Inputs!$L$10,IF(Inputs!$C$9="Residential",IF(((D851+E851)*C851)&lt;='Assumptions and Catalog'!$C$50,((D851+E851)*C851)*'Assumptions and Catalog'!$H$50+'Assumptions and Catalog'!$E$50+'Assumptions and Catalog'!$F$50,IF(((D851+E851)*C851)&lt;='Assumptions and Catalog'!$C$51,((D851+E851)*C851)*'Assumptions and Catalog'!$H$51+'Assumptions and Catalog'!$E$51+'Assumptions and Catalog'!$F$51,IF(((D851+E851)*C851)&lt;='Assumptions and Catalog'!$C$52,((D851+E851)*C851)*'Assumptions and Catalog'!$H$52+'Assumptions and Catalog'!$E$52+'Assumptions and Catalog'!$F$52,IF(((D851+E851)*C851)&lt;='Assumptions and Catalog'!$C$53,((D851+E851)*C851)*'Assumptions and Catalog'!$H$53+'Assumptions and Catalog'!$E$53+'Assumptions and Catalog'!$F$53,IF(((D851+E851)*C851)&lt;='Assumptions and Catalog'!$C$54,((D851+E851)*C851)*'Assumptions and Catalog'!$H$54+'Assumptions and Catalog'!$E$54+'Assumptions and Catalog'!$F$54,IF(((D851+E851)*C851)&lt;='Assumptions and Catalog'!$C$55,((D851+E851)*C851)*'Assumptions and Catalog'!$H$55+'Assumptions and Catalog'!$E$55+'Assumptions and Catalog'!$F$55,IF(((D851+E851)*C851)&lt;='Assumptions and Catalog'!$C$56,((D851+E851)*C851)*'Assumptions and Catalog'!$H$56+'Assumptions and Catalog'!$E$56+'Assumptions and Catalog'!$F$56,IF(((D851+E851)*C851)&lt;='Assumptions and Catalog'!$C$57,((D851+E851)*C851)*'Assumptions and Catalog'!$H$57+'Assumptions and Catalog'!$E$57+'Assumptions and Catalog'!$F$57,"Out of range")))))))),IF(((D851+E851)*C851)&lt;='Assumptions and Catalog'!$C$60,((D851+E851)*C851)*'Assumptions and Catalog'!$H$60+'Assumptions and Catalog'!$E$60+'Assumptions and Catalog'!$F$60,IF(((D851+E851)*C851)&lt;='Assumptions and Catalog'!$C$61,((D851+E851)*C851)*'Assumptions and Catalog'!$H$61+'Assumptions and Catalog'!$E$61+'Assumptions and Catalog'!$F$61,IF(((D851+E851)*C851)&lt;='Assumptions and Catalog'!$C$62,((D851+E851)*C851)*'Assumptions and Catalog'!$H$62+'Assumptions and Catalog'!$E$62+'Assumptions and Catalog'!$F$62,IF(((D851+E851)*C851)&lt;='Assumptions and Catalog'!$C$63,((D851+E851)*C851)*'Assumptions and Catalog'!$H$63+'Assumptions and Catalog'!$E$63+'Assumptions and Catalog'!$F$63,IF(((D851+E851)*C851)&lt;='Assumptions and Catalog'!$C$64,((D851+E851)*C851)*'Assumptions and Catalog'!$H$64+'Assumptions and Catalog'!$E$64+'Assumptions and Catalog'!$F$64,IF(((D851+E851)*C851)&lt;='Assumptions and Catalog'!$C$65,((D851+E851)*C851)*'Assumptions and Catalog'!$H$65+'Assumptions and Catalog'!$E$65+'Assumptions and Catalog'!$F$65,"Out of range")))))))))*(1+'Assumptions and Catalog'!$C$8)^(A851-1),0)</f>
        <v>8279</v>
      </c>
      <c r="N851" s="5">
        <f>IF(ISNUMBER(Inputs!$L$5),(IF(Inputs!$L$9="Actual flat rate",L851*Inputs!$L$10,IF(Inputs!$C$9="Residential",IF(L851&lt;='Assumptions and Catalog'!$C$50,L851*'Assumptions and Catalog'!$H$50+'Assumptions and Catalog'!$E$50+'Assumptions and Catalog'!$F$50,IF(L851&lt;='Assumptions and Catalog'!$C$51,L851*'Assumptions and Catalog'!$H$51+'Assumptions and Catalog'!$E$51+'Assumptions and Catalog'!$F$51,IF(L851&lt;='Assumptions and Catalog'!$C$52,L851*'Assumptions and Catalog'!$H$52+'Assumptions and Catalog'!$E$52+'Assumptions and Catalog'!$F$52,IF(L851&lt;='Assumptions and Catalog'!$C$53,L851*'Assumptions and Catalog'!$H$53+'Assumptions and Catalog'!$E$53+'Assumptions and Catalog'!$F$53,IF(L851&lt;='Assumptions and Catalog'!$C$54,L851*'Assumptions and Catalog'!$H$54+'Assumptions and Catalog'!$E$54+'Assumptions and Catalog'!$F$54,IF(L851&lt;='Assumptions and Catalog'!$C$55,L851*'Assumptions and Catalog'!$H$55+'Assumptions and Catalog'!$E$55+'Assumptions and Catalog'!$F$55,IF(L851&lt;='Assumptions and Catalog'!$C$56,L851*'Assumptions and Catalog'!$H$56+'Assumptions and Catalog'!$E$56+'Assumptions and Catalog'!$F$56,IF(L851&lt;='Assumptions and Catalog'!$C$57,L851*'Assumptions and Catalog'!$H$57+'Assumptions and Catalog'!$E$57+'Assumptions and Catalog'!$F$57,"Out of range")))))))),IF(L851&lt;='Assumptions and Catalog'!$C$60,L851*'Assumptions and Catalog'!$H$60+'Assumptions and Catalog'!$E$60+'Assumptions and Catalog'!$F$60,IF(L851&lt;='Assumptions and Catalog'!$C$61,L851*'Assumptions and Catalog'!$H$61+'Assumptions and Catalog'!$E$61+'Assumptions and Catalog'!$F$61,IF(L851&lt;='Assumptions and Catalog'!$C$62,L851*'Assumptions and Catalog'!$H$62+'Assumptions and Catalog'!$E$62+'Assumptions and Catalog'!$F$62,IF(L851&lt;='Assumptions and Catalog'!$C$63,L851*'Assumptions and Catalog'!$H$63+'Assumptions and Catalog'!$E$63+'Assumptions and Catalog'!$F$63,IF(L851&lt;='Assumptions and Catalog'!$C$64,L851*'Assumptions and Catalog'!$H$64+'Assumptions and Catalog'!$E$64+'Assumptions and Catalog'!$F$64,IF(L851&lt;='Assumptions and Catalog'!$C$65,L851*'Assumptions and Catalog'!$H$65+'Assumptions and Catalog'!$E$65+'Assumptions and Catalog'!$F$65,"Out of range")))))))))*(1+'Assumptions and Catalog'!$C$8)^(A851-1),0)</f>
        <v>5672.590851684291</v>
      </c>
      <c r="O851" s="5">
        <f t="shared" si="59"/>
        <v>2606.409148315709</v>
      </c>
      <c r="P851" s="5">
        <f>E$55*(1-L$14)*(1-'Assumptions and Catalog'!$C$23)^R851</f>
        <v>92.561489592319987</v>
      </c>
      <c r="Q851" s="5">
        <f>IF(ISNUMBER(Inputs!$L$5),(IF(Inputs!$L$9="Actual flat rate",((D851+E851)*C851-G851)*Inputs!$L$10,IF(Inputs!$C$9="Residential",IF(((D851+E851)*C851-G851)&lt;='Assumptions and Catalog'!$C$50,((D851+E851)*C851-G851)*'Assumptions and Catalog'!$H$50+'Assumptions and Catalog'!$E$50+'Assumptions and Catalog'!$F$50,IF(((D851+E851)*C851-G851)&lt;='Assumptions and Catalog'!$C$51,((D851+E851)*C851-G851)*'Assumptions and Catalog'!$H$51+'Assumptions and Catalog'!$E$51+'Assumptions and Catalog'!$F$51,IF(((D851+E851)*C851-G851)&lt;='Assumptions and Catalog'!$C$52,((D851+E851)*C851-G851)*'Assumptions and Catalog'!$H$52+'Assumptions and Catalog'!$E$52+'Assumptions and Catalog'!$F$52,IF(((D851+E851)*C851-G851)&lt;='Assumptions and Catalog'!$C$53,((D851+E851)*C851-G851)*'Assumptions and Catalog'!$H$53+'Assumptions and Catalog'!$E$53+'Assumptions and Catalog'!$F$53,IF(((D851+E851)*C851-G851)&lt;='Assumptions and Catalog'!$C$54,((D851+E851)*C851-G851)*'Assumptions and Catalog'!$H$54+'Assumptions and Catalog'!$E$54+'Assumptions and Catalog'!$F$54,IF(((D851+E851)*C851-G851)&lt;='Assumptions and Catalog'!$C$55,((D851+E851)*C851-G851)*'Assumptions and Catalog'!$H$55+'Assumptions and Catalog'!$E$55+'Assumptions and Catalog'!$F$55,IF(((D851+E851)*C851-G851)&lt;='Assumptions and Catalog'!$C$56,((D851+E851)*C851-G851)*'Assumptions and Catalog'!$H$56+'Assumptions and Catalog'!$E$56+'Assumptions and Catalog'!$F$56,IF(((D851+E851)*C851-G851)&lt;='Assumptions and Catalog'!$C$57,((D851+E851)*C851-G851)*'Assumptions and Catalog'!$H$57+'Assumptions and Catalog'!$E$57+'Assumptions and Catalog'!$F$57,"Out of range")))))))),IF(((D851+E851)*C851-G851)&lt;='Assumptions and Catalog'!$C$60,((D851+E851)*C851-G851)*'Assumptions and Catalog'!$H$60+'Assumptions and Catalog'!$E$60+'Assumptions and Catalog'!$F$60,IF(((D851+E851)*C851-G851)&lt;='Assumptions and Catalog'!$C$61,((D851+E851)*C851-G851)*'Assumptions and Catalog'!$H$61+'Assumptions and Catalog'!$E$61+'Assumptions and Catalog'!$F$61,IF(((D851+E851)*C851-G851)&lt;='Assumptions and Catalog'!$C$62,((D851+E851)*C851-G851)*'Assumptions and Catalog'!$H$62+'Assumptions and Catalog'!$E$62+'Assumptions and Catalog'!$F$62,IF(((D851+E851)*C851-G851)&lt;='Assumptions and Catalog'!$C$63,((D851+E851)*C851-G851)*'Assumptions and Catalog'!$H$63+'Assumptions and Catalog'!$E$63+'Assumptions and Catalog'!$F$63,IF(((D851+E851)*C851-G851)&lt;='Assumptions and Catalog'!$C$64,((D851+E851)*C851-G851)*'Assumptions and Catalog'!$H$64+'Assumptions and Catalog'!$E$64+'Assumptions and Catalog'!$F$64,IF(((D851+E851)*C851-G851)&lt;='Assumptions and Catalog'!$C$65,((D851+E851)*C851-G851)*'Assumptions and Catalog'!$H$65+'Assumptions and Catalog'!$E$65+'Assumptions and Catalog'!$F$65,"Out of range")))))))))*(1+'Assumptions and Catalog'!$C$8)^(A851-1),0)</f>
        <v>5672.590851684291</v>
      </c>
      <c r="R851" s="5">
        <f>IF(AND('Assumptions and Catalog'!$C$19&gt;0,A851&gt;='Assumptions and Catalog'!$C$19),A851-'Assumptions and Catalog'!$C$19,A851-1)</f>
        <v>5</v>
      </c>
      <c r="S851" s="5">
        <f>F851+L851-(D851+E851)*C851-J851-K851-IF(E$52&gt;0,'Assumptions and Catalog'!$C$26*C851,0)</f>
        <v>0</v>
      </c>
      <c r="T851" s="5"/>
      <c r="U851" s="5"/>
    </row>
    <row r="852" spans="1:21" ht="23.1" customHeight="1" outlineLevel="1" x14ac:dyDescent="0.2">
      <c r="A852" s="5">
        <v>16</v>
      </c>
      <c r="B852" s="5">
        <v>12</v>
      </c>
      <c r="C852" s="5">
        <f>DAY(DATE('Assumptions and Catalog'!$C$24+A852-1,B852+1,0))</f>
        <v>31</v>
      </c>
      <c r="D852" s="5">
        <f>IF(ISNUMBER(Inputs!$L$5),Inputs!$L$5*Inputs!$L$6,0)</f>
        <v>40.35</v>
      </c>
      <c r="E852" s="5">
        <f>IF(ISNUMBER(Inputs!$L$5),Inputs!$L$5-D852,0)</f>
        <v>40.35</v>
      </c>
      <c r="F852" s="5">
        <f>E$51*'Assumptions and Catalog'!$C$31*C852*(1-'Assumptions and Catalog'!$C$10)^(A852-1)</f>
        <v>787.58953573395422</v>
      </c>
      <c r="G852" s="5">
        <f t="shared" si="56"/>
        <v>787.58953573395422</v>
      </c>
      <c r="H852" s="5">
        <f>I852/('Assumptions and Catalog'!$C$11*'Assumptions and Catalog'!$C$12)</f>
        <v>0</v>
      </c>
      <c r="I852" s="5">
        <f>MIN(E852*C852,P852*'Assumptions and Catalog'!$C$12*C852,(F852-G852)*'Assumptions and Catalog'!$C$11*'Assumptions and Catalog'!$C$12,E$56*'Assumptions and Catalog'!$C$14*'Assumptions and Catalog'!$C$11*'Assumptions and Catalog'!$C$12*C852,E$57*(24-'Assumptions and Catalog'!$C$13)*C852)</f>
        <v>0</v>
      </c>
      <c r="J852" s="5">
        <f t="shared" si="57"/>
        <v>0</v>
      </c>
      <c r="K852" s="5">
        <f t="shared" si="58"/>
        <v>0</v>
      </c>
      <c r="L852" s="5">
        <f>(D852+E852)*C852-G852-I852+0+IF(E$52&gt;0,'Assumptions and Catalog'!$C$26*C852,0)</f>
        <v>1714.1104642660462</v>
      </c>
      <c r="M852" s="5">
        <f>IF(ISNUMBER(Inputs!$L$5),(IF(Inputs!$L$9="Actual flat rate",((D852+E852)*C852)*Inputs!$L$10,IF(Inputs!$C$9="Residential",IF(((D852+E852)*C852)&lt;='Assumptions and Catalog'!$C$50,((D852+E852)*C852)*'Assumptions and Catalog'!$H$50+'Assumptions and Catalog'!$E$50+'Assumptions and Catalog'!$F$50,IF(((D852+E852)*C852)&lt;='Assumptions and Catalog'!$C$51,((D852+E852)*C852)*'Assumptions and Catalog'!$H$51+'Assumptions and Catalog'!$E$51+'Assumptions and Catalog'!$F$51,IF(((D852+E852)*C852)&lt;='Assumptions and Catalog'!$C$52,((D852+E852)*C852)*'Assumptions and Catalog'!$H$52+'Assumptions and Catalog'!$E$52+'Assumptions and Catalog'!$F$52,IF(((D852+E852)*C852)&lt;='Assumptions and Catalog'!$C$53,((D852+E852)*C852)*'Assumptions and Catalog'!$H$53+'Assumptions and Catalog'!$E$53+'Assumptions and Catalog'!$F$53,IF(((D852+E852)*C852)&lt;='Assumptions and Catalog'!$C$54,((D852+E852)*C852)*'Assumptions and Catalog'!$H$54+'Assumptions and Catalog'!$E$54+'Assumptions and Catalog'!$F$54,IF(((D852+E852)*C852)&lt;='Assumptions and Catalog'!$C$55,((D852+E852)*C852)*'Assumptions and Catalog'!$H$55+'Assumptions and Catalog'!$E$55+'Assumptions and Catalog'!$F$55,IF(((D852+E852)*C852)&lt;='Assumptions and Catalog'!$C$56,((D852+E852)*C852)*'Assumptions and Catalog'!$H$56+'Assumptions and Catalog'!$E$56+'Assumptions and Catalog'!$F$56,IF(((D852+E852)*C852)&lt;='Assumptions and Catalog'!$C$57,((D852+E852)*C852)*'Assumptions and Catalog'!$H$57+'Assumptions and Catalog'!$E$57+'Assumptions and Catalog'!$F$57,"Out of range")))))))),IF(((D852+E852)*C852)&lt;='Assumptions and Catalog'!$C$60,((D852+E852)*C852)*'Assumptions and Catalog'!$H$60+'Assumptions and Catalog'!$E$60+'Assumptions and Catalog'!$F$60,IF(((D852+E852)*C852)&lt;='Assumptions and Catalog'!$C$61,((D852+E852)*C852)*'Assumptions and Catalog'!$H$61+'Assumptions and Catalog'!$E$61+'Assumptions and Catalog'!$F$61,IF(((D852+E852)*C852)&lt;='Assumptions and Catalog'!$C$62,((D852+E852)*C852)*'Assumptions and Catalog'!$H$62+'Assumptions and Catalog'!$E$62+'Assumptions and Catalog'!$F$62,IF(((D852+E852)*C852)&lt;='Assumptions and Catalog'!$C$63,((D852+E852)*C852)*'Assumptions and Catalog'!$H$63+'Assumptions and Catalog'!$E$63+'Assumptions and Catalog'!$F$63,IF(((D852+E852)*C852)&lt;='Assumptions and Catalog'!$C$64,((D852+E852)*C852)*'Assumptions and Catalog'!$H$64+'Assumptions and Catalog'!$E$64+'Assumptions and Catalog'!$F$64,IF(((D852+E852)*C852)&lt;='Assumptions and Catalog'!$C$65,((D852+E852)*C852)*'Assumptions and Catalog'!$H$65+'Assumptions and Catalog'!$E$65+'Assumptions and Catalog'!$F$65,"Out of range")))))))))*(1+'Assumptions and Catalog'!$C$8)^(A852-1),0)</f>
        <v>8554.9666666666672</v>
      </c>
      <c r="N852" s="5">
        <f>IF(ISNUMBER(Inputs!$L$5),(IF(Inputs!$L$9="Actual flat rate",L852*Inputs!$L$10,IF(Inputs!$C$9="Residential",IF(L852&lt;='Assumptions and Catalog'!$C$50,L852*'Assumptions and Catalog'!$H$50+'Assumptions and Catalog'!$E$50+'Assumptions and Catalog'!$F$50,IF(L852&lt;='Assumptions and Catalog'!$C$51,L852*'Assumptions and Catalog'!$H$51+'Assumptions and Catalog'!$E$51+'Assumptions and Catalog'!$F$51,IF(L852&lt;='Assumptions and Catalog'!$C$52,L852*'Assumptions and Catalog'!$H$52+'Assumptions and Catalog'!$E$52+'Assumptions and Catalog'!$F$52,IF(L852&lt;='Assumptions and Catalog'!$C$53,L852*'Assumptions and Catalog'!$H$53+'Assumptions and Catalog'!$E$53+'Assumptions and Catalog'!$F$53,IF(L852&lt;='Assumptions and Catalog'!$C$54,L852*'Assumptions and Catalog'!$H$54+'Assumptions and Catalog'!$E$54+'Assumptions and Catalog'!$F$54,IF(L852&lt;='Assumptions and Catalog'!$C$55,L852*'Assumptions and Catalog'!$H$55+'Assumptions and Catalog'!$E$55+'Assumptions and Catalog'!$F$55,IF(L852&lt;='Assumptions and Catalog'!$C$56,L852*'Assumptions and Catalog'!$H$56+'Assumptions and Catalog'!$E$56+'Assumptions and Catalog'!$F$56,IF(L852&lt;='Assumptions and Catalog'!$C$57,L852*'Assumptions and Catalog'!$H$57+'Assumptions and Catalog'!$E$57+'Assumptions and Catalog'!$F$57,"Out of range")))))))),IF(L852&lt;='Assumptions and Catalog'!$C$60,L852*'Assumptions and Catalog'!$H$60+'Assumptions and Catalog'!$E$60+'Assumptions and Catalog'!$F$60,IF(L852&lt;='Assumptions and Catalog'!$C$61,L852*'Assumptions and Catalog'!$H$61+'Assumptions and Catalog'!$E$61+'Assumptions and Catalog'!$F$61,IF(L852&lt;='Assumptions and Catalog'!$C$62,L852*'Assumptions and Catalog'!$H$62+'Assumptions and Catalog'!$E$62+'Assumptions and Catalog'!$F$62,IF(L852&lt;='Assumptions and Catalog'!$C$63,L852*'Assumptions and Catalog'!$H$63+'Assumptions and Catalog'!$E$63+'Assumptions and Catalog'!$F$63,IF(L852&lt;='Assumptions and Catalog'!$C$64,L852*'Assumptions and Catalog'!$H$64+'Assumptions and Catalog'!$E$64+'Assumptions and Catalog'!$F$64,IF(L852&lt;='Assumptions and Catalog'!$C$65,L852*'Assumptions and Catalog'!$H$65+'Assumptions and Catalog'!$E$65+'Assumptions and Catalog'!$F$65,"Out of range")))))))))*(1+'Assumptions and Catalog'!$C$8)^(A852-1),0)</f>
        <v>5861.6772134071025</v>
      </c>
      <c r="O852" s="5">
        <f t="shared" si="59"/>
        <v>2693.2894532595647</v>
      </c>
      <c r="P852" s="5">
        <f>E$55*(1-L$14)*(1-'Assumptions and Catalog'!$C$23)^R852</f>
        <v>92.561489592319987</v>
      </c>
      <c r="Q852" s="5">
        <f>IF(ISNUMBER(Inputs!$L$5),(IF(Inputs!$L$9="Actual flat rate",((D852+E852)*C852-G852)*Inputs!$L$10,IF(Inputs!$C$9="Residential",IF(((D852+E852)*C852-G852)&lt;='Assumptions and Catalog'!$C$50,((D852+E852)*C852-G852)*'Assumptions and Catalog'!$H$50+'Assumptions and Catalog'!$E$50+'Assumptions and Catalog'!$F$50,IF(((D852+E852)*C852-G852)&lt;='Assumptions and Catalog'!$C$51,((D852+E852)*C852-G852)*'Assumptions and Catalog'!$H$51+'Assumptions and Catalog'!$E$51+'Assumptions and Catalog'!$F$51,IF(((D852+E852)*C852-G852)&lt;='Assumptions and Catalog'!$C$52,((D852+E852)*C852-G852)*'Assumptions and Catalog'!$H$52+'Assumptions and Catalog'!$E$52+'Assumptions and Catalog'!$F$52,IF(((D852+E852)*C852-G852)&lt;='Assumptions and Catalog'!$C$53,((D852+E852)*C852-G852)*'Assumptions and Catalog'!$H$53+'Assumptions and Catalog'!$E$53+'Assumptions and Catalog'!$F$53,IF(((D852+E852)*C852-G852)&lt;='Assumptions and Catalog'!$C$54,((D852+E852)*C852-G852)*'Assumptions and Catalog'!$H$54+'Assumptions and Catalog'!$E$54+'Assumptions and Catalog'!$F$54,IF(((D852+E852)*C852-G852)&lt;='Assumptions and Catalog'!$C$55,((D852+E852)*C852-G852)*'Assumptions and Catalog'!$H$55+'Assumptions and Catalog'!$E$55+'Assumptions and Catalog'!$F$55,IF(((D852+E852)*C852-G852)&lt;='Assumptions and Catalog'!$C$56,((D852+E852)*C852-G852)*'Assumptions and Catalog'!$H$56+'Assumptions and Catalog'!$E$56+'Assumptions and Catalog'!$F$56,IF(((D852+E852)*C852-G852)&lt;='Assumptions and Catalog'!$C$57,((D852+E852)*C852-G852)*'Assumptions and Catalog'!$H$57+'Assumptions and Catalog'!$E$57+'Assumptions and Catalog'!$F$57,"Out of range")))))))),IF(((D852+E852)*C852-G852)&lt;='Assumptions and Catalog'!$C$60,((D852+E852)*C852-G852)*'Assumptions and Catalog'!$H$60+'Assumptions and Catalog'!$E$60+'Assumptions and Catalog'!$F$60,IF(((D852+E852)*C852-G852)&lt;='Assumptions and Catalog'!$C$61,((D852+E852)*C852-G852)*'Assumptions and Catalog'!$H$61+'Assumptions and Catalog'!$E$61+'Assumptions and Catalog'!$F$61,IF(((D852+E852)*C852-G852)&lt;='Assumptions and Catalog'!$C$62,((D852+E852)*C852-G852)*'Assumptions and Catalog'!$H$62+'Assumptions and Catalog'!$E$62+'Assumptions and Catalog'!$F$62,IF(((D852+E852)*C852-G852)&lt;='Assumptions and Catalog'!$C$63,((D852+E852)*C852-G852)*'Assumptions and Catalog'!$H$63+'Assumptions and Catalog'!$E$63+'Assumptions and Catalog'!$F$63,IF(((D852+E852)*C852-G852)&lt;='Assumptions and Catalog'!$C$64,((D852+E852)*C852-G852)*'Assumptions and Catalog'!$H$64+'Assumptions and Catalog'!$E$64+'Assumptions and Catalog'!$F$64,IF(((D852+E852)*C852-G852)&lt;='Assumptions and Catalog'!$C$65,((D852+E852)*C852-G852)*'Assumptions and Catalog'!$H$65+'Assumptions and Catalog'!$E$65+'Assumptions and Catalog'!$F$65,"Out of range")))))))))*(1+'Assumptions and Catalog'!$C$8)^(A852-1),0)</f>
        <v>5861.6772134071025</v>
      </c>
      <c r="R852" s="5">
        <f>IF(AND('Assumptions and Catalog'!$C$19&gt;0,A852&gt;='Assumptions and Catalog'!$C$19),A852-'Assumptions and Catalog'!$C$19,A852-1)</f>
        <v>5</v>
      </c>
      <c r="S852" s="5">
        <f>F852+L852-(D852+E852)*C852-J852-K852-IF(E$52&gt;0,'Assumptions and Catalog'!$C$26*C852,0)</f>
        <v>0</v>
      </c>
      <c r="T852" s="5"/>
      <c r="U852" s="5"/>
    </row>
    <row r="853" spans="1:21" ht="23.1" customHeight="1" outlineLevel="1" x14ac:dyDescent="0.2">
      <c r="A853" s="5">
        <v>17</v>
      </c>
      <c r="B853" s="5">
        <v>1</v>
      </c>
      <c r="C853" s="5">
        <f>DAY(DATE('Assumptions and Catalog'!$C$24+A853-1,B853+1,0))</f>
        <v>31</v>
      </c>
      <c r="D853" s="5">
        <f>IF(ISNUMBER(Inputs!$L$5),Inputs!$L$5*Inputs!$L$6,0)</f>
        <v>40.35</v>
      </c>
      <c r="E853" s="5">
        <f>IF(ISNUMBER(Inputs!$L$5),Inputs!$L$5-D853,0)</f>
        <v>40.35</v>
      </c>
      <c r="F853" s="5">
        <f>E$51*'Assumptions and Catalog'!$C$31*C853*(1-'Assumptions and Catalog'!$C$10)^(A853-1)</f>
        <v>783.65158805528438</v>
      </c>
      <c r="G853" s="5">
        <f t="shared" ref="G853:G900" si="60">MIN(F853,D853*C853)</f>
        <v>783.65158805528438</v>
      </c>
      <c r="H853" s="5">
        <f>I853/('Assumptions and Catalog'!$C$11*'Assumptions and Catalog'!$C$12)</f>
        <v>0</v>
      </c>
      <c r="I853" s="5">
        <f>MIN(E853*C853,P853*'Assumptions and Catalog'!$C$12*C853,(F853-G853)*'Assumptions and Catalog'!$C$11*'Assumptions and Catalog'!$C$12,E$56*'Assumptions and Catalog'!$C$14*'Assumptions and Catalog'!$C$11*'Assumptions and Catalog'!$C$12*C853,E$57*(24-'Assumptions and Catalog'!$C$13)*C853)</f>
        <v>0</v>
      </c>
      <c r="J853" s="5">
        <f t="shared" ref="J853:J900" si="61">MAX(F853-G853-H853,0)</f>
        <v>0</v>
      </c>
      <c r="K853" s="5">
        <f t="shared" ref="K853:K900" si="62">H853-I853</f>
        <v>0</v>
      </c>
      <c r="L853" s="5">
        <f>(D853+E853)*C853-G853-I853+0+IF(E$52&gt;0,'Assumptions and Catalog'!$C$26*C853,0)</f>
        <v>1718.048411944716</v>
      </c>
      <c r="M853" s="5">
        <f>IF(ISNUMBER(Inputs!$L$5),(IF(Inputs!$L$9="Actual flat rate",((D853+E853)*C853)*Inputs!$L$10,IF(Inputs!$C$9="Residential",IF(((D853+E853)*C853)&lt;='Assumptions and Catalog'!$C$50,((D853+E853)*C853)*'Assumptions and Catalog'!$H$50+'Assumptions and Catalog'!$E$50+'Assumptions and Catalog'!$F$50,IF(((D853+E853)*C853)&lt;='Assumptions and Catalog'!$C$51,((D853+E853)*C853)*'Assumptions and Catalog'!$H$51+'Assumptions and Catalog'!$E$51+'Assumptions and Catalog'!$F$51,IF(((D853+E853)*C853)&lt;='Assumptions and Catalog'!$C$52,((D853+E853)*C853)*'Assumptions and Catalog'!$H$52+'Assumptions and Catalog'!$E$52+'Assumptions and Catalog'!$F$52,IF(((D853+E853)*C853)&lt;='Assumptions and Catalog'!$C$53,((D853+E853)*C853)*'Assumptions and Catalog'!$H$53+'Assumptions and Catalog'!$E$53+'Assumptions and Catalog'!$F$53,IF(((D853+E853)*C853)&lt;='Assumptions and Catalog'!$C$54,((D853+E853)*C853)*'Assumptions and Catalog'!$H$54+'Assumptions and Catalog'!$E$54+'Assumptions and Catalog'!$F$54,IF(((D853+E853)*C853)&lt;='Assumptions and Catalog'!$C$55,((D853+E853)*C853)*'Assumptions and Catalog'!$H$55+'Assumptions and Catalog'!$E$55+'Assumptions and Catalog'!$F$55,IF(((D853+E853)*C853)&lt;='Assumptions and Catalog'!$C$56,((D853+E853)*C853)*'Assumptions and Catalog'!$H$56+'Assumptions and Catalog'!$E$56+'Assumptions and Catalog'!$F$56,IF(((D853+E853)*C853)&lt;='Assumptions and Catalog'!$C$57,((D853+E853)*C853)*'Assumptions and Catalog'!$H$57+'Assumptions and Catalog'!$E$57+'Assumptions and Catalog'!$F$57,"Out of range")))))))),IF(((D853+E853)*C853)&lt;='Assumptions and Catalog'!$C$60,((D853+E853)*C853)*'Assumptions and Catalog'!$H$60+'Assumptions and Catalog'!$E$60+'Assumptions and Catalog'!$F$60,IF(((D853+E853)*C853)&lt;='Assumptions and Catalog'!$C$61,((D853+E853)*C853)*'Assumptions and Catalog'!$H$61+'Assumptions and Catalog'!$E$61+'Assumptions and Catalog'!$F$61,IF(((D853+E853)*C853)&lt;='Assumptions and Catalog'!$C$62,((D853+E853)*C853)*'Assumptions and Catalog'!$H$62+'Assumptions and Catalog'!$E$62+'Assumptions and Catalog'!$F$62,IF(((D853+E853)*C853)&lt;='Assumptions and Catalog'!$C$63,((D853+E853)*C853)*'Assumptions and Catalog'!$H$63+'Assumptions and Catalog'!$E$63+'Assumptions and Catalog'!$F$63,IF(((D853+E853)*C853)&lt;='Assumptions and Catalog'!$C$64,((D853+E853)*C853)*'Assumptions and Catalog'!$H$64+'Assumptions and Catalog'!$E$64+'Assumptions and Catalog'!$F$64,IF(((D853+E853)*C853)&lt;='Assumptions and Catalog'!$C$65,((D853+E853)*C853)*'Assumptions and Catalog'!$H$65+'Assumptions and Catalog'!$E$65+'Assumptions and Catalog'!$F$65,"Out of range")))))))))*(1+'Assumptions and Catalog'!$C$8)^(A853-1),0)</f>
        <v>8554.9666666666672</v>
      </c>
      <c r="N853" s="5">
        <f>IF(ISNUMBER(Inputs!$L$5),(IF(Inputs!$L$9="Actual flat rate",L853*Inputs!$L$10,IF(Inputs!$C$9="Residential",IF(L853&lt;='Assumptions and Catalog'!$C$50,L853*'Assumptions and Catalog'!$H$50+'Assumptions and Catalog'!$E$50+'Assumptions and Catalog'!$F$50,IF(L853&lt;='Assumptions and Catalog'!$C$51,L853*'Assumptions and Catalog'!$H$51+'Assumptions and Catalog'!$E$51+'Assumptions and Catalog'!$F$51,IF(L853&lt;='Assumptions and Catalog'!$C$52,L853*'Assumptions and Catalog'!$H$52+'Assumptions and Catalog'!$E$52+'Assumptions and Catalog'!$F$52,IF(L853&lt;='Assumptions and Catalog'!$C$53,L853*'Assumptions and Catalog'!$H$53+'Assumptions and Catalog'!$E$53+'Assumptions and Catalog'!$F$53,IF(L853&lt;='Assumptions and Catalog'!$C$54,L853*'Assumptions and Catalog'!$H$54+'Assumptions and Catalog'!$E$54+'Assumptions and Catalog'!$F$54,IF(L853&lt;='Assumptions and Catalog'!$C$55,L853*'Assumptions and Catalog'!$H$55+'Assumptions and Catalog'!$E$55+'Assumptions and Catalog'!$F$55,IF(L853&lt;='Assumptions and Catalog'!$C$56,L853*'Assumptions and Catalog'!$H$56+'Assumptions and Catalog'!$E$56+'Assumptions and Catalog'!$F$56,IF(L853&lt;='Assumptions and Catalog'!$C$57,L853*'Assumptions and Catalog'!$H$57+'Assumptions and Catalog'!$E$57+'Assumptions and Catalog'!$F$57,"Out of range")))))))),IF(L853&lt;='Assumptions and Catalog'!$C$60,L853*'Assumptions and Catalog'!$H$60+'Assumptions and Catalog'!$E$60+'Assumptions and Catalog'!$F$60,IF(L853&lt;='Assumptions and Catalog'!$C$61,L853*'Assumptions and Catalog'!$H$61+'Assumptions and Catalog'!$E$61+'Assumptions and Catalog'!$F$61,IF(L853&lt;='Assumptions and Catalog'!$C$62,L853*'Assumptions and Catalog'!$H$62+'Assumptions and Catalog'!$E$62+'Assumptions and Catalog'!$F$62,IF(L853&lt;='Assumptions and Catalog'!$C$63,L853*'Assumptions and Catalog'!$H$63+'Assumptions and Catalog'!$E$63+'Assumptions and Catalog'!$F$63,IF(L853&lt;='Assumptions and Catalog'!$C$64,L853*'Assumptions and Catalog'!$H$64+'Assumptions and Catalog'!$E$64+'Assumptions and Catalog'!$F$64,IF(L853&lt;='Assumptions and Catalog'!$C$65,L853*'Assumptions and Catalog'!$H$65+'Assumptions and Catalog'!$E$65+'Assumptions and Catalog'!$F$65,"Out of range")))))))))*(1+'Assumptions and Catalog'!$C$8)^(A853-1),0)</f>
        <v>5875.1436606734005</v>
      </c>
      <c r="O853" s="5">
        <f t="shared" ref="O853:O900" si="63">M853-N853</f>
        <v>2679.8230059932666</v>
      </c>
      <c r="P853" s="5">
        <f>E$55*(1-L$14)*(1-'Assumptions and Catalog'!$C$23)^R853</f>
        <v>90.71025980047358</v>
      </c>
      <c r="Q853" s="5">
        <f>IF(ISNUMBER(Inputs!$L$5),(IF(Inputs!$L$9="Actual flat rate",((D853+E853)*C853-G853)*Inputs!$L$10,IF(Inputs!$C$9="Residential",IF(((D853+E853)*C853-G853)&lt;='Assumptions and Catalog'!$C$50,((D853+E853)*C853-G853)*'Assumptions and Catalog'!$H$50+'Assumptions and Catalog'!$E$50+'Assumptions and Catalog'!$F$50,IF(((D853+E853)*C853-G853)&lt;='Assumptions and Catalog'!$C$51,((D853+E853)*C853-G853)*'Assumptions and Catalog'!$H$51+'Assumptions and Catalog'!$E$51+'Assumptions and Catalog'!$F$51,IF(((D853+E853)*C853-G853)&lt;='Assumptions and Catalog'!$C$52,((D853+E853)*C853-G853)*'Assumptions and Catalog'!$H$52+'Assumptions and Catalog'!$E$52+'Assumptions and Catalog'!$F$52,IF(((D853+E853)*C853-G853)&lt;='Assumptions and Catalog'!$C$53,((D853+E853)*C853-G853)*'Assumptions and Catalog'!$H$53+'Assumptions and Catalog'!$E$53+'Assumptions and Catalog'!$F$53,IF(((D853+E853)*C853-G853)&lt;='Assumptions and Catalog'!$C$54,((D853+E853)*C853-G853)*'Assumptions and Catalog'!$H$54+'Assumptions and Catalog'!$E$54+'Assumptions and Catalog'!$F$54,IF(((D853+E853)*C853-G853)&lt;='Assumptions and Catalog'!$C$55,((D853+E853)*C853-G853)*'Assumptions and Catalog'!$H$55+'Assumptions and Catalog'!$E$55+'Assumptions and Catalog'!$F$55,IF(((D853+E853)*C853-G853)&lt;='Assumptions and Catalog'!$C$56,((D853+E853)*C853-G853)*'Assumptions and Catalog'!$H$56+'Assumptions and Catalog'!$E$56+'Assumptions and Catalog'!$F$56,IF(((D853+E853)*C853-G853)&lt;='Assumptions and Catalog'!$C$57,((D853+E853)*C853-G853)*'Assumptions and Catalog'!$H$57+'Assumptions and Catalog'!$E$57+'Assumptions and Catalog'!$F$57,"Out of range")))))))),IF(((D853+E853)*C853-G853)&lt;='Assumptions and Catalog'!$C$60,((D853+E853)*C853-G853)*'Assumptions and Catalog'!$H$60+'Assumptions and Catalog'!$E$60+'Assumptions and Catalog'!$F$60,IF(((D853+E853)*C853-G853)&lt;='Assumptions and Catalog'!$C$61,((D853+E853)*C853-G853)*'Assumptions and Catalog'!$H$61+'Assumptions and Catalog'!$E$61+'Assumptions and Catalog'!$F$61,IF(((D853+E853)*C853-G853)&lt;='Assumptions and Catalog'!$C$62,((D853+E853)*C853-G853)*'Assumptions and Catalog'!$H$62+'Assumptions and Catalog'!$E$62+'Assumptions and Catalog'!$F$62,IF(((D853+E853)*C853-G853)&lt;='Assumptions and Catalog'!$C$63,((D853+E853)*C853-G853)*'Assumptions and Catalog'!$H$63+'Assumptions and Catalog'!$E$63+'Assumptions and Catalog'!$F$63,IF(((D853+E853)*C853-G853)&lt;='Assumptions and Catalog'!$C$64,((D853+E853)*C853-G853)*'Assumptions and Catalog'!$H$64+'Assumptions and Catalog'!$E$64+'Assumptions and Catalog'!$F$64,IF(((D853+E853)*C853-G853)&lt;='Assumptions and Catalog'!$C$65,((D853+E853)*C853-G853)*'Assumptions and Catalog'!$H$65+'Assumptions and Catalog'!$E$65+'Assumptions and Catalog'!$F$65,"Out of range")))))))))*(1+'Assumptions and Catalog'!$C$8)^(A853-1),0)</f>
        <v>5875.1436606734005</v>
      </c>
      <c r="R853" s="5">
        <f>IF(AND('Assumptions and Catalog'!$C$19&gt;0,A853&gt;='Assumptions and Catalog'!$C$19),A853-'Assumptions and Catalog'!$C$19,A853-1)</f>
        <v>6</v>
      </c>
      <c r="S853" s="5">
        <f>F853+L853-(D853+E853)*C853-J853-K853-IF(E$52&gt;0,'Assumptions and Catalog'!$C$26*C853,0)</f>
        <v>0</v>
      </c>
      <c r="T853" s="5"/>
      <c r="U853" s="5"/>
    </row>
    <row r="854" spans="1:21" ht="23.1" customHeight="1" outlineLevel="1" x14ac:dyDescent="0.2">
      <c r="A854" s="5">
        <v>17</v>
      </c>
      <c r="B854" s="5">
        <v>2</v>
      </c>
      <c r="C854" s="5">
        <f>DAY(DATE('Assumptions and Catalog'!$C$24+A854-1,B854+1,0))</f>
        <v>28</v>
      </c>
      <c r="D854" s="5">
        <f>IF(ISNUMBER(Inputs!$L$5),Inputs!$L$5*Inputs!$L$6,0)</f>
        <v>40.35</v>
      </c>
      <c r="E854" s="5">
        <f>IF(ISNUMBER(Inputs!$L$5),Inputs!$L$5-D854,0)</f>
        <v>40.35</v>
      </c>
      <c r="F854" s="5">
        <f>E$51*'Assumptions and Catalog'!$C$31*C854*(1-'Assumptions and Catalog'!$C$10)^(A854-1)</f>
        <v>707.81433759832146</v>
      </c>
      <c r="G854" s="5">
        <f t="shared" si="60"/>
        <v>707.81433759832146</v>
      </c>
      <c r="H854" s="5">
        <f>I854/('Assumptions and Catalog'!$C$11*'Assumptions and Catalog'!$C$12)</f>
        <v>0</v>
      </c>
      <c r="I854" s="5">
        <f>MIN(E854*C854,P854*'Assumptions and Catalog'!$C$12*C854,(F854-G854)*'Assumptions and Catalog'!$C$11*'Assumptions and Catalog'!$C$12,E$56*'Assumptions and Catalog'!$C$14*'Assumptions and Catalog'!$C$11*'Assumptions and Catalog'!$C$12*C854,E$57*(24-'Assumptions and Catalog'!$C$13)*C854)</f>
        <v>0</v>
      </c>
      <c r="J854" s="5">
        <f t="shared" si="61"/>
        <v>0</v>
      </c>
      <c r="K854" s="5">
        <f t="shared" si="62"/>
        <v>0</v>
      </c>
      <c r="L854" s="5">
        <f>(D854+E854)*C854-G854-I854+0+IF(E$52&gt;0,'Assumptions and Catalog'!$C$26*C854,0)</f>
        <v>1551.7856624016786</v>
      </c>
      <c r="M854" s="5">
        <f>IF(ISNUMBER(Inputs!$L$5),(IF(Inputs!$L$9="Actual flat rate",((D854+E854)*C854)*Inputs!$L$10,IF(Inputs!$C$9="Residential",IF(((D854+E854)*C854)&lt;='Assumptions and Catalog'!$C$50,((D854+E854)*C854)*'Assumptions and Catalog'!$H$50+'Assumptions and Catalog'!$E$50+'Assumptions and Catalog'!$F$50,IF(((D854+E854)*C854)&lt;='Assumptions and Catalog'!$C$51,((D854+E854)*C854)*'Assumptions and Catalog'!$H$51+'Assumptions and Catalog'!$E$51+'Assumptions and Catalog'!$F$51,IF(((D854+E854)*C854)&lt;='Assumptions and Catalog'!$C$52,((D854+E854)*C854)*'Assumptions and Catalog'!$H$52+'Assumptions and Catalog'!$E$52+'Assumptions and Catalog'!$F$52,IF(((D854+E854)*C854)&lt;='Assumptions and Catalog'!$C$53,((D854+E854)*C854)*'Assumptions and Catalog'!$H$53+'Assumptions and Catalog'!$E$53+'Assumptions and Catalog'!$F$53,IF(((D854+E854)*C854)&lt;='Assumptions and Catalog'!$C$54,((D854+E854)*C854)*'Assumptions and Catalog'!$H$54+'Assumptions and Catalog'!$E$54+'Assumptions and Catalog'!$F$54,IF(((D854+E854)*C854)&lt;='Assumptions and Catalog'!$C$55,((D854+E854)*C854)*'Assumptions and Catalog'!$H$55+'Assumptions and Catalog'!$E$55+'Assumptions and Catalog'!$F$55,IF(((D854+E854)*C854)&lt;='Assumptions and Catalog'!$C$56,((D854+E854)*C854)*'Assumptions and Catalog'!$H$56+'Assumptions and Catalog'!$E$56+'Assumptions and Catalog'!$F$56,IF(((D854+E854)*C854)&lt;='Assumptions and Catalog'!$C$57,((D854+E854)*C854)*'Assumptions and Catalog'!$H$57+'Assumptions and Catalog'!$E$57+'Assumptions and Catalog'!$F$57,"Out of range")))))))),IF(((D854+E854)*C854)&lt;='Assumptions and Catalog'!$C$60,((D854+E854)*C854)*'Assumptions and Catalog'!$H$60+'Assumptions and Catalog'!$E$60+'Assumptions and Catalog'!$F$60,IF(((D854+E854)*C854)&lt;='Assumptions and Catalog'!$C$61,((D854+E854)*C854)*'Assumptions and Catalog'!$H$61+'Assumptions and Catalog'!$E$61+'Assumptions and Catalog'!$F$61,IF(((D854+E854)*C854)&lt;='Assumptions and Catalog'!$C$62,((D854+E854)*C854)*'Assumptions and Catalog'!$H$62+'Assumptions and Catalog'!$E$62+'Assumptions and Catalog'!$F$62,IF(((D854+E854)*C854)&lt;='Assumptions and Catalog'!$C$63,((D854+E854)*C854)*'Assumptions and Catalog'!$H$63+'Assumptions and Catalog'!$E$63+'Assumptions and Catalog'!$F$63,IF(((D854+E854)*C854)&lt;='Assumptions and Catalog'!$C$64,((D854+E854)*C854)*'Assumptions and Catalog'!$H$64+'Assumptions and Catalog'!$E$64+'Assumptions and Catalog'!$F$64,IF(((D854+E854)*C854)&lt;='Assumptions and Catalog'!$C$65,((D854+E854)*C854)*'Assumptions and Catalog'!$H$65+'Assumptions and Catalog'!$E$65+'Assumptions and Catalog'!$F$65,"Out of range")))))))))*(1+'Assumptions and Catalog'!$C$8)^(A854-1),0)</f>
        <v>7727.0666666666657</v>
      </c>
      <c r="N854" s="5">
        <f>IF(ISNUMBER(Inputs!$L$5),(IF(Inputs!$L$9="Actual flat rate",L854*Inputs!$L$10,IF(Inputs!$C$9="Residential",IF(L854&lt;='Assumptions and Catalog'!$C$50,L854*'Assumptions and Catalog'!$H$50+'Assumptions and Catalog'!$E$50+'Assumptions and Catalog'!$F$50,IF(L854&lt;='Assumptions and Catalog'!$C$51,L854*'Assumptions and Catalog'!$H$51+'Assumptions and Catalog'!$E$51+'Assumptions and Catalog'!$F$51,IF(L854&lt;='Assumptions and Catalog'!$C$52,L854*'Assumptions and Catalog'!$H$52+'Assumptions and Catalog'!$E$52+'Assumptions and Catalog'!$F$52,IF(L854&lt;='Assumptions and Catalog'!$C$53,L854*'Assumptions and Catalog'!$H$53+'Assumptions and Catalog'!$E$53+'Assumptions and Catalog'!$F$53,IF(L854&lt;='Assumptions and Catalog'!$C$54,L854*'Assumptions and Catalog'!$H$54+'Assumptions and Catalog'!$E$54+'Assumptions and Catalog'!$F$54,IF(L854&lt;='Assumptions and Catalog'!$C$55,L854*'Assumptions and Catalog'!$H$55+'Assumptions and Catalog'!$E$55+'Assumptions and Catalog'!$F$55,IF(L854&lt;='Assumptions and Catalog'!$C$56,L854*'Assumptions and Catalog'!$H$56+'Assumptions and Catalog'!$E$56+'Assumptions and Catalog'!$F$56,IF(L854&lt;='Assumptions and Catalog'!$C$57,L854*'Assumptions and Catalog'!$H$57+'Assumptions and Catalog'!$E$57+'Assumptions and Catalog'!$F$57,"Out of range")))))))),IF(L854&lt;='Assumptions and Catalog'!$C$60,L854*'Assumptions and Catalog'!$H$60+'Assumptions and Catalog'!$E$60+'Assumptions and Catalog'!$F$60,IF(L854&lt;='Assumptions and Catalog'!$C$61,L854*'Assumptions and Catalog'!$H$61+'Assumptions and Catalog'!$E$61+'Assumptions and Catalog'!$F$61,IF(L854&lt;='Assumptions and Catalog'!$C$62,L854*'Assumptions and Catalog'!$H$62+'Assumptions and Catalog'!$E$62+'Assumptions and Catalog'!$F$62,IF(L854&lt;='Assumptions and Catalog'!$C$63,L854*'Assumptions and Catalog'!$H$63+'Assumptions and Catalog'!$E$63+'Assumptions and Catalog'!$F$63,IF(L854&lt;='Assumptions and Catalog'!$C$64,L854*'Assumptions and Catalog'!$H$64+'Assumptions and Catalog'!$E$64+'Assumptions and Catalog'!$F$64,IF(L854&lt;='Assumptions and Catalog'!$C$65,L854*'Assumptions and Catalog'!$H$65+'Assumptions and Catalog'!$E$65+'Assumptions and Catalog'!$F$65,"Out of range")))))))))*(1+'Assumptions and Catalog'!$C$8)^(A854-1),0)</f>
        <v>5306.5813709308122</v>
      </c>
      <c r="O854" s="5">
        <f t="shared" si="63"/>
        <v>2420.4852957358535</v>
      </c>
      <c r="P854" s="5">
        <f>E$55*(1-L$14)*(1-'Assumptions and Catalog'!$C$23)^R854</f>
        <v>90.71025980047358</v>
      </c>
      <c r="Q854" s="5">
        <f>IF(ISNUMBER(Inputs!$L$5),(IF(Inputs!$L$9="Actual flat rate",((D854+E854)*C854-G854)*Inputs!$L$10,IF(Inputs!$C$9="Residential",IF(((D854+E854)*C854-G854)&lt;='Assumptions and Catalog'!$C$50,((D854+E854)*C854-G854)*'Assumptions and Catalog'!$H$50+'Assumptions and Catalog'!$E$50+'Assumptions and Catalog'!$F$50,IF(((D854+E854)*C854-G854)&lt;='Assumptions and Catalog'!$C$51,((D854+E854)*C854-G854)*'Assumptions and Catalog'!$H$51+'Assumptions and Catalog'!$E$51+'Assumptions and Catalog'!$F$51,IF(((D854+E854)*C854-G854)&lt;='Assumptions and Catalog'!$C$52,((D854+E854)*C854-G854)*'Assumptions and Catalog'!$H$52+'Assumptions and Catalog'!$E$52+'Assumptions and Catalog'!$F$52,IF(((D854+E854)*C854-G854)&lt;='Assumptions and Catalog'!$C$53,((D854+E854)*C854-G854)*'Assumptions and Catalog'!$H$53+'Assumptions and Catalog'!$E$53+'Assumptions and Catalog'!$F$53,IF(((D854+E854)*C854-G854)&lt;='Assumptions and Catalog'!$C$54,((D854+E854)*C854-G854)*'Assumptions and Catalog'!$H$54+'Assumptions and Catalog'!$E$54+'Assumptions and Catalog'!$F$54,IF(((D854+E854)*C854-G854)&lt;='Assumptions and Catalog'!$C$55,((D854+E854)*C854-G854)*'Assumptions and Catalog'!$H$55+'Assumptions and Catalog'!$E$55+'Assumptions and Catalog'!$F$55,IF(((D854+E854)*C854-G854)&lt;='Assumptions and Catalog'!$C$56,((D854+E854)*C854-G854)*'Assumptions and Catalog'!$H$56+'Assumptions and Catalog'!$E$56+'Assumptions and Catalog'!$F$56,IF(((D854+E854)*C854-G854)&lt;='Assumptions and Catalog'!$C$57,((D854+E854)*C854-G854)*'Assumptions and Catalog'!$H$57+'Assumptions and Catalog'!$E$57+'Assumptions and Catalog'!$F$57,"Out of range")))))))),IF(((D854+E854)*C854-G854)&lt;='Assumptions and Catalog'!$C$60,((D854+E854)*C854-G854)*'Assumptions and Catalog'!$H$60+'Assumptions and Catalog'!$E$60+'Assumptions and Catalog'!$F$60,IF(((D854+E854)*C854-G854)&lt;='Assumptions and Catalog'!$C$61,((D854+E854)*C854-G854)*'Assumptions and Catalog'!$H$61+'Assumptions and Catalog'!$E$61+'Assumptions and Catalog'!$F$61,IF(((D854+E854)*C854-G854)&lt;='Assumptions and Catalog'!$C$62,((D854+E854)*C854-G854)*'Assumptions and Catalog'!$H$62+'Assumptions and Catalog'!$E$62+'Assumptions and Catalog'!$F$62,IF(((D854+E854)*C854-G854)&lt;='Assumptions and Catalog'!$C$63,((D854+E854)*C854-G854)*'Assumptions and Catalog'!$H$63+'Assumptions and Catalog'!$E$63+'Assumptions and Catalog'!$F$63,IF(((D854+E854)*C854-G854)&lt;='Assumptions and Catalog'!$C$64,((D854+E854)*C854-G854)*'Assumptions and Catalog'!$H$64+'Assumptions and Catalog'!$E$64+'Assumptions and Catalog'!$F$64,IF(((D854+E854)*C854-G854)&lt;='Assumptions and Catalog'!$C$65,((D854+E854)*C854-G854)*'Assumptions and Catalog'!$H$65+'Assumptions and Catalog'!$E$65+'Assumptions and Catalog'!$F$65,"Out of range")))))))))*(1+'Assumptions and Catalog'!$C$8)^(A854-1),0)</f>
        <v>5306.5813709308122</v>
      </c>
      <c r="R854" s="5">
        <f>IF(AND('Assumptions and Catalog'!$C$19&gt;0,A854&gt;='Assumptions and Catalog'!$C$19),A854-'Assumptions and Catalog'!$C$19,A854-1)</f>
        <v>6</v>
      </c>
      <c r="S854" s="5">
        <f>F854+L854-(D854+E854)*C854-J854-K854-IF(E$52&gt;0,'Assumptions and Catalog'!$C$26*C854,0)</f>
        <v>0</v>
      </c>
      <c r="T854" s="5"/>
      <c r="U854" s="5"/>
    </row>
    <row r="855" spans="1:21" ht="23.1" customHeight="1" outlineLevel="1" x14ac:dyDescent="0.2">
      <c r="A855" s="5">
        <v>17</v>
      </c>
      <c r="B855" s="5">
        <v>3</v>
      </c>
      <c r="C855" s="5">
        <f>DAY(DATE('Assumptions and Catalog'!$C$24+A855-1,B855+1,0))</f>
        <v>31</v>
      </c>
      <c r="D855" s="5">
        <f>IF(ISNUMBER(Inputs!$L$5),Inputs!$L$5*Inputs!$L$6,0)</f>
        <v>40.35</v>
      </c>
      <c r="E855" s="5">
        <f>IF(ISNUMBER(Inputs!$L$5),Inputs!$L$5-D855,0)</f>
        <v>40.35</v>
      </c>
      <c r="F855" s="5">
        <f>E$51*'Assumptions and Catalog'!$C$31*C855*(1-'Assumptions and Catalog'!$C$10)^(A855-1)</f>
        <v>783.65158805528438</v>
      </c>
      <c r="G855" s="5">
        <f t="shared" si="60"/>
        <v>783.65158805528438</v>
      </c>
      <c r="H855" s="5">
        <f>I855/('Assumptions and Catalog'!$C$11*'Assumptions and Catalog'!$C$12)</f>
        <v>0</v>
      </c>
      <c r="I855" s="5">
        <f>MIN(E855*C855,P855*'Assumptions and Catalog'!$C$12*C855,(F855-G855)*'Assumptions and Catalog'!$C$11*'Assumptions and Catalog'!$C$12,E$56*'Assumptions and Catalog'!$C$14*'Assumptions and Catalog'!$C$11*'Assumptions and Catalog'!$C$12*C855,E$57*(24-'Assumptions and Catalog'!$C$13)*C855)</f>
        <v>0</v>
      </c>
      <c r="J855" s="5">
        <f t="shared" si="61"/>
        <v>0</v>
      </c>
      <c r="K855" s="5">
        <f t="shared" si="62"/>
        <v>0</v>
      </c>
      <c r="L855" s="5">
        <f>(D855+E855)*C855-G855-I855+0+IF(E$52&gt;0,'Assumptions and Catalog'!$C$26*C855,0)</f>
        <v>1718.048411944716</v>
      </c>
      <c r="M855" s="5">
        <f>IF(ISNUMBER(Inputs!$L$5),(IF(Inputs!$L$9="Actual flat rate",((D855+E855)*C855)*Inputs!$L$10,IF(Inputs!$C$9="Residential",IF(((D855+E855)*C855)&lt;='Assumptions and Catalog'!$C$50,((D855+E855)*C855)*'Assumptions and Catalog'!$H$50+'Assumptions and Catalog'!$E$50+'Assumptions and Catalog'!$F$50,IF(((D855+E855)*C855)&lt;='Assumptions and Catalog'!$C$51,((D855+E855)*C855)*'Assumptions and Catalog'!$H$51+'Assumptions and Catalog'!$E$51+'Assumptions and Catalog'!$F$51,IF(((D855+E855)*C855)&lt;='Assumptions and Catalog'!$C$52,((D855+E855)*C855)*'Assumptions and Catalog'!$H$52+'Assumptions and Catalog'!$E$52+'Assumptions and Catalog'!$F$52,IF(((D855+E855)*C855)&lt;='Assumptions and Catalog'!$C$53,((D855+E855)*C855)*'Assumptions and Catalog'!$H$53+'Assumptions and Catalog'!$E$53+'Assumptions and Catalog'!$F$53,IF(((D855+E855)*C855)&lt;='Assumptions and Catalog'!$C$54,((D855+E855)*C855)*'Assumptions and Catalog'!$H$54+'Assumptions and Catalog'!$E$54+'Assumptions and Catalog'!$F$54,IF(((D855+E855)*C855)&lt;='Assumptions and Catalog'!$C$55,((D855+E855)*C855)*'Assumptions and Catalog'!$H$55+'Assumptions and Catalog'!$E$55+'Assumptions and Catalog'!$F$55,IF(((D855+E855)*C855)&lt;='Assumptions and Catalog'!$C$56,((D855+E855)*C855)*'Assumptions and Catalog'!$H$56+'Assumptions and Catalog'!$E$56+'Assumptions and Catalog'!$F$56,IF(((D855+E855)*C855)&lt;='Assumptions and Catalog'!$C$57,((D855+E855)*C855)*'Assumptions and Catalog'!$H$57+'Assumptions and Catalog'!$E$57+'Assumptions and Catalog'!$F$57,"Out of range")))))))),IF(((D855+E855)*C855)&lt;='Assumptions and Catalog'!$C$60,((D855+E855)*C855)*'Assumptions and Catalog'!$H$60+'Assumptions and Catalog'!$E$60+'Assumptions and Catalog'!$F$60,IF(((D855+E855)*C855)&lt;='Assumptions and Catalog'!$C$61,((D855+E855)*C855)*'Assumptions and Catalog'!$H$61+'Assumptions and Catalog'!$E$61+'Assumptions and Catalog'!$F$61,IF(((D855+E855)*C855)&lt;='Assumptions and Catalog'!$C$62,((D855+E855)*C855)*'Assumptions and Catalog'!$H$62+'Assumptions and Catalog'!$E$62+'Assumptions and Catalog'!$F$62,IF(((D855+E855)*C855)&lt;='Assumptions and Catalog'!$C$63,((D855+E855)*C855)*'Assumptions and Catalog'!$H$63+'Assumptions and Catalog'!$E$63+'Assumptions and Catalog'!$F$63,IF(((D855+E855)*C855)&lt;='Assumptions and Catalog'!$C$64,((D855+E855)*C855)*'Assumptions and Catalog'!$H$64+'Assumptions and Catalog'!$E$64+'Assumptions and Catalog'!$F$64,IF(((D855+E855)*C855)&lt;='Assumptions and Catalog'!$C$65,((D855+E855)*C855)*'Assumptions and Catalog'!$H$65+'Assumptions and Catalog'!$E$65+'Assumptions and Catalog'!$F$65,"Out of range")))))))))*(1+'Assumptions and Catalog'!$C$8)^(A855-1),0)</f>
        <v>8554.9666666666672</v>
      </c>
      <c r="N855" s="5">
        <f>IF(ISNUMBER(Inputs!$L$5),(IF(Inputs!$L$9="Actual flat rate",L855*Inputs!$L$10,IF(Inputs!$C$9="Residential",IF(L855&lt;='Assumptions and Catalog'!$C$50,L855*'Assumptions and Catalog'!$H$50+'Assumptions and Catalog'!$E$50+'Assumptions and Catalog'!$F$50,IF(L855&lt;='Assumptions and Catalog'!$C$51,L855*'Assumptions and Catalog'!$H$51+'Assumptions and Catalog'!$E$51+'Assumptions and Catalog'!$F$51,IF(L855&lt;='Assumptions and Catalog'!$C$52,L855*'Assumptions and Catalog'!$H$52+'Assumptions and Catalog'!$E$52+'Assumptions and Catalog'!$F$52,IF(L855&lt;='Assumptions and Catalog'!$C$53,L855*'Assumptions and Catalog'!$H$53+'Assumptions and Catalog'!$E$53+'Assumptions and Catalog'!$F$53,IF(L855&lt;='Assumptions and Catalog'!$C$54,L855*'Assumptions and Catalog'!$H$54+'Assumptions and Catalog'!$E$54+'Assumptions and Catalog'!$F$54,IF(L855&lt;='Assumptions and Catalog'!$C$55,L855*'Assumptions and Catalog'!$H$55+'Assumptions and Catalog'!$E$55+'Assumptions and Catalog'!$F$55,IF(L855&lt;='Assumptions and Catalog'!$C$56,L855*'Assumptions and Catalog'!$H$56+'Assumptions and Catalog'!$E$56+'Assumptions and Catalog'!$F$56,IF(L855&lt;='Assumptions and Catalog'!$C$57,L855*'Assumptions and Catalog'!$H$57+'Assumptions and Catalog'!$E$57+'Assumptions and Catalog'!$F$57,"Out of range")))))))),IF(L855&lt;='Assumptions and Catalog'!$C$60,L855*'Assumptions and Catalog'!$H$60+'Assumptions and Catalog'!$E$60+'Assumptions and Catalog'!$F$60,IF(L855&lt;='Assumptions and Catalog'!$C$61,L855*'Assumptions and Catalog'!$H$61+'Assumptions and Catalog'!$E$61+'Assumptions and Catalog'!$F$61,IF(L855&lt;='Assumptions and Catalog'!$C$62,L855*'Assumptions and Catalog'!$H$62+'Assumptions and Catalog'!$E$62+'Assumptions and Catalog'!$F$62,IF(L855&lt;='Assumptions and Catalog'!$C$63,L855*'Assumptions and Catalog'!$H$63+'Assumptions and Catalog'!$E$63+'Assumptions and Catalog'!$F$63,IF(L855&lt;='Assumptions and Catalog'!$C$64,L855*'Assumptions and Catalog'!$H$64+'Assumptions and Catalog'!$E$64+'Assumptions and Catalog'!$F$64,IF(L855&lt;='Assumptions and Catalog'!$C$65,L855*'Assumptions and Catalog'!$H$65+'Assumptions and Catalog'!$E$65+'Assumptions and Catalog'!$F$65,"Out of range")))))))))*(1+'Assumptions and Catalog'!$C$8)^(A855-1),0)</f>
        <v>5875.1436606734005</v>
      </c>
      <c r="O855" s="5">
        <f t="shared" si="63"/>
        <v>2679.8230059932666</v>
      </c>
      <c r="P855" s="5">
        <f>E$55*(1-L$14)*(1-'Assumptions and Catalog'!$C$23)^R855</f>
        <v>90.71025980047358</v>
      </c>
      <c r="Q855" s="5">
        <f>IF(ISNUMBER(Inputs!$L$5),(IF(Inputs!$L$9="Actual flat rate",((D855+E855)*C855-G855)*Inputs!$L$10,IF(Inputs!$C$9="Residential",IF(((D855+E855)*C855-G855)&lt;='Assumptions and Catalog'!$C$50,((D855+E855)*C855-G855)*'Assumptions and Catalog'!$H$50+'Assumptions and Catalog'!$E$50+'Assumptions and Catalog'!$F$50,IF(((D855+E855)*C855-G855)&lt;='Assumptions and Catalog'!$C$51,((D855+E855)*C855-G855)*'Assumptions and Catalog'!$H$51+'Assumptions and Catalog'!$E$51+'Assumptions and Catalog'!$F$51,IF(((D855+E855)*C855-G855)&lt;='Assumptions and Catalog'!$C$52,((D855+E855)*C855-G855)*'Assumptions and Catalog'!$H$52+'Assumptions and Catalog'!$E$52+'Assumptions and Catalog'!$F$52,IF(((D855+E855)*C855-G855)&lt;='Assumptions and Catalog'!$C$53,((D855+E855)*C855-G855)*'Assumptions and Catalog'!$H$53+'Assumptions and Catalog'!$E$53+'Assumptions and Catalog'!$F$53,IF(((D855+E855)*C855-G855)&lt;='Assumptions and Catalog'!$C$54,((D855+E855)*C855-G855)*'Assumptions and Catalog'!$H$54+'Assumptions and Catalog'!$E$54+'Assumptions and Catalog'!$F$54,IF(((D855+E855)*C855-G855)&lt;='Assumptions and Catalog'!$C$55,((D855+E855)*C855-G855)*'Assumptions and Catalog'!$H$55+'Assumptions and Catalog'!$E$55+'Assumptions and Catalog'!$F$55,IF(((D855+E855)*C855-G855)&lt;='Assumptions and Catalog'!$C$56,((D855+E855)*C855-G855)*'Assumptions and Catalog'!$H$56+'Assumptions and Catalog'!$E$56+'Assumptions and Catalog'!$F$56,IF(((D855+E855)*C855-G855)&lt;='Assumptions and Catalog'!$C$57,((D855+E855)*C855-G855)*'Assumptions and Catalog'!$H$57+'Assumptions and Catalog'!$E$57+'Assumptions and Catalog'!$F$57,"Out of range")))))))),IF(((D855+E855)*C855-G855)&lt;='Assumptions and Catalog'!$C$60,((D855+E855)*C855-G855)*'Assumptions and Catalog'!$H$60+'Assumptions and Catalog'!$E$60+'Assumptions and Catalog'!$F$60,IF(((D855+E855)*C855-G855)&lt;='Assumptions and Catalog'!$C$61,((D855+E855)*C855-G855)*'Assumptions and Catalog'!$H$61+'Assumptions and Catalog'!$E$61+'Assumptions and Catalog'!$F$61,IF(((D855+E855)*C855-G855)&lt;='Assumptions and Catalog'!$C$62,((D855+E855)*C855-G855)*'Assumptions and Catalog'!$H$62+'Assumptions and Catalog'!$E$62+'Assumptions and Catalog'!$F$62,IF(((D855+E855)*C855-G855)&lt;='Assumptions and Catalog'!$C$63,((D855+E855)*C855-G855)*'Assumptions and Catalog'!$H$63+'Assumptions and Catalog'!$E$63+'Assumptions and Catalog'!$F$63,IF(((D855+E855)*C855-G855)&lt;='Assumptions and Catalog'!$C$64,((D855+E855)*C855-G855)*'Assumptions and Catalog'!$H$64+'Assumptions and Catalog'!$E$64+'Assumptions and Catalog'!$F$64,IF(((D855+E855)*C855-G855)&lt;='Assumptions and Catalog'!$C$65,((D855+E855)*C855-G855)*'Assumptions and Catalog'!$H$65+'Assumptions and Catalog'!$E$65+'Assumptions and Catalog'!$F$65,"Out of range")))))))))*(1+'Assumptions and Catalog'!$C$8)^(A855-1),0)</f>
        <v>5875.1436606734005</v>
      </c>
      <c r="R855" s="5">
        <f>IF(AND('Assumptions and Catalog'!$C$19&gt;0,A855&gt;='Assumptions and Catalog'!$C$19),A855-'Assumptions and Catalog'!$C$19,A855-1)</f>
        <v>6</v>
      </c>
      <c r="S855" s="5">
        <f>F855+L855-(D855+E855)*C855-J855-K855-IF(E$52&gt;0,'Assumptions and Catalog'!$C$26*C855,0)</f>
        <v>0</v>
      </c>
      <c r="T855" s="5"/>
      <c r="U855" s="5"/>
    </row>
    <row r="856" spans="1:21" ht="23.1" customHeight="1" outlineLevel="1" x14ac:dyDescent="0.2">
      <c r="A856" s="5">
        <v>17</v>
      </c>
      <c r="B856" s="5">
        <v>4</v>
      </c>
      <c r="C856" s="5">
        <f>DAY(DATE('Assumptions and Catalog'!$C$24+A856-1,B856+1,0))</f>
        <v>30</v>
      </c>
      <c r="D856" s="5">
        <f>IF(ISNUMBER(Inputs!$L$5),Inputs!$L$5*Inputs!$L$6,0)</f>
        <v>40.35</v>
      </c>
      <c r="E856" s="5">
        <f>IF(ISNUMBER(Inputs!$L$5),Inputs!$L$5-D856,0)</f>
        <v>40.35</v>
      </c>
      <c r="F856" s="5">
        <f>E$51*'Assumptions and Catalog'!$C$31*C856*(1-'Assumptions and Catalog'!$C$10)^(A856-1)</f>
        <v>758.37250456963011</v>
      </c>
      <c r="G856" s="5">
        <f t="shared" si="60"/>
        <v>758.37250456963011</v>
      </c>
      <c r="H856" s="5">
        <f>I856/('Assumptions and Catalog'!$C$11*'Assumptions and Catalog'!$C$12)</f>
        <v>0</v>
      </c>
      <c r="I856" s="5">
        <f>MIN(E856*C856,P856*'Assumptions and Catalog'!$C$12*C856,(F856-G856)*'Assumptions and Catalog'!$C$11*'Assumptions and Catalog'!$C$12,E$56*'Assumptions and Catalog'!$C$14*'Assumptions and Catalog'!$C$11*'Assumptions and Catalog'!$C$12*C856,E$57*(24-'Assumptions and Catalog'!$C$13)*C856)</f>
        <v>0</v>
      </c>
      <c r="J856" s="5">
        <f t="shared" si="61"/>
        <v>0</v>
      </c>
      <c r="K856" s="5">
        <f t="shared" si="62"/>
        <v>0</v>
      </c>
      <c r="L856" s="5">
        <f>(D856+E856)*C856-G856-I856+0+IF(E$52&gt;0,'Assumptions and Catalog'!$C$26*C856,0)</f>
        <v>1662.6274954303699</v>
      </c>
      <c r="M856" s="5">
        <f>IF(ISNUMBER(Inputs!$L$5),(IF(Inputs!$L$9="Actual flat rate",((D856+E856)*C856)*Inputs!$L$10,IF(Inputs!$C$9="Residential",IF(((D856+E856)*C856)&lt;='Assumptions and Catalog'!$C$50,((D856+E856)*C856)*'Assumptions and Catalog'!$H$50+'Assumptions and Catalog'!$E$50+'Assumptions and Catalog'!$F$50,IF(((D856+E856)*C856)&lt;='Assumptions and Catalog'!$C$51,((D856+E856)*C856)*'Assumptions and Catalog'!$H$51+'Assumptions and Catalog'!$E$51+'Assumptions and Catalog'!$F$51,IF(((D856+E856)*C856)&lt;='Assumptions and Catalog'!$C$52,((D856+E856)*C856)*'Assumptions and Catalog'!$H$52+'Assumptions and Catalog'!$E$52+'Assumptions and Catalog'!$F$52,IF(((D856+E856)*C856)&lt;='Assumptions and Catalog'!$C$53,((D856+E856)*C856)*'Assumptions and Catalog'!$H$53+'Assumptions and Catalog'!$E$53+'Assumptions and Catalog'!$F$53,IF(((D856+E856)*C856)&lt;='Assumptions and Catalog'!$C$54,((D856+E856)*C856)*'Assumptions and Catalog'!$H$54+'Assumptions and Catalog'!$E$54+'Assumptions and Catalog'!$F$54,IF(((D856+E856)*C856)&lt;='Assumptions and Catalog'!$C$55,((D856+E856)*C856)*'Assumptions and Catalog'!$H$55+'Assumptions and Catalog'!$E$55+'Assumptions and Catalog'!$F$55,IF(((D856+E856)*C856)&lt;='Assumptions and Catalog'!$C$56,((D856+E856)*C856)*'Assumptions and Catalog'!$H$56+'Assumptions and Catalog'!$E$56+'Assumptions and Catalog'!$F$56,IF(((D856+E856)*C856)&lt;='Assumptions and Catalog'!$C$57,((D856+E856)*C856)*'Assumptions and Catalog'!$H$57+'Assumptions and Catalog'!$E$57+'Assumptions and Catalog'!$F$57,"Out of range")))))))),IF(((D856+E856)*C856)&lt;='Assumptions and Catalog'!$C$60,((D856+E856)*C856)*'Assumptions and Catalog'!$H$60+'Assumptions and Catalog'!$E$60+'Assumptions and Catalog'!$F$60,IF(((D856+E856)*C856)&lt;='Assumptions and Catalog'!$C$61,((D856+E856)*C856)*'Assumptions and Catalog'!$H$61+'Assumptions and Catalog'!$E$61+'Assumptions and Catalog'!$F$61,IF(((D856+E856)*C856)&lt;='Assumptions and Catalog'!$C$62,((D856+E856)*C856)*'Assumptions and Catalog'!$H$62+'Assumptions and Catalog'!$E$62+'Assumptions and Catalog'!$F$62,IF(((D856+E856)*C856)&lt;='Assumptions and Catalog'!$C$63,((D856+E856)*C856)*'Assumptions and Catalog'!$H$63+'Assumptions and Catalog'!$E$63+'Assumptions and Catalog'!$F$63,IF(((D856+E856)*C856)&lt;='Assumptions and Catalog'!$C$64,((D856+E856)*C856)*'Assumptions and Catalog'!$H$64+'Assumptions and Catalog'!$E$64+'Assumptions and Catalog'!$F$64,IF(((D856+E856)*C856)&lt;='Assumptions and Catalog'!$C$65,((D856+E856)*C856)*'Assumptions and Catalog'!$H$65+'Assumptions and Catalog'!$E$65+'Assumptions and Catalog'!$F$65,"Out of range")))))))))*(1+'Assumptions and Catalog'!$C$8)^(A856-1),0)</f>
        <v>8279</v>
      </c>
      <c r="N856" s="5">
        <f>IF(ISNUMBER(Inputs!$L$5),(IF(Inputs!$L$9="Actual flat rate",L856*Inputs!$L$10,IF(Inputs!$C$9="Residential",IF(L856&lt;='Assumptions and Catalog'!$C$50,L856*'Assumptions and Catalog'!$H$50+'Assumptions and Catalog'!$E$50+'Assumptions and Catalog'!$F$50,IF(L856&lt;='Assumptions and Catalog'!$C$51,L856*'Assumptions and Catalog'!$H$51+'Assumptions and Catalog'!$E$51+'Assumptions and Catalog'!$F$51,IF(L856&lt;='Assumptions and Catalog'!$C$52,L856*'Assumptions and Catalog'!$H$52+'Assumptions and Catalog'!$E$52+'Assumptions and Catalog'!$F$52,IF(L856&lt;='Assumptions and Catalog'!$C$53,L856*'Assumptions and Catalog'!$H$53+'Assumptions and Catalog'!$E$53+'Assumptions and Catalog'!$F$53,IF(L856&lt;='Assumptions and Catalog'!$C$54,L856*'Assumptions and Catalog'!$H$54+'Assumptions and Catalog'!$E$54+'Assumptions and Catalog'!$F$54,IF(L856&lt;='Assumptions and Catalog'!$C$55,L856*'Assumptions and Catalog'!$H$55+'Assumptions and Catalog'!$E$55+'Assumptions and Catalog'!$F$55,IF(L856&lt;='Assumptions and Catalog'!$C$56,L856*'Assumptions and Catalog'!$H$56+'Assumptions and Catalog'!$E$56+'Assumptions and Catalog'!$F$56,IF(L856&lt;='Assumptions and Catalog'!$C$57,L856*'Assumptions and Catalog'!$H$57+'Assumptions and Catalog'!$E$57+'Assumptions and Catalog'!$F$57,"Out of range")))))))),IF(L856&lt;='Assumptions and Catalog'!$C$60,L856*'Assumptions and Catalog'!$H$60+'Assumptions and Catalog'!$E$60+'Assumptions and Catalog'!$F$60,IF(L856&lt;='Assumptions and Catalog'!$C$61,L856*'Assumptions and Catalog'!$H$61+'Assumptions and Catalog'!$E$61+'Assumptions and Catalog'!$F$61,IF(L856&lt;='Assumptions and Catalog'!$C$62,L856*'Assumptions and Catalog'!$H$62+'Assumptions and Catalog'!$E$62+'Assumptions and Catalog'!$F$62,IF(L856&lt;='Assumptions and Catalog'!$C$63,L856*'Assumptions and Catalog'!$H$63+'Assumptions and Catalog'!$E$63+'Assumptions and Catalog'!$F$63,IF(L856&lt;='Assumptions and Catalog'!$C$64,L856*'Assumptions and Catalog'!$H$64+'Assumptions and Catalog'!$E$64+'Assumptions and Catalog'!$F$64,IF(L856&lt;='Assumptions and Catalog'!$C$65,L856*'Assumptions and Catalog'!$H$65+'Assumptions and Catalog'!$E$65+'Assumptions and Catalog'!$F$65,"Out of range")))))))))*(1+'Assumptions and Catalog'!$C$8)^(A856-1),0)</f>
        <v>5685.6228974258702</v>
      </c>
      <c r="O856" s="5">
        <f t="shared" si="63"/>
        <v>2593.3771025741298</v>
      </c>
      <c r="P856" s="5">
        <f>E$55*(1-L$14)*(1-'Assumptions and Catalog'!$C$23)^R856</f>
        <v>90.71025980047358</v>
      </c>
      <c r="Q856" s="5">
        <f>IF(ISNUMBER(Inputs!$L$5),(IF(Inputs!$L$9="Actual flat rate",((D856+E856)*C856-G856)*Inputs!$L$10,IF(Inputs!$C$9="Residential",IF(((D856+E856)*C856-G856)&lt;='Assumptions and Catalog'!$C$50,((D856+E856)*C856-G856)*'Assumptions and Catalog'!$H$50+'Assumptions and Catalog'!$E$50+'Assumptions and Catalog'!$F$50,IF(((D856+E856)*C856-G856)&lt;='Assumptions and Catalog'!$C$51,((D856+E856)*C856-G856)*'Assumptions and Catalog'!$H$51+'Assumptions and Catalog'!$E$51+'Assumptions and Catalog'!$F$51,IF(((D856+E856)*C856-G856)&lt;='Assumptions and Catalog'!$C$52,((D856+E856)*C856-G856)*'Assumptions and Catalog'!$H$52+'Assumptions and Catalog'!$E$52+'Assumptions and Catalog'!$F$52,IF(((D856+E856)*C856-G856)&lt;='Assumptions and Catalog'!$C$53,((D856+E856)*C856-G856)*'Assumptions and Catalog'!$H$53+'Assumptions and Catalog'!$E$53+'Assumptions and Catalog'!$F$53,IF(((D856+E856)*C856-G856)&lt;='Assumptions and Catalog'!$C$54,((D856+E856)*C856-G856)*'Assumptions and Catalog'!$H$54+'Assumptions and Catalog'!$E$54+'Assumptions and Catalog'!$F$54,IF(((D856+E856)*C856-G856)&lt;='Assumptions and Catalog'!$C$55,((D856+E856)*C856-G856)*'Assumptions and Catalog'!$H$55+'Assumptions and Catalog'!$E$55+'Assumptions and Catalog'!$F$55,IF(((D856+E856)*C856-G856)&lt;='Assumptions and Catalog'!$C$56,((D856+E856)*C856-G856)*'Assumptions and Catalog'!$H$56+'Assumptions and Catalog'!$E$56+'Assumptions and Catalog'!$F$56,IF(((D856+E856)*C856-G856)&lt;='Assumptions and Catalog'!$C$57,((D856+E856)*C856-G856)*'Assumptions and Catalog'!$H$57+'Assumptions and Catalog'!$E$57+'Assumptions and Catalog'!$F$57,"Out of range")))))))),IF(((D856+E856)*C856-G856)&lt;='Assumptions and Catalog'!$C$60,((D856+E856)*C856-G856)*'Assumptions and Catalog'!$H$60+'Assumptions and Catalog'!$E$60+'Assumptions and Catalog'!$F$60,IF(((D856+E856)*C856-G856)&lt;='Assumptions and Catalog'!$C$61,((D856+E856)*C856-G856)*'Assumptions and Catalog'!$H$61+'Assumptions and Catalog'!$E$61+'Assumptions and Catalog'!$F$61,IF(((D856+E856)*C856-G856)&lt;='Assumptions and Catalog'!$C$62,((D856+E856)*C856-G856)*'Assumptions and Catalog'!$H$62+'Assumptions and Catalog'!$E$62+'Assumptions and Catalog'!$F$62,IF(((D856+E856)*C856-G856)&lt;='Assumptions and Catalog'!$C$63,((D856+E856)*C856-G856)*'Assumptions and Catalog'!$H$63+'Assumptions and Catalog'!$E$63+'Assumptions and Catalog'!$F$63,IF(((D856+E856)*C856-G856)&lt;='Assumptions and Catalog'!$C$64,((D856+E856)*C856-G856)*'Assumptions and Catalog'!$H$64+'Assumptions and Catalog'!$E$64+'Assumptions and Catalog'!$F$64,IF(((D856+E856)*C856-G856)&lt;='Assumptions and Catalog'!$C$65,((D856+E856)*C856-G856)*'Assumptions and Catalog'!$H$65+'Assumptions and Catalog'!$E$65+'Assumptions and Catalog'!$F$65,"Out of range")))))))))*(1+'Assumptions and Catalog'!$C$8)^(A856-1),0)</f>
        <v>5685.6228974258702</v>
      </c>
      <c r="R856" s="5">
        <f>IF(AND('Assumptions and Catalog'!$C$19&gt;0,A856&gt;='Assumptions and Catalog'!$C$19),A856-'Assumptions and Catalog'!$C$19,A856-1)</f>
        <v>6</v>
      </c>
      <c r="S856" s="5">
        <f>F856+L856-(D856+E856)*C856-J856-K856-IF(E$52&gt;0,'Assumptions and Catalog'!$C$26*C856,0)</f>
        <v>0</v>
      </c>
      <c r="T856" s="5"/>
      <c r="U856" s="5"/>
    </row>
    <row r="857" spans="1:21" ht="23.1" customHeight="1" outlineLevel="1" x14ac:dyDescent="0.2">
      <c r="A857" s="5">
        <v>17</v>
      </c>
      <c r="B857" s="5">
        <v>5</v>
      </c>
      <c r="C857" s="5">
        <f>DAY(DATE('Assumptions and Catalog'!$C$24+A857-1,B857+1,0))</f>
        <v>31</v>
      </c>
      <c r="D857" s="5">
        <f>IF(ISNUMBER(Inputs!$L$5),Inputs!$L$5*Inputs!$L$6,0)</f>
        <v>40.35</v>
      </c>
      <c r="E857" s="5">
        <f>IF(ISNUMBER(Inputs!$L$5),Inputs!$L$5-D857,0)</f>
        <v>40.35</v>
      </c>
      <c r="F857" s="5">
        <f>E$51*'Assumptions and Catalog'!$C$31*C857*(1-'Assumptions and Catalog'!$C$10)^(A857-1)</f>
        <v>783.65158805528438</v>
      </c>
      <c r="G857" s="5">
        <f t="shared" si="60"/>
        <v>783.65158805528438</v>
      </c>
      <c r="H857" s="5">
        <f>I857/('Assumptions and Catalog'!$C$11*'Assumptions and Catalog'!$C$12)</f>
        <v>0</v>
      </c>
      <c r="I857" s="5">
        <f>MIN(E857*C857,P857*'Assumptions and Catalog'!$C$12*C857,(F857-G857)*'Assumptions and Catalog'!$C$11*'Assumptions and Catalog'!$C$12,E$56*'Assumptions and Catalog'!$C$14*'Assumptions and Catalog'!$C$11*'Assumptions and Catalog'!$C$12*C857,E$57*(24-'Assumptions and Catalog'!$C$13)*C857)</f>
        <v>0</v>
      </c>
      <c r="J857" s="5">
        <f t="shared" si="61"/>
        <v>0</v>
      </c>
      <c r="K857" s="5">
        <f t="shared" si="62"/>
        <v>0</v>
      </c>
      <c r="L857" s="5">
        <f>(D857+E857)*C857-G857-I857+0+IF(E$52&gt;0,'Assumptions and Catalog'!$C$26*C857,0)</f>
        <v>1718.048411944716</v>
      </c>
      <c r="M857" s="5">
        <f>IF(ISNUMBER(Inputs!$L$5),(IF(Inputs!$L$9="Actual flat rate",((D857+E857)*C857)*Inputs!$L$10,IF(Inputs!$C$9="Residential",IF(((D857+E857)*C857)&lt;='Assumptions and Catalog'!$C$50,((D857+E857)*C857)*'Assumptions and Catalog'!$H$50+'Assumptions and Catalog'!$E$50+'Assumptions and Catalog'!$F$50,IF(((D857+E857)*C857)&lt;='Assumptions and Catalog'!$C$51,((D857+E857)*C857)*'Assumptions and Catalog'!$H$51+'Assumptions and Catalog'!$E$51+'Assumptions and Catalog'!$F$51,IF(((D857+E857)*C857)&lt;='Assumptions and Catalog'!$C$52,((D857+E857)*C857)*'Assumptions and Catalog'!$H$52+'Assumptions and Catalog'!$E$52+'Assumptions and Catalog'!$F$52,IF(((D857+E857)*C857)&lt;='Assumptions and Catalog'!$C$53,((D857+E857)*C857)*'Assumptions and Catalog'!$H$53+'Assumptions and Catalog'!$E$53+'Assumptions and Catalog'!$F$53,IF(((D857+E857)*C857)&lt;='Assumptions and Catalog'!$C$54,((D857+E857)*C857)*'Assumptions and Catalog'!$H$54+'Assumptions and Catalog'!$E$54+'Assumptions and Catalog'!$F$54,IF(((D857+E857)*C857)&lt;='Assumptions and Catalog'!$C$55,((D857+E857)*C857)*'Assumptions and Catalog'!$H$55+'Assumptions and Catalog'!$E$55+'Assumptions and Catalog'!$F$55,IF(((D857+E857)*C857)&lt;='Assumptions and Catalog'!$C$56,((D857+E857)*C857)*'Assumptions and Catalog'!$H$56+'Assumptions and Catalog'!$E$56+'Assumptions and Catalog'!$F$56,IF(((D857+E857)*C857)&lt;='Assumptions and Catalog'!$C$57,((D857+E857)*C857)*'Assumptions and Catalog'!$H$57+'Assumptions and Catalog'!$E$57+'Assumptions and Catalog'!$F$57,"Out of range")))))))),IF(((D857+E857)*C857)&lt;='Assumptions and Catalog'!$C$60,((D857+E857)*C857)*'Assumptions and Catalog'!$H$60+'Assumptions and Catalog'!$E$60+'Assumptions and Catalog'!$F$60,IF(((D857+E857)*C857)&lt;='Assumptions and Catalog'!$C$61,((D857+E857)*C857)*'Assumptions and Catalog'!$H$61+'Assumptions and Catalog'!$E$61+'Assumptions and Catalog'!$F$61,IF(((D857+E857)*C857)&lt;='Assumptions and Catalog'!$C$62,((D857+E857)*C857)*'Assumptions and Catalog'!$H$62+'Assumptions and Catalog'!$E$62+'Assumptions and Catalog'!$F$62,IF(((D857+E857)*C857)&lt;='Assumptions and Catalog'!$C$63,((D857+E857)*C857)*'Assumptions and Catalog'!$H$63+'Assumptions and Catalog'!$E$63+'Assumptions and Catalog'!$F$63,IF(((D857+E857)*C857)&lt;='Assumptions and Catalog'!$C$64,((D857+E857)*C857)*'Assumptions and Catalog'!$H$64+'Assumptions and Catalog'!$E$64+'Assumptions and Catalog'!$F$64,IF(((D857+E857)*C857)&lt;='Assumptions and Catalog'!$C$65,((D857+E857)*C857)*'Assumptions and Catalog'!$H$65+'Assumptions and Catalog'!$E$65+'Assumptions and Catalog'!$F$65,"Out of range")))))))))*(1+'Assumptions and Catalog'!$C$8)^(A857-1),0)</f>
        <v>8554.9666666666672</v>
      </c>
      <c r="N857" s="5">
        <f>IF(ISNUMBER(Inputs!$L$5),(IF(Inputs!$L$9="Actual flat rate",L857*Inputs!$L$10,IF(Inputs!$C$9="Residential",IF(L857&lt;='Assumptions and Catalog'!$C$50,L857*'Assumptions and Catalog'!$H$50+'Assumptions and Catalog'!$E$50+'Assumptions and Catalog'!$F$50,IF(L857&lt;='Assumptions and Catalog'!$C$51,L857*'Assumptions and Catalog'!$H$51+'Assumptions and Catalog'!$E$51+'Assumptions and Catalog'!$F$51,IF(L857&lt;='Assumptions and Catalog'!$C$52,L857*'Assumptions and Catalog'!$H$52+'Assumptions and Catalog'!$E$52+'Assumptions and Catalog'!$F$52,IF(L857&lt;='Assumptions and Catalog'!$C$53,L857*'Assumptions and Catalog'!$H$53+'Assumptions and Catalog'!$E$53+'Assumptions and Catalog'!$F$53,IF(L857&lt;='Assumptions and Catalog'!$C$54,L857*'Assumptions and Catalog'!$H$54+'Assumptions and Catalog'!$E$54+'Assumptions and Catalog'!$F$54,IF(L857&lt;='Assumptions and Catalog'!$C$55,L857*'Assumptions and Catalog'!$H$55+'Assumptions and Catalog'!$E$55+'Assumptions and Catalog'!$F$55,IF(L857&lt;='Assumptions and Catalog'!$C$56,L857*'Assumptions and Catalog'!$H$56+'Assumptions and Catalog'!$E$56+'Assumptions and Catalog'!$F$56,IF(L857&lt;='Assumptions and Catalog'!$C$57,L857*'Assumptions and Catalog'!$H$57+'Assumptions and Catalog'!$E$57+'Assumptions and Catalog'!$F$57,"Out of range")))))))),IF(L857&lt;='Assumptions and Catalog'!$C$60,L857*'Assumptions and Catalog'!$H$60+'Assumptions and Catalog'!$E$60+'Assumptions and Catalog'!$F$60,IF(L857&lt;='Assumptions and Catalog'!$C$61,L857*'Assumptions and Catalog'!$H$61+'Assumptions and Catalog'!$E$61+'Assumptions and Catalog'!$F$61,IF(L857&lt;='Assumptions and Catalog'!$C$62,L857*'Assumptions and Catalog'!$H$62+'Assumptions and Catalog'!$E$62+'Assumptions and Catalog'!$F$62,IF(L857&lt;='Assumptions and Catalog'!$C$63,L857*'Assumptions and Catalog'!$H$63+'Assumptions and Catalog'!$E$63+'Assumptions and Catalog'!$F$63,IF(L857&lt;='Assumptions and Catalog'!$C$64,L857*'Assumptions and Catalog'!$H$64+'Assumptions and Catalog'!$E$64+'Assumptions and Catalog'!$F$64,IF(L857&lt;='Assumptions and Catalog'!$C$65,L857*'Assumptions and Catalog'!$H$65+'Assumptions and Catalog'!$E$65+'Assumptions and Catalog'!$F$65,"Out of range")))))))))*(1+'Assumptions and Catalog'!$C$8)^(A857-1),0)</f>
        <v>5875.1436606734005</v>
      </c>
      <c r="O857" s="5">
        <f t="shared" si="63"/>
        <v>2679.8230059932666</v>
      </c>
      <c r="P857" s="5">
        <f>E$55*(1-L$14)*(1-'Assumptions and Catalog'!$C$23)^R857</f>
        <v>90.71025980047358</v>
      </c>
      <c r="Q857" s="5">
        <f>IF(ISNUMBER(Inputs!$L$5),(IF(Inputs!$L$9="Actual flat rate",((D857+E857)*C857-G857)*Inputs!$L$10,IF(Inputs!$C$9="Residential",IF(((D857+E857)*C857-G857)&lt;='Assumptions and Catalog'!$C$50,((D857+E857)*C857-G857)*'Assumptions and Catalog'!$H$50+'Assumptions and Catalog'!$E$50+'Assumptions and Catalog'!$F$50,IF(((D857+E857)*C857-G857)&lt;='Assumptions and Catalog'!$C$51,((D857+E857)*C857-G857)*'Assumptions and Catalog'!$H$51+'Assumptions and Catalog'!$E$51+'Assumptions and Catalog'!$F$51,IF(((D857+E857)*C857-G857)&lt;='Assumptions and Catalog'!$C$52,((D857+E857)*C857-G857)*'Assumptions and Catalog'!$H$52+'Assumptions and Catalog'!$E$52+'Assumptions and Catalog'!$F$52,IF(((D857+E857)*C857-G857)&lt;='Assumptions and Catalog'!$C$53,((D857+E857)*C857-G857)*'Assumptions and Catalog'!$H$53+'Assumptions and Catalog'!$E$53+'Assumptions and Catalog'!$F$53,IF(((D857+E857)*C857-G857)&lt;='Assumptions and Catalog'!$C$54,((D857+E857)*C857-G857)*'Assumptions and Catalog'!$H$54+'Assumptions and Catalog'!$E$54+'Assumptions and Catalog'!$F$54,IF(((D857+E857)*C857-G857)&lt;='Assumptions and Catalog'!$C$55,((D857+E857)*C857-G857)*'Assumptions and Catalog'!$H$55+'Assumptions and Catalog'!$E$55+'Assumptions and Catalog'!$F$55,IF(((D857+E857)*C857-G857)&lt;='Assumptions and Catalog'!$C$56,((D857+E857)*C857-G857)*'Assumptions and Catalog'!$H$56+'Assumptions and Catalog'!$E$56+'Assumptions and Catalog'!$F$56,IF(((D857+E857)*C857-G857)&lt;='Assumptions and Catalog'!$C$57,((D857+E857)*C857-G857)*'Assumptions and Catalog'!$H$57+'Assumptions and Catalog'!$E$57+'Assumptions and Catalog'!$F$57,"Out of range")))))))),IF(((D857+E857)*C857-G857)&lt;='Assumptions and Catalog'!$C$60,((D857+E857)*C857-G857)*'Assumptions and Catalog'!$H$60+'Assumptions and Catalog'!$E$60+'Assumptions and Catalog'!$F$60,IF(((D857+E857)*C857-G857)&lt;='Assumptions and Catalog'!$C$61,((D857+E857)*C857-G857)*'Assumptions and Catalog'!$H$61+'Assumptions and Catalog'!$E$61+'Assumptions and Catalog'!$F$61,IF(((D857+E857)*C857-G857)&lt;='Assumptions and Catalog'!$C$62,((D857+E857)*C857-G857)*'Assumptions and Catalog'!$H$62+'Assumptions and Catalog'!$E$62+'Assumptions and Catalog'!$F$62,IF(((D857+E857)*C857-G857)&lt;='Assumptions and Catalog'!$C$63,((D857+E857)*C857-G857)*'Assumptions and Catalog'!$H$63+'Assumptions and Catalog'!$E$63+'Assumptions and Catalog'!$F$63,IF(((D857+E857)*C857-G857)&lt;='Assumptions and Catalog'!$C$64,((D857+E857)*C857-G857)*'Assumptions and Catalog'!$H$64+'Assumptions and Catalog'!$E$64+'Assumptions and Catalog'!$F$64,IF(((D857+E857)*C857-G857)&lt;='Assumptions and Catalog'!$C$65,((D857+E857)*C857-G857)*'Assumptions and Catalog'!$H$65+'Assumptions and Catalog'!$E$65+'Assumptions and Catalog'!$F$65,"Out of range")))))))))*(1+'Assumptions and Catalog'!$C$8)^(A857-1),0)</f>
        <v>5875.1436606734005</v>
      </c>
      <c r="R857" s="5">
        <f>IF(AND('Assumptions and Catalog'!$C$19&gt;0,A857&gt;='Assumptions and Catalog'!$C$19),A857-'Assumptions and Catalog'!$C$19,A857-1)</f>
        <v>6</v>
      </c>
      <c r="S857" s="5">
        <f>F857+L857-(D857+E857)*C857-J857-K857-IF(E$52&gt;0,'Assumptions and Catalog'!$C$26*C857,0)</f>
        <v>0</v>
      </c>
      <c r="T857" s="5"/>
      <c r="U857" s="5"/>
    </row>
    <row r="858" spans="1:21" ht="23.1" customHeight="1" outlineLevel="1" x14ac:dyDescent="0.2">
      <c r="A858" s="5">
        <v>17</v>
      </c>
      <c r="B858" s="5">
        <v>6</v>
      </c>
      <c r="C858" s="5">
        <f>DAY(DATE('Assumptions and Catalog'!$C$24+A858-1,B858+1,0))</f>
        <v>30</v>
      </c>
      <c r="D858" s="5">
        <f>IF(ISNUMBER(Inputs!$L$5),Inputs!$L$5*Inputs!$L$6,0)</f>
        <v>40.35</v>
      </c>
      <c r="E858" s="5">
        <f>IF(ISNUMBER(Inputs!$L$5),Inputs!$L$5-D858,0)</f>
        <v>40.35</v>
      </c>
      <c r="F858" s="5">
        <f>E$51*'Assumptions and Catalog'!$C$31*C858*(1-'Assumptions and Catalog'!$C$10)^(A858-1)</f>
        <v>758.37250456963011</v>
      </c>
      <c r="G858" s="5">
        <f t="shared" si="60"/>
        <v>758.37250456963011</v>
      </c>
      <c r="H858" s="5">
        <f>I858/('Assumptions and Catalog'!$C$11*'Assumptions and Catalog'!$C$12)</f>
        <v>0</v>
      </c>
      <c r="I858" s="5">
        <f>MIN(E858*C858,P858*'Assumptions and Catalog'!$C$12*C858,(F858-G858)*'Assumptions and Catalog'!$C$11*'Assumptions and Catalog'!$C$12,E$56*'Assumptions and Catalog'!$C$14*'Assumptions and Catalog'!$C$11*'Assumptions and Catalog'!$C$12*C858,E$57*(24-'Assumptions and Catalog'!$C$13)*C858)</f>
        <v>0</v>
      </c>
      <c r="J858" s="5">
        <f t="shared" si="61"/>
        <v>0</v>
      </c>
      <c r="K858" s="5">
        <f t="shared" si="62"/>
        <v>0</v>
      </c>
      <c r="L858" s="5">
        <f>(D858+E858)*C858-G858-I858+0+IF(E$52&gt;0,'Assumptions and Catalog'!$C$26*C858,0)</f>
        <v>1662.6274954303699</v>
      </c>
      <c r="M858" s="5">
        <f>IF(ISNUMBER(Inputs!$L$5),(IF(Inputs!$L$9="Actual flat rate",((D858+E858)*C858)*Inputs!$L$10,IF(Inputs!$C$9="Residential",IF(((D858+E858)*C858)&lt;='Assumptions and Catalog'!$C$50,((D858+E858)*C858)*'Assumptions and Catalog'!$H$50+'Assumptions and Catalog'!$E$50+'Assumptions and Catalog'!$F$50,IF(((D858+E858)*C858)&lt;='Assumptions and Catalog'!$C$51,((D858+E858)*C858)*'Assumptions and Catalog'!$H$51+'Assumptions and Catalog'!$E$51+'Assumptions and Catalog'!$F$51,IF(((D858+E858)*C858)&lt;='Assumptions and Catalog'!$C$52,((D858+E858)*C858)*'Assumptions and Catalog'!$H$52+'Assumptions and Catalog'!$E$52+'Assumptions and Catalog'!$F$52,IF(((D858+E858)*C858)&lt;='Assumptions and Catalog'!$C$53,((D858+E858)*C858)*'Assumptions and Catalog'!$H$53+'Assumptions and Catalog'!$E$53+'Assumptions and Catalog'!$F$53,IF(((D858+E858)*C858)&lt;='Assumptions and Catalog'!$C$54,((D858+E858)*C858)*'Assumptions and Catalog'!$H$54+'Assumptions and Catalog'!$E$54+'Assumptions and Catalog'!$F$54,IF(((D858+E858)*C858)&lt;='Assumptions and Catalog'!$C$55,((D858+E858)*C858)*'Assumptions and Catalog'!$H$55+'Assumptions and Catalog'!$E$55+'Assumptions and Catalog'!$F$55,IF(((D858+E858)*C858)&lt;='Assumptions and Catalog'!$C$56,((D858+E858)*C858)*'Assumptions and Catalog'!$H$56+'Assumptions and Catalog'!$E$56+'Assumptions and Catalog'!$F$56,IF(((D858+E858)*C858)&lt;='Assumptions and Catalog'!$C$57,((D858+E858)*C858)*'Assumptions and Catalog'!$H$57+'Assumptions and Catalog'!$E$57+'Assumptions and Catalog'!$F$57,"Out of range")))))))),IF(((D858+E858)*C858)&lt;='Assumptions and Catalog'!$C$60,((D858+E858)*C858)*'Assumptions and Catalog'!$H$60+'Assumptions and Catalog'!$E$60+'Assumptions and Catalog'!$F$60,IF(((D858+E858)*C858)&lt;='Assumptions and Catalog'!$C$61,((D858+E858)*C858)*'Assumptions and Catalog'!$H$61+'Assumptions and Catalog'!$E$61+'Assumptions and Catalog'!$F$61,IF(((D858+E858)*C858)&lt;='Assumptions and Catalog'!$C$62,((D858+E858)*C858)*'Assumptions and Catalog'!$H$62+'Assumptions and Catalog'!$E$62+'Assumptions and Catalog'!$F$62,IF(((D858+E858)*C858)&lt;='Assumptions and Catalog'!$C$63,((D858+E858)*C858)*'Assumptions and Catalog'!$H$63+'Assumptions and Catalog'!$E$63+'Assumptions and Catalog'!$F$63,IF(((D858+E858)*C858)&lt;='Assumptions and Catalog'!$C$64,((D858+E858)*C858)*'Assumptions and Catalog'!$H$64+'Assumptions and Catalog'!$E$64+'Assumptions and Catalog'!$F$64,IF(((D858+E858)*C858)&lt;='Assumptions and Catalog'!$C$65,((D858+E858)*C858)*'Assumptions and Catalog'!$H$65+'Assumptions and Catalog'!$E$65+'Assumptions and Catalog'!$F$65,"Out of range")))))))))*(1+'Assumptions and Catalog'!$C$8)^(A858-1),0)</f>
        <v>8279</v>
      </c>
      <c r="N858" s="5">
        <f>IF(ISNUMBER(Inputs!$L$5),(IF(Inputs!$L$9="Actual flat rate",L858*Inputs!$L$10,IF(Inputs!$C$9="Residential",IF(L858&lt;='Assumptions and Catalog'!$C$50,L858*'Assumptions and Catalog'!$H$50+'Assumptions and Catalog'!$E$50+'Assumptions and Catalog'!$F$50,IF(L858&lt;='Assumptions and Catalog'!$C$51,L858*'Assumptions and Catalog'!$H$51+'Assumptions and Catalog'!$E$51+'Assumptions and Catalog'!$F$51,IF(L858&lt;='Assumptions and Catalog'!$C$52,L858*'Assumptions and Catalog'!$H$52+'Assumptions and Catalog'!$E$52+'Assumptions and Catalog'!$F$52,IF(L858&lt;='Assumptions and Catalog'!$C$53,L858*'Assumptions and Catalog'!$H$53+'Assumptions and Catalog'!$E$53+'Assumptions and Catalog'!$F$53,IF(L858&lt;='Assumptions and Catalog'!$C$54,L858*'Assumptions and Catalog'!$H$54+'Assumptions and Catalog'!$E$54+'Assumptions and Catalog'!$F$54,IF(L858&lt;='Assumptions and Catalog'!$C$55,L858*'Assumptions and Catalog'!$H$55+'Assumptions and Catalog'!$E$55+'Assumptions and Catalog'!$F$55,IF(L858&lt;='Assumptions and Catalog'!$C$56,L858*'Assumptions and Catalog'!$H$56+'Assumptions and Catalog'!$E$56+'Assumptions and Catalog'!$F$56,IF(L858&lt;='Assumptions and Catalog'!$C$57,L858*'Assumptions and Catalog'!$H$57+'Assumptions and Catalog'!$E$57+'Assumptions and Catalog'!$F$57,"Out of range")))))))),IF(L858&lt;='Assumptions and Catalog'!$C$60,L858*'Assumptions and Catalog'!$H$60+'Assumptions and Catalog'!$E$60+'Assumptions and Catalog'!$F$60,IF(L858&lt;='Assumptions and Catalog'!$C$61,L858*'Assumptions and Catalog'!$H$61+'Assumptions and Catalog'!$E$61+'Assumptions and Catalog'!$F$61,IF(L858&lt;='Assumptions and Catalog'!$C$62,L858*'Assumptions and Catalog'!$H$62+'Assumptions and Catalog'!$E$62+'Assumptions and Catalog'!$F$62,IF(L858&lt;='Assumptions and Catalog'!$C$63,L858*'Assumptions and Catalog'!$H$63+'Assumptions and Catalog'!$E$63+'Assumptions and Catalog'!$F$63,IF(L858&lt;='Assumptions and Catalog'!$C$64,L858*'Assumptions and Catalog'!$H$64+'Assumptions and Catalog'!$E$64+'Assumptions and Catalog'!$F$64,IF(L858&lt;='Assumptions and Catalog'!$C$65,L858*'Assumptions and Catalog'!$H$65+'Assumptions and Catalog'!$E$65+'Assumptions and Catalog'!$F$65,"Out of range")))))))))*(1+'Assumptions and Catalog'!$C$8)^(A858-1),0)</f>
        <v>5685.6228974258702</v>
      </c>
      <c r="O858" s="5">
        <f t="shared" si="63"/>
        <v>2593.3771025741298</v>
      </c>
      <c r="P858" s="5">
        <f>E$55*(1-L$14)*(1-'Assumptions and Catalog'!$C$23)^R858</f>
        <v>90.71025980047358</v>
      </c>
      <c r="Q858" s="5">
        <f>IF(ISNUMBER(Inputs!$L$5),(IF(Inputs!$L$9="Actual flat rate",((D858+E858)*C858-G858)*Inputs!$L$10,IF(Inputs!$C$9="Residential",IF(((D858+E858)*C858-G858)&lt;='Assumptions and Catalog'!$C$50,((D858+E858)*C858-G858)*'Assumptions and Catalog'!$H$50+'Assumptions and Catalog'!$E$50+'Assumptions and Catalog'!$F$50,IF(((D858+E858)*C858-G858)&lt;='Assumptions and Catalog'!$C$51,((D858+E858)*C858-G858)*'Assumptions and Catalog'!$H$51+'Assumptions and Catalog'!$E$51+'Assumptions and Catalog'!$F$51,IF(((D858+E858)*C858-G858)&lt;='Assumptions and Catalog'!$C$52,((D858+E858)*C858-G858)*'Assumptions and Catalog'!$H$52+'Assumptions and Catalog'!$E$52+'Assumptions and Catalog'!$F$52,IF(((D858+E858)*C858-G858)&lt;='Assumptions and Catalog'!$C$53,((D858+E858)*C858-G858)*'Assumptions and Catalog'!$H$53+'Assumptions and Catalog'!$E$53+'Assumptions and Catalog'!$F$53,IF(((D858+E858)*C858-G858)&lt;='Assumptions and Catalog'!$C$54,((D858+E858)*C858-G858)*'Assumptions and Catalog'!$H$54+'Assumptions and Catalog'!$E$54+'Assumptions and Catalog'!$F$54,IF(((D858+E858)*C858-G858)&lt;='Assumptions and Catalog'!$C$55,((D858+E858)*C858-G858)*'Assumptions and Catalog'!$H$55+'Assumptions and Catalog'!$E$55+'Assumptions and Catalog'!$F$55,IF(((D858+E858)*C858-G858)&lt;='Assumptions and Catalog'!$C$56,((D858+E858)*C858-G858)*'Assumptions and Catalog'!$H$56+'Assumptions and Catalog'!$E$56+'Assumptions and Catalog'!$F$56,IF(((D858+E858)*C858-G858)&lt;='Assumptions and Catalog'!$C$57,((D858+E858)*C858-G858)*'Assumptions and Catalog'!$H$57+'Assumptions and Catalog'!$E$57+'Assumptions and Catalog'!$F$57,"Out of range")))))))),IF(((D858+E858)*C858-G858)&lt;='Assumptions and Catalog'!$C$60,((D858+E858)*C858-G858)*'Assumptions and Catalog'!$H$60+'Assumptions and Catalog'!$E$60+'Assumptions and Catalog'!$F$60,IF(((D858+E858)*C858-G858)&lt;='Assumptions and Catalog'!$C$61,((D858+E858)*C858-G858)*'Assumptions and Catalog'!$H$61+'Assumptions and Catalog'!$E$61+'Assumptions and Catalog'!$F$61,IF(((D858+E858)*C858-G858)&lt;='Assumptions and Catalog'!$C$62,((D858+E858)*C858-G858)*'Assumptions and Catalog'!$H$62+'Assumptions and Catalog'!$E$62+'Assumptions and Catalog'!$F$62,IF(((D858+E858)*C858-G858)&lt;='Assumptions and Catalog'!$C$63,((D858+E858)*C858-G858)*'Assumptions and Catalog'!$H$63+'Assumptions and Catalog'!$E$63+'Assumptions and Catalog'!$F$63,IF(((D858+E858)*C858-G858)&lt;='Assumptions and Catalog'!$C$64,((D858+E858)*C858-G858)*'Assumptions and Catalog'!$H$64+'Assumptions and Catalog'!$E$64+'Assumptions and Catalog'!$F$64,IF(((D858+E858)*C858-G858)&lt;='Assumptions and Catalog'!$C$65,((D858+E858)*C858-G858)*'Assumptions and Catalog'!$H$65+'Assumptions and Catalog'!$E$65+'Assumptions and Catalog'!$F$65,"Out of range")))))))))*(1+'Assumptions and Catalog'!$C$8)^(A858-1),0)</f>
        <v>5685.6228974258702</v>
      </c>
      <c r="R858" s="5">
        <f>IF(AND('Assumptions and Catalog'!$C$19&gt;0,A858&gt;='Assumptions and Catalog'!$C$19),A858-'Assumptions and Catalog'!$C$19,A858-1)</f>
        <v>6</v>
      </c>
      <c r="S858" s="5">
        <f>F858+L858-(D858+E858)*C858-J858-K858-IF(E$52&gt;0,'Assumptions and Catalog'!$C$26*C858,0)</f>
        <v>0</v>
      </c>
      <c r="T858" s="5"/>
      <c r="U858" s="5"/>
    </row>
    <row r="859" spans="1:21" ht="23.1" customHeight="1" outlineLevel="1" x14ac:dyDescent="0.2">
      <c r="A859" s="5">
        <v>17</v>
      </c>
      <c r="B859" s="5">
        <v>7</v>
      </c>
      <c r="C859" s="5">
        <f>DAY(DATE('Assumptions and Catalog'!$C$24+A859-1,B859+1,0))</f>
        <v>31</v>
      </c>
      <c r="D859" s="5">
        <f>IF(ISNUMBER(Inputs!$L$5),Inputs!$L$5*Inputs!$L$6,0)</f>
        <v>40.35</v>
      </c>
      <c r="E859" s="5">
        <f>IF(ISNUMBER(Inputs!$L$5),Inputs!$L$5-D859,0)</f>
        <v>40.35</v>
      </c>
      <c r="F859" s="5">
        <f>E$51*'Assumptions and Catalog'!$C$31*C859*(1-'Assumptions and Catalog'!$C$10)^(A859-1)</f>
        <v>783.65158805528438</v>
      </c>
      <c r="G859" s="5">
        <f t="shared" si="60"/>
        <v>783.65158805528438</v>
      </c>
      <c r="H859" s="5">
        <f>I859/('Assumptions and Catalog'!$C$11*'Assumptions and Catalog'!$C$12)</f>
        <v>0</v>
      </c>
      <c r="I859" s="5">
        <f>MIN(E859*C859,P859*'Assumptions and Catalog'!$C$12*C859,(F859-G859)*'Assumptions and Catalog'!$C$11*'Assumptions and Catalog'!$C$12,E$56*'Assumptions and Catalog'!$C$14*'Assumptions and Catalog'!$C$11*'Assumptions and Catalog'!$C$12*C859,E$57*(24-'Assumptions and Catalog'!$C$13)*C859)</f>
        <v>0</v>
      </c>
      <c r="J859" s="5">
        <f t="shared" si="61"/>
        <v>0</v>
      </c>
      <c r="K859" s="5">
        <f t="shared" si="62"/>
        <v>0</v>
      </c>
      <c r="L859" s="5">
        <f>(D859+E859)*C859-G859-I859+0+IF(E$52&gt;0,'Assumptions and Catalog'!$C$26*C859,0)</f>
        <v>1718.048411944716</v>
      </c>
      <c r="M859" s="5">
        <f>IF(ISNUMBER(Inputs!$L$5),(IF(Inputs!$L$9="Actual flat rate",((D859+E859)*C859)*Inputs!$L$10,IF(Inputs!$C$9="Residential",IF(((D859+E859)*C859)&lt;='Assumptions and Catalog'!$C$50,((D859+E859)*C859)*'Assumptions and Catalog'!$H$50+'Assumptions and Catalog'!$E$50+'Assumptions and Catalog'!$F$50,IF(((D859+E859)*C859)&lt;='Assumptions and Catalog'!$C$51,((D859+E859)*C859)*'Assumptions and Catalog'!$H$51+'Assumptions and Catalog'!$E$51+'Assumptions and Catalog'!$F$51,IF(((D859+E859)*C859)&lt;='Assumptions and Catalog'!$C$52,((D859+E859)*C859)*'Assumptions and Catalog'!$H$52+'Assumptions and Catalog'!$E$52+'Assumptions and Catalog'!$F$52,IF(((D859+E859)*C859)&lt;='Assumptions and Catalog'!$C$53,((D859+E859)*C859)*'Assumptions and Catalog'!$H$53+'Assumptions and Catalog'!$E$53+'Assumptions and Catalog'!$F$53,IF(((D859+E859)*C859)&lt;='Assumptions and Catalog'!$C$54,((D859+E859)*C859)*'Assumptions and Catalog'!$H$54+'Assumptions and Catalog'!$E$54+'Assumptions and Catalog'!$F$54,IF(((D859+E859)*C859)&lt;='Assumptions and Catalog'!$C$55,((D859+E859)*C859)*'Assumptions and Catalog'!$H$55+'Assumptions and Catalog'!$E$55+'Assumptions and Catalog'!$F$55,IF(((D859+E859)*C859)&lt;='Assumptions and Catalog'!$C$56,((D859+E859)*C859)*'Assumptions and Catalog'!$H$56+'Assumptions and Catalog'!$E$56+'Assumptions and Catalog'!$F$56,IF(((D859+E859)*C859)&lt;='Assumptions and Catalog'!$C$57,((D859+E859)*C859)*'Assumptions and Catalog'!$H$57+'Assumptions and Catalog'!$E$57+'Assumptions and Catalog'!$F$57,"Out of range")))))))),IF(((D859+E859)*C859)&lt;='Assumptions and Catalog'!$C$60,((D859+E859)*C859)*'Assumptions and Catalog'!$H$60+'Assumptions and Catalog'!$E$60+'Assumptions and Catalog'!$F$60,IF(((D859+E859)*C859)&lt;='Assumptions and Catalog'!$C$61,((D859+E859)*C859)*'Assumptions and Catalog'!$H$61+'Assumptions and Catalog'!$E$61+'Assumptions and Catalog'!$F$61,IF(((D859+E859)*C859)&lt;='Assumptions and Catalog'!$C$62,((D859+E859)*C859)*'Assumptions and Catalog'!$H$62+'Assumptions and Catalog'!$E$62+'Assumptions and Catalog'!$F$62,IF(((D859+E859)*C859)&lt;='Assumptions and Catalog'!$C$63,((D859+E859)*C859)*'Assumptions and Catalog'!$H$63+'Assumptions and Catalog'!$E$63+'Assumptions and Catalog'!$F$63,IF(((D859+E859)*C859)&lt;='Assumptions and Catalog'!$C$64,((D859+E859)*C859)*'Assumptions and Catalog'!$H$64+'Assumptions and Catalog'!$E$64+'Assumptions and Catalog'!$F$64,IF(((D859+E859)*C859)&lt;='Assumptions and Catalog'!$C$65,((D859+E859)*C859)*'Assumptions and Catalog'!$H$65+'Assumptions and Catalog'!$E$65+'Assumptions and Catalog'!$F$65,"Out of range")))))))))*(1+'Assumptions and Catalog'!$C$8)^(A859-1),0)</f>
        <v>8554.9666666666672</v>
      </c>
      <c r="N859" s="5">
        <f>IF(ISNUMBER(Inputs!$L$5),(IF(Inputs!$L$9="Actual flat rate",L859*Inputs!$L$10,IF(Inputs!$C$9="Residential",IF(L859&lt;='Assumptions and Catalog'!$C$50,L859*'Assumptions and Catalog'!$H$50+'Assumptions and Catalog'!$E$50+'Assumptions and Catalog'!$F$50,IF(L859&lt;='Assumptions and Catalog'!$C$51,L859*'Assumptions and Catalog'!$H$51+'Assumptions and Catalog'!$E$51+'Assumptions and Catalog'!$F$51,IF(L859&lt;='Assumptions and Catalog'!$C$52,L859*'Assumptions and Catalog'!$H$52+'Assumptions and Catalog'!$E$52+'Assumptions and Catalog'!$F$52,IF(L859&lt;='Assumptions and Catalog'!$C$53,L859*'Assumptions and Catalog'!$H$53+'Assumptions and Catalog'!$E$53+'Assumptions and Catalog'!$F$53,IF(L859&lt;='Assumptions and Catalog'!$C$54,L859*'Assumptions and Catalog'!$H$54+'Assumptions and Catalog'!$E$54+'Assumptions and Catalog'!$F$54,IF(L859&lt;='Assumptions and Catalog'!$C$55,L859*'Assumptions and Catalog'!$H$55+'Assumptions and Catalog'!$E$55+'Assumptions and Catalog'!$F$55,IF(L859&lt;='Assumptions and Catalog'!$C$56,L859*'Assumptions and Catalog'!$H$56+'Assumptions and Catalog'!$E$56+'Assumptions and Catalog'!$F$56,IF(L859&lt;='Assumptions and Catalog'!$C$57,L859*'Assumptions and Catalog'!$H$57+'Assumptions and Catalog'!$E$57+'Assumptions and Catalog'!$F$57,"Out of range")))))))),IF(L859&lt;='Assumptions and Catalog'!$C$60,L859*'Assumptions and Catalog'!$H$60+'Assumptions and Catalog'!$E$60+'Assumptions and Catalog'!$F$60,IF(L859&lt;='Assumptions and Catalog'!$C$61,L859*'Assumptions and Catalog'!$H$61+'Assumptions and Catalog'!$E$61+'Assumptions and Catalog'!$F$61,IF(L859&lt;='Assumptions and Catalog'!$C$62,L859*'Assumptions and Catalog'!$H$62+'Assumptions and Catalog'!$E$62+'Assumptions and Catalog'!$F$62,IF(L859&lt;='Assumptions and Catalog'!$C$63,L859*'Assumptions and Catalog'!$H$63+'Assumptions and Catalog'!$E$63+'Assumptions and Catalog'!$F$63,IF(L859&lt;='Assumptions and Catalog'!$C$64,L859*'Assumptions and Catalog'!$H$64+'Assumptions and Catalog'!$E$64+'Assumptions and Catalog'!$F$64,IF(L859&lt;='Assumptions and Catalog'!$C$65,L859*'Assumptions and Catalog'!$H$65+'Assumptions and Catalog'!$E$65+'Assumptions and Catalog'!$F$65,"Out of range")))))))))*(1+'Assumptions and Catalog'!$C$8)^(A859-1),0)</f>
        <v>5875.1436606734005</v>
      </c>
      <c r="O859" s="5">
        <f t="shared" si="63"/>
        <v>2679.8230059932666</v>
      </c>
      <c r="P859" s="5">
        <f>E$55*(1-L$14)*(1-'Assumptions and Catalog'!$C$23)^R859</f>
        <v>90.71025980047358</v>
      </c>
      <c r="Q859" s="5">
        <f>IF(ISNUMBER(Inputs!$L$5),(IF(Inputs!$L$9="Actual flat rate",((D859+E859)*C859-G859)*Inputs!$L$10,IF(Inputs!$C$9="Residential",IF(((D859+E859)*C859-G859)&lt;='Assumptions and Catalog'!$C$50,((D859+E859)*C859-G859)*'Assumptions and Catalog'!$H$50+'Assumptions and Catalog'!$E$50+'Assumptions and Catalog'!$F$50,IF(((D859+E859)*C859-G859)&lt;='Assumptions and Catalog'!$C$51,((D859+E859)*C859-G859)*'Assumptions and Catalog'!$H$51+'Assumptions and Catalog'!$E$51+'Assumptions and Catalog'!$F$51,IF(((D859+E859)*C859-G859)&lt;='Assumptions and Catalog'!$C$52,((D859+E859)*C859-G859)*'Assumptions and Catalog'!$H$52+'Assumptions and Catalog'!$E$52+'Assumptions and Catalog'!$F$52,IF(((D859+E859)*C859-G859)&lt;='Assumptions and Catalog'!$C$53,((D859+E859)*C859-G859)*'Assumptions and Catalog'!$H$53+'Assumptions and Catalog'!$E$53+'Assumptions and Catalog'!$F$53,IF(((D859+E859)*C859-G859)&lt;='Assumptions and Catalog'!$C$54,((D859+E859)*C859-G859)*'Assumptions and Catalog'!$H$54+'Assumptions and Catalog'!$E$54+'Assumptions and Catalog'!$F$54,IF(((D859+E859)*C859-G859)&lt;='Assumptions and Catalog'!$C$55,((D859+E859)*C859-G859)*'Assumptions and Catalog'!$H$55+'Assumptions and Catalog'!$E$55+'Assumptions and Catalog'!$F$55,IF(((D859+E859)*C859-G859)&lt;='Assumptions and Catalog'!$C$56,((D859+E859)*C859-G859)*'Assumptions and Catalog'!$H$56+'Assumptions and Catalog'!$E$56+'Assumptions and Catalog'!$F$56,IF(((D859+E859)*C859-G859)&lt;='Assumptions and Catalog'!$C$57,((D859+E859)*C859-G859)*'Assumptions and Catalog'!$H$57+'Assumptions and Catalog'!$E$57+'Assumptions and Catalog'!$F$57,"Out of range")))))))),IF(((D859+E859)*C859-G859)&lt;='Assumptions and Catalog'!$C$60,((D859+E859)*C859-G859)*'Assumptions and Catalog'!$H$60+'Assumptions and Catalog'!$E$60+'Assumptions and Catalog'!$F$60,IF(((D859+E859)*C859-G859)&lt;='Assumptions and Catalog'!$C$61,((D859+E859)*C859-G859)*'Assumptions and Catalog'!$H$61+'Assumptions and Catalog'!$E$61+'Assumptions and Catalog'!$F$61,IF(((D859+E859)*C859-G859)&lt;='Assumptions and Catalog'!$C$62,((D859+E859)*C859-G859)*'Assumptions and Catalog'!$H$62+'Assumptions and Catalog'!$E$62+'Assumptions and Catalog'!$F$62,IF(((D859+E859)*C859-G859)&lt;='Assumptions and Catalog'!$C$63,((D859+E859)*C859-G859)*'Assumptions and Catalog'!$H$63+'Assumptions and Catalog'!$E$63+'Assumptions and Catalog'!$F$63,IF(((D859+E859)*C859-G859)&lt;='Assumptions and Catalog'!$C$64,((D859+E859)*C859-G859)*'Assumptions and Catalog'!$H$64+'Assumptions and Catalog'!$E$64+'Assumptions and Catalog'!$F$64,IF(((D859+E859)*C859-G859)&lt;='Assumptions and Catalog'!$C$65,((D859+E859)*C859-G859)*'Assumptions and Catalog'!$H$65+'Assumptions and Catalog'!$E$65+'Assumptions and Catalog'!$F$65,"Out of range")))))))))*(1+'Assumptions and Catalog'!$C$8)^(A859-1),0)</f>
        <v>5875.1436606734005</v>
      </c>
      <c r="R859" s="5">
        <f>IF(AND('Assumptions and Catalog'!$C$19&gt;0,A859&gt;='Assumptions and Catalog'!$C$19),A859-'Assumptions and Catalog'!$C$19,A859-1)</f>
        <v>6</v>
      </c>
      <c r="S859" s="5">
        <f>F859+L859-(D859+E859)*C859-J859-K859-IF(E$52&gt;0,'Assumptions and Catalog'!$C$26*C859,0)</f>
        <v>0</v>
      </c>
      <c r="T859" s="5"/>
      <c r="U859" s="5"/>
    </row>
    <row r="860" spans="1:21" ht="23.1" customHeight="1" outlineLevel="1" x14ac:dyDescent="0.2">
      <c r="A860" s="5">
        <v>17</v>
      </c>
      <c r="B860" s="5">
        <v>8</v>
      </c>
      <c r="C860" s="5">
        <f>DAY(DATE('Assumptions and Catalog'!$C$24+A860-1,B860+1,0))</f>
        <v>31</v>
      </c>
      <c r="D860" s="5">
        <f>IF(ISNUMBER(Inputs!$L$5),Inputs!$L$5*Inputs!$L$6,0)</f>
        <v>40.35</v>
      </c>
      <c r="E860" s="5">
        <f>IF(ISNUMBER(Inputs!$L$5),Inputs!$L$5-D860,0)</f>
        <v>40.35</v>
      </c>
      <c r="F860" s="5">
        <f>E$51*'Assumptions and Catalog'!$C$31*C860*(1-'Assumptions and Catalog'!$C$10)^(A860-1)</f>
        <v>783.65158805528438</v>
      </c>
      <c r="G860" s="5">
        <f t="shared" si="60"/>
        <v>783.65158805528438</v>
      </c>
      <c r="H860" s="5">
        <f>I860/('Assumptions and Catalog'!$C$11*'Assumptions and Catalog'!$C$12)</f>
        <v>0</v>
      </c>
      <c r="I860" s="5">
        <f>MIN(E860*C860,P860*'Assumptions and Catalog'!$C$12*C860,(F860-G860)*'Assumptions and Catalog'!$C$11*'Assumptions and Catalog'!$C$12,E$56*'Assumptions and Catalog'!$C$14*'Assumptions and Catalog'!$C$11*'Assumptions and Catalog'!$C$12*C860,E$57*(24-'Assumptions and Catalog'!$C$13)*C860)</f>
        <v>0</v>
      </c>
      <c r="J860" s="5">
        <f t="shared" si="61"/>
        <v>0</v>
      </c>
      <c r="K860" s="5">
        <f t="shared" si="62"/>
        <v>0</v>
      </c>
      <c r="L860" s="5">
        <f>(D860+E860)*C860-G860-I860+0+IF(E$52&gt;0,'Assumptions and Catalog'!$C$26*C860,0)</f>
        <v>1718.048411944716</v>
      </c>
      <c r="M860" s="5">
        <f>IF(ISNUMBER(Inputs!$L$5),(IF(Inputs!$L$9="Actual flat rate",((D860+E860)*C860)*Inputs!$L$10,IF(Inputs!$C$9="Residential",IF(((D860+E860)*C860)&lt;='Assumptions and Catalog'!$C$50,((D860+E860)*C860)*'Assumptions and Catalog'!$H$50+'Assumptions and Catalog'!$E$50+'Assumptions and Catalog'!$F$50,IF(((D860+E860)*C860)&lt;='Assumptions and Catalog'!$C$51,((D860+E860)*C860)*'Assumptions and Catalog'!$H$51+'Assumptions and Catalog'!$E$51+'Assumptions and Catalog'!$F$51,IF(((D860+E860)*C860)&lt;='Assumptions and Catalog'!$C$52,((D860+E860)*C860)*'Assumptions and Catalog'!$H$52+'Assumptions and Catalog'!$E$52+'Assumptions and Catalog'!$F$52,IF(((D860+E860)*C860)&lt;='Assumptions and Catalog'!$C$53,((D860+E860)*C860)*'Assumptions and Catalog'!$H$53+'Assumptions and Catalog'!$E$53+'Assumptions and Catalog'!$F$53,IF(((D860+E860)*C860)&lt;='Assumptions and Catalog'!$C$54,((D860+E860)*C860)*'Assumptions and Catalog'!$H$54+'Assumptions and Catalog'!$E$54+'Assumptions and Catalog'!$F$54,IF(((D860+E860)*C860)&lt;='Assumptions and Catalog'!$C$55,((D860+E860)*C860)*'Assumptions and Catalog'!$H$55+'Assumptions and Catalog'!$E$55+'Assumptions and Catalog'!$F$55,IF(((D860+E860)*C860)&lt;='Assumptions and Catalog'!$C$56,((D860+E860)*C860)*'Assumptions and Catalog'!$H$56+'Assumptions and Catalog'!$E$56+'Assumptions and Catalog'!$F$56,IF(((D860+E860)*C860)&lt;='Assumptions and Catalog'!$C$57,((D860+E860)*C860)*'Assumptions and Catalog'!$H$57+'Assumptions and Catalog'!$E$57+'Assumptions and Catalog'!$F$57,"Out of range")))))))),IF(((D860+E860)*C860)&lt;='Assumptions and Catalog'!$C$60,((D860+E860)*C860)*'Assumptions and Catalog'!$H$60+'Assumptions and Catalog'!$E$60+'Assumptions and Catalog'!$F$60,IF(((D860+E860)*C860)&lt;='Assumptions and Catalog'!$C$61,((D860+E860)*C860)*'Assumptions and Catalog'!$H$61+'Assumptions and Catalog'!$E$61+'Assumptions and Catalog'!$F$61,IF(((D860+E860)*C860)&lt;='Assumptions and Catalog'!$C$62,((D860+E860)*C860)*'Assumptions and Catalog'!$H$62+'Assumptions and Catalog'!$E$62+'Assumptions and Catalog'!$F$62,IF(((D860+E860)*C860)&lt;='Assumptions and Catalog'!$C$63,((D860+E860)*C860)*'Assumptions and Catalog'!$H$63+'Assumptions and Catalog'!$E$63+'Assumptions and Catalog'!$F$63,IF(((D860+E860)*C860)&lt;='Assumptions and Catalog'!$C$64,((D860+E860)*C860)*'Assumptions and Catalog'!$H$64+'Assumptions and Catalog'!$E$64+'Assumptions and Catalog'!$F$64,IF(((D860+E860)*C860)&lt;='Assumptions and Catalog'!$C$65,((D860+E860)*C860)*'Assumptions and Catalog'!$H$65+'Assumptions and Catalog'!$E$65+'Assumptions and Catalog'!$F$65,"Out of range")))))))))*(1+'Assumptions and Catalog'!$C$8)^(A860-1),0)</f>
        <v>8554.9666666666672</v>
      </c>
      <c r="N860" s="5">
        <f>IF(ISNUMBER(Inputs!$L$5),(IF(Inputs!$L$9="Actual flat rate",L860*Inputs!$L$10,IF(Inputs!$C$9="Residential",IF(L860&lt;='Assumptions and Catalog'!$C$50,L860*'Assumptions and Catalog'!$H$50+'Assumptions and Catalog'!$E$50+'Assumptions and Catalog'!$F$50,IF(L860&lt;='Assumptions and Catalog'!$C$51,L860*'Assumptions and Catalog'!$H$51+'Assumptions and Catalog'!$E$51+'Assumptions and Catalog'!$F$51,IF(L860&lt;='Assumptions and Catalog'!$C$52,L860*'Assumptions and Catalog'!$H$52+'Assumptions and Catalog'!$E$52+'Assumptions and Catalog'!$F$52,IF(L860&lt;='Assumptions and Catalog'!$C$53,L860*'Assumptions and Catalog'!$H$53+'Assumptions and Catalog'!$E$53+'Assumptions and Catalog'!$F$53,IF(L860&lt;='Assumptions and Catalog'!$C$54,L860*'Assumptions and Catalog'!$H$54+'Assumptions and Catalog'!$E$54+'Assumptions and Catalog'!$F$54,IF(L860&lt;='Assumptions and Catalog'!$C$55,L860*'Assumptions and Catalog'!$H$55+'Assumptions and Catalog'!$E$55+'Assumptions and Catalog'!$F$55,IF(L860&lt;='Assumptions and Catalog'!$C$56,L860*'Assumptions and Catalog'!$H$56+'Assumptions and Catalog'!$E$56+'Assumptions and Catalog'!$F$56,IF(L860&lt;='Assumptions and Catalog'!$C$57,L860*'Assumptions and Catalog'!$H$57+'Assumptions and Catalog'!$E$57+'Assumptions and Catalog'!$F$57,"Out of range")))))))),IF(L860&lt;='Assumptions and Catalog'!$C$60,L860*'Assumptions and Catalog'!$H$60+'Assumptions and Catalog'!$E$60+'Assumptions and Catalog'!$F$60,IF(L860&lt;='Assumptions and Catalog'!$C$61,L860*'Assumptions and Catalog'!$H$61+'Assumptions and Catalog'!$E$61+'Assumptions and Catalog'!$F$61,IF(L860&lt;='Assumptions and Catalog'!$C$62,L860*'Assumptions and Catalog'!$H$62+'Assumptions and Catalog'!$E$62+'Assumptions and Catalog'!$F$62,IF(L860&lt;='Assumptions and Catalog'!$C$63,L860*'Assumptions and Catalog'!$H$63+'Assumptions and Catalog'!$E$63+'Assumptions and Catalog'!$F$63,IF(L860&lt;='Assumptions and Catalog'!$C$64,L860*'Assumptions and Catalog'!$H$64+'Assumptions and Catalog'!$E$64+'Assumptions and Catalog'!$F$64,IF(L860&lt;='Assumptions and Catalog'!$C$65,L860*'Assumptions and Catalog'!$H$65+'Assumptions and Catalog'!$E$65+'Assumptions and Catalog'!$F$65,"Out of range")))))))))*(1+'Assumptions and Catalog'!$C$8)^(A860-1),0)</f>
        <v>5875.1436606734005</v>
      </c>
      <c r="O860" s="5">
        <f t="shared" si="63"/>
        <v>2679.8230059932666</v>
      </c>
      <c r="P860" s="5">
        <f>E$55*(1-L$14)*(1-'Assumptions and Catalog'!$C$23)^R860</f>
        <v>90.71025980047358</v>
      </c>
      <c r="Q860" s="5">
        <f>IF(ISNUMBER(Inputs!$L$5),(IF(Inputs!$L$9="Actual flat rate",((D860+E860)*C860-G860)*Inputs!$L$10,IF(Inputs!$C$9="Residential",IF(((D860+E860)*C860-G860)&lt;='Assumptions and Catalog'!$C$50,((D860+E860)*C860-G860)*'Assumptions and Catalog'!$H$50+'Assumptions and Catalog'!$E$50+'Assumptions and Catalog'!$F$50,IF(((D860+E860)*C860-G860)&lt;='Assumptions and Catalog'!$C$51,((D860+E860)*C860-G860)*'Assumptions and Catalog'!$H$51+'Assumptions and Catalog'!$E$51+'Assumptions and Catalog'!$F$51,IF(((D860+E860)*C860-G860)&lt;='Assumptions and Catalog'!$C$52,((D860+E860)*C860-G860)*'Assumptions and Catalog'!$H$52+'Assumptions and Catalog'!$E$52+'Assumptions and Catalog'!$F$52,IF(((D860+E860)*C860-G860)&lt;='Assumptions and Catalog'!$C$53,((D860+E860)*C860-G860)*'Assumptions and Catalog'!$H$53+'Assumptions and Catalog'!$E$53+'Assumptions and Catalog'!$F$53,IF(((D860+E860)*C860-G860)&lt;='Assumptions and Catalog'!$C$54,((D860+E860)*C860-G860)*'Assumptions and Catalog'!$H$54+'Assumptions and Catalog'!$E$54+'Assumptions and Catalog'!$F$54,IF(((D860+E860)*C860-G860)&lt;='Assumptions and Catalog'!$C$55,((D860+E860)*C860-G860)*'Assumptions and Catalog'!$H$55+'Assumptions and Catalog'!$E$55+'Assumptions and Catalog'!$F$55,IF(((D860+E860)*C860-G860)&lt;='Assumptions and Catalog'!$C$56,((D860+E860)*C860-G860)*'Assumptions and Catalog'!$H$56+'Assumptions and Catalog'!$E$56+'Assumptions and Catalog'!$F$56,IF(((D860+E860)*C860-G860)&lt;='Assumptions and Catalog'!$C$57,((D860+E860)*C860-G860)*'Assumptions and Catalog'!$H$57+'Assumptions and Catalog'!$E$57+'Assumptions and Catalog'!$F$57,"Out of range")))))))),IF(((D860+E860)*C860-G860)&lt;='Assumptions and Catalog'!$C$60,((D860+E860)*C860-G860)*'Assumptions and Catalog'!$H$60+'Assumptions and Catalog'!$E$60+'Assumptions and Catalog'!$F$60,IF(((D860+E860)*C860-G860)&lt;='Assumptions and Catalog'!$C$61,((D860+E860)*C860-G860)*'Assumptions and Catalog'!$H$61+'Assumptions and Catalog'!$E$61+'Assumptions and Catalog'!$F$61,IF(((D860+E860)*C860-G860)&lt;='Assumptions and Catalog'!$C$62,((D860+E860)*C860-G860)*'Assumptions and Catalog'!$H$62+'Assumptions and Catalog'!$E$62+'Assumptions and Catalog'!$F$62,IF(((D860+E860)*C860-G860)&lt;='Assumptions and Catalog'!$C$63,((D860+E860)*C860-G860)*'Assumptions and Catalog'!$H$63+'Assumptions and Catalog'!$E$63+'Assumptions and Catalog'!$F$63,IF(((D860+E860)*C860-G860)&lt;='Assumptions and Catalog'!$C$64,((D860+E860)*C860-G860)*'Assumptions and Catalog'!$H$64+'Assumptions and Catalog'!$E$64+'Assumptions and Catalog'!$F$64,IF(((D860+E860)*C860-G860)&lt;='Assumptions and Catalog'!$C$65,((D860+E860)*C860-G860)*'Assumptions and Catalog'!$H$65+'Assumptions and Catalog'!$E$65+'Assumptions and Catalog'!$F$65,"Out of range")))))))))*(1+'Assumptions and Catalog'!$C$8)^(A860-1),0)</f>
        <v>5875.1436606734005</v>
      </c>
      <c r="R860" s="5">
        <f>IF(AND('Assumptions and Catalog'!$C$19&gt;0,A860&gt;='Assumptions and Catalog'!$C$19),A860-'Assumptions and Catalog'!$C$19,A860-1)</f>
        <v>6</v>
      </c>
      <c r="S860" s="5">
        <f>F860+L860-(D860+E860)*C860-J860-K860-IF(E$52&gt;0,'Assumptions and Catalog'!$C$26*C860,0)</f>
        <v>0</v>
      </c>
      <c r="T860" s="5"/>
      <c r="U860" s="5"/>
    </row>
    <row r="861" spans="1:21" ht="23.1" customHeight="1" outlineLevel="1" x14ac:dyDescent="0.2">
      <c r="A861" s="5">
        <v>17</v>
      </c>
      <c r="B861" s="5">
        <v>9</v>
      </c>
      <c r="C861" s="5">
        <f>DAY(DATE('Assumptions and Catalog'!$C$24+A861-1,B861+1,0))</f>
        <v>30</v>
      </c>
      <c r="D861" s="5">
        <f>IF(ISNUMBER(Inputs!$L$5),Inputs!$L$5*Inputs!$L$6,0)</f>
        <v>40.35</v>
      </c>
      <c r="E861" s="5">
        <f>IF(ISNUMBER(Inputs!$L$5),Inputs!$L$5-D861,0)</f>
        <v>40.35</v>
      </c>
      <c r="F861" s="5">
        <f>E$51*'Assumptions and Catalog'!$C$31*C861*(1-'Assumptions and Catalog'!$C$10)^(A861-1)</f>
        <v>758.37250456963011</v>
      </c>
      <c r="G861" s="5">
        <f t="shared" si="60"/>
        <v>758.37250456963011</v>
      </c>
      <c r="H861" s="5">
        <f>I861/('Assumptions and Catalog'!$C$11*'Assumptions and Catalog'!$C$12)</f>
        <v>0</v>
      </c>
      <c r="I861" s="5">
        <f>MIN(E861*C861,P861*'Assumptions and Catalog'!$C$12*C861,(F861-G861)*'Assumptions and Catalog'!$C$11*'Assumptions and Catalog'!$C$12,E$56*'Assumptions and Catalog'!$C$14*'Assumptions and Catalog'!$C$11*'Assumptions and Catalog'!$C$12*C861,E$57*(24-'Assumptions and Catalog'!$C$13)*C861)</f>
        <v>0</v>
      </c>
      <c r="J861" s="5">
        <f t="shared" si="61"/>
        <v>0</v>
      </c>
      <c r="K861" s="5">
        <f t="shared" si="62"/>
        <v>0</v>
      </c>
      <c r="L861" s="5">
        <f>(D861+E861)*C861-G861-I861+0+IF(E$52&gt;0,'Assumptions and Catalog'!$C$26*C861,0)</f>
        <v>1662.6274954303699</v>
      </c>
      <c r="M861" s="5">
        <f>IF(ISNUMBER(Inputs!$L$5),(IF(Inputs!$L$9="Actual flat rate",((D861+E861)*C861)*Inputs!$L$10,IF(Inputs!$C$9="Residential",IF(((D861+E861)*C861)&lt;='Assumptions and Catalog'!$C$50,((D861+E861)*C861)*'Assumptions and Catalog'!$H$50+'Assumptions and Catalog'!$E$50+'Assumptions and Catalog'!$F$50,IF(((D861+E861)*C861)&lt;='Assumptions and Catalog'!$C$51,((D861+E861)*C861)*'Assumptions and Catalog'!$H$51+'Assumptions and Catalog'!$E$51+'Assumptions and Catalog'!$F$51,IF(((D861+E861)*C861)&lt;='Assumptions and Catalog'!$C$52,((D861+E861)*C861)*'Assumptions and Catalog'!$H$52+'Assumptions and Catalog'!$E$52+'Assumptions and Catalog'!$F$52,IF(((D861+E861)*C861)&lt;='Assumptions and Catalog'!$C$53,((D861+E861)*C861)*'Assumptions and Catalog'!$H$53+'Assumptions and Catalog'!$E$53+'Assumptions and Catalog'!$F$53,IF(((D861+E861)*C861)&lt;='Assumptions and Catalog'!$C$54,((D861+E861)*C861)*'Assumptions and Catalog'!$H$54+'Assumptions and Catalog'!$E$54+'Assumptions and Catalog'!$F$54,IF(((D861+E861)*C861)&lt;='Assumptions and Catalog'!$C$55,((D861+E861)*C861)*'Assumptions and Catalog'!$H$55+'Assumptions and Catalog'!$E$55+'Assumptions and Catalog'!$F$55,IF(((D861+E861)*C861)&lt;='Assumptions and Catalog'!$C$56,((D861+E861)*C861)*'Assumptions and Catalog'!$H$56+'Assumptions and Catalog'!$E$56+'Assumptions and Catalog'!$F$56,IF(((D861+E861)*C861)&lt;='Assumptions and Catalog'!$C$57,((D861+E861)*C861)*'Assumptions and Catalog'!$H$57+'Assumptions and Catalog'!$E$57+'Assumptions and Catalog'!$F$57,"Out of range")))))))),IF(((D861+E861)*C861)&lt;='Assumptions and Catalog'!$C$60,((D861+E861)*C861)*'Assumptions and Catalog'!$H$60+'Assumptions and Catalog'!$E$60+'Assumptions and Catalog'!$F$60,IF(((D861+E861)*C861)&lt;='Assumptions and Catalog'!$C$61,((D861+E861)*C861)*'Assumptions and Catalog'!$H$61+'Assumptions and Catalog'!$E$61+'Assumptions and Catalog'!$F$61,IF(((D861+E861)*C861)&lt;='Assumptions and Catalog'!$C$62,((D861+E861)*C861)*'Assumptions and Catalog'!$H$62+'Assumptions and Catalog'!$E$62+'Assumptions and Catalog'!$F$62,IF(((D861+E861)*C861)&lt;='Assumptions and Catalog'!$C$63,((D861+E861)*C861)*'Assumptions and Catalog'!$H$63+'Assumptions and Catalog'!$E$63+'Assumptions and Catalog'!$F$63,IF(((D861+E861)*C861)&lt;='Assumptions and Catalog'!$C$64,((D861+E861)*C861)*'Assumptions and Catalog'!$H$64+'Assumptions and Catalog'!$E$64+'Assumptions and Catalog'!$F$64,IF(((D861+E861)*C861)&lt;='Assumptions and Catalog'!$C$65,((D861+E861)*C861)*'Assumptions and Catalog'!$H$65+'Assumptions and Catalog'!$E$65+'Assumptions and Catalog'!$F$65,"Out of range")))))))))*(1+'Assumptions and Catalog'!$C$8)^(A861-1),0)</f>
        <v>8279</v>
      </c>
      <c r="N861" s="5">
        <f>IF(ISNUMBER(Inputs!$L$5),(IF(Inputs!$L$9="Actual flat rate",L861*Inputs!$L$10,IF(Inputs!$C$9="Residential",IF(L861&lt;='Assumptions and Catalog'!$C$50,L861*'Assumptions and Catalog'!$H$50+'Assumptions and Catalog'!$E$50+'Assumptions and Catalog'!$F$50,IF(L861&lt;='Assumptions and Catalog'!$C$51,L861*'Assumptions and Catalog'!$H$51+'Assumptions and Catalog'!$E$51+'Assumptions and Catalog'!$F$51,IF(L861&lt;='Assumptions and Catalog'!$C$52,L861*'Assumptions and Catalog'!$H$52+'Assumptions and Catalog'!$E$52+'Assumptions and Catalog'!$F$52,IF(L861&lt;='Assumptions and Catalog'!$C$53,L861*'Assumptions and Catalog'!$H$53+'Assumptions and Catalog'!$E$53+'Assumptions and Catalog'!$F$53,IF(L861&lt;='Assumptions and Catalog'!$C$54,L861*'Assumptions and Catalog'!$H$54+'Assumptions and Catalog'!$E$54+'Assumptions and Catalog'!$F$54,IF(L861&lt;='Assumptions and Catalog'!$C$55,L861*'Assumptions and Catalog'!$H$55+'Assumptions and Catalog'!$E$55+'Assumptions and Catalog'!$F$55,IF(L861&lt;='Assumptions and Catalog'!$C$56,L861*'Assumptions and Catalog'!$H$56+'Assumptions and Catalog'!$E$56+'Assumptions and Catalog'!$F$56,IF(L861&lt;='Assumptions and Catalog'!$C$57,L861*'Assumptions and Catalog'!$H$57+'Assumptions and Catalog'!$E$57+'Assumptions and Catalog'!$F$57,"Out of range")))))))),IF(L861&lt;='Assumptions and Catalog'!$C$60,L861*'Assumptions and Catalog'!$H$60+'Assumptions and Catalog'!$E$60+'Assumptions and Catalog'!$F$60,IF(L861&lt;='Assumptions and Catalog'!$C$61,L861*'Assumptions and Catalog'!$H$61+'Assumptions and Catalog'!$E$61+'Assumptions and Catalog'!$F$61,IF(L861&lt;='Assumptions and Catalog'!$C$62,L861*'Assumptions and Catalog'!$H$62+'Assumptions and Catalog'!$E$62+'Assumptions and Catalog'!$F$62,IF(L861&lt;='Assumptions and Catalog'!$C$63,L861*'Assumptions and Catalog'!$H$63+'Assumptions and Catalog'!$E$63+'Assumptions and Catalog'!$F$63,IF(L861&lt;='Assumptions and Catalog'!$C$64,L861*'Assumptions and Catalog'!$H$64+'Assumptions and Catalog'!$E$64+'Assumptions and Catalog'!$F$64,IF(L861&lt;='Assumptions and Catalog'!$C$65,L861*'Assumptions and Catalog'!$H$65+'Assumptions and Catalog'!$E$65+'Assumptions and Catalog'!$F$65,"Out of range")))))))))*(1+'Assumptions and Catalog'!$C$8)^(A861-1),0)</f>
        <v>5685.6228974258702</v>
      </c>
      <c r="O861" s="5">
        <f t="shared" si="63"/>
        <v>2593.3771025741298</v>
      </c>
      <c r="P861" s="5">
        <f>E$55*(1-L$14)*(1-'Assumptions and Catalog'!$C$23)^R861</f>
        <v>90.71025980047358</v>
      </c>
      <c r="Q861" s="5">
        <f>IF(ISNUMBER(Inputs!$L$5),(IF(Inputs!$L$9="Actual flat rate",((D861+E861)*C861-G861)*Inputs!$L$10,IF(Inputs!$C$9="Residential",IF(((D861+E861)*C861-G861)&lt;='Assumptions and Catalog'!$C$50,((D861+E861)*C861-G861)*'Assumptions and Catalog'!$H$50+'Assumptions and Catalog'!$E$50+'Assumptions and Catalog'!$F$50,IF(((D861+E861)*C861-G861)&lt;='Assumptions and Catalog'!$C$51,((D861+E861)*C861-G861)*'Assumptions and Catalog'!$H$51+'Assumptions and Catalog'!$E$51+'Assumptions and Catalog'!$F$51,IF(((D861+E861)*C861-G861)&lt;='Assumptions and Catalog'!$C$52,((D861+E861)*C861-G861)*'Assumptions and Catalog'!$H$52+'Assumptions and Catalog'!$E$52+'Assumptions and Catalog'!$F$52,IF(((D861+E861)*C861-G861)&lt;='Assumptions and Catalog'!$C$53,((D861+E861)*C861-G861)*'Assumptions and Catalog'!$H$53+'Assumptions and Catalog'!$E$53+'Assumptions and Catalog'!$F$53,IF(((D861+E861)*C861-G861)&lt;='Assumptions and Catalog'!$C$54,((D861+E861)*C861-G861)*'Assumptions and Catalog'!$H$54+'Assumptions and Catalog'!$E$54+'Assumptions and Catalog'!$F$54,IF(((D861+E861)*C861-G861)&lt;='Assumptions and Catalog'!$C$55,((D861+E861)*C861-G861)*'Assumptions and Catalog'!$H$55+'Assumptions and Catalog'!$E$55+'Assumptions and Catalog'!$F$55,IF(((D861+E861)*C861-G861)&lt;='Assumptions and Catalog'!$C$56,((D861+E861)*C861-G861)*'Assumptions and Catalog'!$H$56+'Assumptions and Catalog'!$E$56+'Assumptions and Catalog'!$F$56,IF(((D861+E861)*C861-G861)&lt;='Assumptions and Catalog'!$C$57,((D861+E861)*C861-G861)*'Assumptions and Catalog'!$H$57+'Assumptions and Catalog'!$E$57+'Assumptions and Catalog'!$F$57,"Out of range")))))))),IF(((D861+E861)*C861-G861)&lt;='Assumptions and Catalog'!$C$60,((D861+E861)*C861-G861)*'Assumptions and Catalog'!$H$60+'Assumptions and Catalog'!$E$60+'Assumptions and Catalog'!$F$60,IF(((D861+E861)*C861-G861)&lt;='Assumptions and Catalog'!$C$61,((D861+E861)*C861-G861)*'Assumptions and Catalog'!$H$61+'Assumptions and Catalog'!$E$61+'Assumptions and Catalog'!$F$61,IF(((D861+E861)*C861-G861)&lt;='Assumptions and Catalog'!$C$62,((D861+E861)*C861-G861)*'Assumptions and Catalog'!$H$62+'Assumptions and Catalog'!$E$62+'Assumptions and Catalog'!$F$62,IF(((D861+E861)*C861-G861)&lt;='Assumptions and Catalog'!$C$63,((D861+E861)*C861-G861)*'Assumptions and Catalog'!$H$63+'Assumptions and Catalog'!$E$63+'Assumptions and Catalog'!$F$63,IF(((D861+E861)*C861-G861)&lt;='Assumptions and Catalog'!$C$64,((D861+E861)*C861-G861)*'Assumptions and Catalog'!$H$64+'Assumptions and Catalog'!$E$64+'Assumptions and Catalog'!$F$64,IF(((D861+E861)*C861-G861)&lt;='Assumptions and Catalog'!$C$65,((D861+E861)*C861-G861)*'Assumptions and Catalog'!$H$65+'Assumptions and Catalog'!$E$65+'Assumptions and Catalog'!$F$65,"Out of range")))))))))*(1+'Assumptions and Catalog'!$C$8)^(A861-1),0)</f>
        <v>5685.6228974258702</v>
      </c>
      <c r="R861" s="5">
        <f>IF(AND('Assumptions and Catalog'!$C$19&gt;0,A861&gt;='Assumptions and Catalog'!$C$19),A861-'Assumptions and Catalog'!$C$19,A861-1)</f>
        <v>6</v>
      </c>
      <c r="S861" s="5">
        <f>F861+L861-(D861+E861)*C861-J861-K861-IF(E$52&gt;0,'Assumptions and Catalog'!$C$26*C861,0)</f>
        <v>0</v>
      </c>
      <c r="T861" s="5"/>
      <c r="U861" s="5"/>
    </row>
    <row r="862" spans="1:21" ht="23.1" customHeight="1" outlineLevel="1" x14ac:dyDescent="0.2">
      <c r="A862" s="5">
        <v>17</v>
      </c>
      <c r="B862" s="5">
        <v>10</v>
      </c>
      <c r="C862" s="5">
        <f>DAY(DATE('Assumptions and Catalog'!$C$24+A862-1,B862+1,0))</f>
        <v>31</v>
      </c>
      <c r="D862" s="5">
        <f>IF(ISNUMBER(Inputs!$L$5),Inputs!$L$5*Inputs!$L$6,0)</f>
        <v>40.35</v>
      </c>
      <c r="E862" s="5">
        <f>IF(ISNUMBER(Inputs!$L$5),Inputs!$L$5-D862,0)</f>
        <v>40.35</v>
      </c>
      <c r="F862" s="5">
        <f>E$51*'Assumptions and Catalog'!$C$31*C862*(1-'Assumptions and Catalog'!$C$10)^(A862-1)</f>
        <v>783.65158805528438</v>
      </c>
      <c r="G862" s="5">
        <f t="shared" si="60"/>
        <v>783.65158805528438</v>
      </c>
      <c r="H862" s="5">
        <f>I862/('Assumptions and Catalog'!$C$11*'Assumptions and Catalog'!$C$12)</f>
        <v>0</v>
      </c>
      <c r="I862" s="5">
        <f>MIN(E862*C862,P862*'Assumptions and Catalog'!$C$12*C862,(F862-G862)*'Assumptions and Catalog'!$C$11*'Assumptions and Catalog'!$C$12,E$56*'Assumptions and Catalog'!$C$14*'Assumptions and Catalog'!$C$11*'Assumptions and Catalog'!$C$12*C862,E$57*(24-'Assumptions and Catalog'!$C$13)*C862)</f>
        <v>0</v>
      </c>
      <c r="J862" s="5">
        <f t="shared" si="61"/>
        <v>0</v>
      </c>
      <c r="K862" s="5">
        <f t="shared" si="62"/>
        <v>0</v>
      </c>
      <c r="L862" s="5">
        <f>(D862+E862)*C862-G862-I862+0+IF(E$52&gt;0,'Assumptions and Catalog'!$C$26*C862,0)</f>
        <v>1718.048411944716</v>
      </c>
      <c r="M862" s="5">
        <f>IF(ISNUMBER(Inputs!$L$5),(IF(Inputs!$L$9="Actual flat rate",((D862+E862)*C862)*Inputs!$L$10,IF(Inputs!$C$9="Residential",IF(((D862+E862)*C862)&lt;='Assumptions and Catalog'!$C$50,((D862+E862)*C862)*'Assumptions and Catalog'!$H$50+'Assumptions and Catalog'!$E$50+'Assumptions and Catalog'!$F$50,IF(((D862+E862)*C862)&lt;='Assumptions and Catalog'!$C$51,((D862+E862)*C862)*'Assumptions and Catalog'!$H$51+'Assumptions and Catalog'!$E$51+'Assumptions and Catalog'!$F$51,IF(((D862+E862)*C862)&lt;='Assumptions and Catalog'!$C$52,((D862+E862)*C862)*'Assumptions and Catalog'!$H$52+'Assumptions and Catalog'!$E$52+'Assumptions and Catalog'!$F$52,IF(((D862+E862)*C862)&lt;='Assumptions and Catalog'!$C$53,((D862+E862)*C862)*'Assumptions and Catalog'!$H$53+'Assumptions and Catalog'!$E$53+'Assumptions and Catalog'!$F$53,IF(((D862+E862)*C862)&lt;='Assumptions and Catalog'!$C$54,((D862+E862)*C862)*'Assumptions and Catalog'!$H$54+'Assumptions and Catalog'!$E$54+'Assumptions and Catalog'!$F$54,IF(((D862+E862)*C862)&lt;='Assumptions and Catalog'!$C$55,((D862+E862)*C862)*'Assumptions and Catalog'!$H$55+'Assumptions and Catalog'!$E$55+'Assumptions and Catalog'!$F$55,IF(((D862+E862)*C862)&lt;='Assumptions and Catalog'!$C$56,((D862+E862)*C862)*'Assumptions and Catalog'!$H$56+'Assumptions and Catalog'!$E$56+'Assumptions and Catalog'!$F$56,IF(((D862+E862)*C862)&lt;='Assumptions and Catalog'!$C$57,((D862+E862)*C862)*'Assumptions and Catalog'!$H$57+'Assumptions and Catalog'!$E$57+'Assumptions and Catalog'!$F$57,"Out of range")))))))),IF(((D862+E862)*C862)&lt;='Assumptions and Catalog'!$C$60,((D862+E862)*C862)*'Assumptions and Catalog'!$H$60+'Assumptions and Catalog'!$E$60+'Assumptions and Catalog'!$F$60,IF(((D862+E862)*C862)&lt;='Assumptions and Catalog'!$C$61,((D862+E862)*C862)*'Assumptions and Catalog'!$H$61+'Assumptions and Catalog'!$E$61+'Assumptions and Catalog'!$F$61,IF(((D862+E862)*C862)&lt;='Assumptions and Catalog'!$C$62,((D862+E862)*C862)*'Assumptions and Catalog'!$H$62+'Assumptions and Catalog'!$E$62+'Assumptions and Catalog'!$F$62,IF(((D862+E862)*C862)&lt;='Assumptions and Catalog'!$C$63,((D862+E862)*C862)*'Assumptions and Catalog'!$H$63+'Assumptions and Catalog'!$E$63+'Assumptions and Catalog'!$F$63,IF(((D862+E862)*C862)&lt;='Assumptions and Catalog'!$C$64,((D862+E862)*C862)*'Assumptions and Catalog'!$H$64+'Assumptions and Catalog'!$E$64+'Assumptions and Catalog'!$F$64,IF(((D862+E862)*C862)&lt;='Assumptions and Catalog'!$C$65,((D862+E862)*C862)*'Assumptions and Catalog'!$H$65+'Assumptions and Catalog'!$E$65+'Assumptions and Catalog'!$F$65,"Out of range")))))))))*(1+'Assumptions and Catalog'!$C$8)^(A862-1),0)</f>
        <v>8554.9666666666672</v>
      </c>
      <c r="N862" s="5">
        <f>IF(ISNUMBER(Inputs!$L$5),(IF(Inputs!$L$9="Actual flat rate",L862*Inputs!$L$10,IF(Inputs!$C$9="Residential",IF(L862&lt;='Assumptions and Catalog'!$C$50,L862*'Assumptions and Catalog'!$H$50+'Assumptions and Catalog'!$E$50+'Assumptions and Catalog'!$F$50,IF(L862&lt;='Assumptions and Catalog'!$C$51,L862*'Assumptions and Catalog'!$H$51+'Assumptions and Catalog'!$E$51+'Assumptions and Catalog'!$F$51,IF(L862&lt;='Assumptions and Catalog'!$C$52,L862*'Assumptions and Catalog'!$H$52+'Assumptions and Catalog'!$E$52+'Assumptions and Catalog'!$F$52,IF(L862&lt;='Assumptions and Catalog'!$C$53,L862*'Assumptions and Catalog'!$H$53+'Assumptions and Catalog'!$E$53+'Assumptions and Catalog'!$F$53,IF(L862&lt;='Assumptions and Catalog'!$C$54,L862*'Assumptions and Catalog'!$H$54+'Assumptions and Catalog'!$E$54+'Assumptions and Catalog'!$F$54,IF(L862&lt;='Assumptions and Catalog'!$C$55,L862*'Assumptions and Catalog'!$H$55+'Assumptions and Catalog'!$E$55+'Assumptions and Catalog'!$F$55,IF(L862&lt;='Assumptions and Catalog'!$C$56,L862*'Assumptions and Catalog'!$H$56+'Assumptions and Catalog'!$E$56+'Assumptions and Catalog'!$F$56,IF(L862&lt;='Assumptions and Catalog'!$C$57,L862*'Assumptions and Catalog'!$H$57+'Assumptions and Catalog'!$E$57+'Assumptions and Catalog'!$F$57,"Out of range")))))))),IF(L862&lt;='Assumptions and Catalog'!$C$60,L862*'Assumptions and Catalog'!$H$60+'Assumptions and Catalog'!$E$60+'Assumptions and Catalog'!$F$60,IF(L862&lt;='Assumptions and Catalog'!$C$61,L862*'Assumptions and Catalog'!$H$61+'Assumptions and Catalog'!$E$61+'Assumptions and Catalog'!$F$61,IF(L862&lt;='Assumptions and Catalog'!$C$62,L862*'Assumptions and Catalog'!$H$62+'Assumptions and Catalog'!$E$62+'Assumptions and Catalog'!$F$62,IF(L862&lt;='Assumptions and Catalog'!$C$63,L862*'Assumptions and Catalog'!$H$63+'Assumptions and Catalog'!$E$63+'Assumptions and Catalog'!$F$63,IF(L862&lt;='Assumptions and Catalog'!$C$64,L862*'Assumptions and Catalog'!$H$64+'Assumptions and Catalog'!$E$64+'Assumptions and Catalog'!$F$64,IF(L862&lt;='Assumptions and Catalog'!$C$65,L862*'Assumptions and Catalog'!$H$65+'Assumptions and Catalog'!$E$65+'Assumptions and Catalog'!$F$65,"Out of range")))))))))*(1+'Assumptions and Catalog'!$C$8)^(A862-1),0)</f>
        <v>5875.1436606734005</v>
      </c>
      <c r="O862" s="5">
        <f t="shared" si="63"/>
        <v>2679.8230059932666</v>
      </c>
      <c r="P862" s="5">
        <f>E$55*(1-L$14)*(1-'Assumptions and Catalog'!$C$23)^R862</f>
        <v>90.71025980047358</v>
      </c>
      <c r="Q862" s="5">
        <f>IF(ISNUMBER(Inputs!$L$5),(IF(Inputs!$L$9="Actual flat rate",((D862+E862)*C862-G862)*Inputs!$L$10,IF(Inputs!$C$9="Residential",IF(((D862+E862)*C862-G862)&lt;='Assumptions and Catalog'!$C$50,((D862+E862)*C862-G862)*'Assumptions and Catalog'!$H$50+'Assumptions and Catalog'!$E$50+'Assumptions and Catalog'!$F$50,IF(((D862+E862)*C862-G862)&lt;='Assumptions and Catalog'!$C$51,((D862+E862)*C862-G862)*'Assumptions and Catalog'!$H$51+'Assumptions and Catalog'!$E$51+'Assumptions and Catalog'!$F$51,IF(((D862+E862)*C862-G862)&lt;='Assumptions and Catalog'!$C$52,((D862+E862)*C862-G862)*'Assumptions and Catalog'!$H$52+'Assumptions and Catalog'!$E$52+'Assumptions and Catalog'!$F$52,IF(((D862+E862)*C862-G862)&lt;='Assumptions and Catalog'!$C$53,((D862+E862)*C862-G862)*'Assumptions and Catalog'!$H$53+'Assumptions and Catalog'!$E$53+'Assumptions and Catalog'!$F$53,IF(((D862+E862)*C862-G862)&lt;='Assumptions and Catalog'!$C$54,((D862+E862)*C862-G862)*'Assumptions and Catalog'!$H$54+'Assumptions and Catalog'!$E$54+'Assumptions and Catalog'!$F$54,IF(((D862+E862)*C862-G862)&lt;='Assumptions and Catalog'!$C$55,((D862+E862)*C862-G862)*'Assumptions and Catalog'!$H$55+'Assumptions and Catalog'!$E$55+'Assumptions and Catalog'!$F$55,IF(((D862+E862)*C862-G862)&lt;='Assumptions and Catalog'!$C$56,((D862+E862)*C862-G862)*'Assumptions and Catalog'!$H$56+'Assumptions and Catalog'!$E$56+'Assumptions and Catalog'!$F$56,IF(((D862+E862)*C862-G862)&lt;='Assumptions and Catalog'!$C$57,((D862+E862)*C862-G862)*'Assumptions and Catalog'!$H$57+'Assumptions and Catalog'!$E$57+'Assumptions and Catalog'!$F$57,"Out of range")))))))),IF(((D862+E862)*C862-G862)&lt;='Assumptions and Catalog'!$C$60,((D862+E862)*C862-G862)*'Assumptions and Catalog'!$H$60+'Assumptions and Catalog'!$E$60+'Assumptions and Catalog'!$F$60,IF(((D862+E862)*C862-G862)&lt;='Assumptions and Catalog'!$C$61,((D862+E862)*C862-G862)*'Assumptions and Catalog'!$H$61+'Assumptions and Catalog'!$E$61+'Assumptions and Catalog'!$F$61,IF(((D862+E862)*C862-G862)&lt;='Assumptions and Catalog'!$C$62,((D862+E862)*C862-G862)*'Assumptions and Catalog'!$H$62+'Assumptions and Catalog'!$E$62+'Assumptions and Catalog'!$F$62,IF(((D862+E862)*C862-G862)&lt;='Assumptions and Catalog'!$C$63,((D862+E862)*C862-G862)*'Assumptions and Catalog'!$H$63+'Assumptions and Catalog'!$E$63+'Assumptions and Catalog'!$F$63,IF(((D862+E862)*C862-G862)&lt;='Assumptions and Catalog'!$C$64,((D862+E862)*C862-G862)*'Assumptions and Catalog'!$H$64+'Assumptions and Catalog'!$E$64+'Assumptions and Catalog'!$F$64,IF(((D862+E862)*C862-G862)&lt;='Assumptions and Catalog'!$C$65,((D862+E862)*C862-G862)*'Assumptions and Catalog'!$H$65+'Assumptions and Catalog'!$E$65+'Assumptions and Catalog'!$F$65,"Out of range")))))))))*(1+'Assumptions and Catalog'!$C$8)^(A862-1),0)</f>
        <v>5875.1436606734005</v>
      </c>
      <c r="R862" s="5">
        <f>IF(AND('Assumptions and Catalog'!$C$19&gt;0,A862&gt;='Assumptions and Catalog'!$C$19),A862-'Assumptions and Catalog'!$C$19,A862-1)</f>
        <v>6</v>
      </c>
      <c r="S862" s="5">
        <f>F862+L862-(D862+E862)*C862-J862-K862-IF(E$52&gt;0,'Assumptions and Catalog'!$C$26*C862,0)</f>
        <v>0</v>
      </c>
      <c r="T862" s="5"/>
      <c r="U862" s="5"/>
    </row>
    <row r="863" spans="1:21" ht="23.1" customHeight="1" outlineLevel="1" x14ac:dyDescent="0.2">
      <c r="A863" s="5">
        <v>17</v>
      </c>
      <c r="B863" s="5">
        <v>11</v>
      </c>
      <c r="C863" s="5">
        <f>DAY(DATE('Assumptions and Catalog'!$C$24+A863-1,B863+1,0))</f>
        <v>30</v>
      </c>
      <c r="D863" s="5">
        <f>IF(ISNUMBER(Inputs!$L$5),Inputs!$L$5*Inputs!$L$6,0)</f>
        <v>40.35</v>
      </c>
      <c r="E863" s="5">
        <f>IF(ISNUMBER(Inputs!$L$5),Inputs!$L$5-D863,0)</f>
        <v>40.35</v>
      </c>
      <c r="F863" s="5">
        <f>E$51*'Assumptions and Catalog'!$C$31*C863*(1-'Assumptions and Catalog'!$C$10)^(A863-1)</f>
        <v>758.37250456963011</v>
      </c>
      <c r="G863" s="5">
        <f t="shared" si="60"/>
        <v>758.37250456963011</v>
      </c>
      <c r="H863" s="5">
        <f>I863/('Assumptions and Catalog'!$C$11*'Assumptions and Catalog'!$C$12)</f>
        <v>0</v>
      </c>
      <c r="I863" s="5">
        <f>MIN(E863*C863,P863*'Assumptions and Catalog'!$C$12*C863,(F863-G863)*'Assumptions and Catalog'!$C$11*'Assumptions and Catalog'!$C$12,E$56*'Assumptions and Catalog'!$C$14*'Assumptions and Catalog'!$C$11*'Assumptions and Catalog'!$C$12*C863,E$57*(24-'Assumptions and Catalog'!$C$13)*C863)</f>
        <v>0</v>
      </c>
      <c r="J863" s="5">
        <f t="shared" si="61"/>
        <v>0</v>
      </c>
      <c r="K863" s="5">
        <f t="shared" si="62"/>
        <v>0</v>
      </c>
      <c r="L863" s="5">
        <f>(D863+E863)*C863-G863-I863+0+IF(E$52&gt;0,'Assumptions and Catalog'!$C$26*C863,0)</f>
        <v>1662.6274954303699</v>
      </c>
      <c r="M863" s="5">
        <f>IF(ISNUMBER(Inputs!$L$5),(IF(Inputs!$L$9="Actual flat rate",((D863+E863)*C863)*Inputs!$L$10,IF(Inputs!$C$9="Residential",IF(((D863+E863)*C863)&lt;='Assumptions and Catalog'!$C$50,((D863+E863)*C863)*'Assumptions and Catalog'!$H$50+'Assumptions and Catalog'!$E$50+'Assumptions and Catalog'!$F$50,IF(((D863+E863)*C863)&lt;='Assumptions and Catalog'!$C$51,((D863+E863)*C863)*'Assumptions and Catalog'!$H$51+'Assumptions and Catalog'!$E$51+'Assumptions and Catalog'!$F$51,IF(((D863+E863)*C863)&lt;='Assumptions and Catalog'!$C$52,((D863+E863)*C863)*'Assumptions and Catalog'!$H$52+'Assumptions and Catalog'!$E$52+'Assumptions and Catalog'!$F$52,IF(((D863+E863)*C863)&lt;='Assumptions and Catalog'!$C$53,((D863+E863)*C863)*'Assumptions and Catalog'!$H$53+'Assumptions and Catalog'!$E$53+'Assumptions and Catalog'!$F$53,IF(((D863+E863)*C863)&lt;='Assumptions and Catalog'!$C$54,((D863+E863)*C863)*'Assumptions and Catalog'!$H$54+'Assumptions and Catalog'!$E$54+'Assumptions and Catalog'!$F$54,IF(((D863+E863)*C863)&lt;='Assumptions and Catalog'!$C$55,((D863+E863)*C863)*'Assumptions and Catalog'!$H$55+'Assumptions and Catalog'!$E$55+'Assumptions and Catalog'!$F$55,IF(((D863+E863)*C863)&lt;='Assumptions and Catalog'!$C$56,((D863+E863)*C863)*'Assumptions and Catalog'!$H$56+'Assumptions and Catalog'!$E$56+'Assumptions and Catalog'!$F$56,IF(((D863+E863)*C863)&lt;='Assumptions and Catalog'!$C$57,((D863+E863)*C863)*'Assumptions and Catalog'!$H$57+'Assumptions and Catalog'!$E$57+'Assumptions and Catalog'!$F$57,"Out of range")))))))),IF(((D863+E863)*C863)&lt;='Assumptions and Catalog'!$C$60,((D863+E863)*C863)*'Assumptions and Catalog'!$H$60+'Assumptions and Catalog'!$E$60+'Assumptions and Catalog'!$F$60,IF(((D863+E863)*C863)&lt;='Assumptions and Catalog'!$C$61,((D863+E863)*C863)*'Assumptions and Catalog'!$H$61+'Assumptions and Catalog'!$E$61+'Assumptions and Catalog'!$F$61,IF(((D863+E863)*C863)&lt;='Assumptions and Catalog'!$C$62,((D863+E863)*C863)*'Assumptions and Catalog'!$H$62+'Assumptions and Catalog'!$E$62+'Assumptions and Catalog'!$F$62,IF(((D863+E863)*C863)&lt;='Assumptions and Catalog'!$C$63,((D863+E863)*C863)*'Assumptions and Catalog'!$H$63+'Assumptions and Catalog'!$E$63+'Assumptions and Catalog'!$F$63,IF(((D863+E863)*C863)&lt;='Assumptions and Catalog'!$C$64,((D863+E863)*C863)*'Assumptions and Catalog'!$H$64+'Assumptions and Catalog'!$E$64+'Assumptions and Catalog'!$F$64,IF(((D863+E863)*C863)&lt;='Assumptions and Catalog'!$C$65,((D863+E863)*C863)*'Assumptions and Catalog'!$H$65+'Assumptions and Catalog'!$E$65+'Assumptions and Catalog'!$F$65,"Out of range")))))))))*(1+'Assumptions and Catalog'!$C$8)^(A863-1),0)</f>
        <v>8279</v>
      </c>
      <c r="N863" s="5">
        <f>IF(ISNUMBER(Inputs!$L$5),(IF(Inputs!$L$9="Actual flat rate",L863*Inputs!$L$10,IF(Inputs!$C$9="Residential",IF(L863&lt;='Assumptions and Catalog'!$C$50,L863*'Assumptions and Catalog'!$H$50+'Assumptions and Catalog'!$E$50+'Assumptions and Catalog'!$F$50,IF(L863&lt;='Assumptions and Catalog'!$C$51,L863*'Assumptions and Catalog'!$H$51+'Assumptions and Catalog'!$E$51+'Assumptions and Catalog'!$F$51,IF(L863&lt;='Assumptions and Catalog'!$C$52,L863*'Assumptions and Catalog'!$H$52+'Assumptions and Catalog'!$E$52+'Assumptions and Catalog'!$F$52,IF(L863&lt;='Assumptions and Catalog'!$C$53,L863*'Assumptions and Catalog'!$H$53+'Assumptions and Catalog'!$E$53+'Assumptions and Catalog'!$F$53,IF(L863&lt;='Assumptions and Catalog'!$C$54,L863*'Assumptions and Catalog'!$H$54+'Assumptions and Catalog'!$E$54+'Assumptions and Catalog'!$F$54,IF(L863&lt;='Assumptions and Catalog'!$C$55,L863*'Assumptions and Catalog'!$H$55+'Assumptions and Catalog'!$E$55+'Assumptions and Catalog'!$F$55,IF(L863&lt;='Assumptions and Catalog'!$C$56,L863*'Assumptions and Catalog'!$H$56+'Assumptions and Catalog'!$E$56+'Assumptions and Catalog'!$F$56,IF(L863&lt;='Assumptions and Catalog'!$C$57,L863*'Assumptions and Catalog'!$H$57+'Assumptions and Catalog'!$E$57+'Assumptions and Catalog'!$F$57,"Out of range")))))))),IF(L863&lt;='Assumptions and Catalog'!$C$60,L863*'Assumptions and Catalog'!$H$60+'Assumptions and Catalog'!$E$60+'Assumptions and Catalog'!$F$60,IF(L863&lt;='Assumptions and Catalog'!$C$61,L863*'Assumptions and Catalog'!$H$61+'Assumptions and Catalog'!$E$61+'Assumptions and Catalog'!$F$61,IF(L863&lt;='Assumptions and Catalog'!$C$62,L863*'Assumptions and Catalog'!$H$62+'Assumptions and Catalog'!$E$62+'Assumptions and Catalog'!$F$62,IF(L863&lt;='Assumptions and Catalog'!$C$63,L863*'Assumptions and Catalog'!$H$63+'Assumptions and Catalog'!$E$63+'Assumptions and Catalog'!$F$63,IF(L863&lt;='Assumptions and Catalog'!$C$64,L863*'Assumptions and Catalog'!$H$64+'Assumptions and Catalog'!$E$64+'Assumptions and Catalog'!$F$64,IF(L863&lt;='Assumptions and Catalog'!$C$65,L863*'Assumptions and Catalog'!$H$65+'Assumptions and Catalog'!$E$65+'Assumptions and Catalog'!$F$65,"Out of range")))))))))*(1+'Assumptions and Catalog'!$C$8)^(A863-1),0)</f>
        <v>5685.6228974258702</v>
      </c>
      <c r="O863" s="5">
        <f t="shared" si="63"/>
        <v>2593.3771025741298</v>
      </c>
      <c r="P863" s="5">
        <f>E$55*(1-L$14)*(1-'Assumptions and Catalog'!$C$23)^R863</f>
        <v>90.71025980047358</v>
      </c>
      <c r="Q863" s="5">
        <f>IF(ISNUMBER(Inputs!$L$5),(IF(Inputs!$L$9="Actual flat rate",((D863+E863)*C863-G863)*Inputs!$L$10,IF(Inputs!$C$9="Residential",IF(((D863+E863)*C863-G863)&lt;='Assumptions and Catalog'!$C$50,((D863+E863)*C863-G863)*'Assumptions and Catalog'!$H$50+'Assumptions and Catalog'!$E$50+'Assumptions and Catalog'!$F$50,IF(((D863+E863)*C863-G863)&lt;='Assumptions and Catalog'!$C$51,((D863+E863)*C863-G863)*'Assumptions and Catalog'!$H$51+'Assumptions and Catalog'!$E$51+'Assumptions and Catalog'!$F$51,IF(((D863+E863)*C863-G863)&lt;='Assumptions and Catalog'!$C$52,((D863+E863)*C863-G863)*'Assumptions and Catalog'!$H$52+'Assumptions and Catalog'!$E$52+'Assumptions and Catalog'!$F$52,IF(((D863+E863)*C863-G863)&lt;='Assumptions and Catalog'!$C$53,((D863+E863)*C863-G863)*'Assumptions and Catalog'!$H$53+'Assumptions and Catalog'!$E$53+'Assumptions and Catalog'!$F$53,IF(((D863+E863)*C863-G863)&lt;='Assumptions and Catalog'!$C$54,((D863+E863)*C863-G863)*'Assumptions and Catalog'!$H$54+'Assumptions and Catalog'!$E$54+'Assumptions and Catalog'!$F$54,IF(((D863+E863)*C863-G863)&lt;='Assumptions and Catalog'!$C$55,((D863+E863)*C863-G863)*'Assumptions and Catalog'!$H$55+'Assumptions and Catalog'!$E$55+'Assumptions and Catalog'!$F$55,IF(((D863+E863)*C863-G863)&lt;='Assumptions and Catalog'!$C$56,((D863+E863)*C863-G863)*'Assumptions and Catalog'!$H$56+'Assumptions and Catalog'!$E$56+'Assumptions and Catalog'!$F$56,IF(((D863+E863)*C863-G863)&lt;='Assumptions and Catalog'!$C$57,((D863+E863)*C863-G863)*'Assumptions and Catalog'!$H$57+'Assumptions and Catalog'!$E$57+'Assumptions and Catalog'!$F$57,"Out of range")))))))),IF(((D863+E863)*C863-G863)&lt;='Assumptions and Catalog'!$C$60,((D863+E863)*C863-G863)*'Assumptions and Catalog'!$H$60+'Assumptions and Catalog'!$E$60+'Assumptions and Catalog'!$F$60,IF(((D863+E863)*C863-G863)&lt;='Assumptions and Catalog'!$C$61,((D863+E863)*C863-G863)*'Assumptions and Catalog'!$H$61+'Assumptions and Catalog'!$E$61+'Assumptions and Catalog'!$F$61,IF(((D863+E863)*C863-G863)&lt;='Assumptions and Catalog'!$C$62,((D863+E863)*C863-G863)*'Assumptions and Catalog'!$H$62+'Assumptions and Catalog'!$E$62+'Assumptions and Catalog'!$F$62,IF(((D863+E863)*C863-G863)&lt;='Assumptions and Catalog'!$C$63,((D863+E863)*C863-G863)*'Assumptions and Catalog'!$H$63+'Assumptions and Catalog'!$E$63+'Assumptions and Catalog'!$F$63,IF(((D863+E863)*C863-G863)&lt;='Assumptions and Catalog'!$C$64,((D863+E863)*C863-G863)*'Assumptions and Catalog'!$H$64+'Assumptions and Catalog'!$E$64+'Assumptions and Catalog'!$F$64,IF(((D863+E863)*C863-G863)&lt;='Assumptions and Catalog'!$C$65,((D863+E863)*C863-G863)*'Assumptions and Catalog'!$H$65+'Assumptions and Catalog'!$E$65+'Assumptions and Catalog'!$F$65,"Out of range")))))))))*(1+'Assumptions and Catalog'!$C$8)^(A863-1),0)</f>
        <v>5685.6228974258702</v>
      </c>
      <c r="R863" s="5">
        <f>IF(AND('Assumptions and Catalog'!$C$19&gt;0,A863&gt;='Assumptions and Catalog'!$C$19),A863-'Assumptions and Catalog'!$C$19,A863-1)</f>
        <v>6</v>
      </c>
      <c r="S863" s="5">
        <f>F863+L863-(D863+E863)*C863-J863-K863-IF(E$52&gt;0,'Assumptions and Catalog'!$C$26*C863,0)</f>
        <v>0</v>
      </c>
      <c r="T863" s="5"/>
      <c r="U863" s="5"/>
    </row>
    <row r="864" spans="1:21" ht="23.1" customHeight="1" outlineLevel="1" x14ac:dyDescent="0.2">
      <c r="A864" s="5">
        <v>17</v>
      </c>
      <c r="B864" s="5">
        <v>12</v>
      </c>
      <c r="C864" s="5">
        <f>DAY(DATE('Assumptions and Catalog'!$C$24+A864-1,B864+1,0))</f>
        <v>31</v>
      </c>
      <c r="D864" s="5">
        <f>IF(ISNUMBER(Inputs!$L$5),Inputs!$L$5*Inputs!$L$6,0)</f>
        <v>40.35</v>
      </c>
      <c r="E864" s="5">
        <f>IF(ISNUMBER(Inputs!$L$5),Inputs!$L$5-D864,0)</f>
        <v>40.35</v>
      </c>
      <c r="F864" s="5">
        <f>E$51*'Assumptions and Catalog'!$C$31*C864*(1-'Assumptions and Catalog'!$C$10)^(A864-1)</f>
        <v>783.65158805528438</v>
      </c>
      <c r="G864" s="5">
        <f t="shared" si="60"/>
        <v>783.65158805528438</v>
      </c>
      <c r="H864" s="5">
        <f>I864/('Assumptions and Catalog'!$C$11*'Assumptions and Catalog'!$C$12)</f>
        <v>0</v>
      </c>
      <c r="I864" s="5">
        <f>MIN(E864*C864,P864*'Assumptions and Catalog'!$C$12*C864,(F864-G864)*'Assumptions and Catalog'!$C$11*'Assumptions and Catalog'!$C$12,E$56*'Assumptions and Catalog'!$C$14*'Assumptions and Catalog'!$C$11*'Assumptions and Catalog'!$C$12*C864,E$57*(24-'Assumptions and Catalog'!$C$13)*C864)</f>
        <v>0</v>
      </c>
      <c r="J864" s="5">
        <f t="shared" si="61"/>
        <v>0</v>
      </c>
      <c r="K864" s="5">
        <f t="shared" si="62"/>
        <v>0</v>
      </c>
      <c r="L864" s="5">
        <f>(D864+E864)*C864-G864-I864+0+IF(E$52&gt;0,'Assumptions and Catalog'!$C$26*C864,0)</f>
        <v>1718.048411944716</v>
      </c>
      <c r="M864" s="5">
        <f>IF(ISNUMBER(Inputs!$L$5),(IF(Inputs!$L$9="Actual flat rate",((D864+E864)*C864)*Inputs!$L$10,IF(Inputs!$C$9="Residential",IF(((D864+E864)*C864)&lt;='Assumptions and Catalog'!$C$50,((D864+E864)*C864)*'Assumptions and Catalog'!$H$50+'Assumptions and Catalog'!$E$50+'Assumptions and Catalog'!$F$50,IF(((D864+E864)*C864)&lt;='Assumptions and Catalog'!$C$51,((D864+E864)*C864)*'Assumptions and Catalog'!$H$51+'Assumptions and Catalog'!$E$51+'Assumptions and Catalog'!$F$51,IF(((D864+E864)*C864)&lt;='Assumptions and Catalog'!$C$52,((D864+E864)*C864)*'Assumptions and Catalog'!$H$52+'Assumptions and Catalog'!$E$52+'Assumptions and Catalog'!$F$52,IF(((D864+E864)*C864)&lt;='Assumptions and Catalog'!$C$53,((D864+E864)*C864)*'Assumptions and Catalog'!$H$53+'Assumptions and Catalog'!$E$53+'Assumptions and Catalog'!$F$53,IF(((D864+E864)*C864)&lt;='Assumptions and Catalog'!$C$54,((D864+E864)*C864)*'Assumptions and Catalog'!$H$54+'Assumptions and Catalog'!$E$54+'Assumptions and Catalog'!$F$54,IF(((D864+E864)*C864)&lt;='Assumptions and Catalog'!$C$55,((D864+E864)*C864)*'Assumptions and Catalog'!$H$55+'Assumptions and Catalog'!$E$55+'Assumptions and Catalog'!$F$55,IF(((D864+E864)*C864)&lt;='Assumptions and Catalog'!$C$56,((D864+E864)*C864)*'Assumptions and Catalog'!$H$56+'Assumptions and Catalog'!$E$56+'Assumptions and Catalog'!$F$56,IF(((D864+E864)*C864)&lt;='Assumptions and Catalog'!$C$57,((D864+E864)*C864)*'Assumptions and Catalog'!$H$57+'Assumptions and Catalog'!$E$57+'Assumptions and Catalog'!$F$57,"Out of range")))))))),IF(((D864+E864)*C864)&lt;='Assumptions and Catalog'!$C$60,((D864+E864)*C864)*'Assumptions and Catalog'!$H$60+'Assumptions and Catalog'!$E$60+'Assumptions and Catalog'!$F$60,IF(((D864+E864)*C864)&lt;='Assumptions and Catalog'!$C$61,((D864+E864)*C864)*'Assumptions and Catalog'!$H$61+'Assumptions and Catalog'!$E$61+'Assumptions and Catalog'!$F$61,IF(((D864+E864)*C864)&lt;='Assumptions and Catalog'!$C$62,((D864+E864)*C864)*'Assumptions and Catalog'!$H$62+'Assumptions and Catalog'!$E$62+'Assumptions and Catalog'!$F$62,IF(((D864+E864)*C864)&lt;='Assumptions and Catalog'!$C$63,((D864+E864)*C864)*'Assumptions and Catalog'!$H$63+'Assumptions and Catalog'!$E$63+'Assumptions and Catalog'!$F$63,IF(((D864+E864)*C864)&lt;='Assumptions and Catalog'!$C$64,((D864+E864)*C864)*'Assumptions and Catalog'!$H$64+'Assumptions and Catalog'!$E$64+'Assumptions and Catalog'!$F$64,IF(((D864+E864)*C864)&lt;='Assumptions and Catalog'!$C$65,((D864+E864)*C864)*'Assumptions and Catalog'!$H$65+'Assumptions and Catalog'!$E$65+'Assumptions and Catalog'!$F$65,"Out of range")))))))))*(1+'Assumptions and Catalog'!$C$8)^(A864-1),0)</f>
        <v>8554.9666666666672</v>
      </c>
      <c r="N864" s="5">
        <f>IF(ISNUMBER(Inputs!$L$5),(IF(Inputs!$L$9="Actual flat rate",L864*Inputs!$L$10,IF(Inputs!$C$9="Residential",IF(L864&lt;='Assumptions and Catalog'!$C$50,L864*'Assumptions and Catalog'!$H$50+'Assumptions and Catalog'!$E$50+'Assumptions and Catalog'!$F$50,IF(L864&lt;='Assumptions and Catalog'!$C$51,L864*'Assumptions and Catalog'!$H$51+'Assumptions and Catalog'!$E$51+'Assumptions and Catalog'!$F$51,IF(L864&lt;='Assumptions and Catalog'!$C$52,L864*'Assumptions and Catalog'!$H$52+'Assumptions and Catalog'!$E$52+'Assumptions and Catalog'!$F$52,IF(L864&lt;='Assumptions and Catalog'!$C$53,L864*'Assumptions and Catalog'!$H$53+'Assumptions and Catalog'!$E$53+'Assumptions and Catalog'!$F$53,IF(L864&lt;='Assumptions and Catalog'!$C$54,L864*'Assumptions and Catalog'!$H$54+'Assumptions and Catalog'!$E$54+'Assumptions and Catalog'!$F$54,IF(L864&lt;='Assumptions and Catalog'!$C$55,L864*'Assumptions and Catalog'!$H$55+'Assumptions and Catalog'!$E$55+'Assumptions and Catalog'!$F$55,IF(L864&lt;='Assumptions and Catalog'!$C$56,L864*'Assumptions and Catalog'!$H$56+'Assumptions and Catalog'!$E$56+'Assumptions and Catalog'!$F$56,IF(L864&lt;='Assumptions and Catalog'!$C$57,L864*'Assumptions and Catalog'!$H$57+'Assumptions and Catalog'!$E$57+'Assumptions and Catalog'!$F$57,"Out of range")))))))),IF(L864&lt;='Assumptions and Catalog'!$C$60,L864*'Assumptions and Catalog'!$H$60+'Assumptions and Catalog'!$E$60+'Assumptions and Catalog'!$F$60,IF(L864&lt;='Assumptions and Catalog'!$C$61,L864*'Assumptions and Catalog'!$H$61+'Assumptions and Catalog'!$E$61+'Assumptions and Catalog'!$F$61,IF(L864&lt;='Assumptions and Catalog'!$C$62,L864*'Assumptions and Catalog'!$H$62+'Assumptions and Catalog'!$E$62+'Assumptions and Catalog'!$F$62,IF(L864&lt;='Assumptions and Catalog'!$C$63,L864*'Assumptions and Catalog'!$H$63+'Assumptions and Catalog'!$E$63+'Assumptions and Catalog'!$F$63,IF(L864&lt;='Assumptions and Catalog'!$C$64,L864*'Assumptions and Catalog'!$H$64+'Assumptions and Catalog'!$E$64+'Assumptions and Catalog'!$F$64,IF(L864&lt;='Assumptions and Catalog'!$C$65,L864*'Assumptions and Catalog'!$H$65+'Assumptions and Catalog'!$E$65+'Assumptions and Catalog'!$F$65,"Out of range")))))))))*(1+'Assumptions and Catalog'!$C$8)^(A864-1),0)</f>
        <v>5875.1436606734005</v>
      </c>
      <c r="O864" s="5">
        <f t="shared" si="63"/>
        <v>2679.8230059932666</v>
      </c>
      <c r="P864" s="5">
        <f>E$55*(1-L$14)*(1-'Assumptions and Catalog'!$C$23)^R864</f>
        <v>90.71025980047358</v>
      </c>
      <c r="Q864" s="5">
        <f>IF(ISNUMBER(Inputs!$L$5),(IF(Inputs!$L$9="Actual flat rate",((D864+E864)*C864-G864)*Inputs!$L$10,IF(Inputs!$C$9="Residential",IF(((D864+E864)*C864-G864)&lt;='Assumptions and Catalog'!$C$50,((D864+E864)*C864-G864)*'Assumptions and Catalog'!$H$50+'Assumptions and Catalog'!$E$50+'Assumptions and Catalog'!$F$50,IF(((D864+E864)*C864-G864)&lt;='Assumptions and Catalog'!$C$51,((D864+E864)*C864-G864)*'Assumptions and Catalog'!$H$51+'Assumptions and Catalog'!$E$51+'Assumptions and Catalog'!$F$51,IF(((D864+E864)*C864-G864)&lt;='Assumptions and Catalog'!$C$52,((D864+E864)*C864-G864)*'Assumptions and Catalog'!$H$52+'Assumptions and Catalog'!$E$52+'Assumptions and Catalog'!$F$52,IF(((D864+E864)*C864-G864)&lt;='Assumptions and Catalog'!$C$53,((D864+E864)*C864-G864)*'Assumptions and Catalog'!$H$53+'Assumptions and Catalog'!$E$53+'Assumptions and Catalog'!$F$53,IF(((D864+E864)*C864-G864)&lt;='Assumptions and Catalog'!$C$54,((D864+E864)*C864-G864)*'Assumptions and Catalog'!$H$54+'Assumptions and Catalog'!$E$54+'Assumptions and Catalog'!$F$54,IF(((D864+E864)*C864-G864)&lt;='Assumptions and Catalog'!$C$55,((D864+E864)*C864-G864)*'Assumptions and Catalog'!$H$55+'Assumptions and Catalog'!$E$55+'Assumptions and Catalog'!$F$55,IF(((D864+E864)*C864-G864)&lt;='Assumptions and Catalog'!$C$56,((D864+E864)*C864-G864)*'Assumptions and Catalog'!$H$56+'Assumptions and Catalog'!$E$56+'Assumptions and Catalog'!$F$56,IF(((D864+E864)*C864-G864)&lt;='Assumptions and Catalog'!$C$57,((D864+E864)*C864-G864)*'Assumptions and Catalog'!$H$57+'Assumptions and Catalog'!$E$57+'Assumptions and Catalog'!$F$57,"Out of range")))))))),IF(((D864+E864)*C864-G864)&lt;='Assumptions and Catalog'!$C$60,((D864+E864)*C864-G864)*'Assumptions and Catalog'!$H$60+'Assumptions and Catalog'!$E$60+'Assumptions and Catalog'!$F$60,IF(((D864+E864)*C864-G864)&lt;='Assumptions and Catalog'!$C$61,((D864+E864)*C864-G864)*'Assumptions and Catalog'!$H$61+'Assumptions and Catalog'!$E$61+'Assumptions and Catalog'!$F$61,IF(((D864+E864)*C864-G864)&lt;='Assumptions and Catalog'!$C$62,((D864+E864)*C864-G864)*'Assumptions and Catalog'!$H$62+'Assumptions and Catalog'!$E$62+'Assumptions and Catalog'!$F$62,IF(((D864+E864)*C864-G864)&lt;='Assumptions and Catalog'!$C$63,((D864+E864)*C864-G864)*'Assumptions and Catalog'!$H$63+'Assumptions and Catalog'!$E$63+'Assumptions and Catalog'!$F$63,IF(((D864+E864)*C864-G864)&lt;='Assumptions and Catalog'!$C$64,((D864+E864)*C864-G864)*'Assumptions and Catalog'!$H$64+'Assumptions and Catalog'!$E$64+'Assumptions and Catalog'!$F$64,IF(((D864+E864)*C864-G864)&lt;='Assumptions and Catalog'!$C$65,((D864+E864)*C864-G864)*'Assumptions and Catalog'!$H$65+'Assumptions and Catalog'!$E$65+'Assumptions and Catalog'!$F$65,"Out of range")))))))))*(1+'Assumptions and Catalog'!$C$8)^(A864-1),0)</f>
        <v>5875.1436606734005</v>
      </c>
      <c r="R864" s="5">
        <f>IF(AND('Assumptions and Catalog'!$C$19&gt;0,A864&gt;='Assumptions and Catalog'!$C$19),A864-'Assumptions and Catalog'!$C$19,A864-1)</f>
        <v>6</v>
      </c>
      <c r="S864" s="5">
        <f>F864+L864-(D864+E864)*C864-J864-K864-IF(E$52&gt;0,'Assumptions and Catalog'!$C$26*C864,0)</f>
        <v>0</v>
      </c>
      <c r="T864" s="5"/>
      <c r="U864" s="5"/>
    </row>
    <row r="865" spans="1:21" ht="23.1" customHeight="1" outlineLevel="1" x14ac:dyDescent="0.2">
      <c r="A865" s="5">
        <v>18</v>
      </c>
      <c r="B865" s="5">
        <v>1</v>
      </c>
      <c r="C865" s="5">
        <f>DAY(DATE('Assumptions and Catalog'!$C$24+A865-1,B865+1,0))</f>
        <v>31</v>
      </c>
      <c r="D865" s="5">
        <f>IF(ISNUMBER(Inputs!$L$5),Inputs!$L$5*Inputs!$L$6,0)</f>
        <v>40.35</v>
      </c>
      <c r="E865" s="5">
        <f>IF(ISNUMBER(Inputs!$L$5),Inputs!$L$5-D865,0)</f>
        <v>40.35</v>
      </c>
      <c r="F865" s="5">
        <f>E$51*'Assumptions and Catalog'!$C$31*C865*(1-'Assumptions and Catalog'!$C$10)^(A865-1)</f>
        <v>779.73333011500802</v>
      </c>
      <c r="G865" s="5">
        <f t="shared" si="60"/>
        <v>779.73333011500802</v>
      </c>
      <c r="H865" s="5">
        <f>I865/('Assumptions and Catalog'!$C$11*'Assumptions and Catalog'!$C$12)</f>
        <v>0</v>
      </c>
      <c r="I865" s="5">
        <f>MIN(E865*C865,P865*'Assumptions and Catalog'!$C$12*C865,(F865-G865)*'Assumptions and Catalog'!$C$11*'Assumptions and Catalog'!$C$12,E$56*'Assumptions and Catalog'!$C$14*'Assumptions and Catalog'!$C$11*'Assumptions and Catalog'!$C$12*C865,E$57*(24-'Assumptions and Catalog'!$C$13)*C865)</f>
        <v>0</v>
      </c>
      <c r="J865" s="5">
        <f t="shared" si="61"/>
        <v>0</v>
      </c>
      <c r="K865" s="5">
        <f t="shared" si="62"/>
        <v>0</v>
      </c>
      <c r="L865" s="5">
        <f>(D865+E865)*C865-G865-I865+0+IF(E$52&gt;0,'Assumptions and Catalog'!$C$26*C865,0)</f>
        <v>1721.9666698849924</v>
      </c>
      <c r="M865" s="5">
        <f>IF(ISNUMBER(Inputs!$L$5),(IF(Inputs!$L$9="Actual flat rate",((D865+E865)*C865)*Inputs!$L$10,IF(Inputs!$C$9="Residential",IF(((D865+E865)*C865)&lt;='Assumptions and Catalog'!$C$50,((D865+E865)*C865)*'Assumptions and Catalog'!$H$50+'Assumptions and Catalog'!$E$50+'Assumptions and Catalog'!$F$50,IF(((D865+E865)*C865)&lt;='Assumptions and Catalog'!$C$51,((D865+E865)*C865)*'Assumptions and Catalog'!$H$51+'Assumptions and Catalog'!$E$51+'Assumptions and Catalog'!$F$51,IF(((D865+E865)*C865)&lt;='Assumptions and Catalog'!$C$52,((D865+E865)*C865)*'Assumptions and Catalog'!$H$52+'Assumptions and Catalog'!$E$52+'Assumptions and Catalog'!$F$52,IF(((D865+E865)*C865)&lt;='Assumptions and Catalog'!$C$53,((D865+E865)*C865)*'Assumptions and Catalog'!$H$53+'Assumptions and Catalog'!$E$53+'Assumptions and Catalog'!$F$53,IF(((D865+E865)*C865)&lt;='Assumptions and Catalog'!$C$54,((D865+E865)*C865)*'Assumptions and Catalog'!$H$54+'Assumptions and Catalog'!$E$54+'Assumptions and Catalog'!$F$54,IF(((D865+E865)*C865)&lt;='Assumptions and Catalog'!$C$55,((D865+E865)*C865)*'Assumptions and Catalog'!$H$55+'Assumptions and Catalog'!$E$55+'Assumptions and Catalog'!$F$55,IF(((D865+E865)*C865)&lt;='Assumptions and Catalog'!$C$56,((D865+E865)*C865)*'Assumptions and Catalog'!$H$56+'Assumptions and Catalog'!$E$56+'Assumptions and Catalog'!$F$56,IF(((D865+E865)*C865)&lt;='Assumptions and Catalog'!$C$57,((D865+E865)*C865)*'Assumptions and Catalog'!$H$57+'Assumptions and Catalog'!$E$57+'Assumptions and Catalog'!$F$57,"Out of range")))))))),IF(((D865+E865)*C865)&lt;='Assumptions and Catalog'!$C$60,((D865+E865)*C865)*'Assumptions and Catalog'!$H$60+'Assumptions and Catalog'!$E$60+'Assumptions and Catalog'!$F$60,IF(((D865+E865)*C865)&lt;='Assumptions and Catalog'!$C$61,((D865+E865)*C865)*'Assumptions and Catalog'!$H$61+'Assumptions and Catalog'!$E$61+'Assumptions and Catalog'!$F$61,IF(((D865+E865)*C865)&lt;='Assumptions and Catalog'!$C$62,((D865+E865)*C865)*'Assumptions and Catalog'!$H$62+'Assumptions and Catalog'!$E$62+'Assumptions and Catalog'!$F$62,IF(((D865+E865)*C865)&lt;='Assumptions and Catalog'!$C$63,((D865+E865)*C865)*'Assumptions and Catalog'!$H$63+'Assumptions and Catalog'!$E$63+'Assumptions and Catalog'!$F$63,IF(((D865+E865)*C865)&lt;='Assumptions and Catalog'!$C$64,((D865+E865)*C865)*'Assumptions and Catalog'!$H$64+'Assumptions and Catalog'!$E$64+'Assumptions and Catalog'!$F$64,IF(((D865+E865)*C865)&lt;='Assumptions and Catalog'!$C$65,((D865+E865)*C865)*'Assumptions and Catalog'!$H$65+'Assumptions and Catalog'!$E$65+'Assumptions and Catalog'!$F$65,"Out of range")))))))))*(1+'Assumptions and Catalog'!$C$8)^(A865-1),0)</f>
        <v>8554.9666666666672</v>
      </c>
      <c r="N865" s="5">
        <f>IF(ISNUMBER(Inputs!$L$5),(IF(Inputs!$L$9="Actual flat rate",L865*Inputs!$L$10,IF(Inputs!$C$9="Residential",IF(L865&lt;='Assumptions and Catalog'!$C$50,L865*'Assumptions and Catalog'!$H$50+'Assumptions and Catalog'!$E$50+'Assumptions and Catalog'!$F$50,IF(L865&lt;='Assumptions and Catalog'!$C$51,L865*'Assumptions and Catalog'!$H$51+'Assumptions and Catalog'!$E$51+'Assumptions and Catalog'!$F$51,IF(L865&lt;='Assumptions and Catalog'!$C$52,L865*'Assumptions and Catalog'!$H$52+'Assumptions and Catalog'!$E$52+'Assumptions and Catalog'!$F$52,IF(L865&lt;='Assumptions and Catalog'!$C$53,L865*'Assumptions and Catalog'!$H$53+'Assumptions and Catalog'!$E$53+'Assumptions and Catalog'!$F$53,IF(L865&lt;='Assumptions and Catalog'!$C$54,L865*'Assumptions and Catalog'!$H$54+'Assumptions and Catalog'!$E$54+'Assumptions and Catalog'!$F$54,IF(L865&lt;='Assumptions and Catalog'!$C$55,L865*'Assumptions and Catalog'!$H$55+'Assumptions and Catalog'!$E$55+'Assumptions and Catalog'!$F$55,IF(L865&lt;='Assumptions and Catalog'!$C$56,L865*'Assumptions and Catalog'!$H$56+'Assumptions and Catalog'!$E$56+'Assumptions and Catalog'!$F$56,IF(L865&lt;='Assumptions and Catalog'!$C$57,L865*'Assumptions and Catalog'!$H$57+'Assumptions and Catalog'!$E$57+'Assumptions and Catalog'!$F$57,"Out of range")))))))),IF(L865&lt;='Assumptions and Catalog'!$C$60,L865*'Assumptions and Catalog'!$H$60+'Assumptions and Catalog'!$E$60+'Assumptions and Catalog'!$F$60,IF(L865&lt;='Assumptions and Catalog'!$C$61,L865*'Assumptions and Catalog'!$H$61+'Assumptions and Catalog'!$E$61+'Assumptions and Catalog'!$F$61,IF(L865&lt;='Assumptions and Catalog'!$C$62,L865*'Assumptions and Catalog'!$H$62+'Assumptions and Catalog'!$E$62+'Assumptions and Catalog'!$F$62,IF(L865&lt;='Assumptions and Catalog'!$C$63,L865*'Assumptions and Catalog'!$H$63+'Assumptions and Catalog'!$E$63+'Assumptions and Catalog'!$F$63,IF(L865&lt;='Assumptions and Catalog'!$C$64,L865*'Assumptions and Catalog'!$H$64+'Assumptions and Catalog'!$E$64+'Assumptions and Catalog'!$F$64,IF(L865&lt;='Assumptions and Catalog'!$C$65,L865*'Assumptions and Catalog'!$H$65+'Assumptions and Catalog'!$E$65+'Assumptions and Catalog'!$F$65,"Out of range")))))))))*(1+'Assumptions and Catalog'!$C$8)^(A865-1),0)</f>
        <v>5888.5427757033667</v>
      </c>
      <c r="O865" s="5">
        <f t="shared" si="63"/>
        <v>2666.4238909633004</v>
      </c>
      <c r="P865" s="5">
        <f>E$55*(1-L$14)*(1-'Assumptions and Catalog'!$C$23)^R865</f>
        <v>88.896054604464112</v>
      </c>
      <c r="Q865" s="5">
        <f>IF(ISNUMBER(Inputs!$L$5),(IF(Inputs!$L$9="Actual flat rate",((D865+E865)*C865-G865)*Inputs!$L$10,IF(Inputs!$C$9="Residential",IF(((D865+E865)*C865-G865)&lt;='Assumptions and Catalog'!$C$50,((D865+E865)*C865-G865)*'Assumptions and Catalog'!$H$50+'Assumptions and Catalog'!$E$50+'Assumptions and Catalog'!$F$50,IF(((D865+E865)*C865-G865)&lt;='Assumptions and Catalog'!$C$51,((D865+E865)*C865-G865)*'Assumptions and Catalog'!$H$51+'Assumptions and Catalog'!$E$51+'Assumptions and Catalog'!$F$51,IF(((D865+E865)*C865-G865)&lt;='Assumptions and Catalog'!$C$52,((D865+E865)*C865-G865)*'Assumptions and Catalog'!$H$52+'Assumptions and Catalog'!$E$52+'Assumptions and Catalog'!$F$52,IF(((D865+E865)*C865-G865)&lt;='Assumptions and Catalog'!$C$53,((D865+E865)*C865-G865)*'Assumptions and Catalog'!$H$53+'Assumptions and Catalog'!$E$53+'Assumptions and Catalog'!$F$53,IF(((D865+E865)*C865-G865)&lt;='Assumptions and Catalog'!$C$54,((D865+E865)*C865-G865)*'Assumptions and Catalog'!$H$54+'Assumptions and Catalog'!$E$54+'Assumptions and Catalog'!$F$54,IF(((D865+E865)*C865-G865)&lt;='Assumptions and Catalog'!$C$55,((D865+E865)*C865-G865)*'Assumptions and Catalog'!$H$55+'Assumptions and Catalog'!$E$55+'Assumptions and Catalog'!$F$55,IF(((D865+E865)*C865-G865)&lt;='Assumptions and Catalog'!$C$56,((D865+E865)*C865-G865)*'Assumptions and Catalog'!$H$56+'Assumptions and Catalog'!$E$56+'Assumptions and Catalog'!$F$56,IF(((D865+E865)*C865-G865)&lt;='Assumptions and Catalog'!$C$57,((D865+E865)*C865-G865)*'Assumptions and Catalog'!$H$57+'Assumptions and Catalog'!$E$57+'Assumptions and Catalog'!$F$57,"Out of range")))))))),IF(((D865+E865)*C865-G865)&lt;='Assumptions and Catalog'!$C$60,((D865+E865)*C865-G865)*'Assumptions and Catalog'!$H$60+'Assumptions and Catalog'!$E$60+'Assumptions and Catalog'!$F$60,IF(((D865+E865)*C865-G865)&lt;='Assumptions and Catalog'!$C$61,((D865+E865)*C865-G865)*'Assumptions and Catalog'!$H$61+'Assumptions and Catalog'!$E$61+'Assumptions and Catalog'!$F$61,IF(((D865+E865)*C865-G865)&lt;='Assumptions and Catalog'!$C$62,((D865+E865)*C865-G865)*'Assumptions and Catalog'!$H$62+'Assumptions and Catalog'!$E$62+'Assumptions and Catalog'!$F$62,IF(((D865+E865)*C865-G865)&lt;='Assumptions and Catalog'!$C$63,((D865+E865)*C865-G865)*'Assumptions and Catalog'!$H$63+'Assumptions and Catalog'!$E$63+'Assumptions and Catalog'!$F$63,IF(((D865+E865)*C865-G865)&lt;='Assumptions and Catalog'!$C$64,((D865+E865)*C865-G865)*'Assumptions and Catalog'!$H$64+'Assumptions and Catalog'!$E$64+'Assumptions and Catalog'!$F$64,IF(((D865+E865)*C865-G865)&lt;='Assumptions and Catalog'!$C$65,((D865+E865)*C865-G865)*'Assumptions and Catalog'!$H$65+'Assumptions and Catalog'!$E$65+'Assumptions and Catalog'!$F$65,"Out of range")))))))))*(1+'Assumptions and Catalog'!$C$8)^(A865-1),0)</f>
        <v>5888.5427757033667</v>
      </c>
      <c r="R865" s="5">
        <f>IF(AND('Assumptions and Catalog'!$C$19&gt;0,A865&gt;='Assumptions and Catalog'!$C$19),A865-'Assumptions and Catalog'!$C$19,A865-1)</f>
        <v>7</v>
      </c>
      <c r="S865" s="5">
        <f>F865+L865-(D865+E865)*C865-J865-K865-IF(E$52&gt;0,'Assumptions and Catalog'!$C$26*C865,0)</f>
        <v>0</v>
      </c>
      <c r="T865" s="5"/>
      <c r="U865" s="5"/>
    </row>
    <row r="866" spans="1:21" ht="23.1" customHeight="1" outlineLevel="1" x14ac:dyDescent="0.2">
      <c r="A866" s="5">
        <v>18</v>
      </c>
      <c r="B866" s="5">
        <v>2</v>
      </c>
      <c r="C866" s="5">
        <f>DAY(DATE('Assumptions and Catalog'!$C$24+A866-1,B866+1,0))</f>
        <v>29</v>
      </c>
      <c r="D866" s="5">
        <f>IF(ISNUMBER(Inputs!$L$5),Inputs!$L$5*Inputs!$L$6,0)</f>
        <v>40.35</v>
      </c>
      <c r="E866" s="5">
        <f>IF(ISNUMBER(Inputs!$L$5),Inputs!$L$5-D866,0)</f>
        <v>40.35</v>
      </c>
      <c r="F866" s="5">
        <f>E$51*'Assumptions and Catalog'!$C$31*C866*(1-'Assumptions and Catalog'!$C$10)^(A866-1)</f>
        <v>729.42795397855593</v>
      </c>
      <c r="G866" s="5">
        <f t="shared" si="60"/>
        <v>729.42795397855593</v>
      </c>
      <c r="H866" s="5">
        <f>I866/('Assumptions and Catalog'!$C$11*'Assumptions and Catalog'!$C$12)</f>
        <v>0</v>
      </c>
      <c r="I866" s="5">
        <f>MIN(E866*C866,P866*'Assumptions and Catalog'!$C$12*C866,(F866-G866)*'Assumptions and Catalog'!$C$11*'Assumptions and Catalog'!$C$12,E$56*'Assumptions and Catalog'!$C$14*'Assumptions and Catalog'!$C$11*'Assumptions and Catalog'!$C$12*C866,E$57*(24-'Assumptions and Catalog'!$C$13)*C866)</f>
        <v>0</v>
      </c>
      <c r="J866" s="5">
        <f t="shared" si="61"/>
        <v>0</v>
      </c>
      <c r="K866" s="5">
        <f t="shared" si="62"/>
        <v>0</v>
      </c>
      <c r="L866" s="5">
        <f>(D866+E866)*C866-G866-I866+0+IF(E$52&gt;0,'Assumptions and Catalog'!$C$26*C866,0)</f>
        <v>1610.8720460214442</v>
      </c>
      <c r="M866" s="5">
        <f>IF(ISNUMBER(Inputs!$L$5),(IF(Inputs!$L$9="Actual flat rate",((D866+E866)*C866)*Inputs!$L$10,IF(Inputs!$C$9="Residential",IF(((D866+E866)*C866)&lt;='Assumptions and Catalog'!$C$50,((D866+E866)*C866)*'Assumptions and Catalog'!$H$50+'Assumptions and Catalog'!$E$50+'Assumptions and Catalog'!$F$50,IF(((D866+E866)*C866)&lt;='Assumptions and Catalog'!$C$51,((D866+E866)*C866)*'Assumptions and Catalog'!$H$51+'Assumptions and Catalog'!$E$51+'Assumptions and Catalog'!$F$51,IF(((D866+E866)*C866)&lt;='Assumptions and Catalog'!$C$52,((D866+E866)*C866)*'Assumptions and Catalog'!$H$52+'Assumptions and Catalog'!$E$52+'Assumptions and Catalog'!$F$52,IF(((D866+E866)*C866)&lt;='Assumptions and Catalog'!$C$53,((D866+E866)*C866)*'Assumptions and Catalog'!$H$53+'Assumptions and Catalog'!$E$53+'Assumptions and Catalog'!$F$53,IF(((D866+E866)*C866)&lt;='Assumptions and Catalog'!$C$54,((D866+E866)*C866)*'Assumptions and Catalog'!$H$54+'Assumptions and Catalog'!$E$54+'Assumptions and Catalog'!$F$54,IF(((D866+E866)*C866)&lt;='Assumptions and Catalog'!$C$55,((D866+E866)*C866)*'Assumptions and Catalog'!$H$55+'Assumptions and Catalog'!$E$55+'Assumptions and Catalog'!$F$55,IF(((D866+E866)*C866)&lt;='Assumptions and Catalog'!$C$56,((D866+E866)*C866)*'Assumptions and Catalog'!$H$56+'Assumptions and Catalog'!$E$56+'Assumptions and Catalog'!$F$56,IF(((D866+E866)*C866)&lt;='Assumptions and Catalog'!$C$57,((D866+E866)*C866)*'Assumptions and Catalog'!$H$57+'Assumptions and Catalog'!$E$57+'Assumptions and Catalog'!$F$57,"Out of range")))))))),IF(((D866+E866)*C866)&lt;='Assumptions and Catalog'!$C$60,((D866+E866)*C866)*'Assumptions and Catalog'!$H$60+'Assumptions and Catalog'!$E$60+'Assumptions and Catalog'!$F$60,IF(((D866+E866)*C866)&lt;='Assumptions and Catalog'!$C$61,((D866+E866)*C866)*'Assumptions and Catalog'!$H$61+'Assumptions and Catalog'!$E$61+'Assumptions and Catalog'!$F$61,IF(((D866+E866)*C866)&lt;='Assumptions and Catalog'!$C$62,((D866+E866)*C866)*'Assumptions and Catalog'!$H$62+'Assumptions and Catalog'!$E$62+'Assumptions and Catalog'!$F$62,IF(((D866+E866)*C866)&lt;='Assumptions and Catalog'!$C$63,((D866+E866)*C866)*'Assumptions and Catalog'!$H$63+'Assumptions and Catalog'!$E$63+'Assumptions and Catalog'!$F$63,IF(((D866+E866)*C866)&lt;='Assumptions and Catalog'!$C$64,((D866+E866)*C866)*'Assumptions and Catalog'!$H$64+'Assumptions and Catalog'!$E$64+'Assumptions and Catalog'!$F$64,IF(((D866+E866)*C866)&lt;='Assumptions and Catalog'!$C$65,((D866+E866)*C866)*'Assumptions and Catalog'!$H$65+'Assumptions and Catalog'!$E$65+'Assumptions and Catalog'!$F$65,"Out of range")))))))))*(1+'Assumptions and Catalog'!$C$8)^(A866-1),0)</f>
        <v>8003.0333333333338</v>
      </c>
      <c r="N866" s="5">
        <f>IF(ISNUMBER(Inputs!$L$5),(IF(Inputs!$L$9="Actual flat rate",L866*Inputs!$L$10,IF(Inputs!$C$9="Residential",IF(L866&lt;='Assumptions and Catalog'!$C$50,L866*'Assumptions and Catalog'!$H$50+'Assumptions and Catalog'!$E$50+'Assumptions and Catalog'!$F$50,IF(L866&lt;='Assumptions and Catalog'!$C$51,L866*'Assumptions and Catalog'!$H$51+'Assumptions and Catalog'!$E$51+'Assumptions and Catalog'!$F$51,IF(L866&lt;='Assumptions and Catalog'!$C$52,L866*'Assumptions and Catalog'!$H$52+'Assumptions and Catalog'!$E$52+'Assumptions and Catalog'!$F$52,IF(L866&lt;='Assumptions and Catalog'!$C$53,L866*'Assumptions and Catalog'!$H$53+'Assumptions and Catalog'!$E$53+'Assumptions and Catalog'!$F$53,IF(L866&lt;='Assumptions and Catalog'!$C$54,L866*'Assumptions and Catalog'!$H$54+'Assumptions and Catalog'!$E$54+'Assumptions and Catalog'!$F$54,IF(L866&lt;='Assumptions and Catalog'!$C$55,L866*'Assumptions and Catalog'!$H$55+'Assumptions and Catalog'!$E$55+'Assumptions and Catalog'!$F$55,IF(L866&lt;='Assumptions and Catalog'!$C$56,L866*'Assumptions and Catalog'!$H$56+'Assumptions and Catalog'!$E$56+'Assumptions and Catalog'!$F$56,IF(L866&lt;='Assumptions and Catalog'!$C$57,L866*'Assumptions and Catalog'!$H$57+'Assumptions and Catalog'!$E$57+'Assumptions and Catalog'!$F$57,"Out of range")))))))),IF(L866&lt;='Assumptions and Catalog'!$C$60,L866*'Assumptions and Catalog'!$H$60+'Assumptions and Catalog'!$E$60+'Assumptions and Catalog'!$F$60,IF(L866&lt;='Assumptions and Catalog'!$C$61,L866*'Assumptions and Catalog'!$H$61+'Assumptions and Catalog'!$E$61+'Assumptions and Catalog'!$F$61,IF(L866&lt;='Assumptions and Catalog'!$C$62,L866*'Assumptions and Catalog'!$H$62+'Assumptions and Catalog'!$E$62+'Assumptions and Catalog'!$F$62,IF(L866&lt;='Assumptions and Catalog'!$C$63,L866*'Assumptions and Catalog'!$H$63+'Assumptions and Catalog'!$E$63+'Assumptions and Catalog'!$F$63,IF(L866&lt;='Assumptions and Catalog'!$C$64,L866*'Assumptions and Catalog'!$H$64+'Assumptions and Catalog'!$E$64+'Assumptions and Catalog'!$F$64,IF(L866&lt;='Assumptions and Catalog'!$C$65,L866*'Assumptions and Catalog'!$H$65+'Assumptions and Catalog'!$E$65+'Assumptions and Catalog'!$F$65,"Out of range")))))))))*(1+'Assumptions and Catalog'!$C$8)^(A866-1),0)</f>
        <v>5508.6367901741169</v>
      </c>
      <c r="O866" s="5">
        <f t="shared" si="63"/>
        <v>2494.3965431592169</v>
      </c>
      <c r="P866" s="5">
        <f>E$55*(1-L$14)*(1-'Assumptions and Catalog'!$C$23)^R866</f>
        <v>88.896054604464112</v>
      </c>
      <c r="Q866" s="5">
        <f>IF(ISNUMBER(Inputs!$L$5),(IF(Inputs!$L$9="Actual flat rate",((D866+E866)*C866-G866)*Inputs!$L$10,IF(Inputs!$C$9="Residential",IF(((D866+E866)*C866-G866)&lt;='Assumptions and Catalog'!$C$50,((D866+E866)*C866-G866)*'Assumptions and Catalog'!$H$50+'Assumptions and Catalog'!$E$50+'Assumptions and Catalog'!$F$50,IF(((D866+E866)*C866-G866)&lt;='Assumptions and Catalog'!$C$51,((D866+E866)*C866-G866)*'Assumptions and Catalog'!$H$51+'Assumptions and Catalog'!$E$51+'Assumptions and Catalog'!$F$51,IF(((D866+E866)*C866-G866)&lt;='Assumptions and Catalog'!$C$52,((D866+E866)*C866-G866)*'Assumptions and Catalog'!$H$52+'Assumptions and Catalog'!$E$52+'Assumptions and Catalog'!$F$52,IF(((D866+E866)*C866-G866)&lt;='Assumptions and Catalog'!$C$53,((D866+E866)*C866-G866)*'Assumptions and Catalog'!$H$53+'Assumptions and Catalog'!$E$53+'Assumptions and Catalog'!$F$53,IF(((D866+E866)*C866-G866)&lt;='Assumptions and Catalog'!$C$54,((D866+E866)*C866-G866)*'Assumptions and Catalog'!$H$54+'Assumptions and Catalog'!$E$54+'Assumptions and Catalog'!$F$54,IF(((D866+E866)*C866-G866)&lt;='Assumptions and Catalog'!$C$55,((D866+E866)*C866-G866)*'Assumptions and Catalog'!$H$55+'Assumptions and Catalog'!$E$55+'Assumptions and Catalog'!$F$55,IF(((D866+E866)*C866-G866)&lt;='Assumptions and Catalog'!$C$56,((D866+E866)*C866-G866)*'Assumptions and Catalog'!$H$56+'Assumptions and Catalog'!$E$56+'Assumptions and Catalog'!$F$56,IF(((D866+E866)*C866-G866)&lt;='Assumptions and Catalog'!$C$57,((D866+E866)*C866-G866)*'Assumptions and Catalog'!$H$57+'Assumptions and Catalog'!$E$57+'Assumptions and Catalog'!$F$57,"Out of range")))))))),IF(((D866+E866)*C866-G866)&lt;='Assumptions and Catalog'!$C$60,((D866+E866)*C866-G866)*'Assumptions and Catalog'!$H$60+'Assumptions and Catalog'!$E$60+'Assumptions and Catalog'!$F$60,IF(((D866+E866)*C866-G866)&lt;='Assumptions and Catalog'!$C$61,((D866+E866)*C866-G866)*'Assumptions and Catalog'!$H$61+'Assumptions and Catalog'!$E$61+'Assumptions and Catalog'!$F$61,IF(((D866+E866)*C866-G866)&lt;='Assumptions and Catalog'!$C$62,((D866+E866)*C866-G866)*'Assumptions and Catalog'!$H$62+'Assumptions and Catalog'!$E$62+'Assumptions and Catalog'!$F$62,IF(((D866+E866)*C866-G866)&lt;='Assumptions and Catalog'!$C$63,((D866+E866)*C866-G866)*'Assumptions and Catalog'!$H$63+'Assumptions and Catalog'!$E$63+'Assumptions and Catalog'!$F$63,IF(((D866+E866)*C866-G866)&lt;='Assumptions and Catalog'!$C$64,((D866+E866)*C866-G866)*'Assumptions and Catalog'!$H$64+'Assumptions and Catalog'!$E$64+'Assumptions and Catalog'!$F$64,IF(((D866+E866)*C866-G866)&lt;='Assumptions and Catalog'!$C$65,((D866+E866)*C866-G866)*'Assumptions and Catalog'!$H$65+'Assumptions and Catalog'!$E$65+'Assumptions and Catalog'!$F$65,"Out of range")))))))))*(1+'Assumptions and Catalog'!$C$8)^(A866-1),0)</f>
        <v>5508.6367901741169</v>
      </c>
      <c r="R866" s="5">
        <f>IF(AND('Assumptions and Catalog'!$C$19&gt;0,A866&gt;='Assumptions and Catalog'!$C$19),A866-'Assumptions and Catalog'!$C$19,A866-1)</f>
        <v>7</v>
      </c>
      <c r="S866" s="5">
        <f>F866+L866-(D866+E866)*C866-J866-K866-IF(E$52&gt;0,'Assumptions and Catalog'!$C$26*C866,0)</f>
        <v>0</v>
      </c>
      <c r="T866" s="5"/>
      <c r="U866" s="5"/>
    </row>
    <row r="867" spans="1:21" ht="23.1" customHeight="1" outlineLevel="1" x14ac:dyDescent="0.2">
      <c r="A867" s="5">
        <v>18</v>
      </c>
      <c r="B867" s="5">
        <v>3</v>
      </c>
      <c r="C867" s="5">
        <f>DAY(DATE('Assumptions and Catalog'!$C$24+A867-1,B867+1,0))</f>
        <v>31</v>
      </c>
      <c r="D867" s="5">
        <f>IF(ISNUMBER(Inputs!$L$5),Inputs!$L$5*Inputs!$L$6,0)</f>
        <v>40.35</v>
      </c>
      <c r="E867" s="5">
        <f>IF(ISNUMBER(Inputs!$L$5),Inputs!$L$5-D867,0)</f>
        <v>40.35</v>
      </c>
      <c r="F867" s="5">
        <f>E$51*'Assumptions and Catalog'!$C$31*C867*(1-'Assumptions and Catalog'!$C$10)^(A867-1)</f>
        <v>779.73333011500802</v>
      </c>
      <c r="G867" s="5">
        <f t="shared" si="60"/>
        <v>779.73333011500802</v>
      </c>
      <c r="H867" s="5">
        <f>I867/('Assumptions and Catalog'!$C$11*'Assumptions and Catalog'!$C$12)</f>
        <v>0</v>
      </c>
      <c r="I867" s="5">
        <f>MIN(E867*C867,P867*'Assumptions and Catalog'!$C$12*C867,(F867-G867)*'Assumptions and Catalog'!$C$11*'Assumptions and Catalog'!$C$12,E$56*'Assumptions and Catalog'!$C$14*'Assumptions and Catalog'!$C$11*'Assumptions and Catalog'!$C$12*C867,E$57*(24-'Assumptions and Catalog'!$C$13)*C867)</f>
        <v>0</v>
      </c>
      <c r="J867" s="5">
        <f t="shared" si="61"/>
        <v>0</v>
      </c>
      <c r="K867" s="5">
        <f t="shared" si="62"/>
        <v>0</v>
      </c>
      <c r="L867" s="5">
        <f>(D867+E867)*C867-G867-I867+0+IF(E$52&gt;0,'Assumptions and Catalog'!$C$26*C867,0)</f>
        <v>1721.9666698849924</v>
      </c>
      <c r="M867" s="5">
        <f>IF(ISNUMBER(Inputs!$L$5),(IF(Inputs!$L$9="Actual flat rate",((D867+E867)*C867)*Inputs!$L$10,IF(Inputs!$C$9="Residential",IF(((D867+E867)*C867)&lt;='Assumptions and Catalog'!$C$50,((D867+E867)*C867)*'Assumptions and Catalog'!$H$50+'Assumptions and Catalog'!$E$50+'Assumptions and Catalog'!$F$50,IF(((D867+E867)*C867)&lt;='Assumptions and Catalog'!$C$51,((D867+E867)*C867)*'Assumptions and Catalog'!$H$51+'Assumptions and Catalog'!$E$51+'Assumptions and Catalog'!$F$51,IF(((D867+E867)*C867)&lt;='Assumptions and Catalog'!$C$52,((D867+E867)*C867)*'Assumptions and Catalog'!$H$52+'Assumptions and Catalog'!$E$52+'Assumptions and Catalog'!$F$52,IF(((D867+E867)*C867)&lt;='Assumptions and Catalog'!$C$53,((D867+E867)*C867)*'Assumptions and Catalog'!$H$53+'Assumptions and Catalog'!$E$53+'Assumptions and Catalog'!$F$53,IF(((D867+E867)*C867)&lt;='Assumptions and Catalog'!$C$54,((D867+E867)*C867)*'Assumptions and Catalog'!$H$54+'Assumptions and Catalog'!$E$54+'Assumptions and Catalog'!$F$54,IF(((D867+E867)*C867)&lt;='Assumptions and Catalog'!$C$55,((D867+E867)*C867)*'Assumptions and Catalog'!$H$55+'Assumptions and Catalog'!$E$55+'Assumptions and Catalog'!$F$55,IF(((D867+E867)*C867)&lt;='Assumptions and Catalog'!$C$56,((D867+E867)*C867)*'Assumptions and Catalog'!$H$56+'Assumptions and Catalog'!$E$56+'Assumptions and Catalog'!$F$56,IF(((D867+E867)*C867)&lt;='Assumptions and Catalog'!$C$57,((D867+E867)*C867)*'Assumptions and Catalog'!$H$57+'Assumptions and Catalog'!$E$57+'Assumptions and Catalog'!$F$57,"Out of range")))))))),IF(((D867+E867)*C867)&lt;='Assumptions and Catalog'!$C$60,((D867+E867)*C867)*'Assumptions and Catalog'!$H$60+'Assumptions and Catalog'!$E$60+'Assumptions and Catalog'!$F$60,IF(((D867+E867)*C867)&lt;='Assumptions and Catalog'!$C$61,((D867+E867)*C867)*'Assumptions and Catalog'!$H$61+'Assumptions and Catalog'!$E$61+'Assumptions and Catalog'!$F$61,IF(((D867+E867)*C867)&lt;='Assumptions and Catalog'!$C$62,((D867+E867)*C867)*'Assumptions and Catalog'!$H$62+'Assumptions and Catalog'!$E$62+'Assumptions and Catalog'!$F$62,IF(((D867+E867)*C867)&lt;='Assumptions and Catalog'!$C$63,((D867+E867)*C867)*'Assumptions and Catalog'!$H$63+'Assumptions and Catalog'!$E$63+'Assumptions and Catalog'!$F$63,IF(((D867+E867)*C867)&lt;='Assumptions and Catalog'!$C$64,((D867+E867)*C867)*'Assumptions and Catalog'!$H$64+'Assumptions and Catalog'!$E$64+'Assumptions and Catalog'!$F$64,IF(((D867+E867)*C867)&lt;='Assumptions and Catalog'!$C$65,((D867+E867)*C867)*'Assumptions and Catalog'!$H$65+'Assumptions and Catalog'!$E$65+'Assumptions and Catalog'!$F$65,"Out of range")))))))))*(1+'Assumptions and Catalog'!$C$8)^(A867-1),0)</f>
        <v>8554.9666666666672</v>
      </c>
      <c r="N867" s="5">
        <f>IF(ISNUMBER(Inputs!$L$5),(IF(Inputs!$L$9="Actual flat rate",L867*Inputs!$L$10,IF(Inputs!$C$9="Residential",IF(L867&lt;='Assumptions and Catalog'!$C$50,L867*'Assumptions and Catalog'!$H$50+'Assumptions and Catalog'!$E$50+'Assumptions and Catalog'!$F$50,IF(L867&lt;='Assumptions and Catalog'!$C$51,L867*'Assumptions and Catalog'!$H$51+'Assumptions and Catalog'!$E$51+'Assumptions and Catalog'!$F$51,IF(L867&lt;='Assumptions and Catalog'!$C$52,L867*'Assumptions and Catalog'!$H$52+'Assumptions and Catalog'!$E$52+'Assumptions and Catalog'!$F$52,IF(L867&lt;='Assumptions and Catalog'!$C$53,L867*'Assumptions and Catalog'!$H$53+'Assumptions and Catalog'!$E$53+'Assumptions and Catalog'!$F$53,IF(L867&lt;='Assumptions and Catalog'!$C$54,L867*'Assumptions and Catalog'!$H$54+'Assumptions and Catalog'!$E$54+'Assumptions and Catalog'!$F$54,IF(L867&lt;='Assumptions and Catalog'!$C$55,L867*'Assumptions and Catalog'!$H$55+'Assumptions and Catalog'!$E$55+'Assumptions and Catalog'!$F$55,IF(L867&lt;='Assumptions and Catalog'!$C$56,L867*'Assumptions and Catalog'!$H$56+'Assumptions and Catalog'!$E$56+'Assumptions and Catalog'!$F$56,IF(L867&lt;='Assumptions and Catalog'!$C$57,L867*'Assumptions and Catalog'!$H$57+'Assumptions and Catalog'!$E$57+'Assumptions and Catalog'!$F$57,"Out of range")))))))),IF(L867&lt;='Assumptions and Catalog'!$C$60,L867*'Assumptions and Catalog'!$H$60+'Assumptions and Catalog'!$E$60+'Assumptions and Catalog'!$F$60,IF(L867&lt;='Assumptions and Catalog'!$C$61,L867*'Assumptions and Catalog'!$H$61+'Assumptions and Catalog'!$E$61+'Assumptions and Catalog'!$F$61,IF(L867&lt;='Assumptions and Catalog'!$C$62,L867*'Assumptions and Catalog'!$H$62+'Assumptions and Catalog'!$E$62+'Assumptions and Catalog'!$F$62,IF(L867&lt;='Assumptions and Catalog'!$C$63,L867*'Assumptions and Catalog'!$H$63+'Assumptions and Catalog'!$E$63+'Assumptions and Catalog'!$F$63,IF(L867&lt;='Assumptions and Catalog'!$C$64,L867*'Assumptions and Catalog'!$H$64+'Assumptions and Catalog'!$E$64+'Assumptions and Catalog'!$F$64,IF(L867&lt;='Assumptions and Catalog'!$C$65,L867*'Assumptions and Catalog'!$H$65+'Assumptions and Catalog'!$E$65+'Assumptions and Catalog'!$F$65,"Out of range")))))))))*(1+'Assumptions and Catalog'!$C$8)^(A867-1),0)</f>
        <v>5888.5427757033667</v>
      </c>
      <c r="O867" s="5">
        <f t="shared" si="63"/>
        <v>2666.4238909633004</v>
      </c>
      <c r="P867" s="5">
        <f>E$55*(1-L$14)*(1-'Assumptions and Catalog'!$C$23)^R867</f>
        <v>88.896054604464112</v>
      </c>
      <c r="Q867" s="5">
        <f>IF(ISNUMBER(Inputs!$L$5),(IF(Inputs!$L$9="Actual flat rate",((D867+E867)*C867-G867)*Inputs!$L$10,IF(Inputs!$C$9="Residential",IF(((D867+E867)*C867-G867)&lt;='Assumptions and Catalog'!$C$50,((D867+E867)*C867-G867)*'Assumptions and Catalog'!$H$50+'Assumptions and Catalog'!$E$50+'Assumptions and Catalog'!$F$50,IF(((D867+E867)*C867-G867)&lt;='Assumptions and Catalog'!$C$51,((D867+E867)*C867-G867)*'Assumptions and Catalog'!$H$51+'Assumptions and Catalog'!$E$51+'Assumptions and Catalog'!$F$51,IF(((D867+E867)*C867-G867)&lt;='Assumptions and Catalog'!$C$52,((D867+E867)*C867-G867)*'Assumptions and Catalog'!$H$52+'Assumptions and Catalog'!$E$52+'Assumptions and Catalog'!$F$52,IF(((D867+E867)*C867-G867)&lt;='Assumptions and Catalog'!$C$53,((D867+E867)*C867-G867)*'Assumptions and Catalog'!$H$53+'Assumptions and Catalog'!$E$53+'Assumptions and Catalog'!$F$53,IF(((D867+E867)*C867-G867)&lt;='Assumptions and Catalog'!$C$54,((D867+E867)*C867-G867)*'Assumptions and Catalog'!$H$54+'Assumptions and Catalog'!$E$54+'Assumptions and Catalog'!$F$54,IF(((D867+E867)*C867-G867)&lt;='Assumptions and Catalog'!$C$55,((D867+E867)*C867-G867)*'Assumptions and Catalog'!$H$55+'Assumptions and Catalog'!$E$55+'Assumptions and Catalog'!$F$55,IF(((D867+E867)*C867-G867)&lt;='Assumptions and Catalog'!$C$56,((D867+E867)*C867-G867)*'Assumptions and Catalog'!$H$56+'Assumptions and Catalog'!$E$56+'Assumptions and Catalog'!$F$56,IF(((D867+E867)*C867-G867)&lt;='Assumptions and Catalog'!$C$57,((D867+E867)*C867-G867)*'Assumptions and Catalog'!$H$57+'Assumptions and Catalog'!$E$57+'Assumptions and Catalog'!$F$57,"Out of range")))))))),IF(((D867+E867)*C867-G867)&lt;='Assumptions and Catalog'!$C$60,((D867+E867)*C867-G867)*'Assumptions and Catalog'!$H$60+'Assumptions and Catalog'!$E$60+'Assumptions and Catalog'!$F$60,IF(((D867+E867)*C867-G867)&lt;='Assumptions and Catalog'!$C$61,((D867+E867)*C867-G867)*'Assumptions and Catalog'!$H$61+'Assumptions and Catalog'!$E$61+'Assumptions and Catalog'!$F$61,IF(((D867+E867)*C867-G867)&lt;='Assumptions and Catalog'!$C$62,((D867+E867)*C867-G867)*'Assumptions and Catalog'!$H$62+'Assumptions and Catalog'!$E$62+'Assumptions and Catalog'!$F$62,IF(((D867+E867)*C867-G867)&lt;='Assumptions and Catalog'!$C$63,((D867+E867)*C867-G867)*'Assumptions and Catalog'!$H$63+'Assumptions and Catalog'!$E$63+'Assumptions and Catalog'!$F$63,IF(((D867+E867)*C867-G867)&lt;='Assumptions and Catalog'!$C$64,((D867+E867)*C867-G867)*'Assumptions and Catalog'!$H$64+'Assumptions and Catalog'!$E$64+'Assumptions and Catalog'!$F$64,IF(((D867+E867)*C867-G867)&lt;='Assumptions and Catalog'!$C$65,((D867+E867)*C867-G867)*'Assumptions and Catalog'!$H$65+'Assumptions and Catalog'!$E$65+'Assumptions and Catalog'!$F$65,"Out of range")))))))))*(1+'Assumptions and Catalog'!$C$8)^(A867-1),0)</f>
        <v>5888.5427757033667</v>
      </c>
      <c r="R867" s="5">
        <f>IF(AND('Assumptions and Catalog'!$C$19&gt;0,A867&gt;='Assumptions and Catalog'!$C$19),A867-'Assumptions and Catalog'!$C$19,A867-1)</f>
        <v>7</v>
      </c>
      <c r="S867" s="5">
        <f>F867+L867-(D867+E867)*C867-J867-K867-IF(E$52&gt;0,'Assumptions and Catalog'!$C$26*C867,0)</f>
        <v>0</v>
      </c>
      <c r="T867" s="5"/>
      <c r="U867" s="5"/>
    </row>
    <row r="868" spans="1:21" ht="23.1" customHeight="1" outlineLevel="1" x14ac:dyDescent="0.2">
      <c r="A868" s="5">
        <v>18</v>
      </c>
      <c r="B868" s="5">
        <v>4</v>
      </c>
      <c r="C868" s="5">
        <f>DAY(DATE('Assumptions and Catalog'!$C$24+A868-1,B868+1,0))</f>
        <v>30</v>
      </c>
      <c r="D868" s="5">
        <f>IF(ISNUMBER(Inputs!$L$5),Inputs!$L$5*Inputs!$L$6,0)</f>
        <v>40.35</v>
      </c>
      <c r="E868" s="5">
        <f>IF(ISNUMBER(Inputs!$L$5),Inputs!$L$5-D868,0)</f>
        <v>40.35</v>
      </c>
      <c r="F868" s="5">
        <f>E$51*'Assumptions and Catalog'!$C$31*C868*(1-'Assumptions and Catalog'!$C$10)^(A868-1)</f>
        <v>754.58064204678192</v>
      </c>
      <c r="G868" s="5">
        <f t="shared" si="60"/>
        <v>754.58064204678192</v>
      </c>
      <c r="H868" s="5">
        <f>I868/('Assumptions and Catalog'!$C$11*'Assumptions and Catalog'!$C$12)</f>
        <v>0</v>
      </c>
      <c r="I868" s="5">
        <f>MIN(E868*C868,P868*'Assumptions and Catalog'!$C$12*C868,(F868-G868)*'Assumptions and Catalog'!$C$11*'Assumptions and Catalog'!$C$12,E$56*'Assumptions and Catalog'!$C$14*'Assumptions and Catalog'!$C$11*'Assumptions and Catalog'!$C$12*C868,E$57*(24-'Assumptions and Catalog'!$C$13)*C868)</f>
        <v>0</v>
      </c>
      <c r="J868" s="5">
        <f t="shared" si="61"/>
        <v>0</v>
      </c>
      <c r="K868" s="5">
        <f t="shared" si="62"/>
        <v>0</v>
      </c>
      <c r="L868" s="5">
        <f>(D868+E868)*C868-G868-I868+0+IF(E$52&gt;0,'Assumptions and Catalog'!$C$26*C868,0)</f>
        <v>1666.419357953218</v>
      </c>
      <c r="M868" s="5">
        <f>IF(ISNUMBER(Inputs!$L$5),(IF(Inputs!$L$9="Actual flat rate",((D868+E868)*C868)*Inputs!$L$10,IF(Inputs!$C$9="Residential",IF(((D868+E868)*C868)&lt;='Assumptions and Catalog'!$C$50,((D868+E868)*C868)*'Assumptions and Catalog'!$H$50+'Assumptions and Catalog'!$E$50+'Assumptions and Catalog'!$F$50,IF(((D868+E868)*C868)&lt;='Assumptions and Catalog'!$C$51,((D868+E868)*C868)*'Assumptions and Catalog'!$H$51+'Assumptions and Catalog'!$E$51+'Assumptions and Catalog'!$F$51,IF(((D868+E868)*C868)&lt;='Assumptions and Catalog'!$C$52,((D868+E868)*C868)*'Assumptions and Catalog'!$H$52+'Assumptions and Catalog'!$E$52+'Assumptions and Catalog'!$F$52,IF(((D868+E868)*C868)&lt;='Assumptions and Catalog'!$C$53,((D868+E868)*C868)*'Assumptions and Catalog'!$H$53+'Assumptions and Catalog'!$E$53+'Assumptions and Catalog'!$F$53,IF(((D868+E868)*C868)&lt;='Assumptions and Catalog'!$C$54,((D868+E868)*C868)*'Assumptions and Catalog'!$H$54+'Assumptions and Catalog'!$E$54+'Assumptions and Catalog'!$F$54,IF(((D868+E868)*C868)&lt;='Assumptions and Catalog'!$C$55,((D868+E868)*C868)*'Assumptions and Catalog'!$H$55+'Assumptions and Catalog'!$E$55+'Assumptions and Catalog'!$F$55,IF(((D868+E868)*C868)&lt;='Assumptions and Catalog'!$C$56,((D868+E868)*C868)*'Assumptions and Catalog'!$H$56+'Assumptions and Catalog'!$E$56+'Assumptions and Catalog'!$F$56,IF(((D868+E868)*C868)&lt;='Assumptions and Catalog'!$C$57,((D868+E868)*C868)*'Assumptions and Catalog'!$H$57+'Assumptions and Catalog'!$E$57+'Assumptions and Catalog'!$F$57,"Out of range")))))))),IF(((D868+E868)*C868)&lt;='Assumptions and Catalog'!$C$60,((D868+E868)*C868)*'Assumptions and Catalog'!$H$60+'Assumptions and Catalog'!$E$60+'Assumptions and Catalog'!$F$60,IF(((D868+E868)*C868)&lt;='Assumptions and Catalog'!$C$61,((D868+E868)*C868)*'Assumptions and Catalog'!$H$61+'Assumptions and Catalog'!$E$61+'Assumptions and Catalog'!$F$61,IF(((D868+E868)*C868)&lt;='Assumptions and Catalog'!$C$62,((D868+E868)*C868)*'Assumptions and Catalog'!$H$62+'Assumptions and Catalog'!$E$62+'Assumptions and Catalog'!$F$62,IF(((D868+E868)*C868)&lt;='Assumptions and Catalog'!$C$63,((D868+E868)*C868)*'Assumptions and Catalog'!$H$63+'Assumptions and Catalog'!$E$63+'Assumptions and Catalog'!$F$63,IF(((D868+E868)*C868)&lt;='Assumptions and Catalog'!$C$64,((D868+E868)*C868)*'Assumptions and Catalog'!$H$64+'Assumptions and Catalog'!$E$64+'Assumptions and Catalog'!$F$64,IF(((D868+E868)*C868)&lt;='Assumptions and Catalog'!$C$65,((D868+E868)*C868)*'Assumptions and Catalog'!$H$65+'Assumptions and Catalog'!$E$65+'Assumptions and Catalog'!$F$65,"Out of range")))))))))*(1+'Assumptions and Catalog'!$C$8)^(A868-1),0)</f>
        <v>8279</v>
      </c>
      <c r="N868" s="5">
        <f>IF(ISNUMBER(Inputs!$L$5),(IF(Inputs!$L$9="Actual flat rate",L868*Inputs!$L$10,IF(Inputs!$C$9="Residential",IF(L868&lt;='Assumptions and Catalog'!$C$50,L868*'Assumptions and Catalog'!$H$50+'Assumptions and Catalog'!$E$50+'Assumptions and Catalog'!$F$50,IF(L868&lt;='Assumptions and Catalog'!$C$51,L868*'Assumptions and Catalog'!$H$51+'Assumptions and Catalog'!$E$51+'Assumptions and Catalog'!$F$51,IF(L868&lt;='Assumptions and Catalog'!$C$52,L868*'Assumptions and Catalog'!$H$52+'Assumptions and Catalog'!$E$52+'Assumptions and Catalog'!$F$52,IF(L868&lt;='Assumptions and Catalog'!$C$53,L868*'Assumptions and Catalog'!$H$53+'Assumptions and Catalog'!$E$53+'Assumptions and Catalog'!$F$53,IF(L868&lt;='Assumptions and Catalog'!$C$54,L868*'Assumptions and Catalog'!$H$54+'Assumptions and Catalog'!$E$54+'Assumptions and Catalog'!$F$54,IF(L868&lt;='Assumptions and Catalog'!$C$55,L868*'Assumptions and Catalog'!$H$55+'Assumptions and Catalog'!$E$55+'Assumptions and Catalog'!$F$55,IF(L868&lt;='Assumptions and Catalog'!$C$56,L868*'Assumptions and Catalog'!$H$56+'Assumptions and Catalog'!$E$56+'Assumptions and Catalog'!$F$56,IF(L868&lt;='Assumptions and Catalog'!$C$57,L868*'Assumptions and Catalog'!$H$57+'Assumptions and Catalog'!$E$57+'Assumptions and Catalog'!$F$57,"Out of range")))))))),IF(L868&lt;='Assumptions and Catalog'!$C$60,L868*'Assumptions and Catalog'!$H$60+'Assumptions and Catalog'!$E$60+'Assumptions and Catalog'!$F$60,IF(L868&lt;='Assumptions and Catalog'!$C$61,L868*'Assumptions and Catalog'!$H$61+'Assumptions and Catalog'!$E$61+'Assumptions and Catalog'!$F$61,IF(L868&lt;='Assumptions and Catalog'!$C$62,L868*'Assumptions and Catalog'!$H$62+'Assumptions and Catalog'!$E$62+'Assumptions and Catalog'!$F$62,IF(L868&lt;='Assumptions and Catalog'!$C$63,L868*'Assumptions and Catalog'!$H$63+'Assumptions and Catalog'!$E$63+'Assumptions and Catalog'!$F$63,IF(L868&lt;='Assumptions and Catalog'!$C$64,L868*'Assumptions and Catalog'!$H$64+'Assumptions and Catalog'!$E$64+'Assumptions and Catalog'!$F$64,IF(L868&lt;='Assumptions and Catalog'!$C$65,L868*'Assumptions and Catalog'!$H$65+'Assumptions and Catalog'!$E$65+'Assumptions and Catalog'!$F$65,"Out of range")))))))))*(1+'Assumptions and Catalog'!$C$8)^(A868-1),0)</f>
        <v>5698.5897829387404</v>
      </c>
      <c r="O868" s="5">
        <f t="shared" si="63"/>
        <v>2580.4102170612596</v>
      </c>
      <c r="P868" s="5">
        <f>E$55*(1-L$14)*(1-'Assumptions and Catalog'!$C$23)^R868</f>
        <v>88.896054604464112</v>
      </c>
      <c r="Q868" s="5">
        <f>IF(ISNUMBER(Inputs!$L$5),(IF(Inputs!$L$9="Actual flat rate",((D868+E868)*C868-G868)*Inputs!$L$10,IF(Inputs!$C$9="Residential",IF(((D868+E868)*C868-G868)&lt;='Assumptions and Catalog'!$C$50,((D868+E868)*C868-G868)*'Assumptions and Catalog'!$H$50+'Assumptions and Catalog'!$E$50+'Assumptions and Catalog'!$F$50,IF(((D868+E868)*C868-G868)&lt;='Assumptions and Catalog'!$C$51,((D868+E868)*C868-G868)*'Assumptions and Catalog'!$H$51+'Assumptions and Catalog'!$E$51+'Assumptions and Catalog'!$F$51,IF(((D868+E868)*C868-G868)&lt;='Assumptions and Catalog'!$C$52,((D868+E868)*C868-G868)*'Assumptions and Catalog'!$H$52+'Assumptions and Catalog'!$E$52+'Assumptions and Catalog'!$F$52,IF(((D868+E868)*C868-G868)&lt;='Assumptions and Catalog'!$C$53,((D868+E868)*C868-G868)*'Assumptions and Catalog'!$H$53+'Assumptions and Catalog'!$E$53+'Assumptions and Catalog'!$F$53,IF(((D868+E868)*C868-G868)&lt;='Assumptions and Catalog'!$C$54,((D868+E868)*C868-G868)*'Assumptions and Catalog'!$H$54+'Assumptions and Catalog'!$E$54+'Assumptions and Catalog'!$F$54,IF(((D868+E868)*C868-G868)&lt;='Assumptions and Catalog'!$C$55,((D868+E868)*C868-G868)*'Assumptions and Catalog'!$H$55+'Assumptions and Catalog'!$E$55+'Assumptions and Catalog'!$F$55,IF(((D868+E868)*C868-G868)&lt;='Assumptions and Catalog'!$C$56,((D868+E868)*C868-G868)*'Assumptions and Catalog'!$H$56+'Assumptions and Catalog'!$E$56+'Assumptions and Catalog'!$F$56,IF(((D868+E868)*C868-G868)&lt;='Assumptions and Catalog'!$C$57,((D868+E868)*C868-G868)*'Assumptions and Catalog'!$H$57+'Assumptions and Catalog'!$E$57+'Assumptions and Catalog'!$F$57,"Out of range")))))))),IF(((D868+E868)*C868-G868)&lt;='Assumptions and Catalog'!$C$60,((D868+E868)*C868-G868)*'Assumptions and Catalog'!$H$60+'Assumptions and Catalog'!$E$60+'Assumptions and Catalog'!$F$60,IF(((D868+E868)*C868-G868)&lt;='Assumptions and Catalog'!$C$61,((D868+E868)*C868-G868)*'Assumptions and Catalog'!$H$61+'Assumptions and Catalog'!$E$61+'Assumptions and Catalog'!$F$61,IF(((D868+E868)*C868-G868)&lt;='Assumptions and Catalog'!$C$62,((D868+E868)*C868-G868)*'Assumptions and Catalog'!$H$62+'Assumptions and Catalog'!$E$62+'Assumptions and Catalog'!$F$62,IF(((D868+E868)*C868-G868)&lt;='Assumptions and Catalog'!$C$63,((D868+E868)*C868-G868)*'Assumptions and Catalog'!$H$63+'Assumptions and Catalog'!$E$63+'Assumptions and Catalog'!$F$63,IF(((D868+E868)*C868-G868)&lt;='Assumptions and Catalog'!$C$64,((D868+E868)*C868-G868)*'Assumptions and Catalog'!$H$64+'Assumptions and Catalog'!$E$64+'Assumptions and Catalog'!$F$64,IF(((D868+E868)*C868-G868)&lt;='Assumptions and Catalog'!$C$65,((D868+E868)*C868-G868)*'Assumptions and Catalog'!$H$65+'Assumptions and Catalog'!$E$65+'Assumptions and Catalog'!$F$65,"Out of range")))))))))*(1+'Assumptions and Catalog'!$C$8)^(A868-1),0)</f>
        <v>5698.5897829387404</v>
      </c>
      <c r="R868" s="5">
        <f>IF(AND('Assumptions and Catalog'!$C$19&gt;0,A868&gt;='Assumptions and Catalog'!$C$19),A868-'Assumptions and Catalog'!$C$19,A868-1)</f>
        <v>7</v>
      </c>
      <c r="S868" s="5">
        <f>F868+L868-(D868+E868)*C868-J868-K868-IF(E$52&gt;0,'Assumptions and Catalog'!$C$26*C868,0)</f>
        <v>0</v>
      </c>
      <c r="T868" s="5"/>
      <c r="U868" s="5"/>
    </row>
    <row r="869" spans="1:21" ht="23.1" customHeight="1" outlineLevel="1" x14ac:dyDescent="0.2">
      <c r="A869" s="5">
        <v>18</v>
      </c>
      <c r="B869" s="5">
        <v>5</v>
      </c>
      <c r="C869" s="5">
        <f>DAY(DATE('Assumptions and Catalog'!$C$24+A869-1,B869+1,0))</f>
        <v>31</v>
      </c>
      <c r="D869" s="5">
        <f>IF(ISNUMBER(Inputs!$L$5),Inputs!$L$5*Inputs!$L$6,0)</f>
        <v>40.35</v>
      </c>
      <c r="E869" s="5">
        <f>IF(ISNUMBER(Inputs!$L$5),Inputs!$L$5-D869,0)</f>
        <v>40.35</v>
      </c>
      <c r="F869" s="5">
        <f>E$51*'Assumptions and Catalog'!$C$31*C869*(1-'Assumptions and Catalog'!$C$10)^(A869-1)</f>
        <v>779.73333011500802</v>
      </c>
      <c r="G869" s="5">
        <f t="shared" si="60"/>
        <v>779.73333011500802</v>
      </c>
      <c r="H869" s="5">
        <f>I869/('Assumptions and Catalog'!$C$11*'Assumptions and Catalog'!$C$12)</f>
        <v>0</v>
      </c>
      <c r="I869" s="5">
        <f>MIN(E869*C869,P869*'Assumptions and Catalog'!$C$12*C869,(F869-G869)*'Assumptions and Catalog'!$C$11*'Assumptions and Catalog'!$C$12,E$56*'Assumptions and Catalog'!$C$14*'Assumptions and Catalog'!$C$11*'Assumptions and Catalog'!$C$12*C869,E$57*(24-'Assumptions and Catalog'!$C$13)*C869)</f>
        <v>0</v>
      </c>
      <c r="J869" s="5">
        <f t="shared" si="61"/>
        <v>0</v>
      </c>
      <c r="K869" s="5">
        <f t="shared" si="62"/>
        <v>0</v>
      </c>
      <c r="L869" s="5">
        <f>(D869+E869)*C869-G869-I869+0+IF(E$52&gt;0,'Assumptions and Catalog'!$C$26*C869,0)</f>
        <v>1721.9666698849924</v>
      </c>
      <c r="M869" s="5">
        <f>IF(ISNUMBER(Inputs!$L$5),(IF(Inputs!$L$9="Actual flat rate",((D869+E869)*C869)*Inputs!$L$10,IF(Inputs!$C$9="Residential",IF(((D869+E869)*C869)&lt;='Assumptions and Catalog'!$C$50,((D869+E869)*C869)*'Assumptions and Catalog'!$H$50+'Assumptions and Catalog'!$E$50+'Assumptions and Catalog'!$F$50,IF(((D869+E869)*C869)&lt;='Assumptions and Catalog'!$C$51,((D869+E869)*C869)*'Assumptions and Catalog'!$H$51+'Assumptions and Catalog'!$E$51+'Assumptions and Catalog'!$F$51,IF(((D869+E869)*C869)&lt;='Assumptions and Catalog'!$C$52,((D869+E869)*C869)*'Assumptions and Catalog'!$H$52+'Assumptions and Catalog'!$E$52+'Assumptions and Catalog'!$F$52,IF(((D869+E869)*C869)&lt;='Assumptions and Catalog'!$C$53,((D869+E869)*C869)*'Assumptions and Catalog'!$H$53+'Assumptions and Catalog'!$E$53+'Assumptions and Catalog'!$F$53,IF(((D869+E869)*C869)&lt;='Assumptions and Catalog'!$C$54,((D869+E869)*C869)*'Assumptions and Catalog'!$H$54+'Assumptions and Catalog'!$E$54+'Assumptions and Catalog'!$F$54,IF(((D869+E869)*C869)&lt;='Assumptions and Catalog'!$C$55,((D869+E869)*C869)*'Assumptions and Catalog'!$H$55+'Assumptions and Catalog'!$E$55+'Assumptions and Catalog'!$F$55,IF(((D869+E869)*C869)&lt;='Assumptions and Catalog'!$C$56,((D869+E869)*C869)*'Assumptions and Catalog'!$H$56+'Assumptions and Catalog'!$E$56+'Assumptions and Catalog'!$F$56,IF(((D869+E869)*C869)&lt;='Assumptions and Catalog'!$C$57,((D869+E869)*C869)*'Assumptions and Catalog'!$H$57+'Assumptions and Catalog'!$E$57+'Assumptions and Catalog'!$F$57,"Out of range")))))))),IF(((D869+E869)*C869)&lt;='Assumptions and Catalog'!$C$60,((D869+E869)*C869)*'Assumptions and Catalog'!$H$60+'Assumptions and Catalog'!$E$60+'Assumptions and Catalog'!$F$60,IF(((D869+E869)*C869)&lt;='Assumptions and Catalog'!$C$61,((D869+E869)*C869)*'Assumptions and Catalog'!$H$61+'Assumptions and Catalog'!$E$61+'Assumptions and Catalog'!$F$61,IF(((D869+E869)*C869)&lt;='Assumptions and Catalog'!$C$62,((D869+E869)*C869)*'Assumptions and Catalog'!$H$62+'Assumptions and Catalog'!$E$62+'Assumptions and Catalog'!$F$62,IF(((D869+E869)*C869)&lt;='Assumptions and Catalog'!$C$63,((D869+E869)*C869)*'Assumptions and Catalog'!$H$63+'Assumptions and Catalog'!$E$63+'Assumptions and Catalog'!$F$63,IF(((D869+E869)*C869)&lt;='Assumptions and Catalog'!$C$64,((D869+E869)*C869)*'Assumptions and Catalog'!$H$64+'Assumptions and Catalog'!$E$64+'Assumptions and Catalog'!$F$64,IF(((D869+E869)*C869)&lt;='Assumptions and Catalog'!$C$65,((D869+E869)*C869)*'Assumptions and Catalog'!$H$65+'Assumptions and Catalog'!$E$65+'Assumptions and Catalog'!$F$65,"Out of range")))))))))*(1+'Assumptions and Catalog'!$C$8)^(A869-1),0)</f>
        <v>8554.9666666666672</v>
      </c>
      <c r="N869" s="5">
        <f>IF(ISNUMBER(Inputs!$L$5),(IF(Inputs!$L$9="Actual flat rate",L869*Inputs!$L$10,IF(Inputs!$C$9="Residential",IF(L869&lt;='Assumptions and Catalog'!$C$50,L869*'Assumptions and Catalog'!$H$50+'Assumptions and Catalog'!$E$50+'Assumptions and Catalog'!$F$50,IF(L869&lt;='Assumptions and Catalog'!$C$51,L869*'Assumptions and Catalog'!$H$51+'Assumptions and Catalog'!$E$51+'Assumptions and Catalog'!$F$51,IF(L869&lt;='Assumptions and Catalog'!$C$52,L869*'Assumptions and Catalog'!$H$52+'Assumptions and Catalog'!$E$52+'Assumptions and Catalog'!$F$52,IF(L869&lt;='Assumptions and Catalog'!$C$53,L869*'Assumptions and Catalog'!$H$53+'Assumptions and Catalog'!$E$53+'Assumptions and Catalog'!$F$53,IF(L869&lt;='Assumptions and Catalog'!$C$54,L869*'Assumptions and Catalog'!$H$54+'Assumptions and Catalog'!$E$54+'Assumptions and Catalog'!$F$54,IF(L869&lt;='Assumptions and Catalog'!$C$55,L869*'Assumptions and Catalog'!$H$55+'Assumptions and Catalog'!$E$55+'Assumptions and Catalog'!$F$55,IF(L869&lt;='Assumptions and Catalog'!$C$56,L869*'Assumptions and Catalog'!$H$56+'Assumptions and Catalog'!$E$56+'Assumptions and Catalog'!$F$56,IF(L869&lt;='Assumptions and Catalog'!$C$57,L869*'Assumptions and Catalog'!$H$57+'Assumptions and Catalog'!$E$57+'Assumptions and Catalog'!$F$57,"Out of range")))))))),IF(L869&lt;='Assumptions and Catalog'!$C$60,L869*'Assumptions and Catalog'!$H$60+'Assumptions and Catalog'!$E$60+'Assumptions and Catalog'!$F$60,IF(L869&lt;='Assumptions and Catalog'!$C$61,L869*'Assumptions and Catalog'!$H$61+'Assumptions and Catalog'!$E$61+'Assumptions and Catalog'!$F$61,IF(L869&lt;='Assumptions and Catalog'!$C$62,L869*'Assumptions and Catalog'!$H$62+'Assumptions and Catalog'!$E$62+'Assumptions and Catalog'!$F$62,IF(L869&lt;='Assumptions and Catalog'!$C$63,L869*'Assumptions and Catalog'!$H$63+'Assumptions and Catalog'!$E$63+'Assumptions and Catalog'!$F$63,IF(L869&lt;='Assumptions and Catalog'!$C$64,L869*'Assumptions and Catalog'!$H$64+'Assumptions and Catalog'!$E$64+'Assumptions and Catalog'!$F$64,IF(L869&lt;='Assumptions and Catalog'!$C$65,L869*'Assumptions and Catalog'!$H$65+'Assumptions and Catalog'!$E$65+'Assumptions and Catalog'!$F$65,"Out of range")))))))))*(1+'Assumptions and Catalog'!$C$8)^(A869-1),0)</f>
        <v>5888.5427757033667</v>
      </c>
      <c r="O869" s="5">
        <f t="shared" si="63"/>
        <v>2666.4238909633004</v>
      </c>
      <c r="P869" s="5">
        <f>E$55*(1-L$14)*(1-'Assumptions and Catalog'!$C$23)^R869</f>
        <v>88.896054604464112</v>
      </c>
      <c r="Q869" s="5">
        <f>IF(ISNUMBER(Inputs!$L$5),(IF(Inputs!$L$9="Actual flat rate",((D869+E869)*C869-G869)*Inputs!$L$10,IF(Inputs!$C$9="Residential",IF(((D869+E869)*C869-G869)&lt;='Assumptions and Catalog'!$C$50,((D869+E869)*C869-G869)*'Assumptions and Catalog'!$H$50+'Assumptions and Catalog'!$E$50+'Assumptions and Catalog'!$F$50,IF(((D869+E869)*C869-G869)&lt;='Assumptions and Catalog'!$C$51,((D869+E869)*C869-G869)*'Assumptions and Catalog'!$H$51+'Assumptions and Catalog'!$E$51+'Assumptions and Catalog'!$F$51,IF(((D869+E869)*C869-G869)&lt;='Assumptions and Catalog'!$C$52,((D869+E869)*C869-G869)*'Assumptions and Catalog'!$H$52+'Assumptions and Catalog'!$E$52+'Assumptions and Catalog'!$F$52,IF(((D869+E869)*C869-G869)&lt;='Assumptions and Catalog'!$C$53,((D869+E869)*C869-G869)*'Assumptions and Catalog'!$H$53+'Assumptions and Catalog'!$E$53+'Assumptions and Catalog'!$F$53,IF(((D869+E869)*C869-G869)&lt;='Assumptions and Catalog'!$C$54,((D869+E869)*C869-G869)*'Assumptions and Catalog'!$H$54+'Assumptions and Catalog'!$E$54+'Assumptions and Catalog'!$F$54,IF(((D869+E869)*C869-G869)&lt;='Assumptions and Catalog'!$C$55,((D869+E869)*C869-G869)*'Assumptions and Catalog'!$H$55+'Assumptions and Catalog'!$E$55+'Assumptions and Catalog'!$F$55,IF(((D869+E869)*C869-G869)&lt;='Assumptions and Catalog'!$C$56,((D869+E869)*C869-G869)*'Assumptions and Catalog'!$H$56+'Assumptions and Catalog'!$E$56+'Assumptions and Catalog'!$F$56,IF(((D869+E869)*C869-G869)&lt;='Assumptions and Catalog'!$C$57,((D869+E869)*C869-G869)*'Assumptions and Catalog'!$H$57+'Assumptions and Catalog'!$E$57+'Assumptions and Catalog'!$F$57,"Out of range")))))))),IF(((D869+E869)*C869-G869)&lt;='Assumptions and Catalog'!$C$60,((D869+E869)*C869-G869)*'Assumptions and Catalog'!$H$60+'Assumptions and Catalog'!$E$60+'Assumptions and Catalog'!$F$60,IF(((D869+E869)*C869-G869)&lt;='Assumptions and Catalog'!$C$61,((D869+E869)*C869-G869)*'Assumptions and Catalog'!$H$61+'Assumptions and Catalog'!$E$61+'Assumptions and Catalog'!$F$61,IF(((D869+E869)*C869-G869)&lt;='Assumptions and Catalog'!$C$62,((D869+E869)*C869-G869)*'Assumptions and Catalog'!$H$62+'Assumptions and Catalog'!$E$62+'Assumptions and Catalog'!$F$62,IF(((D869+E869)*C869-G869)&lt;='Assumptions and Catalog'!$C$63,((D869+E869)*C869-G869)*'Assumptions and Catalog'!$H$63+'Assumptions and Catalog'!$E$63+'Assumptions and Catalog'!$F$63,IF(((D869+E869)*C869-G869)&lt;='Assumptions and Catalog'!$C$64,((D869+E869)*C869-G869)*'Assumptions and Catalog'!$H$64+'Assumptions and Catalog'!$E$64+'Assumptions and Catalog'!$F$64,IF(((D869+E869)*C869-G869)&lt;='Assumptions and Catalog'!$C$65,((D869+E869)*C869-G869)*'Assumptions and Catalog'!$H$65+'Assumptions and Catalog'!$E$65+'Assumptions and Catalog'!$F$65,"Out of range")))))))))*(1+'Assumptions and Catalog'!$C$8)^(A869-1),0)</f>
        <v>5888.5427757033667</v>
      </c>
      <c r="R869" s="5">
        <f>IF(AND('Assumptions and Catalog'!$C$19&gt;0,A869&gt;='Assumptions and Catalog'!$C$19),A869-'Assumptions and Catalog'!$C$19,A869-1)</f>
        <v>7</v>
      </c>
      <c r="S869" s="5">
        <f>F869+L869-(D869+E869)*C869-J869-K869-IF(E$52&gt;0,'Assumptions and Catalog'!$C$26*C869,0)</f>
        <v>0</v>
      </c>
      <c r="T869" s="5"/>
      <c r="U869" s="5"/>
    </row>
    <row r="870" spans="1:21" ht="23.1" customHeight="1" outlineLevel="1" x14ac:dyDescent="0.2">
      <c r="A870" s="5">
        <v>18</v>
      </c>
      <c r="B870" s="5">
        <v>6</v>
      </c>
      <c r="C870" s="5">
        <f>DAY(DATE('Assumptions and Catalog'!$C$24+A870-1,B870+1,0))</f>
        <v>30</v>
      </c>
      <c r="D870" s="5">
        <f>IF(ISNUMBER(Inputs!$L$5),Inputs!$L$5*Inputs!$L$6,0)</f>
        <v>40.35</v>
      </c>
      <c r="E870" s="5">
        <f>IF(ISNUMBER(Inputs!$L$5),Inputs!$L$5-D870,0)</f>
        <v>40.35</v>
      </c>
      <c r="F870" s="5">
        <f>E$51*'Assumptions and Catalog'!$C$31*C870*(1-'Assumptions and Catalog'!$C$10)^(A870-1)</f>
        <v>754.58064204678192</v>
      </c>
      <c r="G870" s="5">
        <f t="shared" si="60"/>
        <v>754.58064204678192</v>
      </c>
      <c r="H870" s="5">
        <f>I870/('Assumptions and Catalog'!$C$11*'Assumptions and Catalog'!$C$12)</f>
        <v>0</v>
      </c>
      <c r="I870" s="5">
        <f>MIN(E870*C870,P870*'Assumptions and Catalog'!$C$12*C870,(F870-G870)*'Assumptions and Catalog'!$C$11*'Assumptions and Catalog'!$C$12,E$56*'Assumptions and Catalog'!$C$14*'Assumptions and Catalog'!$C$11*'Assumptions and Catalog'!$C$12*C870,E$57*(24-'Assumptions and Catalog'!$C$13)*C870)</f>
        <v>0</v>
      </c>
      <c r="J870" s="5">
        <f t="shared" si="61"/>
        <v>0</v>
      </c>
      <c r="K870" s="5">
        <f t="shared" si="62"/>
        <v>0</v>
      </c>
      <c r="L870" s="5">
        <f>(D870+E870)*C870-G870-I870+0+IF(E$52&gt;0,'Assumptions and Catalog'!$C$26*C870,0)</f>
        <v>1666.419357953218</v>
      </c>
      <c r="M870" s="5">
        <f>IF(ISNUMBER(Inputs!$L$5),(IF(Inputs!$L$9="Actual flat rate",((D870+E870)*C870)*Inputs!$L$10,IF(Inputs!$C$9="Residential",IF(((D870+E870)*C870)&lt;='Assumptions and Catalog'!$C$50,((D870+E870)*C870)*'Assumptions and Catalog'!$H$50+'Assumptions and Catalog'!$E$50+'Assumptions and Catalog'!$F$50,IF(((D870+E870)*C870)&lt;='Assumptions and Catalog'!$C$51,((D870+E870)*C870)*'Assumptions and Catalog'!$H$51+'Assumptions and Catalog'!$E$51+'Assumptions and Catalog'!$F$51,IF(((D870+E870)*C870)&lt;='Assumptions and Catalog'!$C$52,((D870+E870)*C870)*'Assumptions and Catalog'!$H$52+'Assumptions and Catalog'!$E$52+'Assumptions and Catalog'!$F$52,IF(((D870+E870)*C870)&lt;='Assumptions and Catalog'!$C$53,((D870+E870)*C870)*'Assumptions and Catalog'!$H$53+'Assumptions and Catalog'!$E$53+'Assumptions and Catalog'!$F$53,IF(((D870+E870)*C870)&lt;='Assumptions and Catalog'!$C$54,((D870+E870)*C870)*'Assumptions and Catalog'!$H$54+'Assumptions and Catalog'!$E$54+'Assumptions and Catalog'!$F$54,IF(((D870+E870)*C870)&lt;='Assumptions and Catalog'!$C$55,((D870+E870)*C870)*'Assumptions and Catalog'!$H$55+'Assumptions and Catalog'!$E$55+'Assumptions and Catalog'!$F$55,IF(((D870+E870)*C870)&lt;='Assumptions and Catalog'!$C$56,((D870+E870)*C870)*'Assumptions and Catalog'!$H$56+'Assumptions and Catalog'!$E$56+'Assumptions and Catalog'!$F$56,IF(((D870+E870)*C870)&lt;='Assumptions and Catalog'!$C$57,((D870+E870)*C870)*'Assumptions and Catalog'!$H$57+'Assumptions and Catalog'!$E$57+'Assumptions and Catalog'!$F$57,"Out of range")))))))),IF(((D870+E870)*C870)&lt;='Assumptions and Catalog'!$C$60,((D870+E870)*C870)*'Assumptions and Catalog'!$H$60+'Assumptions and Catalog'!$E$60+'Assumptions and Catalog'!$F$60,IF(((D870+E870)*C870)&lt;='Assumptions and Catalog'!$C$61,((D870+E870)*C870)*'Assumptions and Catalog'!$H$61+'Assumptions and Catalog'!$E$61+'Assumptions and Catalog'!$F$61,IF(((D870+E870)*C870)&lt;='Assumptions and Catalog'!$C$62,((D870+E870)*C870)*'Assumptions and Catalog'!$H$62+'Assumptions and Catalog'!$E$62+'Assumptions and Catalog'!$F$62,IF(((D870+E870)*C870)&lt;='Assumptions and Catalog'!$C$63,((D870+E870)*C870)*'Assumptions and Catalog'!$H$63+'Assumptions and Catalog'!$E$63+'Assumptions and Catalog'!$F$63,IF(((D870+E870)*C870)&lt;='Assumptions and Catalog'!$C$64,((D870+E870)*C870)*'Assumptions and Catalog'!$H$64+'Assumptions and Catalog'!$E$64+'Assumptions and Catalog'!$F$64,IF(((D870+E870)*C870)&lt;='Assumptions and Catalog'!$C$65,((D870+E870)*C870)*'Assumptions and Catalog'!$H$65+'Assumptions and Catalog'!$E$65+'Assumptions and Catalog'!$F$65,"Out of range")))))))))*(1+'Assumptions and Catalog'!$C$8)^(A870-1),0)</f>
        <v>8279</v>
      </c>
      <c r="N870" s="5">
        <f>IF(ISNUMBER(Inputs!$L$5),(IF(Inputs!$L$9="Actual flat rate",L870*Inputs!$L$10,IF(Inputs!$C$9="Residential",IF(L870&lt;='Assumptions and Catalog'!$C$50,L870*'Assumptions and Catalog'!$H$50+'Assumptions and Catalog'!$E$50+'Assumptions and Catalog'!$F$50,IF(L870&lt;='Assumptions and Catalog'!$C$51,L870*'Assumptions and Catalog'!$H$51+'Assumptions and Catalog'!$E$51+'Assumptions and Catalog'!$F$51,IF(L870&lt;='Assumptions and Catalog'!$C$52,L870*'Assumptions and Catalog'!$H$52+'Assumptions and Catalog'!$E$52+'Assumptions and Catalog'!$F$52,IF(L870&lt;='Assumptions and Catalog'!$C$53,L870*'Assumptions and Catalog'!$H$53+'Assumptions and Catalog'!$E$53+'Assumptions and Catalog'!$F$53,IF(L870&lt;='Assumptions and Catalog'!$C$54,L870*'Assumptions and Catalog'!$H$54+'Assumptions and Catalog'!$E$54+'Assumptions and Catalog'!$F$54,IF(L870&lt;='Assumptions and Catalog'!$C$55,L870*'Assumptions and Catalog'!$H$55+'Assumptions and Catalog'!$E$55+'Assumptions and Catalog'!$F$55,IF(L870&lt;='Assumptions and Catalog'!$C$56,L870*'Assumptions and Catalog'!$H$56+'Assumptions and Catalog'!$E$56+'Assumptions and Catalog'!$F$56,IF(L870&lt;='Assumptions and Catalog'!$C$57,L870*'Assumptions and Catalog'!$H$57+'Assumptions and Catalog'!$E$57+'Assumptions and Catalog'!$F$57,"Out of range")))))))),IF(L870&lt;='Assumptions and Catalog'!$C$60,L870*'Assumptions and Catalog'!$H$60+'Assumptions and Catalog'!$E$60+'Assumptions and Catalog'!$F$60,IF(L870&lt;='Assumptions and Catalog'!$C$61,L870*'Assumptions and Catalog'!$H$61+'Assumptions and Catalog'!$E$61+'Assumptions and Catalog'!$F$61,IF(L870&lt;='Assumptions and Catalog'!$C$62,L870*'Assumptions and Catalog'!$H$62+'Assumptions and Catalog'!$E$62+'Assumptions and Catalog'!$F$62,IF(L870&lt;='Assumptions and Catalog'!$C$63,L870*'Assumptions and Catalog'!$H$63+'Assumptions and Catalog'!$E$63+'Assumptions and Catalog'!$F$63,IF(L870&lt;='Assumptions and Catalog'!$C$64,L870*'Assumptions and Catalog'!$H$64+'Assumptions and Catalog'!$E$64+'Assumptions and Catalog'!$F$64,IF(L870&lt;='Assumptions and Catalog'!$C$65,L870*'Assumptions and Catalog'!$H$65+'Assumptions and Catalog'!$E$65+'Assumptions and Catalog'!$F$65,"Out of range")))))))))*(1+'Assumptions and Catalog'!$C$8)^(A870-1),0)</f>
        <v>5698.5897829387404</v>
      </c>
      <c r="O870" s="5">
        <f t="shared" si="63"/>
        <v>2580.4102170612596</v>
      </c>
      <c r="P870" s="5">
        <f>E$55*(1-L$14)*(1-'Assumptions and Catalog'!$C$23)^R870</f>
        <v>88.896054604464112</v>
      </c>
      <c r="Q870" s="5">
        <f>IF(ISNUMBER(Inputs!$L$5),(IF(Inputs!$L$9="Actual flat rate",((D870+E870)*C870-G870)*Inputs!$L$10,IF(Inputs!$C$9="Residential",IF(((D870+E870)*C870-G870)&lt;='Assumptions and Catalog'!$C$50,((D870+E870)*C870-G870)*'Assumptions and Catalog'!$H$50+'Assumptions and Catalog'!$E$50+'Assumptions and Catalog'!$F$50,IF(((D870+E870)*C870-G870)&lt;='Assumptions and Catalog'!$C$51,((D870+E870)*C870-G870)*'Assumptions and Catalog'!$H$51+'Assumptions and Catalog'!$E$51+'Assumptions and Catalog'!$F$51,IF(((D870+E870)*C870-G870)&lt;='Assumptions and Catalog'!$C$52,((D870+E870)*C870-G870)*'Assumptions and Catalog'!$H$52+'Assumptions and Catalog'!$E$52+'Assumptions and Catalog'!$F$52,IF(((D870+E870)*C870-G870)&lt;='Assumptions and Catalog'!$C$53,((D870+E870)*C870-G870)*'Assumptions and Catalog'!$H$53+'Assumptions and Catalog'!$E$53+'Assumptions and Catalog'!$F$53,IF(((D870+E870)*C870-G870)&lt;='Assumptions and Catalog'!$C$54,((D870+E870)*C870-G870)*'Assumptions and Catalog'!$H$54+'Assumptions and Catalog'!$E$54+'Assumptions and Catalog'!$F$54,IF(((D870+E870)*C870-G870)&lt;='Assumptions and Catalog'!$C$55,((D870+E870)*C870-G870)*'Assumptions and Catalog'!$H$55+'Assumptions and Catalog'!$E$55+'Assumptions and Catalog'!$F$55,IF(((D870+E870)*C870-G870)&lt;='Assumptions and Catalog'!$C$56,((D870+E870)*C870-G870)*'Assumptions and Catalog'!$H$56+'Assumptions and Catalog'!$E$56+'Assumptions and Catalog'!$F$56,IF(((D870+E870)*C870-G870)&lt;='Assumptions and Catalog'!$C$57,((D870+E870)*C870-G870)*'Assumptions and Catalog'!$H$57+'Assumptions and Catalog'!$E$57+'Assumptions and Catalog'!$F$57,"Out of range")))))))),IF(((D870+E870)*C870-G870)&lt;='Assumptions and Catalog'!$C$60,((D870+E870)*C870-G870)*'Assumptions and Catalog'!$H$60+'Assumptions and Catalog'!$E$60+'Assumptions and Catalog'!$F$60,IF(((D870+E870)*C870-G870)&lt;='Assumptions and Catalog'!$C$61,((D870+E870)*C870-G870)*'Assumptions and Catalog'!$H$61+'Assumptions and Catalog'!$E$61+'Assumptions and Catalog'!$F$61,IF(((D870+E870)*C870-G870)&lt;='Assumptions and Catalog'!$C$62,((D870+E870)*C870-G870)*'Assumptions and Catalog'!$H$62+'Assumptions and Catalog'!$E$62+'Assumptions and Catalog'!$F$62,IF(((D870+E870)*C870-G870)&lt;='Assumptions and Catalog'!$C$63,((D870+E870)*C870-G870)*'Assumptions and Catalog'!$H$63+'Assumptions and Catalog'!$E$63+'Assumptions and Catalog'!$F$63,IF(((D870+E870)*C870-G870)&lt;='Assumptions and Catalog'!$C$64,((D870+E870)*C870-G870)*'Assumptions and Catalog'!$H$64+'Assumptions and Catalog'!$E$64+'Assumptions and Catalog'!$F$64,IF(((D870+E870)*C870-G870)&lt;='Assumptions and Catalog'!$C$65,((D870+E870)*C870-G870)*'Assumptions and Catalog'!$H$65+'Assumptions and Catalog'!$E$65+'Assumptions and Catalog'!$F$65,"Out of range")))))))))*(1+'Assumptions and Catalog'!$C$8)^(A870-1),0)</f>
        <v>5698.5897829387404</v>
      </c>
      <c r="R870" s="5">
        <f>IF(AND('Assumptions and Catalog'!$C$19&gt;0,A870&gt;='Assumptions and Catalog'!$C$19),A870-'Assumptions and Catalog'!$C$19,A870-1)</f>
        <v>7</v>
      </c>
      <c r="S870" s="5">
        <f>F870+L870-(D870+E870)*C870-J870-K870-IF(E$52&gt;0,'Assumptions and Catalog'!$C$26*C870,0)</f>
        <v>0</v>
      </c>
      <c r="T870" s="5"/>
      <c r="U870" s="5"/>
    </row>
    <row r="871" spans="1:21" ht="23.1" customHeight="1" outlineLevel="1" x14ac:dyDescent="0.2">
      <c r="A871" s="5">
        <v>18</v>
      </c>
      <c r="B871" s="5">
        <v>7</v>
      </c>
      <c r="C871" s="5">
        <f>DAY(DATE('Assumptions and Catalog'!$C$24+A871-1,B871+1,0))</f>
        <v>31</v>
      </c>
      <c r="D871" s="5">
        <f>IF(ISNUMBER(Inputs!$L$5),Inputs!$L$5*Inputs!$L$6,0)</f>
        <v>40.35</v>
      </c>
      <c r="E871" s="5">
        <f>IF(ISNUMBER(Inputs!$L$5),Inputs!$L$5-D871,0)</f>
        <v>40.35</v>
      </c>
      <c r="F871" s="5">
        <f>E$51*'Assumptions and Catalog'!$C$31*C871*(1-'Assumptions and Catalog'!$C$10)^(A871-1)</f>
        <v>779.73333011500802</v>
      </c>
      <c r="G871" s="5">
        <f t="shared" si="60"/>
        <v>779.73333011500802</v>
      </c>
      <c r="H871" s="5">
        <f>I871/('Assumptions and Catalog'!$C$11*'Assumptions and Catalog'!$C$12)</f>
        <v>0</v>
      </c>
      <c r="I871" s="5">
        <f>MIN(E871*C871,P871*'Assumptions and Catalog'!$C$12*C871,(F871-G871)*'Assumptions and Catalog'!$C$11*'Assumptions and Catalog'!$C$12,E$56*'Assumptions and Catalog'!$C$14*'Assumptions and Catalog'!$C$11*'Assumptions and Catalog'!$C$12*C871,E$57*(24-'Assumptions and Catalog'!$C$13)*C871)</f>
        <v>0</v>
      </c>
      <c r="J871" s="5">
        <f t="shared" si="61"/>
        <v>0</v>
      </c>
      <c r="K871" s="5">
        <f t="shared" si="62"/>
        <v>0</v>
      </c>
      <c r="L871" s="5">
        <f>(D871+E871)*C871-G871-I871+0+IF(E$52&gt;0,'Assumptions and Catalog'!$C$26*C871,0)</f>
        <v>1721.9666698849924</v>
      </c>
      <c r="M871" s="5">
        <f>IF(ISNUMBER(Inputs!$L$5),(IF(Inputs!$L$9="Actual flat rate",((D871+E871)*C871)*Inputs!$L$10,IF(Inputs!$C$9="Residential",IF(((D871+E871)*C871)&lt;='Assumptions and Catalog'!$C$50,((D871+E871)*C871)*'Assumptions and Catalog'!$H$50+'Assumptions and Catalog'!$E$50+'Assumptions and Catalog'!$F$50,IF(((D871+E871)*C871)&lt;='Assumptions and Catalog'!$C$51,((D871+E871)*C871)*'Assumptions and Catalog'!$H$51+'Assumptions and Catalog'!$E$51+'Assumptions and Catalog'!$F$51,IF(((D871+E871)*C871)&lt;='Assumptions and Catalog'!$C$52,((D871+E871)*C871)*'Assumptions and Catalog'!$H$52+'Assumptions and Catalog'!$E$52+'Assumptions and Catalog'!$F$52,IF(((D871+E871)*C871)&lt;='Assumptions and Catalog'!$C$53,((D871+E871)*C871)*'Assumptions and Catalog'!$H$53+'Assumptions and Catalog'!$E$53+'Assumptions and Catalog'!$F$53,IF(((D871+E871)*C871)&lt;='Assumptions and Catalog'!$C$54,((D871+E871)*C871)*'Assumptions and Catalog'!$H$54+'Assumptions and Catalog'!$E$54+'Assumptions and Catalog'!$F$54,IF(((D871+E871)*C871)&lt;='Assumptions and Catalog'!$C$55,((D871+E871)*C871)*'Assumptions and Catalog'!$H$55+'Assumptions and Catalog'!$E$55+'Assumptions and Catalog'!$F$55,IF(((D871+E871)*C871)&lt;='Assumptions and Catalog'!$C$56,((D871+E871)*C871)*'Assumptions and Catalog'!$H$56+'Assumptions and Catalog'!$E$56+'Assumptions and Catalog'!$F$56,IF(((D871+E871)*C871)&lt;='Assumptions and Catalog'!$C$57,((D871+E871)*C871)*'Assumptions and Catalog'!$H$57+'Assumptions and Catalog'!$E$57+'Assumptions and Catalog'!$F$57,"Out of range")))))))),IF(((D871+E871)*C871)&lt;='Assumptions and Catalog'!$C$60,((D871+E871)*C871)*'Assumptions and Catalog'!$H$60+'Assumptions and Catalog'!$E$60+'Assumptions and Catalog'!$F$60,IF(((D871+E871)*C871)&lt;='Assumptions and Catalog'!$C$61,((D871+E871)*C871)*'Assumptions and Catalog'!$H$61+'Assumptions and Catalog'!$E$61+'Assumptions and Catalog'!$F$61,IF(((D871+E871)*C871)&lt;='Assumptions and Catalog'!$C$62,((D871+E871)*C871)*'Assumptions and Catalog'!$H$62+'Assumptions and Catalog'!$E$62+'Assumptions and Catalog'!$F$62,IF(((D871+E871)*C871)&lt;='Assumptions and Catalog'!$C$63,((D871+E871)*C871)*'Assumptions and Catalog'!$H$63+'Assumptions and Catalog'!$E$63+'Assumptions and Catalog'!$F$63,IF(((D871+E871)*C871)&lt;='Assumptions and Catalog'!$C$64,((D871+E871)*C871)*'Assumptions and Catalog'!$H$64+'Assumptions and Catalog'!$E$64+'Assumptions and Catalog'!$F$64,IF(((D871+E871)*C871)&lt;='Assumptions and Catalog'!$C$65,((D871+E871)*C871)*'Assumptions and Catalog'!$H$65+'Assumptions and Catalog'!$E$65+'Assumptions and Catalog'!$F$65,"Out of range")))))))))*(1+'Assumptions and Catalog'!$C$8)^(A871-1),0)</f>
        <v>8554.9666666666672</v>
      </c>
      <c r="N871" s="5">
        <f>IF(ISNUMBER(Inputs!$L$5),(IF(Inputs!$L$9="Actual flat rate",L871*Inputs!$L$10,IF(Inputs!$C$9="Residential",IF(L871&lt;='Assumptions and Catalog'!$C$50,L871*'Assumptions and Catalog'!$H$50+'Assumptions and Catalog'!$E$50+'Assumptions and Catalog'!$F$50,IF(L871&lt;='Assumptions and Catalog'!$C$51,L871*'Assumptions and Catalog'!$H$51+'Assumptions and Catalog'!$E$51+'Assumptions and Catalog'!$F$51,IF(L871&lt;='Assumptions and Catalog'!$C$52,L871*'Assumptions and Catalog'!$H$52+'Assumptions and Catalog'!$E$52+'Assumptions and Catalog'!$F$52,IF(L871&lt;='Assumptions and Catalog'!$C$53,L871*'Assumptions and Catalog'!$H$53+'Assumptions and Catalog'!$E$53+'Assumptions and Catalog'!$F$53,IF(L871&lt;='Assumptions and Catalog'!$C$54,L871*'Assumptions and Catalog'!$H$54+'Assumptions and Catalog'!$E$54+'Assumptions and Catalog'!$F$54,IF(L871&lt;='Assumptions and Catalog'!$C$55,L871*'Assumptions and Catalog'!$H$55+'Assumptions and Catalog'!$E$55+'Assumptions and Catalog'!$F$55,IF(L871&lt;='Assumptions and Catalog'!$C$56,L871*'Assumptions and Catalog'!$H$56+'Assumptions and Catalog'!$E$56+'Assumptions and Catalog'!$F$56,IF(L871&lt;='Assumptions and Catalog'!$C$57,L871*'Assumptions and Catalog'!$H$57+'Assumptions and Catalog'!$E$57+'Assumptions and Catalog'!$F$57,"Out of range")))))))),IF(L871&lt;='Assumptions and Catalog'!$C$60,L871*'Assumptions and Catalog'!$H$60+'Assumptions and Catalog'!$E$60+'Assumptions and Catalog'!$F$60,IF(L871&lt;='Assumptions and Catalog'!$C$61,L871*'Assumptions and Catalog'!$H$61+'Assumptions and Catalog'!$E$61+'Assumptions and Catalog'!$F$61,IF(L871&lt;='Assumptions and Catalog'!$C$62,L871*'Assumptions and Catalog'!$H$62+'Assumptions and Catalog'!$E$62+'Assumptions and Catalog'!$F$62,IF(L871&lt;='Assumptions and Catalog'!$C$63,L871*'Assumptions and Catalog'!$H$63+'Assumptions and Catalog'!$E$63+'Assumptions and Catalog'!$F$63,IF(L871&lt;='Assumptions and Catalog'!$C$64,L871*'Assumptions and Catalog'!$H$64+'Assumptions and Catalog'!$E$64+'Assumptions and Catalog'!$F$64,IF(L871&lt;='Assumptions and Catalog'!$C$65,L871*'Assumptions and Catalog'!$H$65+'Assumptions and Catalog'!$E$65+'Assumptions and Catalog'!$F$65,"Out of range")))))))))*(1+'Assumptions and Catalog'!$C$8)^(A871-1),0)</f>
        <v>5888.5427757033667</v>
      </c>
      <c r="O871" s="5">
        <f t="shared" si="63"/>
        <v>2666.4238909633004</v>
      </c>
      <c r="P871" s="5">
        <f>E$55*(1-L$14)*(1-'Assumptions and Catalog'!$C$23)^R871</f>
        <v>88.896054604464112</v>
      </c>
      <c r="Q871" s="5">
        <f>IF(ISNUMBER(Inputs!$L$5),(IF(Inputs!$L$9="Actual flat rate",((D871+E871)*C871-G871)*Inputs!$L$10,IF(Inputs!$C$9="Residential",IF(((D871+E871)*C871-G871)&lt;='Assumptions and Catalog'!$C$50,((D871+E871)*C871-G871)*'Assumptions and Catalog'!$H$50+'Assumptions and Catalog'!$E$50+'Assumptions and Catalog'!$F$50,IF(((D871+E871)*C871-G871)&lt;='Assumptions and Catalog'!$C$51,((D871+E871)*C871-G871)*'Assumptions and Catalog'!$H$51+'Assumptions and Catalog'!$E$51+'Assumptions and Catalog'!$F$51,IF(((D871+E871)*C871-G871)&lt;='Assumptions and Catalog'!$C$52,((D871+E871)*C871-G871)*'Assumptions and Catalog'!$H$52+'Assumptions and Catalog'!$E$52+'Assumptions and Catalog'!$F$52,IF(((D871+E871)*C871-G871)&lt;='Assumptions and Catalog'!$C$53,((D871+E871)*C871-G871)*'Assumptions and Catalog'!$H$53+'Assumptions and Catalog'!$E$53+'Assumptions and Catalog'!$F$53,IF(((D871+E871)*C871-G871)&lt;='Assumptions and Catalog'!$C$54,((D871+E871)*C871-G871)*'Assumptions and Catalog'!$H$54+'Assumptions and Catalog'!$E$54+'Assumptions and Catalog'!$F$54,IF(((D871+E871)*C871-G871)&lt;='Assumptions and Catalog'!$C$55,((D871+E871)*C871-G871)*'Assumptions and Catalog'!$H$55+'Assumptions and Catalog'!$E$55+'Assumptions and Catalog'!$F$55,IF(((D871+E871)*C871-G871)&lt;='Assumptions and Catalog'!$C$56,((D871+E871)*C871-G871)*'Assumptions and Catalog'!$H$56+'Assumptions and Catalog'!$E$56+'Assumptions and Catalog'!$F$56,IF(((D871+E871)*C871-G871)&lt;='Assumptions and Catalog'!$C$57,((D871+E871)*C871-G871)*'Assumptions and Catalog'!$H$57+'Assumptions and Catalog'!$E$57+'Assumptions and Catalog'!$F$57,"Out of range")))))))),IF(((D871+E871)*C871-G871)&lt;='Assumptions and Catalog'!$C$60,((D871+E871)*C871-G871)*'Assumptions and Catalog'!$H$60+'Assumptions and Catalog'!$E$60+'Assumptions and Catalog'!$F$60,IF(((D871+E871)*C871-G871)&lt;='Assumptions and Catalog'!$C$61,((D871+E871)*C871-G871)*'Assumptions and Catalog'!$H$61+'Assumptions and Catalog'!$E$61+'Assumptions and Catalog'!$F$61,IF(((D871+E871)*C871-G871)&lt;='Assumptions and Catalog'!$C$62,((D871+E871)*C871-G871)*'Assumptions and Catalog'!$H$62+'Assumptions and Catalog'!$E$62+'Assumptions and Catalog'!$F$62,IF(((D871+E871)*C871-G871)&lt;='Assumptions and Catalog'!$C$63,((D871+E871)*C871-G871)*'Assumptions and Catalog'!$H$63+'Assumptions and Catalog'!$E$63+'Assumptions and Catalog'!$F$63,IF(((D871+E871)*C871-G871)&lt;='Assumptions and Catalog'!$C$64,((D871+E871)*C871-G871)*'Assumptions and Catalog'!$H$64+'Assumptions and Catalog'!$E$64+'Assumptions and Catalog'!$F$64,IF(((D871+E871)*C871-G871)&lt;='Assumptions and Catalog'!$C$65,((D871+E871)*C871-G871)*'Assumptions and Catalog'!$H$65+'Assumptions and Catalog'!$E$65+'Assumptions and Catalog'!$F$65,"Out of range")))))))))*(1+'Assumptions and Catalog'!$C$8)^(A871-1),0)</f>
        <v>5888.5427757033667</v>
      </c>
      <c r="R871" s="5">
        <f>IF(AND('Assumptions and Catalog'!$C$19&gt;0,A871&gt;='Assumptions and Catalog'!$C$19),A871-'Assumptions and Catalog'!$C$19,A871-1)</f>
        <v>7</v>
      </c>
      <c r="S871" s="5">
        <f>F871+L871-(D871+E871)*C871-J871-K871-IF(E$52&gt;0,'Assumptions and Catalog'!$C$26*C871,0)</f>
        <v>0</v>
      </c>
      <c r="T871" s="5"/>
      <c r="U871" s="5"/>
    </row>
    <row r="872" spans="1:21" ht="23.1" customHeight="1" outlineLevel="1" x14ac:dyDescent="0.2">
      <c r="A872" s="5">
        <v>18</v>
      </c>
      <c r="B872" s="5">
        <v>8</v>
      </c>
      <c r="C872" s="5">
        <f>DAY(DATE('Assumptions and Catalog'!$C$24+A872-1,B872+1,0))</f>
        <v>31</v>
      </c>
      <c r="D872" s="5">
        <f>IF(ISNUMBER(Inputs!$L$5),Inputs!$L$5*Inputs!$L$6,0)</f>
        <v>40.35</v>
      </c>
      <c r="E872" s="5">
        <f>IF(ISNUMBER(Inputs!$L$5),Inputs!$L$5-D872,0)</f>
        <v>40.35</v>
      </c>
      <c r="F872" s="5">
        <f>E$51*'Assumptions and Catalog'!$C$31*C872*(1-'Assumptions and Catalog'!$C$10)^(A872-1)</f>
        <v>779.73333011500802</v>
      </c>
      <c r="G872" s="5">
        <f t="shared" si="60"/>
        <v>779.73333011500802</v>
      </c>
      <c r="H872" s="5">
        <f>I872/('Assumptions and Catalog'!$C$11*'Assumptions and Catalog'!$C$12)</f>
        <v>0</v>
      </c>
      <c r="I872" s="5">
        <f>MIN(E872*C872,P872*'Assumptions and Catalog'!$C$12*C872,(F872-G872)*'Assumptions and Catalog'!$C$11*'Assumptions and Catalog'!$C$12,E$56*'Assumptions and Catalog'!$C$14*'Assumptions and Catalog'!$C$11*'Assumptions and Catalog'!$C$12*C872,E$57*(24-'Assumptions and Catalog'!$C$13)*C872)</f>
        <v>0</v>
      </c>
      <c r="J872" s="5">
        <f t="shared" si="61"/>
        <v>0</v>
      </c>
      <c r="K872" s="5">
        <f t="shared" si="62"/>
        <v>0</v>
      </c>
      <c r="L872" s="5">
        <f>(D872+E872)*C872-G872-I872+0+IF(E$52&gt;0,'Assumptions and Catalog'!$C$26*C872,0)</f>
        <v>1721.9666698849924</v>
      </c>
      <c r="M872" s="5">
        <f>IF(ISNUMBER(Inputs!$L$5),(IF(Inputs!$L$9="Actual flat rate",((D872+E872)*C872)*Inputs!$L$10,IF(Inputs!$C$9="Residential",IF(((D872+E872)*C872)&lt;='Assumptions and Catalog'!$C$50,((D872+E872)*C872)*'Assumptions and Catalog'!$H$50+'Assumptions and Catalog'!$E$50+'Assumptions and Catalog'!$F$50,IF(((D872+E872)*C872)&lt;='Assumptions and Catalog'!$C$51,((D872+E872)*C872)*'Assumptions and Catalog'!$H$51+'Assumptions and Catalog'!$E$51+'Assumptions and Catalog'!$F$51,IF(((D872+E872)*C872)&lt;='Assumptions and Catalog'!$C$52,((D872+E872)*C872)*'Assumptions and Catalog'!$H$52+'Assumptions and Catalog'!$E$52+'Assumptions and Catalog'!$F$52,IF(((D872+E872)*C872)&lt;='Assumptions and Catalog'!$C$53,((D872+E872)*C872)*'Assumptions and Catalog'!$H$53+'Assumptions and Catalog'!$E$53+'Assumptions and Catalog'!$F$53,IF(((D872+E872)*C872)&lt;='Assumptions and Catalog'!$C$54,((D872+E872)*C872)*'Assumptions and Catalog'!$H$54+'Assumptions and Catalog'!$E$54+'Assumptions and Catalog'!$F$54,IF(((D872+E872)*C872)&lt;='Assumptions and Catalog'!$C$55,((D872+E872)*C872)*'Assumptions and Catalog'!$H$55+'Assumptions and Catalog'!$E$55+'Assumptions and Catalog'!$F$55,IF(((D872+E872)*C872)&lt;='Assumptions and Catalog'!$C$56,((D872+E872)*C872)*'Assumptions and Catalog'!$H$56+'Assumptions and Catalog'!$E$56+'Assumptions and Catalog'!$F$56,IF(((D872+E872)*C872)&lt;='Assumptions and Catalog'!$C$57,((D872+E872)*C872)*'Assumptions and Catalog'!$H$57+'Assumptions and Catalog'!$E$57+'Assumptions and Catalog'!$F$57,"Out of range")))))))),IF(((D872+E872)*C872)&lt;='Assumptions and Catalog'!$C$60,((D872+E872)*C872)*'Assumptions and Catalog'!$H$60+'Assumptions and Catalog'!$E$60+'Assumptions and Catalog'!$F$60,IF(((D872+E872)*C872)&lt;='Assumptions and Catalog'!$C$61,((D872+E872)*C872)*'Assumptions and Catalog'!$H$61+'Assumptions and Catalog'!$E$61+'Assumptions and Catalog'!$F$61,IF(((D872+E872)*C872)&lt;='Assumptions and Catalog'!$C$62,((D872+E872)*C872)*'Assumptions and Catalog'!$H$62+'Assumptions and Catalog'!$E$62+'Assumptions and Catalog'!$F$62,IF(((D872+E872)*C872)&lt;='Assumptions and Catalog'!$C$63,((D872+E872)*C872)*'Assumptions and Catalog'!$H$63+'Assumptions and Catalog'!$E$63+'Assumptions and Catalog'!$F$63,IF(((D872+E872)*C872)&lt;='Assumptions and Catalog'!$C$64,((D872+E872)*C872)*'Assumptions and Catalog'!$H$64+'Assumptions and Catalog'!$E$64+'Assumptions and Catalog'!$F$64,IF(((D872+E872)*C872)&lt;='Assumptions and Catalog'!$C$65,((D872+E872)*C872)*'Assumptions and Catalog'!$H$65+'Assumptions and Catalog'!$E$65+'Assumptions and Catalog'!$F$65,"Out of range")))))))))*(1+'Assumptions and Catalog'!$C$8)^(A872-1),0)</f>
        <v>8554.9666666666672</v>
      </c>
      <c r="N872" s="5">
        <f>IF(ISNUMBER(Inputs!$L$5),(IF(Inputs!$L$9="Actual flat rate",L872*Inputs!$L$10,IF(Inputs!$C$9="Residential",IF(L872&lt;='Assumptions and Catalog'!$C$50,L872*'Assumptions and Catalog'!$H$50+'Assumptions and Catalog'!$E$50+'Assumptions and Catalog'!$F$50,IF(L872&lt;='Assumptions and Catalog'!$C$51,L872*'Assumptions and Catalog'!$H$51+'Assumptions and Catalog'!$E$51+'Assumptions and Catalog'!$F$51,IF(L872&lt;='Assumptions and Catalog'!$C$52,L872*'Assumptions and Catalog'!$H$52+'Assumptions and Catalog'!$E$52+'Assumptions and Catalog'!$F$52,IF(L872&lt;='Assumptions and Catalog'!$C$53,L872*'Assumptions and Catalog'!$H$53+'Assumptions and Catalog'!$E$53+'Assumptions and Catalog'!$F$53,IF(L872&lt;='Assumptions and Catalog'!$C$54,L872*'Assumptions and Catalog'!$H$54+'Assumptions and Catalog'!$E$54+'Assumptions and Catalog'!$F$54,IF(L872&lt;='Assumptions and Catalog'!$C$55,L872*'Assumptions and Catalog'!$H$55+'Assumptions and Catalog'!$E$55+'Assumptions and Catalog'!$F$55,IF(L872&lt;='Assumptions and Catalog'!$C$56,L872*'Assumptions and Catalog'!$H$56+'Assumptions and Catalog'!$E$56+'Assumptions and Catalog'!$F$56,IF(L872&lt;='Assumptions and Catalog'!$C$57,L872*'Assumptions and Catalog'!$H$57+'Assumptions and Catalog'!$E$57+'Assumptions and Catalog'!$F$57,"Out of range")))))))),IF(L872&lt;='Assumptions and Catalog'!$C$60,L872*'Assumptions and Catalog'!$H$60+'Assumptions and Catalog'!$E$60+'Assumptions and Catalog'!$F$60,IF(L872&lt;='Assumptions and Catalog'!$C$61,L872*'Assumptions and Catalog'!$H$61+'Assumptions and Catalog'!$E$61+'Assumptions and Catalog'!$F$61,IF(L872&lt;='Assumptions and Catalog'!$C$62,L872*'Assumptions and Catalog'!$H$62+'Assumptions and Catalog'!$E$62+'Assumptions and Catalog'!$F$62,IF(L872&lt;='Assumptions and Catalog'!$C$63,L872*'Assumptions and Catalog'!$H$63+'Assumptions and Catalog'!$E$63+'Assumptions and Catalog'!$F$63,IF(L872&lt;='Assumptions and Catalog'!$C$64,L872*'Assumptions and Catalog'!$H$64+'Assumptions and Catalog'!$E$64+'Assumptions and Catalog'!$F$64,IF(L872&lt;='Assumptions and Catalog'!$C$65,L872*'Assumptions and Catalog'!$H$65+'Assumptions and Catalog'!$E$65+'Assumptions and Catalog'!$F$65,"Out of range")))))))))*(1+'Assumptions and Catalog'!$C$8)^(A872-1),0)</f>
        <v>5888.5427757033667</v>
      </c>
      <c r="O872" s="5">
        <f t="shared" si="63"/>
        <v>2666.4238909633004</v>
      </c>
      <c r="P872" s="5">
        <f>E$55*(1-L$14)*(1-'Assumptions and Catalog'!$C$23)^R872</f>
        <v>88.896054604464112</v>
      </c>
      <c r="Q872" s="5">
        <f>IF(ISNUMBER(Inputs!$L$5),(IF(Inputs!$L$9="Actual flat rate",((D872+E872)*C872-G872)*Inputs!$L$10,IF(Inputs!$C$9="Residential",IF(((D872+E872)*C872-G872)&lt;='Assumptions and Catalog'!$C$50,((D872+E872)*C872-G872)*'Assumptions and Catalog'!$H$50+'Assumptions and Catalog'!$E$50+'Assumptions and Catalog'!$F$50,IF(((D872+E872)*C872-G872)&lt;='Assumptions and Catalog'!$C$51,((D872+E872)*C872-G872)*'Assumptions and Catalog'!$H$51+'Assumptions and Catalog'!$E$51+'Assumptions and Catalog'!$F$51,IF(((D872+E872)*C872-G872)&lt;='Assumptions and Catalog'!$C$52,((D872+E872)*C872-G872)*'Assumptions and Catalog'!$H$52+'Assumptions and Catalog'!$E$52+'Assumptions and Catalog'!$F$52,IF(((D872+E872)*C872-G872)&lt;='Assumptions and Catalog'!$C$53,((D872+E872)*C872-G872)*'Assumptions and Catalog'!$H$53+'Assumptions and Catalog'!$E$53+'Assumptions and Catalog'!$F$53,IF(((D872+E872)*C872-G872)&lt;='Assumptions and Catalog'!$C$54,((D872+E872)*C872-G872)*'Assumptions and Catalog'!$H$54+'Assumptions and Catalog'!$E$54+'Assumptions and Catalog'!$F$54,IF(((D872+E872)*C872-G872)&lt;='Assumptions and Catalog'!$C$55,((D872+E872)*C872-G872)*'Assumptions and Catalog'!$H$55+'Assumptions and Catalog'!$E$55+'Assumptions and Catalog'!$F$55,IF(((D872+E872)*C872-G872)&lt;='Assumptions and Catalog'!$C$56,((D872+E872)*C872-G872)*'Assumptions and Catalog'!$H$56+'Assumptions and Catalog'!$E$56+'Assumptions and Catalog'!$F$56,IF(((D872+E872)*C872-G872)&lt;='Assumptions and Catalog'!$C$57,((D872+E872)*C872-G872)*'Assumptions and Catalog'!$H$57+'Assumptions and Catalog'!$E$57+'Assumptions and Catalog'!$F$57,"Out of range")))))))),IF(((D872+E872)*C872-G872)&lt;='Assumptions and Catalog'!$C$60,((D872+E872)*C872-G872)*'Assumptions and Catalog'!$H$60+'Assumptions and Catalog'!$E$60+'Assumptions and Catalog'!$F$60,IF(((D872+E872)*C872-G872)&lt;='Assumptions and Catalog'!$C$61,((D872+E872)*C872-G872)*'Assumptions and Catalog'!$H$61+'Assumptions and Catalog'!$E$61+'Assumptions and Catalog'!$F$61,IF(((D872+E872)*C872-G872)&lt;='Assumptions and Catalog'!$C$62,((D872+E872)*C872-G872)*'Assumptions and Catalog'!$H$62+'Assumptions and Catalog'!$E$62+'Assumptions and Catalog'!$F$62,IF(((D872+E872)*C872-G872)&lt;='Assumptions and Catalog'!$C$63,((D872+E872)*C872-G872)*'Assumptions and Catalog'!$H$63+'Assumptions and Catalog'!$E$63+'Assumptions and Catalog'!$F$63,IF(((D872+E872)*C872-G872)&lt;='Assumptions and Catalog'!$C$64,((D872+E872)*C872-G872)*'Assumptions and Catalog'!$H$64+'Assumptions and Catalog'!$E$64+'Assumptions and Catalog'!$F$64,IF(((D872+E872)*C872-G872)&lt;='Assumptions and Catalog'!$C$65,((D872+E872)*C872-G872)*'Assumptions and Catalog'!$H$65+'Assumptions and Catalog'!$E$65+'Assumptions and Catalog'!$F$65,"Out of range")))))))))*(1+'Assumptions and Catalog'!$C$8)^(A872-1),0)</f>
        <v>5888.5427757033667</v>
      </c>
      <c r="R872" s="5">
        <f>IF(AND('Assumptions and Catalog'!$C$19&gt;0,A872&gt;='Assumptions and Catalog'!$C$19),A872-'Assumptions and Catalog'!$C$19,A872-1)</f>
        <v>7</v>
      </c>
      <c r="S872" s="5">
        <f>F872+L872-(D872+E872)*C872-J872-K872-IF(E$52&gt;0,'Assumptions and Catalog'!$C$26*C872,0)</f>
        <v>0</v>
      </c>
      <c r="T872" s="5"/>
      <c r="U872" s="5"/>
    </row>
    <row r="873" spans="1:21" ht="23.1" customHeight="1" outlineLevel="1" x14ac:dyDescent="0.2">
      <c r="A873" s="5">
        <v>18</v>
      </c>
      <c r="B873" s="5">
        <v>9</v>
      </c>
      <c r="C873" s="5">
        <f>DAY(DATE('Assumptions and Catalog'!$C$24+A873-1,B873+1,0))</f>
        <v>30</v>
      </c>
      <c r="D873" s="5">
        <f>IF(ISNUMBER(Inputs!$L$5),Inputs!$L$5*Inputs!$L$6,0)</f>
        <v>40.35</v>
      </c>
      <c r="E873" s="5">
        <f>IF(ISNUMBER(Inputs!$L$5),Inputs!$L$5-D873,0)</f>
        <v>40.35</v>
      </c>
      <c r="F873" s="5">
        <f>E$51*'Assumptions and Catalog'!$C$31*C873*(1-'Assumptions and Catalog'!$C$10)^(A873-1)</f>
        <v>754.58064204678192</v>
      </c>
      <c r="G873" s="5">
        <f t="shared" si="60"/>
        <v>754.58064204678192</v>
      </c>
      <c r="H873" s="5">
        <f>I873/('Assumptions and Catalog'!$C$11*'Assumptions and Catalog'!$C$12)</f>
        <v>0</v>
      </c>
      <c r="I873" s="5">
        <f>MIN(E873*C873,P873*'Assumptions and Catalog'!$C$12*C873,(F873-G873)*'Assumptions and Catalog'!$C$11*'Assumptions and Catalog'!$C$12,E$56*'Assumptions and Catalog'!$C$14*'Assumptions and Catalog'!$C$11*'Assumptions and Catalog'!$C$12*C873,E$57*(24-'Assumptions and Catalog'!$C$13)*C873)</f>
        <v>0</v>
      </c>
      <c r="J873" s="5">
        <f t="shared" si="61"/>
        <v>0</v>
      </c>
      <c r="K873" s="5">
        <f t="shared" si="62"/>
        <v>0</v>
      </c>
      <c r="L873" s="5">
        <f>(D873+E873)*C873-G873-I873+0+IF(E$52&gt;0,'Assumptions and Catalog'!$C$26*C873,0)</f>
        <v>1666.419357953218</v>
      </c>
      <c r="M873" s="5">
        <f>IF(ISNUMBER(Inputs!$L$5),(IF(Inputs!$L$9="Actual flat rate",((D873+E873)*C873)*Inputs!$L$10,IF(Inputs!$C$9="Residential",IF(((D873+E873)*C873)&lt;='Assumptions and Catalog'!$C$50,((D873+E873)*C873)*'Assumptions and Catalog'!$H$50+'Assumptions and Catalog'!$E$50+'Assumptions and Catalog'!$F$50,IF(((D873+E873)*C873)&lt;='Assumptions and Catalog'!$C$51,((D873+E873)*C873)*'Assumptions and Catalog'!$H$51+'Assumptions and Catalog'!$E$51+'Assumptions and Catalog'!$F$51,IF(((D873+E873)*C873)&lt;='Assumptions and Catalog'!$C$52,((D873+E873)*C873)*'Assumptions and Catalog'!$H$52+'Assumptions and Catalog'!$E$52+'Assumptions and Catalog'!$F$52,IF(((D873+E873)*C873)&lt;='Assumptions and Catalog'!$C$53,((D873+E873)*C873)*'Assumptions and Catalog'!$H$53+'Assumptions and Catalog'!$E$53+'Assumptions and Catalog'!$F$53,IF(((D873+E873)*C873)&lt;='Assumptions and Catalog'!$C$54,((D873+E873)*C873)*'Assumptions and Catalog'!$H$54+'Assumptions and Catalog'!$E$54+'Assumptions and Catalog'!$F$54,IF(((D873+E873)*C873)&lt;='Assumptions and Catalog'!$C$55,((D873+E873)*C873)*'Assumptions and Catalog'!$H$55+'Assumptions and Catalog'!$E$55+'Assumptions and Catalog'!$F$55,IF(((D873+E873)*C873)&lt;='Assumptions and Catalog'!$C$56,((D873+E873)*C873)*'Assumptions and Catalog'!$H$56+'Assumptions and Catalog'!$E$56+'Assumptions and Catalog'!$F$56,IF(((D873+E873)*C873)&lt;='Assumptions and Catalog'!$C$57,((D873+E873)*C873)*'Assumptions and Catalog'!$H$57+'Assumptions and Catalog'!$E$57+'Assumptions and Catalog'!$F$57,"Out of range")))))))),IF(((D873+E873)*C873)&lt;='Assumptions and Catalog'!$C$60,((D873+E873)*C873)*'Assumptions and Catalog'!$H$60+'Assumptions and Catalog'!$E$60+'Assumptions and Catalog'!$F$60,IF(((D873+E873)*C873)&lt;='Assumptions and Catalog'!$C$61,((D873+E873)*C873)*'Assumptions and Catalog'!$H$61+'Assumptions and Catalog'!$E$61+'Assumptions and Catalog'!$F$61,IF(((D873+E873)*C873)&lt;='Assumptions and Catalog'!$C$62,((D873+E873)*C873)*'Assumptions and Catalog'!$H$62+'Assumptions and Catalog'!$E$62+'Assumptions and Catalog'!$F$62,IF(((D873+E873)*C873)&lt;='Assumptions and Catalog'!$C$63,((D873+E873)*C873)*'Assumptions and Catalog'!$H$63+'Assumptions and Catalog'!$E$63+'Assumptions and Catalog'!$F$63,IF(((D873+E873)*C873)&lt;='Assumptions and Catalog'!$C$64,((D873+E873)*C873)*'Assumptions and Catalog'!$H$64+'Assumptions and Catalog'!$E$64+'Assumptions and Catalog'!$F$64,IF(((D873+E873)*C873)&lt;='Assumptions and Catalog'!$C$65,((D873+E873)*C873)*'Assumptions and Catalog'!$H$65+'Assumptions and Catalog'!$E$65+'Assumptions and Catalog'!$F$65,"Out of range")))))))))*(1+'Assumptions and Catalog'!$C$8)^(A873-1),0)</f>
        <v>8279</v>
      </c>
      <c r="N873" s="5">
        <f>IF(ISNUMBER(Inputs!$L$5),(IF(Inputs!$L$9="Actual flat rate",L873*Inputs!$L$10,IF(Inputs!$C$9="Residential",IF(L873&lt;='Assumptions and Catalog'!$C$50,L873*'Assumptions and Catalog'!$H$50+'Assumptions and Catalog'!$E$50+'Assumptions and Catalog'!$F$50,IF(L873&lt;='Assumptions and Catalog'!$C$51,L873*'Assumptions and Catalog'!$H$51+'Assumptions and Catalog'!$E$51+'Assumptions and Catalog'!$F$51,IF(L873&lt;='Assumptions and Catalog'!$C$52,L873*'Assumptions and Catalog'!$H$52+'Assumptions and Catalog'!$E$52+'Assumptions and Catalog'!$F$52,IF(L873&lt;='Assumptions and Catalog'!$C$53,L873*'Assumptions and Catalog'!$H$53+'Assumptions and Catalog'!$E$53+'Assumptions and Catalog'!$F$53,IF(L873&lt;='Assumptions and Catalog'!$C$54,L873*'Assumptions and Catalog'!$H$54+'Assumptions and Catalog'!$E$54+'Assumptions and Catalog'!$F$54,IF(L873&lt;='Assumptions and Catalog'!$C$55,L873*'Assumptions and Catalog'!$H$55+'Assumptions and Catalog'!$E$55+'Assumptions and Catalog'!$F$55,IF(L873&lt;='Assumptions and Catalog'!$C$56,L873*'Assumptions and Catalog'!$H$56+'Assumptions and Catalog'!$E$56+'Assumptions and Catalog'!$F$56,IF(L873&lt;='Assumptions and Catalog'!$C$57,L873*'Assumptions and Catalog'!$H$57+'Assumptions and Catalog'!$E$57+'Assumptions and Catalog'!$F$57,"Out of range")))))))),IF(L873&lt;='Assumptions and Catalog'!$C$60,L873*'Assumptions and Catalog'!$H$60+'Assumptions and Catalog'!$E$60+'Assumptions and Catalog'!$F$60,IF(L873&lt;='Assumptions and Catalog'!$C$61,L873*'Assumptions and Catalog'!$H$61+'Assumptions and Catalog'!$E$61+'Assumptions and Catalog'!$F$61,IF(L873&lt;='Assumptions and Catalog'!$C$62,L873*'Assumptions and Catalog'!$H$62+'Assumptions and Catalog'!$E$62+'Assumptions and Catalog'!$F$62,IF(L873&lt;='Assumptions and Catalog'!$C$63,L873*'Assumptions and Catalog'!$H$63+'Assumptions and Catalog'!$E$63+'Assumptions and Catalog'!$F$63,IF(L873&lt;='Assumptions and Catalog'!$C$64,L873*'Assumptions and Catalog'!$H$64+'Assumptions and Catalog'!$E$64+'Assumptions and Catalog'!$F$64,IF(L873&lt;='Assumptions and Catalog'!$C$65,L873*'Assumptions and Catalog'!$H$65+'Assumptions and Catalog'!$E$65+'Assumptions and Catalog'!$F$65,"Out of range")))))))))*(1+'Assumptions and Catalog'!$C$8)^(A873-1),0)</f>
        <v>5698.5897829387404</v>
      </c>
      <c r="O873" s="5">
        <f t="shared" si="63"/>
        <v>2580.4102170612596</v>
      </c>
      <c r="P873" s="5">
        <f>E$55*(1-L$14)*(1-'Assumptions and Catalog'!$C$23)^R873</f>
        <v>88.896054604464112</v>
      </c>
      <c r="Q873" s="5">
        <f>IF(ISNUMBER(Inputs!$L$5),(IF(Inputs!$L$9="Actual flat rate",((D873+E873)*C873-G873)*Inputs!$L$10,IF(Inputs!$C$9="Residential",IF(((D873+E873)*C873-G873)&lt;='Assumptions and Catalog'!$C$50,((D873+E873)*C873-G873)*'Assumptions and Catalog'!$H$50+'Assumptions and Catalog'!$E$50+'Assumptions and Catalog'!$F$50,IF(((D873+E873)*C873-G873)&lt;='Assumptions and Catalog'!$C$51,((D873+E873)*C873-G873)*'Assumptions and Catalog'!$H$51+'Assumptions and Catalog'!$E$51+'Assumptions and Catalog'!$F$51,IF(((D873+E873)*C873-G873)&lt;='Assumptions and Catalog'!$C$52,((D873+E873)*C873-G873)*'Assumptions and Catalog'!$H$52+'Assumptions and Catalog'!$E$52+'Assumptions and Catalog'!$F$52,IF(((D873+E873)*C873-G873)&lt;='Assumptions and Catalog'!$C$53,((D873+E873)*C873-G873)*'Assumptions and Catalog'!$H$53+'Assumptions and Catalog'!$E$53+'Assumptions and Catalog'!$F$53,IF(((D873+E873)*C873-G873)&lt;='Assumptions and Catalog'!$C$54,((D873+E873)*C873-G873)*'Assumptions and Catalog'!$H$54+'Assumptions and Catalog'!$E$54+'Assumptions and Catalog'!$F$54,IF(((D873+E873)*C873-G873)&lt;='Assumptions and Catalog'!$C$55,((D873+E873)*C873-G873)*'Assumptions and Catalog'!$H$55+'Assumptions and Catalog'!$E$55+'Assumptions and Catalog'!$F$55,IF(((D873+E873)*C873-G873)&lt;='Assumptions and Catalog'!$C$56,((D873+E873)*C873-G873)*'Assumptions and Catalog'!$H$56+'Assumptions and Catalog'!$E$56+'Assumptions and Catalog'!$F$56,IF(((D873+E873)*C873-G873)&lt;='Assumptions and Catalog'!$C$57,((D873+E873)*C873-G873)*'Assumptions and Catalog'!$H$57+'Assumptions and Catalog'!$E$57+'Assumptions and Catalog'!$F$57,"Out of range")))))))),IF(((D873+E873)*C873-G873)&lt;='Assumptions and Catalog'!$C$60,((D873+E873)*C873-G873)*'Assumptions and Catalog'!$H$60+'Assumptions and Catalog'!$E$60+'Assumptions and Catalog'!$F$60,IF(((D873+E873)*C873-G873)&lt;='Assumptions and Catalog'!$C$61,((D873+E873)*C873-G873)*'Assumptions and Catalog'!$H$61+'Assumptions and Catalog'!$E$61+'Assumptions and Catalog'!$F$61,IF(((D873+E873)*C873-G873)&lt;='Assumptions and Catalog'!$C$62,((D873+E873)*C873-G873)*'Assumptions and Catalog'!$H$62+'Assumptions and Catalog'!$E$62+'Assumptions and Catalog'!$F$62,IF(((D873+E873)*C873-G873)&lt;='Assumptions and Catalog'!$C$63,((D873+E873)*C873-G873)*'Assumptions and Catalog'!$H$63+'Assumptions and Catalog'!$E$63+'Assumptions and Catalog'!$F$63,IF(((D873+E873)*C873-G873)&lt;='Assumptions and Catalog'!$C$64,((D873+E873)*C873-G873)*'Assumptions and Catalog'!$H$64+'Assumptions and Catalog'!$E$64+'Assumptions and Catalog'!$F$64,IF(((D873+E873)*C873-G873)&lt;='Assumptions and Catalog'!$C$65,((D873+E873)*C873-G873)*'Assumptions and Catalog'!$H$65+'Assumptions and Catalog'!$E$65+'Assumptions and Catalog'!$F$65,"Out of range")))))))))*(1+'Assumptions and Catalog'!$C$8)^(A873-1),0)</f>
        <v>5698.5897829387404</v>
      </c>
      <c r="R873" s="5">
        <f>IF(AND('Assumptions and Catalog'!$C$19&gt;0,A873&gt;='Assumptions and Catalog'!$C$19),A873-'Assumptions and Catalog'!$C$19,A873-1)</f>
        <v>7</v>
      </c>
      <c r="S873" s="5">
        <f>F873+L873-(D873+E873)*C873-J873-K873-IF(E$52&gt;0,'Assumptions and Catalog'!$C$26*C873,0)</f>
        <v>0</v>
      </c>
      <c r="T873" s="5"/>
      <c r="U873" s="5"/>
    </row>
    <row r="874" spans="1:21" ht="23.1" customHeight="1" outlineLevel="1" x14ac:dyDescent="0.2">
      <c r="A874" s="5">
        <v>18</v>
      </c>
      <c r="B874" s="5">
        <v>10</v>
      </c>
      <c r="C874" s="5">
        <f>DAY(DATE('Assumptions and Catalog'!$C$24+A874-1,B874+1,0))</f>
        <v>31</v>
      </c>
      <c r="D874" s="5">
        <f>IF(ISNUMBER(Inputs!$L$5),Inputs!$L$5*Inputs!$L$6,0)</f>
        <v>40.35</v>
      </c>
      <c r="E874" s="5">
        <f>IF(ISNUMBER(Inputs!$L$5),Inputs!$L$5-D874,0)</f>
        <v>40.35</v>
      </c>
      <c r="F874" s="5">
        <f>E$51*'Assumptions and Catalog'!$C$31*C874*(1-'Assumptions and Catalog'!$C$10)^(A874-1)</f>
        <v>779.73333011500802</v>
      </c>
      <c r="G874" s="5">
        <f t="shared" si="60"/>
        <v>779.73333011500802</v>
      </c>
      <c r="H874" s="5">
        <f>I874/('Assumptions and Catalog'!$C$11*'Assumptions and Catalog'!$C$12)</f>
        <v>0</v>
      </c>
      <c r="I874" s="5">
        <f>MIN(E874*C874,P874*'Assumptions and Catalog'!$C$12*C874,(F874-G874)*'Assumptions and Catalog'!$C$11*'Assumptions and Catalog'!$C$12,E$56*'Assumptions and Catalog'!$C$14*'Assumptions and Catalog'!$C$11*'Assumptions and Catalog'!$C$12*C874,E$57*(24-'Assumptions and Catalog'!$C$13)*C874)</f>
        <v>0</v>
      </c>
      <c r="J874" s="5">
        <f t="shared" si="61"/>
        <v>0</v>
      </c>
      <c r="K874" s="5">
        <f t="shared" si="62"/>
        <v>0</v>
      </c>
      <c r="L874" s="5">
        <f>(D874+E874)*C874-G874-I874+0+IF(E$52&gt;0,'Assumptions and Catalog'!$C$26*C874,0)</f>
        <v>1721.9666698849924</v>
      </c>
      <c r="M874" s="5">
        <f>IF(ISNUMBER(Inputs!$L$5),(IF(Inputs!$L$9="Actual flat rate",((D874+E874)*C874)*Inputs!$L$10,IF(Inputs!$C$9="Residential",IF(((D874+E874)*C874)&lt;='Assumptions and Catalog'!$C$50,((D874+E874)*C874)*'Assumptions and Catalog'!$H$50+'Assumptions and Catalog'!$E$50+'Assumptions and Catalog'!$F$50,IF(((D874+E874)*C874)&lt;='Assumptions and Catalog'!$C$51,((D874+E874)*C874)*'Assumptions and Catalog'!$H$51+'Assumptions and Catalog'!$E$51+'Assumptions and Catalog'!$F$51,IF(((D874+E874)*C874)&lt;='Assumptions and Catalog'!$C$52,((D874+E874)*C874)*'Assumptions and Catalog'!$H$52+'Assumptions and Catalog'!$E$52+'Assumptions and Catalog'!$F$52,IF(((D874+E874)*C874)&lt;='Assumptions and Catalog'!$C$53,((D874+E874)*C874)*'Assumptions and Catalog'!$H$53+'Assumptions and Catalog'!$E$53+'Assumptions and Catalog'!$F$53,IF(((D874+E874)*C874)&lt;='Assumptions and Catalog'!$C$54,((D874+E874)*C874)*'Assumptions and Catalog'!$H$54+'Assumptions and Catalog'!$E$54+'Assumptions and Catalog'!$F$54,IF(((D874+E874)*C874)&lt;='Assumptions and Catalog'!$C$55,((D874+E874)*C874)*'Assumptions and Catalog'!$H$55+'Assumptions and Catalog'!$E$55+'Assumptions and Catalog'!$F$55,IF(((D874+E874)*C874)&lt;='Assumptions and Catalog'!$C$56,((D874+E874)*C874)*'Assumptions and Catalog'!$H$56+'Assumptions and Catalog'!$E$56+'Assumptions and Catalog'!$F$56,IF(((D874+E874)*C874)&lt;='Assumptions and Catalog'!$C$57,((D874+E874)*C874)*'Assumptions and Catalog'!$H$57+'Assumptions and Catalog'!$E$57+'Assumptions and Catalog'!$F$57,"Out of range")))))))),IF(((D874+E874)*C874)&lt;='Assumptions and Catalog'!$C$60,((D874+E874)*C874)*'Assumptions and Catalog'!$H$60+'Assumptions and Catalog'!$E$60+'Assumptions and Catalog'!$F$60,IF(((D874+E874)*C874)&lt;='Assumptions and Catalog'!$C$61,((D874+E874)*C874)*'Assumptions and Catalog'!$H$61+'Assumptions and Catalog'!$E$61+'Assumptions and Catalog'!$F$61,IF(((D874+E874)*C874)&lt;='Assumptions and Catalog'!$C$62,((D874+E874)*C874)*'Assumptions and Catalog'!$H$62+'Assumptions and Catalog'!$E$62+'Assumptions and Catalog'!$F$62,IF(((D874+E874)*C874)&lt;='Assumptions and Catalog'!$C$63,((D874+E874)*C874)*'Assumptions and Catalog'!$H$63+'Assumptions and Catalog'!$E$63+'Assumptions and Catalog'!$F$63,IF(((D874+E874)*C874)&lt;='Assumptions and Catalog'!$C$64,((D874+E874)*C874)*'Assumptions and Catalog'!$H$64+'Assumptions and Catalog'!$E$64+'Assumptions and Catalog'!$F$64,IF(((D874+E874)*C874)&lt;='Assumptions and Catalog'!$C$65,((D874+E874)*C874)*'Assumptions and Catalog'!$H$65+'Assumptions and Catalog'!$E$65+'Assumptions and Catalog'!$F$65,"Out of range")))))))))*(1+'Assumptions and Catalog'!$C$8)^(A874-1),0)</f>
        <v>8554.9666666666672</v>
      </c>
      <c r="N874" s="5">
        <f>IF(ISNUMBER(Inputs!$L$5),(IF(Inputs!$L$9="Actual flat rate",L874*Inputs!$L$10,IF(Inputs!$C$9="Residential",IF(L874&lt;='Assumptions and Catalog'!$C$50,L874*'Assumptions and Catalog'!$H$50+'Assumptions and Catalog'!$E$50+'Assumptions and Catalog'!$F$50,IF(L874&lt;='Assumptions and Catalog'!$C$51,L874*'Assumptions and Catalog'!$H$51+'Assumptions and Catalog'!$E$51+'Assumptions and Catalog'!$F$51,IF(L874&lt;='Assumptions and Catalog'!$C$52,L874*'Assumptions and Catalog'!$H$52+'Assumptions and Catalog'!$E$52+'Assumptions and Catalog'!$F$52,IF(L874&lt;='Assumptions and Catalog'!$C$53,L874*'Assumptions and Catalog'!$H$53+'Assumptions and Catalog'!$E$53+'Assumptions and Catalog'!$F$53,IF(L874&lt;='Assumptions and Catalog'!$C$54,L874*'Assumptions and Catalog'!$H$54+'Assumptions and Catalog'!$E$54+'Assumptions and Catalog'!$F$54,IF(L874&lt;='Assumptions and Catalog'!$C$55,L874*'Assumptions and Catalog'!$H$55+'Assumptions and Catalog'!$E$55+'Assumptions and Catalog'!$F$55,IF(L874&lt;='Assumptions and Catalog'!$C$56,L874*'Assumptions and Catalog'!$H$56+'Assumptions and Catalog'!$E$56+'Assumptions and Catalog'!$F$56,IF(L874&lt;='Assumptions and Catalog'!$C$57,L874*'Assumptions and Catalog'!$H$57+'Assumptions and Catalog'!$E$57+'Assumptions and Catalog'!$F$57,"Out of range")))))))),IF(L874&lt;='Assumptions and Catalog'!$C$60,L874*'Assumptions and Catalog'!$H$60+'Assumptions and Catalog'!$E$60+'Assumptions and Catalog'!$F$60,IF(L874&lt;='Assumptions and Catalog'!$C$61,L874*'Assumptions and Catalog'!$H$61+'Assumptions and Catalog'!$E$61+'Assumptions and Catalog'!$F$61,IF(L874&lt;='Assumptions and Catalog'!$C$62,L874*'Assumptions and Catalog'!$H$62+'Assumptions and Catalog'!$E$62+'Assumptions and Catalog'!$F$62,IF(L874&lt;='Assumptions and Catalog'!$C$63,L874*'Assumptions and Catalog'!$H$63+'Assumptions and Catalog'!$E$63+'Assumptions and Catalog'!$F$63,IF(L874&lt;='Assumptions and Catalog'!$C$64,L874*'Assumptions and Catalog'!$H$64+'Assumptions and Catalog'!$E$64+'Assumptions and Catalog'!$F$64,IF(L874&lt;='Assumptions and Catalog'!$C$65,L874*'Assumptions and Catalog'!$H$65+'Assumptions and Catalog'!$E$65+'Assumptions and Catalog'!$F$65,"Out of range")))))))))*(1+'Assumptions and Catalog'!$C$8)^(A874-1),0)</f>
        <v>5888.5427757033667</v>
      </c>
      <c r="O874" s="5">
        <f t="shared" si="63"/>
        <v>2666.4238909633004</v>
      </c>
      <c r="P874" s="5">
        <f>E$55*(1-L$14)*(1-'Assumptions and Catalog'!$C$23)^R874</f>
        <v>88.896054604464112</v>
      </c>
      <c r="Q874" s="5">
        <f>IF(ISNUMBER(Inputs!$L$5),(IF(Inputs!$L$9="Actual flat rate",((D874+E874)*C874-G874)*Inputs!$L$10,IF(Inputs!$C$9="Residential",IF(((D874+E874)*C874-G874)&lt;='Assumptions and Catalog'!$C$50,((D874+E874)*C874-G874)*'Assumptions and Catalog'!$H$50+'Assumptions and Catalog'!$E$50+'Assumptions and Catalog'!$F$50,IF(((D874+E874)*C874-G874)&lt;='Assumptions and Catalog'!$C$51,((D874+E874)*C874-G874)*'Assumptions and Catalog'!$H$51+'Assumptions and Catalog'!$E$51+'Assumptions and Catalog'!$F$51,IF(((D874+E874)*C874-G874)&lt;='Assumptions and Catalog'!$C$52,((D874+E874)*C874-G874)*'Assumptions and Catalog'!$H$52+'Assumptions and Catalog'!$E$52+'Assumptions and Catalog'!$F$52,IF(((D874+E874)*C874-G874)&lt;='Assumptions and Catalog'!$C$53,((D874+E874)*C874-G874)*'Assumptions and Catalog'!$H$53+'Assumptions and Catalog'!$E$53+'Assumptions and Catalog'!$F$53,IF(((D874+E874)*C874-G874)&lt;='Assumptions and Catalog'!$C$54,((D874+E874)*C874-G874)*'Assumptions and Catalog'!$H$54+'Assumptions and Catalog'!$E$54+'Assumptions and Catalog'!$F$54,IF(((D874+E874)*C874-G874)&lt;='Assumptions and Catalog'!$C$55,((D874+E874)*C874-G874)*'Assumptions and Catalog'!$H$55+'Assumptions and Catalog'!$E$55+'Assumptions and Catalog'!$F$55,IF(((D874+E874)*C874-G874)&lt;='Assumptions and Catalog'!$C$56,((D874+E874)*C874-G874)*'Assumptions and Catalog'!$H$56+'Assumptions and Catalog'!$E$56+'Assumptions and Catalog'!$F$56,IF(((D874+E874)*C874-G874)&lt;='Assumptions and Catalog'!$C$57,((D874+E874)*C874-G874)*'Assumptions and Catalog'!$H$57+'Assumptions and Catalog'!$E$57+'Assumptions and Catalog'!$F$57,"Out of range")))))))),IF(((D874+E874)*C874-G874)&lt;='Assumptions and Catalog'!$C$60,((D874+E874)*C874-G874)*'Assumptions and Catalog'!$H$60+'Assumptions and Catalog'!$E$60+'Assumptions and Catalog'!$F$60,IF(((D874+E874)*C874-G874)&lt;='Assumptions and Catalog'!$C$61,((D874+E874)*C874-G874)*'Assumptions and Catalog'!$H$61+'Assumptions and Catalog'!$E$61+'Assumptions and Catalog'!$F$61,IF(((D874+E874)*C874-G874)&lt;='Assumptions and Catalog'!$C$62,((D874+E874)*C874-G874)*'Assumptions and Catalog'!$H$62+'Assumptions and Catalog'!$E$62+'Assumptions and Catalog'!$F$62,IF(((D874+E874)*C874-G874)&lt;='Assumptions and Catalog'!$C$63,((D874+E874)*C874-G874)*'Assumptions and Catalog'!$H$63+'Assumptions and Catalog'!$E$63+'Assumptions and Catalog'!$F$63,IF(((D874+E874)*C874-G874)&lt;='Assumptions and Catalog'!$C$64,((D874+E874)*C874-G874)*'Assumptions and Catalog'!$H$64+'Assumptions and Catalog'!$E$64+'Assumptions and Catalog'!$F$64,IF(((D874+E874)*C874-G874)&lt;='Assumptions and Catalog'!$C$65,((D874+E874)*C874-G874)*'Assumptions and Catalog'!$H$65+'Assumptions and Catalog'!$E$65+'Assumptions and Catalog'!$F$65,"Out of range")))))))))*(1+'Assumptions and Catalog'!$C$8)^(A874-1),0)</f>
        <v>5888.5427757033667</v>
      </c>
      <c r="R874" s="5">
        <f>IF(AND('Assumptions and Catalog'!$C$19&gt;0,A874&gt;='Assumptions and Catalog'!$C$19),A874-'Assumptions and Catalog'!$C$19,A874-1)</f>
        <v>7</v>
      </c>
      <c r="S874" s="5">
        <f>F874+L874-(D874+E874)*C874-J874-K874-IF(E$52&gt;0,'Assumptions and Catalog'!$C$26*C874,0)</f>
        <v>0</v>
      </c>
      <c r="T874" s="5"/>
      <c r="U874" s="5"/>
    </row>
    <row r="875" spans="1:21" ht="23.1" customHeight="1" outlineLevel="1" x14ac:dyDescent="0.2">
      <c r="A875" s="5">
        <v>18</v>
      </c>
      <c r="B875" s="5">
        <v>11</v>
      </c>
      <c r="C875" s="5">
        <f>DAY(DATE('Assumptions and Catalog'!$C$24+A875-1,B875+1,0))</f>
        <v>30</v>
      </c>
      <c r="D875" s="5">
        <f>IF(ISNUMBER(Inputs!$L$5),Inputs!$L$5*Inputs!$L$6,0)</f>
        <v>40.35</v>
      </c>
      <c r="E875" s="5">
        <f>IF(ISNUMBER(Inputs!$L$5),Inputs!$L$5-D875,0)</f>
        <v>40.35</v>
      </c>
      <c r="F875" s="5">
        <f>E$51*'Assumptions and Catalog'!$C$31*C875*(1-'Assumptions and Catalog'!$C$10)^(A875-1)</f>
        <v>754.58064204678192</v>
      </c>
      <c r="G875" s="5">
        <f t="shared" si="60"/>
        <v>754.58064204678192</v>
      </c>
      <c r="H875" s="5">
        <f>I875/('Assumptions and Catalog'!$C$11*'Assumptions and Catalog'!$C$12)</f>
        <v>0</v>
      </c>
      <c r="I875" s="5">
        <f>MIN(E875*C875,P875*'Assumptions and Catalog'!$C$12*C875,(F875-G875)*'Assumptions and Catalog'!$C$11*'Assumptions and Catalog'!$C$12,E$56*'Assumptions and Catalog'!$C$14*'Assumptions and Catalog'!$C$11*'Assumptions and Catalog'!$C$12*C875,E$57*(24-'Assumptions and Catalog'!$C$13)*C875)</f>
        <v>0</v>
      </c>
      <c r="J875" s="5">
        <f t="shared" si="61"/>
        <v>0</v>
      </c>
      <c r="K875" s="5">
        <f t="shared" si="62"/>
        <v>0</v>
      </c>
      <c r="L875" s="5">
        <f>(D875+E875)*C875-G875-I875+0+IF(E$52&gt;0,'Assumptions and Catalog'!$C$26*C875,0)</f>
        <v>1666.419357953218</v>
      </c>
      <c r="M875" s="5">
        <f>IF(ISNUMBER(Inputs!$L$5),(IF(Inputs!$L$9="Actual flat rate",((D875+E875)*C875)*Inputs!$L$10,IF(Inputs!$C$9="Residential",IF(((D875+E875)*C875)&lt;='Assumptions and Catalog'!$C$50,((D875+E875)*C875)*'Assumptions and Catalog'!$H$50+'Assumptions and Catalog'!$E$50+'Assumptions and Catalog'!$F$50,IF(((D875+E875)*C875)&lt;='Assumptions and Catalog'!$C$51,((D875+E875)*C875)*'Assumptions and Catalog'!$H$51+'Assumptions and Catalog'!$E$51+'Assumptions and Catalog'!$F$51,IF(((D875+E875)*C875)&lt;='Assumptions and Catalog'!$C$52,((D875+E875)*C875)*'Assumptions and Catalog'!$H$52+'Assumptions and Catalog'!$E$52+'Assumptions and Catalog'!$F$52,IF(((D875+E875)*C875)&lt;='Assumptions and Catalog'!$C$53,((D875+E875)*C875)*'Assumptions and Catalog'!$H$53+'Assumptions and Catalog'!$E$53+'Assumptions and Catalog'!$F$53,IF(((D875+E875)*C875)&lt;='Assumptions and Catalog'!$C$54,((D875+E875)*C875)*'Assumptions and Catalog'!$H$54+'Assumptions and Catalog'!$E$54+'Assumptions and Catalog'!$F$54,IF(((D875+E875)*C875)&lt;='Assumptions and Catalog'!$C$55,((D875+E875)*C875)*'Assumptions and Catalog'!$H$55+'Assumptions and Catalog'!$E$55+'Assumptions and Catalog'!$F$55,IF(((D875+E875)*C875)&lt;='Assumptions and Catalog'!$C$56,((D875+E875)*C875)*'Assumptions and Catalog'!$H$56+'Assumptions and Catalog'!$E$56+'Assumptions and Catalog'!$F$56,IF(((D875+E875)*C875)&lt;='Assumptions and Catalog'!$C$57,((D875+E875)*C875)*'Assumptions and Catalog'!$H$57+'Assumptions and Catalog'!$E$57+'Assumptions and Catalog'!$F$57,"Out of range")))))))),IF(((D875+E875)*C875)&lt;='Assumptions and Catalog'!$C$60,((D875+E875)*C875)*'Assumptions and Catalog'!$H$60+'Assumptions and Catalog'!$E$60+'Assumptions and Catalog'!$F$60,IF(((D875+E875)*C875)&lt;='Assumptions and Catalog'!$C$61,((D875+E875)*C875)*'Assumptions and Catalog'!$H$61+'Assumptions and Catalog'!$E$61+'Assumptions and Catalog'!$F$61,IF(((D875+E875)*C875)&lt;='Assumptions and Catalog'!$C$62,((D875+E875)*C875)*'Assumptions and Catalog'!$H$62+'Assumptions and Catalog'!$E$62+'Assumptions and Catalog'!$F$62,IF(((D875+E875)*C875)&lt;='Assumptions and Catalog'!$C$63,((D875+E875)*C875)*'Assumptions and Catalog'!$H$63+'Assumptions and Catalog'!$E$63+'Assumptions and Catalog'!$F$63,IF(((D875+E875)*C875)&lt;='Assumptions and Catalog'!$C$64,((D875+E875)*C875)*'Assumptions and Catalog'!$H$64+'Assumptions and Catalog'!$E$64+'Assumptions and Catalog'!$F$64,IF(((D875+E875)*C875)&lt;='Assumptions and Catalog'!$C$65,((D875+E875)*C875)*'Assumptions and Catalog'!$H$65+'Assumptions and Catalog'!$E$65+'Assumptions and Catalog'!$F$65,"Out of range")))))))))*(1+'Assumptions and Catalog'!$C$8)^(A875-1),0)</f>
        <v>8279</v>
      </c>
      <c r="N875" s="5">
        <f>IF(ISNUMBER(Inputs!$L$5),(IF(Inputs!$L$9="Actual flat rate",L875*Inputs!$L$10,IF(Inputs!$C$9="Residential",IF(L875&lt;='Assumptions and Catalog'!$C$50,L875*'Assumptions and Catalog'!$H$50+'Assumptions and Catalog'!$E$50+'Assumptions and Catalog'!$F$50,IF(L875&lt;='Assumptions and Catalog'!$C$51,L875*'Assumptions and Catalog'!$H$51+'Assumptions and Catalog'!$E$51+'Assumptions and Catalog'!$F$51,IF(L875&lt;='Assumptions and Catalog'!$C$52,L875*'Assumptions and Catalog'!$H$52+'Assumptions and Catalog'!$E$52+'Assumptions and Catalog'!$F$52,IF(L875&lt;='Assumptions and Catalog'!$C$53,L875*'Assumptions and Catalog'!$H$53+'Assumptions and Catalog'!$E$53+'Assumptions and Catalog'!$F$53,IF(L875&lt;='Assumptions and Catalog'!$C$54,L875*'Assumptions and Catalog'!$H$54+'Assumptions and Catalog'!$E$54+'Assumptions and Catalog'!$F$54,IF(L875&lt;='Assumptions and Catalog'!$C$55,L875*'Assumptions and Catalog'!$H$55+'Assumptions and Catalog'!$E$55+'Assumptions and Catalog'!$F$55,IF(L875&lt;='Assumptions and Catalog'!$C$56,L875*'Assumptions and Catalog'!$H$56+'Assumptions and Catalog'!$E$56+'Assumptions and Catalog'!$F$56,IF(L875&lt;='Assumptions and Catalog'!$C$57,L875*'Assumptions and Catalog'!$H$57+'Assumptions and Catalog'!$E$57+'Assumptions and Catalog'!$F$57,"Out of range")))))))),IF(L875&lt;='Assumptions and Catalog'!$C$60,L875*'Assumptions and Catalog'!$H$60+'Assumptions and Catalog'!$E$60+'Assumptions and Catalog'!$F$60,IF(L875&lt;='Assumptions and Catalog'!$C$61,L875*'Assumptions and Catalog'!$H$61+'Assumptions and Catalog'!$E$61+'Assumptions and Catalog'!$F$61,IF(L875&lt;='Assumptions and Catalog'!$C$62,L875*'Assumptions and Catalog'!$H$62+'Assumptions and Catalog'!$E$62+'Assumptions and Catalog'!$F$62,IF(L875&lt;='Assumptions and Catalog'!$C$63,L875*'Assumptions and Catalog'!$H$63+'Assumptions and Catalog'!$E$63+'Assumptions and Catalog'!$F$63,IF(L875&lt;='Assumptions and Catalog'!$C$64,L875*'Assumptions and Catalog'!$H$64+'Assumptions and Catalog'!$E$64+'Assumptions and Catalog'!$F$64,IF(L875&lt;='Assumptions and Catalog'!$C$65,L875*'Assumptions and Catalog'!$H$65+'Assumptions and Catalog'!$E$65+'Assumptions and Catalog'!$F$65,"Out of range")))))))))*(1+'Assumptions and Catalog'!$C$8)^(A875-1),0)</f>
        <v>5698.5897829387404</v>
      </c>
      <c r="O875" s="5">
        <f t="shared" si="63"/>
        <v>2580.4102170612596</v>
      </c>
      <c r="P875" s="5">
        <f>E$55*(1-L$14)*(1-'Assumptions and Catalog'!$C$23)^R875</f>
        <v>88.896054604464112</v>
      </c>
      <c r="Q875" s="5">
        <f>IF(ISNUMBER(Inputs!$L$5),(IF(Inputs!$L$9="Actual flat rate",((D875+E875)*C875-G875)*Inputs!$L$10,IF(Inputs!$C$9="Residential",IF(((D875+E875)*C875-G875)&lt;='Assumptions and Catalog'!$C$50,((D875+E875)*C875-G875)*'Assumptions and Catalog'!$H$50+'Assumptions and Catalog'!$E$50+'Assumptions and Catalog'!$F$50,IF(((D875+E875)*C875-G875)&lt;='Assumptions and Catalog'!$C$51,((D875+E875)*C875-G875)*'Assumptions and Catalog'!$H$51+'Assumptions and Catalog'!$E$51+'Assumptions and Catalog'!$F$51,IF(((D875+E875)*C875-G875)&lt;='Assumptions and Catalog'!$C$52,((D875+E875)*C875-G875)*'Assumptions and Catalog'!$H$52+'Assumptions and Catalog'!$E$52+'Assumptions and Catalog'!$F$52,IF(((D875+E875)*C875-G875)&lt;='Assumptions and Catalog'!$C$53,((D875+E875)*C875-G875)*'Assumptions and Catalog'!$H$53+'Assumptions and Catalog'!$E$53+'Assumptions and Catalog'!$F$53,IF(((D875+E875)*C875-G875)&lt;='Assumptions and Catalog'!$C$54,((D875+E875)*C875-G875)*'Assumptions and Catalog'!$H$54+'Assumptions and Catalog'!$E$54+'Assumptions and Catalog'!$F$54,IF(((D875+E875)*C875-G875)&lt;='Assumptions and Catalog'!$C$55,((D875+E875)*C875-G875)*'Assumptions and Catalog'!$H$55+'Assumptions and Catalog'!$E$55+'Assumptions and Catalog'!$F$55,IF(((D875+E875)*C875-G875)&lt;='Assumptions and Catalog'!$C$56,((D875+E875)*C875-G875)*'Assumptions and Catalog'!$H$56+'Assumptions and Catalog'!$E$56+'Assumptions and Catalog'!$F$56,IF(((D875+E875)*C875-G875)&lt;='Assumptions and Catalog'!$C$57,((D875+E875)*C875-G875)*'Assumptions and Catalog'!$H$57+'Assumptions and Catalog'!$E$57+'Assumptions and Catalog'!$F$57,"Out of range")))))))),IF(((D875+E875)*C875-G875)&lt;='Assumptions and Catalog'!$C$60,((D875+E875)*C875-G875)*'Assumptions and Catalog'!$H$60+'Assumptions and Catalog'!$E$60+'Assumptions and Catalog'!$F$60,IF(((D875+E875)*C875-G875)&lt;='Assumptions and Catalog'!$C$61,((D875+E875)*C875-G875)*'Assumptions and Catalog'!$H$61+'Assumptions and Catalog'!$E$61+'Assumptions and Catalog'!$F$61,IF(((D875+E875)*C875-G875)&lt;='Assumptions and Catalog'!$C$62,((D875+E875)*C875-G875)*'Assumptions and Catalog'!$H$62+'Assumptions and Catalog'!$E$62+'Assumptions and Catalog'!$F$62,IF(((D875+E875)*C875-G875)&lt;='Assumptions and Catalog'!$C$63,((D875+E875)*C875-G875)*'Assumptions and Catalog'!$H$63+'Assumptions and Catalog'!$E$63+'Assumptions and Catalog'!$F$63,IF(((D875+E875)*C875-G875)&lt;='Assumptions and Catalog'!$C$64,((D875+E875)*C875-G875)*'Assumptions and Catalog'!$H$64+'Assumptions and Catalog'!$E$64+'Assumptions and Catalog'!$F$64,IF(((D875+E875)*C875-G875)&lt;='Assumptions and Catalog'!$C$65,((D875+E875)*C875-G875)*'Assumptions and Catalog'!$H$65+'Assumptions and Catalog'!$E$65+'Assumptions and Catalog'!$F$65,"Out of range")))))))))*(1+'Assumptions and Catalog'!$C$8)^(A875-1),0)</f>
        <v>5698.5897829387404</v>
      </c>
      <c r="R875" s="5">
        <f>IF(AND('Assumptions and Catalog'!$C$19&gt;0,A875&gt;='Assumptions and Catalog'!$C$19),A875-'Assumptions and Catalog'!$C$19,A875-1)</f>
        <v>7</v>
      </c>
      <c r="S875" s="5">
        <f>F875+L875-(D875+E875)*C875-J875-K875-IF(E$52&gt;0,'Assumptions and Catalog'!$C$26*C875,0)</f>
        <v>0</v>
      </c>
      <c r="T875" s="5"/>
      <c r="U875" s="5"/>
    </row>
    <row r="876" spans="1:21" ht="23.1" customHeight="1" outlineLevel="1" x14ac:dyDescent="0.2">
      <c r="A876" s="5">
        <v>18</v>
      </c>
      <c r="B876" s="5">
        <v>12</v>
      </c>
      <c r="C876" s="5">
        <f>DAY(DATE('Assumptions and Catalog'!$C$24+A876-1,B876+1,0))</f>
        <v>31</v>
      </c>
      <c r="D876" s="5">
        <f>IF(ISNUMBER(Inputs!$L$5),Inputs!$L$5*Inputs!$L$6,0)</f>
        <v>40.35</v>
      </c>
      <c r="E876" s="5">
        <f>IF(ISNUMBER(Inputs!$L$5),Inputs!$L$5-D876,0)</f>
        <v>40.35</v>
      </c>
      <c r="F876" s="5">
        <f>E$51*'Assumptions and Catalog'!$C$31*C876*(1-'Assumptions and Catalog'!$C$10)^(A876-1)</f>
        <v>779.73333011500802</v>
      </c>
      <c r="G876" s="5">
        <f t="shared" si="60"/>
        <v>779.73333011500802</v>
      </c>
      <c r="H876" s="5">
        <f>I876/('Assumptions and Catalog'!$C$11*'Assumptions and Catalog'!$C$12)</f>
        <v>0</v>
      </c>
      <c r="I876" s="5">
        <f>MIN(E876*C876,P876*'Assumptions and Catalog'!$C$12*C876,(F876-G876)*'Assumptions and Catalog'!$C$11*'Assumptions and Catalog'!$C$12,E$56*'Assumptions and Catalog'!$C$14*'Assumptions and Catalog'!$C$11*'Assumptions and Catalog'!$C$12*C876,E$57*(24-'Assumptions and Catalog'!$C$13)*C876)</f>
        <v>0</v>
      </c>
      <c r="J876" s="5">
        <f t="shared" si="61"/>
        <v>0</v>
      </c>
      <c r="K876" s="5">
        <f t="shared" si="62"/>
        <v>0</v>
      </c>
      <c r="L876" s="5">
        <f>(D876+E876)*C876-G876-I876+0+IF(E$52&gt;0,'Assumptions and Catalog'!$C$26*C876,0)</f>
        <v>1721.9666698849924</v>
      </c>
      <c r="M876" s="5">
        <f>IF(ISNUMBER(Inputs!$L$5),(IF(Inputs!$L$9="Actual flat rate",((D876+E876)*C876)*Inputs!$L$10,IF(Inputs!$C$9="Residential",IF(((D876+E876)*C876)&lt;='Assumptions and Catalog'!$C$50,((D876+E876)*C876)*'Assumptions and Catalog'!$H$50+'Assumptions and Catalog'!$E$50+'Assumptions and Catalog'!$F$50,IF(((D876+E876)*C876)&lt;='Assumptions and Catalog'!$C$51,((D876+E876)*C876)*'Assumptions and Catalog'!$H$51+'Assumptions and Catalog'!$E$51+'Assumptions and Catalog'!$F$51,IF(((D876+E876)*C876)&lt;='Assumptions and Catalog'!$C$52,((D876+E876)*C876)*'Assumptions and Catalog'!$H$52+'Assumptions and Catalog'!$E$52+'Assumptions and Catalog'!$F$52,IF(((D876+E876)*C876)&lt;='Assumptions and Catalog'!$C$53,((D876+E876)*C876)*'Assumptions and Catalog'!$H$53+'Assumptions and Catalog'!$E$53+'Assumptions and Catalog'!$F$53,IF(((D876+E876)*C876)&lt;='Assumptions and Catalog'!$C$54,((D876+E876)*C876)*'Assumptions and Catalog'!$H$54+'Assumptions and Catalog'!$E$54+'Assumptions and Catalog'!$F$54,IF(((D876+E876)*C876)&lt;='Assumptions and Catalog'!$C$55,((D876+E876)*C876)*'Assumptions and Catalog'!$H$55+'Assumptions and Catalog'!$E$55+'Assumptions and Catalog'!$F$55,IF(((D876+E876)*C876)&lt;='Assumptions and Catalog'!$C$56,((D876+E876)*C876)*'Assumptions and Catalog'!$H$56+'Assumptions and Catalog'!$E$56+'Assumptions and Catalog'!$F$56,IF(((D876+E876)*C876)&lt;='Assumptions and Catalog'!$C$57,((D876+E876)*C876)*'Assumptions and Catalog'!$H$57+'Assumptions and Catalog'!$E$57+'Assumptions and Catalog'!$F$57,"Out of range")))))))),IF(((D876+E876)*C876)&lt;='Assumptions and Catalog'!$C$60,((D876+E876)*C876)*'Assumptions and Catalog'!$H$60+'Assumptions and Catalog'!$E$60+'Assumptions and Catalog'!$F$60,IF(((D876+E876)*C876)&lt;='Assumptions and Catalog'!$C$61,((D876+E876)*C876)*'Assumptions and Catalog'!$H$61+'Assumptions and Catalog'!$E$61+'Assumptions and Catalog'!$F$61,IF(((D876+E876)*C876)&lt;='Assumptions and Catalog'!$C$62,((D876+E876)*C876)*'Assumptions and Catalog'!$H$62+'Assumptions and Catalog'!$E$62+'Assumptions and Catalog'!$F$62,IF(((D876+E876)*C876)&lt;='Assumptions and Catalog'!$C$63,((D876+E876)*C876)*'Assumptions and Catalog'!$H$63+'Assumptions and Catalog'!$E$63+'Assumptions and Catalog'!$F$63,IF(((D876+E876)*C876)&lt;='Assumptions and Catalog'!$C$64,((D876+E876)*C876)*'Assumptions and Catalog'!$H$64+'Assumptions and Catalog'!$E$64+'Assumptions and Catalog'!$F$64,IF(((D876+E876)*C876)&lt;='Assumptions and Catalog'!$C$65,((D876+E876)*C876)*'Assumptions and Catalog'!$H$65+'Assumptions and Catalog'!$E$65+'Assumptions and Catalog'!$F$65,"Out of range")))))))))*(1+'Assumptions and Catalog'!$C$8)^(A876-1),0)</f>
        <v>8554.9666666666672</v>
      </c>
      <c r="N876" s="5">
        <f>IF(ISNUMBER(Inputs!$L$5),(IF(Inputs!$L$9="Actual flat rate",L876*Inputs!$L$10,IF(Inputs!$C$9="Residential",IF(L876&lt;='Assumptions and Catalog'!$C$50,L876*'Assumptions and Catalog'!$H$50+'Assumptions and Catalog'!$E$50+'Assumptions and Catalog'!$F$50,IF(L876&lt;='Assumptions and Catalog'!$C$51,L876*'Assumptions and Catalog'!$H$51+'Assumptions and Catalog'!$E$51+'Assumptions and Catalog'!$F$51,IF(L876&lt;='Assumptions and Catalog'!$C$52,L876*'Assumptions and Catalog'!$H$52+'Assumptions and Catalog'!$E$52+'Assumptions and Catalog'!$F$52,IF(L876&lt;='Assumptions and Catalog'!$C$53,L876*'Assumptions and Catalog'!$H$53+'Assumptions and Catalog'!$E$53+'Assumptions and Catalog'!$F$53,IF(L876&lt;='Assumptions and Catalog'!$C$54,L876*'Assumptions and Catalog'!$H$54+'Assumptions and Catalog'!$E$54+'Assumptions and Catalog'!$F$54,IF(L876&lt;='Assumptions and Catalog'!$C$55,L876*'Assumptions and Catalog'!$H$55+'Assumptions and Catalog'!$E$55+'Assumptions and Catalog'!$F$55,IF(L876&lt;='Assumptions and Catalog'!$C$56,L876*'Assumptions and Catalog'!$H$56+'Assumptions and Catalog'!$E$56+'Assumptions and Catalog'!$F$56,IF(L876&lt;='Assumptions and Catalog'!$C$57,L876*'Assumptions and Catalog'!$H$57+'Assumptions and Catalog'!$E$57+'Assumptions and Catalog'!$F$57,"Out of range")))))))),IF(L876&lt;='Assumptions and Catalog'!$C$60,L876*'Assumptions and Catalog'!$H$60+'Assumptions and Catalog'!$E$60+'Assumptions and Catalog'!$F$60,IF(L876&lt;='Assumptions and Catalog'!$C$61,L876*'Assumptions and Catalog'!$H$61+'Assumptions and Catalog'!$E$61+'Assumptions and Catalog'!$F$61,IF(L876&lt;='Assumptions and Catalog'!$C$62,L876*'Assumptions and Catalog'!$H$62+'Assumptions and Catalog'!$E$62+'Assumptions and Catalog'!$F$62,IF(L876&lt;='Assumptions and Catalog'!$C$63,L876*'Assumptions and Catalog'!$H$63+'Assumptions and Catalog'!$E$63+'Assumptions and Catalog'!$F$63,IF(L876&lt;='Assumptions and Catalog'!$C$64,L876*'Assumptions and Catalog'!$H$64+'Assumptions and Catalog'!$E$64+'Assumptions and Catalog'!$F$64,IF(L876&lt;='Assumptions and Catalog'!$C$65,L876*'Assumptions and Catalog'!$H$65+'Assumptions and Catalog'!$E$65+'Assumptions and Catalog'!$F$65,"Out of range")))))))))*(1+'Assumptions and Catalog'!$C$8)^(A876-1),0)</f>
        <v>5888.5427757033667</v>
      </c>
      <c r="O876" s="5">
        <f t="shared" si="63"/>
        <v>2666.4238909633004</v>
      </c>
      <c r="P876" s="5">
        <f>E$55*(1-L$14)*(1-'Assumptions and Catalog'!$C$23)^R876</f>
        <v>88.896054604464112</v>
      </c>
      <c r="Q876" s="5">
        <f>IF(ISNUMBER(Inputs!$L$5),(IF(Inputs!$L$9="Actual flat rate",((D876+E876)*C876-G876)*Inputs!$L$10,IF(Inputs!$C$9="Residential",IF(((D876+E876)*C876-G876)&lt;='Assumptions and Catalog'!$C$50,((D876+E876)*C876-G876)*'Assumptions and Catalog'!$H$50+'Assumptions and Catalog'!$E$50+'Assumptions and Catalog'!$F$50,IF(((D876+E876)*C876-G876)&lt;='Assumptions and Catalog'!$C$51,((D876+E876)*C876-G876)*'Assumptions and Catalog'!$H$51+'Assumptions and Catalog'!$E$51+'Assumptions and Catalog'!$F$51,IF(((D876+E876)*C876-G876)&lt;='Assumptions and Catalog'!$C$52,((D876+E876)*C876-G876)*'Assumptions and Catalog'!$H$52+'Assumptions and Catalog'!$E$52+'Assumptions and Catalog'!$F$52,IF(((D876+E876)*C876-G876)&lt;='Assumptions and Catalog'!$C$53,((D876+E876)*C876-G876)*'Assumptions and Catalog'!$H$53+'Assumptions and Catalog'!$E$53+'Assumptions and Catalog'!$F$53,IF(((D876+E876)*C876-G876)&lt;='Assumptions and Catalog'!$C$54,((D876+E876)*C876-G876)*'Assumptions and Catalog'!$H$54+'Assumptions and Catalog'!$E$54+'Assumptions and Catalog'!$F$54,IF(((D876+E876)*C876-G876)&lt;='Assumptions and Catalog'!$C$55,((D876+E876)*C876-G876)*'Assumptions and Catalog'!$H$55+'Assumptions and Catalog'!$E$55+'Assumptions and Catalog'!$F$55,IF(((D876+E876)*C876-G876)&lt;='Assumptions and Catalog'!$C$56,((D876+E876)*C876-G876)*'Assumptions and Catalog'!$H$56+'Assumptions and Catalog'!$E$56+'Assumptions and Catalog'!$F$56,IF(((D876+E876)*C876-G876)&lt;='Assumptions and Catalog'!$C$57,((D876+E876)*C876-G876)*'Assumptions and Catalog'!$H$57+'Assumptions and Catalog'!$E$57+'Assumptions and Catalog'!$F$57,"Out of range")))))))),IF(((D876+E876)*C876-G876)&lt;='Assumptions and Catalog'!$C$60,((D876+E876)*C876-G876)*'Assumptions and Catalog'!$H$60+'Assumptions and Catalog'!$E$60+'Assumptions and Catalog'!$F$60,IF(((D876+E876)*C876-G876)&lt;='Assumptions and Catalog'!$C$61,((D876+E876)*C876-G876)*'Assumptions and Catalog'!$H$61+'Assumptions and Catalog'!$E$61+'Assumptions and Catalog'!$F$61,IF(((D876+E876)*C876-G876)&lt;='Assumptions and Catalog'!$C$62,((D876+E876)*C876-G876)*'Assumptions and Catalog'!$H$62+'Assumptions and Catalog'!$E$62+'Assumptions and Catalog'!$F$62,IF(((D876+E876)*C876-G876)&lt;='Assumptions and Catalog'!$C$63,((D876+E876)*C876-G876)*'Assumptions and Catalog'!$H$63+'Assumptions and Catalog'!$E$63+'Assumptions and Catalog'!$F$63,IF(((D876+E876)*C876-G876)&lt;='Assumptions and Catalog'!$C$64,((D876+E876)*C876-G876)*'Assumptions and Catalog'!$H$64+'Assumptions and Catalog'!$E$64+'Assumptions and Catalog'!$F$64,IF(((D876+E876)*C876-G876)&lt;='Assumptions and Catalog'!$C$65,((D876+E876)*C876-G876)*'Assumptions and Catalog'!$H$65+'Assumptions and Catalog'!$E$65+'Assumptions and Catalog'!$F$65,"Out of range")))))))))*(1+'Assumptions and Catalog'!$C$8)^(A876-1),0)</f>
        <v>5888.5427757033667</v>
      </c>
      <c r="R876" s="5">
        <f>IF(AND('Assumptions and Catalog'!$C$19&gt;0,A876&gt;='Assumptions and Catalog'!$C$19),A876-'Assumptions and Catalog'!$C$19,A876-1)</f>
        <v>7</v>
      </c>
      <c r="S876" s="5">
        <f>F876+L876-(D876+E876)*C876-J876-K876-IF(E$52&gt;0,'Assumptions and Catalog'!$C$26*C876,0)</f>
        <v>0</v>
      </c>
      <c r="T876" s="5"/>
      <c r="U876" s="5"/>
    </row>
    <row r="877" spans="1:21" ht="23.1" customHeight="1" outlineLevel="1" x14ac:dyDescent="0.2">
      <c r="A877" s="5">
        <v>19</v>
      </c>
      <c r="B877" s="5">
        <v>1</v>
      </c>
      <c r="C877" s="5">
        <f>DAY(DATE('Assumptions and Catalog'!$C$24+A877-1,B877+1,0))</f>
        <v>31</v>
      </c>
      <c r="D877" s="5">
        <f>IF(ISNUMBER(Inputs!$L$5),Inputs!$L$5*Inputs!$L$6,0)</f>
        <v>40.35</v>
      </c>
      <c r="E877" s="5">
        <f>IF(ISNUMBER(Inputs!$L$5),Inputs!$L$5-D877,0)</f>
        <v>40.35</v>
      </c>
      <c r="F877" s="5">
        <f>E$51*'Assumptions and Catalog'!$C$31*C877*(1-'Assumptions and Catalog'!$C$10)^(A877-1)</f>
        <v>775.83466346443299</v>
      </c>
      <c r="G877" s="5">
        <f t="shared" si="60"/>
        <v>775.83466346443299</v>
      </c>
      <c r="H877" s="5">
        <f>I877/('Assumptions and Catalog'!$C$11*'Assumptions and Catalog'!$C$12)</f>
        <v>0</v>
      </c>
      <c r="I877" s="5">
        <f>MIN(E877*C877,P877*'Assumptions and Catalog'!$C$12*C877,(F877-G877)*'Assumptions and Catalog'!$C$11*'Assumptions and Catalog'!$C$12,E$56*'Assumptions and Catalog'!$C$14*'Assumptions and Catalog'!$C$11*'Assumptions and Catalog'!$C$12*C877,E$57*(24-'Assumptions and Catalog'!$C$13)*C877)</f>
        <v>0</v>
      </c>
      <c r="J877" s="5">
        <f t="shared" si="61"/>
        <v>0</v>
      </c>
      <c r="K877" s="5">
        <f t="shared" si="62"/>
        <v>0</v>
      </c>
      <c r="L877" s="5">
        <f>(D877+E877)*C877-G877-I877+0+IF(E$52&gt;0,'Assumptions and Catalog'!$C$26*C877,0)</f>
        <v>1725.8653365355672</v>
      </c>
      <c r="M877" s="5">
        <f>IF(ISNUMBER(Inputs!$L$5),(IF(Inputs!$L$9="Actual flat rate",((D877+E877)*C877)*Inputs!$L$10,IF(Inputs!$C$9="Residential",IF(((D877+E877)*C877)&lt;='Assumptions and Catalog'!$C$50,((D877+E877)*C877)*'Assumptions and Catalog'!$H$50+'Assumptions and Catalog'!$E$50+'Assumptions and Catalog'!$F$50,IF(((D877+E877)*C877)&lt;='Assumptions and Catalog'!$C$51,((D877+E877)*C877)*'Assumptions and Catalog'!$H$51+'Assumptions and Catalog'!$E$51+'Assumptions and Catalog'!$F$51,IF(((D877+E877)*C877)&lt;='Assumptions and Catalog'!$C$52,((D877+E877)*C877)*'Assumptions and Catalog'!$H$52+'Assumptions and Catalog'!$E$52+'Assumptions and Catalog'!$F$52,IF(((D877+E877)*C877)&lt;='Assumptions and Catalog'!$C$53,((D877+E877)*C877)*'Assumptions and Catalog'!$H$53+'Assumptions and Catalog'!$E$53+'Assumptions and Catalog'!$F$53,IF(((D877+E877)*C877)&lt;='Assumptions and Catalog'!$C$54,((D877+E877)*C877)*'Assumptions and Catalog'!$H$54+'Assumptions and Catalog'!$E$54+'Assumptions and Catalog'!$F$54,IF(((D877+E877)*C877)&lt;='Assumptions and Catalog'!$C$55,((D877+E877)*C877)*'Assumptions and Catalog'!$H$55+'Assumptions and Catalog'!$E$55+'Assumptions and Catalog'!$F$55,IF(((D877+E877)*C877)&lt;='Assumptions and Catalog'!$C$56,((D877+E877)*C877)*'Assumptions and Catalog'!$H$56+'Assumptions and Catalog'!$E$56+'Assumptions and Catalog'!$F$56,IF(((D877+E877)*C877)&lt;='Assumptions and Catalog'!$C$57,((D877+E877)*C877)*'Assumptions and Catalog'!$H$57+'Assumptions and Catalog'!$E$57+'Assumptions and Catalog'!$F$57,"Out of range")))))))),IF(((D877+E877)*C877)&lt;='Assumptions and Catalog'!$C$60,((D877+E877)*C877)*'Assumptions and Catalog'!$H$60+'Assumptions and Catalog'!$E$60+'Assumptions and Catalog'!$F$60,IF(((D877+E877)*C877)&lt;='Assumptions and Catalog'!$C$61,((D877+E877)*C877)*'Assumptions and Catalog'!$H$61+'Assumptions and Catalog'!$E$61+'Assumptions and Catalog'!$F$61,IF(((D877+E877)*C877)&lt;='Assumptions and Catalog'!$C$62,((D877+E877)*C877)*'Assumptions and Catalog'!$H$62+'Assumptions and Catalog'!$E$62+'Assumptions and Catalog'!$F$62,IF(((D877+E877)*C877)&lt;='Assumptions and Catalog'!$C$63,((D877+E877)*C877)*'Assumptions and Catalog'!$H$63+'Assumptions and Catalog'!$E$63+'Assumptions and Catalog'!$F$63,IF(((D877+E877)*C877)&lt;='Assumptions and Catalog'!$C$64,((D877+E877)*C877)*'Assumptions and Catalog'!$H$64+'Assumptions and Catalog'!$E$64+'Assumptions and Catalog'!$F$64,IF(((D877+E877)*C877)&lt;='Assumptions and Catalog'!$C$65,((D877+E877)*C877)*'Assumptions and Catalog'!$H$65+'Assumptions and Catalog'!$E$65+'Assumptions and Catalog'!$F$65,"Out of range")))))))))*(1+'Assumptions and Catalog'!$C$8)^(A877-1),0)</f>
        <v>8554.9666666666672</v>
      </c>
      <c r="N877" s="5">
        <f>IF(ISNUMBER(Inputs!$L$5),(IF(Inputs!$L$9="Actual flat rate",L877*Inputs!$L$10,IF(Inputs!$C$9="Residential",IF(L877&lt;='Assumptions and Catalog'!$C$50,L877*'Assumptions and Catalog'!$H$50+'Assumptions and Catalog'!$E$50+'Assumptions and Catalog'!$F$50,IF(L877&lt;='Assumptions and Catalog'!$C$51,L877*'Assumptions and Catalog'!$H$51+'Assumptions and Catalog'!$E$51+'Assumptions and Catalog'!$F$51,IF(L877&lt;='Assumptions and Catalog'!$C$52,L877*'Assumptions and Catalog'!$H$52+'Assumptions and Catalog'!$E$52+'Assumptions and Catalog'!$F$52,IF(L877&lt;='Assumptions and Catalog'!$C$53,L877*'Assumptions and Catalog'!$H$53+'Assumptions and Catalog'!$E$53+'Assumptions and Catalog'!$F$53,IF(L877&lt;='Assumptions and Catalog'!$C$54,L877*'Assumptions and Catalog'!$H$54+'Assumptions and Catalog'!$E$54+'Assumptions and Catalog'!$F$54,IF(L877&lt;='Assumptions and Catalog'!$C$55,L877*'Assumptions and Catalog'!$H$55+'Assumptions and Catalog'!$E$55+'Assumptions and Catalog'!$F$55,IF(L877&lt;='Assumptions and Catalog'!$C$56,L877*'Assumptions and Catalog'!$H$56+'Assumptions and Catalog'!$E$56+'Assumptions and Catalog'!$F$56,IF(L877&lt;='Assumptions and Catalog'!$C$57,L877*'Assumptions and Catalog'!$H$57+'Assumptions and Catalog'!$E$57+'Assumptions and Catalog'!$F$57,"Out of range")))))))),IF(L877&lt;='Assumptions and Catalog'!$C$60,L877*'Assumptions and Catalog'!$H$60+'Assumptions and Catalog'!$E$60+'Assumptions and Catalog'!$F$60,IF(L877&lt;='Assumptions and Catalog'!$C$61,L877*'Assumptions and Catalog'!$H$61+'Assumptions and Catalog'!$E$61+'Assumptions and Catalog'!$F$61,IF(L877&lt;='Assumptions and Catalog'!$C$62,L877*'Assumptions and Catalog'!$H$62+'Assumptions and Catalog'!$E$62+'Assumptions and Catalog'!$F$62,IF(L877&lt;='Assumptions and Catalog'!$C$63,L877*'Assumptions and Catalog'!$H$63+'Assumptions and Catalog'!$E$63+'Assumptions and Catalog'!$F$63,IF(L877&lt;='Assumptions and Catalog'!$C$64,L877*'Assumptions and Catalog'!$H$64+'Assumptions and Catalog'!$E$64+'Assumptions and Catalog'!$F$64,IF(L877&lt;='Assumptions and Catalog'!$C$65,L877*'Assumptions and Catalog'!$H$65+'Assumptions and Catalog'!$E$65+'Assumptions and Catalog'!$F$65,"Out of range")))))))))*(1+'Assumptions and Catalog'!$C$8)^(A877-1),0)</f>
        <v>5901.8748951581829</v>
      </c>
      <c r="O877" s="5">
        <f t="shared" si="63"/>
        <v>2653.0917715084843</v>
      </c>
      <c r="P877" s="5">
        <f>E$55*(1-L$14)*(1-'Assumptions and Catalog'!$C$23)^R877</f>
        <v>87.118133512374826</v>
      </c>
      <c r="Q877" s="5">
        <f>IF(ISNUMBER(Inputs!$L$5),(IF(Inputs!$L$9="Actual flat rate",((D877+E877)*C877-G877)*Inputs!$L$10,IF(Inputs!$C$9="Residential",IF(((D877+E877)*C877-G877)&lt;='Assumptions and Catalog'!$C$50,((D877+E877)*C877-G877)*'Assumptions and Catalog'!$H$50+'Assumptions and Catalog'!$E$50+'Assumptions and Catalog'!$F$50,IF(((D877+E877)*C877-G877)&lt;='Assumptions and Catalog'!$C$51,((D877+E877)*C877-G877)*'Assumptions and Catalog'!$H$51+'Assumptions and Catalog'!$E$51+'Assumptions and Catalog'!$F$51,IF(((D877+E877)*C877-G877)&lt;='Assumptions and Catalog'!$C$52,((D877+E877)*C877-G877)*'Assumptions and Catalog'!$H$52+'Assumptions and Catalog'!$E$52+'Assumptions and Catalog'!$F$52,IF(((D877+E877)*C877-G877)&lt;='Assumptions and Catalog'!$C$53,((D877+E877)*C877-G877)*'Assumptions and Catalog'!$H$53+'Assumptions and Catalog'!$E$53+'Assumptions and Catalog'!$F$53,IF(((D877+E877)*C877-G877)&lt;='Assumptions and Catalog'!$C$54,((D877+E877)*C877-G877)*'Assumptions and Catalog'!$H$54+'Assumptions and Catalog'!$E$54+'Assumptions and Catalog'!$F$54,IF(((D877+E877)*C877-G877)&lt;='Assumptions and Catalog'!$C$55,((D877+E877)*C877-G877)*'Assumptions and Catalog'!$H$55+'Assumptions and Catalog'!$E$55+'Assumptions and Catalog'!$F$55,IF(((D877+E877)*C877-G877)&lt;='Assumptions and Catalog'!$C$56,((D877+E877)*C877-G877)*'Assumptions and Catalog'!$H$56+'Assumptions and Catalog'!$E$56+'Assumptions and Catalog'!$F$56,IF(((D877+E877)*C877-G877)&lt;='Assumptions and Catalog'!$C$57,((D877+E877)*C877-G877)*'Assumptions and Catalog'!$H$57+'Assumptions and Catalog'!$E$57+'Assumptions and Catalog'!$F$57,"Out of range")))))))),IF(((D877+E877)*C877-G877)&lt;='Assumptions and Catalog'!$C$60,((D877+E877)*C877-G877)*'Assumptions and Catalog'!$H$60+'Assumptions and Catalog'!$E$60+'Assumptions and Catalog'!$F$60,IF(((D877+E877)*C877-G877)&lt;='Assumptions and Catalog'!$C$61,((D877+E877)*C877-G877)*'Assumptions and Catalog'!$H$61+'Assumptions and Catalog'!$E$61+'Assumptions and Catalog'!$F$61,IF(((D877+E877)*C877-G877)&lt;='Assumptions and Catalog'!$C$62,((D877+E877)*C877-G877)*'Assumptions and Catalog'!$H$62+'Assumptions and Catalog'!$E$62+'Assumptions and Catalog'!$F$62,IF(((D877+E877)*C877-G877)&lt;='Assumptions and Catalog'!$C$63,((D877+E877)*C877-G877)*'Assumptions and Catalog'!$H$63+'Assumptions and Catalog'!$E$63+'Assumptions and Catalog'!$F$63,IF(((D877+E877)*C877-G877)&lt;='Assumptions and Catalog'!$C$64,((D877+E877)*C877-G877)*'Assumptions and Catalog'!$H$64+'Assumptions and Catalog'!$E$64+'Assumptions and Catalog'!$F$64,IF(((D877+E877)*C877-G877)&lt;='Assumptions and Catalog'!$C$65,((D877+E877)*C877-G877)*'Assumptions and Catalog'!$H$65+'Assumptions and Catalog'!$E$65+'Assumptions and Catalog'!$F$65,"Out of range")))))))))*(1+'Assumptions and Catalog'!$C$8)^(A877-1),0)</f>
        <v>5901.8748951581829</v>
      </c>
      <c r="R877" s="5">
        <f>IF(AND('Assumptions and Catalog'!$C$19&gt;0,A877&gt;='Assumptions and Catalog'!$C$19),A877-'Assumptions and Catalog'!$C$19,A877-1)</f>
        <v>8</v>
      </c>
      <c r="S877" s="5">
        <f>F877+L877-(D877+E877)*C877-J877-K877-IF(E$52&gt;0,'Assumptions and Catalog'!$C$26*C877,0)</f>
        <v>0</v>
      </c>
      <c r="T877" s="5"/>
      <c r="U877" s="5"/>
    </row>
    <row r="878" spans="1:21" ht="23.1" customHeight="1" outlineLevel="1" x14ac:dyDescent="0.2">
      <c r="A878" s="5">
        <v>19</v>
      </c>
      <c r="B878" s="5">
        <v>2</v>
      </c>
      <c r="C878" s="5">
        <f>DAY(DATE('Assumptions and Catalog'!$C$24+A878-1,B878+1,0))</f>
        <v>28</v>
      </c>
      <c r="D878" s="5">
        <f>IF(ISNUMBER(Inputs!$L$5),Inputs!$L$5*Inputs!$L$6,0)</f>
        <v>40.35</v>
      </c>
      <c r="E878" s="5">
        <f>IF(ISNUMBER(Inputs!$L$5),Inputs!$L$5-D878,0)</f>
        <v>40.35</v>
      </c>
      <c r="F878" s="5">
        <f>E$51*'Assumptions and Catalog'!$C$31*C878*(1-'Assumptions and Catalog'!$C$10)^(A878-1)</f>
        <v>700.75388958077815</v>
      </c>
      <c r="G878" s="5">
        <f t="shared" si="60"/>
        <v>700.75388958077815</v>
      </c>
      <c r="H878" s="5">
        <f>I878/('Assumptions and Catalog'!$C$11*'Assumptions and Catalog'!$C$12)</f>
        <v>0</v>
      </c>
      <c r="I878" s="5">
        <f>MIN(E878*C878,P878*'Assumptions and Catalog'!$C$12*C878,(F878-G878)*'Assumptions and Catalog'!$C$11*'Assumptions and Catalog'!$C$12,E$56*'Assumptions and Catalog'!$C$14*'Assumptions and Catalog'!$C$11*'Assumptions and Catalog'!$C$12*C878,E$57*(24-'Assumptions and Catalog'!$C$13)*C878)</f>
        <v>0</v>
      </c>
      <c r="J878" s="5">
        <f t="shared" si="61"/>
        <v>0</v>
      </c>
      <c r="K878" s="5">
        <f t="shared" si="62"/>
        <v>0</v>
      </c>
      <c r="L878" s="5">
        <f>(D878+E878)*C878-G878-I878+0+IF(E$52&gt;0,'Assumptions and Catalog'!$C$26*C878,0)</f>
        <v>1558.8461104192218</v>
      </c>
      <c r="M878" s="5">
        <f>IF(ISNUMBER(Inputs!$L$5),(IF(Inputs!$L$9="Actual flat rate",((D878+E878)*C878)*Inputs!$L$10,IF(Inputs!$C$9="Residential",IF(((D878+E878)*C878)&lt;='Assumptions and Catalog'!$C$50,((D878+E878)*C878)*'Assumptions and Catalog'!$H$50+'Assumptions and Catalog'!$E$50+'Assumptions and Catalog'!$F$50,IF(((D878+E878)*C878)&lt;='Assumptions and Catalog'!$C$51,((D878+E878)*C878)*'Assumptions and Catalog'!$H$51+'Assumptions and Catalog'!$E$51+'Assumptions and Catalog'!$F$51,IF(((D878+E878)*C878)&lt;='Assumptions and Catalog'!$C$52,((D878+E878)*C878)*'Assumptions and Catalog'!$H$52+'Assumptions and Catalog'!$E$52+'Assumptions and Catalog'!$F$52,IF(((D878+E878)*C878)&lt;='Assumptions and Catalog'!$C$53,((D878+E878)*C878)*'Assumptions and Catalog'!$H$53+'Assumptions and Catalog'!$E$53+'Assumptions and Catalog'!$F$53,IF(((D878+E878)*C878)&lt;='Assumptions and Catalog'!$C$54,((D878+E878)*C878)*'Assumptions and Catalog'!$H$54+'Assumptions and Catalog'!$E$54+'Assumptions and Catalog'!$F$54,IF(((D878+E878)*C878)&lt;='Assumptions and Catalog'!$C$55,((D878+E878)*C878)*'Assumptions and Catalog'!$H$55+'Assumptions and Catalog'!$E$55+'Assumptions and Catalog'!$F$55,IF(((D878+E878)*C878)&lt;='Assumptions and Catalog'!$C$56,((D878+E878)*C878)*'Assumptions and Catalog'!$H$56+'Assumptions and Catalog'!$E$56+'Assumptions and Catalog'!$F$56,IF(((D878+E878)*C878)&lt;='Assumptions and Catalog'!$C$57,((D878+E878)*C878)*'Assumptions and Catalog'!$H$57+'Assumptions and Catalog'!$E$57+'Assumptions and Catalog'!$F$57,"Out of range")))))))),IF(((D878+E878)*C878)&lt;='Assumptions and Catalog'!$C$60,((D878+E878)*C878)*'Assumptions and Catalog'!$H$60+'Assumptions and Catalog'!$E$60+'Assumptions and Catalog'!$F$60,IF(((D878+E878)*C878)&lt;='Assumptions and Catalog'!$C$61,((D878+E878)*C878)*'Assumptions and Catalog'!$H$61+'Assumptions and Catalog'!$E$61+'Assumptions and Catalog'!$F$61,IF(((D878+E878)*C878)&lt;='Assumptions and Catalog'!$C$62,((D878+E878)*C878)*'Assumptions and Catalog'!$H$62+'Assumptions and Catalog'!$E$62+'Assumptions and Catalog'!$F$62,IF(((D878+E878)*C878)&lt;='Assumptions and Catalog'!$C$63,((D878+E878)*C878)*'Assumptions and Catalog'!$H$63+'Assumptions and Catalog'!$E$63+'Assumptions and Catalog'!$F$63,IF(((D878+E878)*C878)&lt;='Assumptions and Catalog'!$C$64,((D878+E878)*C878)*'Assumptions and Catalog'!$H$64+'Assumptions and Catalog'!$E$64+'Assumptions and Catalog'!$F$64,IF(((D878+E878)*C878)&lt;='Assumptions and Catalog'!$C$65,((D878+E878)*C878)*'Assumptions and Catalog'!$H$65+'Assumptions and Catalog'!$E$65+'Assumptions and Catalog'!$F$65,"Out of range")))))))))*(1+'Assumptions and Catalog'!$C$8)^(A878-1),0)</f>
        <v>7727.0666666666657</v>
      </c>
      <c r="N878" s="5">
        <f>IF(ISNUMBER(Inputs!$L$5),(IF(Inputs!$L$9="Actual flat rate",L878*Inputs!$L$10,IF(Inputs!$C$9="Residential",IF(L878&lt;='Assumptions and Catalog'!$C$50,L878*'Assumptions and Catalog'!$H$50+'Assumptions and Catalog'!$E$50+'Assumptions and Catalog'!$F$50,IF(L878&lt;='Assumptions and Catalog'!$C$51,L878*'Assumptions and Catalog'!$H$51+'Assumptions and Catalog'!$E$51+'Assumptions and Catalog'!$F$51,IF(L878&lt;='Assumptions and Catalog'!$C$52,L878*'Assumptions and Catalog'!$H$52+'Assumptions and Catalog'!$E$52+'Assumptions and Catalog'!$F$52,IF(L878&lt;='Assumptions and Catalog'!$C$53,L878*'Assumptions and Catalog'!$H$53+'Assumptions and Catalog'!$E$53+'Assumptions and Catalog'!$F$53,IF(L878&lt;='Assumptions and Catalog'!$C$54,L878*'Assumptions and Catalog'!$H$54+'Assumptions and Catalog'!$E$54+'Assumptions and Catalog'!$F$54,IF(L878&lt;='Assumptions and Catalog'!$C$55,L878*'Assumptions and Catalog'!$H$55+'Assumptions and Catalog'!$E$55+'Assumptions and Catalog'!$F$55,IF(L878&lt;='Assumptions and Catalog'!$C$56,L878*'Assumptions and Catalog'!$H$56+'Assumptions and Catalog'!$E$56+'Assumptions and Catalog'!$F$56,IF(L878&lt;='Assumptions and Catalog'!$C$57,L878*'Assumptions and Catalog'!$H$57+'Assumptions and Catalog'!$E$57+'Assumptions and Catalog'!$F$57,"Out of range")))))))),IF(L878&lt;='Assumptions and Catalog'!$C$60,L878*'Assumptions and Catalog'!$H$60+'Assumptions and Catalog'!$E$60+'Assumptions and Catalog'!$F$60,IF(L878&lt;='Assumptions and Catalog'!$C$61,L878*'Assumptions and Catalog'!$H$61+'Assumptions and Catalog'!$E$61+'Assumptions and Catalog'!$F$61,IF(L878&lt;='Assumptions and Catalog'!$C$62,L878*'Assumptions and Catalog'!$H$62+'Assumptions and Catalog'!$E$62+'Assumptions and Catalog'!$F$62,IF(L878&lt;='Assumptions and Catalog'!$C$63,L878*'Assumptions and Catalog'!$H$63+'Assumptions and Catalog'!$E$63+'Assumptions and Catalog'!$F$63,IF(L878&lt;='Assumptions and Catalog'!$C$64,L878*'Assumptions and Catalog'!$H$64+'Assumptions and Catalog'!$E$64+'Assumptions and Catalog'!$F$64,IF(L878&lt;='Assumptions and Catalog'!$C$65,L878*'Assumptions and Catalog'!$H$65+'Assumptions and Catalog'!$E$65+'Assumptions and Catalog'!$F$65,"Out of range")))))))))*(1+'Assumptions and Catalog'!$C$8)^(A878-1),0)</f>
        <v>5330.7257117557774</v>
      </c>
      <c r="O878" s="5">
        <f t="shared" si="63"/>
        <v>2396.3409549108883</v>
      </c>
      <c r="P878" s="5">
        <f>E$55*(1-L$14)*(1-'Assumptions and Catalog'!$C$23)^R878</f>
        <v>87.118133512374826</v>
      </c>
      <c r="Q878" s="5">
        <f>IF(ISNUMBER(Inputs!$L$5),(IF(Inputs!$L$9="Actual flat rate",((D878+E878)*C878-G878)*Inputs!$L$10,IF(Inputs!$C$9="Residential",IF(((D878+E878)*C878-G878)&lt;='Assumptions and Catalog'!$C$50,((D878+E878)*C878-G878)*'Assumptions and Catalog'!$H$50+'Assumptions and Catalog'!$E$50+'Assumptions and Catalog'!$F$50,IF(((D878+E878)*C878-G878)&lt;='Assumptions and Catalog'!$C$51,((D878+E878)*C878-G878)*'Assumptions and Catalog'!$H$51+'Assumptions and Catalog'!$E$51+'Assumptions and Catalog'!$F$51,IF(((D878+E878)*C878-G878)&lt;='Assumptions and Catalog'!$C$52,((D878+E878)*C878-G878)*'Assumptions and Catalog'!$H$52+'Assumptions and Catalog'!$E$52+'Assumptions and Catalog'!$F$52,IF(((D878+E878)*C878-G878)&lt;='Assumptions and Catalog'!$C$53,((D878+E878)*C878-G878)*'Assumptions and Catalog'!$H$53+'Assumptions and Catalog'!$E$53+'Assumptions and Catalog'!$F$53,IF(((D878+E878)*C878-G878)&lt;='Assumptions and Catalog'!$C$54,((D878+E878)*C878-G878)*'Assumptions and Catalog'!$H$54+'Assumptions and Catalog'!$E$54+'Assumptions and Catalog'!$F$54,IF(((D878+E878)*C878-G878)&lt;='Assumptions and Catalog'!$C$55,((D878+E878)*C878-G878)*'Assumptions and Catalog'!$H$55+'Assumptions and Catalog'!$E$55+'Assumptions and Catalog'!$F$55,IF(((D878+E878)*C878-G878)&lt;='Assumptions and Catalog'!$C$56,((D878+E878)*C878-G878)*'Assumptions and Catalog'!$H$56+'Assumptions and Catalog'!$E$56+'Assumptions and Catalog'!$F$56,IF(((D878+E878)*C878-G878)&lt;='Assumptions and Catalog'!$C$57,((D878+E878)*C878-G878)*'Assumptions and Catalog'!$H$57+'Assumptions and Catalog'!$E$57+'Assumptions and Catalog'!$F$57,"Out of range")))))))),IF(((D878+E878)*C878-G878)&lt;='Assumptions and Catalog'!$C$60,((D878+E878)*C878-G878)*'Assumptions and Catalog'!$H$60+'Assumptions and Catalog'!$E$60+'Assumptions and Catalog'!$F$60,IF(((D878+E878)*C878-G878)&lt;='Assumptions and Catalog'!$C$61,((D878+E878)*C878-G878)*'Assumptions and Catalog'!$H$61+'Assumptions and Catalog'!$E$61+'Assumptions and Catalog'!$F$61,IF(((D878+E878)*C878-G878)&lt;='Assumptions and Catalog'!$C$62,((D878+E878)*C878-G878)*'Assumptions and Catalog'!$H$62+'Assumptions and Catalog'!$E$62+'Assumptions and Catalog'!$F$62,IF(((D878+E878)*C878-G878)&lt;='Assumptions and Catalog'!$C$63,((D878+E878)*C878-G878)*'Assumptions and Catalog'!$H$63+'Assumptions and Catalog'!$E$63+'Assumptions and Catalog'!$F$63,IF(((D878+E878)*C878-G878)&lt;='Assumptions and Catalog'!$C$64,((D878+E878)*C878-G878)*'Assumptions and Catalog'!$H$64+'Assumptions and Catalog'!$E$64+'Assumptions and Catalog'!$F$64,IF(((D878+E878)*C878-G878)&lt;='Assumptions and Catalog'!$C$65,((D878+E878)*C878-G878)*'Assumptions and Catalog'!$H$65+'Assumptions and Catalog'!$E$65+'Assumptions and Catalog'!$F$65,"Out of range")))))))))*(1+'Assumptions and Catalog'!$C$8)^(A878-1),0)</f>
        <v>5330.7257117557774</v>
      </c>
      <c r="R878" s="5">
        <f>IF(AND('Assumptions and Catalog'!$C$19&gt;0,A878&gt;='Assumptions and Catalog'!$C$19),A878-'Assumptions and Catalog'!$C$19,A878-1)</f>
        <v>8</v>
      </c>
      <c r="S878" s="5">
        <f>F878+L878-(D878+E878)*C878-J878-K878-IF(E$52&gt;0,'Assumptions and Catalog'!$C$26*C878,0)</f>
        <v>0</v>
      </c>
      <c r="T878" s="5"/>
      <c r="U878" s="5"/>
    </row>
    <row r="879" spans="1:21" ht="23.1" customHeight="1" outlineLevel="1" x14ac:dyDescent="0.2">
      <c r="A879" s="5">
        <v>19</v>
      </c>
      <c r="B879" s="5">
        <v>3</v>
      </c>
      <c r="C879" s="5">
        <f>DAY(DATE('Assumptions and Catalog'!$C$24+A879-1,B879+1,0))</f>
        <v>31</v>
      </c>
      <c r="D879" s="5">
        <f>IF(ISNUMBER(Inputs!$L$5),Inputs!$L$5*Inputs!$L$6,0)</f>
        <v>40.35</v>
      </c>
      <c r="E879" s="5">
        <f>IF(ISNUMBER(Inputs!$L$5),Inputs!$L$5-D879,0)</f>
        <v>40.35</v>
      </c>
      <c r="F879" s="5">
        <f>E$51*'Assumptions and Catalog'!$C$31*C879*(1-'Assumptions and Catalog'!$C$10)^(A879-1)</f>
        <v>775.83466346443299</v>
      </c>
      <c r="G879" s="5">
        <f t="shared" si="60"/>
        <v>775.83466346443299</v>
      </c>
      <c r="H879" s="5">
        <f>I879/('Assumptions and Catalog'!$C$11*'Assumptions and Catalog'!$C$12)</f>
        <v>0</v>
      </c>
      <c r="I879" s="5">
        <f>MIN(E879*C879,P879*'Assumptions and Catalog'!$C$12*C879,(F879-G879)*'Assumptions and Catalog'!$C$11*'Assumptions and Catalog'!$C$12,E$56*'Assumptions and Catalog'!$C$14*'Assumptions and Catalog'!$C$11*'Assumptions and Catalog'!$C$12*C879,E$57*(24-'Assumptions and Catalog'!$C$13)*C879)</f>
        <v>0</v>
      </c>
      <c r="J879" s="5">
        <f t="shared" si="61"/>
        <v>0</v>
      </c>
      <c r="K879" s="5">
        <f t="shared" si="62"/>
        <v>0</v>
      </c>
      <c r="L879" s="5">
        <f>(D879+E879)*C879-G879-I879+0+IF(E$52&gt;0,'Assumptions and Catalog'!$C$26*C879,0)</f>
        <v>1725.8653365355672</v>
      </c>
      <c r="M879" s="5">
        <f>IF(ISNUMBER(Inputs!$L$5),(IF(Inputs!$L$9="Actual flat rate",((D879+E879)*C879)*Inputs!$L$10,IF(Inputs!$C$9="Residential",IF(((D879+E879)*C879)&lt;='Assumptions and Catalog'!$C$50,((D879+E879)*C879)*'Assumptions and Catalog'!$H$50+'Assumptions and Catalog'!$E$50+'Assumptions and Catalog'!$F$50,IF(((D879+E879)*C879)&lt;='Assumptions and Catalog'!$C$51,((D879+E879)*C879)*'Assumptions and Catalog'!$H$51+'Assumptions and Catalog'!$E$51+'Assumptions and Catalog'!$F$51,IF(((D879+E879)*C879)&lt;='Assumptions and Catalog'!$C$52,((D879+E879)*C879)*'Assumptions and Catalog'!$H$52+'Assumptions and Catalog'!$E$52+'Assumptions and Catalog'!$F$52,IF(((D879+E879)*C879)&lt;='Assumptions and Catalog'!$C$53,((D879+E879)*C879)*'Assumptions and Catalog'!$H$53+'Assumptions and Catalog'!$E$53+'Assumptions and Catalog'!$F$53,IF(((D879+E879)*C879)&lt;='Assumptions and Catalog'!$C$54,((D879+E879)*C879)*'Assumptions and Catalog'!$H$54+'Assumptions and Catalog'!$E$54+'Assumptions and Catalog'!$F$54,IF(((D879+E879)*C879)&lt;='Assumptions and Catalog'!$C$55,((D879+E879)*C879)*'Assumptions and Catalog'!$H$55+'Assumptions and Catalog'!$E$55+'Assumptions and Catalog'!$F$55,IF(((D879+E879)*C879)&lt;='Assumptions and Catalog'!$C$56,((D879+E879)*C879)*'Assumptions and Catalog'!$H$56+'Assumptions and Catalog'!$E$56+'Assumptions and Catalog'!$F$56,IF(((D879+E879)*C879)&lt;='Assumptions and Catalog'!$C$57,((D879+E879)*C879)*'Assumptions and Catalog'!$H$57+'Assumptions and Catalog'!$E$57+'Assumptions and Catalog'!$F$57,"Out of range")))))))),IF(((D879+E879)*C879)&lt;='Assumptions and Catalog'!$C$60,((D879+E879)*C879)*'Assumptions and Catalog'!$H$60+'Assumptions and Catalog'!$E$60+'Assumptions and Catalog'!$F$60,IF(((D879+E879)*C879)&lt;='Assumptions and Catalog'!$C$61,((D879+E879)*C879)*'Assumptions and Catalog'!$H$61+'Assumptions and Catalog'!$E$61+'Assumptions and Catalog'!$F$61,IF(((D879+E879)*C879)&lt;='Assumptions and Catalog'!$C$62,((D879+E879)*C879)*'Assumptions and Catalog'!$H$62+'Assumptions and Catalog'!$E$62+'Assumptions and Catalog'!$F$62,IF(((D879+E879)*C879)&lt;='Assumptions and Catalog'!$C$63,((D879+E879)*C879)*'Assumptions and Catalog'!$H$63+'Assumptions and Catalog'!$E$63+'Assumptions and Catalog'!$F$63,IF(((D879+E879)*C879)&lt;='Assumptions and Catalog'!$C$64,((D879+E879)*C879)*'Assumptions and Catalog'!$H$64+'Assumptions and Catalog'!$E$64+'Assumptions and Catalog'!$F$64,IF(((D879+E879)*C879)&lt;='Assumptions and Catalog'!$C$65,((D879+E879)*C879)*'Assumptions and Catalog'!$H$65+'Assumptions and Catalog'!$E$65+'Assumptions and Catalog'!$F$65,"Out of range")))))))))*(1+'Assumptions and Catalog'!$C$8)^(A879-1),0)</f>
        <v>8554.9666666666672</v>
      </c>
      <c r="N879" s="5">
        <f>IF(ISNUMBER(Inputs!$L$5),(IF(Inputs!$L$9="Actual flat rate",L879*Inputs!$L$10,IF(Inputs!$C$9="Residential",IF(L879&lt;='Assumptions and Catalog'!$C$50,L879*'Assumptions and Catalog'!$H$50+'Assumptions and Catalog'!$E$50+'Assumptions and Catalog'!$F$50,IF(L879&lt;='Assumptions and Catalog'!$C$51,L879*'Assumptions and Catalog'!$H$51+'Assumptions and Catalog'!$E$51+'Assumptions and Catalog'!$F$51,IF(L879&lt;='Assumptions and Catalog'!$C$52,L879*'Assumptions and Catalog'!$H$52+'Assumptions and Catalog'!$E$52+'Assumptions and Catalog'!$F$52,IF(L879&lt;='Assumptions and Catalog'!$C$53,L879*'Assumptions and Catalog'!$H$53+'Assumptions and Catalog'!$E$53+'Assumptions and Catalog'!$F$53,IF(L879&lt;='Assumptions and Catalog'!$C$54,L879*'Assumptions and Catalog'!$H$54+'Assumptions and Catalog'!$E$54+'Assumptions and Catalog'!$F$54,IF(L879&lt;='Assumptions and Catalog'!$C$55,L879*'Assumptions and Catalog'!$H$55+'Assumptions and Catalog'!$E$55+'Assumptions and Catalog'!$F$55,IF(L879&lt;='Assumptions and Catalog'!$C$56,L879*'Assumptions and Catalog'!$H$56+'Assumptions and Catalog'!$E$56+'Assumptions and Catalog'!$F$56,IF(L879&lt;='Assumptions and Catalog'!$C$57,L879*'Assumptions and Catalog'!$H$57+'Assumptions and Catalog'!$E$57+'Assumptions and Catalog'!$F$57,"Out of range")))))))),IF(L879&lt;='Assumptions and Catalog'!$C$60,L879*'Assumptions and Catalog'!$H$60+'Assumptions and Catalog'!$E$60+'Assumptions and Catalog'!$F$60,IF(L879&lt;='Assumptions and Catalog'!$C$61,L879*'Assumptions and Catalog'!$H$61+'Assumptions and Catalog'!$E$61+'Assumptions and Catalog'!$F$61,IF(L879&lt;='Assumptions and Catalog'!$C$62,L879*'Assumptions and Catalog'!$H$62+'Assumptions and Catalog'!$E$62+'Assumptions and Catalog'!$F$62,IF(L879&lt;='Assumptions and Catalog'!$C$63,L879*'Assumptions and Catalog'!$H$63+'Assumptions and Catalog'!$E$63+'Assumptions and Catalog'!$F$63,IF(L879&lt;='Assumptions and Catalog'!$C$64,L879*'Assumptions and Catalog'!$H$64+'Assumptions and Catalog'!$E$64+'Assumptions and Catalog'!$F$64,IF(L879&lt;='Assumptions and Catalog'!$C$65,L879*'Assumptions and Catalog'!$H$65+'Assumptions and Catalog'!$E$65+'Assumptions and Catalog'!$F$65,"Out of range")))))))))*(1+'Assumptions and Catalog'!$C$8)^(A879-1),0)</f>
        <v>5901.8748951581829</v>
      </c>
      <c r="O879" s="5">
        <f t="shared" si="63"/>
        <v>2653.0917715084843</v>
      </c>
      <c r="P879" s="5">
        <f>E$55*(1-L$14)*(1-'Assumptions and Catalog'!$C$23)^R879</f>
        <v>87.118133512374826</v>
      </c>
      <c r="Q879" s="5">
        <f>IF(ISNUMBER(Inputs!$L$5),(IF(Inputs!$L$9="Actual flat rate",((D879+E879)*C879-G879)*Inputs!$L$10,IF(Inputs!$C$9="Residential",IF(((D879+E879)*C879-G879)&lt;='Assumptions and Catalog'!$C$50,((D879+E879)*C879-G879)*'Assumptions and Catalog'!$H$50+'Assumptions and Catalog'!$E$50+'Assumptions and Catalog'!$F$50,IF(((D879+E879)*C879-G879)&lt;='Assumptions and Catalog'!$C$51,((D879+E879)*C879-G879)*'Assumptions and Catalog'!$H$51+'Assumptions and Catalog'!$E$51+'Assumptions and Catalog'!$F$51,IF(((D879+E879)*C879-G879)&lt;='Assumptions and Catalog'!$C$52,((D879+E879)*C879-G879)*'Assumptions and Catalog'!$H$52+'Assumptions and Catalog'!$E$52+'Assumptions and Catalog'!$F$52,IF(((D879+E879)*C879-G879)&lt;='Assumptions and Catalog'!$C$53,((D879+E879)*C879-G879)*'Assumptions and Catalog'!$H$53+'Assumptions and Catalog'!$E$53+'Assumptions and Catalog'!$F$53,IF(((D879+E879)*C879-G879)&lt;='Assumptions and Catalog'!$C$54,((D879+E879)*C879-G879)*'Assumptions and Catalog'!$H$54+'Assumptions and Catalog'!$E$54+'Assumptions and Catalog'!$F$54,IF(((D879+E879)*C879-G879)&lt;='Assumptions and Catalog'!$C$55,((D879+E879)*C879-G879)*'Assumptions and Catalog'!$H$55+'Assumptions and Catalog'!$E$55+'Assumptions and Catalog'!$F$55,IF(((D879+E879)*C879-G879)&lt;='Assumptions and Catalog'!$C$56,((D879+E879)*C879-G879)*'Assumptions and Catalog'!$H$56+'Assumptions and Catalog'!$E$56+'Assumptions and Catalog'!$F$56,IF(((D879+E879)*C879-G879)&lt;='Assumptions and Catalog'!$C$57,((D879+E879)*C879-G879)*'Assumptions and Catalog'!$H$57+'Assumptions and Catalog'!$E$57+'Assumptions and Catalog'!$F$57,"Out of range")))))))),IF(((D879+E879)*C879-G879)&lt;='Assumptions and Catalog'!$C$60,((D879+E879)*C879-G879)*'Assumptions and Catalog'!$H$60+'Assumptions and Catalog'!$E$60+'Assumptions and Catalog'!$F$60,IF(((D879+E879)*C879-G879)&lt;='Assumptions and Catalog'!$C$61,((D879+E879)*C879-G879)*'Assumptions and Catalog'!$H$61+'Assumptions and Catalog'!$E$61+'Assumptions and Catalog'!$F$61,IF(((D879+E879)*C879-G879)&lt;='Assumptions and Catalog'!$C$62,((D879+E879)*C879-G879)*'Assumptions and Catalog'!$H$62+'Assumptions and Catalog'!$E$62+'Assumptions and Catalog'!$F$62,IF(((D879+E879)*C879-G879)&lt;='Assumptions and Catalog'!$C$63,((D879+E879)*C879-G879)*'Assumptions and Catalog'!$H$63+'Assumptions and Catalog'!$E$63+'Assumptions and Catalog'!$F$63,IF(((D879+E879)*C879-G879)&lt;='Assumptions and Catalog'!$C$64,((D879+E879)*C879-G879)*'Assumptions and Catalog'!$H$64+'Assumptions and Catalog'!$E$64+'Assumptions and Catalog'!$F$64,IF(((D879+E879)*C879-G879)&lt;='Assumptions and Catalog'!$C$65,((D879+E879)*C879-G879)*'Assumptions and Catalog'!$H$65+'Assumptions and Catalog'!$E$65+'Assumptions and Catalog'!$F$65,"Out of range")))))))))*(1+'Assumptions and Catalog'!$C$8)^(A879-1),0)</f>
        <v>5901.8748951581829</v>
      </c>
      <c r="R879" s="5">
        <f>IF(AND('Assumptions and Catalog'!$C$19&gt;0,A879&gt;='Assumptions and Catalog'!$C$19),A879-'Assumptions and Catalog'!$C$19,A879-1)</f>
        <v>8</v>
      </c>
      <c r="S879" s="5">
        <f>F879+L879-(D879+E879)*C879-J879-K879-IF(E$52&gt;0,'Assumptions and Catalog'!$C$26*C879,0)</f>
        <v>0</v>
      </c>
      <c r="T879" s="5"/>
      <c r="U879" s="5"/>
    </row>
    <row r="880" spans="1:21" ht="23.1" customHeight="1" outlineLevel="1" x14ac:dyDescent="0.2">
      <c r="A880" s="5">
        <v>19</v>
      </c>
      <c r="B880" s="5">
        <v>4</v>
      </c>
      <c r="C880" s="5">
        <f>DAY(DATE('Assumptions and Catalog'!$C$24+A880-1,B880+1,0))</f>
        <v>30</v>
      </c>
      <c r="D880" s="5">
        <f>IF(ISNUMBER(Inputs!$L$5),Inputs!$L$5*Inputs!$L$6,0)</f>
        <v>40.35</v>
      </c>
      <c r="E880" s="5">
        <f>IF(ISNUMBER(Inputs!$L$5),Inputs!$L$5-D880,0)</f>
        <v>40.35</v>
      </c>
      <c r="F880" s="5">
        <f>E$51*'Assumptions and Catalog'!$C$31*C880*(1-'Assumptions and Catalog'!$C$10)^(A880-1)</f>
        <v>750.80773883654797</v>
      </c>
      <c r="G880" s="5">
        <f t="shared" si="60"/>
        <v>750.80773883654797</v>
      </c>
      <c r="H880" s="5">
        <f>I880/('Assumptions and Catalog'!$C$11*'Assumptions and Catalog'!$C$12)</f>
        <v>0</v>
      </c>
      <c r="I880" s="5">
        <f>MIN(E880*C880,P880*'Assumptions and Catalog'!$C$12*C880,(F880-G880)*'Assumptions and Catalog'!$C$11*'Assumptions and Catalog'!$C$12,E$56*'Assumptions and Catalog'!$C$14*'Assumptions and Catalog'!$C$11*'Assumptions and Catalog'!$C$12*C880,E$57*(24-'Assumptions and Catalog'!$C$13)*C880)</f>
        <v>0</v>
      </c>
      <c r="J880" s="5">
        <f t="shared" si="61"/>
        <v>0</v>
      </c>
      <c r="K880" s="5">
        <f t="shared" si="62"/>
        <v>0</v>
      </c>
      <c r="L880" s="5">
        <f>(D880+E880)*C880-G880-I880+0+IF(E$52&gt;0,'Assumptions and Catalog'!$C$26*C880,0)</f>
        <v>1670.192261163452</v>
      </c>
      <c r="M880" s="5">
        <f>IF(ISNUMBER(Inputs!$L$5),(IF(Inputs!$L$9="Actual flat rate",((D880+E880)*C880)*Inputs!$L$10,IF(Inputs!$C$9="Residential",IF(((D880+E880)*C880)&lt;='Assumptions and Catalog'!$C$50,((D880+E880)*C880)*'Assumptions and Catalog'!$H$50+'Assumptions and Catalog'!$E$50+'Assumptions and Catalog'!$F$50,IF(((D880+E880)*C880)&lt;='Assumptions and Catalog'!$C$51,((D880+E880)*C880)*'Assumptions and Catalog'!$H$51+'Assumptions and Catalog'!$E$51+'Assumptions and Catalog'!$F$51,IF(((D880+E880)*C880)&lt;='Assumptions and Catalog'!$C$52,((D880+E880)*C880)*'Assumptions and Catalog'!$H$52+'Assumptions and Catalog'!$E$52+'Assumptions and Catalog'!$F$52,IF(((D880+E880)*C880)&lt;='Assumptions and Catalog'!$C$53,((D880+E880)*C880)*'Assumptions and Catalog'!$H$53+'Assumptions and Catalog'!$E$53+'Assumptions and Catalog'!$F$53,IF(((D880+E880)*C880)&lt;='Assumptions and Catalog'!$C$54,((D880+E880)*C880)*'Assumptions and Catalog'!$H$54+'Assumptions and Catalog'!$E$54+'Assumptions and Catalog'!$F$54,IF(((D880+E880)*C880)&lt;='Assumptions and Catalog'!$C$55,((D880+E880)*C880)*'Assumptions and Catalog'!$H$55+'Assumptions and Catalog'!$E$55+'Assumptions and Catalog'!$F$55,IF(((D880+E880)*C880)&lt;='Assumptions and Catalog'!$C$56,((D880+E880)*C880)*'Assumptions and Catalog'!$H$56+'Assumptions and Catalog'!$E$56+'Assumptions and Catalog'!$F$56,IF(((D880+E880)*C880)&lt;='Assumptions and Catalog'!$C$57,((D880+E880)*C880)*'Assumptions and Catalog'!$H$57+'Assumptions and Catalog'!$E$57+'Assumptions and Catalog'!$F$57,"Out of range")))))))),IF(((D880+E880)*C880)&lt;='Assumptions and Catalog'!$C$60,((D880+E880)*C880)*'Assumptions and Catalog'!$H$60+'Assumptions and Catalog'!$E$60+'Assumptions and Catalog'!$F$60,IF(((D880+E880)*C880)&lt;='Assumptions and Catalog'!$C$61,((D880+E880)*C880)*'Assumptions and Catalog'!$H$61+'Assumptions and Catalog'!$E$61+'Assumptions and Catalog'!$F$61,IF(((D880+E880)*C880)&lt;='Assumptions and Catalog'!$C$62,((D880+E880)*C880)*'Assumptions and Catalog'!$H$62+'Assumptions and Catalog'!$E$62+'Assumptions and Catalog'!$F$62,IF(((D880+E880)*C880)&lt;='Assumptions and Catalog'!$C$63,((D880+E880)*C880)*'Assumptions and Catalog'!$H$63+'Assumptions and Catalog'!$E$63+'Assumptions and Catalog'!$F$63,IF(((D880+E880)*C880)&lt;='Assumptions and Catalog'!$C$64,((D880+E880)*C880)*'Assumptions and Catalog'!$H$64+'Assumptions and Catalog'!$E$64+'Assumptions and Catalog'!$F$64,IF(((D880+E880)*C880)&lt;='Assumptions and Catalog'!$C$65,((D880+E880)*C880)*'Assumptions and Catalog'!$H$65+'Assumptions and Catalog'!$E$65+'Assumptions and Catalog'!$F$65,"Out of range")))))))))*(1+'Assumptions and Catalog'!$C$8)^(A880-1),0)</f>
        <v>8279</v>
      </c>
      <c r="N880" s="5">
        <f>IF(ISNUMBER(Inputs!$L$5),(IF(Inputs!$L$9="Actual flat rate",L880*Inputs!$L$10,IF(Inputs!$C$9="Residential",IF(L880&lt;='Assumptions and Catalog'!$C$50,L880*'Assumptions and Catalog'!$H$50+'Assumptions and Catalog'!$E$50+'Assumptions and Catalog'!$F$50,IF(L880&lt;='Assumptions and Catalog'!$C$51,L880*'Assumptions and Catalog'!$H$51+'Assumptions and Catalog'!$E$51+'Assumptions and Catalog'!$F$51,IF(L880&lt;='Assumptions and Catalog'!$C$52,L880*'Assumptions and Catalog'!$H$52+'Assumptions and Catalog'!$E$52+'Assumptions and Catalog'!$F$52,IF(L880&lt;='Assumptions and Catalog'!$C$53,L880*'Assumptions and Catalog'!$H$53+'Assumptions and Catalog'!$E$53+'Assumptions and Catalog'!$F$53,IF(L880&lt;='Assumptions and Catalog'!$C$54,L880*'Assumptions and Catalog'!$H$54+'Assumptions and Catalog'!$E$54+'Assumptions and Catalog'!$F$54,IF(L880&lt;='Assumptions and Catalog'!$C$55,L880*'Assumptions and Catalog'!$H$55+'Assumptions and Catalog'!$E$55+'Assumptions and Catalog'!$F$55,IF(L880&lt;='Assumptions and Catalog'!$C$56,L880*'Assumptions and Catalog'!$H$56+'Assumptions and Catalog'!$E$56+'Assumptions and Catalog'!$F$56,IF(L880&lt;='Assumptions and Catalog'!$C$57,L880*'Assumptions and Catalog'!$H$57+'Assumptions and Catalog'!$E$57+'Assumptions and Catalog'!$F$57,"Out of range")))))))),IF(L880&lt;='Assumptions and Catalog'!$C$60,L880*'Assumptions and Catalog'!$H$60+'Assumptions and Catalog'!$E$60+'Assumptions and Catalog'!$F$60,IF(L880&lt;='Assumptions and Catalog'!$C$61,L880*'Assumptions and Catalog'!$H$61+'Assumptions and Catalog'!$E$61+'Assumptions and Catalog'!$F$61,IF(L880&lt;='Assumptions and Catalog'!$C$62,L880*'Assumptions and Catalog'!$H$62+'Assumptions and Catalog'!$E$62+'Assumptions and Catalog'!$F$62,IF(L880&lt;='Assumptions and Catalog'!$C$63,L880*'Assumptions and Catalog'!$H$63+'Assumptions and Catalog'!$E$63+'Assumptions and Catalog'!$F$63,IF(L880&lt;='Assumptions and Catalog'!$C$64,L880*'Assumptions and Catalog'!$H$64+'Assumptions and Catalog'!$E$64+'Assumptions and Catalog'!$F$64,IF(L880&lt;='Assumptions and Catalog'!$C$65,L880*'Assumptions and Catalog'!$H$65+'Assumptions and Catalog'!$E$65+'Assumptions and Catalog'!$F$65,"Out of range")))))))))*(1+'Assumptions and Catalog'!$C$8)^(A880-1),0)</f>
        <v>5711.4918340240474</v>
      </c>
      <c r="O880" s="5">
        <f t="shared" si="63"/>
        <v>2567.5081659759526</v>
      </c>
      <c r="P880" s="5">
        <f>E$55*(1-L$14)*(1-'Assumptions and Catalog'!$C$23)^R880</f>
        <v>87.118133512374826</v>
      </c>
      <c r="Q880" s="5">
        <f>IF(ISNUMBER(Inputs!$L$5),(IF(Inputs!$L$9="Actual flat rate",((D880+E880)*C880-G880)*Inputs!$L$10,IF(Inputs!$C$9="Residential",IF(((D880+E880)*C880-G880)&lt;='Assumptions and Catalog'!$C$50,((D880+E880)*C880-G880)*'Assumptions and Catalog'!$H$50+'Assumptions and Catalog'!$E$50+'Assumptions and Catalog'!$F$50,IF(((D880+E880)*C880-G880)&lt;='Assumptions and Catalog'!$C$51,((D880+E880)*C880-G880)*'Assumptions and Catalog'!$H$51+'Assumptions and Catalog'!$E$51+'Assumptions and Catalog'!$F$51,IF(((D880+E880)*C880-G880)&lt;='Assumptions and Catalog'!$C$52,((D880+E880)*C880-G880)*'Assumptions and Catalog'!$H$52+'Assumptions and Catalog'!$E$52+'Assumptions and Catalog'!$F$52,IF(((D880+E880)*C880-G880)&lt;='Assumptions and Catalog'!$C$53,((D880+E880)*C880-G880)*'Assumptions and Catalog'!$H$53+'Assumptions and Catalog'!$E$53+'Assumptions and Catalog'!$F$53,IF(((D880+E880)*C880-G880)&lt;='Assumptions and Catalog'!$C$54,((D880+E880)*C880-G880)*'Assumptions and Catalog'!$H$54+'Assumptions and Catalog'!$E$54+'Assumptions and Catalog'!$F$54,IF(((D880+E880)*C880-G880)&lt;='Assumptions and Catalog'!$C$55,((D880+E880)*C880-G880)*'Assumptions and Catalog'!$H$55+'Assumptions and Catalog'!$E$55+'Assumptions and Catalog'!$F$55,IF(((D880+E880)*C880-G880)&lt;='Assumptions and Catalog'!$C$56,((D880+E880)*C880-G880)*'Assumptions and Catalog'!$H$56+'Assumptions and Catalog'!$E$56+'Assumptions and Catalog'!$F$56,IF(((D880+E880)*C880-G880)&lt;='Assumptions and Catalog'!$C$57,((D880+E880)*C880-G880)*'Assumptions and Catalog'!$H$57+'Assumptions and Catalog'!$E$57+'Assumptions and Catalog'!$F$57,"Out of range")))))))),IF(((D880+E880)*C880-G880)&lt;='Assumptions and Catalog'!$C$60,((D880+E880)*C880-G880)*'Assumptions and Catalog'!$H$60+'Assumptions and Catalog'!$E$60+'Assumptions and Catalog'!$F$60,IF(((D880+E880)*C880-G880)&lt;='Assumptions and Catalog'!$C$61,((D880+E880)*C880-G880)*'Assumptions and Catalog'!$H$61+'Assumptions and Catalog'!$E$61+'Assumptions and Catalog'!$F$61,IF(((D880+E880)*C880-G880)&lt;='Assumptions and Catalog'!$C$62,((D880+E880)*C880-G880)*'Assumptions and Catalog'!$H$62+'Assumptions and Catalog'!$E$62+'Assumptions and Catalog'!$F$62,IF(((D880+E880)*C880-G880)&lt;='Assumptions and Catalog'!$C$63,((D880+E880)*C880-G880)*'Assumptions and Catalog'!$H$63+'Assumptions and Catalog'!$E$63+'Assumptions and Catalog'!$F$63,IF(((D880+E880)*C880-G880)&lt;='Assumptions and Catalog'!$C$64,((D880+E880)*C880-G880)*'Assumptions and Catalog'!$H$64+'Assumptions and Catalog'!$E$64+'Assumptions and Catalog'!$F$64,IF(((D880+E880)*C880-G880)&lt;='Assumptions and Catalog'!$C$65,((D880+E880)*C880-G880)*'Assumptions and Catalog'!$H$65+'Assumptions and Catalog'!$E$65+'Assumptions and Catalog'!$F$65,"Out of range")))))))))*(1+'Assumptions and Catalog'!$C$8)^(A880-1),0)</f>
        <v>5711.4918340240474</v>
      </c>
      <c r="R880" s="5">
        <f>IF(AND('Assumptions and Catalog'!$C$19&gt;0,A880&gt;='Assumptions and Catalog'!$C$19),A880-'Assumptions and Catalog'!$C$19,A880-1)</f>
        <v>8</v>
      </c>
      <c r="S880" s="5">
        <f>F880+L880-(D880+E880)*C880-J880-K880-IF(E$52&gt;0,'Assumptions and Catalog'!$C$26*C880,0)</f>
        <v>0</v>
      </c>
      <c r="T880" s="5"/>
      <c r="U880" s="5"/>
    </row>
    <row r="881" spans="1:21" ht="23.1" customHeight="1" outlineLevel="1" x14ac:dyDescent="0.2">
      <c r="A881" s="5">
        <v>19</v>
      </c>
      <c r="B881" s="5">
        <v>5</v>
      </c>
      <c r="C881" s="5">
        <f>DAY(DATE('Assumptions and Catalog'!$C$24+A881-1,B881+1,0))</f>
        <v>31</v>
      </c>
      <c r="D881" s="5">
        <f>IF(ISNUMBER(Inputs!$L$5),Inputs!$L$5*Inputs!$L$6,0)</f>
        <v>40.35</v>
      </c>
      <c r="E881" s="5">
        <f>IF(ISNUMBER(Inputs!$L$5),Inputs!$L$5-D881,0)</f>
        <v>40.35</v>
      </c>
      <c r="F881" s="5">
        <f>E$51*'Assumptions and Catalog'!$C$31*C881*(1-'Assumptions and Catalog'!$C$10)^(A881-1)</f>
        <v>775.83466346443299</v>
      </c>
      <c r="G881" s="5">
        <f t="shared" si="60"/>
        <v>775.83466346443299</v>
      </c>
      <c r="H881" s="5">
        <f>I881/('Assumptions and Catalog'!$C$11*'Assumptions and Catalog'!$C$12)</f>
        <v>0</v>
      </c>
      <c r="I881" s="5">
        <f>MIN(E881*C881,P881*'Assumptions and Catalog'!$C$12*C881,(F881-G881)*'Assumptions and Catalog'!$C$11*'Assumptions and Catalog'!$C$12,E$56*'Assumptions and Catalog'!$C$14*'Assumptions and Catalog'!$C$11*'Assumptions and Catalog'!$C$12*C881,E$57*(24-'Assumptions and Catalog'!$C$13)*C881)</f>
        <v>0</v>
      </c>
      <c r="J881" s="5">
        <f t="shared" si="61"/>
        <v>0</v>
      </c>
      <c r="K881" s="5">
        <f t="shared" si="62"/>
        <v>0</v>
      </c>
      <c r="L881" s="5">
        <f>(D881+E881)*C881-G881-I881+0+IF(E$52&gt;0,'Assumptions and Catalog'!$C$26*C881,0)</f>
        <v>1725.8653365355672</v>
      </c>
      <c r="M881" s="5">
        <f>IF(ISNUMBER(Inputs!$L$5),(IF(Inputs!$L$9="Actual flat rate",((D881+E881)*C881)*Inputs!$L$10,IF(Inputs!$C$9="Residential",IF(((D881+E881)*C881)&lt;='Assumptions and Catalog'!$C$50,((D881+E881)*C881)*'Assumptions and Catalog'!$H$50+'Assumptions and Catalog'!$E$50+'Assumptions and Catalog'!$F$50,IF(((D881+E881)*C881)&lt;='Assumptions and Catalog'!$C$51,((D881+E881)*C881)*'Assumptions and Catalog'!$H$51+'Assumptions and Catalog'!$E$51+'Assumptions and Catalog'!$F$51,IF(((D881+E881)*C881)&lt;='Assumptions and Catalog'!$C$52,((D881+E881)*C881)*'Assumptions and Catalog'!$H$52+'Assumptions and Catalog'!$E$52+'Assumptions and Catalog'!$F$52,IF(((D881+E881)*C881)&lt;='Assumptions and Catalog'!$C$53,((D881+E881)*C881)*'Assumptions and Catalog'!$H$53+'Assumptions and Catalog'!$E$53+'Assumptions and Catalog'!$F$53,IF(((D881+E881)*C881)&lt;='Assumptions and Catalog'!$C$54,((D881+E881)*C881)*'Assumptions and Catalog'!$H$54+'Assumptions and Catalog'!$E$54+'Assumptions and Catalog'!$F$54,IF(((D881+E881)*C881)&lt;='Assumptions and Catalog'!$C$55,((D881+E881)*C881)*'Assumptions and Catalog'!$H$55+'Assumptions and Catalog'!$E$55+'Assumptions and Catalog'!$F$55,IF(((D881+E881)*C881)&lt;='Assumptions and Catalog'!$C$56,((D881+E881)*C881)*'Assumptions and Catalog'!$H$56+'Assumptions and Catalog'!$E$56+'Assumptions and Catalog'!$F$56,IF(((D881+E881)*C881)&lt;='Assumptions and Catalog'!$C$57,((D881+E881)*C881)*'Assumptions and Catalog'!$H$57+'Assumptions and Catalog'!$E$57+'Assumptions and Catalog'!$F$57,"Out of range")))))))),IF(((D881+E881)*C881)&lt;='Assumptions and Catalog'!$C$60,((D881+E881)*C881)*'Assumptions and Catalog'!$H$60+'Assumptions and Catalog'!$E$60+'Assumptions and Catalog'!$F$60,IF(((D881+E881)*C881)&lt;='Assumptions and Catalog'!$C$61,((D881+E881)*C881)*'Assumptions and Catalog'!$H$61+'Assumptions and Catalog'!$E$61+'Assumptions and Catalog'!$F$61,IF(((D881+E881)*C881)&lt;='Assumptions and Catalog'!$C$62,((D881+E881)*C881)*'Assumptions and Catalog'!$H$62+'Assumptions and Catalog'!$E$62+'Assumptions and Catalog'!$F$62,IF(((D881+E881)*C881)&lt;='Assumptions and Catalog'!$C$63,((D881+E881)*C881)*'Assumptions and Catalog'!$H$63+'Assumptions and Catalog'!$E$63+'Assumptions and Catalog'!$F$63,IF(((D881+E881)*C881)&lt;='Assumptions and Catalog'!$C$64,((D881+E881)*C881)*'Assumptions and Catalog'!$H$64+'Assumptions and Catalog'!$E$64+'Assumptions and Catalog'!$F$64,IF(((D881+E881)*C881)&lt;='Assumptions and Catalog'!$C$65,((D881+E881)*C881)*'Assumptions and Catalog'!$H$65+'Assumptions and Catalog'!$E$65+'Assumptions and Catalog'!$F$65,"Out of range")))))))))*(1+'Assumptions and Catalog'!$C$8)^(A881-1),0)</f>
        <v>8554.9666666666672</v>
      </c>
      <c r="N881" s="5">
        <f>IF(ISNUMBER(Inputs!$L$5),(IF(Inputs!$L$9="Actual flat rate",L881*Inputs!$L$10,IF(Inputs!$C$9="Residential",IF(L881&lt;='Assumptions and Catalog'!$C$50,L881*'Assumptions and Catalog'!$H$50+'Assumptions and Catalog'!$E$50+'Assumptions and Catalog'!$F$50,IF(L881&lt;='Assumptions and Catalog'!$C$51,L881*'Assumptions and Catalog'!$H$51+'Assumptions and Catalog'!$E$51+'Assumptions and Catalog'!$F$51,IF(L881&lt;='Assumptions and Catalog'!$C$52,L881*'Assumptions and Catalog'!$H$52+'Assumptions and Catalog'!$E$52+'Assumptions and Catalog'!$F$52,IF(L881&lt;='Assumptions and Catalog'!$C$53,L881*'Assumptions and Catalog'!$H$53+'Assumptions and Catalog'!$E$53+'Assumptions and Catalog'!$F$53,IF(L881&lt;='Assumptions and Catalog'!$C$54,L881*'Assumptions and Catalog'!$H$54+'Assumptions and Catalog'!$E$54+'Assumptions and Catalog'!$F$54,IF(L881&lt;='Assumptions and Catalog'!$C$55,L881*'Assumptions and Catalog'!$H$55+'Assumptions and Catalog'!$E$55+'Assumptions and Catalog'!$F$55,IF(L881&lt;='Assumptions and Catalog'!$C$56,L881*'Assumptions and Catalog'!$H$56+'Assumptions and Catalog'!$E$56+'Assumptions and Catalog'!$F$56,IF(L881&lt;='Assumptions and Catalog'!$C$57,L881*'Assumptions and Catalog'!$H$57+'Assumptions and Catalog'!$E$57+'Assumptions and Catalog'!$F$57,"Out of range")))))))),IF(L881&lt;='Assumptions and Catalog'!$C$60,L881*'Assumptions and Catalog'!$H$60+'Assumptions and Catalog'!$E$60+'Assumptions and Catalog'!$F$60,IF(L881&lt;='Assumptions and Catalog'!$C$61,L881*'Assumptions and Catalog'!$H$61+'Assumptions and Catalog'!$E$61+'Assumptions and Catalog'!$F$61,IF(L881&lt;='Assumptions and Catalog'!$C$62,L881*'Assumptions and Catalog'!$H$62+'Assumptions and Catalog'!$E$62+'Assumptions and Catalog'!$F$62,IF(L881&lt;='Assumptions and Catalog'!$C$63,L881*'Assumptions and Catalog'!$H$63+'Assumptions and Catalog'!$E$63+'Assumptions and Catalog'!$F$63,IF(L881&lt;='Assumptions and Catalog'!$C$64,L881*'Assumptions and Catalog'!$H$64+'Assumptions and Catalog'!$E$64+'Assumptions and Catalog'!$F$64,IF(L881&lt;='Assumptions and Catalog'!$C$65,L881*'Assumptions and Catalog'!$H$65+'Assumptions and Catalog'!$E$65+'Assumptions and Catalog'!$F$65,"Out of range")))))))))*(1+'Assumptions and Catalog'!$C$8)^(A881-1),0)</f>
        <v>5901.8748951581829</v>
      </c>
      <c r="O881" s="5">
        <f t="shared" si="63"/>
        <v>2653.0917715084843</v>
      </c>
      <c r="P881" s="5">
        <f>E$55*(1-L$14)*(1-'Assumptions and Catalog'!$C$23)^R881</f>
        <v>87.118133512374826</v>
      </c>
      <c r="Q881" s="5">
        <f>IF(ISNUMBER(Inputs!$L$5),(IF(Inputs!$L$9="Actual flat rate",((D881+E881)*C881-G881)*Inputs!$L$10,IF(Inputs!$C$9="Residential",IF(((D881+E881)*C881-G881)&lt;='Assumptions and Catalog'!$C$50,((D881+E881)*C881-G881)*'Assumptions and Catalog'!$H$50+'Assumptions and Catalog'!$E$50+'Assumptions and Catalog'!$F$50,IF(((D881+E881)*C881-G881)&lt;='Assumptions and Catalog'!$C$51,((D881+E881)*C881-G881)*'Assumptions and Catalog'!$H$51+'Assumptions and Catalog'!$E$51+'Assumptions and Catalog'!$F$51,IF(((D881+E881)*C881-G881)&lt;='Assumptions and Catalog'!$C$52,((D881+E881)*C881-G881)*'Assumptions and Catalog'!$H$52+'Assumptions and Catalog'!$E$52+'Assumptions and Catalog'!$F$52,IF(((D881+E881)*C881-G881)&lt;='Assumptions and Catalog'!$C$53,((D881+E881)*C881-G881)*'Assumptions and Catalog'!$H$53+'Assumptions and Catalog'!$E$53+'Assumptions and Catalog'!$F$53,IF(((D881+E881)*C881-G881)&lt;='Assumptions and Catalog'!$C$54,((D881+E881)*C881-G881)*'Assumptions and Catalog'!$H$54+'Assumptions and Catalog'!$E$54+'Assumptions and Catalog'!$F$54,IF(((D881+E881)*C881-G881)&lt;='Assumptions and Catalog'!$C$55,((D881+E881)*C881-G881)*'Assumptions and Catalog'!$H$55+'Assumptions and Catalog'!$E$55+'Assumptions and Catalog'!$F$55,IF(((D881+E881)*C881-G881)&lt;='Assumptions and Catalog'!$C$56,((D881+E881)*C881-G881)*'Assumptions and Catalog'!$H$56+'Assumptions and Catalog'!$E$56+'Assumptions and Catalog'!$F$56,IF(((D881+E881)*C881-G881)&lt;='Assumptions and Catalog'!$C$57,((D881+E881)*C881-G881)*'Assumptions and Catalog'!$H$57+'Assumptions and Catalog'!$E$57+'Assumptions and Catalog'!$F$57,"Out of range")))))))),IF(((D881+E881)*C881-G881)&lt;='Assumptions and Catalog'!$C$60,((D881+E881)*C881-G881)*'Assumptions and Catalog'!$H$60+'Assumptions and Catalog'!$E$60+'Assumptions and Catalog'!$F$60,IF(((D881+E881)*C881-G881)&lt;='Assumptions and Catalog'!$C$61,((D881+E881)*C881-G881)*'Assumptions and Catalog'!$H$61+'Assumptions and Catalog'!$E$61+'Assumptions and Catalog'!$F$61,IF(((D881+E881)*C881-G881)&lt;='Assumptions and Catalog'!$C$62,((D881+E881)*C881-G881)*'Assumptions and Catalog'!$H$62+'Assumptions and Catalog'!$E$62+'Assumptions and Catalog'!$F$62,IF(((D881+E881)*C881-G881)&lt;='Assumptions and Catalog'!$C$63,((D881+E881)*C881-G881)*'Assumptions and Catalog'!$H$63+'Assumptions and Catalog'!$E$63+'Assumptions and Catalog'!$F$63,IF(((D881+E881)*C881-G881)&lt;='Assumptions and Catalog'!$C$64,((D881+E881)*C881-G881)*'Assumptions and Catalog'!$H$64+'Assumptions and Catalog'!$E$64+'Assumptions and Catalog'!$F$64,IF(((D881+E881)*C881-G881)&lt;='Assumptions and Catalog'!$C$65,((D881+E881)*C881-G881)*'Assumptions and Catalog'!$H$65+'Assumptions and Catalog'!$E$65+'Assumptions and Catalog'!$F$65,"Out of range")))))))))*(1+'Assumptions and Catalog'!$C$8)^(A881-1),0)</f>
        <v>5901.8748951581829</v>
      </c>
      <c r="R881" s="5">
        <f>IF(AND('Assumptions and Catalog'!$C$19&gt;0,A881&gt;='Assumptions and Catalog'!$C$19),A881-'Assumptions and Catalog'!$C$19,A881-1)</f>
        <v>8</v>
      </c>
      <c r="S881" s="5">
        <f>F881+L881-(D881+E881)*C881-J881-K881-IF(E$52&gt;0,'Assumptions and Catalog'!$C$26*C881,0)</f>
        <v>0</v>
      </c>
      <c r="T881" s="5"/>
      <c r="U881" s="5"/>
    </row>
    <row r="882" spans="1:21" ht="23.1" customHeight="1" outlineLevel="1" x14ac:dyDescent="0.2">
      <c r="A882" s="5">
        <v>19</v>
      </c>
      <c r="B882" s="5">
        <v>6</v>
      </c>
      <c r="C882" s="5">
        <f>DAY(DATE('Assumptions and Catalog'!$C$24+A882-1,B882+1,0))</f>
        <v>30</v>
      </c>
      <c r="D882" s="5">
        <f>IF(ISNUMBER(Inputs!$L$5),Inputs!$L$5*Inputs!$L$6,0)</f>
        <v>40.35</v>
      </c>
      <c r="E882" s="5">
        <f>IF(ISNUMBER(Inputs!$L$5),Inputs!$L$5-D882,0)</f>
        <v>40.35</v>
      </c>
      <c r="F882" s="5">
        <f>E$51*'Assumptions and Catalog'!$C$31*C882*(1-'Assumptions and Catalog'!$C$10)^(A882-1)</f>
        <v>750.80773883654797</v>
      </c>
      <c r="G882" s="5">
        <f t="shared" si="60"/>
        <v>750.80773883654797</v>
      </c>
      <c r="H882" s="5">
        <f>I882/('Assumptions and Catalog'!$C$11*'Assumptions and Catalog'!$C$12)</f>
        <v>0</v>
      </c>
      <c r="I882" s="5">
        <f>MIN(E882*C882,P882*'Assumptions and Catalog'!$C$12*C882,(F882-G882)*'Assumptions and Catalog'!$C$11*'Assumptions and Catalog'!$C$12,E$56*'Assumptions and Catalog'!$C$14*'Assumptions and Catalog'!$C$11*'Assumptions and Catalog'!$C$12*C882,E$57*(24-'Assumptions and Catalog'!$C$13)*C882)</f>
        <v>0</v>
      </c>
      <c r="J882" s="5">
        <f t="shared" si="61"/>
        <v>0</v>
      </c>
      <c r="K882" s="5">
        <f t="shared" si="62"/>
        <v>0</v>
      </c>
      <c r="L882" s="5">
        <f>(D882+E882)*C882-G882-I882+0+IF(E$52&gt;0,'Assumptions and Catalog'!$C$26*C882,0)</f>
        <v>1670.192261163452</v>
      </c>
      <c r="M882" s="5">
        <f>IF(ISNUMBER(Inputs!$L$5),(IF(Inputs!$L$9="Actual flat rate",((D882+E882)*C882)*Inputs!$L$10,IF(Inputs!$C$9="Residential",IF(((D882+E882)*C882)&lt;='Assumptions and Catalog'!$C$50,((D882+E882)*C882)*'Assumptions and Catalog'!$H$50+'Assumptions and Catalog'!$E$50+'Assumptions and Catalog'!$F$50,IF(((D882+E882)*C882)&lt;='Assumptions and Catalog'!$C$51,((D882+E882)*C882)*'Assumptions and Catalog'!$H$51+'Assumptions and Catalog'!$E$51+'Assumptions and Catalog'!$F$51,IF(((D882+E882)*C882)&lt;='Assumptions and Catalog'!$C$52,((D882+E882)*C882)*'Assumptions and Catalog'!$H$52+'Assumptions and Catalog'!$E$52+'Assumptions and Catalog'!$F$52,IF(((D882+E882)*C882)&lt;='Assumptions and Catalog'!$C$53,((D882+E882)*C882)*'Assumptions and Catalog'!$H$53+'Assumptions and Catalog'!$E$53+'Assumptions and Catalog'!$F$53,IF(((D882+E882)*C882)&lt;='Assumptions and Catalog'!$C$54,((D882+E882)*C882)*'Assumptions and Catalog'!$H$54+'Assumptions and Catalog'!$E$54+'Assumptions and Catalog'!$F$54,IF(((D882+E882)*C882)&lt;='Assumptions and Catalog'!$C$55,((D882+E882)*C882)*'Assumptions and Catalog'!$H$55+'Assumptions and Catalog'!$E$55+'Assumptions and Catalog'!$F$55,IF(((D882+E882)*C882)&lt;='Assumptions and Catalog'!$C$56,((D882+E882)*C882)*'Assumptions and Catalog'!$H$56+'Assumptions and Catalog'!$E$56+'Assumptions and Catalog'!$F$56,IF(((D882+E882)*C882)&lt;='Assumptions and Catalog'!$C$57,((D882+E882)*C882)*'Assumptions and Catalog'!$H$57+'Assumptions and Catalog'!$E$57+'Assumptions and Catalog'!$F$57,"Out of range")))))))),IF(((D882+E882)*C882)&lt;='Assumptions and Catalog'!$C$60,((D882+E882)*C882)*'Assumptions and Catalog'!$H$60+'Assumptions and Catalog'!$E$60+'Assumptions and Catalog'!$F$60,IF(((D882+E882)*C882)&lt;='Assumptions and Catalog'!$C$61,((D882+E882)*C882)*'Assumptions and Catalog'!$H$61+'Assumptions and Catalog'!$E$61+'Assumptions and Catalog'!$F$61,IF(((D882+E882)*C882)&lt;='Assumptions and Catalog'!$C$62,((D882+E882)*C882)*'Assumptions and Catalog'!$H$62+'Assumptions and Catalog'!$E$62+'Assumptions and Catalog'!$F$62,IF(((D882+E882)*C882)&lt;='Assumptions and Catalog'!$C$63,((D882+E882)*C882)*'Assumptions and Catalog'!$H$63+'Assumptions and Catalog'!$E$63+'Assumptions and Catalog'!$F$63,IF(((D882+E882)*C882)&lt;='Assumptions and Catalog'!$C$64,((D882+E882)*C882)*'Assumptions and Catalog'!$H$64+'Assumptions and Catalog'!$E$64+'Assumptions and Catalog'!$F$64,IF(((D882+E882)*C882)&lt;='Assumptions and Catalog'!$C$65,((D882+E882)*C882)*'Assumptions and Catalog'!$H$65+'Assumptions and Catalog'!$E$65+'Assumptions and Catalog'!$F$65,"Out of range")))))))))*(1+'Assumptions and Catalog'!$C$8)^(A882-1),0)</f>
        <v>8279</v>
      </c>
      <c r="N882" s="5">
        <f>IF(ISNUMBER(Inputs!$L$5),(IF(Inputs!$L$9="Actual flat rate",L882*Inputs!$L$10,IF(Inputs!$C$9="Residential",IF(L882&lt;='Assumptions and Catalog'!$C$50,L882*'Assumptions and Catalog'!$H$50+'Assumptions and Catalog'!$E$50+'Assumptions and Catalog'!$F$50,IF(L882&lt;='Assumptions and Catalog'!$C$51,L882*'Assumptions and Catalog'!$H$51+'Assumptions and Catalog'!$E$51+'Assumptions and Catalog'!$F$51,IF(L882&lt;='Assumptions and Catalog'!$C$52,L882*'Assumptions and Catalog'!$H$52+'Assumptions and Catalog'!$E$52+'Assumptions and Catalog'!$F$52,IF(L882&lt;='Assumptions and Catalog'!$C$53,L882*'Assumptions and Catalog'!$H$53+'Assumptions and Catalog'!$E$53+'Assumptions and Catalog'!$F$53,IF(L882&lt;='Assumptions and Catalog'!$C$54,L882*'Assumptions and Catalog'!$H$54+'Assumptions and Catalog'!$E$54+'Assumptions and Catalog'!$F$54,IF(L882&lt;='Assumptions and Catalog'!$C$55,L882*'Assumptions and Catalog'!$H$55+'Assumptions and Catalog'!$E$55+'Assumptions and Catalog'!$F$55,IF(L882&lt;='Assumptions and Catalog'!$C$56,L882*'Assumptions and Catalog'!$H$56+'Assumptions and Catalog'!$E$56+'Assumptions and Catalog'!$F$56,IF(L882&lt;='Assumptions and Catalog'!$C$57,L882*'Assumptions and Catalog'!$H$57+'Assumptions and Catalog'!$E$57+'Assumptions and Catalog'!$F$57,"Out of range")))))))),IF(L882&lt;='Assumptions and Catalog'!$C$60,L882*'Assumptions and Catalog'!$H$60+'Assumptions and Catalog'!$E$60+'Assumptions and Catalog'!$F$60,IF(L882&lt;='Assumptions and Catalog'!$C$61,L882*'Assumptions and Catalog'!$H$61+'Assumptions and Catalog'!$E$61+'Assumptions and Catalog'!$F$61,IF(L882&lt;='Assumptions and Catalog'!$C$62,L882*'Assumptions and Catalog'!$H$62+'Assumptions and Catalog'!$E$62+'Assumptions and Catalog'!$F$62,IF(L882&lt;='Assumptions and Catalog'!$C$63,L882*'Assumptions and Catalog'!$H$63+'Assumptions and Catalog'!$E$63+'Assumptions and Catalog'!$F$63,IF(L882&lt;='Assumptions and Catalog'!$C$64,L882*'Assumptions and Catalog'!$H$64+'Assumptions and Catalog'!$E$64+'Assumptions and Catalog'!$F$64,IF(L882&lt;='Assumptions and Catalog'!$C$65,L882*'Assumptions and Catalog'!$H$65+'Assumptions and Catalog'!$E$65+'Assumptions and Catalog'!$F$65,"Out of range")))))))))*(1+'Assumptions and Catalog'!$C$8)^(A882-1),0)</f>
        <v>5711.4918340240474</v>
      </c>
      <c r="O882" s="5">
        <f t="shared" si="63"/>
        <v>2567.5081659759526</v>
      </c>
      <c r="P882" s="5">
        <f>E$55*(1-L$14)*(1-'Assumptions and Catalog'!$C$23)^R882</f>
        <v>87.118133512374826</v>
      </c>
      <c r="Q882" s="5">
        <f>IF(ISNUMBER(Inputs!$L$5),(IF(Inputs!$L$9="Actual flat rate",((D882+E882)*C882-G882)*Inputs!$L$10,IF(Inputs!$C$9="Residential",IF(((D882+E882)*C882-G882)&lt;='Assumptions and Catalog'!$C$50,((D882+E882)*C882-G882)*'Assumptions and Catalog'!$H$50+'Assumptions and Catalog'!$E$50+'Assumptions and Catalog'!$F$50,IF(((D882+E882)*C882-G882)&lt;='Assumptions and Catalog'!$C$51,((D882+E882)*C882-G882)*'Assumptions and Catalog'!$H$51+'Assumptions and Catalog'!$E$51+'Assumptions and Catalog'!$F$51,IF(((D882+E882)*C882-G882)&lt;='Assumptions and Catalog'!$C$52,((D882+E882)*C882-G882)*'Assumptions and Catalog'!$H$52+'Assumptions and Catalog'!$E$52+'Assumptions and Catalog'!$F$52,IF(((D882+E882)*C882-G882)&lt;='Assumptions and Catalog'!$C$53,((D882+E882)*C882-G882)*'Assumptions and Catalog'!$H$53+'Assumptions and Catalog'!$E$53+'Assumptions and Catalog'!$F$53,IF(((D882+E882)*C882-G882)&lt;='Assumptions and Catalog'!$C$54,((D882+E882)*C882-G882)*'Assumptions and Catalog'!$H$54+'Assumptions and Catalog'!$E$54+'Assumptions and Catalog'!$F$54,IF(((D882+E882)*C882-G882)&lt;='Assumptions and Catalog'!$C$55,((D882+E882)*C882-G882)*'Assumptions and Catalog'!$H$55+'Assumptions and Catalog'!$E$55+'Assumptions and Catalog'!$F$55,IF(((D882+E882)*C882-G882)&lt;='Assumptions and Catalog'!$C$56,((D882+E882)*C882-G882)*'Assumptions and Catalog'!$H$56+'Assumptions and Catalog'!$E$56+'Assumptions and Catalog'!$F$56,IF(((D882+E882)*C882-G882)&lt;='Assumptions and Catalog'!$C$57,((D882+E882)*C882-G882)*'Assumptions and Catalog'!$H$57+'Assumptions and Catalog'!$E$57+'Assumptions and Catalog'!$F$57,"Out of range")))))))),IF(((D882+E882)*C882-G882)&lt;='Assumptions and Catalog'!$C$60,((D882+E882)*C882-G882)*'Assumptions and Catalog'!$H$60+'Assumptions and Catalog'!$E$60+'Assumptions and Catalog'!$F$60,IF(((D882+E882)*C882-G882)&lt;='Assumptions and Catalog'!$C$61,((D882+E882)*C882-G882)*'Assumptions and Catalog'!$H$61+'Assumptions and Catalog'!$E$61+'Assumptions and Catalog'!$F$61,IF(((D882+E882)*C882-G882)&lt;='Assumptions and Catalog'!$C$62,((D882+E882)*C882-G882)*'Assumptions and Catalog'!$H$62+'Assumptions and Catalog'!$E$62+'Assumptions and Catalog'!$F$62,IF(((D882+E882)*C882-G882)&lt;='Assumptions and Catalog'!$C$63,((D882+E882)*C882-G882)*'Assumptions and Catalog'!$H$63+'Assumptions and Catalog'!$E$63+'Assumptions and Catalog'!$F$63,IF(((D882+E882)*C882-G882)&lt;='Assumptions and Catalog'!$C$64,((D882+E882)*C882-G882)*'Assumptions and Catalog'!$H$64+'Assumptions and Catalog'!$E$64+'Assumptions and Catalog'!$F$64,IF(((D882+E882)*C882-G882)&lt;='Assumptions and Catalog'!$C$65,((D882+E882)*C882-G882)*'Assumptions and Catalog'!$H$65+'Assumptions and Catalog'!$E$65+'Assumptions and Catalog'!$F$65,"Out of range")))))))))*(1+'Assumptions and Catalog'!$C$8)^(A882-1),0)</f>
        <v>5711.4918340240474</v>
      </c>
      <c r="R882" s="5">
        <f>IF(AND('Assumptions and Catalog'!$C$19&gt;0,A882&gt;='Assumptions and Catalog'!$C$19),A882-'Assumptions and Catalog'!$C$19,A882-1)</f>
        <v>8</v>
      </c>
      <c r="S882" s="5">
        <f>F882+L882-(D882+E882)*C882-J882-K882-IF(E$52&gt;0,'Assumptions and Catalog'!$C$26*C882,0)</f>
        <v>0</v>
      </c>
      <c r="T882" s="5"/>
      <c r="U882" s="5"/>
    </row>
    <row r="883" spans="1:21" ht="23.1" customHeight="1" outlineLevel="1" x14ac:dyDescent="0.2">
      <c r="A883" s="5">
        <v>19</v>
      </c>
      <c r="B883" s="5">
        <v>7</v>
      </c>
      <c r="C883" s="5">
        <f>DAY(DATE('Assumptions and Catalog'!$C$24+A883-1,B883+1,0))</f>
        <v>31</v>
      </c>
      <c r="D883" s="5">
        <f>IF(ISNUMBER(Inputs!$L$5),Inputs!$L$5*Inputs!$L$6,0)</f>
        <v>40.35</v>
      </c>
      <c r="E883" s="5">
        <f>IF(ISNUMBER(Inputs!$L$5),Inputs!$L$5-D883,0)</f>
        <v>40.35</v>
      </c>
      <c r="F883" s="5">
        <f>E$51*'Assumptions and Catalog'!$C$31*C883*(1-'Assumptions and Catalog'!$C$10)^(A883-1)</f>
        <v>775.83466346443299</v>
      </c>
      <c r="G883" s="5">
        <f t="shared" si="60"/>
        <v>775.83466346443299</v>
      </c>
      <c r="H883" s="5">
        <f>I883/('Assumptions and Catalog'!$C$11*'Assumptions and Catalog'!$C$12)</f>
        <v>0</v>
      </c>
      <c r="I883" s="5">
        <f>MIN(E883*C883,P883*'Assumptions and Catalog'!$C$12*C883,(F883-G883)*'Assumptions and Catalog'!$C$11*'Assumptions and Catalog'!$C$12,E$56*'Assumptions and Catalog'!$C$14*'Assumptions and Catalog'!$C$11*'Assumptions and Catalog'!$C$12*C883,E$57*(24-'Assumptions and Catalog'!$C$13)*C883)</f>
        <v>0</v>
      </c>
      <c r="J883" s="5">
        <f t="shared" si="61"/>
        <v>0</v>
      </c>
      <c r="K883" s="5">
        <f t="shared" si="62"/>
        <v>0</v>
      </c>
      <c r="L883" s="5">
        <f>(D883+E883)*C883-G883-I883+0+IF(E$52&gt;0,'Assumptions and Catalog'!$C$26*C883,0)</f>
        <v>1725.8653365355672</v>
      </c>
      <c r="M883" s="5">
        <f>IF(ISNUMBER(Inputs!$L$5),(IF(Inputs!$L$9="Actual flat rate",((D883+E883)*C883)*Inputs!$L$10,IF(Inputs!$C$9="Residential",IF(((D883+E883)*C883)&lt;='Assumptions and Catalog'!$C$50,((D883+E883)*C883)*'Assumptions and Catalog'!$H$50+'Assumptions and Catalog'!$E$50+'Assumptions and Catalog'!$F$50,IF(((D883+E883)*C883)&lt;='Assumptions and Catalog'!$C$51,((D883+E883)*C883)*'Assumptions and Catalog'!$H$51+'Assumptions and Catalog'!$E$51+'Assumptions and Catalog'!$F$51,IF(((D883+E883)*C883)&lt;='Assumptions and Catalog'!$C$52,((D883+E883)*C883)*'Assumptions and Catalog'!$H$52+'Assumptions and Catalog'!$E$52+'Assumptions and Catalog'!$F$52,IF(((D883+E883)*C883)&lt;='Assumptions and Catalog'!$C$53,((D883+E883)*C883)*'Assumptions and Catalog'!$H$53+'Assumptions and Catalog'!$E$53+'Assumptions and Catalog'!$F$53,IF(((D883+E883)*C883)&lt;='Assumptions and Catalog'!$C$54,((D883+E883)*C883)*'Assumptions and Catalog'!$H$54+'Assumptions and Catalog'!$E$54+'Assumptions and Catalog'!$F$54,IF(((D883+E883)*C883)&lt;='Assumptions and Catalog'!$C$55,((D883+E883)*C883)*'Assumptions and Catalog'!$H$55+'Assumptions and Catalog'!$E$55+'Assumptions and Catalog'!$F$55,IF(((D883+E883)*C883)&lt;='Assumptions and Catalog'!$C$56,((D883+E883)*C883)*'Assumptions and Catalog'!$H$56+'Assumptions and Catalog'!$E$56+'Assumptions and Catalog'!$F$56,IF(((D883+E883)*C883)&lt;='Assumptions and Catalog'!$C$57,((D883+E883)*C883)*'Assumptions and Catalog'!$H$57+'Assumptions and Catalog'!$E$57+'Assumptions and Catalog'!$F$57,"Out of range")))))))),IF(((D883+E883)*C883)&lt;='Assumptions and Catalog'!$C$60,((D883+E883)*C883)*'Assumptions and Catalog'!$H$60+'Assumptions and Catalog'!$E$60+'Assumptions and Catalog'!$F$60,IF(((D883+E883)*C883)&lt;='Assumptions and Catalog'!$C$61,((D883+E883)*C883)*'Assumptions and Catalog'!$H$61+'Assumptions and Catalog'!$E$61+'Assumptions and Catalog'!$F$61,IF(((D883+E883)*C883)&lt;='Assumptions and Catalog'!$C$62,((D883+E883)*C883)*'Assumptions and Catalog'!$H$62+'Assumptions and Catalog'!$E$62+'Assumptions and Catalog'!$F$62,IF(((D883+E883)*C883)&lt;='Assumptions and Catalog'!$C$63,((D883+E883)*C883)*'Assumptions and Catalog'!$H$63+'Assumptions and Catalog'!$E$63+'Assumptions and Catalog'!$F$63,IF(((D883+E883)*C883)&lt;='Assumptions and Catalog'!$C$64,((D883+E883)*C883)*'Assumptions and Catalog'!$H$64+'Assumptions and Catalog'!$E$64+'Assumptions and Catalog'!$F$64,IF(((D883+E883)*C883)&lt;='Assumptions and Catalog'!$C$65,((D883+E883)*C883)*'Assumptions and Catalog'!$H$65+'Assumptions and Catalog'!$E$65+'Assumptions and Catalog'!$F$65,"Out of range")))))))))*(1+'Assumptions and Catalog'!$C$8)^(A883-1),0)</f>
        <v>8554.9666666666672</v>
      </c>
      <c r="N883" s="5">
        <f>IF(ISNUMBER(Inputs!$L$5),(IF(Inputs!$L$9="Actual flat rate",L883*Inputs!$L$10,IF(Inputs!$C$9="Residential",IF(L883&lt;='Assumptions and Catalog'!$C$50,L883*'Assumptions and Catalog'!$H$50+'Assumptions and Catalog'!$E$50+'Assumptions and Catalog'!$F$50,IF(L883&lt;='Assumptions and Catalog'!$C$51,L883*'Assumptions and Catalog'!$H$51+'Assumptions and Catalog'!$E$51+'Assumptions and Catalog'!$F$51,IF(L883&lt;='Assumptions and Catalog'!$C$52,L883*'Assumptions and Catalog'!$H$52+'Assumptions and Catalog'!$E$52+'Assumptions and Catalog'!$F$52,IF(L883&lt;='Assumptions and Catalog'!$C$53,L883*'Assumptions and Catalog'!$H$53+'Assumptions and Catalog'!$E$53+'Assumptions and Catalog'!$F$53,IF(L883&lt;='Assumptions and Catalog'!$C$54,L883*'Assumptions and Catalog'!$H$54+'Assumptions and Catalog'!$E$54+'Assumptions and Catalog'!$F$54,IF(L883&lt;='Assumptions and Catalog'!$C$55,L883*'Assumptions and Catalog'!$H$55+'Assumptions and Catalog'!$E$55+'Assumptions and Catalog'!$F$55,IF(L883&lt;='Assumptions and Catalog'!$C$56,L883*'Assumptions and Catalog'!$H$56+'Assumptions and Catalog'!$E$56+'Assumptions and Catalog'!$F$56,IF(L883&lt;='Assumptions and Catalog'!$C$57,L883*'Assumptions and Catalog'!$H$57+'Assumptions and Catalog'!$E$57+'Assumptions and Catalog'!$F$57,"Out of range")))))))),IF(L883&lt;='Assumptions and Catalog'!$C$60,L883*'Assumptions and Catalog'!$H$60+'Assumptions and Catalog'!$E$60+'Assumptions and Catalog'!$F$60,IF(L883&lt;='Assumptions and Catalog'!$C$61,L883*'Assumptions and Catalog'!$H$61+'Assumptions and Catalog'!$E$61+'Assumptions and Catalog'!$F$61,IF(L883&lt;='Assumptions and Catalog'!$C$62,L883*'Assumptions and Catalog'!$H$62+'Assumptions and Catalog'!$E$62+'Assumptions and Catalog'!$F$62,IF(L883&lt;='Assumptions and Catalog'!$C$63,L883*'Assumptions and Catalog'!$H$63+'Assumptions and Catalog'!$E$63+'Assumptions and Catalog'!$F$63,IF(L883&lt;='Assumptions and Catalog'!$C$64,L883*'Assumptions and Catalog'!$H$64+'Assumptions and Catalog'!$E$64+'Assumptions and Catalog'!$F$64,IF(L883&lt;='Assumptions and Catalog'!$C$65,L883*'Assumptions and Catalog'!$H$65+'Assumptions and Catalog'!$E$65+'Assumptions and Catalog'!$F$65,"Out of range")))))))))*(1+'Assumptions and Catalog'!$C$8)^(A883-1),0)</f>
        <v>5901.8748951581829</v>
      </c>
      <c r="O883" s="5">
        <f t="shared" si="63"/>
        <v>2653.0917715084843</v>
      </c>
      <c r="P883" s="5">
        <f>E$55*(1-L$14)*(1-'Assumptions and Catalog'!$C$23)^R883</f>
        <v>87.118133512374826</v>
      </c>
      <c r="Q883" s="5">
        <f>IF(ISNUMBER(Inputs!$L$5),(IF(Inputs!$L$9="Actual flat rate",((D883+E883)*C883-G883)*Inputs!$L$10,IF(Inputs!$C$9="Residential",IF(((D883+E883)*C883-G883)&lt;='Assumptions and Catalog'!$C$50,((D883+E883)*C883-G883)*'Assumptions and Catalog'!$H$50+'Assumptions and Catalog'!$E$50+'Assumptions and Catalog'!$F$50,IF(((D883+E883)*C883-G883)&lt;='Assumptions and Catalog'!$C$51,((D883+E883)*C883-G883)*'Assumptions and Catalog'!$H$51+'Assumptions and Catalog'!$E$51+'Assumptions and Catalog'!$F$51,IF(((D883+E883)*C883-G883)&lt;='Assumptions and Catalog'!$C$52,((D883+E883)*C883-G883)*'Assumptions and Catalog'!$H$52+'Assumptions and Catalog'!$E$52+'Assumptions and Catalog'!$F$52,IF(((D883+E883)*C883-G883)&lt;='Assumptions and Catalog'!$C$53,((D883+E883)*C883-G883)*'Assumptions and Catalog'!$H$53+'Assumptions and Catalog'!$E$53+'Assumptions and Catalog'!$F$53,IF(((D883+E883)*C883-G883)&lt;='Assumptions and Catalog'!$C$54,((D883+E883)*C883-G883)*'Assumptions and Catalog'!$H$54+'Assumptions and Catalog'!$E$54+'Assumptions and Catalog'!$F$54,IF(((D883+E883)*C883-G883)&lt;='Assumptions and Catalog'!$C$55,((D883+E883)*C883-G883)*'Assumptions and Catalog'!$H$55+'Assumptions and Catalog'!$E$55+'Assumptions and Catalog'!$F$55,IF(((D883+E883)*C883-G883)&lt;='Assumptions and Catalog'!$C$56,((D883+E883)*C883-G883)*'Assumptions and Catalog'!$H$56+'Assumptions and Catalog'!$E$56+'Assumptions and Catalog'!$F$56,IF(((D883+E883)*C883-G883)&lt;='Assumptions and Catalog'!$C$57,((D883+E883)*C883-G883)*'Assumptions and Catalog'!$H$57+'Assumptions and Catalog'!$E$57+'Assumptions and Catalog'!$F$57,"Out of range")))))))),IF(((D883+E883)*C883-G883)&lt;='Assumptions and Catalog'!$C$60,((D883+E883)*C883-G883)*'Assumptions and Catalog'!$H$60+'Assumptions and Catalog'!$E$60+'Assumptions and Catalog'!$F$60,IF(((D883+E883)*C883-G883)&lt;='Assumptions and Catalog'!$C$61,((D883+E883)*C883-G883)*'Assumptions and Catalog'!$H$61+'Assumptions and Catalog'!$E$61+'Assumptions and Catalog'!$F$61,IF(((D883+E883)*C883-G883)&lt;='Assumptions and Catalog'!$C$62,((D883+E883)*C883-G883)*'Assumptions and Catalog'!$H$62+'Assumptions and Catalog'!$E$62+'Assumptions and Catalog'!$F$62,IF(((D883+E883)*C883-G883)&lt;='Assumptions and Catalog'!$C$63,((D883+E883)*C883-G883)*'Assumptions and Catalog'!$H$63+'Assumptions and Catalog'!$E$63+'Assumptions and Catalog'!$F$63,IF(((D883+E883)*C883-G883)&lt;='Assumptions and Catalog'!$C$64,((D883+E883)*C883-G883)*'Assumptions and Catalog'!$H$64+'Assumptions and Catalog'!$E$64+'Assumptions and Catalog'!$F$64,IF(((D883+E883)*C883-G883)&lt;='Assumptions and Catalog'!$C$65,((D883+E883)*C883-G883)*'Assumptions and Catalog'!$H$65+'Assumptions and Catalog'!$E$65+'Assumptions and Catalog'!$F$65,"Out of range")))))))))*(1+'Assumptions and Catalog'!$C$8)^(A883-1),0)</f>
        <v>5901.8748951581829</v>
      </c>
      <c r="R883" s="5">
        <f>IF(AND('Assumptions and Catalog'!$C$19&gt;0,A883&gt;='Assumptions and Catalog'!$C$19),A883-'Assumptions and Catalog'!$C$19,A883-1)</f>
        <v>8</v>
      </c>
      <c r="S883" s="5">
        <f>F883+L883-(D883+E883)*C883-J883-K883-IF(E$52&gt;0,'Assumptions and Catalog'!$C$26*C883,0)</f>
        <v>0</v>
      </c>
      <c r="T883" s="5"/>
      <c r="U883" s="5"/>
    </row>
    <row r="884" spans="1:21" ht="23.1" customHeight="1" outlineLevel="1" x14ac:dyDescent="0.2">
      <c r="A884" s="5">
        <v>19</v>
      </c>
      <c r="B884" s="5">
        <v>8</v>
      </c>
      <c r="C884" s="5">
        <f>DAY(DATE('Assumptions and Catalog'!$C$24+A884-1,B884+1,0))</f>
        <v>31</v>
      </c>
      <c r="D884" s="5">
        <f>IF(ISNUMBER(Inputs!$L$5),Inputs!$L$5*Inputs!$L$6,0)</f>
        <v>40.35</v>
      </c>
      <c r="E884" s="5">
        <f>IF(ISNUMBER(Inputs!$L$5),Inputs!$L$5-D884,0)</f>
        <v>40.35</v>
      </c>
      <c r="F884" s="5">
        <f>E$51*'Assumptions and Catalog'!$C$31*C884*(1-'Assumptions and Catalog'!$C$10)^(A884-1)</f>
        <v>775.83466346443299</v>
      </c>
      <c r="G884" s="5">
        <f t="shared" si="60"/>
        <v>775.83466346443299</v>
      </c>
      <c r="H884" s="5">
        <f>I884/('Assumptions and Catalog'!$C$11*'Assumptions and Catalog'!$C$12)</f>
        <v>0</v>
      </c>
      <c r="I884" s="5">
        <f>MIN(E884*C884,P884*'Assumptions and Catalog'!$C$12*C884,(F884-G884)*'Assumptions and Catalog'!$C$11*'Assumptions and Catalog'!$C$12,E$56*'Assumptions and Catalog'!$C$14*'Assumptions and Catalog'!$C$11*'Assumptions and Catalog'!$C$12*C884,E$57*(24-'Assumptions and Catalog'!$C$13)*C884)</f>
        <v>0</v>
      </c>
      <c r="J884" s="5">
        <f t="shared" si="61"/>
        <v>0</v>
      </c>
      <c r="K884" s="5">
        <f t="shared" si="62"/>
        <v>0</v>
      </c>
      <c r="L884" s="5">
        <f>(D884+E884)*C884-G884-I884+0+IF(E$52&gt;0,'Assumptions and Catalog'!$C$26*C884,0)</f>
        <v>1725.8653365355672</v>
      </c>
      <c r="M884" s="5">
        <f>IF(ISNUMBER(Inputs!$L$5),(IF(Inputs!$L$9="Actual flat rate",((D884+E884)*C884)*Inputs!$L$10,IF(Inputs!$C$9="Residential",IF(((D884+E884)*C884)&lt;='Assumptions and Catalog'!$C$50,((D884+E884)*C884)*'Assumptions and Catalog'!$H$50+'Assumptions and Catalog'!$E$50+'Assumptions and Catalog'!$F$50,IF(((D884+E884)*C884)&lt;='Assumptions and Catalog'!$C$51,((D884+E884)*C884)*'Assumptions and Catalog'!$H$51+'Assumptions and Catalog'!$E$51+'Assumptions and Catalog'!$F$51,IF(((D884+E884)*C884)&lt;='Assumptions and Catalog'!$C$52,((D884+E884)*C884)*'Assumptions and Catalog'!$H$52+'Assumptions and Catalog'!$E$52+'Assumptions and Catalog'!$F$52,IF(((D884+E884)*C884)&lt;='Assumptions and Catalog'!$C$53,((D884+E884)*C884)*'Assumptions and Catalog'!$H$53+'Assumptions and Catalog'!$E$53+'Assumptions and Catalog'!$F$53,IF(((D884+E884)*C884)&lt;='Assumptions and Catalog'!$C$54,((D884+E884)*C884)*'Assumptions and Catalog'!$H$54+'Assumptions and Catalog'!$E$54+'Assumptions and Catalog'!$F$54,IF(((D884+E884)*C884)&lt;='Assumptions and Catalog'!$C$55,((D884+E884)*C884)*'Assumptions and Catalog'!$H$55+'Assumptions and Catalog'!$E$55+'Assumptions and Catalog'!$F$55,IF(((D884+E884)*C884)&lt;='Assumptions and Catalog'!$C$56,((D884+E884)*C884)*'Assumptions and Catalog'!$H$56+'Assumptions and Catalog'!$E$56+'Assumptions and Catalog'!$F$56,IF(((D884+E884)*C884)&lt;='Assumptions and Catalog'!$C$57,((D884+E884)*C884)*'Assumptions and Catalog'!$H$57+'Assumptions and Catalog'!$E$57+'Assumptions and Catalog'!$F$57,"Out of range")))))))),IF(((D884+E884)*C884)&lt;='Assumptions and Catalog'!$C$60,((D884+E884)*C884)*'Assumptions and Catalog'!$H$60+'Assumptions and Catalog'!$E$60+'Assumptions and Catalog'!$F$60,IF(((D884+E884)*C884)&lt;='Assumptions and Catalog'!$C$61,((D884+E884)*C884)*'Assumptions and Catalog'!$H$61+'Assumptions and Catalog'!$E$61+'Assumptions and Catalog'!$F$61,IF(((D884+E884)*C884)&lt;='Assumptions and Catalog'!$C$62,((D884+E884)*C884)*'Assumptions and Catalog'!$H$62+'Assumptions and Catalog'!$E$62+'Assumptions and Catalog'!$F$62,IF(((D884+E884)*C884)&lt;='Assumptions and Catalog'!$C$63,((D884+E884)*C884)*'Assumptions and Catalog'!$H$63+'Assumptions and Catalog'!$E$63+'Assumptions and Catalog'!$F$63,IF(((D884+E884)*C884)&lt;='Assumptions and Catalog'!$C$64,((D884+E884)*C884)*'Assumptions and Catalog'!$H$64+'Assumptions and Catalog'!$E$64+'Assumptions and Catalog'!$F$64,IF(((D884+E884)*C884)&lt;='Assumptions and Catalog'!$C$65,((D884+E884)*C884)*'Assumptions and Catalog'!$H$65+'Assumptions and Catalog'!$E$65+'Assumptions and Catalog'!$F$65,"Out of range")))))))))*(1+'Assumptions and Catalog'!$C$8)^(A884-1),0)</f>
        <v>8554.9666666666672</v>
      </c>
      <c r="N884" s="5">
        <f>IF(ISNUMBER(Inputs!$L$5),(IF(Inputs!$L$9="Actual flat rate",L884*Inputs!$L$10,IF(Inputs!$C$9="Residential",IF(L884&lt;='Assumptions and Catalog'!$C$50,L884*'Assumptions and Catalog'!$H$50+'Assumptions and Catalog'!$E$50+'Assumptions and Catalog'!$F$50,IF(L884&lt;='Assumptions and Catalog'!$C$51,L884*'Assumptions and Catalog'!$H$51+'Assumptions and Catalog'!$E$51+'Assumptions and Catalog'!$F$51,IF(L884&lt;='Assumptions and Catalog'!$C$52,L884*'Assumptions and Catalog'!$H$52+'Assumptions and Catalog'!$E$52+'Assumptions and Catalog'!$F$52,IF(L884&lt;='Assumptions and Catalog'!$C$53,L884*'Assumptions and Catalog'!$H$53+'Assumptions and Catalog'!$E$53+'Assumptions and Catalog'!$F$53,IF(L884&lt;='Assumptions and Catalog'!$C$54,L884*'Assumptions and Catalog'!$H$54+'Assumptions and Catalog'!$E$54+'Assumptions and Catalog'!$F$54,IF(L884&lt;='Assumptions and Catalog'!$C$55,L884*'Assumptions and Catalog'!$H$55+'Assumptions and Catalog'!$E$55+'Assumptions and Catalog'!$F$55,IF(L884&lt;='Assumptions and Catalog'!$C$56,L884*'Assumptions and Catalog'!$H$56+'Assumptions and Catalog'!$E$56+'Assumptions and Catalog'!$F$56,IF(L884&lt;='Assumptions and Catalog'!$C$57,L884*'Assumptions and Catalog'!$H$57+'Assumptions and Catalog'!$E$57+'Assumptions and Catalog'!$F$57,"Out of range")))))))),IF(L884&lt;='Assumptions and Catalog'!$C$60,L884*'Assumptions and Catalog'!$H$60+'Assumptions and Catalog'!$E$60+'Assumptions and Catalog'!$F$60,IF(L884&lt;='Assumptions and Catalog'!$C$61,L884*'Assumptions and Catalog'!$H$61+'Assumptions and Catalog'!$E$61+'Assumptions and Catalog'!$F$61,IF(L884&lt;='Assumptions and Catalog'!$C$62,L884*'Assumptions and Catalog'!$H$62+'Assumptions and Catalog'!$E$62+'Assumptions and Catalog'!$F$62,IF(L884&lt;='Assumptions and Catalog'!$C$63,L884*'Assumptions and Catalog'!$H$63+'Assumptions and Catalog'!$E$63+'Assumptions and Catalog'!$F$63,IF(L884&lt;='Assumptions and Catalog'!$C$64,L884*'Assumptions and Catalog'!$H$64+'Assumptions and Catalog'!$E$64+'Assumptions and Catalog'!$F$64,IF(L884&lt;='Assumptions and Catalog'!$C$65,L884*'Assumptions and Catalog'!$H$65+'Assumptions and Catalog'!$E$65+'Assumptions and Catalog'!$F$65,"Out of range")))))))))*(1+'Assumptions and Catalog'!$C$8)^(A884-1),0)</f>
        <v>5901.8748951581829</v>
      </c>
      <c r="O884" s="5">
        <f t="shared" si="63"/>
        <v>2653.0917715084843</v>
      </c>
      <c r="P884" s="5">
        <f>E$55*(1-L$14)*(1-'Assumptions and Catalog'!$C$23)^R884</f>
        <v>87.118133512374826</v>
      </c>
      <c r="Q884" s="5">
        <f>IF(ISNUMBER(Inputs!$L$5),(IF(Inputs!$L$9="Actual flat rate",((D884+E884)*C884-G884)*Inputs!$L$10,IF(Inputs!$C$9="Residential",IF(((D884+E884)*C884-G884)&lt;='Assumptions and Catalog'!$C$50,((D884+E884)*C884-G884)*'Assumptions and Catalog'!$H$50+'Assumptions and Catalog'!$E$50+'Assumptions and Catalog'!$F$50,IF(((D884+E884)*C884-G884)&lt;='Assumptions and Catalog'!$C$51,((D884+E884)*C884-G884)*'Assumptions and Catalog'!$H$51+'Assumptions and Catalog'!$E$51+'Assumptions and Catalog'!$F$51,IF(((D884+E884)*C884-G884)&lt;='Assumptions and Catalog'!$C$52,((D884+E884)*C884-G884)*'Assumptions and Catalog'!$H$52+'Assumptions and Catalog'!$E$52+'Assumptions and Catalog'!$F$52,IF(((D884+E884)*C884-G884)&lt;='Assumptions and Catalog'!$C$53,((D884+E884)*C884-G884)*'Assumptions and Catalog'!$H$53+'Assumptions and Catalog'!$E$53+'Assumptions and Catalog'!$F$53,IF(((D884+E884)*C884-G884)&lt;='Assumptions and Catalog'!$C$54,((D884+E884)*C884-G884)*'Assumptions and Catalog'!$H$54+'Assumptions and Catalog'!$E$54+'Assumptions and Catalog'!$F$54,IF(((D884+E884)*C884-G884)&lt;='Assumptions and Catalog'!$C$55,((D884+E884)*C884-G884)*'Assumptions and Catalog'!$H$55+'Assumptions and Catalog'!$E$55+'Assumptions and Catalog'!$F$55,IF(((D884+E884)*C884-G884)&lt;='Assumptions and Catalog'!$C$56,((D884+E884)*C884-G884)*'Assumptions and Catalog'!$H$56+'Assumptions and Catalog'!$E$56+'Assumptions and Catalog'!$F$56,IF(((D884+E884)*C884-G884)&lt;='Assumptions and Catalog'!$C$57,((D884+E884)*C884-G884)*'Assumptions and Catalog'!$H$57+'Assumptions and Catalog'!$E$57+'Assumptions and Catalog'!$F$57,"Out of range")))))))),IF(((D884+E884)*C884-G884)&lt;='Assumptions and Catalog'!$C$60,((D884+E884)*C884-G884)*'Assumptions and Catalog'!$H$60+'Assumptions and Catalog'!$E$60+'Assumptions and Catalog'!$F$60,IF(((D884+E884)*C884-G884)&lt;='Assumptions and Catalog'!$C$61,((D884+E884)*C884-G884)*'Assumptions and Catalog'!$H$61+'Assumptions and Catalog'!$E$61+'Assumptions and Catalog'!$F$61,IF(((D884+E884)*C884-G884)&lt;='Assumptions and Catalog'!$C$62,((D884+E884)*C884-G884)*'Assumptions and Catalog'!$H$62+'Assumptions and Catalog'!$E$62+'Assumptions and Catalog'!$F$62,IF(((D884+E884)*C884-G884)&lt;='Assumptions and Catalog'!$C$63,((D884+E884)*C884-G884)*'Assumptions and Catalog'!$H$63+'Assumptions and Catalog'!$E$63+'Assumptions and Catalog'!$F$63,IF(((D884+E884)*C884-G884)&lt;='Assumptions and Catalog'!$C$64,((D884+E884)*C884-G884)*'Assumptions and Catalog'!$H$64+'Assumptions and Catalog'!$E$64+'Assumptions and Catalog'!$F$64,IF(((D884+E884)*C884-G884)&lt;='Assumptions and Catalog'!$C$65,((D884+E884)*C884-G884)*'Assumptions and Catalog'!$H$65+'Assumptions and Catalog'!$E$65+'Assumptions and Catalog'!$F$65,"Out of range")))))))))*(1+'Assumptions and Catalog'!$C$8)^(A884-1),0)</f>
        <v>5901.8748951581829</v>
      </c>
      <c r="R884" s="5">
        <f>IF(AND('Assumptions and Catalog'!$C$19&gt;0,A884&gt;='Assumptions and Catalog'!$C$19),A884-'Assumptions and Catalog'!$C$19,A884-1)</f>
        <v>8</v>
      </c>
      <c r="S884" s="5">
        <f>F884+L884-(D884+E884)*C884-J884-K884-IF(E$52&gt;0,'Assumptions and Catalog'!$C$26*C884,0)</f>
        <v>0</v>
      </c>
      <c r="T884" s="5"/>
      <c r="U884" s="5"/>
    </row>
    <row r="885" spans="1:21" ht="23.1" customHeight="1" outlineLevel="1" x14ac:dyDescent="0.2">
      <c r="A885" s="5">
        <v>19</v>
      </c>
      <c r="B885" s="5">
        <v>9</v>
      </c>
      <c r="C885" s="5">
        <f>DAY(DATE('Assumptions and Catalog'!$C$24+A885-1,B885+1,0))</f>
        <v>30</v>
      </c>
      <c r="D885" s="5">
        <f>IF(ISNUMBER(Inputs!$L$5),Inputs!$L$5*Inputs!$L$6,0)</f>
        <v>40.35</v>
      </c>
      <c r="E885" s="5">
        <f>IF(ISNUMBER(Inputs!$L$5),Inputs!$L$5-D885,0)</f>
        <v>40.35</v>
      </c>
      <c r="F885" s="5">
        <f>E$51*'Assumptions and Catalog'!$C$31*C885*(1-'Assumptions and Catalog'!$C$10)^(A885-1)</f>
        <v>750.80773883654797</v>
      </c>
      <c r="G885" s="5">
        <f t="shared" si="60"/>
        <v>750.80773883654797</v>
      </c>
      <c r="H885" s="5">
        <f>I885/('Assumptions and Catalog'!$C$11*'Assumptions and Catalog'!$C$12)</f>
        <v>0</v>
      </c>
      <c r="I885" s="5">
        <f>MIN(E885*C885,P885*'Assumptions and Catalog'!$C$12*C885,(F885-G885)*'Assumptions and Catalog'!$C$11*'Assumptions and Catalog'!$C$12,E$56*'Assumptions and Catalog'!$C$14*'Assumptions and Catalog'!$C$11*'Assumptions and Catalog'!$C$12*C885,E$57*(24-'Assumptions and Catalog'!$C$13)*C885)</f>
        <v>0</v>
      </c>
      <c r="J885" s="5">
        <f t="shared" si="61"/>
        <v>0</v>
      </c>
      <c r="K885" s="5">
        <f t="shared" si="62"/>
        <v>0</v>
      </c>
      <c r="L885" s="5">
        <f>(D885+E885)*C885-G885-I885+0+IF(E$52&gt;0,'Assumptions and Catalog'!$C$26*C885,0)</f>
        <v>1670.192261163452</v>
      </c>
      <c r="M885" s="5">
        <f>IF(ISNUMBER(Inputs!$L$5),(IF(Inputs!$L$9="Actual flat rate",((D885+E885)*C885)*Inputs!$L$10,IF(Inputs!$C$9="Residential",IF(((D885+E885)*C885)&lt;='Assumptions and Catalog'!$C$50,((D885+E885)*C885)*'Assumptions and Catalog'!$H$50+'Assumptions and Catalog'!$E$50+'Assumptions and Catalog'!$F$50,IF(((D885+E885)*C885)&lt;='Assumptions and Catalog'!$C$51,((D885+E885)*C885)*'Assumptions and Catalog'!$H$51+'Assumptions and Catalog'!$E$51+'Assumptions and Catalog'!$F$51,IF(((D885+E885)*C885)&lt;='Assumptions and Catalog'!$C$52,((D885+E885)*C885)*'Assumptions and Catalog'!$H$52+'Assumptions and Catalog'!$E$52+'Assumptions and Catalog'!$F$52,IF(((D885+E885)*C885)&lt;='Assumptions and Catalog'!$C$53,((D885+E885)*C885)*'Assumptions and Catalog'!$H$53+'Assumptions and Catalog'!$E$53+'Assumptions and Catalog'!$F$53,IF(((D885+E885)*C885)&lt;='Assumptions and Catalog'!$C$54,((D885+E885)*C885)*'Assumptions and Catalog'!$H$54+'Assumptions and Catalog'!$E$54+'Assumptions and Catalog'!$F$54,IF(((D885+E885)*C885)&lt;='Assumptions and Catalog'!$C$55,((D885+E885)*C885)*'Assumptions and Catalog'!$H$55+'Assumptions and Catalog'!$E$55+'Assumptions and Catalog'!$F$55,IF(((D885+E885)*C885)&lt;='Assumptions and Catalog'!$C$56,((D885+E885)*C885)*'Assumptions and Catalog'!$H$56+'Assumptions and Catalog'!$E$56+'Assumptions and Catalog'!$F$56,IF(((D885+E885)*C885)&lt;='Assumptions and Catalog'!$C$57,((D885+E885)*C885)*'Assumptions and Catalog'!$H$57+'Assumptions and Catalog'!$E$57+'Assumptions and Catalog'!$F$57,"Out of range")))))))),IF(((D885+E885)*C885)&lt;='Assumptions and Catalog'!$C$60,((D885+E885)*C885)*'Assumptions and Catalog'!$H$60+'Assumptions and Catalog'!$E$60+'Assumptions and Catalog'!$F$60,IF(((D885+E885)*C885)&lt;='Assumptions and Catalog'!$C$61,((D885+E885)*C885)*'Assumptions and Catalog'!$H$61+'Assumptions and Catalog'!$E$61+'Assumptions and Catalog'!$F$61,IF(((D885+E885)*C885)&lt;='Assumptions and Catalog'!$C$62,((D885+E885)*C885)*'Assumptions and Catalog'!$H$62+'Assumptions and Catalog'!$E$62+'Assumptions and Catalog'!$F$62,IF(((D885+E885)*C885)&lt;='Assumptions and Catalog'!$C$63,((D885+E885)*C885)*'Assumptions and Catalog'!$H$63+'Assumptions and Catalog'!$E$63+'Assumptions and Catalog'!$F$63,IF(((D885+E885)*C885)&lt;='Assumptions and Catalog'!$C$64,((D885+E885)*C885)*'Assumptions and Catalog'!$H$64+'Assumptions and Catalog'!$E$64+'Assumptions and Catalog'!$F$64,IF(((D885+E885)*C885)&lt;='Assumptions and Catalog'!$C$65,((D885+E885)*C885)*'Assumptions and Catalog'!$H$65+'Assumptions and Catalog'!$E$65+'Assumptions and Catalog'!$F$65,"Out of range")))))))))*(1+'Assumptions and Catalog'!$C$8)^(A885-1),0)</f>
        <v>8279</v>
      </c>
      <c r="N885" s="5">
        <f>IF(ISNUMBER(Inputs!$L$5),(IF(Inputs!$L$9="Actual flat rate",L885*Inputs!$L$10,IF(Inputs!$C$9="Residential",IF(L885&lt;='Assumptions and Catalog'!$C$50,L885*'Assumptions and Catalog'!$H$50+'Assumptions and Catalog'!$E$50+'Assumptions and Catalog'!$F$50,IF(L885&lt;='Assumptions and Catalog'!$C$51,L885*'Assumptions and Catalog'!$H$51+'Assumptions and Catalog'!$E$51+'Assumptions and Catalog'!$F$51,IF(L885&lt;='Assumptions and Catalog'!$C$52,L885*'Assumptions and Catalog'!$H$52+'Assumptions and Catalog'!$E$52+'Assumptions and Catalog'!$F$52,IF(L885&lt;='Assumptions and Catalog'!$C$53,L885*'Assumptions and Catalog'!$H$53+'Assumptions and Catalog'!$E$53+'Assumptions and Catalog'!$F$53,IF(L885&lt;='Assumptions and Catalog'!$C$54,L885*'Assumptions and Catalog'!$H$54+'Assumptions and Catalog'!$E$54+'Assumptions and Catalog'!$F$54,IF(L885&lt;='Assumptions and Catalog'!$C$55,L885*'Assumptions and Catalog'!$H$55+'Assumptions and Catalog'!$E$55+'Assumptions and Catalog'!$F$55,IF(L885&lt;='Assumptions and Catalog'!$C$56,L885*'Assumptions and Catalog'!$H$56+'Assumptions and Catalog'!$E$56+'Assumptions and Catalog'!$F$56,IF(L885&lt;='Assumptions and Catalog'!$C$57,L885*'Assumptions and Catalog'!$H$57+'Assumptions and Catalog'!$E$57+'Assumptions and Catalog'!$F$57,"Out of range")))))))),IF(L885&lt;='Assumptions and Catalog'!$C$60,L885*'Assumptions and Catalog'!$H$60+'Assumptions and Catalog'!$E$60+'Assumptions and Catalog'!$F$60,IF(L885&lt;='Assumptions and Catalog'!$C$61,L885*'Assumptions and Catalog'!$H$61+'Assumptions and Catalog'!$E$61+'Assumptions and Catalog'!$F$61,IF(L885&lt;='Assumptions and Catalog'!$C$62,L885*'Assumptions and Catalog'!$H$62+'Assumptions and Catalog'!$E$62+'Assumptions and Catalog'!$F$62,IF(L885&lt;='Assumptions and Catalog'!$C$63,L885*'Assumptions and Catalog'!$H$63+'Assumptions and Catalog'!$E$63+'Assumptions and Catalog'!$F$63,IF(L885&lt;='Assumptions and Catalog'!$C$64,L885*'Assumptions and Catalog'!$H$64+'Assumptions and Catalog'!$E$64+'Assumptions and Catalog'!$F$64,IF(L885&lt;='Assumptions and Catalog'!$C$65,L885*'Assumptions and Catalog'!$H$65+'Assumptions and Catalog'!$E$65+'Assumptions and Catalog'!$F$65,"Out of range")))))))))*(1+'Assumptions and Catalog'!$C$8)^(A885-1),0)</f>
        <v>5711.4918340240474</v>
      </c>
      <c r="O885" s="5">
        <f t="shared" si="63"/>
        <v>2567.5081659759526</v>
      </c>
      <c r="P885" s="5">
        <f>E$55*(1-L$14)*(1-'Assumptions and Catalog'!$C$23)^R885</f>
        <v>87.118133512374826</v>
      </c>
      <c r="Q885" s="5">
        <f>IF(ISNUMBER(Inputs!$L$5),(IF(Inputs!$L$9="Actual flat rate",((D885+E885)*C885-G885)*Inputs!$L$10,IF(Inputs!$C$9="Residential",IF(((D885+E885)*C885-G885)&lt;='Assumptions and Catalog'!$C$50,((D885+E885)*C885-G885)*'Assumptions and Catalog'!$H$50+'Assumptions and Catalog'!$E$50+'Assumptions and Catalog'!$F$50,IF(((D885+E885)*C885-G885)&lt;='Assumptions and Catalog'!$C$51,((D885+E885)*C885-G885)*'Assumptions and Catalog'!$H$51+'Assumptions and Catalog'!$E$51+'Assumptions and Catalog'!$F$51,IF(((D885+E885)*C885-G885)&lt;='Assumptions and Catalog'!$C$52,((D885+E885)*C885-G885)*'Assumptions and Catalog'!$H$52+'Assumptions and Catalog'!$E$52+'Assumptions and Catalog'!$F$52,IF(((D885+E885)*C885-G885)&lt;='Assumptions and Catalog'!$C$53,((D885+E885)*C885-G885)*'Assumptions and Catalog'!$H$53+'Assumptions and Catalog'!$E$53+'Assumptions and Catalog'!$F$53,IF(((D885+E885)*C885-G885)&lt;='Assumptions and Catalog'!$C$54,((D885+E885)*C885-G885)*'Assumptions and Catalog'!$H$54+'Assumptions and Catalog'!$E$54+'Assumptions and Catalog'!$F$54,IF(((D885+E885)*C885-G885)&lt;='Assumptions and Catalog'!$C$55,((D885+E885)*C885-G885)*'Assumptions and Catalog'!$H$55+'Assumptions and Catalog'!$E$55+'Assumptions and Catalog'!$F$55,IF(((D885+E885)*C885-G885)&lt;='Assumptions and Catalog'!$C$56,((D885+E885)*C885-G885)*'Assumptions and Catalog'!$H$56+'Assumptions and Catalog'!$E$56+'Assumptions and Catalog'!$F$56,IF(((D885+E885)*C885-G885)&lt;='Assumptions and Catalog'!$C$57,((D885+E885)*C885-G885)*'Assumptions and Catalog'!$H$57+'Assumptions and Catalog'!$E$57+'Assumptions and Catalog'!$F$57,"Out of range")))))))),IF(((D885+E885)*C885-G885)&lt;='Assumptions and Catalog'!$C$60,((D885+E885)*C885-G885)*'Assumptions and Catalog'!$H$60+'Assumptions and Catalog'!$E$60+'Assumptions and Catalog'!$F$60,IF(((D885+E885)*C885-G885)&lt;='Assumptions and Catalog'!$C$61,((D885+E885)*C885-G885)*'Assumptions and Catalog'!$H$61+'Assumptions and Catalog'!$E$61+'Assumptions and Catalog'!$F$61,IF(((D885+E885)*C885-G885)&lt;='Assumptions and Catalog'!$C$62,((D885+E885)*C885-G885)*'Assumptions and Catalog'!$H$62+'Assumptions and Catalog'!$E$62+'Assumptions and Catalog'!$F$62,IF(((D885+E885)*C885-G885)&lt;='Assumptions and Catalog'!$C$63,((D885+E885)*C885-G885)*'Assumptions and Catalog'!$H$63+'Assumptions and Catalog'!$E$63+'Assumptions and Catalog'!$F$63,IF(((D885+E885)*C885-G885)&lt;='Assumptions and Catalog'!$C$64,((D885+E885)*C885-G885)*'Assumptions and Catalog'!$H$64+'Assumptions and Catalog'!$E$64+'Assumptions and Catalog'!$F$64,IF(((D885+E885)*C885-G885)&lt;='Assumptions and Catalog'!$C$65,((D885+E885)*C885-G885)*'Assumptions and Catalog'!$H$65+'Assumptions and Catalog'!$E$65+'Assumptions and Catalog'!$F$65,"Out of range")))))))))*(1+'Assumptions and Catalog'!$C$8)^(A885-1),0)</f>
        <v>5711.4918340240474</v>
      </c>
      <c r="R885" s="5">
        <f>IF(AND('Assumptions and Catalog'!$C$19&gt;0,A885&gt;='Assumptions and Catalog'!$C$19),A885-'Assumptions and Catalog'!$C$19,A885-1)</f>
        <v>8</v>
      </c>
      <c r="S885" s="5">
        <f>F885+L885-(D885+E885)*C885-J885-K885-IF(E$52&gt;0,'Assumptions and Catalog'!$C$26*C885,0)</f>
        <v>0</v>
      </c>
      <c r="T885" s="5"/>
      <c r="U885" s="5"/>
    </row>
    <row r="886" spans="1:21" ht="23.1" customHeight="1" outlineLevel="1" x14ac:dyDescent="0.2">
      <c r="A886" s="5">
        <v>19</v>
      </c>
      <c r="B886" s="5">
        <v>10</v>
      </c>
      <c r="C886" s="5">
        <f>DAY(DATE('Assumptions and Catalog'!$C$24+A886-1,B886+1,0))</f>
        <v>31</v>
      </c>
      <c r="D886" s="5">
        <f>IF(ISNUMBER(Inputs!$L$5),Inputs!$L$5*Inputs!$L$6,0)</f>
        <v>40.35</v>
      </c>
      <c r="E886" s="5">
        <f>IF(ISNUMBER(Inputs!$L$5),Inputs!$L$5-D886,0)</f>
        <v>40.35</v>
      </c>
      <c r="F886" s="5">
        <f>E$51*'Assumptions and Catalog'!$C$31*C886*(1-'Assumptions and Catalog'!$C$10)^(A886-1)</f>
        <v>775.83466346443299</v>
      </c>
      <c r="G886" s="5">
        <f t="shared" si="60"/>
        <v>775.83466346443299</v>
      </c>
      <c r="H886" s="5">
        <f>I886/('Assumptions and Catalog'!$C$11*'Assumptions and Catalog'!$C$12)</f>
        <v>0</v>
      </c>
      <c r="I886" s="5">
        <f>MIN(E886*C886,P886*'Assumptions and Catalog'!$C$12*C886,(F886-G886)*'Assumptions and Catalog'!$C$11*'Assumptions and Catalog'!$C$12,E$56*'Assumptions and Catalog'!$C$14*'Assumptions and Catalog'!$C$11*'Assumptions and Catalog'!$C$12*C886,E$57*(24-'Assumptions and Catalog'!$C$13)*C886)</f>
        <v>0</v>
      </c>
      <c r="J886" s="5">
        <f t="shared" si="61"/>
        <v>0</v>
      </c>
      <c r="K886" s="5">
        <f t="shared" si="62"/>
        <v>0</v>
      </c>
      <c r="L886" s="5">
        <f>(D886+E886)*C886-G886-I886+0+IF(E$52&gt;0,'Assumptions and Catalog'!$C$26*C886,0)</f>
        <v>1725.8653365355672</v>
      </c>
      <c r="M886" s="5">
        <f>IF(ISNUMBER(Inputs!$L$5),(IF(Inputs!$L$9="Actual flat rate",((D886+E886)*C886)*Inputs!$L$10,IF(Inputs!$C$9="Residential",IF(((D886+E886)*C886)&lt;='Assumptions and Catalog'!$C$50,((D886+E886)*C886)*'Assumptions and Catalog'!$H$50+'Assumptions and Catalog'!$E$50+'Assumptions and Catalog'!$F$50,IF(((D886+E886)*C886)&lt;='Assumptions and Catalog'!$C$51,((D886+E886)*C886)*'Assumptions and Catalog'!$H$51+'Assumptions and Catalog'!$E$51+'Assumptions and Catalog'!$F$51,IF(((D886+E886)*C886)&lt;='Assumptions and Catalog'!$C$52,((D886+E886)*C886)*'Assumptions and Catalog'!$H$52+'Assumptions and Catalog'!$E$52+'Assumptions and Catalog'!$F$52,IF(((D886+E886)*C886)&lt;='Assumptions and Catalog'!$C$53,((D886+E886)*C886)*'Assumptions and Catalog'!$H$53+'Assumptions and Catalog'!$E$53+'Assumptions and Catalog'!$F$53,IF(((D886+E886)*C886)&lt;='Assumptions and Catalog'!$C$54,((D886+E886)*C886)*'Assumptions and Catalog'!$H$54+'Assumptions and Catalog'!$E$54+'Assumptions and Catalog'!$F$54,IF(((D886+E886)*C886)&lt;='Assumptions and Catalog'!$C$55,((D886+E886)*C886)*'Assumptions and Catalog'!$H$55+'Assumptions and Catalog'!$E$55+'Assumptions and Catalog'!$F$55,IF(((D886+E886)*C886)&lt;='Assumptions and Catalog'!$C$56,((D886+E886)*C886)*'Assumptions and Catalog'!$H$56+'Assumptions and Catalog'!$E$56+'Assumptions and Catalog'!$F$56,IF(((D886+E886)*C886)&lt;='Assumptions and Catalog'!$C$57,((D886+E886)*C886)*'Assumptions and Catalog'!$H$57+'Assumptions and Catalog'!$E$57+'Assumptions and Catalog'!$F$57,"Out of range")))))))),IF(((D886+E886)*C886)&lt;='Assumptions and Catalog'!$C$60,((D886+E886)*C886)*'Assumptions and Catalog'!$H$60+'Assumptions and Catalog'!$E$60+'Assumptions and Catalog'!$F$60,IF(((D886+E886)*C886)&lt;='Assumptions and Catalog'!$C$61,((D886+E886)*C886)*'Assumptions and Catalog'!$H$61+'Assumptions and Catalog'!$E$61+'Assumptions and Catalog'!$F$61,IF(((D886+E886)*C886)&lt;='Assumptions and Catalog'!$C$62,((D886+E886)*C886)*'Assumptions and Catalog'!$H$62+'Assumptions and Catalog'!$E$62+'Assumptions and Catalog'!$F$62,IF(((D886+E886)*C886)&lt;='Assumptions and Catalog'!$C$63,((D886+E886)*C886)*'Assumptions and Catalog'!$H$63+'Assumptions and Catalog'!$E$63+'Assumptions and Catalog'!$F$63,IF(((D886+E886)*C886)&lt;='Assumptions and Catalog'!$C$64,((D886+E886)*C886)*'Assumptions and Catalog'!$H$64+'Assumptions and Catalog'!$E$64+'Assumptions and Catalog'!$F$64,IF(((D886+E886)*C886)&lt;='Assumptions and Catalog'!$C$65,((D886+E886)*C886)*'Assumptions and Catalog'!$H$65+'Assumptions and Catalog'!$E$65+'Assumptions and Catalog'!$F$65,"Out of range")))))))))*(1+'Assumptions and Catalog'!$C$8)^(A886-1),0)</f>
        <v>8554.9666666666672</v>
      </c>
      <c r="N886" s="5">
        <f>IF(ISNUMBER(Inputs!$L$5),(IF(Inputs!$L$9="Actual flat rate",L886*Inputs!$L$10,IF(Inputs!$C$9="Residential",IF(L886&lt;='Assumptions and Catalog'!$C$50,L886*'Assumptions and Catalog'!$H$50+'Assumptions and Catalog'!$E$50+'Assumptions and Catalog'!$F$50,IF(L886&lt;='Assumptions and Catalog'!$C$51,L886*'Assumptions and Catalog'!$H$51+'Assumptions and Catalog'!$E$51+'Assumptions and Catalog'!$F$51,IF(L886&lt;='Assumptions and Catalog'!$C$52,L886*'Assumptions and Catalog'!$H$52+'Assumptions and Catalog'!$E$52+'Assumptions and Catalog'!$F$52,IF(L886&lt;='Assumptions and Catalog'!$C$53,L886*'Assumptions and Catalog'!$H$53+'Assumptions and Catalog'!$E$53+'Assumptions and Catalog'!$F$53,IF(L886&lt;='Assumptions and Catalog'!$C$54,L886*'Assumptions and Catalog'!$H$54+'Assumptions and Catalog'!$E$54+'Assumptions and Catalog'!$F$54,IF(L886&lt;='Assumptions and Catalog'!$C$55,L886*'Assumptions and Catalog'!$H$55+'Assumptions and Catalog'!$E$55+'Assumptions and Catalog'!$F$55,IF(L886&lt;='Assumptions and Catalog'!$C$56,L886*'Assumptions and Catalog'!$H$56+'Assumptions and Catalog'!$E$56+'Assumptions and Catalog'!$F$56,IF(L886&lt;='Assumptions and Catalog'!$C$57,L886*'Assumptions and Catalog'!$H$57+'Assumptions and Catalog'!$E$57+'Assumptions and Catalog'!$F$57,"Out of range")))))))),IF(L886&lt;='Assumptions and Catalog'!$C$60,L886*'Assumptions and Catalog'!$H$60+'Assumptions and Catalog'!$E$60+'Assumptions and Catalog'!$F$60,IF(L886&lt;='Assumptions and Catalog'!$C$61,L886*'Assumptions and Catalog'!$H$61+'Assumptions and Catalog'!$E$61+'Assumptions and Catalog'!$F$61,IF(L886&lt;='Assumptions and Catalog'!$C$62,L886*'Assumptions and Catalog'!$H$62+'Assumptions and Catalog'!$E$62+'Assumptions and Catalog'!$F$62,IF(L886&lt;='Assumptions and Catalog'!$C$63,L886*'Assumptions and Catalog'!$H$63+'Assumptions and Catalog'!$E$63+'Assumptions and Catalog'!$F$63,IF(L886&lt;='Assumptions and Catalog'!$C$64,L886*'Assumptions and Catalog'!$H$64+'Assumptions and Catalog'!$E$64+'Assumptions and Catalog'!$F$64,IF(L886&lt;='Assumptions and Catalog'!$C$65,L886*'Assumptions and Catalog'!$H$65+'Assumptions and Catalog'!$E$65+'Assumptions and Catalog'!$F$65,"Out of range")))))))))*(1+'Assumptions and Catalog'!$C$8)^(A886-1),0)</f>
        <v>5901.8748951581829</v>
      </c>
      <c r="O886" s="5">
        <f t="shared" si="63"/>
        <v>2653.0917715084843</v>
      </c>
      <c r="P886" s="5">
        <f>E$55*(1-L$14)*(1-'Assumptions and Catalog'!$C$23)^R886</f>
        <v>87.118133512374826</v>
      </c>
      <c r="Q886" s="5">
        <f>IF(ISNUMBER(Inputs!$L$5),(IF(Inputs!$L$9="Actual flat rate",((D886+E886)*C886-G886)*Inputs!$L$10,IF(Inputs!$C$9="Residential",IF(((D886+E886)*C886-G886)&lt;='Assumptions and Catalog'!$C$50,((D886+E886)*C886-G886)*'Assumptions and Catalog'!$H$50+'Assumptions and Catalog'!$E$50+'Assumptions and Catalog'!$F$50,IF(((D886+E886)*C886-G886)&lt;='Assumptions and Catalog'!$C$51,((D886+E886)*C886-G886)*'Assumptions and Catalog'!$H$51+'Assumptions and Catalog'!$E$51+'Assumptions and Catalog'!$F$51,IF(((D886+E886)*C886-G886)&lt;='Assumptions and Catalog'!$C$52,((D886+E886)*C886-G886)*'Assumptions and Catalog'!$H$52+'Assumptions and Catalog'!$E$52+'Assumptions and Catalog'!$F$52,IF(((D886+E886)*C886-G886)&lt;='Assumptions and Catalog'!$C$53,((D886+E886)*C886-G886)*'Assumptions and Catalog'!$H$53+'Assumptions and Catalog'!$E$53+'Assumptions and Catalog'!$F$53,IF(((D886+E886)*C886-G886)&lt;='Assumptions and Catalog'!$C$54,((D886+E886)*C886-G886)*'Assumptions and Catalog'!$H$54+'Assumptions and Catalog'!$E$54+'Assumptions and Catalog'!$F$54,IF(((D886+E886)*C886-G886)&lt;='Assumptions and Catalog'!$C$55,((D886+E886)*C886-G886)*'Assumptions and Catalog'!$H$55+'Assumptions and Catalog'!$E$55+'Assumptions and Catalog'!$F$55,IF(((D886+E886)*C886-G886)&lt;='Assumptions and Catalog'!$C$56,((D886+E886)*C886-G886)*'Assumptions and Catalog'!$H$56+'Assumptions and Catalog'!$E$56+'Assumptions and Catalog'!$F$56,IF(((D886+E886)*C886-G886)&lt;='Assumptions and Catalog'!$C$57,((D886+E886)*C886-G886)*'Assumptions and Catalog'!$H$57+'Assumptions and Catalog'!$E$57+'Assumptions and Catalog'!$F$57,"Out of range")))))))),IF(((D886+E886)*C886-G886)&lt;='Assumptions and Catalog'!$C$60,((D886+E886)*C886-G886)*'Assumptions and Catalog'!$H$60+'Assumptions and Catalog'!$E$60+'Assumptions and Catalog'!$F$60,IF(((D886+E886)*C886-G886)&lt;='Assumptions and Catalog'!$C$61,((D886+E886)*C886-G886)*'Assumptions and Catalog'!$H$61+'Assumptions and Catalog'!$E$61+'Assumptions and Catalog'!$F$61,IF(((D886+E886)*C886-G886)&lt;='Assumptions and Catalog'!$C$62,((D886+E886)*C886-G886)*'Assumptions and Catalog'!$H$62+'Assumptions and Catalog'!$E$62+'Assumptions and Catalog'!$F$62,IF(((D886+E886)*C886-G886)&lt;='Assumptions and Catalog'!$C$63,((D886+E886)*C886-G886)*'Assumptions and Catalog'!$H$63+'Assumptions and Catalog'!$E$63+'Assumptions and Catalog'!$F$63,IF(((D886+E886)*C886-G886)&lt;='Assumptions and Catalog'!$C$64,((D886+E886)*C886-G886)*'Assumptions and Catalog'!$H$64+'Assumptions and Catalog'!$E$64+'Assumptions and Catalog'!$F$64,IF(((D886+E886)*C886-G886)&lt;='Assumptions and Catalog'!$C$65,((D886+E886)*C886-G886)*'Assumptions and Catalog'!$H$65+'Assumptions and Catalog'!$E$65+'Assumptions and Catalog'!$F$65,"Out of range")))))))))*(1+'Assumptions and Catalog'!$C$8)^(A886-1),0)</f>
        <v>5901.8748951581829</v>
      </c>
      <c r="R886" s="5">
        <f>IF(AND('Assumptions and Catalog'!$C$19&gt;0,A886&gt;='Assumptions and Catalog'!$C$19),A886-'Assumptions and Catalog'!$C$19,A886-1)</f>
        <v>8</v>
      </c>
      <c r="S886" s="5">
        <f>F886+L886-(D886+E886)*C886-J886-K886-IF(E$52&gt;0,'Assumptions and Catalog'!$C$26*C886,0)</f>
        <v>0</v>
      </c>
      <c r="T886" s="5"/>
      <c r="U886" s="5"/>
    </row>
    <row r="887" spans="1:21" ht="23.1" customHeight="1" outlineLevel="1" x14ac:dyDescent="0.2">
      <c r="A887" s="5">
        <v>19</v>
      </c>
      <c r="B887" s="5">
        <v>11</v>
      </c>
      <c r="C887" s="5">
        <f>DAY(DATE('Assumptions and Catalog'!$C$24+A887-1,B887+1,0))</f>
        <v>30</v>
      </c>
      <c r="D887" s="5">
        <f>IF(ISNUMBER(Inputs!$L$5),Inputs!$L$5*Inputs!$L$6,0)</f>
        <v>40.35</v>
      </c>
      <c r="E887" s="5">
        <f>IF(ISNUMBER(Inputs!$L$5),Inputs!$L$5-D887,0)</f>
        <v>40.35</v>
      </c>
      <c r="F887" s="5">
        <f>E$51*'Assumptions and Catalog'!$C$31*C887*(1-'Assumptions and Catalog'!$C$10)^(A887-1)</f>
        <v>750.80773883654797</v>
      </c>
      <c r="G887" s="5">
        <f t="shared" si="60"/>
        <v>750.80773883654797</v>
      </c>
      <c r="H887" s="5">
        <f>I887/('Assumptions and Catalog'!$C$11*'Assumptions and Catalog'!$C$12)</f>
        <v>0</v>
      </c>
      <c r="I887" s="5">
        <f>MIN(E887*C887,P887*'Assumptions and Catalog'!$C$12*C887,(F887-G887)*'Assumptions and Catalog'!$C$11*'Assumptions and Catalog'!$C$12,E$56*'Assumptions and Catalog'!$C$14*'Assumptions and Catalog'!$C$11*'Assumptions and Catalog'!$C$12*C887,E$57*(24-'Assumptions and Catalog'!$C$13)*C887)</f>
        <v>0</v>
      </c>
      <c r="J887" s="5">
        <f t="shared" si="61"/>
        <v>0</v>
      </c>
      <c r="K887" s="5">
        <f t="shared" si="62"/>
        <v>0</v>
      </c>
      <c r="L887" s="5">
        <f>(D887+E887)*C887-G887-I887+0+IF(E$52&gt;0,'Assumptions and Catalog'!$C$26*C887,0)</f>
        <v>1670.192261163452</v>
      </c>
      <c r="M887" s="5">
        <f>IF(ISNUMBER(Inputs!$L$5),(IF(Inputs!$L$9="Actual flat rate",((D887+E887)*C887)*Inputs!$L$10,IF(Inputs!$C$9="Residential",IF(((D887+E887)*C887)&lt;='Assumptions and Catalog'!$C$50,((D887+E887)*C887)*'Assumptions and Catalog'!$H$50+'Assumptions and Catalog'!$E$50+'Assumptions and Catalog'!$F$50,IF(((D887+E887)*C887)&lt;='Assumptions and Catalog'!$C$51,((D887+E887)*C887)*'Assumptions and Catalog'!$H$51+'Assumptions and Catalog'!$E$51+'Assumptions and Catalog'!$F$51,IF(((D887+E887)*C887)&lt;='Assumptions and Catalog'!$C$52,((D887+E887)*C887)*'Assumptions and Catalog'!$H$52+'Assumptions and Catalog'!$E$52+'Assumptions and Catalog'!$F$52,IF(((D887+E887)*C887)&lt;='Assumptions and Catalog'!$C$53,((D887+E887)*C887)*'Assumptions and Catalog'!$H$53+'Assumptions and Catalog'!$E$53+'Assumptions and Catalog'!$F$53,IF(((D887+E887)*C887)&lt;='Assumptions and Catalog'!$C$54,((D887+E887)*C887)*'Assumptions and Catalog'!$H$54+'Assumptions and Catalog'!$E$54+'Assumptions and Catalog'!$F$54,IF(((D887+E887)*C887)&lt;='Assumptions and Catalog'!$C$55,((D887+E887)*C887)*'Assumptions and Catalog'!$H$55+'Assumptions and Catalog'!$E$55+'Assumptions and Catalog'!$F$55,IF(((D887+E887)*C887)&lt;='Assumptions and Catalog'!$C$56,((D887+E887)*C887)*'Assumptions and Catalog'!$H$56+'Assumptions and Catalog'!$E$56+'Assumptions and Catalog'!$F$56,IF(((D887+E887)*C887)&lt;='Assumptions and Catalog'!$C$57,((D887+E887)*C887)*'Assumptions and Catalog'!$H$57+'Assumptions and Catalog'!$E$57+'Assumptions and Catalog'!$F$57,"Out of range")))))))),IF(((D887+E887)*C887)&lt;='Assumptions and Catalog'!$C$60,((D887+E887)*C887)*'Assumptions and Catalog'!$H$60+'Assumptions and Catalog'!$E$60+'Assumptions and Catalog'!$F$60,IF(((D887+E887)*C887)&lt;='Assumptions and Catalog'!$C$61,((D887+E887)*C887)*'Assumptions and Catalog'!$H$61+'Assumptions and Catalog'!$E$61+'Assumptions and Catalog'!$F$61,IF(((D887+E887)*C887)&lt;='Assumptions and Catalog'!$C$62,((D887+E887)*C887)*'Assumptions and Catalog'!$H$62+'Assumptions and Catalog'!$E$62+'Assumptions and Catalog'!$F$62,IF(((D887+E887)*C887)&lt;='Assumptions and Catalog'!$C$63,((D887+E887)*C887)*'Assumptions and Catalog'!$H$63+'Assumptions and Catalog'!$E$63+'Assumptions and Catalog'!$F$63,IF(((D887+E887)*C887)&lt;='Assumptions and Catalog'!$C$64,((D887+E887)*C887)*'Assumptions and Catalog'!$H$64+'Assumptions and Catalog'!$E$64+'Assumptions and Catalog'!$F$64,IF(((D887+E887)*C887)&lt;='Assumptions and Catalog'!$C$65,((D887+E887)*C887)*'Assumptions and Catalog'!$H$65+'Assumptions and Catalog'!$E$65+'Assumptions and Catalog'!$F$65,"Out of range")))))))))*(1+'Assumptions and Catalog'!$C$8)^(A887-1),0)</f>
        <v>8279</v>
      </c>
      <c r="N887" s="5">
        <f>IF(ISNUMBER(Inputs!$L$5),(IF(Inputs!$L$9="Actual flat rate",L887*Inputs!$L$10,IF(Inputs!$C$9="Residential",IF(L887&lt;='Assumptions and Catalog'!$C$50,L887*'Assumptions and Catalog'!$H$50+'Assumptions and Catalog'!$E$50+'Assumptions and Catalog'!$F$50,IF(L887&lt;='Assumptions and Catalog'!$C$51,L887*'Assumptions and Catalog'!$H$51+'Assumptions and Catalog'!$E$51+'Assumptions and Catalog'!$F$51,IF(L887&lt;='Assumptions and Catalog'!$C$52,L887*'Assumptions and Catalog'!$H$52+'Assumptions and Catalog'!$E$52+'Assumptions and Catalog'!$F$52,IF(L887&lt;='Assumptions and Catalog'!$C$53,L887*'Assumptions and Catalog'!$H$53+'Assumptions and Catalog'!$E$53+'Assumptions and Catalog'!$F$53,IF(L887&lt;='Assumptions and Catalog'!$C$54,L887*'Assumptions and Catalog'!$H$54+'Assumptions and Catalog'!$E$54+'Assumptions and Catalog'!$F$54,IF(L887&lt;='Assumptions and Catalog'!$C$55,L887*'Assumptions and Catalog'!$H$55+'Assumptions and Catalog'!$E$55+'Assumptions and Catalog'!$F$55,IF(L887&lt;='Assumptions and Catalog'!$C$56,L887*'Assumptions and Catalog'!$H$56+'Assumptions and Catalog'!$E$56+'Assumptions and Catalog'!$F$56,IF(L887&lt;='Assumptions and Catalog'!$C$57,L887*'Assumptions and Catalog'!$H$57+'Assumptions and Catalog'!$E$57+'Assumptions and Catalog'!$F$57,"Out of range")))))))),IF(L887&lt;='Assumptions and Catalog'!$C$60,L887*'Assumptions and Catalog'!$H$60+'Assumptions and Catalog'!$E$60+'Assumptions and Catalog'!$F$60,IF(L887&lt;='Assumptions and Catalog'!$C$61,L887*'Assumptions and Catalog'!$H$61+'Assumptions and Catalog'!$E$61+'Assumptions and Catalog'!$F$61,IF(L887&lt;='Assumptions and Catalog'!$C$62,L887*'Assumptions and Catalog'!$H$62+'Assumptions and Catalog'!$E$62+'Assumptions and Catalog'!$F$62,IF(L887&lt;='Assumptions and Catalog'!$C$63,L887*'Assumptions and Catalog'!$H$63+'Assumptions and Catalog'!$E$63+'Assumptions and Catalog'!$F$63,IF(L887&lt;='Assumptions and Catalog'!$C$64,L887*'Assumptions and Catalog'!$H$64+'Assumptions and Catalog'!$E$64+'Assumptions and Catalog'!$F$64,IF(L887&lt;='Assumptions and Catalog'!$C$65,L887*'Assumptions and Catalog'!$H$65+'Assumptions and Catalog'!$E$65+'Assumptions and Catalog'!$F$65,"Out of range")))))))))*(1+'Assumptions and Catalog'!$C$8)^(A887-1),0)</f>
        <v>5711.4918340240474</v>
      </c>
      <c r="O887" s="5">
        <f t="shared" si="63"/>
        <v>2567.5081659759526</v>
      </c>
      <c r="P887" s="5">
        <f>E$55*(1-L$14)*(1-'Assumptions and Catalog'!$C$23)^R887</f>
        <v>87.118133512374826</v>
      </c>
      <c r="Q887" s="5">
        <f>IF(ISNUMBER(Inputs!$L$5),(IF(Inputs!$L$9="Actual flat rate",((D887+E887)*C887-G887)*Inputs!$L$10,IF(Inputs!$C$9="Residential",IF(((D887+E887)*C887-G887)&lt;='Assumptions and Catalog'!$C$50,((D887+E887)*C887-G887)*'Assumptions and Catalog'!$H$50+'Assumptions and Catalog'!$E$50+'Assumptions and Catalog'!$F$50,IF(((D887+E887)*C887-G887)&lt;='Assumptions and Catalog'!$C$51,((D887+E887)*C887-G887)*'Assumptions and Catalog'!$H$51+'Assumptions and Catalog'!$E$51+'Assumptions and Catalog'!$F$51,IF(((D887+E887)*C887-G887)&lt;='Assumptions and Catalog'!$C$52,((D887+E887)*C887-G887)*'Assumptions and Catalog'!$H$52+'Assumptions and Catalog'!$E$52+'Assumptions and Catalog'!$F$52,IF(((D887+E887)*C887-G887)&lt;='Assumptions and Catalog'!$C$53,((D887+E887)*C887-G887)*'Assumptions and Catalog'!$H$53+'Assumptions and Catalog'!$E$53+'Assumptions and Catalog'!$F$53,IF(((D887+E887)*C887-G887)&lt;='Assumptions and Catalog'!$C$54,((D887+E887)*C887-G887)*'Assumptions and Catalog'!$H$54+'Assumptions and Catalog'!$E$54+'Assumptions and Catalog'!$F$54,IF(((D887+E887)*C887-G887)&lt;='Assumptions and Catalog'!$C$55,((D887+E887)*C887-G887)*'Assumptions and Catalog'!$H$55+'Assumptions and Catalog'!$E$55+'Assumptions and Catalog'!$F$55,IF(((D887+E887)*C887-G887)&lt;='Assumptions and Catalog'!$C$56,((D887+E887)*C887-G887)*'Assumptions and Catalog'!$H$56+'Assumptions and Catalog'!$E$56+'Assumptions and Catalog'!$F$56,IF(((D887+E887)*C887-G887)&lt;='Assumptions and Catalog'!$C$57,((D887+E887)*C887-G887)*'Assumptions and Catalog'!$H$57+'Assumptions and Catalog'!$E$57+'Assumptions and Catalog'!$F$57,"Out of range")))))))),IF(((D887+E887)*C887-G887)&lt;='Assumptions and Catalog'!$C$60,((D887+E887)*C887-G887)*'Assumptions and Catalog'!$H$60+'Assumptions and Catalog'!$E$60+'Assumptions and Catalog'!$F$60,IF(((D887+E887)*C887-G887)&lt;='Assumptions and Catalog'!$C$61,((D887+E887)*C887-G887)*'Assumptions and Catalog'!$H$61+'Assumptions and Catalog'!$E$61+'Assumptions and Catalog'!$F$61,IF(((D887+E887)*C887-G887)&lt;='Assumptions and Catalog'!$C$62,((D887+E887)*C887-G887)*'Assumptions and Catalog'!$H$62+'Assumptions and Catalog'!$E$62+'Assumptions and Catalog'!$F$62,IF(((D887+E887)*C887-G887)&lt;='Assumptions and Catalog'!$C$63,((D887+E887)*C887-G887)*'Assumptions and Catalog'!$H$63+'Assumptions and Catalog'!$E$63+'Assumptions and Catalog'!$F$63,IF(((D887+E887)*C887-G887)&lt;='Assumptions and Catalog'!$C$64,((D887+E887)*C887-G887)*'Assumptions and Catalog'!$H$64+'Assumptions and Catalog'!$E$64+'Assumptions and Catalog'!$F$64,IF(((D887+E887)*C887-G887)&lt;='Assumptions and Catalog'!$C$65,((D887+E887)*C887-G887)*'Assumptions and Catalog'!$H$65+'Assumptions and Catalog'!$E$65+'Assumptions and Catalog'!$F$65,"Out of range")))))))))*(1+'Assumptions and Catalog'!$C$8)^(A887-1),0)</f>
        <v>5711.4918340240474</v>
      </c>
      <c r="R887" s="5">
        <f>IF(AND('Assumptions and Catalog'!$C$19&gt;0,A887&gt;='Assumptions and Catalog'!$C$19),A887-'Assumptions and Catalog'!$C$19,A887-1)</f>
        <v>8</v>
      </c>
      <c r="S887" s="5">
        <f>F887+L887-(D887+E887)*C887-J887-K887-IF(E$52&gt;0,'Assumptions and Catalog'!$C$26*C887,0)</f>
        <v>0</v>
      </c>
      <c r="T887" s="5"/>
      <c r="U887" s="5"/>
    </row>
    <row r="888" spans="1:21" ht="23.1" customHeight="1" outlineLevel="1" x14ac:dyDescent="0.2">
      <c r="A888" s="5">
        <v>19</v>
      </c>
      <c r="B888" s="5">
        <v>12</v>
      </c>
      <c r="C888" s="5">
        <f>DAY(DATE('Assumptions and Catalog'!$C$24+A888-1,B888+1,0))</f>
        <v>31</v>
      </c>
      <c r="D888" s="5">
        <f>IF(ISNUMBER(Inputs!$L$5),Inputs!$L$5*Inputs!$L$6,0)</f>
        <v>40.35</v>
      </c>
      <c r="E888" s="5">
        <f>IF(ISNUMBER(Inputs!$L$5),Inputs!$L$5-D888,0)</f>
        <v>40.35</v>
      </c>
      <c r="F888" s="5">
        <f>E$51*'Assumptions and Catalog'!$C$31*C888*(1-'Assumptions and Catalog'!$C$10)^(A888-1)</f>
        <v>775.83466346443299</v>
      </c>
      <c r="G888" s="5">
        <f t="shared" si="60"/>
        <v>775.83466346443299</v>
      </c>
      <c r="H888" s="5">
        <f>I888/('Assumptions and Catalog'!$C$11*'Assumptions and Catalog'!$C$12)</f>
        <v>0</v>
      </c>
      <c r="I888" s="5">
        <f>MIN(E888*C888,P888*'Assumptions and Catalog'!$C$12*C888,(F888-G888)*'Assumptions and Catalog'!$C$11*'Assumptions and Catalog'!$C$12,E$56*'Assumptions and Catalog'!$C$14*'Assumptions and Catalog'!$C$11*'Assumptions and Catalog'!$C$12*C888,E$57*(24-'Assumptions and Catalog'!$C$13)*C888)</f>
        <v>0</v>
      </c>
      <c r="J888" s="5">
        <f t="shared" si="61"/>
        <v>0</v>
      </c>
      <c r="K888" s="5">
        <f t="shared" si="62"/>
        <v>0</v>
      </c>
      <c r="L888" s="5">
        <f>(D888+E888)*C888-G888-I888+0+IF(E$52&gt;0,'Assumptions and Catalog'!$C$26*C888,0)</f>
        <v>1725.8653365355672</v>
      </c>
      <c r="M888" s="5">
        <f>IF(ISNUMBER(Inputs!$L$5),(IF(Inputs!$L$9="Actual flat rate",((D888+E888)*C888)*Inputs!$L$10,IF(Inputs!$C$9="Residential",IF(((D888+E888)*C888)&lt;='Assumptions and Catalog'!$C$50,((D888+E888)*C888)*'Assumptions and Catalog'!$H$50+'Assumptions and Catalog'!$E$50+'Assumptions and Catalog'!$F$50,IF(((D888+E888)*C888)&lt;='Assumptions and Catalog'!$C$51,((D888+E888)*C888)*'Assumptions and Catalog'!$H$51+'Assumptions and Catalog'!$E$51+'Assumptions and Catalog'!$F$51,IF(((D888+E888)*C888)&lt;='Assumptions and Catalog'!$C$52,((D888+E888)*C888)*'Assumptions and Catalog'!$H$52+'Assumptions and Catalog'!$E$52+'Assumptions and Catalog'!$F$52,IF(((D888+E888)*C888)&lt;='Assumptions and Catalog'!$C$53,((D888+E888)*C888)*'Assumptions and Catalog'!$H$53+'Assumptions and Catalog'!$E$53+'Assumptions and Catalog'!$F$53,IF(((D888+E888)*C888)&lt;='Assumptions and Catalog'!$C$54,((D888+E888)*C888)*'Assumptions and Catalog'!$H$54+'Assumptions and Catalog'!$E$54+'Assumptions and Catalog'!$F$54,IF(((D888+E888)*C888)&lt;='Assumptions and Catalog'!$C$55,((D888+E888)*C888)*'Assumptions and Catalog'!$H$55+'Assumptions and Catalog'!$E$55+'Assumptions and Catalog'!$F$55,IF(((D888+E888)*C888)&lt;='Assumptions and Catalog'!$C$56,((D888+E888)*C888)*'Assumptions and Catalog'!$H$56+'Assumptions and Catalog'!$E$56+'Assumptions and Catalog'!$F$56,IF(((D888+E888)*C888)&lt;='Assumptions and Catalog'!$C$57,((D888+E888)*C888)*'Assumptions and Catalog'!$H$57+'Assumptions and Catalog'!$E$57+'Assumptions and Catalog'!$F$57,"Out of range")))))))),IF(((D888+E888)*C888)&lt;='Assumptions and Catalog'!$C$60,((D888+E888)*C888)*'Assumptions and Catalog'!$H$60+'Assumptions and Catalog'!$E$60+'Assumptions and Catalog'!$F$60,IF(((D888+E888)*C888)&lt;='Assumptions and Catalog'!$C$61,((D888+E888)*C888)*'Assumptions and Catalog'!$H$61+'Assumptions and Catalog'!$E$61+'Assumptions and Catalog'!$F$61,IF(((D888+E888)*C888)&lt;='Assumptions and Catalog'!$C$62,((D888+E888)*C888)*'Assumptions and Catalog'!$H$62+'Assumptions and Catalog'!$E$62+'Assumptions and Catalog'!$F$62,IF(((D888+E888)*C888)&lt;='Assumptions and Catalog'!$C$63,((D888+E888)*C888)*'Assumptions and Catalog'!$H$63+'Assumptions and Catalog'!$E$63+'Assumptions and Catalog'!$F$63,IF(((D888+E888)*C888)&lt;='Assumptions and Catalog'!$C$64,((D888+E888)*C888)*'Assumptions and Catalog'!$H$64+'Assumptions and Catalog'!$E$64+'Assumptions and Catalog'!$F$64,IF(((D888+E888)*C888)&lt;='Assumptions and Catalog'!$C$65,((D888+E888)*C888)*'Assumptions and Catalog'!$H$65+'Assumptions and Catalog'!$E$65+'Assumptions and Catalog'!$F$65,"Out of range")))))))))*(1+'Assumptions and Catalog'!$C$8)^(A888-1),0)</f>
        <v>8554.9666666666672</v>
      </c>
      <c r="N888" s="5">
        <f>IF(ISNUMBER(Inputs!$L$5),(IF(Inputs!$L$9="Actual flat rate",L888*Inputs!$L$10,IF(Inputs!$C$9="Residential",IF(L888&lt;='Assumptions and Catalog'!$C$50,L888*'Assumptions and Catalog'!$H$50+'Assumptions and Catalog'!$E$50+'Assumptions and Catalog'!$F$50,IF(L888&lt;='Assumptions and Catalog'!$C$51,L888*'Assumptions and Catalog'!$H$51+'Assumptions and Catalog'!$E$51+'Assumptions and Catalog'!$F$51,IF(L888&lt;='Assumptions and Catalog'!$C$52,L888*'Assumptions and Catalog'!$H$52+'Assumptions and Catalog'!$E$52+'Assumptions and Catalog'!$F$52,IF(L888&lt;='Assumptions and Catalog'!$C$53,L888*'Assumptions and Catalog'!$H$53+'Assumptions and Catalog'!$E$53+'Assumptions and Catalog'!$F$53,IF(L888&lt;='Assumptions and Catalog'!$C$54,L888*'Assumptions and Catalog'!$H$54+'Assumptions and Catalog'!$E$54+'Assumptions and Catalog'!$F$54,IF(L888&lt;='Assumptions and Catalog'!$C$55,L888*'Assumptions and Catalog'!$H$55+'Assumptions and Catalog'!$E$55+'Assumptions and Catalog'!$F$55,IF(L888&lt;='Assumptions and Catalog'!$C$56,L888*'Assumptions and Catalog'!$H$56+'Assumptions and Catalog'!$E$56+'Assumptions and Catalog'!$F$56,IF(L888&lt;='Assumptions and Catalog'!$C$57,L888*'Assumptions and Catalog'!$H$57+'Assumptions and Catalog'!$E$57+'Assumptions and Catalog'!$F$57,"Out of range")))))))),IF(L888&lt;='Assumptions and Catalog'!$C$60,L888*'Assumptions and Catalog'!$H$60+'Assumptions and Catalog'!$E$60+'Assumptions and Catalog'!$F$60,IF(L888&lt;='Assumptions and Catalog'!$C$61,L888*'Assumptions and Catalog'!$H$61+'Assumptions and Catalog'!$E$61+'Assumptions and Catalog'!$F$61,IF(L888&lt;='Assumptions and Catalog'!$C$62,L888*'Assumptions and Catalog'!$H$62+'Assumptions and Catalog'!$E$62+'Assumptions and Catalog'!$F$62,IF(L888&lt;='Assumptions and Catalog'!$C$63,L888*'Assumptions and Catalog'!$H$63+'Assumptions and Catalog'!$E$63+'Assumptions and Catalog'!$F$63,IF(L888&lt;='Assumptions and Catalog'!$C$64,L888*'Assumptions and Catalog'!$H$64+'Assumptions and Catalog'!$E$64+'Assumptions and Catalog'!$F$64,IF(L888&lt;='Assumptions and Catalog'!$C$65,L888*'Assumptions and Catalog'!$H$65+'Assumptions and Catalog'!$E$65+'Assumptions and Catalog'!$F$65,"Out of range")))))))))*(1+'Assumptions and Catalog'!$C$8)^(A888-1),0)</f>
        <v>5901.8748951581829</v>
      </c>
      <c r="O888" s="5">
        <f t="shared" si="63"/>
        <v>2653.0917715084843</v>
      </c>
      <c r="P888" s="5">
        <f>E$55*(1-L$14)*(1-'Assumptions and Catalog'!$C$23)^R888</f>
        <v>87.118133512374826</v>
      </c>
      <c r="Q888" s="5">
        <f>IF(ISNUMBER(Inputs!$L$5),(IF(Inputs!$L$9="Actual flat rate",((D888+E888)*C888-G888)*Inputs!$L$10,IF(Inputs!$C$9="Residential",IF(((D888+E888)*C888-G888)&lt;='Assumptions and Catalog'!$C$50,((D888+E888)*C888-G888)*'Assumptions and Catalog'!$H$50+'Assumptions and Catalog'!$E$50+'Assumptions and Catalog'!$F$50,IF(((D888+E888)*C888-G888)&lt;='Assumptions and Catalog'!$C$51,((D888+E888)*C888-G888)*'Assumptions and Catalog'!$H$51+'Assumptions and Catalog'!$E$51+'Assumptions and Catalog'!$F$51,IF(((D888+E888)*C888-G888)&lt;='Assumptions and Catalog'!$C$52,((D888+E888)*C888-G888)*'Assumptions and Catalog'!$H$52+'Assumptions and Catalog'!$E$52+'Assumptions and Catalog'!$F$52,IF(((D888+E888)*C888-G888)&lt;='Assumptions and Catalog'!$C$53,((D888+E888)*C888-G888)*'Assumptions and Catalog'!$H$53+'Assumptions and Catalog'!$E$53+'Assumptions and Catalog'!$F$53,IF(((D888+E888)*C888-G888)&lt;='Assumptions and Catalog'!$C$54,((D888+E888)*C888-G888)*'Assumptions and Catalog'!$H$54+'Assumptions and Catalog'!$E$54+'Assumptions and Catalog'!$F$54,IF(((D888+E888)*C888-G888)&lt;='Assumptions and Catalog'!$C$55,((D888+E888)*C888-G888)*'Assumptions and Catalog'!$H$55+'Assumptions and Catalog'!$E$55+'Assumptions and Catalog'!$F$55,IF(((D888+E888)*C888-G888)&lt;='Assumptions and Catalog'!$C$56,((D888+E888)*C888-G888)*'Assumptions and Catalog'!$H$56+'Assumptions and Catalog'!$E$56+'Assumptions and Catalog'!$F$56,IF(((D888+E888)*C888-G888)&lt;='Assumptions and Catalog'!$C$57,((D888+E888)*C888-G888)*'Assumptions and Catalog'!$H$57+'Assumptions and Catalog'!$E$57+'Assumptions and Catalog'!$F$57,"Out of range")))))))),IF(((D888+E888)*C888-G888)&lt;='Assumptions and Catalog'!$C$60,((D888+E888)*C888-G888)*'Assumptions and Catalog'!$H$60+'Assumptions and Catalog'!$E$60+'Assumptions and Catalog'!$F$60,IF(((D888+E888)*C888-G888)&lt;='Assumptions and Catalog'!$C$61,((D888+E888)*C888-G888)*'Assumptions and Catalog'!$H$61+'Assumptions and Catalog'!$E$61+'Assumptions and Catalog'!$F$61,IF(((D888+E888)*C888-G888)&lt;='Assumptions and Catalog'!$C$62,((D888+E888)*C888-G888)*'Assumptions and Catalog'!$H$62+'Assumptions and Catalog'!$E$62+'Assumptions and Catalog'!$F$62,IF(((D888+E888)*C888-G888)&lt;='Assumptions and Catalog'!$C$63,((D888+E888)*C888-G888)*'Assumptions and Catalog'!$H$63+'Assumptions and Catalog'!$E$63+'Assumptions and Catalog'!$F$63,IF(((D888+E888)*C888-G888)&lt;='Assumptions and Catalog'!$C$64,((D888+E888)*C888-G888)*'Assumptions and Catalog'!$H$64+'Assumptions and Catalog'!$E$64+'Assumptions and Catalog'!$F$64,IF(((D888+E888)*C888-G888)&lt;='Assumptions and Catalog'!$C$65,((D888+E888)*C888-G888)*'Assumptions and Catalog'!$H$65+'Assumptions and Catalog'!$E$65+'Assumptions and Catalog'!$F$65,"Out of range")))))))))*(1+'Assumptions and Catalog'!$C$8)^(A888-1),0)</f>
        <v>5901.8748951581829</v>
      </c>
      <c r="R888" s="5">
        <f>IF(AND('Assumptions and Catalog'!$C$19&gt;0,A888&gt;='Assumptions and Catalog'!$C$19),A888-'Assumptions and Catalog'!$C$19,A888-1)</f>
        <v>8</v>
      </c>
      <c r="S888" s="5">
        <f>F888+L888-(D888+E888)*C888-J888-K888-IF(E$52&gt;0,'Assumptions and Catalog'!$C$26*C888,0)</f>
        <v>0</v>
      </c>
      <c r="T888" s="5"/>
      <c r="U888" s="5"/>
    </row>
    <row r="889" spans="1:21" ht="23.1" customHeight="1" outlineLevel="1" x14ac:dyDescent="0.2">
      <c r="A889" s="5">
        <v>20</v>
      </c>
      <c r="B889" s="5">
        <v>1</v>
      </c>
      <c r="C889" s="5">
        <f>DAY(DATE('Assumptions and Catalog'!$C$24+A889-1,B889+1,0))</f>
        <v>31</v>
      </c>
      <c r="D889" s="5">
        <f>IF(ISNUMBER(Inputs!$L$5),Inputs!$L$5*Inputs!$L$6,0)</f>
        <v>40.35</v>
      </c>
      <c r="E889" s="5">
        <f>IF(ISNUMBER(Inputs!$L$5),Inputs!$L$5-D889,0)</f>
        <v>40.35</v>
      </c>
      <c r="F889" s="5">
        <f>E$51*'Assumptions and Catalog'!$C$31*C889*(1-'Assumptions and Catalog'!$C$10)^(A889-1)</f>
        <v>771.95549014711071</v>
      </c>
      <c r="G889" s="5">
        <f t="shared" si="60"/>
        <v>771.95549014711071</v>
      </c>
      <c r="H889" s="5">
        <f>I889/('Assumptions and Catalog'!$C$11*'Assumptions and Catalog'!$C$12)</f>
        <v>0</v>
      </c>
      <c r="I889" s="5">
        <f>MIN(E889*C889,P889*'Assumptions and Catalog'!$C$12*C889,(F889-G889)*'Assumptions and Catalog'!$C$11*'Assumptions and Catalog'!$C$12,E$56*'Assumptions and Catalog'!$C$14*'Assumptions and Catalog'!$C$11*'Assumptions and Catalog'!$C$12*C889,E$57*(24-'Assumptions and Catalog'!$C$13)*C889)</f>
        <v>0</v>
      </c>
      <c r="J889" s="5">
        <f t="shared" si="61"/>
        <v>0</v>
      </c>
      <c r="K889" s="5">
        <f t="shared" si="62"/>
        <v>0</v>
      </c>
      <c r="L889" s="5">
        <f>(D889+E889)*C889-G889-I889+0+IF(E$52&gt;0,'Assumptions and Catalog'!$C$26*C889,0)</f>
        <v>1729.7445098528897</v>
      </c>
      <c r="M889" s="5">
        <f>IF(ISNUMBER(Inputs!$L$5),(IF(Inputs!$L$9="Actual flat rate",((D889+E889)*C889)*Inputs!$L$10,IF(Inputs!$C$9="Residential",IF(((D889+E889)*C889)&lt;='Assumptions and Catalog'!$C$50,((D889+E889)*C889)*'Assumptions and Catalog'!$H$50+'Assumptions and Catalog'!$E$50+'Assumptions and Catalog'!$F$50,IF(((D889+E889)*C889)&lt;='Assumptions and Catalog'!$C$51,((D889+E889)*C889)*'Assumptions and Catalog'!$H$51+'Assumptions and Catalog'!$E$51+'Assumptions and Catalog'!$F$51,IF(((D889+E889)*C889)&lt;='Assumptions and Catalog'!$C$52,((D889+E889)*C889)*'Assumptions and Catalog'!$H$52+'Assumptions and Catalog'!$E$52+'Assumptions and Catalog'!$F$52,IF(((D889+E889)*C889)&lt;='Assumptions and Catalog'!$C$53,((D889+E889)*C889)*'Assumptions and Catalog'!$H$53+'Assumptions and Catalog'!$E$53+'Assumptions and Catalog'!$F$53,IF(((D889+E889)*C889)&lt;='Assumptions and Catalog'!$C$54,((D889+E889)*C889)*'Assumptions and Catalog'!$H$54+'Assumptions and Catalog'!$E$54+'Assumptions and Catalog'!$F$54,IF(((D889+E889)*C889)&lt;='Assumptions and Catalog'!$C$55,((D889+E889)*C889)*'Assumptions and Catalog'!$H$55+'Assumptions and Catalog'!$E$55+'Assumptions and Catalog'!$F$55,IF(((D889+E889)*C889)&lt;='Assumptions and Catalog'!$C$56,((D889+E889)*C889)*'Assumptions and Catalog'!$H$56+'Assumptions and Catalog'!$E$56+'Assumptions and Catalog'!$F$56,IF(((D889+E889)*C889)&lt;='Assumptions and Catalog'!$C$57,((D889+E889)*C889)*'Assumptions and Catalog'!$H$57+'Assumptions and Catalog'!$E$57+'Assumptions and Catalog'!$F$57,"Out of range")))))))),IF(((D889+E889)*C889)&lt;='Assumptions and Catalog'!$C$60,((D889+E889)*C889)*'Assumptions and Catalog'!$H$60+'Assumptions and Catalog'!$E$60+'Assumptions and Catalog'!$F$60,IF(((D889+E889)*C889)&lt;='Assumptions and Catalog'!$C$61,((D889+E889)*C889)*'Assumptions and Catalog'!$H$61+'Assumptions and Catalog'!$E$61+'Assumptions and Catalog'!$F$61,IF(((D889+E889)*C889)&lt;='Assumptions and Catalog'!$C$62,((D889+E889)*C889)*'Assumptions and Catalog'!$H$62+'Assumptions and Catalog'!$E$62+'Assumptions and Catalog'!$F$62,IF(((D889+E889)*C889)&lt;='Assumptions and Catalog'!$C$63,((D889+E889)*C889)*'Assumptions and Catalog'!$H$63+'Assumptions and Catalog'!$E$63+'Assumptions and Catalog'!$F$63,IF(((D889+E889)*C889)&lt;='Assumptions and Catalog'!$C$64,((D889+E889)*C889)*'Assumptions and Catalog'!$H$64+'Assumptions and Catalog'!$E$64+'Assumptions and Catalog'!$F$64,IF(((D889+E889)*C889)&lt;='Assumptions and Catalog'!$C$65,((D889+E889)*C889)*'Assumptions and Catalog'!$H$65+'Assumptions and Catalog'!$E$65+'Assumptions and Catalog'!$F$65,"Out of range")))))))))*(1+'Assumptions and Catalog'!$C$8)^(A889-1),0)</f>
        <v>8554.9666666666672</v>
      </c>
      <c r="N889" s="5">
        <f>IF(ISNUMBER(Inputs!$L$5),(IF(Inputs!$L$9="Actual flat rate",L889*Inputs!$L$10,IF(Inputs!$C$9="Residential",IF(L889&lt;='Assumptions and Catalog'!$C$50,L889*'Assumptions and Catalog'!$H$50+'Assumptions and Catalog'!$E$50+'Assumptions and Catalog'!$F$50,IF(L889&lt;='Assumptions and Catalog'!$C$51,L889*'Assumptions and Catalog'!$H$51+'Assumptions and Catalog'!$E$51+'Assumptions and Catalog'!$F$51,IF(L889&lt;='Assumptions and Catalog'!$C$52,L889*'Assumptions and Catalog'!$H$52+'Assumptions and Catalog'!$E$52+'Assumptions and Catalog'!$F$52,IF(L889&lt;='Assumptions and Catalog'!$C$53,L889*'Assumptions and Catalog'!$H$53+'Assumptions and Catalog'!$E$53+'Assumptions and Catalog'!$F$53,IF(L889&lt;='Assumptions and Catalog'!$C$54,L889*'Assumptions and Catalog'!$H$54+'Assumptions and Catalog'!$E$54+'Assumptions and Catalog'!$F$54,IF(L889&lt;='Assumptions and Catalog'!$C$55,L889*'Assumptions and Catalog'!$H$55+'Assumptions and Catalog'!$E$55+'Assumptions and Catalog'!$F$55,IF(L889&lt;='Assumptions and Catalog'!$C$56,L889*'Assumptions and Catalog'!$H$56+'Assumptions and Catalog'!$E$56+'Assumptions and Catalog'!$F$56,IF(L889&lt;='Assumptions and Catalog'!$C$57,L889*'Assumptions and Catalog'!$H$57+'Assumptions and Catalog'!$E$57+'Assumptions and Catalog'!$F$57,"Out of range")))))))),IF(L889&lt;='Assumptions and Catalog'!$C$60,L889*'Assumptions and Catalog'!$H$60+'Assumptions and Catalog'!$E$60+'Assumptions and Catalog'!$F$60,IF(L889&lt;='Assumptions and Catalog'!$C$61,L889*'Assumptions and Catalog'!$H$61+'Assumptions and Catalog'!$E$61+'Assumptions and Catalog'!$F$61,IF(L889&lt;='Assumptions and Catalog'!$C$62,L889*'Assumptions and Catalog'!$H$62+'Assumptions and Catalog'!$E$62+'Assumptions and Catalog'!$F$62,IF(L889&lt;='Assumptions and Catalog'!$C$63,L889*'Assumptions and Catalog'!$H$63+'Assumptions and Catalog'!$E$63+'Assumptions and Catalog'!$F$63,IF(L889&lt;='Assumptions and Catalog'!$C$64,L889*'Assumptions and Catalog'!$H$64+'Assumptions and Catalog'!$E$64+'Assumptions and Catalog'!$F$64,IF(L889&lt;='Assumptions and Catalog'!$C$65,L889*'Assumptions and Catalog'!$H$65+'Assumptions and Catalog'!$E$65+'Assumptions and Catalog'!$F$65,"Out of range")))))))))*(1+'Assumptions and Catalog'!$C$8)^(A889-1),0)</f>
        <v>5915.1403540157262</v>
      </c>
      <c r="O889" s="5">
        <f t="shared" si="63"/>
        <v>2639.826312650941</v>
      </c>
      <c r="P889" s="5">
        <f>E$55*(1-L$14)*(1-'Assumptions and Catalog'!$C$23)^R889</f>
        <v>85.375770842127338</v>
      </c>
      <c r="Q889" s="5">
        <f>IF(ISNUMBER(Inputs!$L$5),(IF(Inputs!$L$9="Actual flat rate",((D889+E889)*C889-G889)*Inputs!$L$10,IF(Inputs!$C$9="Residential",IF(((D889+E889)*C889-G889)&lt;='Assumptions and Catalog'!$C$50,((D889+E889)*C889-G889)*'Assumptions and Catalog'!$H$50+'Assumptions and Catalog'!$E$50+'Assumptions and Catalog'!$F$50,IF(((D889+E889)*C889-G889)&lt;='Assumptions and Catalog'!$C$51,((D889+E889)*C889-G889)*'Assumptions and Catalog'!$H$51+'Assumptions and Catalog'!$E$51+'Assumptions and Catalog'!$F$51,IF(((D889+E889)*C889-G889)&lt;='Assumptions and Catalog'!$C$52,((D889+E889)*C889-G889)*'Assumptions and Catalog'!$H$52+'Assumptions and Catalog'!$E$52+'Assumptions and Catalog'!$F$52,IF(((D889+E889)*C889-G889)&lt;='Assumptions and Catalog'!$C$53,((D889+E889)*C889-G889)*'Assumptions and Catalog'!$H$53+'Assumptions and Catalog'!$E$53+'Assumptions and Catalog'!$F$53,IF(((D889+E889)*C889-G889)&lt;='Assumptions and Catalog'!$C$54,((D889+E889)*C889-G889)*'Assumptions and Catalog'!$H$54+'Assumptions and Catalog'!$E$54+'Assumptions and Catalog'!$F$54,IF(((D889+E889)*C889-G889)&lt;='Assumptions and Catalog'!$C$55,((D889+E889)*C889-G889)*'Assumptions and Catalog'!$H$55+'Assumptions and Catalog'!$E$55+'Assumptions and Catalog'!$F$55,IF(((D889+E889)*C889-G889)&lt;='Assumptions and Catalog'!$C$56,((D889+E889)*C889-G889)*'Assumptions and Catalog'!$H$56+'Assumptions and Catalog'!$E$56+'Assumptions and Catalog'!$F$56,IF(((D889+E889)*C889-G889)&lt;='Assumptions and Catalog'!$C$57,((D889+E889)*C889-G889)*'Assumptions and Catalog'!$H$57+'Assumptions and Catalog'!$E$57+'Assumptions and Catalog'!$F$57,"Out of range")))))))),IF(((D889+E889)*C889-G889)&lt;='Assumptions and Catalog'!$C$60,((D889+E889)*C889-G889)*'Assumptions and Catalog'!$H$60+'Assumptions and Catalog'!$E$60+'Assumptions and Catalog'!$F$60,IF(((D889+E889)*C889-G889)&lt;='Assumptions and Catalog'!$C$61,((D889+E889)*C889-G889)*'Assumptions and Catalog'!$H$61+'Assumptions and Catalog'!$E$61+'Assumptions and Catalog'!$F$61,IF(((D889+E889)*C889-G889)&lt;='Assumptions and Catalog'!$C$62,((D889+E889)*C889-G889)*'Assumptions and Catalog'!$H$62+'Assumptions and Catalog'!$E$62+'Assumptions and Catalog'!$F$62,IF(((D889+E889)*C889-G889)&lt;='Assumptions and Catalog'!$C$63,((D889+E889)*C889-G889)*'Assumptions and Catalog'!$H$63+'Assumptions and Catalog'!$E$63+'Assumptions and Catalog'!$F$63,IF(((D889+E889)*C889-G889)&lt;='Assumptions and Catalog'!$C$64,((D889+E889)*C889-G889)*'Assumptions and Catalog'!$H$64+'Assumptions and Catalog'!$E$64+'Assumptions and Catalog'!$F$64,IF(((D889+E889)*C889-G889)&lt;='Assumptions and Catalog'!$C$65,((D889+E889)*C889-G889)*'Assumptions and Catalog'!$H$65+'Assumptions and Catalog'!$E$65+'Assumptions and Catalog'!$F$65,"Out of range")))))))))*(1+'Assumptions and Catalog'!$C$8)^(A889-1),0)</f>
        <v>5915.1403540157262</v>
      </c>
      <c r="R889" s="5">
        <f>IF(AND('Assumptions and Catalog'!$C$19&gt;0,A889&gt;='Assumptions and Catalog'!$C$19),A889-'Assumptions and Catalog'!$C$19,A889-1)</f>
        <v>9</v>
      </c>
      <c r="S889" s="5">
        <f>F889+L889-(D889+E889)*C889-J889-K889-IF(E$52&gt;0,'Assumptions and Catalog'!$C$26*C889,0)</f>
        <v>0</v>
      </c>
      <c r="T889" s="5"/>
      <c r="U889" s="5"/>
    </row>
    <row r="890" spans="1:21" ht="23.1" customHeight="1" outlineLevel="1" x14ac:dyDescent="0.2">
      <c r="A890" s="5">
        <v>20</v>
      </c>
      <c r="B890" s="5">
        <v>2</v>
      </c>
      <c r="C890" s="5">
        <f>DAY(DATE('Assumptions and Catalog'!$C$24+A890-1,B890+1,0))</f>
        <v>28</v>
      </c>
      <c r="D890" s="5">
        <f>IF(ISNUMBER(Inputs!$L$5),Inputs!$L$5*Inputs!$L$6,0)</f>
        <v>40.35</v>
      </c>
      <c r="E890" s="5">
        <f>IF(ISNUMBER(Inputs!$L$5),Inputs!$L$5-D890,0)</f>
        <v>40.35</v>
      </c>
      <c r="F890" s="5">
        <f>E$51*'Assumptions and Catalog'!$C$31*C890*(1-'Assumptions and Catalog'!$C$10)^(A890-1)</f>
        <v>697.25012013287426</v>
      </c>
      <c r="G890" s="5">
        <f t="shared" si="60"/>
        <v>697.25012013287426</v>
      </c>
      <c r="H890" s="5">
        <f>I890/('Assumptions and Catalog'!$C$11*'Assumptions and Catalog'!$C$12)</f>
        <v>0</v>
      </c>
      <c r="I890" s="5">
        <f>MIN(E890*C890,P890*'Assumptions and Catalog'!$C$12*C890,(F890-G890)*'Assumptions and Catalog'!$C$11*'Assumptions and Catalog'!$C$12,E$56*'Assumptions and Catalog'!$C$14*'Assumptions and Catalog'!$C$11*'Assumptions and Catalog'!$C$12*C890,E$57*(24-'Assumptions and Catalog'!$C$13)*C890)</f>
        <v>0</v>
      </c>
      <c r="J890" s="5">
        <f t="shared" si="61"/>
        <v>0</v>
      </c>
      <c r="K890" s="5">
        <f t="shared" si="62"/>
        <v>0</v>
      </c>
      <c r="L890" s="5">
        <f>(D890+E890)*C890-G890-I890+0+IF(E$52&gt;0,'Assumptions and Catalog'!$C$26*C890,0)</f>
        <v>1562.3498798671258</v>
      </c>
      <c r="M890" s="5">
        <f>IF(ISNUMBER(Inputs!$L$5),(IF(Inputs!$L$9="Actual flat rate",((D890+E890)*C890)*Inputs!$L$10,IF(Inputs!$C$9="Residential",IF(((D890+E890)*C890)&lt;='Assumptions and Catalog'!$C$50,((D890+E890)*C890)*'Assumptions and Catalog'!$H$50+'Assumptions and Catalog'!$E$50+'Assumptions and Catalog'!$F$50,IF(((D890+E890)*C890)&lt;='Assumptions and Catalog'!$C$51,((D890+E890)*C890)*'Assumptions and Catalog'!$H$51+'Assumptions and Catalog'!$E$51+'Assumptions and Catalog'!$F$51,IF(((D890+E890)*C890)&lt;='Assumptions and Catalog'!$C$52,((D890+E890)*C890)*'Assumptions and Catalog'!$H$52+'Assumptions and Catalog'!$E$52+'Assumptions and Catalog'!$F$52,IF(((D890+E890)*C890)&lt;='Assumptions and Catalog'!$C$53,((D890+E890)*C890)*'Assumptions and Catalog'!$H$53+'Assumptions and Catalog'!$E$53+'Assumptions and Catalog'!$F$53,IF(((D890+E890)*C890)&lt;='Assumptions and Catalog'!$C$54,((D890+E890)*C890)*'Assumptions and Catalog'!$H$54+'Assumptions and Catalog'!$E$54+'Assumptions and Catalog'!$F$54,IF(((D890+E890)*C890)&lt;='Assumptions and Catalog'!$C$55,((D890+E890)*C890)*'Assumptions and Catalog'!$H$55+'Assumptions and Catalog'!$E$55+'Assumptions and Catalog'!$F$55,IF(((D890+E890)*C890)&lt;='Assumptions and Catalog'!$C$56,((D890+E890)*C890)*'Assumptions and Catalog'!$H$56+'Assumptions and Catalog'!$E$56+'Assumptions and Catalog'!$F$56,IF(((D890+E890)*C890)&lt;='Assumptions and Catalog'!$C$57,((D890+E890)*C890)*'Assumptions and Catalog'!$H$57+'Assumptions and Catalog'!$E$57+'Assumptions and Catalog'!$F$57,"Out of range")))))))),IF(((D890+E890)*C890)&lt;='Assumptions and Catalog'!$C$60,((D890+E890)*C890)*'Assumptions and Catalog'!$H$60+'Assumptions and Catalog'!$E$60+'Assumptions and Catalog'!$F$60,IF(((D890+E890)*C890)&lt;='Assumptions and Catalog'!$C$61,((D890+E890)*C890)*'Assumptions and Catalog'!$H$61+'Assumptions and Catalog'!$E$61+'Assumptions and Catalog'!$F$61,IF(((D890+E890)*C890)&lt;='Assumptions and Catalog'!$C$62,((D890+E890)*C890)*'Assumptions and Catalog'!$H$62+'Assumptions and Catalog'!$E$62+'Assumptions and Catalog'!$F$62,IF(((D890+E890)*C890)&lt;='Assumptions and Catalog'!$C$63,((D890+E890)*C890)*'Assumptions and Catalog'!$H$63+'Assumptions and Catalog'!$E$63+'Assumptions and Catalog'!$F$63,IF(((D890+E890)*C890)&lt;='Assumptions and Catalog'!$C$64,((D890+E890)*C890)*'Assumptions and Catalog'!$H$64+'Assumptions and Catalog'!$E$64+'Assumptions and Catalog'!$F$64,IF(((D890+E890)*C890)&lt;='Assumptions and Catalog'!$C$65,((D890+E890)*C890)*'Assumptions and Catalog'!$H$65+'Assumptions and Catalog'!$E$65+'Assumptions and Catalog'!$F$65,"Out of range")))))))))*(1+'Assumptions and Catalog'!$C$8)^(A890-1),0)</f>
        <v>7727.0666666666657</v>
      </c>
      <c r="N890" s="5">
        <f>IF(ISNUMBER(Inputs!$L$5),(IF(Inputs!$L$9="Actual flat rate",L890*Inputs!$L$10,IF(Inputs!$C$9="Residential",IF(L890&lt;='Assumptions and Catalog'!$C$50,L890*'Assumptions and Catalog'!$H$50+'Assumptions and Catalog'!$E$50+'Assumptions and Catalog'!$F$50,IF(L890&lt;='Assumptions and Catalog'!$C$51,L890*'Assumptions and Catalog'!$H$51+'Assumptions and Catalog'!$E$51+'Assumptions and Catalog'!$F$51,IF(L890&lt;='Assumptions and Catalog'!$C$52,L890*'Assumptions and Catalog'!$H$52+'Assumptions and Catalog'!$E$52+'Assumptions and Catalog'!$F$52,IF(L890&lt;='Assumptions and Catalog'!$C$53,L890*'Assumptions and Catalog'!$H$53+'Assumptions and Catalog'!$E$53+'Assumptions and Catalog'!$F$53,IF(L890&lt;='Assumptions and Catalog'!$C$54,L890*'Assumptions and Catalog'!$H$54+'Assumptions and Catalog'!$E$54+'Assumptions and Catalog'!$F$54,IF(L890&lt;='Assumptions and Catalog'!$C$55,L890*'Assumptions and Catalog'!$H$55+'Assumptions and Catalog'!$E$55+'Assumptions and Catalog'!$F$55,IF(L890&lt;='Assumptions and Catalog'!$C$56,L890*'Assumptions and Catalog'!$H$56+'Assumptions and Catalog'!$E$56+'Assumptions and Catalog'!$F$56,IF(L890&lt;='Assumptions and Catalog'!$C$57,L890*'Assumptions and Catalog'!$H$57+'Assumptions and Catalog'!$E$57+'Assumptions and Catalog'!$F$57,"Out of range")))))))),IF(L890&lt;='Assumptions and Catalog'!$C$60,L890*'Assumptions and Catalog'!$H$60+'Assumptions and Catalog'!$E$60+'Assumptions and Catalog'!$F$60,IF(L890&lt;='Assumptions and Catalog'!$C$61,L890*'Assumptions and Catalog'!$H$61+'Assumptions and Catalog'!$E$61+'Assumptions and Catalog'!$F$61,IF(L890&lt;='Assumptions and Catalog'!$C$62,L890*'Assumptions and Catalog'!$H$62+'Assumptions and Catalog'!$E$62+'Assumptions and Catalog'!$F$62,IF(L890&lt;='Assumptions and Catalog'!$C$63,L890*'Assumptions and Catalog'!$H$63+'Assumptions and Catalog'!$E$63+'Assumptions and Catalog'!$F$63,IF(L890&lt;='Assumptions and Catalog'!$C$64,L890*'Assumptions and Catalog'!$H$64+'Assumptions and Catalog'!$E$64+'Assumptions and Catalog'!$F$64,IF(L890&lt;='Assumptions and Catalog'!$C$65,L890*'Assumptions and Catalog'!$H$65+'Assumptions and Catalog'!$E$65+'Assumptions and Catalog'!$F$65,"Out of range")))))))))*(1+'Assumptions and Catalog'!$C$8)^(A890-1),0)</f>
        <v>5342.707416530332</v>
      </c>
      <c r="O890" s="5">
        <f t="shared" si="63"/>
        <v>2384.3592501363337</v>
      </c>
      <c r="P890" s="5">
        <f>E$55*(1-L$14)*(1-'Assumptions and Catalog'!$C$23)^R890</f>
        <v>85.375770842127338</v>
      </c>
      <c r="Q890" s="5">
        <f>IF(ISNUMBER(Inputs!$L$5),(IF(Inputs!$L$9="Actual flat rate",((D890+E890)*C890-G890)*Inputs!$L$10,IF(Inputs!$C$9="Residential",IF(((D890+E890)*C890-G890)&lt;='Assumptions and Catalog'!$C$50,((D890+E890)*C890-G890)*'Assumptions and Catalog'!$H$50+'Assumptions and Catalog'!$E$50+'Assumptions and Catalog'!$F$50,IF(((D890+E890)*C890-G890)&lt;='Assumptions and Catalog'!$C$51,((D890+E890)*C890-G890)*'Assumptions and Catalog'!$H$51+'Assumptions and Catalog'!$E$51+'Assumptions and Catalog'!$F$51,IF(((D890+E890)*C890-G890)&lt;='Assumptions and Catalog'!$C$52,((D890+E890)*C890-G890)*'Assumptions and Catalog'!$H$52+'Assumptions and Catalog'!$E$52+'Assumptions and Catalog'!$F$52,IF(((D890+E890)*C890-G890)&lt;='Assumptions and Catalog'!$C$53,((D890+E890)*C890-G890)*'Assumptions and Catalog'!$H$53+'Assumptions and Catalog'!$E$53+'Assumptions and Catalog'!$F$53,IF(((D890+E890)*C890-G890)&lt;='Assumptions and Catalog'!$C$54,((D890+E890)*C890-G890)*'Assumptions and Catalog'!$H$54+'Assumptions and Catalog'!$E$54+'Assumptions and Catalog'!$F$54,IF(((D890+E890)*C890-G890)&lt;='Assumptions and Catalog'!$C$55,((D890+E890)*C890-G890)*'Assumptions and Catalog'!$H$55+'Assumptions and Catalog'!$E$55+'Assumptions and Catalog'!$F$55,IF(((D890+E890)*C890-G890)&lt;='Assumptions and Catalog'!$C$56,((D890+E890)*C890-G890)*'Assumptions and Catalog'!$H$56+'Assumptions and Catalog'!$E$56+'Assumptions and Catalog'!$F$56,IF(((D890+E890)*C890-G890)&lt;='Assumptions and Catalog'!$C$57,((D890+E890)*C890-G890)*'Assumptions and Catalog'!$H$57+'Assumptions and Catalog'!$E$57+'Assumptions and Catalog'!$F$57,"Out of range")))))))),IF(((D890+E890)*C890-G890)&lt;='Assumptions and Catalog'!$C$60,((D890+E890)*C890-G890)*'Assumptions and Catalog'!$H$60+'Assumptions and Catalog'!$E$60+'Assumptions and Catalog'!$F$60,IF(((D890+E890)*C890-G890)&lt;='Assumptions and Catalog'!$C$61,((D890+E890)*C890-G890)*'Assumptions and Catalog'!$H$61+'Assumptions and Catalog'!$E$61+'Assumptions and Catalog'!$F$61,IF(((D890+E890)*C890-G890)&lt;='Assumptions and Catalog'!$C$62,((D890+E890)*C890-G890)*'Assumptions and Catalog'!$H$62+'Assumptions and Catalog'!$E$62+'Assumptions and Catalog'!$F$62,IF(((D890+E890)*C890-G890)&lt;='Assumptions and Catalog'!$C$63,((D890+E890)*C890-G890)*'Assumptions and Catalog'!$H$63+'Assumptions and Catalog'!$E$63+'Assumptions and Catalog'!$F$63,IF(((D890+E890)*C890-G890)&lt;='Assumptions and Catalog'!$C$64,((D890+E890)*C890-G890)*'Assumptions and Catalog'!$H$64+'Assumptions and Catalog'!$E$64+'Assumptions and Catalog'!$F$64,IF(((D890+E890)*C890-G890)&lt;='Assumptions and Catalog'!$C$65,((D890+E890)*C890-G890)*'Assumptions and Catalog'!$H$65+'Assumptions and Catalog'!$E$65+'Assumptions and Catalog'!$F$65,"Out of range")))))))))*(1+'Assumptions and Catalog'!$C$8)^(A890-1),0)</f>
        <v>5342.707416530332</v>
      </c>
      <c r="R890" s="5">
        <f>IF(AND('Assumptions and Catalog'!$C$19&gt;0,A890&gt;='Assumptions and Catalog'!$C$19),A890-'Assumptions and Catalog'!$C$19,A890-1)</f>
        <v>9</v>
      </c>
      <c r="S890" s="5">
        <f>F890+L890-(D890+E890)*C890-J890-K890-IF(E$52&gt;0,'Assumptions and Catalog'!$C$26*C890,0)</f>
        <v>0</v>
      </c>
      <c r="T890" s="5"/>
      <c r="U890" s="5"/>
    </row>
    <row r="891" spans="1:21" ht="23.1" customHeight="1" outlineLevel="1" x14ac:dyDescent="0.2">
      <c r="A891" s="5">
        <v>20</v>
      </c>
      <c r="B891" s="5">
        <v>3</v>
      </c>
      <c r="C891" s="5">
        <f>DAY(DATE('Assumptions and Catalog'!$C$24+A891-1,B891+1,0))</f>
        <v>31</v>
      </c>
      <c r="D891" s="5">
        <f>IF(ISNUMBER(Inputs!$L$5),Inputs!$L$5*Inputs!$L$6,0)</f>
        <v>40.35</v>
      </c>
      <c r="E891" s="5">
        <f>IF(ISNUMBER(Inputs!$L$5),Inputs!$L$5-D891,0)</f>
        <v>40.35</v>
      </c>
      <c r="F891" s="5">
        <f>E$51*'Assumptions and Catalog'!$C$31*C891*(1-'Assumptions and Catalog'!$C$10)^(A891-1)</f>
        <v>771.95549014711071</v>
      </c>
      <c r="G891" s="5">
        <f t="shared" si="60"/>
        <v>771.95549014711071</v>
      </c>
      <c r="H891" s="5">
        <f>I891/('Assumptions and Catalog'!$C$11*'Assumptions and Catalog'!$C$12)</f>
        <v>0</v>
      </c>
      <c r="I891" s="5">
        <f>MIN(E891*C891,P891*'Assumptions and Catalog'!$C$12*C891,(F891-G891)*'Assumptions and Catalog'!$C$11*'Assumptions and Catalog'!$C$12,E$56*'Assumptions and Catalog'!$C$14*'Assumptions and Catalog'!$C$11*'Assumptions and Catalog'!$C$12*C891,E$57*(24-'Assumptions and Catalog'!$C$13)*C891)</f>
        <v>0</v>
      </c>
      <c r="J891" s="5">
        <f t="shared" si="61"/>
        <v>0</v>
      </c>
      <c r="K891" s="5">
        <f t="shared" si="62"/>
        <v>0</v>
      </c>
      <c r="L891" s="5">
        <f>(D891+E891)*C891-G891-I891+0+IF(E$52&gt;0,'Assumptions and Catalog'!$C$26*C891,0)</f>
        <v>1729.7445098528897</v>
      </c>
      <c r="M891" s="5">
        <f>IF(ISNUMBER(Inputs!$L$5),(IF(Inputs!$L$9="Actual flat rate",((D891+E891)*C891)*Inputs!$L$10,IF(Inputs!$C$9="Residential",IF(((D891+E891)*C891)&lt;='Assumptions and Catalog'!$C$50,((D891+E891)*C891)*'Assumptions and Catalog'!$H$50+'Assumptions and Catalog'!$E$50+'Assumptions and Catalog'!$F$50,IF(((D891+E891)*C891)&lt;='Assumptions and Catalog'!$C$51,((D891+E891)*C891)*'Assumptions and Catalog'!$H$51+'Assumptions and Catalog'!$E$51+'Assumptions and Catalog'!$F$51,IF(((D891+E891)*C891)&lt;='Assumptions and Catalog'!$C$52,((D891+E891)*C891)*'Assumptions and Catalog'!$H$52+'Assumptions and Catalog'!$E$52+'Assumptions and Catalog'!$F$52,IF(((D891+E891)*C891)&lt;='Assumptions and Catalog'!$C$53,((D891+E891)*C891)*'Assumptions and Catalog'!$H$53+'Assumptions and Catalog'!$E$53+'Assumptions and Catalog'!$F$53,IF(((D891+E891)*C891)&lt;='Assumptions and Catalog'!$C$54,((D891+E891)*C891)*'Assumptions and Catalog'!$H$54+'Assumptions and Catalog'!$E$54+'Assumptions and Catalog'!$F$54,IF(((D891+E891)*C891)&lt;='Assumptions and Catalog'!$C$55,((D891+E891)*C891)*'Assumptions and Catalog'!$H$55+'Assumptions and Catalog'!$E$55+'Assumptions and Catalog'!$F$55,IF(((D891+E891)*C891)&lt;='Assumptions and Catalog'!$C$56,((D891+E891)*C891)*'Assumptions and Catalog'!$H$56+'Assumptions and Catalog'!$E$56+'Assumptions and Catalog'!$F$56,IF(((D891+E891)*C891)&lt;='Assumptions and Catalog'!$C$57,((D891+E891)*C891)*'Assumptions and Catalog'!$H$57+'Assumptions and Catalog'!$E$57+'Assumptions and Catalog'!$F$57,"Out of range")))))))),IF(((D891+E891)*C891)&lt;='Assumptions and Catalog'!$C$60,((D891+E891)*C891)*'Assumptions and Catalog'!$H$60+'Assumptions and Catalog'!$E$60+'Assumptions and Catalog'!$F$60,IF(((D891+E891)*C891)&lt;='Assumptions and Catalog'!$C$61,((D891+E891)*C891)*'Assumptions and Catalog'!$H$61+'Assumptions and Catalog'!$E$61+'Assumptions and Catalog'!$F$61,IF(((D891+E891)*C891)&lt;='Assumptions and Catalog'!$C$62,((D891+E891)*C891)*'Assumptions and Catalog'!$H$62+'Assumptions and Catalog'!$E$62+'Assumptions and Catalog'!$F$62,IF(((D891+E891)*C891)&lt;='Assumptions and Catalog'!$C$63,((D891+E891)*C891)*'Assumptions and Catalog'!$H$63+'Assumptions and Catalog'!$E$63+'Assumptions and Catalog'!$F$63,IF(((D891+E891)*C891)&lt;='Assumptions and Catalog'!$C$64,((D891+E891)*C891)*'Assumptions and Catalog'!$H$64+'Assumptions and Catalog'!$E$64+'Assumptions and Catalog'!$F$64,IF(((D891+E891)*C891)&lt;='Assumptions and Catalog'!$C$65,((D891+E891)*C891)*'Assumptions and Catalog'!$H$65+'Assumptions and Catalog'!$E$65+'Assumptions and Catalog'!$F$65,"Out of range")))))))))*(1+'Assumptions and Catalog'!$C$8)^(A891-1),0)</f>
        <v>8554.9666666666672</v>
      </c>
      <c r="N891" s="5">
        <f>IF(ISNUMBER(Inputs!$L$5),(IF(Inputs!$L$9="Actual flat rate",L891*Inputs!$L$10,IF(Inputs!$C$9="Residential",IF(L891&lt;='Assumptions and Catalog'!$C$50,L891*'Assumptions and Catalog'!$H$50+'Assumptions and Catalog'!$E$50+'Assumptions and Catalog'!$F$50,IF(L891&lt;='Assumptions and Catalog'!$C$51,L891*'Assumptions and Catalog'!$H$51+'Assumptions and Catalog'!$E$51+'Assumptions and Catalog'!$F$51,IF(L891&lt;='Assumptions and Catalog'!$C$52,L891*'Assumptions and Catalog'!$H$52+'Assumptions and Catalog'!$E$52+'Assumptions and Catalog'!$F$52,IF(L891&lt;='Assumptions and Catalog'!$C$53,L891*'Assumptions and Catalog'!$H$53+'Assumptions and Catalog'!$E$53+'Assumptions and Catalog'!$F$53,IF(L891&lt;='Assumptions and Catalog'!$C$54,L891*'Assumptions and Catalog'!$H$54+'Assumptions and Catalog'!$E$54+'Assumptions and Catalog'!$F$54,IF(L891&lt;='Assumptions and Catalog'!$C$55,L891*'Assumptions and Catalog'!$H$55+'Assumptions and Catalog'!$E$55+'Assumptions and Catalog'!$F$55,IF(L891&lt;='Assumptions and Catalog'!$C$56,L891*'Assumptions and Catalog'!$H$56+'Assumptions and Catalog'!$E$56+'Assumptions and Catalog'!$F$56,IF(L891&lt;='Assumptions and Catalog'!$C$57,L891*'Assumptions and Catalog'!$H$57+'Assumptions and Catalog'!$E$57+'Assumptions and Catalog'!$F$57,"Out of range")))))))),IF(L891&lt;='Assumptions and Catalog'!$C$60,L891*'Assumptions and Catalog'!$H$60+'Assumptions and Catalog'!$E$60+'Assumptions and Catalog'!$F$60,IF(L891&lt;='Assumptions and Catalog'!$C$61,L891*'Assumptions and Catalog'!$H$61+'Assumptions and Catalog'!$E$61+'Assumptions and Catalog'!$F$61,IF(L891&lt;='Assumptions and Catalog'!$C$62,L891*'Assumptions and Catalog'!$H$62+'Assumptions and Catalog'!$E$62+'Assumptions and Catalog'!$F$62,IF(L891&lt;='Assumptions and Catalog'!$C$63,L891*'Assumptions and Catalog'!$H$63+'Assumptions and Catalog'!$E$63+'Assumptions and Catalog'!$F$63,IF(L891&lt;='Assumptions and Catalog'!$C$64,L891*'Assumptions and Catalog'!$H$64+'Assumptions and Catalog'!$E$64+'Assumptions and Catalog'!$F$64,IF(L891&lt;='Assumptions and Catalog'!$C$65,L891*'Assumptions and Catalog'!$H$65+'Assumptions and Catalog'!$E$65+'Assumptions and Catalog'!$F$65,"Out of range")))))))))*(1+'Assumptions and Catalog'!$C$8)^(A891-1),0)</f>
        <v>5915.1403540157262</v>
      </c>
      <c r="O891" s="5">
        <f t="shared" si="63"/>
        <v>2639.826312650941</v>
      </c>
      <c r="P891" s="5">
        <f>E$55*(1-L$14)*(1-'Assumptions and Catalog'!$C$23)^R891</f>
        <v>85.375770842127338</v>
      </c>
      <c r="Q891" s="5">
        <f>IF(ISNUMBER(Inputs!$L$5),(IF(Inputs!$L$9="Actual flat rate",((D891+E891)*C891-G891)*Inputs!$L$10,IF(Inputs!$C$9="Residential",IF(((D891+E891)*C891-G891)&lt;='Assumptions and Catalog'!$C$50,((D891+E891)*C891-G891)*'Assumptions and Catalog'!$H$50+'Assumptions and Catalog'!$E$50+'Assumptions and Catalog'!$F$50,IF(((D891+E891)*C891-G891)&lt;='Assumptions and Catalog'!$C$51,((D891+E891)*C891-G891)*'Assumptions and Catalog'!$H$51+'Assumptions and Catalog'!$E$51+'Assumptions and Catalog'!$F$51,IF(((D891+E891)*C891-G891)&lt;='Assumptions and Catalog'!$C$52,((D891+E891)*C891-G891)*'Assumptions and Catalog'!$H$52+'Assumptions and Catalog'!$E$52+'Assumptions and Catalog'!$F$52,IF(((D891+E891)*C891-G891)&lt;='Assumptions and Catalog'!$C$53,((D891+E891)*C891-G891)*'Assumptions and Catalog'!$H$53+'Assumptions and Catalog'!$E$53+'Assumptions and Catalog'!$F$53,IF(((D891+E891)*C891-G891)&lt;='Assumptions and Catalog'!$C$54,((D891+E891)*C891-G891)*'Assumptions and Catalog'!$H$54+'Assumptions and Catalog'!$E$54+'Assumptions and Catalog'!$F$54,IF(((D891+E891)*C891-G891)&lt;='Assumptions and Catalog'!$C$55,((D891+E891)*C891-G891)*'Assumptions and Catalog'!$H$55+'Assumptions and Catalog'!$E$55+'Assumptions and Catalog'!$F$55,IF(((D891+E891)*C891-G891)&lt;='Assumptions and Catalog'!$C$56,((D891+E891)*C891-G891)*'Assumptions and Catalog'!$H$56+'Assumptions and Catalog'!$E$56+'Assumptions and Catalog'!$F$56,IF(((D891+E891)*C891-G891)&lt;='Assumptions and Catalog'!$C$57,((D891+E891)*C891-G891)*'Assumptions and Catalog'!$H$57+'Assumptions and Catalog'!$E$57+'Assumptions and Catalog'!$F$57,"Out of range")))))))),IF(((D891+E891)*C891-G891)&lt;='Assumptions and Catalog'!$C$60,((D891+E891)*C891-G891)*'Assumptions and Catalog'!$H$60+'Assumptions and Catalog'!$E$60+'Assumptions and Catalog'!$F$60,IF(((D891+E891)*C891-G891)&lt;='Assumptions and Catalog'!$C$61,((D891+E891)*C891-G891)*'Assumptions and Catalog'!$H$61+'Assumptions and Catalog'!$E$61+'Assumptions and Catalog'!$F$61,IF(((D891+E891)*C891-G891)&lt;='Assumptions and Catalog'!$C$62,((D891+E891)*C891-G891)*'Assumptions and Catalog'!$H$62+'Assumptions and Catalog'!$E$62+'Assumptions and Catalog'!$F$62,IF(((D891+E891)*C891-G891)&lt;='Assumptions and Catalog'!$C$63,((D891+E891)*C891-G891)*'Assumptions and Catalog'!$H$63+'Assumptions and Catalog'!$E$63+'Assumptions and Catalog'!$F$63,IF(((D891+E891)*C891-G891)&lt;='Assumptions and Catalog'!$C$64,((D891+E891)*C891-G891)*'Assumptions and Catalog'!$H$64+'Assumptions and Catalog'!$E$64+'Assumptions and Catalog'!$F$64,IF(((D891+E891)*C891-G891)&lt;='Assumptions and Catalog'!$C$65,((D891+E891)*C891-G891)*'Assumptions and Catalog'!$H$65+'Assumptions and Catalog'!$E$65+'Assumptions and Catalog'!$F$65,"Out of range")))))))))*(1+'Assumptions and Catalog'!$C$8)^(A891-1),0)</f>
        <v>5915.1403540157262</v>
      </c>
      <c r="R891" s="5">
        <f>IF(AND('Assumptions and Catalog'!$C$19&gt;0,A891&gt;='Assumptions and Catalog'!$C$19),A891-'Assumptions and Catalog'!$C$19,A891-1)</f>
        <v>9</v>
      </c>
      <c r="S891" s="5">
        <f>F891+L891-(D891+E891)*C891-J891-K891-IF(E$52&gt;0,'Assumptions and Catalog'!$C$26*C891,0)</f>
        <v>0</v>
      </c>
      <c r="T891" s="5"/>
      <c r="U891" s="5"/>
    </row>
    <row r="892" spans="1:21" ht="23.1" customHeight="1" outlineLevel="1" x14ac:dyDescent="0.2">
      <c r="A892" s="5">
        <v>20</v>
      </c>
      <c r="B892" s="5">
        <v>4</v>
      </c>
      <c r="C892" s="5">
        <f>DAY(DATE('Assumptions and Catalog'!$C$24+A892-1,B892+1,0))</f>
        <v>30</v>
      </c>
      <c r="D892" s="5">
        <f>IF(ISNUMBER(Inputs!$L$5),Inputs!$L$5*Inputs!$L$6,0)</f>
        <v>40.35</v>
      </c>
      <c r="E892" s="5">
        <f>IF(ISNUMBER(Inputs!$L$5),Inputs!$L$5-D892,0)</f>
        <v>40.35</v>
      </c>
      <c r="F892" s="5">
        <f>E$51*'Assumptions and Catalog'!$C$31*C892*(1-'Assumptions and Catalog'!$C$10)^(A892-1)</f>
        <v>747.0537001423653</v>
      </c>
      <c r="G892" s="5">
        <f t="shared" si="60"/>
        <v>747.0537001423653</v>
      </c>
      <c r="H892" s="5">
        <f>I892/('Assumptions and Catalog'!$C$11*'Assumptions and Catalog'!$C$12)</f>
        <v>0</v>
      </c>
      <c r="I892" s="5">
        <f>MIN(E892*C892,P892*'Assumptions and Catalog'!$C$12*C892,(F892-G892)*'Assumptions and Catalog'!$C$11*'Assumptions and Catalog'!$C$12,E$56*'Assumptions and Catalog'!$C$14*'Assumptions and Catalog'!$C$11*'Assumptions and Catalog'!$C$12*C892,E$57*(24-'Assumptions and Catalog'!$C$13)*C892)</f>
        <v>0</v>
      </c>
      <c r="J892" s="5">
        <f t="shared" si="61"/>
        <v>0</v>
      </c>
      <c r="K892" s="5">
        <f t="shared" si="62"/>
        <v>0</v>
      </c>
      <c r="L892" s="5">
        <f>(D892+E892)*C892-G892-I892+0+IF(E$52&gt;0,'Assumptions and Catalog'!$C$26*C892,0)</f>
        <v>1673.9462998576346</v>
      </c>
      <c r="M892" s="5">
        <f>IF(ISNUMBER(Inputs!$L$5),(IF(Inputs!$L$9="Actual flat rate",((D892+E892)*C892)*Inputs!$L$10,IF(Inputs!$C$9="Residential",IF(((D892+E892)*C892)&lt;='Assumptions and Catalog'!$C$50,((D892+E892)*C892)*'Assumptions and Catalog'!$H$50+'Assumptions and Catalog'!$E$50+'Assumptions and Catalog'!$F$50,IF(((D892+E892)*C892)&lt;='Assumptions and Catalog'!$C$51,((D892+E892)*C892)*'Assumptions and Catalog'!$H$51+'Assumptions and Catalog'!$E$51+'Assumptions and Catalog'!$F$51,IF(((D892+E892)*C892)&lt;='Assumptions and Catalog'!$C$52,((D892+E892)*C892)*'Assumptions and Catalog'!$H$52+'Assumptions and Catalog'!$E$52+'Assumptions and Catalog'!$F$52,IF(((D892+E892)*C892)&lt;='Assumptions and Catalog'!$C$53,((D892+E892)*C892)*'Assumptions and Catalog'!$H$53+'Assumptions and Catalog'!$E$53+'Assumptions and Catalog'!$F$53,IF(((D892+E892)*C892)&lt;='Assumptions and Catalog'!$C$54,((D892+E892)*C892)*'Assumptions and Catalog'!$H$54+'Assumptions and Catalog'!$E$54+'Assumptions and Catalog'!$F$54,IF(((D892+E892)*C892)&lt;='Assumptions and Catalog'!$C$55,((D892+E892)*C892)*'Assumptions and Catalog'!$H$55+'Assumptions and Catalog'!$E$55+'Assumptions and Catalog'!$F$55,IF(((D892+E892)*C892)&lt;='Assumptions and Catalog'!$C$56,((D892+E892)*C892)*'Assumptions and Catalog'!$H$56+'Assumptions and Catalog'!$E$56+'Assumptions and Catalog'!$F$56,IF(((D892+E892)*C892)&lt;='Assumptions and Catalog'!$C$57,((D892+E892)*C892)*'Assumptions and Catalog'!$H$57+'Assumptions and Catalog'!$E$57+'Assumptions and Catalog'!$F$57,"Out of range")))))))),IF(((D892+E892)*C892)&lt;='Assumptions and Catalog'!$C$60,((D892+E892)*C892)*'Assumptions and Catalog'!$H$60+'Assumptions and Catalog'!$E$60+'Assumptions and Catalog'!$F$60,IF(((D892+E892)*C892)&lt;='Assumptions and Catalog'!$C$61,((D892+E892)*C892)*'Assumptions and Catalog'!$H$61+'Assumptions and Catalog'!$E$61+'Assumptions and Catalog'!$F$61,IF(((D892+E892)*C892)&lt;='Assumptions and Catalog'!$C$62,((D892+E892)*C892)*'Assumptions and Catalog'!$H$62+'Assumptions and Catalog'!$E$62+'Assumptions and Catalog'!$F$62,IF(((D892+E892)*C892)&lt;='Assumptions and Catalog'!$C$63,((D892+E892)*C892)*'Assumptions and Catalog'!$H$63+'Assumptions and Catalog'!$E$63+'Assumptions and Catalog'!$F$63,IF(((D892+E892)*C892)&lt;='Assumptions and Catalog'!$C$64,((D892+E892)*C892)*'Assumptions and Catalog'!$H$64+'Assumptions and Catalog'!$E$64+'Assumptions and Catalog'!$F$64,IF(((D892+E892)*C892)&lt;='Assumptions and Catalog'!$C$65,((D892+E892)*C892)*'Assumptions and Catalog'!$H$65+'Assumptions and Catalog'!$E$65+'Assumptions and Catalog'!$F$65,"Out of range")))))))))*(1+'Assumptions and Catalog'!$C$8)^(A892-1),0)</f>
        <v>8279</v>
      </c>
      <c r="N892" s="5">
        <f>IF(ISNUMBER(Inputs!$L$5),(IF(Inputs!$L$9="Actual flat rate",L892*Inputs!$L$10,IF(Inputs!$C$9="Residential",IF(L892&lt;='Assumptions and Catalog'!$C$50,L892*'Assumptions and Catalog'!$H$50+'Assumptions and Catalog'!$E$50+'Assumptions and Catalog'!$F$50,IF(L892&lt;='Assumptions and Catalog'!$C$51,L892*'Assumptions and Catalog'!$H$51+'Assumptions and Catalog'!$E$51+'Assumptions and Catalog'!$F$51,IF(L892&lt;='Assumptions and Catalog'!$C$52,L892*'Assumptions and Catalog'!$H$52+'Assumptions and Catalog'!$E$52+'Assumptions and Catalog'!$F$52,IF(L892&lt;='Assumptions and Catalog'!$C$53,L892*'Assumptions and Catalog'!$H$53+'Assumptions and Catalog'!$E$53+'Assumptions and Catalog'!$F$53,IF(L892&lt;='Assumptions and Catalog'!$C$54,L892*'Assumptions and Catalog'!$H$54+'Assumptions and Catalog'!$E$54+'Assumptions and Catalog'!$F$54,IF(L892&lt;='Assumptions and Catalog'!$C$55,L892*'Assumptions and Catalog'!$H$55+'Assumptions and Catalog'!$E$55+'Assumptions and Catalog'!$F$55,IF(L892&lt;='Assumptions and Catalog'!$C$56,L892*'Assumptions and Catalog'!$H$56+'Assumptions and Catalog'!$E$56+'Assumptions and Catalog'!$F$56,IF(L892&lt;='Assumptions and Catalog'!$C$57,L892*'Assumptions and Catalog'!$H$57+'Assumptions and Catalog'!$E$57+'Assumptions and Catalog'!$F$57,"Out of range")))))))),IF(L892&lt;='Assumptions and Catalog'!$C$60,L892*'Assumptions and Catalog'!$H$60+'Assumptions and Catalog'!$E$60+'Assumptions and Catalog'!$F$60,IF(L892&lt;='Assumptions and Catalog'!$C$61,L892*'Assumptions and Catalog'!$H$61+'Assumptions and Catalog'!$E$61+'Assumptions and Catalog'!$F$61,IF(L892&lt;='Assumptions and Catalog'!$C$62,L892*'Assumptions and Catalog'!$H$62+'Assumptions and Catalog'!$E$62+'Assumptions and Catalog'!$F$62,IF(L892&lt;='Assumptions and Catalog'!$C$63,L892*'Assumptions and Catalog'!$H$63+'Assumptions and Catalog'!$E$63+'Assumptions and Catalog'!$F$63,IF(L892&lt;='Assumptions and Catalog'!$C$64,L892*'Assumptions and Catalog'!$H$64+'Assumptions and Catalog'!$E$64+'Assumptions and Catalog'!$F$64,IF(L892&lt;='Assumptions and Catalog'!$C$65,L892*'Assumptions and Catalog'!$H$65+'Assumptions and Catalog'!$E$65+'Assumptions and Catalog'!$F$65,"Out of range")))))))))*(1+'Assumptions and Catalog'!$C$8)^(A892-1),0)</f>
        <v>5724.3293748539263</v>
      </c>
      <c r="O892" s="5">
        <f t="shared" si="63"/>
        <v>2554.6706251460737</v>
      </c>
      <c r="P892" s="5">
        <f>E$55*(1-L$14)*(1-'Assumptions and Catalog'!$C$23)^R892</f>
        <v>85.375770842127338</v>
      </c>
      <c r="Q892" s="5">
        <f>IF(ISNUMBER(Inputs!$L$5),(IF(Inputs!$L$9="Actual flat rate",((D892+E892)*C892-G892)*Inputs!$L$10,IF(Inputs!$C$9="Residential",IF(((D892+E892)*C892-G892)&lt;='Assumptions and Catalog'!$C$50,((D892+E892)*C892-G892)*'Assumptions and Catalog'!$H$50+'Assumptions and Catalog'!$E$50+'Assumptions and Catalog'!$F$50,IF(((D892+E892)*C892-G892)&lt;='Assumptions and Catalog'!$C$51,((D892+E892)*C892-G892)*'Assumptions and Catalog'!$H$51+'Assumptions and Catalog'!$E$51+'Assumptions and Catalog'!$F$51,IF(((D892+E892)*C892-G892)&lt;='Assumptions and Catalog'!$C$52,((D892+E892)*C892-G892)*'Assumptions and Catalog'!$H$52+'Assumptions and Catalog'!$E$52+'Assumptions and Catalog'!$F$52,IF(((D892+E892)*C892-G892)&lt;='Assumptions and Catalog'!$C$53,((D892+E892)*C892-G892)*'Assumptions and Catalog'!$H$53+'Assumptions and Catalog'!$E$53+'Assumptions and Catalog'!$F$53,IF(((D892+E892)*C892-G892)&lt;='Assumptions and Catalog'!$C$54,((D892+E892)*C892-G892)*'Assumptions and Catalog'!$H$54+'Assumptions and Catalog'!$E$54+'Assumptions and Catalog'!$F$54,IF(((D892+E892)*C892-G892)&lt;='Assumptions and Catalog'!$C$55,((D892+E892)*C892-G892)*'Assumptions and Catalog'!$H$55+'Assumptions and Catalog'!$E$55+'Assumptions and Catalog'!$F$55,IF(((D892+E892)*C892-G892)&lt;='Assumptions and Catalog'!$C$56,((D892+E892)*C892-G892)*'Assumptions and Catalog'!$H$56+'Assumptions and Catalog'!$E$56+'Assumptions and Catalog'!$F$56,IF(((D892+E892)*C892-G892)&lt;='Assumptions and Catalog'!$C$57,((D892+E892)*C892-G892)*'Assumptions and Catalog'!$H$57+'Assumptions and Catalog'!$E$57+'Assumptions and Catalog'!$F$57,"Out of range")))))))),IF(((D892+E892)*C892-G892)&lt;='Assumptions and Catalog'!$C$60,((D892+E892)*C892-G892)*'Assumptions and Catalog'!$H$60+'Assumptions and Catalog'!$E$60+'Assumptions and Catalog'!$F$60,IF(((D892+E892)*C892-G892)&lt;='Assumptions and Catalog'!$C$61,((D892+E892)*C892-G892)*'Assumptions and Catalog'!$H$61+'Assumptions and Catalog'!$E$61+'Assumptions and Catalog'!$F$61,IF(((D892+E892)*C892-G892)&lt;='Assumptions and Catalog'!$C$62,((D892+E892)*C892-G892)*'Assumptions and Catalog'!$H$62+'Assumptions and Catalog'!$E$62+'Assumptions and Catalog'!$F$62,IF(((D892+E892)*C892-G892)&lt;='Assumptions and Catalog'!$C$63,((D892+E892)*C892-G892)*'Assumptions and Catalog'!$H$63+'Assumptions and Catalog'!$E$63+'Assumptions and Catalog'!$F$63,IF(((D892+E892)*C892-G892)&lt;='Assumptions and Catalog'!$C$64,((D892+E892)*C892-G892)*'Assumptions and Catalog'!$H$64+'Assumptions and Catalog'!$E$64+'Assumptions and Catalog'!$F$64,IF(((D892+E892)*C892-G892)&lt;='Assumptions and Catalog'!$C$65,((D892+E892)*C892-G892)*'Assumptions and Catalog'!$H$65+'Assumptions and Catalog'!$E$65+'Assumptions and Catalog'!$F$65,"Out of range")))))))))*(1+'Assumptions and Catalog'!$C$8)^(A892-1),0)</f>
        <v>5724.3293748539263</v>
      </c>
      <c r="R892" s="5">
        <f>IF(AND('Assumptions and Catalog'!$C$19&gt;0,A892&gt;='Assumptions and Catalog'!$C$19),A892-'Assumptions and Catalog'!$C$19,A892-1)</f>
        <v>9</v>
      </c>
      <c r="S892" s="5">
        <f>F892+L892-(D892+E892)*C892-J892-K892-IF(E$52&gt;0,'Assumptions and Catalog'!$C$26*C892,0)</f>
        <v>0</v>
      </c>
      <c r="T892" s="5"/>
      <c r="U892" s="5"/>
    </row>
    <row r="893" spans="1:21" ht="23.1" customHeight="1" outlineLevel="1" x14ac:dyDescent="0.2">
      <c r="A893" s="5">
        <v>20</v>
      </c>
      <c r="B893" s="5">
        <v>5</v>
      </c>
      <c r="C893" s="5">
        <f>DAY(DATE('Assumptions and Catalog'!$C$24+A893-1,B893+1,0))</f>
        <v>31</v>
      </c>
      <c r="D893" s="5">
        <f>IF(ISNUMBER(Inputs!$L$5),Inputs!$L$5*Inputs!$L$6,0)</f>
        <v>40.35</v>
      </c>
      <c r="E893" s="5">
        <f>IF(ISNUMBER(Inputs!$L$5),Inputs!$L$5-D893,0)</f>
        <v>40.35</v>
      </c>
      <c r="F893" s="5">
        <f>E$51*'Assumptions and Catalog'!$C$31*C893*(1-'Assumptions and Catalog'!$C$10)^(A893-1)</f>
        <v>771.95549014711071</v>
      </c>
      <c r="G893" s="5">
        <f t="shared" si="60"/>
        <v>771.95549014711071</v>
      </c>
      <c r="H893" s="5">
        <f>I893/('Assumptions and Catalog'!$C$11*'Assumptions and Catalog'!$C$12)</f>
        <v>0</v>
      </c>
      <c r="I893" s="5">
        <f>MIN(E893*C893,P893*'Assumptions and Catalog'!$C$12*C893,(F893-G893)*'Assumptions and Catalog'!$C$11*'Assumptions and Catalog'!$C$12,E$56*'Assumptions and Catalog'!$C$14*'Assumptions and Catalog'!$C$11*'Assumptions and Catalog'!$C$12*C893,E$57*(24-'Assumptions and Catalog'!$C$13)*C893)</f>
        <v>0</v>
      </c>
      <c r="J893" s="5">
        <f t="shared" si="61"/>
        <v>0</v>
      </c>
      <c r="K893" s="5">
        <f t="shared" si="62"/>
        <v>0</v>
      </c>
      <c r="L893" s="5">
        <f>(D893+E893)*C893-G893-I893+0+IF(E$52&gt;0,'Assumptions and Catalog'!$C$26*C893,0)</f>
        <v>1729.7445098528897</v>
      </c>
      <c r="M893" s="5">
        <f>IF(ISNUMBER(Inputs!$L$5),(IF(Inputs!$L$9="Actual flat rate",((D893+E893)*C893)*Inputs!$L$10,IF(Inputs!$C$9="Residential",IF(((D893+E893)*C893)&lt;='Assumptions and Catalog'!$C$50,((D893+E893)*C893)*'Assumptions and Catalog'!$H$50+'Assumptions and Catalog'!$E$50+'Assumptions and Catalog'!$F$50,IF(((D893+E893)*C893)&lt;='Assumptions and Catalog'!$C$51,((D893+E893)*C893)*'Assumptions and Catalog'!$H$51+'Assumptions and Catalog'!$E$51+'Assumptions and Catalog'!$F$51,IF(((D893+E893)*C893)&lt;='Assumptions and Catalog'!$C$52,((D893+E893)*C893)*'Assumptions and Catalog'!$H$52+'Assumptions and Catalog'!$E$52+'Assumptions and Catalog'!$F$52,IF(((D893+E893)*C893)&lt;='Assumptions and Catalog'!$C$53,((D893+E893)*C893)*'Assumptions and Catalog'!$H$53+'Assumptions and Catalog'!$E$53+'Assumptions and Catalog'!$F$53,IF(((D893+E893)*C893)&lt;='Assumptions and Catalog'!$C$54,((D893+E893)*C893)*'Assumptions and Catalog'!$H$54+'Assumptions and Catalog'!$E$54+'Assumptions and Catalog'!$F$54,IF(((D893+E893)*C893)&lt;='Assumptions and Catalog'!$C$55,((D893+E893)*C893)*'Assumptions and Catalog'!$H$55+'Assumptions and Catalog'!$E$55+'Assumptions and Catalog'!$F$55,IF(((D893+E893)*C893)&lt;='Assumptions and Catalog'!$C$56,((D893+E893)*C893)*'Assumptions and Catalog'!$H$56+'Assumptions and Catalog'!$E$56+'Assumptions and Catalog'!$F$56,IF(((D893+E893)*C893)&lt;='Assumptions and Catalog'!$C$57,((D893+E893)*C893)*'Assumptions and Catalog'!$H$57+'Assumptions and Catalog'!$E$57+'Assumptions and Catalog'!$F$57,"Out of range")))))))),IF(((D893+E893)*C893)&lt;='Assumptions and Catalog'!$C$60,((D893+E893)*C893)*'Assumptions and Catalog'!$H$60+'Assumptions and Catalog'!$E$60+'Assumptions and Catalog'!$F$60,IF(((D893+E893)*C893)&lt;='Assumptions and Catalog'!$C$61,((D893+E893)*C893)*'Assumptions and Catalog'!$H$61+'Assumptions and Catalog'!$E$61+'Assumptions and Catalog'!$F$61,IF(((D893+E893)*C893)&lt;='Assumptions and Catalog'!$C$62,((D893+E893)*C893)*'Assumptions and Catalog'!$H$62+'Assumptions and Catalog'!$E$62+'Assumptions and Catalog'!$F$62,IF(((D893+E893)*C893)&lt;='Assumptions and Catalog'!$C$63,((D893+E893)*C893)*'Assumptions and Catalog'!$H$63+'Assumptions and Catalog'!$E$63+'Assumptions and Catalog'!$F$63,IF(((D893+E893)*C893)&lt;='Assumptions and Catalog'!$C$64,((D893+E893)*C893)*'Assumptions and Catalog'!$H$64+'Assumptions and Catalog'!$E$64+'Assumptions and Catalog'!$F$64,IF(((D893+E893)*C893)&lt;='Assumptions and Catalog'!$C$65,((D893+E893)*C893)*'Assumptions and Catalog'!$H$65+'Assumptions and Catalog'!$E$65+'Assumptions and Catalog'!$F$65,"Out of range")))))))))*(1+'Assumptions and Catalog'!$C$8)^(A893-1),0)</f>
        <v>8554.9666666666672</v>
      </c>
      <c r="N893" s="5">
        <f>IF(ISNUMBER(Inputs!$L$5),(IF(Inputs!$L$9="Actual flat rate",L893*Inputs!$L$10,IF(Inputs!$C$9="Residential",IF(L893&lt;='Assumptions and Catalog'!$C$50,L893*'Assumptions and Catalog'!$H$50+'Assumptions and Catalog'!$E$50+'Assumptions and Catalog'!$F$50,IF(L893&lt;='Assumptions and Catalog'!$C$51,L893*'Assumptions and Catalog'!$H$51+'Assumptions and Catalog'!$E$51+'Assumptions and Catalog'!$F$51,IF(L893&lt;='Assumptions and Catalog'!$C$52,L893*'Assumptions and Catalog'!$H$52+'Assumptions and Catalog'!$E$52+'Assumptions and Catalog'!$F$52,IF(L893&lt;='Assumptions and Catalog'!$C$53,L893*'Assumptions and Catalog'!$H$53+'Assumptions and Catalog'!$E$53+'Assumptions and Catalog'!$F$53,IF(L893&lt;='Assumptions and Catalog'!$C$54,L893*'Assumptions and Catalog'!$H$54+'Assumptions and Catalog'!$E$54+'Assumptions and Catalog'!$F$54,IF(L893&lt;='Assumptions and Catalog'!$C$55,L893*'Assumptions and Catalog'!$H$55+'Assumptions and Catalog'!$E$55+'Assumptions and Catalog'!$F$55,IF(L893&lt;='Assumptions and Catalog'!$C$56,L893*'Assumptions and Catalog'!$H$56+'Assumptions and Catalog'!$E$56+'Assumptions and Catalog'!$F$56,IF(L893&lt;='Assumptions and Catalog'!$C$57,L893*'Assumptions and Catalog'!$H$57+'Assumptions and Catalog'!$E$57+'Assumptions and Catalog'!$F$57,"Out of range")))))))),IF(L893&lt;='Assumptions and Catalog'!$C$60,L893*'Assumptions and Catalog'!$H$60+'Assumptions and Catalog'!$E$60+'Assumptions and Catalog'!$F$60,IF(L893&lt;='Assumptions and Catalog'!$C$61,L893*'Assumptions and Catalog'!$H$61+'Assumptions and Catalog'!$E$61+'Assumptions and Catalog'!$F$61,IF(L893&lt;='Assumptions and Catalog'!$C$62,L893*'Assumptions and Catalog'!$H$62+'Assumptions and Catalog'!$E$62+'Assumptions and Catalog'!$F$62,IF(L893&lt;='Assumptions and Catalog'!$C$63,L893*'Assumptions and Catalog'!$H$63+'Assumptions and Catalog'!$E$63+'Assumptions and Catalog'!$F$63,IF(L893&lt;='Assumptions and Catalog'!$C$64,L893*'Assumptions and Catalog'!$H$64+'Assumptions and Catalog'!$E$64+'Assumptions and Catalog'!$F$64,IF(L893&lt;='Assumptions and Catalog'!$C$65,L893*'Assumptions and Catalog'!$H$65+'Assumptions and Catalog'!$E$65+'Assumptions and Catalog'!$F$65,"Out of range")))))))))*(1+'Assumptions and Catalog'!$C$8)^(A893-1),0)</f>
        <v>5915.1403540157262</v>
      </c>
      <c r="O893" s="5">
        <f t="shared" si="63"/>
        <v>2639.826312650941</v>
      </c>
      <c r="P893" s="5">
        <f>E$55*(1-L$14)*(1-'Assumptions and Catalog'!$C$23)^R893</f>
        <v>85.375770842127338</v>
      </c>
      <c r="Q893" s="5">
        <f>IF(ISNUMBER(Inputs!$L$5),(IF(Inputs!$L$9="Actual flat rate",((D893+E893)*C893-G893)*Inputs!$L$10,IF(Inputs!$C$9="Residential",IF(((D893+E893)*C893-G893)&lt;='Assumptions and Catalog'!$C$50,((D893+E893)*C893-G893)*'Assumptions and Catalog'!$H$50+'Assumptions and Catalog'!$E$50+'Assumptions and Catalog'!$F$50,IF(((D893+E893)*C893-G893)&lt;='Assumptions and Catalog'!$C$51,((D893+E893)*C893-G893)*'Assumptions and Catalog'!$H$51+'Assumptions and Catalog'!$E$51+'Assumptions and Catalog'!$F$51,IF(((D893+E893)*C893-G893)&lt;='Assumptions and Catalog'!$C$52,((D893+E893)*C893-G893)*'Assumptions and Catalog'!$H$52+'Assumptions and Catalog'!$E$52+'Assumptions and Catalog'!$F$52,IF(((D893+E893)*C893-G893)&lt;='Assumptions and Catalog'!$C$53,((D893+E893)*C893-G893)*'Assumptions and Catalog'!$H$53+'Assumptions and Catalog'!$E$53+'Assumptions and Catalog'!$F$53,IF(((D893+E893)*C893-G893)&lt;='Assumptions and Catalog'!$C$54,((D893+E893)*C893-G893)*'Assumptions and Catalog'!$H$54+'Assumptions and Catalog'!$E$54+'Assumptions and Catalog'!$F$54,IF(((D893+E893)*C893-G893)&lt;='Assumptions and Catalog'!$C$55,((D893+E893)*C893-G893)*'Assumptions and Catalog'!$H$55+'Assumptions and Catalog'!$E$55+'Assumptions and Catalog'!$F$55,IF(((D893+E893)*C893-G893)&lt;='Assumptions and Catalog'!$C$56,((D893+E893)*C893-G893)*'Assumptions and Catalog'!$H$56+'Assumptions and Catalog'!$E$56+'Assumptions and Catalog'!$F$56,IF(((D893+E893)*C893-G893)&lt;='Assumptions and Catalog'!$C$57,((D893+E893)*C893-G893)*'Assumptions and Catalog'!$H$57+'Assumptions and Catalog'!$E$57+'Assumptions and Catalog'!$F$57,"Out of range")))))))),IF(((D893+E893)*C893-G893)&lt;='Assumptions and Catalog'!$C$60,((D893+E893)*C893-G893)*'Assumptions and Catalog'!$H$60+'Assumptions and Catalog'!$E$60+'Assumptions and Catalog'!$F$60,IF(((D893+E893)*C893-G893)&lt;='Assumptions and Catalog'!$C$61,((D893+E893)*C893-G893)*'Assumptions and Catalog'!$H$61+'Assumptions and Catalog'!$E$61+'Assumptions and Catalog'!$F$61,IF(((D893+E893)*C893-G893)&lt;='Assumptions and Catalog'!$C$62,((D893+E893)*C893-G893)*'Assumptions and Catalog'!$H$62+'Assumptions and Catalog'!$E$62+'Assumptions and Catalog'!$F$62,IF(((D893+E893)*C893-G893)&lt;='Assumptions and Catalog'!$C$63,((D893+E893)*C893-G893)*'Assumptions and Catalog'!$H$63+'Assumptions and Catalog'!$E$63+'Assumptions and Catalog'!$F$63,IF(((D893+E893)*C893-G893)&lt;='Assumptions and Catalog'!$C$64,((D893+E893)*C893-G893)*'Assumptions and Catalog'!$H$64+'Assumptions and Catalog'!$E$64+'Assumptions and Catalog'!$F$64,IF(((D893+E893)*C893-G893)&lt;='Assumptions and Catalog'!$C$65,((D893+E893)*C893-G893)*'Assumptions and Catalog'!$H$65+'Assumptions and Catalog'!$E$65+'Assumptions and Catalog'!$F$65,"Out of range")))))))))*(1+'Assumptions and Catalog'!$C$8)^(A893-1),0)</f>
        <v>5915.1403540157262</v>
      </c>
      <c r="R893" s="5">
        <f>IF(AND('Assumptions and Catalog'!$C$19&gt;0,A893&gt;='Assumptions and Catalog'!$C$19),A893-'Assumptions and Catalog'!$C$19,A893-1)</f>
        <v>9</v>
      </c>
      <c r="S893" s="5">
        <f>F893+L893-(D893+E893)*C893-J893-K893-IF(E$52&gt;0,'Assumptions and Catalog'!$C$26*C893,0)</f>
        <v>0</v>
      </c>
      <c r="T893" s="5"/>
      <c r="U893" s="5"/>
    </row>
    <row r="894" spans="1:21" ht="23.1" customHeight="1" outlineLevel="1" x14ac:dyDescent="0.2">
      <c r="A894" s="5">
        <v>20</v>
      </c>
      <c r="B894" s="5">
        <v>6</v>
      </c>
      <c r="C894" s="5">
        <f>DAY(DATE('Assumptions and Catalog'!$C$24+A894-1,B894+1,0))</f>
        <v>30</v>
      </c>
      <c r="D894" s="5">
        <f>IF(ISNUMBER(Inputs!$L$5),Inputs!$L$5*Inputs!$L$6,0)</f>
        <v>40.35</v>
      </c>
      <c r="E894" s="5">
        <f>IF(ISNUMBER(Inputs!$L$5),Inputs!$L$5-D894,0)</f>
        <v>40.35</v>
      </c>
      <c r="F894" s="5">
        <f>E$51*'Assumptions and Catalog'!$C$31*C894*(1-'Assumptions and Catalog'!$C$10)^(A894-1)</f>
        <v>747.0537001423653</v>
      </c>
      <c r="G894" s="5">
        <f t="shared" si="60"/>
        <v>747.0537001423653</v>
      </c>
      <c r="H894" s="5">
        <f>I894/('Assumptions and Catalog'!$C$11*'Assumptions and Catalog'!$C$12)</f>
        <v>0</v>
      </c>
      <c r="I894" s="5">
        <f>MIN(E894*C894,P894*'Assumptions and Catalog'!$C$12*C894,(F894-G894)*'Assumptions and Catalog'!$C$11*'Assumptions and Catalog'!$C$12,E$56*'Assumptions and Catalog'!$C$14*'Assumptions and Catalog'!$C$11*'Assumptions and Catalog'!$C$12*C894,E$57*(24-'Assumptions and Catalog'!$C$13)*C894)</f>
        <v>0</v>
      </c>
      <c r="J894" s="5">
        <f t="shared" si="61"/>
        <v>0</v>
      </c>
      <c r="K894" s="5">
        <f t="shared" si="62"/>
        <v>0</v>
      </c>
      <c r="L894" s="5">
        <f>(D894+E894)*C894-G894-I894+0+IF(E$52&gt;0,'Assumptions and Catalog'!$C$26*C894,0)</f>
        <v>1673.9462998576346</v>
      </c>
      <c r="M894" s="5">
        <f>IF(ISNUMBER(Inputs!$L$5),(IF(Inputs!$L$9="Actual flat rate",((D894+E894)*C894)*Inputs!$L$10,IF(Inputs!$C$9="Residential",IF(((D894+E894)*C894)&lt;='Assumptions and Catalog'!$C$50,((D894+E894)*C894)*'Assumptions and Catalog'!$H$50+'Assumptions and Catalog'!$E$50+'Assumptions and Catalog'!$F$50,IF(((D894+E894)*C894)&lt;='Assumptions and Catalog'!$C$51,((D894+E894)*C894)*'Assumptions and Catalog'!$H$51+'Assumptions and Catalog'!$E$51+'Assumptions and Catalog'!$F$51,IF(((D894+E894)*C894)&lt;='Assumptions and Catalog'!$C$52,((D894+E894)*C894)*'Assumptions and Catalog'!$H$52+'Assumptions and Catalog'!$E$52+'Assumptions and Catalog'!$F$52,IF(((D894+E894)*C894)&lt;='Assumptions and Catalog'!$C$53,((D894+E894)*C894)*'Assumptions and Catalog'!$H$53+'Assumptions and Catalog'!$E$53+'Assumptions and Catalog'!$F$53,IF(((D894+E894)*C894)&lt;='Assumptions and Catalog'!$C$54,((D894+E894)*C894)*'Assumptions and Catalog'!$H$54+'Assumptions and Catalog'!$E$54+'Assumptions and Catalog'!$F$54,IF(((D894+E894)*C894)&lt;='Assumptions and Catalog'!$C$55,((D894+E894)*C894)*'Assumptions and Catalog'!$H$55+'Assumptions and Catalog'!$E$55+'Assumptions and Catalog'!$F$55,IF(((D894+E894)*C894)&lt;='Assumptions and Catalog'!$C$56,((D894+E894)*C894)*'Assumptions and Catalog'!$H$56+'Assumptions and Catalog'!$E$56+'Assumptions and Catalog'!$F$56,IF(((D894+E894)*C894)&lt;='Assumptions and Catalog'!$C$57,((D894+E894)*C894)*'Assumptions and Catalog'!$H$57+'Assumptions and Catalog'!$E$57+'Assumptions and Catalog'!$F$57,"Out of range")))))))),IF(((D894+E894)*C894)&lt;='Assumptions and Catalog'!$C$60,((D894+E894)*C894)*'Assumptions and Catalog'!$H$60+'Assumptions and Catalog'!$E$60+'Assumptions and Catalog'!$F$60,IF(((D894+E894)*C894)&lt;='Assumptions and Catalog'!$C$61,((D894+E894)*C894)*'Assumptions and Catalog'!$H$61+'Assumptions and Catalog'!$E$61+'Assumptions and Catalog'!$F$61,IF(((D894+E894)*C894)&lt;='Assumptions and Catalog'!$C$62,((D894+E894)*C894)*'Assumptions and Catalog'!$H$62+'Assumptions and Catalog'!$E$62+'Assumptions and Catalog'!$F$62,IF(((D894+E894)*C894)&lt;='Assumptions and Catalog'!$C$63,((D894+E894)*C894)*'Assumptions and Catalog'!$H$63+'Assumptions and Catalog'!$E$63+'Assumptions and Catalog'!$F$63,IF(((D894+E894)*C894)&lt;='Assumptions and Catalog'!$C$64,((D894+E894)*C894)*'Assumptions and Catalog'!$H$64+'Assumptions and Catalog'!$E$64+'Assumptions and Catalog'!$F$64,IF(((D894+E894)*C894)&lt;='Assumptions and Catalog'!$C$65,((D894+E894)*C894)*'Assumptions and Catalog'!$H$65+'Assumptions and Catalog'!$E$65+'Assumptions and Catalog'!$F$65,"Out of range")))))))))*(1+'Assumptions and Catalog'!$C$8)^(A894-1),0)</f>
        <v>8279</v>
      </c>
      <c r="N894" s="5">
        <f>IF(ISNUMBER(Inputs!$L$5),(IF(Inputs!$L$9="Actual flat rate",L894*Inputs!$L$10,IF(Inputs!$C$9="Residential",IF(L894&lt;='Assumptions and Catalog'!$C$50,L894*'Assumptions and Catalog'!$H$50+'Assumptions and Catalog'!$E$50+'Assumptions and Catalog'!$F$50,IF(L894&lt;='Assumptions and Catalog'!$C$51,L894*'Assumptions and Catalog'!$H$51+'Assumptions and Catalog'!$E$51+'Assumptions and Catalog'!$F$51,IF(L894&lt;='Assumptions and Catalog'!$C$52,L894*'Assumptions and Catalog'!$H$52+'Assumptions and Catalog'!$E$52+'Assumptions and Catalog'!$F$52,IF(L894&lt;='Assumptions and Catalog'!$C$53,L894*'Assumptions and Catalog'!$H$53+'Assumptions and Catalog'!$E$53+'Assumptions and Catalog'!$F$53,IF(L894&lt;='Assumptions and Catalog'!$C$54,L894*'Assumptions and Catalog'!$H$54+'Assumptions and Catalog'!$E$54+'Assumptions and Catalog'!$F$54,IF(L894&lt;='Assumptions and Catalog'!$C$55,L894*'Assumptions and Catalog'!$H$55+'Assumptions and Catalog'!$E$55+'Assumptions and Catalog'!$F$55,IF(L894&lt;='Assumptions and Catalog'!$C$56,L894*'Assumptions and Catalog'!$H$56+'Assumptions and Catalog'!$E$56+'Assumptions and Catalog'!$F$56,IF(L894&lt;='Assumptions and Catalog'!$C$57,L894*'Assumptions and Catalog'!$H$57+'Assumptions and Catalog'!$E$57+'Assumptions and Catalog'!$F$57,"Out of range")))))))),IF(L894&lt;='Assumptions and Catalog'!$C$60,L894*'Assumptions and Catalog'!$H$60+'Assumptions and Catalog'!$E$60+'Assumptions and Catalog'!$F$60,IF(L894&lt;='Assumptions and Catalog'!$C$61,L894*'Assumptions and Catalog'!$H$61+'Assumptions and Catalog'!$E$61+'Assumptions and Catalog'!$F$61,IF(L894&lt;='Assumptions and Catalog'!$C$62,L894*'Assumptions and Catalog'!$H$62+'Assumptions and Catalog'!$E$62+'Assumptions and Catalog'!$F$62,IF(L894&lt;='Assumptions and Catalog'!$C$63,L894*'Assumptions and Catalog'!$H$63+'Assumptions and Catalog'!$E$63+'Assumptions and Catalog'!$F$63,IF(L894&lt;='Assumptions and Catalog'!$C$64,L894*'Assumptions and Catalog'!$H$64+'Assumptions and Catalog'!$E$64+'Assumptions and Catalog'!$F$64,IF(L894&lt;='Assumptions and Catalog'!$C$65,L894*'Assumptions and Catalog'!$H$65+'Assumptions and Catalog'!$E$65+'Assumptions and Catalog'!$F$65,"Out of range")))))))))*(1+'Assumptions and Catalog'!$C$8)^(A894-1),0)</f>
        <v>5724.3293748539263</v>
      </c>
      <c r="O894" s="5">
        <f t="shared" si="63"/>
        <v>2554.6706251460737</v>
      </c>
      <c r="P894" s="5">
        <f>E$55*(1-L$14)*(1-'Assumptions and Catalog'!$C$23)^R894</f>
        <v>85.375770842127338</v>
      </c>
      <c r="Q894" s="5">
        <f>IF(ISNUMBER(Inputs!$L$5),(IF(Inputs!$L$9="Actual flat rate",((D894+E894)*C894-G894)*Inputs!$L$10,IF(Inputs!$C$9="Residential",IF(((D894+E894)*C894-G894)&lt;='Assumptions and Catalog'!$C$50,((D894+E894)*C894-G894)*'Assumptions and Catalog'!$H$50+'Assumptions and Catalog'!$E$50+'Assumptions and Catalog'!$F$50,IF(((D894+E894)*C894-G894)&lt;='Assumptions and Catalog'!$C$51,((D894+E894)*C894-G894)*'Assumptions and Catalog'!$H$51+'Assumptions and Catalog'!$E$51+'Assumptions and Catalog'!$F$51,IF(((D894+E894)*C894-G894)&lt;='Assumptions and Catalog'!$C$52,((D894+E894)*C894-G894)*'Assumptions and Catalog'!$H$52+'Assumptions and Catalog'!$E$52+'Assumptions and Catalog'!$F$52,IF(((D894+E894)*C894-G894)&lt;='Assumptions and Catalog'!$C$53,((D894+E894)*C894-G894)*'Assumptions and Catalog'!$H$53+'Assumptions and Catalog'!$E$53+'Assumptions and Catalog'!$F$53,IF(((D894+E894)*C894-G894)&lt;='Assumptions and Catalog'!$C$54,((D894+E894)*C894-G894)*'Assumptions and Catalog'!$H$54+'Assumptions and Catalog'!$E$54+'Assumptions and Catalog'!$F$54,IF(((D894+E894)*C894-G894)&lt;='Assumptions and Catalog'!$C$55,((D894+E894)*C894-G894)*'Assumptions and Catalog'!$H$55+'Assumptions and Catalog'!$E$55+'Assumptions and Catalog'!$F$55,IF(((D894+E894)*C894-G894)&lt;='Assumptions and Catalog'!$C$56,((D894+E894)*C894-G894)*'Assumptions and Catalog'!$H$56+'Assumptions and Catalog'!$E$56+'Assumptions and Catalog'!$F$56,IF(((D894+E894)*C894-G894)&lt;='Assumptions and Catalog'!$C$57,((D894+E894)*C894-G894)*'Assumptions and Catalog'!$H$57+'Assumptions and Catalog'!$E$57+'Assumptions and Catalog'!$F$57,"Out of range")))))))),IF(((D894+E894)*C894-G894)&lt;='Assumptions and Catalog'!$C$60,((D894+E894)*C894-G894)*'Assumptions and Catalog'!$H$60+'Assumptions and Catalog'!$E$60+'Assumptions and Catalog'!$F$60,IF(((D894+E894)*C894-G894)&lt;='Assumptions and Catalog'!$C$61,((D894+E894)*C894-G894)*'Assumptions and Catalog'!$H$61+'Assumptions and Catalog'!$E$61+'Assumptions and Catalog'!$F$61,IF(((D894+E894)*C894-G894)&lt;='Assumptions and Catalog'!$C$62,((D894+E894)*C894-G894)*'Assumptions and Catalog'!$H$62+'Assumptions and Catalog'!$E$62+'Assumptions and Catalog'!$F$62,IF(((D894+E894)*C894-G894)&lt;='Assumptions and Catalog'!$C$63,((D894+E894)*C894-G894)*'Assumptions and Catalog'!$H$63+'Assumptions and Catalog'!$E$63+'Assumptions and Catalog'!$F$63,IF(((D894+E894)*C894-G894)&lt;='Assumptions and Catalog'!$C$64,((D894+E894)*C894-G894)*'Assumptions and Catalog'!$H$64+'Assumptions and Catalog'!$E$64+'Assumptions and Catalog'!$F$64,IF(((D894+E894)*C894-G894)&lt;='Assumptions and Catalog'!$C$65,((D894+E894)*C894-G894)*'Assumptions and Catalog'!$H$65+'Assumptions and Catalog'!$E$65+'Assumptions and Catalog'!$F$65,"Out of range")))))))))*(1+'Assumptions and Catalog'!$C$8)^(A894-1),0)</f>
        <v>5724.3293748539263</v>
      </c>
      <c r="R894" s="5">
        <f>IF(AND('Assumptions and Catalog'!$C$19&gt;0,A894&gt;='Assumptions and Catalog'!$C$19),A894-'Assumptions and Catalog'!$C$19,A894-1)</f>
        <v>9</v>
      </c>
      <c r="S894" s="5">
        <f>F894+L894-(D894+E894)*C894-J894-K894-IF(E$52&gt;0,'Assumptions and Catalog'!$C$26*C894,0)</f>
        <v>0</v>
      </c>
      <c r="T894" s="5"/>
      <c r="U894" s="5"/>
    </row>
    <row r="895" spans="1:21" ht="23.1" customHeight="1" outlineLevel="1" x14ac:dyDescent="0.2">
      <c r="A895" s="5">
        <v>20</v>
      </c>
      <c r="B895" s="5">
        <v>7</v>
      </c>
      <c r="C895" s="5">
        <f>DAY(DATE('Assumptions and Catalog'!$C$24+A895-1,B895+1,0))</f>
        <v>31</v>
      </c>
      <c r="D895" s="5">
        <f>IF(ISNUMBER(Inputs!$L$5),Inputs!$L$5*Inputs!$L$6,0)</f>
        <v>40.35</v>
      </c>
      <c r="E895" s="5">
        <f>IF(ISNUMBER(Inputs!$L$5),Inputs!$L$5-D895,0)</f>
        <v>40.35</v>
      </c>
      <c r="F895" s="5">
        <f>E$51*'Assumptions and Catalog'!$C$31*C895*(1-'Assumptions and Catalog'!$C$10)^(A895-1)</f>
        <v>771.95549014711071</v>
      </c>
      <c r="G895" s="5">
        <f t="shared" si="60"/>
        <v>771.95549014711071</v>
      </c>
      <c r="H895" s="5">
        <f>I895/('Assumptions and Catalog'!$C$11*'Assumptions and Catalog'!$C$12)</f>
        <v>0</v>
      </c>
      <c r="I895" s="5">
        <f>MIN(E895*C895,P895*'Assumptions and Catalog'!$C$12*C895,(F895-G895)*'Assumptions and Catalog'!$C$11*'Assumptions and Catalog'!$C$12,E$56*'Assumptions and Catalog'!$C$14*'Assumptions and Catalog'!$C$11*'Assumptions and Catalog'!$C$12*C895,E$57*(24-'Assumptions and Catalog'!$C$13)*C895)</f>
        <v>0</v>
      </c>
      <c r="J895" s="5">
        <f t="shared" si="61"/>
        <v>0</v>
      </c>
      <c r="K895" s="5">
        <f t="shared" si="62"/>
        <v>0</v>
      </c>
      <c r="L895" s="5">
        <f>(D895+E895)*C895-G895-I895+0+IF(E$52&gt;0,'Assumptions and Catalog'!$C$26*C895,0)</f>
        <v>1729.7445098528897</v>
      </c>
      <c r="M895" s="5">
        <f>IF(ISNUMBER(Inputs!$L$5),(IF(Inputs!$L$9="Actual flat rate",((D895+E895)*C895)*Inputs!$L$10,IF(Inputs!$C$9="Residential",IF(((D895+E895)*C895)&lt;='Assumptions and Catalog'!$C$50,((D895+E895)*C895)*'Assumptions and Catalog'!$H$50+'Assumptions and Catalog'!$E$50+'Assumptions and Catalog'!$F$50,IF(((D895+E895)*C895)&lt;='Assumptions and Catalog'!$C$51,((D895+E895)*C895)*'Assumptions and Catalog'!$H$51+'Assumptions and Catalog'!$E$51+'Assumptions and Catalog'!$F$51,IF(((D895+E895)*C895)&lt;='Assumptions and Catalog'!$C$52,((D895+E895)*C895)*'Assumptions and Catalog'!$H$52+'Assumptions and Catalog'!$E$52+'Assumptions and Catalog'!$F$52,IF(((D895+E895)*C895)&lt;='Assumptions and Catalog'!$C$53,((D895+E895)*C895)*'Assumptions and Catalog'!$H$53+'Assumptions and Catalog'!$E$53+'Assumptions and Catalog'!$F$53,IF(((D895+E895)*C895)&lt;='Assumptions and Catalog'!$C$54,((D895+E895)*C895)*'Assumptions and Catalog'!$H$54+'Assumptions and Catalog'!$E$54+'Assumptions and Catalog'!$F$54,IF(((D895+E895)*C895)&lt;='Assumptions and Catalog'!$C$55,((D895+E895)*C895)*'Assumptions and Catalog'!$H$55+'Assumptions and Catalog'!$E$55+'Assumptions and Catalog'!$F$55,IF(((D895+E895)*C895)&lt;='Assumptions and Catalog'!$C$56,((D895+E895)*C895)*'Assumptions and Catalog'!$H$56+'Assumptions and Catalog'!$E$56+'Assumptions and Catalog'!$F$56,IF(((D895+E895)*C895)&lt;='Assumptions and Catalog'!$C$57,((D895+E895)*C895)*'Assumptions and Catalog'!$H$57+'Assumptions and Catalog'!$E$57+'Assumptions and Catalog'!$F$57,"Out of range")))))))),IF(((D895+E895)*C895)&lt;='Assumptions and Catalog'!$C$60,((D895+E895)*C895)*'Assumptions and Catalog'!$H$60+'Assumptions and Catalog'!$E$60+'Assumptions and Catalog'!$F$60,IF(((D895+E895)*C895)&lt;='Assumptions and Catalog'!$C$61,((D895+E895)*C895)*'Assumptions and Catalog'!$H$61+'Assumptions and Catalog'!$E$61+'Assumptions and Catalog'!$F$61,IF(((D895+E895)*C895)&lt;='Assumptions and Catalog'!$C$62,((D895+E895)*C895)*'Assumptions and Catalog'!$H$62+'Assumptions and Catalog'!$E$62+'Assumptions and Catalog'!$F$62,IF(((D895+E895)*C895)&lt;='Assumptions and Catalog'!$C$63,((D895+E895)*C895)*'Assumptions and Catalog'!$H$63+'Assumptions and Catalog'!$E$63+'Assumptions and Catalog'!$F$63,IF(((D895+E895)*C895)&lt;='Assumptions and Catalog'!$C$64,((D895+E895)*C895)*'Assumptions and Catalog'!$H$64+'Assumptions and Catalog'!$E$64+'Assumptions and Catalog'!$F$64,IF(((D895+E895)*C895)&lt;='Assumptions and Catalog'!$C$65,((D895+E895)*C895)*'Assumptions and Catalog'!$H$65+'Assumptions and Catalog'!$E$65+'Assumptions and Catalog'!$F$65,"Out of range")))))))))*(1+'Assumptions and Catalog'!$C$8)^(A895-1),0)</f>
        <v>8554.9666666666672</v>
      </c>
      <c r="N895" s="5">
        <f>IF(ISNUMBER(Inputs!$L$5),(IF(Inputs!$L$9="Actual flat rate",L895*Inputs!$L$10,IF(Inputs!$C$9="Residential",IF(L895&lt;='Assumptions and Catalog'!$C$50,L895*'Assumptions and Catalog'!$H$50+'Assumptions and Catalog'!$E$50+'Assumptions and Catalog'!$F$50,IF(L895&lt;='Assumptions and Catalog'!$C$51,L895*'Assumptions and Catalog'!$H$51+'Assumptions and Catalog'!$E$51+'Assumptions and Catalog'!$F$51,IF(L895&lt;='Assumptions and Catalog'!$C$52,L895*'Assumptions and Catalog'!$H$52+'Assumptions and Catalog'!$E$52+'Assumptions and Catalog'!$F$52,IF(L895&lt;='Assumptions and Catalog'!$C$53,L895*'Assumptions and Catalog'!$H$53+'Assumptions and Catalog'!$E$53+'Assumptions and Catalog'!$F$53,IF(L895&lt;='Assumptions and Catalog'!$C$54,L895*'Assumptions and Catalog'!$H$54+'Assumptions and Catalog'!$E$54+'Assumptions and Catalog'!$F$54,IF(L895&lt;='Assumptions and Catalog'!$C$55,L895*'Assumptions and Catalog'!$H$55+'Assumptions and Catalog'!$E$55+'Assumptions and Catalog'!$F$55,IF(L895&lt;='Assumptions and Catalog'!$C$56,L895*'Assumptions and Catalog'!$H$56+'Assumptions and Catalog'!$E$56+'Assumptions and Catalog'!$F$56,IF(L895&lt;='Assumptions and Catalog'!$C$57,L895*'Assumptions and Catalog'!$H$57+'Assumptions and Catalog'!$E$57+'Assumptions and Catalog'!$F$57,"Out of range")))))))),IF(L895&lt;='Assumptions and Catalog'!$C$60,L895*'Assumptions and Catalog'!$H$60+'Assumptions and Catalog'!$E$60+'Assumptions and Catalog'!$F$60,IF(L895&lt;='Assumptions and Catalog'!$C$61,L895*'Assumptions and Catalog'!$H$61+'Assumptions and Catalog'!$E$61+'Assumptions and Catalog'!$F$61,IF(L895&lt;='Assumptions and Catalog'!$C$62,L895*'Assumptions and Catalog'!$H$62+'Assumptions and Catalog'!$E$62+'Assumptions and Catalog'!$F$62,IF(L895&lt;='Assumptions and Catalog'!$C$63,L895*'Assumptions and Catalog'!$H$63+'Assumptions and Catalog'!$E$63+'Assumptions and Catalog'!$F$63,IF(L895&lt;='Assumptions and Catalog'!$C$64,L895*'Assumptions and Catalog'!$H$64+'Assumptions and Catalog'!$E$64+'Assumptions and Catalog'!$F$64,IF(L895&lt;='Assumptions and Catalog'!$C$65,L895*'Assumptions and Catalog'!$H$65+'Assumptions and Catalog'!$E$65+'Assumptions and Catalog'!$F$65,"Out of range")))))))))*(1+'Assumptions and Catalog'!$C$8)^(A895-1),0)</f>
        <v>5915.1403540157262</v>
      </c>
      <c r="O895" s="5">
        <f t="shared" si="63"/>
        <v>2639.826312650941</v>
      </c>
      <c r="P895" s="5">
        <f>E$55*(1-L$14)*(1-'Assumptions and Catalog'!$C$23)^R895</f>
        <v>85.375770842127338</v>
      </c>
      <c r="Q895" s="5">
        <f>IF(ISNUMBER(Inputs!$L$5),(IF(Inputs!$L$9="Actual flat rate",((D895+E895)*C895-G895)*Inputs!$L$10,IF(Inputs!$C$9="Residential",IF(((D895+E895)*C895-G895)&lt;='Assumptions and Catalog'!$C$50,((D895+E895)*C895-G895)*'Assumptions and Catalog'!$H$50+'Assumptions and Catalog'!$E$50+'Assumptions and Catalog'!$F$50,IF(((D895+E895)*C895-G895)&lt;='Assumptions and Catalog'!$C$51,((D895+E895)*C895-G895)*'Assumptions and Catalog'!$H$51+'Assumptions and Catalog'!$E$51+'Assumptions and Catalog'!$F$51,IF(((D895+E895)*C895-G895)&lt;='Assumptions and Catalog'!$C$52,((D895+E895)*C895-G895)*'Assumptions and Catalog'!$H$52+'Assumptions and Catalog'!$E$52+'Assumptions and Catalog'!$F$52,IF(((D895+E895)*C895-G895)&lt;='Assumptions and Catalog'!$C$53,((D895+E895)*C895-G895)*'Assumptions and Catalog'!$H$53+'Assumptions and Catalog'!$E$53+'Assumptions and Catalog'!$F$53,IF(((D895+E895)*C895-G895)&lt;='Assumptions and Catalog'!$C$54,((D895+E895)*C895-G895)*'Assumptions and Catalog'!$H$54+'Assumptions and Catalog'!$E$54+'Assumptions and Catalog'!$F$54,IF(((D895+E895)*C895-G895)&lt;='Assumptions and Catalog'!$C$55,((D895+E895)*C895-G895)*'Assumptions and Catalog'!$H$55+'Assumptions and Catalog'!$E$55+'Assumptions and Catalog'!$F$55,IF(((D895+E895)*C895-G895)&lt;='Assumptions and Catalog'!$C$56,((D895+E895)*C895-G895)*'Assumptions and Catalog'!$H$56+'Assumptions and Catalog'!$E$56+'Assumptions and Catalog'!$F$56,IF(((D895+E895)*C895-G895)&lt;='Assumptions and Catalog'!$C$57,((D895+E895)*C895-G895)*'Assumptions and Catalog'!$H$57+'Assumptions and Catalog'!$E$57+'Assumptions and Catalog'!$F$57,"Out of range")))))))),IF(((D895+E895)*C895-G895)&lt;='Assumptions and Catalog'!$C$60,((D895+E895)*C895-G895)*'Assumptions and Catalog'!$H$60+'Assumptions and Catalog'!$E$60+'Assumptions and Catalog'!$F$60,IF(((D895+E895)*C895-G895)&lt;='Assumptions and Catalog'!$C$61,((D895+E895)*C895-G895)*'Assumptions and Catalog'!$H$61+'Assumptions and Catalog'!$E$61+'Assumptions and Catalog'!$F$61,IF(((D895+E895)*C895-G895)&lt;='Assumptions and Catalog'!$C$62,((D895+E895)*C895-G895)*'Assumptions and Catalog'!$H$62+'Assumptions and Catalog'!$E$62+'Assumptions and Catalog'!$F$62,IF(((D895+E895)*C895-G895)&lt;='Assumptions and Catalog'!$C$63,((D895+E895)*C895-G895)*'Assumptions and Catalog'!$H$63+'Assumptions and Catalog'!$E$63+'Assumptions and Catalog'!$F$63,IF(((D895+E895)*C895-G895)&lt;='Assumptions and Catalog'!$C$64,((D895+E895)*C895-G895)*'Assumptions and Catalog'!$H$64+'Assumptions and Catalog'!$E$64+'Assumptions and Catalog'!$F$64,IF(((D895+E895)*C895-G895)&lt;='Assumptions and Catalog'!$C$65,((D895+E895)*C895-G895)*'Assumptions and Catalog'!$H$65+'Assumptions and Catalog'!$E$65+'Assumptions and Catalog'!$F$65,"Out of range")))))))))*(1+'Assumptions and Catalog'!$C$8)^(A895-1),0)</f>
        <v>5915.1403540157262</v>
      </c>
      <c r="R895" s="5">
        <f>IF(AND('Assumptions and Catalog'!$C$19&gt;0,A895&gt;='Assumptions and Catalog'!$C$19),A895-'Assumptions and Catalog'!$C$19,A895-1)</f>
        <v>9</v>
      </c>
      <c r="S895" s="5">
        <f>F895+L895-(D895+E895)*C895-J895-K895-IF(E$52&gt;0,'Assumptions and Catalog'!$C$26*C895,0)</f>
        <v>0</v>
      </c>
      <c r="T895" s="5"/>
      <c r="U895" s="5"/>
    </row>
    <row r="896" spans="1:21" ht="23.1" customHeight="1" outlineLevel="1" x14ac:dyDescent="0.2">
      <c r="A896" s="5">
        <v>20</v>
      </c>
      <c r="B896" s="5">
        <v>8</v>
      </c>
      <c r="C896" s="5">
        <f>DAY(DATE('Assumptions and Catalog'!$C$24+A896-1,B896+1,0))</f>
        <v>31</v>
      </c>
      <c r="D896" s="5">
        <f>IF(ISNUMBER(Inputs!$L$5),Inputs!$L$5*Inputs!$L$6,0)</f>
        <v>40.35</v>
      </c>
      <c r="E896" s="5">
        <f>IF(ISNUMBER(Inputs!$L$5),Inputs!$L$5-D896,0)</f>
        <v>40.35</v>
      </c>
      <c r="F896" s="5">
        <f>E$51*'Assumptions and Catalog'!$C$31*C896*(1-'Assumptions and Catalog'!$C$10)^(A896-1)</f>
        <v>771.95549014711071</v>
      </c>
      <c r="G896" s="5">
        <f t="shared" si="60"/>
        <v>771.95549014711071</v>
      </c>
      <c r="H896" s="5">
        <f>I896/('Assumptions and Catalog'!$C$11*'Assumptions and Catalog'!$C$12)</f>
        <v>0</v>
      </c>
      <c r="I896" s="5">
        <f>MIN(E896*C896,P896*'Assumptions and Catalog'!$C$12*C896,(F896-G896)*'Assumptions and Catalog'!$C$11*'Assumptions and Catalog'!$C$12,E$56*'Assumptions and Catalog'!$C$14*'Assumptions and Catalog'!$C$11*'Assumptions and Catalog'!$C$12*C896,E$57*(24-'Assumptions and Catalog'!$C$13)*C896)</f>
        <v>0</v>
      </c>
      <c r="J896" s="5">
        <f t="shared" si="61"/>
        <v>0</v>
      </c>
      <c r="K896" s="5">
        <f t="shared" si="62"/>
        <v>0</v>
      </c>
      <c r="L896" s="5">
        <f>(D896+E896)*C896-G896-I896+0+IF(E$52&gt;0,'Assumptions and Catalog'!$C$26*C896,0)</f>
        <v>1729.7445098528897</v>
      </c>
      <c r="M896" s="5">
        <f>IF(ISNUMBER(Inputs!$L$5),(IF(Inputs!$L$9="Actual flat rate",((D896+E896)*C896)*Inputs!$L$10,IF(Inputs!$C$9="Residential",IF(((D896+E896)*C896)&lt;='Assumptions and Catalog'!$C$50,((D896+E896)*C896)*'Assumptions and Catalog'!$H$50+'Assumptions and Catalog'!$E$50+'Assumptions and Catalog'!$F$50,IF(((D896+E896)*C896)&lt;='Assumptions and Catalog'!$C$51,((D896+E896)*C896)*'Assumptions and Catalog'!$H$51+'Assumptions and Catalog'!$E$51+'Assumptions and Catalog'!$F$51,IF(((D896+E896)*C896)&lt;='Assumptions and Catalog'!$C$52,((D896+E896)*C896)*'Assumptions and Catalog'!$H$52+'Assumptions and Catalog'!$E$52+'Assumptions and Catalog'!$F$52,IF(((D896+E896)*C896)&lt;='Assumptions and Catalog'!$C$53,((D896+E896)*C896)*'Assumptions and Catalog'!$H$53+'Assumptions and Catalog'!$E$53+'Assumptions and Catalog'!$F$53,IF(((D896+E896)*C896)&lt;='Assumptions and Catalog'!$C$54,((D896+E896)*C896)*'Assumptions and Catalog'!$H$54+'Assumptions and Catalog'!$E$54+'Assumptions and Catalog'!$F$54,IF(((D896+E896)*C896)&lt;='Assumptions and Catalog'!$C$55,((D896+E896)*C896)*'Assumptions and Catalog'!$H$55+'Assumptions and Catalog'!$E$55+'Assumptions and Catalog'!$F$55,IF(((D896+E896)*C896)&lt;='Assumptions and Catalog'!$C$56,((D896+E896)*C896)*'Assumptions and Catalog'!$H$56+'Assumptions and Catalog'!$E$56+'Assumptions and Catalog'!$F$56,IF(((D896+E896)*C896)&lt;='Assumptions and Catalog'!$C$57,((D896+E896)*C896)*'Assumptions and Catalog'!$H$57+'Assumptions and Catalog'!$E$57+'Assumptions and Catalog'!$F$57,"Out of range")))))))),IF(((D896+E896)*C896)&lt;='Assumptions and Catalog'!$C$60,((D896+E896)*C896)*'Assumptions and Catalog'!$H$60+'Assumptions and Catalog'!$E$60+'Assumptions and Catalog'!$F$60,IF(((D896+E896)*C896)&lt;='Assumptions and Catalog'!$C$61,((D896+E896)*C896)*'Assumptions and Catalog'!$H$61+'Assumptions and Catalog'!$E$61+'Assumptions and Catalog'!$F$61,IF(((D896+E896)*C896)&lt;='Assumptions and Catalog'!$C$62,((D896+E896)*C896)*'Assumptions and Catalog'!$H$62+'Assumptions and Catalog'!$E$62+'Assumptions and Catalog'!$F$62,IF(((D896+E896)*C896)&lt;='Assumptions and Catalog'!$C$63,((D896+E896)*C896)*'Assumptions and Catalog'!$H$63+'Assumptions and Catalog'!$E$63+'Assumptions and Catalog'!$F$63,IF(((D896+E896)*C896)&lt;='Assumptions and Catalog'!$C$64,((D896+E896)*C896)*'Assumptions and Catalog'!$H$64+'Assumptions and Catalog'!$E$64+'Assumptions and Catalog'!$F$64,IF(((D896+E896)*C896)&lt;='Assumptions and Catalog'!$C$65,((D896+E896)*C896)*'Assumptions and Catalog'!$H$65+'Assumptions and Catalog'!$E$65+'Assumptions and Catalog'!$F$65,"Out of range")))))))))*(1+'Assumptions and Catalog'!$C$8)^(A896-1),0)</f>
        <v>8554.9666666666672</v>
      </c>
      <c r="N896" s="5">
        <f>IF(ISNUMBER(Inputs!$L$5),(IF(Inputs!$L$9="Actual flat rate",L896*Inputs!$L$10,IF(Inputs!$C$9="Residential",IF(L896&lt;='Assumptions and Catalog'!$C$50,L896*'Assumptions and Catalog'!$H$50+'Assumptions and Catalog'!$E$50+'Assumptions and Catalog'!$F$50,IF(L896&lt;='Assumptions and Catalog'!$C$51,L896*'Assumptions and Catalog'!$H$51+'Assumptions and Catalog'!$E$51+'Assumptions and Catalog'!$F$51,IF(L896&lt;='Assumptions and Catalog'!$C$52,L896*'Assumptions and Catalog'!$H$52+'Assumptions and Catalog'!$E$52+'Assumptions and Catalog'!$F$52,IF(L896&lt;='Assumptions and Catalog'!$C$53,L896*'Assumptions and Catalog'!$H$53+'Assumptions and Catalog'!$E$53+'Assumptions and Catalog'!$F$53,IF(L896&lt;='Assumptions and Catalog'!$C$54,L896*'Assumptions and Catalog'!$H$54+'Assumptions and Catalog'!$E$54+'Assumptions and Catalog'!$F$54,IF(L896&lt;='Assumptions and Catalog'!$C$55,L896*'Assumptions and Catalog'!$H$55+'Assumptions and Catalog'!$E$55+'Assumptions and Catalog'!$F$55,IF(L896&lt;='Assumptions and Catalog'!$C$56,L896*'Assumptions and Catalog'!$H$56+'Assumptions and Catalog'!$E$56+'Assumptions and Catalog'!$F$56,IF(L896&lt;='Assumptions and Catalog'!$C$57,L896*'Assumptions and Catalog'!$H$57+'Assumptions and Catalog'!$E$57+'Assumptions and Catalog'!$F$57,"Out of range")))))))),IF(L896&lt;='Assumptions and Catalog'!$C$60,L896*'Assumptions and Catalog'!$H$60+'Assumptions and Catalog'!$E$60+'Assumptions and Catalog'!$F$60,IF(L896&lt;='Assumptions and Catalog'!$C$61,L896*'Assumptions and Catalog'!$H$61+'Assumptions and Catalog'!$E$61+'Assumptions and Catalog'!$F$61,IF(L896&lt;='Assumptions and Catalog'!$C$62,L896*'Assumptions and Catalog'!$H$62+'Assumptions and Catalog'!$E$62+'Assumptions and Catalog'!$F$62,IF(L896&lt;='Assumptions and Catalog'!$C$63,L896*'Assumptions and Catalog'!$H$63+'Assumptions and Catalog'!$E$63+'Assumptions and Catalog'!$F$63,IF(L896&lt;='Assumptions and Catalog'!$C$64,L896*'Assumptions and Catalog'!$H$64+'Assumptions and Catalog'!$E$64+'Assumptions and Catalog'!$F$64,IF(L896&lt;='Assumptions and Catalog'!$C$65,L896*'Assumptions and Catalog'!$H$65+'Assumptions and Catalog'!$E$65+'Assumptions and Catalog'!$F$65,"Out of range")))))))))*(1+'Assumptions and Catalog'!$C$8)^(A896-1),0)</f>
        <v>5915.1403540157262</v>
      </c>
      <c r="O896" s="5">
        <f t="shared" si="63"/>
        <v>2639.826312650941</v>
      </c>
      <c r="P896" s="5">
        <f>E$55*(1-L$14)*(1-'Assumptions and Catalog'!$C$23)^R896</f>
        <v>85.375770842127338</v>
      </c>
      <c r="Q896" s="5">
        <f>IF(ISNUMBER(Inputs!$L$5),(IF(Inputs!$L$9="Actual flat rate",((D896+E896)*C896-G896)*Inputs!$L$10,IF(Inputs!$C$9="Residential",IF(((D896+E896)*C896-G896)&lt;='Assumptions and Catalog'!$C$50,((D896+E896)*C896-G896)*'Assumptions and Catalog'!$H$50+'Assumptions and Catalog'!$E$50+'Assumptions and Catalog'!$F$50,IF(((D896+E896)*C896-G896)&lt;='Assumptions and Catalog'!$C$51,((D896+E896)*C896-G896)*'Assumptions and Catalog'!$H$51+'Assumptions and Catalog'!$E$51+'Assumptions and Catalog'!$F$51,IF(((D896+E896)*C896-G896)&lt;='Assumptions and Catalog'!$C$52,((D896+E896)*C896-G896)*'Assumptions and Catalog'!$H$52+'Assumptions and Catalog'!$E$52+'Assumptions and Catalog'!$F$52,IF(((D896+E896)*C896-G896)&lt;='Assumptions and Catalog'!$C$53,((D896+E896)*C896-G896)*'Assumptions and Catalog'!$H$53+'Assumptions and Catalog'!$E$53+'Assumptions and Catalog'!$F$53,IF(((D896+E896)*C896-G896)&lt;='Assumptions and Catalog'!$C$54,((D896+E896)*C896-G896)*'Assumptions and Catalog'!$H$54+'Assumptions and Catalog'!$E$54+'Assumptions and Catalog'!$F$54,IF(((D896+E896)*C896-G896)&lt;='Assumptions and Catalog'!$C$55,((D896+E896)*C896-G896)*'Assumptions and Catalog'!$H$55+'Assumptions and Catalog'!$E$55+'Assumptions and Catalog'!$F$55,IF(((D896+E896)*C896-G896)&lt;='Assumptions and Catalog'!$C$56,((D896+E896)*C896-G896)*'Assumptions and Catalog'!$H$56+'Assumptions and Catalog'!$E$56+'Assumptions and Catalog'!$F$56,IF(((D896+E896)*C896-G896)&lt;='Assumptions and Catalog'!$C$57,((D896+E896)*C896-G896)*'Assumptions and Catalog'!$H$57+'Assumptions and Catalog'!$E$57+'Assumptions and Catalog'!$F$57,"Out of range")))))))),IF(((D896+E896)*C896-G896)&lt;='Assumptions and Catalog'!$C$60,((D896+E896)*C896-G896)*'Assumptions and Catalog'!$H$60+'Assumptions and Catalog'!$E$60+'Assumptions and Catalog'!$F$60,IF(((D896+E896)*C896-G896)&lt;='Assumptions and Catalog'!$C$61,((D896+E896)*C896-G896)*'Assumptions and Catalog'!$H$61+'Assumptions and Catalog'!$E$61+'Assumptions and Catalog'!$F$61,IF(((D896+E896)*C896-G896)&lt;='Assumptions and Catalog'!$C$62,((D896+E896)*C896-G896)*'Assumptions and Catalog'!$H$62+'Assumptions and Catalog'!$E$62+'Assumptions and Catalog'!$F$62,IF(((D896+E896)*C896-G896)&lt;='Assumptions and Catalog'!$C$63,((D896+E896)*C896-G896)*'Assumptions and Catalog'!$H$63+'Assumptions and Catalog'!$E$63+'Assumptions and Catalog'!$F$63,IF(((D896+E896)*C896-G896)&lt;='Assumptions and Catalog'!$C$64,((D896+E896)*C896-G896)*'Assumptions and Catalog'!$H$64+'Assumptions and Catalog'!$E$64+'Assumptions and Catalog'!$F$64,IF(((D896+E896)*C896-G896)&lt;='Assumptions and Catalog'!$C$65,((D896+E896)*C896-G896)*'Assumptions and Catalog'!$H$65+'Assumptions and Catalog'!$E$65+'Assumptions and Catalog'!$F$65,"Out of range")))))))))*(1+'Assumptions and Catalog'!$C$8)^(A896-1),0)</f>
        <v>5915.1403540157262</v>
      </c>
      <c r="R896" s="5">
        <f>IF(AND('Assumptions and Catalog'!$C$19&gt;0,A896&gt;='Assumptions and Catalog'!$C$19),A896-'Assumptions and Catalog'!$C$19,A896-1)</f>
        <v>9</v>
      </c>
      <c r="S896" s="5">
        <f>F896+L896-(D896+E896)*C896-J896-K896-IF(E$52&gt;0,'Assumptions and Catalog'!$C$26*C896,0)</f>
        <v>0</v>
      </c>
      <c r="T896" s="5"/>
      <c r="U896" s="5"/>
    </row>
    <row r="897" spans="1:21" ht="23.1" customHeight="1" outlineLevel="1" x14ac:dyDescent="0.2">
      <c r="A897" s="5">
        <v>20</v>
      </c>
      <c r="B897" s="5">
        <v>9</v>
      </c>
      <c r="C897" s="5">
        <f>DAY(DATE('Assumptions and Catalog'!$C$24+A897-1,B897+1,0))</f>
        <v>30</v>
      </c>
      <c r="D897" s="5">
        <f>IF(ISNUMBER(Inputs!$L$5),Inputs!$L$5*Inputs!$L$6,0)</f>
        <v>40.35</v>
      </c>
      <c r="E897" s="5">
        <f>IF(ISNUMBER(Inputs!$L$5),Inputs!$L$5-D897,0)</f>
        <v>40.35</v>
      </c>
      <c r="F897" s="5">
        <f>E$51*'Assumptions and Catalog'!$C$31*C897*(1-'Assumptions and Catalog'!$C$10)^(A897-1)</f>
        <v>747.0537001423653</v>
      </c>
      <c r="G897" s="5">
        <f t="shared" si="60"/>
        <v>747.0537001423653</v>
      </c>
      <c r="H897" s="5">
        <f>I897/('Assumptions and Catalog'!$C$11*'Assumptions and Catalog'!$C$12)</f>
        <v>0</v>
      </c>
      <c r="I897" s="5">
        <f>MIN(E897*C897,P897*'Assumptions and Catalog'!$C$12*C897,(F897-G897)*'Assumptions and Catalog'!$C$11*'Assumptions and Catalog'!$C$12,E$56*'Assumptions and Catalog'!$C$14*'Assumptions and Catalog'!$C$11*'Assumptions and Catalog'!$C$12*C897,E$57*(24-'Assumptions and Catalog'!$C$13)*C897)</f>
        <v>0</v>
      </c>
      <c r="J897" s="5">
        <f t="shared" si="61"/>
        <v>0</v>
      </c>
      <c r="K897" s="5">
        <f t="shared" si="62"/>
        <v>0</v>
      </c>
      <c r="L897" s="5">
        <f>(D897+E897)*C897-G897-I897+0+IF(E$52&gt;0,'Assumptions and Catalog'!$C$26*C897,0)</f>
        <v>1673.9462998576346</v>
      </c>
      <c r="M897" s="5">
        <f>IF(ISNUMBER(Inputs!$L$5),(IF(Inputs!$L$9="Actual flat rate",((D897+E897)*C897)*Inputs!$L$10,IF(Inputs!$C$9="Residential",IF(((D897+E897)*C897)&lt;='Assumptions and Catalog'!$C$50,((D897+E897)*C897)*'Assumptions and Catalog'!$H$50+'Assumptions and Catalog'!$E$50+'Assumptions and Catalog'!$F$50,IF(((D897+E897)*C897)&lt;='Assumptions and Catalog'!$C$51,((D897+E897)*C897)*'Assumptions and Catalog'!$H$51+'Assumptions and Catalog'!$E$51+'Assumptions and Catalog'!$F$51,IF(((D897+E897)*C897)&lt;='Assumptions and Catalog'!$C$52,((D897+E897)*C897)*'Assumptions and Catalog'!$H$52+'Assumptions and Catalog'!$E$52+'Assumptions and Catalog'!$F$52,IF(((D897+E897)*C897)&lt;='Assumptions and Catalog'!$C$53,((D897+E897)*C897)*'Assumptions and Catalog'!$H$53+'Assumptions and Catalog'!$E$53+'Assumptions and Catalog'!$F$53,IF(((D897+E897)*C897)&lt;='Assumptions and Catalog'!$C$54,((D897+E897)*C897)*'Assumptions and Catalog'!$H$54+'Assumptions and Catalog'!$E$54+'Assumptions and Catalog'!$F$54,IF(((D897+E897)*C897)&lt;='Assumptions and Catalog'!$C$55,((D897+E897)*C897)*'Assumptions and Catalog'!$H$55+'Assumptions and Catalog'!$E$55+'Assumptions and Catalog'!$F$55,IF(((D897+E897)*C897)&lt;='Assumptions and Catalog'!$C$56,((D897+E897)*C897)*'Assumptions and Catalog'!$H$56+'Assumptions and Catalog'!$E$56+'Assumptions and Catalog'!$F$56,IF(((D897+E897)*C897)&lt;='Assumptions and Catalog'!$C$57,((D897+E897)*C897)*'Assumptions and Catalog'!$H$57+'Assumptions and Catalog'!$E$57+'Assumptions and Catalog'!$F$57,"Out of range")))))))),IF(((D897+E897)*C897)&lt;='Assumptions and Catalog'!$C$60,((D897+E897)*C897)*'Assumptions and Catalog'!$H$60+'Assumptions and Catalog'!$E$60+'Assumptions and Catalog'!$F$60,IF(((D897+E897)*C897)&lt;='Assumptions and Catalog'!$C$61,((D897+E897)*C897)*'Assumptions and Catalog'!$H$61+'Assumptions and Catalog'!$E$61+'Assumptions and Catalog'!$F$61,IF(((D897+E897)*C897)&lt;='Assumptions and Catalog'!$C$62,((D897+E897)*C897)*'Assumptions and Catalog'!$H$62+'Assumptions and Catalog'!$E$62+'Assumptions and Catalog'!$F$62,IF(((D897+E897)*C897)&lt;='Assumptions and Catalog'!$C$63,((D897+E897)*C897)*'Assumptions and Catalog'!$H$63+'Assumptions and Catalog'!$E$63+'Assumptions and Catalog'!$F$63,IF(((D897+E897)*C897)&lt;='Assumptions and Catalog'!$C$64,((D897+E897)*C897)*'Assumptions and Catalog'!$H$64+'Assumptions and Catalog'!$E$64+'Assumptions and Catalog'!$F$64,IF(((D897+E897)*C897)&lt;='Assumptions and Catalog'!$C$65,((D897+E897)*C897)*'Assumptions and Catalog'!$H$65+'Assumptions and Catalog'!$E$65+'Assumptions and Catalog'!$F$65,"Out of range")))))))))*(1+'Assumptions and Catalog'!$C$8)^(A897-1),0)</f>
        <v>8279</v>
      </c>
      <c r="N897" s="5">
        <f>IF(ISNUMBER(Inputs!$L$5),(IF(Inputs!$L$9="Actual flat rate",L897*Inputs!$L$10,IF(Inputs!$C$9="Residential",IF(L897&lt;='Assumptions and Catalog'!$C$50,L897*'Assumptions and Catalog'!$H$50+'Assumptions and Catalog'!$E$50+'Assumptions and Catalog'!$F$50,IF(L897&lt;='Assumptions and Catalog'!$C$51,L897*'Assumptions and Catalog'!$H$51+'Assumptions and Catalog'!$E$51+'Assumptions and Catalog'!$F$51,IF(L897&lt;='Assumptions and Catalog'!$C$52,L897*'Assumptions and Catalog'!$H$52+'Assumptions and Catalog'!$E$52+'Assumptions and Catalog'!$F$52,IF(L897&lt;='Assumptions and Catalog'!$C$53,L897*'Assumptions and Catalog'!$H$53+'Assumptions and Catalog'!$E$53+'Assumptions and Catalog'!$F$53,IF(L897&lt;='Assumptions and Catalog'!$C$54,L897*'Assumptions and Catalog'!$H$54+'Assumptions and Catalog'!$E$54+'Assumptions and Catalog'!$F$54,IF(L897&lt;='Assumptions and Catalog'!$C$55,L897*'Assumptions and Catalog'!$H$55+'Assumptions and Catalog'!$E$55+'Assumptions and Catalog'!$F$55,IF(L897&lt;='Assumptions and Catalog'!$C$56,L897*'Assumptions and Catalog'!$H$56+'Assumptions and Catalog'!$E$56+'Assumptions and Catalog'!$F$56,IF(L897&lt;='Assumptions and Catalog'!$C$57,L897*'Assumptions and Catalog'!$H$57+'Assumptions and Catalog'!$E$57+'Assumptions and Catalog'!$F$57,"Out of range")))))))),IF(L897&lt;='Assumptions and Catalog'!$C$60,L897*'Assumptions and Catalog'!$H$60+'Assumptions and Catalog'!$E$60+'Assumptions and Catalog'!$F$60,IF(L897&lt;='Assumptions and Catalog'!$C$61,L897*'Assumptions and Catalog'!$H$61+'Assumptions and Catalog'!$E$61+'Assumptions and Catalog'!$F$61,IF(L897&lt;='Assumptions and Catalog'!$C$62,L897*'Assumptions and Catalog'!$H$62+'Assumptions and Catalog'!$E$62+'Assumptions and Catalog'!$F$62,IF(L897&lt;='Assumptions and Catalog'!$C$63,L897*'Assumptions and Catalog'!$H$63+'Assumptions and Catalog'!$E$63+'Assumptions and Catalog'!$F$63,IF(L897&lt;='Assumptions and Catalog'!$C$64,L897*'Assumptions and Catalog'!$H$64+'Assumptions and Catalog'!$E$64+'Assumptions and Catalog'!$F$64,IF(L897&lt;='Assumptions and Catalog'!$C$65,L897*'Assumptions and Catalog'!$H$65+'Assumptions and Catalog'!$E$65+'Assumptions and Catalog'!$F$65,"Out of range")))))))))*(1+'Assumptions and Catalog'!$C$8)^(A897-1),0)</f>
        <v>5724.3293748539263</v>
      </c>
      <c r="O897" s="5">
        <f t="shared" si="63"/>
        <v>2554.6706251460737</v>
      </c>
      <c r="P897" s="5">
        <f>E$55*(1-L$14)*(1-'Assumptions and Catalog'!$C$23)^R897</f>
        <v>85.375770842127338</v>
      </c>
      <c r="Q897" s="5">
        <f>IF(ISNUMBER(Inputs!$L$5),(IF(Inputs!$L$9="Actual flat rate",((D897+E897)*C897-G897)*Inputs!$L$10,IF(Inputs!$C$9="Residential",IF(((D897+E897)*C897-G897)&lt;='Assumptions and Catalog'!$C$50,((D897+E897)*C897-G897)*'Assumptions and Catalog'!$H$50+'Assumptions and Catalog'!$E$50+'Assumptions and Catalog'!$F$50,IF(((D897+E897)*C897-G897)&lt;='Assumptions and Catalog'!$C$51,((D897+E897)*C897-G897)*'Assumptions and Catalog'!$H$51+'Assumptions and Catalog'!$E$51+'Assumptions and Catalog'!$F$51,IF(((D897+E897)*C897-G897)&lt;='Assumptions and Catalog'!$C$52,((D897+E897)*C897-G897)*'Assumptions and Catalog'!$H$52+'Assumptions and Catalog'!$E$52+'Assumptions and Catalog'!$F$52,IF(((D897+E897)*C897-G897)&lt;='Assumptions and Catalog'!$C$53,((D897+E897)*C897-G897)*'Assumptions and Catalog'!$H$53+'Assumptions and Catalog'!$E$53+'Assumptions and Catalog'!$F$53,IF(((D897+E897)*C897-G897)&lt;='Assumptions and Catalog'!$C$54,((D897+E897)*C897-G897)*'Assumptions and Catalog'!$H$54+'Assumptions and Catalog'!$E$54+'Assumptions and Catalog'!$F$54,IF(((D897+E897)*C897-G897)&lt;='Assumptions and Catalog'!$C$55,((D897+E897)*C897-G897)*'Assumptions and Catalog'!$H$55+'Assumptions and Catalog'!$E$55+'Assumptions and Catalog'!$F$55,IF(((D897+E897)*C897-G897)&lt;='Assumptions and Catalog'!$C$56,((D897+E897)*C897-G897)*'Assumptions and Catalog'!$H$56+'Assumptions and Catalog'!$E$56+'Assumptions and Catalog'!$F$56,IF(((D897+E897)*C897-G897)&lt;='Assumptions and Catalog'!$C$57,((D897+E897)*C897-G897)*'Assumptions and Catalog'!$H$57+'Assumptions and Catalog'!$E$57+'Assumptions and Catalog'!$F$57,"Out of range")))))))),IF(((D897+E897)*C897-G897)&lt;='Assumptions and Catalog'!$C$60,((D897+E897)*C897-G897)*'Assumptions and Catalog'!$H$60+'Assumptions and Catalog'!$E$60+'Assumptions and Catalog'!$F$60,IF(((D897+E897)*C897-G897)&lt;='Assumptions and Catalog'!$C$61,((D897+E897)*C897-G897)*'Assumptions and Catalog'!$H$61+'Assumptions and Catalog'!$E$61+'Assumptions and Catalog'!$F$61,IF(((D897+E897)*C897-G897)&lt;='Assumptions and Catalog'!$C$62,((D897+E897)*C897-G897)*'Assumptions and Catalog'!$H$62+'Assumptions and Catalog'!$E$62+'Assumptions and Catalog'!$F$62,IF(((D897+E897)*C897-G897)&lt;='Assumptions and Catalog'!$C$63,((D897+E897)*C897-G897)*'Assumptions and Catalog'!$H$63+'Assumptions and Catalog'!$E$63+'Assumptions and Catalog'!$F$63,IF(((D897+E897)*C897-G897)&lt;='Assumptions and Catalog'!$C$64,((D897+E897)*C897-G897)*'Assumptions and Catalog'!$H$64+'Assumptions and Catalog'!$E$64+'Assumptions and Catalog'!$F$64,IF(((D897+E897)*C897-G897)&lt;='Assumptions and Catalog'!$C$65,((D897+E897)*C897-G897)*'Assumptions and Catalog'!$H$65+'Assumptions and Catalog'!$E$65+'Assumptions and Catalog'!$F$65,"Out of range")))))))))*(1+'Assumptions and Catalog'!$C$8)^(A897-1),0)</f>
        <v>5724.3293748539263</v>
      </c>
      <c r="R897" s="5">
        <f>IF(AND('Assumptions and Catalog'!$C$19&gt;0,A897&gt;='Assumptions and Catalog'!$C$19),A897-'Assumptions and Catalog'!$C$19,A897-1)</f>
        <v>9</v>
      </c>
      <c r="S897" s="5">
        <f>F897+L897-(D897+E897)*C897-J897-K897-IF(E$52&gt;0,'Assumptions and Catalog'!$C$26*C897,0)</f>
        <v>0</v>
      </c>
      <c r="T897" s="5"/>
      <c r="U897" s="5"/>
    </row>
    <row r="898" spans="1:21" ht="23.1" customHeight="1" outlineLevel="1" x14ac:dyDescent="0.2">
      <c r="A898" s="5">
        <v>20</v>
      </c>
      <c r="B898" s="5">
        <v>10</v>
      </c>
      <c r="C898" s="5">
        <f>DAY(DATE('Assumptions and Catalog'!$C$24+A898-1,B898+1,0))</f>
        <v>31</v>
      </c>
      <c r="D898" s="5">
        <f>IF(ISNUMBER(Inputs!$L$5),Inputs!$L$5*Inputs!$L$6,0)</f>
        <v>40.35</v>
      </c>
      <c r="E898" s="5">
        <f>IF(ISNUMBER(Inputs!$L$5),Inputs!$L$5-D898,0)</f>
        <v>40.35</v>
      </c>
      <c r="F898" s="5">
        <f>E$51*'Assumptions and Catalog'!$C$31*C898*(1-'Assumptions and Catalog'!$C$10)^(A898-1)</f>
        <v>771.95549014711071</v>
      </c>
      <c r="G898" s="5">
        <f t="shared" si="60"/>
        <v>771.95549014711071</v>
      </c>
      <c r="H898" s="5">
        <f>I898/('Assumptions and Catalog'!$C$11*'Assumptions and Catalog'!$C$12)</f>
        <v>0</v>
      </c>
      <c r="I898" s="5">
        <f>MIN(E898*C898,P898*'Assumptions and Catalog'!$C$12*C898,(F898-G898)*'Assumptions and Catalog'!$C$11*'Assumptions and Catalog'!$C$12,E$56*'Assumptions and Catalog'!$C$14*'Assumptions and Catalog'!$C$11*'Assumptions and Catalog'!$C$12*C898,E$57*(24-'Assumptions and Catalog'!$C$13)*C898)</f>
        <v>0</v>
      </c>
      <c r="J898" s="5">
        <f t="shared" si="61"/>
        <v>0</v>
      </c>
      <c r="K898" s="5">
        <f t="shared" si="62"/>
        <v>0</v>
      </c>
      <c r="L898" s="5">
        <f>(D898+E898)*C898-G898-I898+0+IF(E$52&gt;0,'Assumptions and Catalog'!$C$26*C898,0)</f>
        <v>1729.7445098528897</v>
      </c>
      <c r="M898" s="5">
        <f>IF(ISNUMBER(Inputs!$L$5),(IF(Inputs!$L$9="Actual flat rate",((D898+E898)*C898)*Inputs!$L$10,IF(Inputs!$C$9="Residential",IF(((D898+E898)*C898)&lt;='Assumptions and Catalog'!$C$50,((D898+E898)*C898)*'Assumptions and Catalog'!$H$50+'Assumptions and Catalog'!$E$50+'Assumptions and Catalog'!$F$50,IF(((D898+E898)*C898)&lt;='Assumptions and Catalog'!$C$51,((D898+E898)*C898)*'Assumptions and Catalog'!$H$51+'Assumptions and Catalog'!$E$51+'Assumptions and Catalog'!$F$51,IF(((D898+E898)*C898)&lt;='Assumptions and Catalog'!$C$52,((D898+E898)*C898)*'Assumptions and Catalog'!$H$52+'Assumptions and Catalog'!$E$52+'Assumptions and Catalog'!$F$52,IF(((D898+E898)*C898)&lt;='Assumptions and Catalog'!$C$53,((D898+E898)*C898)*'Assumptions and Catalog'!$H$53+'Assumptions and Catalog'!$E$53+'Assumptions and Catalog'!$F$53,IF(((D898+E898)*C898)&lt;='Assumptions and Catalog'!$C$54,((D898+E898)*C898)*'Assumptions and Catalog'!$H$54+'Assumptions and Catalog'!$E$54+'Assumptions and Catalog'!$F$54,IF(((D898+E898)*C898)&lt;='Assumptions and Catalog'!$C$55,((D898+E898)*C898)*'Assumptions and Catalog'!$H$55+'Assumptions and Catalog'!$E$55+'Assumptions and Catalog'!$F$55,IF(((D898+E898)*C898)&lt;='Assumptions and Catalog'!$C$56,((D898+E898)*C898)*'Assumptions and Catalog'!$H$56+'Assumptions and Catalog'!$E$56+'Assumptions and Catalog'!$F$56,IF(((D898+E898)*C898)&lt;='Assumptions and Catalog'!$C$57,((D898+E898)*C898)*'Assumptions and Catalog'!$H$57+'Assumptions and Catalog'!$E$57+'Assumptions and Catalog'!$F$57,"Out of range")))))))),IF(((D898+E898)*C898)&lt;='Assumptions and Catalog'!$C$60,((D898+E898)*C898)*'Assumptions and Catalog'!$H$60+'Assumptions and Catalog'!$E$60+'Assumptions and Catalog'!$F$60,IF(((D898+E898)*C898)&lt;='Assumptions and Catalog'!$C$61,((D898+E898)*C898)*'Assumptions and Catalog'!$H$61+'Assumptions and Catalog'!$E$61+'Assumptions and Catalog'!$F$61,IF(((D898+E898)*C898)&lt;='Assumptions and Catalog'!$C$62,((D898+E898)*C898)*'Assumptions and Catalog'!$H$62+'Assumptions and Catalog'!$E$62+'Assumptions and Catalog'!$F$62,IF(((D898+E898)*C898)&lt;='Assumptions and Catalog'!$C$63,((D898+E898)*C898)*'Assumptions and Catalog'!$H$63+'Assumptions and Catalog'!$E$63+'Assumptions and Catalog'!$F$63,IF(((D898+E898)*C898)&lt;='Assumptions and Catalog'!$C$64,((D898+E898)*C898)*'Assumptions and Catalog'!$H$64+'Assumptions and Catalog'!$E$64+'Assumptions and Catalog'!$F$64,IF(((D898+E898)*C898)&lt;='Assumptions and Catalog'!$C$65,((D898+E898)*C898)*'Assumptions and Catalog'!$H$65+'Assumptions and Catalog'!$E$65+'Assumptions and Catalog'!$F$65,"Out of range")))))))))*(1+'Assumptions and Catalog'!$C$8)^(A898-1),0)</f>
        <v>8554.9666666666672</v>
      </c>
      <c r="N898" s="5">
        <f>IF(ISNUMBER(Inputs!$L$5),(IF(Inputs!$L$9="Actual flat rate",L898*Inputs!$L$10,IF(Inputs!$C$9="Residential",IF(L898&lt;='Assumptions and Catalog'!$C$50,L898*'Assumptions and Catalog'!$H$50+'Assumptions and Catalog'!$E$50+'Assumptions and Catalog'!$F$50,IF(L898&lt;='Assumptions and Catalog'!$C$51,L898*'Assumptions and Catalog'!$H$51+'Assumptions and Catalog'!$E$51+'Assumptions and Catalog'!$F$51,IF(L898&lt;='Assumptions and Catalog'!$C$52,L898*'Assumptions and Catalog'!$H$52+'Assumptions and Catalog'!$E$52+'Assumptions and Catalog'!$F$52,IF(L898&lt;='Assumptions and Catalog'!$C$53,L898*'Assumptions and Catalog'!$H$53+'Assumptions and Catalog'!$E$53+'Assumptions and Catalog'!$F$53,IF(L898&lt;='Assumptions and Catalog'!$C$54,L898*'Assumptions and Catalog'!$H$54+'Assumptions and Catalog'!$E$54+'Assumptions and Catalog'!$F$54,IF(L898&lt;='Assumptions and Catalog'!$C$55,L898*'Assumptions and Catalog'!$H$55+'Assumptions and Catalog'!$E$55+'Assumptions and Catalog'!$F$55,IF(L898&lt;='Assumptions and Catalog'!$C$56,L898*'Assumptions and Catalog'!$H$56+'Assumptions and Catalog'!$E$56+'Assumptions and Catalog'!$F$56,IF(L898&lt;='Assumptions and Catalog'!$C$57,L898*'Assumptions and Catalog'!$H$57+'Assumptions and Catalog'!$E$57+'Assumptions and Catalog'!$F$57,"Out of range")))))))),IF(L898&lt;='Assumptions and Catalog'!$C$60,L898*'Assumptions and Catalog'!$H$60+'Assumptions and Catalog'!$E$60+'Assumptions and Catalog'!$F$60,IF(L898&lt;='Assumptions and Catalog'!$C$61,L898*'Assumptions and Catalog'!$H$61+'Assumptions and Catalog'!$E$61+'Assumptions and Catalog'!$F$61,IF(L898&lt;='Assumptions and Catalog'!$C$62,L898*'Assumptions and Catalog'!$H$62+'Assumptions and Catalog'!$E$62+'Assumptions and Catalog'!$F$62,IF(L898&lt;='Assumptions and Catalog'!$C$63,L898*'Assumptions and Catalog'!$H$63+'Assumptions and Catalog'!$E$63+'Assumptions and Catalog'!$F$63,IF(L898&lt;='Assumptions and Catalog'!$C$64,L898*'Assumptions and Catalog'!$H$64+'Assumptions and Catalog'!$E$64+'Assumptions and Catalog'!$F$64,IF(L898&lt;='Assumptions and Catalog'!$C$65,L898*'Assumptions and Catalog'!$H$65+'Assumptions and Catalog'!$E$65+'Assumptions and Catalog'!$F$65,"Out of range")))))))))*(1+'Assumptions and Catalog'!$C$8)^(A898-1),0)</f>
        <v>5915.1403540157262</v>
      </c>
      <c r="O898" s="5">
        <f t="shared" si="63"/>
        <v>2639.826312650941</v>
      </c>
      <c r="P898" s="5">
        <f>E$55*(1-L$14)*(1-'Assumptions and Catalog'!$C$23)^R898</f>
        <v>85.375770842127338</v>
      </c>
      <c r="Q898" s="5">
        <f>IF(ISNUMBER(Inputs!$L$5),(IF(Inputs!$L$9="Actual flat rate",((D898+E898)*C898-G898)*Inputs!$L$10,IF(Inputs!$C$9="Residential",IF(((D898+E898)*C898-G898)&lt;='Assumptions and Catalog'!$C$50,((D898+E898)*C898-G898)*'Assumptions and Catalog'!$H$50+'Assumptions and Catalog'!$E$50+'Assumptions and Catalog'!$F$50,IF(((D898+E898)*C898-G898)&lt;='Assumptions and Catalog'!$C$51,((D898+E898)*C898-G898)*'Assumptions and Catalog'!$H$51+'Assumptions and Catalog'!$E$51+'Assumptions and Catalog'!$F$51,IF(((D898+E898)*C898-G898)&lt;='Assumptions and Catalog'!$C$52,((D898+E898)*C898-G898)*'Assumptions and Catalog'!$H$52+'Assumptions and Catalog'!$E$52+'Assumptions and Catalog'!$F$52,IF(((D898+E898)*C898-G898)&lt;='Assumptions and Catalog'!$C$53,((D898+E898)*C898-G898)*'Assumptions and Catalog'!$H$53+'Assumptions and Catalog'!$E$53+'Assumptions and Catalog'!$F$53,IF(((D898+E898)*C898-G898)&lt;='Assumptions and Catalog'!$C$54,((D898+E898)*C898-G898)*'Assumptions and Catalog'!$H$54+'Assumptions and Catalog'!$E$54+'Assumptions and Catalog'!$F$54,IF(((D898+E898)*C898-G898)&lt;='Assumptions and Catalog'!$C$55,((D898+E898)*C898-G898)*'Assumptions and Catalog'!$H$55+'Assumptions and Catalog'!$E$55+'Assumptions and Catalog'!$F$55,IF(((D898+E898)*C898-G898)&lt;='Assumptions and Catalog'!$C$56,((D898+E898)*C898-G898)*'Assumptions and Catalog'!$H$56+'Assumptions and Catalog'!$E$56+'Assumptions and Catalog'!$F$56,IF(((D898+E898)*C898-G898)&lt;='Assumptions and Catalog'!$C$57,((D898+E898)*C898-G898)*'Assumptions and Catalog'!$H$57+'Assumptions and Catalog'!$E$57+'Assumptions and Catalog'!$F$57,"Out of range")))))))),IF(((D898+E898)*C898-G898)&lt;='Assumptions and Catalog'!$C$60,((D898+E898)*C898-G898)*'Assumptions and Catalog'!$H$60+'Assumptions and Catalog'!$E$60+'Assumptions and Catalog'!$F$60,IF(((D898+E898)*C898-G898)&lt;='Assumptions and Catalog'!$C$61,((D898+E898)*C898-G898)*'Assumptions and Catalog'!$H$61+'Assumptions and Catalog'!$E$61+'Assumptions and Catalog'!$F$61,IF(((D898+E898)*C898-G898)&lt;='Assumptions and Catalog'!$C$62,((D898+E898)*C898-G898)*'Assumptions and Catalog'!$H$62+'Assumptions and Catalog'!$E$62+'Assumptions and Catalog'!$F$62,IF(((D898+E898)*C898-G898)&lt;='Assumptions and Catalog'!$C$63,((D898+E898)*C898-G898)*'Assumptions and Catalog'!$H$63+'Assumptions and Catalog'!$E$63+'Assumptions and Catalog'!$F$63,IF(((D898+E898)*C898-G898)&lt;='Assumptions and Catalog'!$C$64,((D898+E898)*C898-G898)*'Assumptions and Catalog'!$H$64+'Assumptions and Catalog'!$E$64+'Assumptions and Catalog'!$F$64,IF(((D898+E898)*C898-G898)&lt;='Assumptions and Catalog'!$C$65,((D898+E898)*C898-G898)*'Assumptions and Catalog'!$H$65+'Assumptions and Catalog'!$E$65+'Assumptions and Catalog'!$F$65,"Out of range")))))))))*(1+'Assumptions and Catalog'!$C$8)^(A898-1),0)</f>
        <v>5915.1403540157262</v>
      </c>
      <c r="R898" s="5">
        <f>IF(AND('Assumptions and Catalog'!$C$19&gt;0,A898&gt;='Assumptions and Catalog'!$C$19),A898-'Assumptions and Catalog'!$C$19,A898-1)</f>
        <v>9</v>
      </c>
      <c r="S898" s="5">
        <f>F898+L898-(D898+E898)*C898-J898-K898-IF(E$52&gt;0,'Assumptions and Catalog'!$C$26*C898,0)</f>
        <v>0</v>
      </c>
      <c r="T898" s="5"/>
      <c r="U898" s="5"/>
    </row>
    <row r="899" spans="1:21" ht="23.1" customHeight="1" outlineLevel="1" x14ac:dyDescent="0.2">
      <c r="A899" s="5">
        <v>20</v>
      </c>
      <c r="B899" s="5">
        <v>11</v>
      </c>
      <c r="C899" s="5">
        <f>DAY(DATE('Assumptions and Catalog'!$C$24+A899-1,B899+1,0))</f>
        <v>30</v>
      </c>
      <c r="D899" s="5">
        <f>IF(ISNUMBER(Inputs!$L$5),Inputs!$L$5*Inputs!$L$6,0)</f>
        <v>40.35</v>
      </c>
      <c r="E899" s="5">
        <f>IF(ISNUMBER(Inputs!$L$5),Inputs!$L$5-D899,0)</f>
        <v>40.35</v>
      </c>
      <c r="F899" s="5">
        <f>E$51*'Assumptions and Catalog'!$C$31*C899*(1-'Assumptions and Catalog'!$C$10)^(A899-1)</f>
        <v>747.0537001423653</v>
      </c>
      <c r="G899" s="5">
        <f t="shared" si="60"/>
        <v>747.0537001423653</v>
      </c>
      <c r="H899" s="5">
        <f>I899/('Assumptions and Catalog'!$C$11*'Assumptions and Catalog'!$C$12)</f>
        <v>0</v>
      </c>
      <c r="I899" s="5">
        <f>MIN(E899*C899,P899*'Assumptions and Catalog'!$C$12*C899,(F899-G899)*'Assumptions and Catalog'!$C$11*'Assumptions and Catalog'!$C$12,E$56*'Assumptions and Catalog'!$C$14*'Assumptions and Catalog'!$C$11*'Assumptions and Catalog'!$C$12*C899,E$57*(24-'Assumptions and Catalog'!$C$13)*C899)</f>
        <v>0</v>
      </c>
      <c r="J899" s="5">
        <f t="shared" si="61"/>
        <v>0</v>
      </c>
      <c r="K899" s="5">
        <f t="shared" si="62"/>
        <v>0</v>
      </c>
      <c r="L899" s="5">
        <f>(D899+E899)*C899-G899-I899+0+IF(E$52&gt;0,'Assumptions and Catalog'!$C$26*C899,0)</f>
        <v>1673.9462998576346</v>
      </c>
      <c r="M899" s="5">
        <f>IF(ISNUMBER(Inputs!$L$5),(IF(Inputs!$L$9="Actual flat rate",((D899+E899)*C899)*Inputs!$L$10,IF(Inputs!$C$9="Residential",IF(((D899+E899)*C899)&lt;='Assumptions and Catalog'!$C$50,((D899+E899)*C899)*'Assumptions and Catalog'!$H$50+'Assumptions and Catalog'!$E$50+'Assumptions and Catalog'!$F$50,IF(((D899+E899)*C899)&lt;='Assumptions and Catalog'!$C$51,((D899+E899)*C899)*'Assumptions and Catalog'!$H$51+'Assumptions and Catalog'!$E$51+'Assumptions and Catalog'!$F$51,IF(((D899+E899)*C899)&lt;='Assumptions and Catalog'!$C$52,((D899+E899)*C899)*'Assumptions and Catalog'!$H$52+'Assumptions and Catalog'!$E$52+'Assumptions and Catalog'!$F$52,IF(((D899+E899)*C899)&lt;='Assumptions and Catalog'!$C$53,((D899+E899)*C899)*'Assumptions and Catalog'!$H$53+'Assumptions and Catalog'!$E$53+'Assumptions and Catalog'!$F$53,IF(((D899+E899)*C899)&lt;='Assumptions and Catalog'!$C$54,((D899+E899)*C899)*'Assumptions and Catalog'!$H$54+'Assumptions and Catalog'!$E$54+'Assumptions and Catalog'!$F$54,IF(((D899+E899)*C899)&lt;='Assumptions and Catalog'!$C$55,((D899+E899)*C899)*'Assumptions and Catalog'!$H$55+'Assumptions and Catalog'!$E$55+'Assumptions and Catalog'!$F$55,IF(((D899+E899)*C899)&lt;='Assumptions and Catalog'!$C$56,((D899+E899)*C899)*'Assumptions and Catalog'!$H$56+'Assumptions and Catalog'!$E$56+'Assumptions and Catalog'!$F$56,IF(((D899+E899)*C899)&lt;='Assumptions and Catalog'!$C$57,((D899+E899)*C899)*'Assumptions and Catalog'!$H$57+'Assumptions and Catalog'!$E$57+'Assumptions and Catalog'!$F$57,"Out of range")))))))),IF(((D899+E899)*C899)&lt;='Assumptions and Catalog'!$C$60,((D899+E899)*C899)*'Assumptions and Catalog'!$H$60+'Assumptions and Catalog'!$E$60+'Assumptions and Catalog'!$F$60,IF(((D899+E899)*C899)&lt;='Assumptions and Catalog'!$C$61,((D899+E899)*C899)*'Assumptions and Catalog'!$H$61+'Assumptions and Catalog'!$E$61+'Assumptions and Catalog'!$F$61,IF(((D899+E899)*C899)&lt;='Assumptions and Catalog'!$C$62,((D899+E899)*C899)*'Assumptions and Catalog'!$H$62+'Assumptions and Catalog'!$E$62+'Assumptions and Catalog'!$F$62,IF(((D899+E899)*C899)&lt;='Assumptions and Catalog'!$C$63,((D899+E899)*C899)*'Assumptions and Catalog'!$H$63+'Assumptions and Catalog'!$E$63+'Assumptions and Catalog'!$F$63,IF(((D899+E899)*C899)&lt;='Assumptions and Catalog'!$C$64,((D899+E899)*C899)*'Assumptions and Catalog'!$H$64+'Assumptions and Catalog'!$E$64+'Assumptions and Catalog'!$F$64,IF(((D899+E899)*C899)&lt;='Assumptions and Catalog'!$C$65,((D899+E899)*C899)*'Assumptions and Catalog'!$H$65+'Assumptions and Catalog'!$E$65+'Assumptions and Catalog'!$F$65,"Out of range")))))))))*(1+'Assumptions and Catalog'!$C$8)^(A899-1),0)</f>
        <v>8279</v>
      </c>
      <c r="N899" s="5">
        <f>IF(ISNUMBER(Inputs!$L$5),(IF(Inputs!$L$9="Actual flat rate",L899*Inputs!$L$10,IF(Inputs!$C$9="Residential",IF(L899&lt;='Assumptions and Catalog'!$C$50,L899*'Assumptions and Catalog'!$H$50+'Assumptions and Catalog'!$E$50+'Assumptions and Catalog'!$F$50,IF(L899&lt;='Assumptions and Catalog'!$C$51,L899*'Assumptions and Catalog'!$H$51+'Assumptions and Catalog'!$E$51+'Assumptions and Catalog'!$F$51,IF(L899&lt;='Assumptions and Catalog'!$C$52,L899*'Assumptions and Catalog'!$H$52+'Assumptions and Catalog'!$E$52+'Assumptions and Catalog'!$F$52,IF(L899&lt;='Assumptions and Catalog'!$C$53,L899*'Assumptions and Catalog'!$H$53+'Assumptions and Catalog'!$E$53+'Assumptions and Catalog'!$F$53,IF(L899&lt;='Assumptions and Catalog'!$C$54,L899*'Assumptions and Catalog'!$H$54+'Assumptions and Catalog'!$E$54+'Assumptions and Catalog'!$F$54,IF(L899&lt;='Assumptions and Catalog'!$C$55,L899*'Assumptions and Catalog'!$H$55+'Assumptions and Catalog'!$E$55+'Assumptions and Catalog'!$F$55,IF(L899&lt;='Assumptions and Catalog'!$C$56,L899*'Assumptions and Catalog'!$H$56+'Assumptions and Catalog'!$E$56+'Assumptions and Catalog'!$F$56,IF(L899&lt;='Assumptions and Catalog'!$C$57,L899*'Assumptions and Catalog'!$H$57+'Assumptions and Catalog'!$E$57+'Assumptions and Catalog'!$F$57,"Out of range")))))))),IF(L899&lt;='Assumptions and Catalog'!$C$60,L899*'Assumptions and Catalog'!$H$60+'Assumptions and Catalog'!$E$60+'Assumptions and Catalog'!$F$60,IF(L899&lt;='Assumptions and Catalog'!$C$61,L899*'Assumptions and Catalog'!$H$61+'Assumptions and Catalog'!$E$61+'Assumptions and Catalog'!$F$61,IF(L899&lt;='Assumptions and Catalog'!$C$62,L899*'Assumptions and Catalog'!$H$62+'Assumptions and Catalog'!$E$62+'Assumptions and Catalog'!$F$62,IF(L899&lt;='Assumptions and Catalog'!$C$63,L899*'Assumptions and Catalog'!$H$63+'Assumptions and Catalog'!$E$63+'Assumptions and Catalog'!$F$63,IF(L899&lt;='Assumptions and Catalog'!$C$64,L899*'Assumptions and Catalog'!$H$64+'Assumptions and Catalog'!$E$64+'Assumptions and Catalog'!$F$64,IF(L899&lt;='Assumptions and Catalog'!$C$65,L899*'Assumptions and Catalog'!$H$65+'Assumptions and Catalog'!$E$65+'Assumptions and Catalog'!$F$65,"Out of range")))))))))*(1+'Assumptions and Catalog'!$C$8)^(A899-1),0)</f>
        <v>5724.3293748539263</v>
      </c>
      <c r="O899" s="5">
        <f t="shared" si="63"/>
        <v>2554.6706251460737</v>
      </c>
      <c r="P899" s="5">
        <f>E$55*(1-L$14)*(1-'Assumptions and Catalog'!$C$23)^R899</f>
        <v>85.375770842127338</v>
      </c>
      <c r="Q899" s="5">
        <f>IF(ISNUMBER(Inputs!$L$5),(IF(Inputs!$L$9="Actual flat rate",((D899+E899)*C899-G899)*Inputs!$L$10,IF(Inputs!$C$9="Residential",IF(((D899+E899)*C899-G899)&lt;='Assumptions and Catalog'!$C$50,((D899+E899)*C899-G899)*'Assumptions and Catalog'!$H$50+'Assumptions and Catalog'!$E$50+'Assumptions and Catalog'!$F$50,IF(((D899+E899)*C899-G899)&lt;='Assumptions and Catalog'!$C$51,((D899+E899)*C899-G899)*'Assumptions and Catalog'!$H$51+'Assumptions and Catalog'!$E$51+'Assumptions and Catalog'!$F$51,IF(((D899+E899)*C899-G899)&lt;='Assumptions and Catalog'!$C$52,((D899+E899)*C899-G899)*'Assumptions and Catalog'!$H$52+'Assumptions and Catalog'!$E$52+'Assumptions and Catalog'!$F$52,IF(((D899+E899)*C899-G899)&lt;='Assumptions and Catalog'!$C$53,((D899+E899)*C899-G899)*'Assumptions and Catalog'!$H$53+'Assumptions and Catalog'!$E$53+'Assumptions and Catalog'!$F$53,IF(((D899+E899)*C899-G899)&lt;='Assumptions and Catalog'!$C$54,((D899+E899)*C899-G899)*'Assumptions and Catalog'!$H$54+'Assumptions and Catalog'!$E$54+'Assumptions and Catalog'!$F$54,IF(((D899+E899)*C899-G899)&lt;='Assumptions and Catalog'!$C$55,((D899+E899)*C899-G899)*'Assumptions and Catalog'!$H$55+'Assumptions and Catalog'!$E$55+'Assumptions and Catalog'!$F$55,IF(((D899+E899)*C899-G899)&lt;='Assumptions and Catalog'!$C$56,((D899+E899)*C899-G899)*'Assumptions and Catalog'!$H$56+'Assumptions and Catalog'!$E$56+'Assumptions and Catalog'!$F$56,IF(((D899+E899)*C899-G899)&lt;='Assumptions and Catalog'!$C$57,((D899+E899)*C899-G899)*'Assumptions and Catalog'!$H$57+'Assumptions and Catalog'!$E$57+'Assumptions and Catalog'!$F$57,"Out of range")))))))),IF(((D899+E899)*C899-G899)&lt;='Assumptions and Catalog'!$C$60,((D899+E899)*C899-G899)*'Assumptions and Catalog'!$H$60+'Assumptions and Catalog'!$E$60+'Assumptions and Catalog'!$F$60,IF(((D899+E899)*C899-G899)&lt;='Assumptions and Catalog'!$C$61,((D899+E899)*C899-G899)*'Assumptions and Catalog'!$H$61+'Assumptions and Catalog'!$E$61+'Assumptions and Catalog'!$F$61,IF(((D899+E899)*C899-G899)&lt;='Assumptions and Catalog'!$C$62,((D899+E899)*C899-G899)*'Assumptions and Catalog'!$H$62+'Assumptions and Catalog'!$E$62+'Assumptions and Catalog'!$F$62,IF(((D899+E899)*C899-G899)&lt;='Assumptions and Catalog'!$C$63,((D899+E899)*C899-G899)*'Assumptions and Catalog'!$H$63+'Assumptions and Catalog'!$E$63+'Assumptions and Catalog'!$F$63,IF(((D899+E899)*C899-G899)&lt;='Assumptions and Catalog'!$C$64,((D899+E899)*C899-G899)*'Assumptions and Catalog'!$H$64+'Assumptions and Catalog'!$E$64+'Assumptions and Catalog'!$F$64,IF(((D899+E899)*C899-G899)&lt;='Assumptions and Catalog'!$C$65,((D899+E899)*C899-G899)*'Assumptions and Catalog'!$H$65+'Assumptions and Catalog'!$E$65+'Assumptions and Catalog'!$F$65,"Out of range")))))))))*(1+'Assumptions and Catalog'!$C$8)^(A899-1),0)</f>
        <v>5724.3293748539263</v>
      </c>
      <c r="R899" s="5">
        <f>IF(AND('Assumptions and Catalog'!$C$19&gt;0,A899&gt;='Assumptions and Catalog'!$C$19),A899-'Assumptions and Catalog'!$C$19,A899-1)</f>
        <v>9</v>
      </c>
      <c r="S899" s="5">
        <f>F899+L899-(D899+E899)*C899-J899-K899-IF(E$52&gt;0,'Assumptions and Catalog'!$C$26*C899,0)</f>
        <v>0</v>
      </c>
      <c r="T899" s="5"/>
      <c r="U899" s="5"/>
    </row>
    <row r="900" spans="1:21" ht="23.1" customHeight="1" outlineLevel="1" x14ac:dyDescent="0.2">
      <c r="A900" s="5">
        <v>20</v>
      </c>
      <c r="B900" s="5">
        <v>12</v>
      </c>
      <c r="C900" s="5">
        <f>DAY(DATE('Assumptions and Catalog'!$C$24+A900-1,B900+1,0))</f>
        <v>31</v>
      </c>
      <c r="D900" s="5">
        <f>IF(ISNUMBER(Inputs!$L$5),Inputs!$L$5*Inputs!$L$6,0)</f>
        <v>40.35</v>
      </c>
      <c r="E900" s="5">
        <f>IF(ISNUMBER(Inputs!$L$5),Inputs!$L$5-D900,0)</f>
        <v>40.35</v>
      </c>
      <c r="F900" s="5">
        <f>E$51*'Assumptions and Catalog'!$C$31*C900*(1-'Assumptions and Catalog'!$C$10)^(A900-1)</f>
        <v>771.95549014711071</v>
      </c>
      <c r="G900" s="5">
        <f t="shared" si="60"/>
        <v>771.95549014711071</v>
      </c>
      <c r="H900" s="5">
        <f>I900/('Assumptions and Catalog'!$C$11*'Assumptions and Catalog'!$C$12)</f>
        <v>0</v>
      </c>
      <c r="I900" s="5">
        <f>MIN(E900*C900,P900*'Assumptions and Catalog'!$C$12*C900,(F900-G900)*'Assumptions and Catalog'!$C$11*'Assumptions and Catalog'!$C$12,E$56*'Assumptions and Catalog'!$C$14*'Assumptions and Catalog'!$C$11*'Assumptions and Catalog'!$C$12*C900,E$57*(24-'Assumptions and Catalog'!$C$13)*C900)</f>
        <v>0</v>
      </c>
      <c r="J900" s="5">
        <f t="shared" si="61"/>
        <v>0</v>
      </c>
      <c r="K900" s="5">
        <f t="shared" si="62"/>
        <v>0</v>
      </c>
      <c r="L900" s="5">
        <f>(D900+E900)*C900-G900-I900+0+IF(E$52&gt;0,'Assumptions and Catalog'!$C$26*C900,0)</f>
        <v>1729.7445098528897</v>
      </c>
      <c r="M900" s="5">
        <f>IF(ISNUMBER(Inputs!$L$5),(IF(Inputs!$L$9="Actual flat rate",((D900+E900)*C900)*Inputs!$L$10,IF(Inputs!$C$9="Residential",IF(((D900+E900)*C900)&lt;='Assumptions and Catalog'!$C$50,((D900+E900)*C900)*'Assumptions and Catalog'!$H$50+'Assumptions and Catalog'!$E$50+'Assumptions and Catalog'!$F$50,IF(((D900+E900)*C900)&lt;='Assumptions and Catalog'!$C$51,((D900+E900)*C900)*'Assumptions and Catalog'!$H$51+'Assumptions and Catalog'!$E$51+'Assumptions and Catalog'!$F$51,IF(((D900+E900)*C900)&lt;='Assumptions and Catalog'!$C$52,((D900+E900)*C900)*'Assumptions and Catalog'!$H$52+'Assumptions and Catalog'!$E$52+'Assumptions and Catalog'!$F$52,IF(((D900+E900)*C900)&lt;='Assumptions and Catalog'!$C$53,((D900+E900)*C900)*'Assumptions and Catalog'!$H$53+'Assumptions and Catalog'!$E$53+'Assumptions and Catalog'!$F$53,IF(((D900+E900)*C900)&lt;='Assumptions and Catalog'!$C$54,((D900+E900)*C900)*'Assumptions and Catalog'!$H$54+'Assumptions and Catalog'!$E$54+'Assumptions and Catalog'!$F$54,IF(((D900+E900)*C900)&lt;='Assumptions and Catalog'!$C$55,((D900+E900)*C900)*'Assumptions and Catalog'!$H$55+'Assumptions and Catalog'!$E$55+'Assumptions and Catalog'!$F$55,IF(((D900+E900)*C900)&lt;='Assumptions and Catalog'!$C$56,((D900+E900)*C900)*'Assumptions and Catalog'!$H$56+'Assumptions and Catalog'!$E$56+'Assumptions and Catalog'!$F$56,IF(((D900+E900)*C900)&lt;='Assumptions and Catalog'!$C$57,((D900+E900)*C900)*'Assumptions and Catalog'!$H$57+'Assumptions and Catalog'!$E$57+'Assumptions and Catalog'!$F$57,"Out of range")))))))),IF(((D900+E900)*C900)&lt;='Assumptions and Catalog'!$C$60,((D900+E900)*C900)*'Assumptions and Catalog'!$H$60+'Assumptions and Catalog'!$E$60+'Assumptions and Catalog'!$F$60,IF(((D900+E900)*C900)&lt;='Assumptions and Catalog'!$C$61,((D900+E900)*C900)*'Assumptions and Catalog'!$H$61+'Assumptions and Catalog'!$E$61+'Assumptions and Catalog'!$F$61,IF(((D900+E900)*C900)&lt;='Assumptions and Catalog'!$C$62,((D900+E900)*C900)*'Assumptions and Catalog'!$H$62+'Assumptions and Catalog'!$E$62+'Assumptions and Catalog'!$F$62,IF(((D900+E900)*C900)&lt;='Assumptions and Catalog'!$C$63,((D900+E900)*C900)*'Assumptions and Catalog'!$H$63+'Assumptions and Catalog'!$E$63+'Assumptions and Catalog'!$F$63,IF(((D900+E900)*C900)&lt;='Assumptions and Catalog'!$C$64,((D900+E900)*C900)*'Assumptions and Catalog'!$H$64+'Assumptions and Catalog'!$E$64+'Assumptions and Catalog'!$F$64,IF(((D900+E900)*C900)&lt;='Assumptions and Catalog'!$C$65,((D900+E900)*C900)*'Assumptions and Catalog'!$H$65+'Assumptions and Catalog'!$E$65+'Assumptions and Catalog'!$F$65,"Out of range")))))))))*(1+'Assumptions and Catalog'!$C$8)^(A900-1),0)</f>
        <v>8554.9666666666672</v>
      </c>
      <c r="N900" s="5">
        <f>IF(ISNUMBER(Inputs!$L$5),(IF(Inputs!$L$9="Actual flat rate",L900*Inputs!$L$10,IF(Inputs!$C$9="Residential",IF(L900&lt;='Assumptions and Catalog'!$C$50,L900*'Assumptions and Catalog'!$H$50+'Assumptions and Catalog'!$E$50+'Assumptions and Catalog'!$F$50,IF(L900&lt;='Assumptions and Catalog'!$C$51,L900*'Assumptions and Catalog'!$H$51+'Assumptions and Catalog'!$E$51+'Assumptions and Catalog'!$F$51,IF(L900&lt;='Assumptions and Catalog'!$C$52,L900*'Assumptions and Catalog'!$H$52+'Assumptions and Catalog'!$E$52+'Assumptions and Catalog'!$F$52,IF(L900&lt;='Assumptions and Catalog'!$C$53,L900*'Assumptions and Catalog'!$H$53+'Assumptions and Catalog'!$E$53+'Assumptions and Catalog'!$F$53,IF(L900&lt;='Assumptions and Catalog'!$C$54,L900*'Assumptions and Catalog'!$H$54+'Assumptions and Catalog'!$E$54+'Assumptions and Catalog'!$F$54,IF(L900&lt;='Assumptions and Catalog'!$C$55,L900*'Assumptions and Catalog'!$H$55+'Assumptions and Catalog'!$E$55+'Assumptions and Catalog'!$F$55,IF(L900&lt;='Assumptions and Catalog'!$C$56,L900*'Assumptions and Catalog'!$H$56+'Assumptions and Catalog'!$E$56+'Assumptions and Catalog'!$F$56,IF(L900&lt;='Assumptions and Catalog'!$C$57,L900*'Assumptions and Catalog'!$H$57+'Assumptions and Catalog'!$E$57+'Assumptions and Catalog'!$F$57,"Out of range")))))))),IF(L900&lt;='Assumptions and Catalog'!$C$60,L900*'Assumptions and Catalog'!$H$60+'Assumptions and Catalog'!$E$60+'Assumptions and Catalog'!$F$60,IF(L900&lt;='Assumptions and Catalog'!$C$61,L900*'Assumptions and Catalog'!$H$61+'Assumptions and Catalog'!$E$61+'Assumptions and Catalog'!$F$61,IF(L900&lt;='Assumptions and Catalog'!$C$62,L900*'Assumptions and Catalog'!$H$62+'Assumptions and Catalog'!$E$62+'Assumptions and Catalog'!$F$62,IF(L900&lt;='Assumptions and Catalog'!$C$63,L900*'Assumptions and Catalog'!$H$63+'Assumptions and Catalog'!$E$63+'Assumptions and Catalog'!$F$63,IF(L900&lt;='Assumptions and Catalog'!$C$64,L900*'Assumptions and Catalog'!$H$64+'Assumptions and Catalog'!$E$64+'Assumptions and Catalog'!$F$64,IF(L900&lt;='Assumptions and Catalog'!$C$65,L900*'Assumptions and Catalog'!$H$65+'Assumptions and Catalog'!$E$65+'Assumptions and Catalog'!$F$65,"Out of range")))))))))*(1+'Assumptions and Catalog'!$C$8)^(A900-1),0)</f>
        <v>5915.1403540157262</v>
      </c>
      <c r="O900" s="5">
        <f t="shared" si="63"/>
        <v>2639.826312650941</v>
      </c>
      <c r="P900" s="5">
        <f>E$55*(1-L$14)*(1-'Assumptions and Catalog'!$C$23)^R900</f>
        <v>85.375770842127338</v>
      </c>
      <c r="Q900" s="5">
        <f>IF(ISNUMBER(Inputs!$L$5),(IF(Inputs!$L$9="Actual flat rate",((D900+E900)*C900-G900)*Inputs!$L$10,IF(Inputs!$C$9="Residential",IF(((D900+E900)*C900-G900)&lt;='Assumptions and Catalog'!$C$50,((D900+E900)*C900-G900)*'Assumptions and Catalog'!$H$50+'Assumptions and Catalog'!$E$50+'Assumptions and Catalog'!$F$50,IF(((D900+E900)*C900-G900)&lt;='Assumptions and Catalog'!$C$51,((D900+E900)*C900-G900)*'Assumptions and Catalog'!$H$51+'Assumptions and Catalog'!$E$51+'Assumptions and Catalog'!$F$51,IF(((D900+E900)*C900-G900)&lt;='Assumptions and Catalog'!$C$52,((D900+E900)*C900-G900)*'Assumptions and Catalog'!$H$52+'Assumptions and Catalog'!$E$52+'Assumptions and Catalog'!$F$52,IF(((D900+E900)*C900-G900)&lt;='Assumptions and Catalog'!$C$53,((D900+E900)*C900-G900)*'Assumptions and Catalog'!$H$53+'Assumptions and Catalog'!$E$53+'Assumptions and Catalog'!$F$53,IF(((D900+E900)*C900-G900)&lt;='Assumptions and Catalog'!$C$54,((D900+E900)*C900-G900)*'Assumptions and Catalog'!$H$54+'Assumptions and Catalog'!$E$54+'Assumptions and Catalog'!$F$54,IF(((D900+E900)*C900-G900)&lt;='Assumptions and Catalog'!$C$55,((D900+E900)*C900-G900)*'Assumptions and Catalog'!$H$55+'Assumptions and Catalog'!$E$55+'Assumptions and Catalog'!$F$55,IF(((D900+E900)*C900-G900)&lt;='Assumptions and Catalog'!$C$56,((D900+E900)*C900-G900)*'Assumptions and Catalog'!$H$56+'Assumptions and Catalog'!$E$56+'Assumptions and Catalog'!$F$56,IF(((D900+E900)*C900-G900)&lt;='Assumptions and Catalog'!$C$57,((D900+E900)*C900-G900)*'Assumptions and Catalog'!$H$57+'Assumptions and Catalog'!$E$57+'Assumptions and Catalog'!$F$57,"Out of range")))))))),IF(((D900+E900)*C900-G900)&lt;='Assumptions and Catalog'!$C$60,((D900+E900)*C900-G900)*'Assumptions and Catalog'!$H$60+'Assumptions and Catalog'!$E$60+'Assumptions and Catalog'!$F$60,IF(((D900+E900)*C900-G900)&lt;='Assumptions and Catalog'!$C$61,((D900+E900)*C900-G900)*'Assumptions and Catalog'!$H$61+'Assumptions and Catalog'!$E$61+'Assumptions and Catalog'!$F$61,IF(((D900+E900)*C900-G900)&lt;='Assumptions and Catalog'!$C$62,((D900+E900)*C900-G900)*'Assumptions and Catalog'!$H$62+'Assumptions and Catalog'!$E$62+'Assumptions and Catalog'!$F$62,IF(((D900+E900)*C900-G900)&lt;='Assumptions and Catalog'!$C$63,((D900+E900)*C900-G900)*'Assumptions and Catalog'!$H$63+'Assumptions and Catalog'!$E$63+'Assumptions and Catalog'!$F$63,IF(((D900+E900)*C900-G900)&lt;='Assumptions and Catalog'!$C$64,((D900+E900)*C900-G900)*'Assumptions and Catalog'!$H$64+'Assumptions and Catalog'!$E$64+'Assumptions and Catalog'!$F$64,IF(((D900+E900)*C900-G900)&lt;='Assumptions and Catalog'!$C$65,((D900+E900)*C900-G900)*'Assumptions and Catalog'!$H$65+'Assumptions and Catalog'!$E$65+'Assumptions and Catalog'!$F$65,"Out of range")))))))))*(1+'Assumptions and Catalog'!$C$8)^(A900-1),0)</f>
        <v>5915.1403540157262</v>
      </c>
      <c r="R900" s="5">
        <f>IF(AND('Assumptions and Catalog'!$C$19&gt;0,A900&gt;='Assumptions and Catalog'!$C$19),A900-'Assumptions and Catalog'!$C$19,A900-1)</f>
        <v>9</v>
      </c>
      <c r="S900" s="5">
        <f>F900+L900-(D900+E900)*C900-J900-K900-IF(E$52&gt;0,'Assumptions and Catalog'!$C$26*C900,0)</f>
        <v>0</v>
      </c>
      <c r="T900" s="5"/>
      <c r="U900" s="5"/>
    </row>
  </sheetData>
  <sheetProtection formatColumns="0" formatRows="0"/>
  <mergeCells count="15">
    <mergeCell ref="A2:E2"/>
    <mergeCell ref="A3:E3"/>
    <mergeCell ref="A28:E28"/>
    <mergeCell ref="A29:E29"/>
    <mergeCell ref="A33:E33"/>
    <mergeCell ref="H7:L7"/>
    <mergeCell ref="H18:L18"/>
    <mergeCell ref="A50:E50"/>
    <mergeCell ref="A75:N75"/>
    <mergeCell ref="A102:E102"/>
    <mergeCell ref="A103:E103"/>
    <mergeCell ref="A104:E104"/>
    <mergeCell ref="A158:S158"/>
    <mergeCell ref="A408:S408"/>
    <mergeCell ref="A658:S658"/>
  </mergeCells>
  <conditionalFormatting sqref="C6:E6">
    <cfRule type="containsText" dxfId="1" priority="3" operator="containsText" text="Check">
      <formula>NOT(ISERROR(SEARCH("Check",C6)))</formula>
    </cfRule>
  </conditionalFormatting>
  <conditionalFormatting sqref="C15:E17">
    <cfRule type="cellIs" dxfId="0" priority="2" operator="lessThan">
      <formula>0</formula>
    </cfRule>
  </conditionalFormatting>
  <dataValidations count="6">
    <dataValidation type="list" sqref="J9:L9" xr:uid="{00000000-0002-0000-0200-000000000000}">
      <formula1>"PV550,PV670"</formula1>
      <formula2>0</formula2>
    </dataValidation>
    <dataValidation type="list" sqref="J11:L11" xr:uid="{00000000-0002-0000-0200-000001000000}">
      <formula1>"BAT10,BAT16,BAT32"</formula1>
      <formula2>0</formula2>
    </dataValidation>
    <dataValidation type="list" sqref="J13:L13" xr:uid="{00000000-0002-0000-0200-000002000000}">
      <formula1>"GRID10,HYB5,HYB12,HYB20"</formula1>
      <formula2>0</formula2>
    </dataValidation>
    <dataValidation type="list" sqref="J15:L15" xr:uid="{00000000-0002-0000-0200-000003000000}">
      <formula1>"Backup,Grid cycle"</formula1>
      <formula2>0</formula2>
    </dataValidation>
    <dataValidation type="whole" sqref="J10:L10 J12:L12" xr:uid="{00000000-0002-0000-0200-00000C000000}">
      <formula1>0</formula1>
      <formula2>10000</formula2>
    </dataValidation>
    <dataValidation type="decimal" sqref="J14:L14" xr:uid="{00000000-0002-0000-0200-00000E000000}">
      <formula1>0</formula1>
      <formula2>1</formula2>
    </dataValidation>
  </dataValidations>
  <pageMargins left="0.7" right="0.7" top="0.75" bottom="0.75" header="0.511811023622047" footer="0.511811023622047"/>
  <pageSetup paperSize="9" fitToHeight="0" orientation="landscape"/>
</worksheet>
</file>

<file path=docMetadata/LabelInfo.xml><?xml version="1.0" encoding="utf-8"?>
<clbl:labelList xmlns:clbl="http://schemas.microsoft.com/office/2020/mipLabelMetadata">
  <clbl:label id="{f310547b-e2f1-4377-a36f-4dd619a6c21e}" enabled="0" method="" siteId="{f310547b-e2f1-4377-a36f-4dd619a6c2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Inputs</vt:lpstr>
      <vt:lpstr>Assumptions and Catalog</vt:lpstr>
      <vt:lpstr>Scenarios</vt:lpstr>
      <vt:lpstr>'Assumptions and Catalog'!Print_Area</vt:lpstr>
      <vt:lpstr>Inputs!Print_Area</vt:lpstr>
      <vt:lpstr>Scenarios!Print_Area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Mohamed Abdelkader (Avesta Egypt)</cp:lastModifiedBy>
  <cp:revision>0</cp:revision>
  <dcterms:modified xsi:type="dcterms:W3CDTF">2026-10-21T14:52:02Z</dcterms:modified>
  <dc:language>en-US</dc:language>
</cp:coreProperties>
</file>